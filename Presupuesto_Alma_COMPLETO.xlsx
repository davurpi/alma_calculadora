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240" tabRatio="600" firstSheet="0" activeTab="1" autoFilterDateGrouping="1"/>
  </bookViews>
  <sheets>
    <sheet name="DATOS" sheetId="1" state="visible" r:id="rId1"/>
    <sheet name="PRESUPUESTO" sheetId="2" state="visible" r:id="rId2"/>
    <sheet name="ARTICULOS" sheetId="3" state="visible" r:id="rId3"/>
    <sheet name="COLORES" sheetId="4" state="visible" r:id="rId4"/>
    <sheet name="EMPALME" sheetId="5" state="visible" r:id="rId5"/>
    <sheet name="CONFECCION" sheetId="6" state="visible" r:id="rId6"/>
  </sheets>
  <definedNames>
    <definedName name="_xlnm.Print_Area" localSheetId="1">PRESUPUESTO!$A$1:$BA$51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.00\ _€_-;\-* #,##0.00\ _€_-;_-* &quot;-&quot;??\ _€_-;_-@_-"/>
    <numFmt numFmtId="165" formatCode="d\ &quot;de&quot;\ mmmm\ &quot;de&quot;\ yyyy"/>
    <numFmt numFmtId="166" formatCode="0;[Red]0"/>
    <numFmt numFmtId="167" formatCode="#,##0.00\ &quot;€&quot;"/>
    <numFmt numFmtId="168" formatCode="#,##0[$€];[Red]\-#,##0[$€]"/>
  </numFmts>
  <fonts count="89">
    <font>
      <name val="MS Sans Serif"/>
      <sz val="10"/>
    </font>
    <font>
      <name val="MS Sans Serif"/>
      <b val="1"/>
      <sz val="10"/>
    </font>
    <font>
      <name val="MS Sans Serif"/>
      <family val="2"/>
      <sz val="10"/>
    </font>
    <font>
      <name val="Calisto MT"/>
      <family val="1"/>
      <b val="1"/>
      <color indexed="18"/>
      <sz val="10"/>
    </font>
    <font>
      <name val="Calisto MT"/>
      <family val="1"/>
      <b val="1"/>
      <color indexed="9"/>
      <sz val="10"/>
    </font>
    <font>
      <name val="MS Sans Serif"/>
      <family val="2"/>
      <b val="1"/>
      <sz val="10"/>
    </font>
    <font>
      <name val="MS Sans Serif"/>
      <family val="2"/>
      <i val="1"/>
      <sz val="10"/>
    </font>
    <font>
      <name val="Arial"/>
      <family val="2"/>
      <sz val="10"/>
    </font>
    <font>
      <name val="Calisto MT"/>
      <family val="1"/>
      <b val="1"/>
      <color indexed="18"/>
      <sz val="20"/>
    </font>
    <font>
      <name val="Calisto MT"/>
      <family val="1"/>
      <sz val="10"/>
    </font>
    <font>
      <name val="Calisto MT"/>
      <family val="1"/>
      <b val="1"/>
      <color indexed="18"/>
      <sz val="10"/>
      <u val="single"/>
    </font>
    <font>
      <name val="Calisto MT"/>
      <family val="1"/>
      <b val="1"/>
      <color indexed="18"/>
      <sz val="10"/>
    </font>
    <font>
      <name val="Comic Sans MS"/>
      <family val="4"/>
      <sz val="10"/>
    </font>
    <font>
      <name val="Comic Sans MS"/>
      <family val="4"/>
      <color indexed="10"/>
      <sz val="10"/>
    </font>
    <font>
      <name val="Comic Sans MS"/>
      <family val="4"/>
      <b val="1"/>
      <color indexed="10"/>
      <sz val="10"/>
    </font>
    <font>
      <name val="Comic Sans MS"/>
      <family val="4"/>
      <color indexed="18"/>
      <sz val="10"/>
    </font>
    <font>
      <name val="Comic Sans MS"/>
      <family val="4"/>
      <i val="1"/>
      <sz val="10"/>
    </font>
    <font>
      <name val="MS Sans Serif"/>
      <family val="2"/>
      <color indexed="10"/>
      <sz val="10"/>
    </font>
    <font>
      <name val="MS Sans Serif"/>
      <family val="2"/>
      <b val="1"/>
      <i val="1"/>
      <sz val="10"/>
    </font>
    <font>
      <name val="Comic Sans MS"/>
      <family val="4"/>
      <b val="1"/>
      <sz val="10"/>
    </font>
    <font>
      <name val="Comic Sans MS"/>
      <family val="4"/>
      <b val="1"/>
      <color indexed="9"/>
      <sz val="10"/>
    </font>
    <font>
      <name val="Comic Sans MS"/>
      <family val="4"/>
      <b val="1"/>
      <color indexed="9"/>
      <sz val="12"/>
    </font>
    <font>
      <name val="Comic Sans MS"/>
      <family val="4"/>
      <color indexed="9"/>
      <sz val="12"/>
    </font>
    <font>
      <name val="Comic Sans MS"/>
      <family val="4"/>
      <b val="1"/>
      <color indexed="9"/>
      <sz val="8"/>
    </font>
    <font>
      <name val="Comic Sans MS"/>
      <family val="4"/>
      <b val="1"/>
      <color indexed="18"/>
      <sz val="16"/>
    </font>
    <font>
      <name val="Comic Sans MS"/>
      <family val="4"/>
      <b val="1"/>
      <color indexed="18"/>
      <sz val="22"/>
    </font>
    <font>
      <name val="Comic Sans MS"/>
      <family val="4"/>
      <b val="1"/>
      <color indexed="18"/>
      <sz val="13.5"/>
    </font>
    <font>
      <name val="MS Sans Serif"/>
      <family val="2"/>
      <b val="1"/>
      <color indexed="9"/>
      <sz val="24"/>
    </font>
    <font>
      <name val="Euphemia"/>
      <family val="2"/>
      <sz val="10"/>
    </font>
    <font>
      <name val="Comic Sans MS"/>
      <family val="4"/>
      <sz val="48"/>
    </font>
    <font>
      <name val="MS Sans Serif"/>
      <family val="2"/>
      <sz val="10"/>
    </font>
    <font>
      <name val="MS Sans Serif"/>
      <family val="2"/>
      <color indexed="10"/>
      <sz val="10"/>
    </font>
    <font>
      <name val="Euphemia"/>
      <family val="2"/>
      <b val="1"/>
      <sz val="10"/>
    </font>
    <font>
      <name val="MS Sans Serif"/>
      <family val="2"/>
      <color theme="10"/>
      <sz val="10"/>
      <u val="single"/>
    </font>
    <font>
      <name val="Euphemia"/>
      <family val="2"/>
      <color theme="6" tint="-0.499984740745262"/>
      <sz val="10"/>
    </font>
    <font>
      <name val="Euphemia"/>
      <family val="2"/>
      <color theme="6" tint="-0.499984740745262"/>
      <sz val="12"/>
    </font>
    <font>
      <name val="Comic Sans MS"/>
      <family val="4"/>
      <color rgb="FFFFFF00"/>
      <sz val="10"/>
    </font>
    <font>
      <name val="MS Sans Serif"/>
      <family val="2"/>
      <color rgb="FF00B050"/>
      <sz val="10"/>
    </font>
    <font>
      <name val="MS Sans Serif"/>
      <family val="2"/>
      <color theme="6" tint="-0.249977111117893"/>
      <sz val="10"/>
    </font>
    <font>
      <name val="Algerian"/>
      <family val="5"/>
      <color theme="6" tint="-0.499984740745262"/>
      <sz val="48"/>
    </font>
    <font>
      <name val="MS Sans Serif"/>
      <family val="2"/>
      <b val="1"/>
      <color rgb="FFFF0000"/>
      <sz val="10"/>
    </font>
    <font>
      <name val="Comic Sans MS"/>
      <family val="4"/>
      <color theme="1"/>
      <sz val="48"/>
    </font>
    <font>
      <name val="MS Sans Serif"/>
      <family val="2"/>
      <color rgb="FF002060"/>
      <sz val="10"/>
    </font>
    <font>
      <name val="Euphemia"/>
      <family val="2"/>
      <b val="1"/>
      <color theme="1"/>
      <sz val="10"/>
    </font>
    <font>
      <name val="Comic Sans MS"/>
      <family val="4"/>
      <b val="1"/>
      <color theme="1"/>
      <sz val="10"/>
    </font>
    <font>
      <name val="MS Sans Serif"/>
      <family val="2"/>
      <color rgb="FF7030A0"/>
      <sz val="10"/>
    </font>
    <font>
      <name val="MS Sans Serif"/>
      <family val="2"/>
      <color rgb="FFFF0000"/>
      <sz val="10"/>
    </font>
    <font>
      <name val="Calibri"/>
      <family val="2"/>
      <sz val="11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6" tint="-0.499984740745262"/>
      <sz val="12"/>
      <scheme val="minor"/>
    </font>
    <font>
      <name val="Calibri"/>
      <family val="2"/>
      <b val="1"/>
      <color theme="6" tint="-0.499984740745262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color indexed="10"/>
      <sz val="12"/>
      <scheme val="minor"/>
    </font>
    <font>
      <name val="Calibri"/>
      <family val="2"/>
      <b val="1"/>
      <color indexed="8"/>
      <sz val="12"/>
      <scheme val="minor"/>
    </font>
    <font>
      <name val="Calibri"/>
      <family val="2"/>
      <b val="1"/>
      <sz val="14"/>
      <scheme val="minor"/>
    </font>
    <font>
      <name val="Roboto"/>
      <color rgb="FF000000"/>
      <sz val="11"/>
    </font>
    <font>
      <name val="Euphemia"/>
      <family val="2"/>
      <color theme="9" tint="-0.249977111117893"/>
      <sz val="10"/>
    </font>
    <font>
      <name val="Vani"/>
      <family val="2"/>
      <b val="1"/>
      <i val="1"/>
      <color theme="9" tint="-0.249977111117893"/>
      <sz val="14"/>
    </font>
    <font>
      <name val="MS Sans Serif"/>
      <family val="2"/>
      <color theme="2" tint="-0.749992370372631"/>
      <sz val="10"/>
    </font>
    <font>
      <name val="MS Sans Serif"/>
      <sz val="8"/>
    </font>
    <font>
      <name val="MS Sans Serif"/>
      <color theme="1" tint="0.0499893185216834"/>
      <sz val="10"/>
    </font>
    <font>
      <name val="MS Sans Serif"/>
      <i val="1"/>
      <color theme="1" tint="0.0499893185216834"/>
      <sz val="10"/>
    </font>
    <font>
      <name val="Calibri"/>
      <family val="2"/>
      <b val="1"/>
      <color rgb="FFFA7D00"/>
      <sz val="11"/>
      <scheme val="minor"/>
    </font>
    <font>
      <name val="MS Sans Serif"/>
      <color rgb="FFE1DBD5"/>
      <sz val="10"/>
    </font>
    <font>
      <name val="MS Sans Serif"/>
      <b val="1"/>
      <sz val="9"/>
    </font>
    <font>
      <name val="MS Sans Serif"/>
      <color theme="1" tint="0.249977111117893"/>
      <sz val="10"/>
    </font>
    <font>
      <name val="Calibri"/>
      <family val="2"/>
      <b val="1"/>
      <color theme="1" tint="0.249977111117893"/>
      <sz val="12"/>
      <scheme val="minor"/>
    </font>
    <font>
      <name val="Calibri"/>
      <family val="2"/>
      <color theme="1" tint="0.249977111117893"/>
      <sz val="10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family val="2"/>
      <color theme="1" tint="0.249977111117893"/>
      <sz val="11"/>
      <scheme val="minor"/>
    </font>
    <font>
      <name val="Biome"/>
      <family val="2"/>
      <b val="1"/>
      <color theme="1" tint="0.249977111117893"/>
      <sz val="24"/>
    </font>
    <font>
      <name val="Aptos Display"/>
      <family val="2"/>
      <color theme="1" tint="0.249977111117893"/>
      <sz val="11"/>
    </font>
    <font>
      <name val="Aptos Display"/>
      <family val="2"/>
      <color theme="1" tint="0.249977111117893"/>
      <sz val="10"/>
    </font>
    <font>
      <name val="Aptos Mono"/>
      <family val="3"/>
      <b val="1"/>
      <color theme="1" tint="0.249977111117893"/>
      <sz val="11"/>
    </font>
    <font>
      <name val="Aptos Mono"/>
      <family val="3"/>
      <b val="1"/>
      <color theme="1" tint="0.249977111117893"/>
      <sz val="18"/>
    </font>
    <font>
      <name val="Aptos Display"/>
      <family val="2"/>
      <color theme="1" tint="0.249977111117893"/>
      <sz val="12"/>
    </font>
    <font>
      <name val="Aptos Display"/>
      <family val="2"/>
      <b val="1"/>
      <color theme="1" tint="0.249977111117893"/>
      <sz val="10"/>
    </font>
    <font>
      <name val="Aptos Display"/>
      <family val="2"/>
      <b val="1"/>
      <color rgb="FF311F11"/>
      <sz val="11"/>
    </font>
    <font>
      <name val="Aptos Display"/>
      <family val="2"/>
      <color rgb="FF311F11"/>
      <sz val="11"/>
    </font>
    <font>
      <name val="Aptos Display"/>
      <family val="2"/>
      <b val="1"/>
      <color rgb="FF311F11"/>
      <sz val="10"/>
    </font>
    <font>
      <name val="Aptos Display"/>
      <family val="2"/>
      <color rgb="FF311F11"/>
      <sz val="10"/>
    </font>
    <font>
      <name val="Aptos Display"/>
      <family val="2"/>
      <b val="1"/>
      <color theme="1" tint="0.1499984740745262"/>
      <sz val="11"/>
    </font>
    <font>
      <name val="Aptos"/>
      <family val="2"/>
      <color theme="1" tint="0.3499862666707358"/>
      <sz val="10"/>
    </font>
    <font>
      <name val="MS Sans Serif"/>
      <i val="1"/>
      <sz val="10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</patternFill>
    </fill>
    <fill>
      <patternFill patternType="solid">
        <fgColor rgb="FFDFBEA5"/>
        <bgColor indexed="64"/>
      </patternFill>
    </fill>
    <fill>
      <patternFill patternType="solid">
        <fgColor rgb="FFF8F1EC"/>
        <bgColor indexed="64"/>
      </patternFill>
    </fill>
    <fill>
      <patternFill patternType="solid">
        <fgColor theme="2" tint="-0.249977111117893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8">
    <xf numFmtId="0" fontId="0" fillId="0" borderId="0"/>
    <xf numFmtId="168" fontId="30" fillId="0" borderId="0"/>
    <xf numFmtId="0" fontId="33" fillId="0" borderId="0" applyAlignment="1" applyProtection="1">
      <alignment vertical="top"/>
      <protection locked="0" hidden="0"/>
    </xf>
    <xf numFmtId="40" fontId="30" fillId="0" borderId="0"/>
    <xf numFmtId="164" fontId="7" fillId="0" borderId="0"/>
    <xf numFmtId="0" fontId="7" fillId="0" borderId="0"/>
    <xf numFmtId="9" fontId="30" fillId="0" borderId="0"/>
    <xf numFmtId="0" fontId="66" fillId="9" borderId="34"/>
  </cellStyleXfs>
  <cellXfs count="350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9" fillId="0" borderId="0" pivotButton="0" quotePrefix="0" xfId="5"/>
    <xf numFmtId="0" fontId="4" fillId="2" borderId="0" applyAlignment="1" pivotButton="0" quotePrefix="0" xfId="5">
      <alignment horizontal="center"/>
    </xf>
    <xf numFmtId="164" fontId="4" fillId="2" borderId="0" applyAlignment="1" pivotButton="0" quotePrefix="0" xfId="4">
      <alignment horizontal="center"/>
    </xf>
    <xf numFmtId="164" fontId="3" fillId="0" borderId="0" applyAlignment="1" pivotButton="0" quotePrefix="0" xfId="4">
      <alignment horizontal="center"/>
    </xf>
    <xf numFmtId="0" fontId="9" fillId="2" borderId="0" pivotButton="0" quotePrefix="0" xfId="5"/>
    <xf numFmtId="0" fontId="3" fillId="0" borderId="0" pivotButton="0" quotePrefix="0" xfId="5"/>
    <xf numFmtId="0" fontId="11" fillId="0" borderId="0" pivotButton="0" quotePrefix="0" xfId="5"/>
    <xf numFmtId="0" fontId="11" fillId="0" borderId="0" applyAlignment="1" pivotButton="0" quotePrefix="0" xfId="5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2" fillId="3" borderId="0" pivotButton="0" quotePrefix="0" xfId="0"/>
    <xf numFmtId="14" fontId="12" fillId="0" borderId="0" pivotButton="0" quotePrefix="0" xfId="0"/>
    <xf numFmtId="0" fontId="14" fillId="0" borderId="0" pivotButton="0" quotePrefix="0" xfId="0"/>
    <xf numFmtId="0" fontId="12" fillId="2" borderId="0" pivotButton="0" quotePrefix="0" xfId="0"/>
    <xf numFmtId="10" fontId="13" fillId="2" borderId="0" applyAlignment="1" pivotButton="0" quotePrefix="0" xfId="6">
      <alignment horizontal="center"/>
    </xf>
    <xf numFmtId="40" fontId="12" fillId="2" borderId="0" applyAlignment="1" pivotButton="0" quotePrefix="0" xfId="3">
      <alignment horizontal="center"/>
    </xf>
    <xf numFmtId="40" fontId="12" fillId="2" borderId="0" pivotButton="0" quotePrefix="0" xfId="3"/>
    <xf numFmtId="0" fontId="13" fillId="2" borderId="0" pivotButton="0" quotePrefix="0" xfId="0"/>
    <xf numFmtId="0" fontId="13" fillId="2" borderId="0" applyAlignment="1" pivotButton="0" quotePrefix="0" xfId="0">
      <alignment horizontal="center"/>
    </xf>
    <xf numFmtId="0" fontId="15" fillId="2" borderId="0" pivotButton="0" quotePrefix="0" xfId="0"/>
    <xf numFmtId="0" fontId="12" fillId="2" borderId="0" applyAlignment="1" pivotButton="0" quotePrefix="0" xfId="0">
      <alignment horizontal="center"/>
    </xf>
    <xf numFmtId="0" fontId="0" fillId="0" borderId="5" pivotButton="0" quotePrefix="0" xfId="0"/>
    <xf numFmtId="0" fontId="17" fillId="0" borderId="0" applyProtection="1" pivotButton="0" quotePrefix="0" xfId="0">
      <protection locked="0" hidden="0"/>
    </xf>
    <xf numFmtId="10" fontId="17" fillId="0" borderId="0" applyProtection="1" pivotButton="0" quotePrefix="0" xfId="6">
      <protection locked="0" hidden="0"/>
    </xf>
    <xf numFmtId="10" fontId="17" fillId="0" borderId="0" applyProtection="1" pivotButton="0" quotePrefix="0" xfId="6">
      <protection locked="0" hidden="0"/>
    </xf>
    <xf numFmtId="0" fontId="17" fillId="0" borderId="6" applyProtection="1" pivotButton="0" quotePrefix="0" xfId="0">
      <protection locked="0" hidden="0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5" fillId="0" borderId="10" pivotButton="0" quotePrefix="0" xfId="0"/>
    <xf numFmtId="0" fontId="18" fillId="0" borderId="10" pivotButton="0" quotePrefix="0" xfId="0"/>
    <xf numFmtId="0" fontId="18" fillId="0" borderId="8" pivotButton="0" quotePrefix="0" xfId="0"/>
    <xf numFmtId="0" fontId="5" fillId="0" borderId="7" pivotButton="0" quotePrefix="0" xfId="0"/>
    <xf numFmtId="0" fontId="17" fillId="0" borderId="1" applyProtection="1" pivotButton="0" quotePrefix="0" xfId="0">
      <protection locked="0" hidden="0"/>
    </xf>
    <xf numFmtId="0" fontId="17" fillId="0" borderId="3" applyProtection="1" pivotButton="0" quotePrefix="0" xfId="0">
      <protection locked="0" hidden="0"/>
    </xf>
    <xf numFmtId="38" fontId="16" fillId="4" borderId="0" applyAlignment="1" pivotButton="0" quotePrefix="0" xfId="3">
      <alignment horizontal="center"/>
    </xf>
    <xf numFmtId="0" fontId="16" fillId="4" borderId="0" applyAlignment="1" pivotButton="0" quotePrefix="0" xfId="0">
      <alignment horizontal="center"/>
    </xf>
    <xf numFmtId="10" fontId="14" fillId="0" borderId="0" applyAlignment="1" applyProtection="1" pivotButton="0" quotePrefix="0" xfId="6">
      <alignment horizontal="center"/>
      <protection locked="0" hidden="0"/>
    </xf>
    <xf numFmtId="0" fontId="14" fillId="0" borderId="11" applyAlignment="1" applyProtection="1" pivotButton="0" quotePrefix="0" xfId="0">
      <alignment horizontal="center"/>
      <protection locked="0" hidden="0"/>
    </xf>
    <xf numFmtId="0" fontId="14" fillId="0" borderId="1" applyAlignment="1" applyProtection="1" pivotButton="0" quotePrefix="0" xfId="0">
      <alignment horizontal="center"/>
      <protection locked="0" hidden="0"/>
    </xf>
    <xf numFmtId="0" fontId="19" fillId="0" borderId="9" applyAlignment="1" pivotButton="0" quotePrefix="0" xfId="0">
      <alignment horizontal="center"/>
    </xf>
    <xf numFmtId="0" fontId="14" fillId="0" borderId="0" applyAlignment="1" applyProtection="1" pivotButton="0" quotePrefix="0" xfId="0">
      <alignment horizontal="center"/>
      <protection locked="0" hidden="0"/>
    </xf>
    <xf numFmtId="0" fontId="14" fillId="0" borderId="2" applyAlignment="1" applyProtection="1" pivotButton="0" quotePrefix="0" xfId="0">
      <alignment horizontal="center"/>
      <protection locked="0" hidden="0"/>
    </xf>
    <xf numFmtId="40" fontId="19" fillId="4" borderId="1" applyAlignment="1" pivotButton="0" quotePrefix="0" xfId="3">
      <alignment horizontal="center"/>
    </xf>
    <xf numFmtId="40" fontId="19" fillId="4" borderId="0" applyAlignment="1" pivotButton="0" quotePrefix="0" xfId="3">
      <alignment horizontal="center"/>
    </xf>
    <xf numFmtId="0" fontId="19" fillId="4" borderId="1" applyAlignment="1" pivotButton="0" quotePrefix="0" xfId="0">
      <alignment horizontal="center"/>
    </xf>
    <xf numFmtId="0" fontId="19" fillId="4" borderId="2" applyAlignment="1" pivotButton="0" quotePrefix="0" xfId="0">
      <alignment horizontal="center"/>
    </xf>
    <xf numFmtId="40" fontId="19" fillId="4" borderId="11" applyAlignment="1" pivotButton="0" quotePrefix="0" xfId="3">
      <alignment horizontal="center"/>
    </xf>
    <xf numFmtId="0" fontId="14" fillId="0" borderId="11" applyAlignment="1" pivotButton="0" quotePrefix="0" xfId="0">
      <alignment horizontal="center"/>
    </xf>
    <xf numFmtId="40" fontId="19" fillId="4" borderId="11" pivotButton="0" quotePrefix="0" xfId="3"/>
    <xf numFmtId="38" fontId="19" fillId="4" borderId="1" pivotButton="0" quotePrefix="0" xfId="3"/>
    <xf numFmtId="38" fontId="19" fillId="4" borderId="2" pivotButton="0" quotePrefix="0" xfId="3"/>
    <xf numFmtId="0" fontId="18" fillId="0" borderId="0" pivotButton="0" quotePrefix="0" xfId="0"/>
    <xf numFmtId="0" fontId="20" fillId="5" borderId="9" applyAlignment="1" pivotButton="0" quotePrefix="0" xfId="0">
      <alignment horizontal="center"/>
    </xf>
    <xf numFmtId="0" fontId="21" fillId="5" borderId="9" applyAlignment="1" pivotButton="0" quotePrefix="0" xfId="0">
      <alignment horizontal="center"/>
    </xf>
    <xf numFmtId="0" fontId="23" fillId="5" borderId="9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165" fontId="26" fillId="0" borderId="0" applyAlignment="1" pivotButton="0" quotePrefix="0" xfId="0">
      <alignment horizontal="center"/>
    </xf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6"/>
    <xf numFmtId="0" fontId="0" fillId="0" borderId="12" pivotButton="0" quotePrefix="0" xfId="0"/>
    <xf numFmtId="0" fontId="0" fillId="0" borderId="11" pivotButton="0" quotePrefix="0" xfId="0"/>
    <xf numFmtId="0" fontId="0" fillId="0" borderId="13" pivotButton="0" quotePrefix="0" xfId="0"/>
    <xf numFmtId="2" fontId="9" fillId="0" borderId="0" pivotButton="0" quotePrefix="0" xfId="5"/>
    <xf numFmtId="9" fontId="0" fillId="0" borderId="0" pivotButton="0" quotePrefix="0" xfId="6"/>
    <xf numFmtId="10" fontId="17" fillId="0" borderId="6" applyProtection="1" pivotButton="0" quotePrefix="0" xfId="6">
      <protection locked="0" hidden="0"/>
    </xf>
    <xf numFmtId="10" fontId="0" fillId="0" borderId="0" pivotButton="0" quotePrefix="0" xfId="6"/>
    <xf numFmtId="166" fontId="0" fillId="0" borderId="11" pivotButton="0" quotePrefix="0" xfId="0"/>
    <xf numFmtId="166" fontId="0" fillId="0" borderId="13" pivotButton="0" quotePrefix="0" xfId="0"/>
    <xf numFmtId="0" fontId="0" fillId="0" borderId="0" applyAlignment="1" pivotButton="0" quotePrefix="0" xfId="0">
      <alignment horizontal="center"/>
    </xf>
    <xf numFmtId="0" fontId="17" fillId="0" borderId="11" applyAlignment="1" pivotButton="0" quotePrefix="0" xfId="0">
      <alignment horizontal="center"/>
    </xf>
    <xf numFmtId="0" fontId="17" fillId="0" borderId="13" applyAlignment="1" pivotButton="0" quotePrefix="0" xfId="0">
      <alignment horizontal="center"/>
    </xf>
    <xf numFmtId="0" fontId="17" fillId="0" borderId="1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17" fillId="0" borderId="3" applyAlignment="1" applyProtection="1" pivotButton="0" quotePrefix="0" xfId="0">
      <alignment horizontal="center"/>
      <protection locked="0" hidden="0"/>
    </xf>
    <xf numFmtId="0" fontId="17" fillId="0" borderId="4" applyAlignment="1" applyProtection="1" pivotButton="0" quotePrefix="0" xfId="0">
      <alignment horizontal="center"/>
      <protection locked="0" hidden="0"/>
    </xf>
    <xf numFmtId="0" fontId="0" fillId="0" borderId="1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17" applyAlignment="1" pivotButton="0" quotePrefix="0" xfId="0">
      <alignment horizontal="center" vertical="top" wrapText="1"/>
    </xf>
    <xf numFmtId="0" fontId="34" fillId="0" borderId="0" pivotButton="0" quotePrefix="0" xfId="0"/>
    <xf numFmtId="0" fontId="35" fillId="0" borderId="0" pivotButton="0" quotePrefix="0" xfId="0"/>
    <xf numFmtId="0" fontId="36" fillId="6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1" fillId="0" borderId="1" applyProtection="1" pivotButton="0" quotePrefix="0" xfId="0">
      <protection locked="0" hidden="0"/>
    </xf>
    <xf numFmtId="0" fontId="31" fillId="0" borderId="0" applyProtection="1" pivotButton="0" quotePrefix="0" xfId="0">
      <protection locked="0" hidden="0"/>
    </xf>
    <xf numFmtId="0" fontId="17" fillId="0" borderId="0" applyAlignment="1" applyProtection="1" pivotButton="0" quotePrefix="0" xfId="0">
      <alignment horizontal="left"/>
      <protection locked="0" hidden="0"/>
    </xf>
    <xf numFmtId="0" fontId="34" fillId="0" borderId="0" applyAlignment="1" pivotButton="0" quotePrefix="0" xfId="0">
      <alignment horizontal="center"/>
    </xf>
    <xf numFmtId="0" fontId="39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40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7" fillId="0" borderId="0" pivotButton="0" quotePrefix="0" xfId="0"/>
    <xf numFmtId="0" fontId="37" fillId="0" borderId="0" applyProtection="1" pivotButton="0" quotePrefix="0" xfId="0">
      <protection locked="0" hidden="0"/>
    </xf>
    <xf numFmtId="0" fontId="41" fillId="0" borderId="0" applyAlignment="1" pivotButton="0" quotePrefix="0" xfId="0">
      <alignment horizontal="center"/>
    </xf>
    <xf numFmtId="0" fontId="42" fillId="0" borderId="1" pivotButton="0" quotePrefix="0" xfId="0"/>
    <xf numFmtId="0" fontId="42" fillId="0" borderId="1" applyProtection="1" pivotButton="0" quotePrefix="0" xfId="0">
      <protection locked="0" hidden="0"/>
    </xf>
    <xf numFmtId="0" fontId="42" fillId="0" borderId="0" pivotButton="0" quotePrefix="0" xfId="0"/>
    <xf numFmtId="10" fontId="42" fillId="0" borderId="0" pivotButton="0" quotePrefix="0" xfId="6"/>
    <xf numFmtId="0" fontId="42" fillId="0" borderId="11" pivotButton="0" quotePrefix="0" xfId="0"/>
    <xf numFmtId="0" fontId="42" fillId="0" borderId="0" applyProtection="1" pivotButton="0" quotePrefix="0" xfId="0">
      <protection locked="0" hidden="0"/>
    </xf>
    <xf numFmtId="0" fontId="32" fillId="0" borderId="0" pivotButton="0" quotePrefix="0" xfId="0"/>
    <xf numFmtId="0" fontId="37" fillId="0" borderId="1" pivotButton="0" quotePrefix="0" xfId="0"/>
    <xf numFmtId="0" fontId="37" fillId="0" borderId="1" applyProtection="1" pivotButton="0" quotePrefix="0" xfId="0">
      <protection locked="0" hidden="0"/>
    </xf>
    <xf numFmtId="10" fontId="37" fillId="0" borderId="0" applyProtection="1" pivotButton="0" quotePrefix="0" xfId="6">
      <protection locked="0" hidden="0"/>
    </xf>
    <xf numFmtId="0" fontId="37" fillId="0" borderId="11" pivotButton="0" quotePrefix="0" xfId="0"/>
    <xf numFmtId="0" fontId="2" fillId="0" borderId="0" pivotButton="0" quotePrefix="0" xfId="0"/>
    <xf numFmtId="0" fontId="43" fillId="0" borderId="0" pivotButton="0" quotePrefix="0" xfId="0"/>
    <xf numFmtId="0" fontId="44" fillId="7" borderId="0" pivotButton="0" quotePrefix="0" xfId="0"/>
    <xf numFmtId="0" fontId="44" fillId="7" borderId="7" applyAlignment="1" pivotButton="0" quotePrefix="0" xfId="0">
      <alignment horizontal="center"/>
    </xf>
    <xf numFmtId="0" fontId="44" fillId="7" borderId="10" pivotButton="0" quotePrefix="0" xfId="0"/>
    <xf numFmtId="0" fontId="44" fillId="7" borderId="10" applyAlignment="1" pivotButton="0" quotePrefix="0" xfId="0">
      <alignment horizontal="center" wrapText="1"/>
    </xf>
    <xf numFmtId="0" fontId="44" fillId="7" borderId="8" applyAlignment="1" applyProtection="1" pivotButton="0" quotePrefix="0" xfId="0">
      <alignment horizontal="center"/>
      <protection locked="0" hidden="0"/>
    </xf>
    <xf numFmtId="0" fontId="44" fillId="7" borderId="10" applyAlignment="1" pivotButton="0" quotePrefix="0" xfId="0">
      <alignment horizontal="center"/>
    </xf>
    <xf numFmtId="0" fontId="44" fillId="7" borderId="8" applyAlignment="1" pivotButton="0" quotePrefix="0" xfId="0">
      <alignment horizontal="center" wrapText="1"/>
    </xf>
    <xf numFmtId="0" fontId="44" fillId="7" borderId="9" applyAlignment="1" pivotButton="0" quotePrefix="0" xfId="0">
      <alignment horizontal="center" wrapText="1"/>
    </xf>
    <xf numFmtId="0" fontId="44" fillId="7" borderId="13" applyAlignment="1" pivotButton="0" quotePrefix="0" xfId="0">
      <alignment horizontal="center" wrapText="1"/>
    </xf>
    <xf numFmtId="0" fontId="44" fillId="7" borderId="8" applyAlignment="1" pivotButton="0" quotePrefix="0" xfId="0">
      <alignment horizontal="center"/>
    </xf>
    <xf numFmtId="0" fontId="44" fillId="7" borderId="11" pivotButton="0" quotePrefix="0" xfId="0"/>
    <xf numFmtId="0" fontId="44" fillId="7" borderId="11" applyAlignment="1" pivotButton="0" quotePrefix="0" xfId="0">
      <alignment horizontal="center" wrapText="1"/>
    </xf>
    <xf numFmtId="0" fontId="44" fillId="7" borderId="11" applyAlignment="1" pivotButton="0" quotePrefix="0" xfId="0">
      <alignment horizontal="center"/>
    </xf>
    <xf numFmtId="0" fontId="44" fillId="6" borderId="0" pivotButton="0" quotePrefix="0" xfId="0"/>
    <xf numFmtId="0" fontId="45" fillId="0" borderId="0" applyProtection="1" pivotButton="0" quotePrefix="0" xfId="0">
      <protection locked="0" hidden="0"/>
    </xf>
    <xf numFmtId="0" fontId="45" fillId="0" borderId="0" pivotButton="0" quotePrefix="0" xfId="0"/>
    <xf numFmtId="0" fontId="46" fillId="0" borderId="0" pivotButton="0" quotePrefix="0" xfId="0"/>
    <xf numFmtId="0" fontId="34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11" applyAlignment="1" pivotButton="0" quotePrefix="0" xfId="0">
      <alignment horizontal="center"/>
    </xf>
    <xf numFmtId="0" fontId="12" fillId="0" borderId="13" applyAlignment="1" pivotButton="0" quotePrefix="0" xfId="0">
      <alignment horizontal="center"/>
    </xf>
    <xf numFmtId="0" fontId="12" fillId="0" borderId="13" pivotButton="0" quotePrefix="0" xfId="0"/>
    <xf numFmtId="40" fontId="12" fillId="0" borderId="1" applyAlignment="1" pivotButton="0" quotePrefix="0" xfId="3">
      <alignment horizontal="right"/>
    </xf>
    <xf numFmtId="40" fontId="12" fillId="0" borderId="9" applyAlignment="1" pivotButton="0" quotePrefix="0" xfId="3">
      <alignment horizontal="right"/>
    </xf>
    <xf numFmtId="0" fontId="33" fillId="0" borderId="0" pivotButton="0" quotePrefix="0" xfId="2"/>
    <xf numFmtId="38" fontId="12" fillId="0" borderId="11" applyAlignment="1" pivotButton="0" quotePrefix="0" xfId="3">
      <alignment horizontal="center"/>
    </xf>
    <xf numFmtId="2" fontId="12" fillId="0" borderId="1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0" fillId="7" borderId="0" pivotButton="0" quotePrefix="0" xfId="0"/>
    <xf numFmtId="0" fontId="5" fillId="7" borderId="0" applyAlignment="1" pivotButton="0" quotePrefix="0" xfId="0">
      <alignment horizontal="center"/>
    </xf>
    <xf numFmtId="0" fontId="47" fillId="0" borderId="2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/>
    </xf>
    <xf numFmtId="0" fontId="47" fillId="0" borderId="24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48" fillId="0" borderId="0" pivotButton="0" quotePrefix="0" xfId="0"/>
    <xf numFmtId="0" fontId="12" fillId="0" borderId="26" applyAlignment="1" pivotButton="0" quotePrefix="0" xfId="0">
      <alignment horizontal="center"/>
    </xf>
    <xf numFmtId="0" fontId="12" fillId="0" borderId="27" applyAlignment="1" pivotButton="0" quotePrefix="0" xfId="0">
      <alignment horizontal="center"/>
    </xf>
    <xf numFmtId="0" fontId="49" fillId="7" borderId="9" applyAlignment="1" pivotButton="0" quotePrefix="0" xfId="0">
      <alignment horizontal="center" vertical="center" wrapText="1"/>
    </xf>
    <xf numFmtId="0" fontId="49" fillId="7" borderId="10" applyAlignment="1" pivotButton="0" quotePrefix="0" xfId="0">
      <alignment horizontal="center" vertical="center" wrapText="1"/>
    </xf>
    <xf numFmtId="0" fontId="50" fillId="7" borderId="9" applyAlignment="1" pivotButton="0" quotePrefix="0" xfId="0">
      <alignment horizontal="center" vertical="center" wrapText="1"/>
    </xf>
    <xf numFmtId="0" fontId="49" fillId="7" borderId="7" applyAlignment="1" pivotButton="0" quotePrefix="0" xfId="0">
      <alignment horizontal="center" vertical="center" wrapText="1"/>
    </xf>
    <xf numFmtId="0" fontId="49" fillId="7" borderId="8" applyAlignment="1" pivotButton="0" quotePrefix="0" xfId="0">
      <alignment horizontal="center" vertical="center" wrapText="1"/>
    </xf>
    <xf numFmtId="0" fontId="49" fillId="7" borderId="9" applyAlignment="1" pivotButton="0" quotePrefix="0" xfId="0">
      <alignment horizontal="center" vertical="center"/>
    </xf>
    <xf numFmtId="0" fontId="48" fillId="0" borderId="0" applyAlignment="1" pivotButton="0" quotePrefix="0" xfId="0">
      <alignment horizontal="left" vertical="center"/>
    </xf>
    <xf numFmtId="0" fontId="51" fillId="0" borderId="0" pivotButton="0" quotePrefix="0" xfId="0"/>
    <xf numFmtId="0" fontId="52" fillId="0" borderId="0" pivotButton="0" quotePrefix="0" xfId="0"/>
    <xf numFmtId="14" fontId="53" fillId="0" borderId="0" applyAlignment="1" pivotButton="0" quotePrefix="0" xfId="0">
      <alignment horizontal="left" vertical="center"/>
    </xf>
    <xf numFmtId="0" fontId="53" fillId="0" borderId="0" pivotButton="0" quotePrefix="0" xfId="0"/>
    <xf numFmtId="0" fontId="47" fillId="8" borderId="24" applyAlignment="1" pivotButton="0" quotePrefix="0" xfId="0">
      <alignment horizontal="center" vertical="center"/>
    </xf>
    <xf numFmtId="38" fontId="47" fillId="8" borderId="24" applyAlignment="1" pivotButton="0" quotePrefix="0" xfId="0">
      <alignment horizontal="center" vertical="center"/>
    </xf>
    <xf numFmtId="0" fontId="34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left" vertical="center"/>
    </xf>
    <xf numFmtId="14" fontId="57" fillId="0" borderId="0" applyAlignment="1" pivotButton="0" quotePrefix="0" xfId="0">
      <alignment horizontal="left" vertical="center"/>
    </xf>
    <xf numFmtId="0" fontId="44" fillId="7" borderId="3" applyAlignment="1" pivotButton="0" quotePrefix="0" xfId="0">
      <alignment horizontal="center"/>
    </xf>
    <xf numFmtId="0" fontId="44" fillId="7" borderId="4" applyAlignment="1" pivotButton="0" quotePrefix="0" xfId="0">
      <alignment horizontal="center"/>
    </xf>
    <xf numFmtId="0" fontId="22" fillId="0" borderId="0" pivotButton="0" quotePrefix="0" xfId="0"/>
    <xf numFmtId="0" fontId="12" fillId="0" borderId="7" pivotButton="0" quotePrefix="0" xfId="0"/>
    <xf numFmtId="0" fontId="12" fillId="0" borderId="10" pivotButton="0" quotePrefix="0" xfId="0"/>
    <xf numFmtId="0" fontId="12" fillId="0" borderId="8" pivotButton="0" quotePrefix="0" xfId="0"/>
    <xf numFmtId="40" fontId="19" fillId="4" borderId="2" applyAlignment="1" pivotButton="0" quotePrefix="0" xfId="3">
      <alignment vertical="center"/>
    </xf>
    <xf numFmtId="0" fontId="33" fillId="0" borderId="0" applyAlignment="1" pivotButton="0" quotePrefix="0" xfId="2">
      <alignment horizontal="left"/>
    </xf>
    <xf numFmtId="0" fontId="54" fillId="0" borderId="0" applyAlignment="1" pivotButton="0" quotePrefix="0" xfId="0">
      <alignment horizontal="right" vertical="center"/>
    </xf>
    <xf numFmtId="0" fontId="53" fillId="0" borderId="0" applyAlignment="1" pivotButton="0" quotePrefix="0" xfId="0">
      <alignment horizontal="left" vertical="center"/>
    </xf>
    <xf numFmtId="0" fontId="59" fillId="0" borderId="0" pivotButton="0" quotePrefix="0" xfId="0"/>
    <xf numFmtId="0" fontId="60" fillId="0" borderId="0" applyAlignment="1" pivotButton="0" quotePrefix="0" xfId="0">
      <alignment horizontal="left"/>
    </xf>
    <xf numFmtId="0" fontId="61" fillId="0" borderId="0" applyAlignment="1" pivotButton="0" quotePrefix="0" xfId="0">
      <alignment horizontal="left"/>
    </xf>
    <xf numFmtId="0" fontId="46" fillId="0" borderId="0" applyProtection="1" pivotButton="0" quotePrefix="0" xfId="0">
      <protection locked="0" hidden="0"/>
    </xf>
    <xf numFmtId="0" fontId="62" fillId="0" borderId="1" applyProtection="1" pivotButton="0" quotePrefix="0" xfId="0">
      <protection locked="0" hidden="0"/>
    </xf>
    <xf numFmtId="0" fontId="62" fillId="0" borderId="0" pivotButton="0" quotePrefix="0" xfId="0"/>
    <xf numFmtId="10" fontId="62" fillId="0" borderId="0" pivotButton="0" quotePrefix="0" xfId="6"/>
    <xf numFmtId="10" fontId="62" fillId="0" borderId="0" pivotButton="0" quotePrefix="0" xfId="6"/>
    <xf numFmtId="0" fontId="62" fillId="0" borderId="0" applyProtection="1" pivotButton="0" quotePrefix="0" xfId="0">
      <protection locked="0" hidden="0"/>
    </xf>
    <xf numFmtId="10" fontId="62" fillId="0" borderId="0" applyProtection="1" pivotButton="0" quotePrefix="0" xfId="6">
      <protection locked="0" hidden="0"/>
    </xf>
    <xf numFmtId="0" fontId="38" fillId="0" borderId="1" applyProtection="1" pivotButton="0" quotePrefix="0" xfId="0">
      <protection locked="0" hidden="0"/>
    </xf>
    <xf numFmtId="0" fontId="38" fillId="0" borderId="0" pivotButton="0" quotePrefix="0" xfId="0"/>
    <xf numFmtId="10" fontId="38" fillId="0" borderId="0" pivotButton="0" quotePrefix="0" xfId="6"/>
    <xf numFmtId="10" fontId="38" fillId="0" borderId="0" pivotButton="0" quotePrefix="0" xfId="6"/>
    <xf numFmtId="10" fontId="38" fillId="0" borderId="0" applyProtection="1" pivotButton="0" quotePrefix="0" xfId="6">
      <protection locked="0" hidden="0"/>
    </xf>
    <xf numFmtId="0" fontId="38" fillId="0" borderId="0" applyProtection="1" pivotButton="0" quotePrefix="0" xfId="0">
      <protection locked="0" hidden="0"/>
    </xf>
    <xf numFmtId="0" fontId="5" fillId="0" borderId="9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/>
    </xf>
    <xf numFmtId="0" fontId="17" fillId="0" borderId="13" applyAlignment="1" pivotButton="0" quotePrefix="0" xfId="0">
      <alignment horizontal="center" vertical="center"/>
    </xf>
    <xf numFmtId="0" fontId="64" fillId="0" borderId="11" applyAlignment="1" pivotButton="0" quotePrefix="0" xfId="0">
      <alignment horizontal="center" vertical="center"/>
    </xf>
    <xf numFmtId="166" fontId="64" fillId="0" borderId="11" pivotButton="0" quotePrefix="0" xfId="0"/>
    <xf numFmtId="0" fontId="64" fillId="0" borderId="1" applyAlignment="1" applyProtection="1" pivotButton="0" quotePrefix="0" xfId="0">
      <alignment horizontal="center"/>
      <protection locked="0" hidden="0"/>
    </xf>
    <xf numFmtId="0" fontId="64" fillId="0" borderId="2" applyAlignment="1" applyProtection="1" pivotButton="0" quotePrefix="0" xfId="0">
      <alignment horizontal="center"/>
      <protection locked="0" hidden="0"/>
    </xf>
    <xf numFmtId="0" fontId="64" fillId="0" borderId="11" applyAlignment="1" pivotButton="0" quotePrefix="0" xfId="0">
      <alignment horizontal="center"/>
    </xf>
    <xf numFmtId="0" fontId="64" fillId="0" borderId="0" pivotButton="0" quotePrefix="0" xfId="0"/>
    <xf numFmtId="0" fontId="65" fillId="0" borderId="14" applyAlignment="1" pivotButton="0" quotePrefix="0" xfId="0">
      <alignment horizontal="center"/>
    </xf>
    <xf numFmtId="0" fontId="65" fillId="0" borderId="5" applyAlignment="1" pivotButton="0" quotePrefix="0" xfId="0">
      <alignment horizontal="center"/>
    </xf>
    <xf numFmtId="166" fontId="64" fillId="0" borderId="12" pivotButton="0" quotePrefix="0" xfId="0"/>
    <xf numFmtId="0" fontId="64" fillId="0" borderId="14" applyAlignment="1" pivotButton="0" quotePrefix="0" xfId="0">
      <alignment horizontal="center"/>
    </xf>
    <xf numFmtId="0" fontId="64" fillId="0" borderId="5" applyAlignment="1" pivotButton="0" quotePrefix="0" xfId="0">
      <alignment horizontal="center"/>
    </xf>
    <xf numFmtId="0" fontId="64" fillId="7" borderId="0" pivotButton="0" quotePrefix="0" xfId="0"/>
    <xf numFmtId="0" fontId="65" fillId="0" borderId="1" applyAlignment="1" pivotButton="0" quotePrefix="0" xfId="0">
      <alignment horizontal="center"/>
    </xf>
    <xf numFmtId="0" fontId="65" fillId="0" borderId="2" applyAlignment="1" pivotButton="0" quotePrefix="0" xfId="0">
      <alignment horizontal="center"/>
    </xf>
    <xf numFmtId="0" fontId="64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33" pivotButton="0" quotePrefix="0" xfId="0"/>
    <xf numFmtId="0" fontId="68" fillId="0" borderId="24" pivotButton="0" quotePrefix="0" xfId="0"/>
    <xf numFmtId="0" fontId="67" fillId="10" borderId="0" pivotButton="0" quotePrefix="0" xfId="0"/>
    <xf numFmtId="0" fontId="54" fillId="0" borderId="0" applyAlignment="1" pivotButton="0" quotePrefix="0" xfId="0">
      <alignment vertical="center"/>
    </xf>
    <xf numFmtId="0" fontId="53" fillId="0" borderId="0" applyAlignment="1" pivotButton="0" quotePrefix="0" xfId="0">
      <alignment horizontal="right" vertical="center"/>
    </xf>
    <xf numFmtId="14" fontId="53" fillId="0" borderId="0" pivotButton="0" quotePrefix="0" xfId="0"/>
    <xf numFmtId="0" fontId="54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66" fillId="9" borderId="34" applyAlignment="1" pivotButton="0" quotePrefix="0" xfId="7">
      <alignment vertical="center"/>
    </xf>
    <xf numFmtId="0" fontId="66" fillId="9" borderId="34" pivotButton="0" quotePrefix="0" xfId="7"/>
    <xf numFmtId="0" fontId="69" fillId="0" borderId="0" pivotButton="0" quotePrefix="0" xfId="0"/>
    <xf numFmtId="0" fontId="69" fillId="0" borderId="28" pivotButton="0" quotePrefix="0" xfId="0"/>
    <xf numFmtId="0" fontId="74" fillId="0" borderId="28" applyAlignment="1" pivotButton="0" quotePrefix="0" xfId="0">
      <alignment vertical="center"/>
    </xf>
    <xf numFmtId="0" fontId="71" fillId="0" borderId="28" pivotButton="0" quotePrefix="0" xfId="0"/>
    <xf numFmtId="0" fontId="71" fillId="0" borderId="28" applyAlignment="1" pivotButton="0" quotePrefix="0" xfId="0">
      <alignment horizontal="left"/>
    </xf>
    <xf numFmtId="0" fontId="74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70" fillId="0" borderId="0" applyAlignment="1" pivotButton="0" quotePrefix="0" xfId="0">
      <alignment horizontal="left" vertical="center"/>
    </xf>
    <xf numFmtId="0" fontId="73" fillId="0" borderId="0" pivotButton="0" quotePrefix="0" xfId="0"/>
    <xf numFmtId="0" fontId="73" fillId="11" borderId="0" pivotButton="0" quotePrefix="0" xfId="0"/>
    <xf numFmtId="167" fontId="73" fillId="11" borderId="0" applyAlignment="1" pivotButton="0" quotePrefix="0" xfId="0">
      <alignment vertical="center"/>
    </xf>
    <xf numFmtId="0" fontId="70" fillId="0" borderId="0" applyAlignment="1" pivotButton="0" quotePrefix="0" xfId="0">
      <alignment horizontal="right" vertical="center"/>
    </xf>
    <xf numFmtId="167" fontId="70" fillId="0" borderId="0" pivotButton="0" quotePrefix="0" xfId="0"/>
    <xf numFmtId="0" fontId="75" fillId="0" borderId="0" pivotButton="0" quotePrefix="0" xfId="0"/>
    <xf numFmtId="0" fontId="76" fillId="0" borderId="0" pivotButton="0" quotePrefix="0" xfId="0"/>
    <xf numFmtId="0" fontId="75" fillId="0" borderId="0" applyAlignment="1" pivotButton="0" quotePrefix="0" xfId="0">
      <alignment horizontal="left" vertical="center"/>
    </xf>
    <xf numFmtId="0" fontId="75" fillId="0" borderId="0" applyAlignment="1" pivotButton="0" quotePrefix="0" xfId="0">
      <alignment horizontal="left"/>
    </xf>
    <xf numFmtId="40" fontId="75" fillId="0" borderId="0" applyAlignment="1" pivotButton="0" quotePrefix="0" xfId="0">
      <alignment horizontal="left" vertical="center"/>
    </xf>
    <xf numFmtId="38" fontId="75" fillId="0" borderId="0" applyAlignment="1" pivotButton="0" quotePrefix="0" xfId="0">
      <alignment horizontal="left" vertical="center"/>
    </xf>
    <xf numFmtId="2" fontId="75" fillId="0" borderId="0" applyAlignment="1" pivotButton="0" quotePrefix="0" xfId="0">
      <alignment horizontal="left" vertical="center"/>
    </xf>
    <xf numFmtId="0" fontId="76" fillId="0" borderId="0" applyAlignment="1" pivotButton="0" quotePrefix="0" xfId="0">
      <alignment horizontal="left"/>
    </xf>
    <xf numFmtId="0" fontId="76" fillId="0" borderId="0" applyAlignment="1" pivotButton="0" quotePrefix="0" xfId="0">
      <alignment vertical="center"/>
    </xf>
    <xf numFmtId="0" fontId="79" fillId="0" borderId="0" pivotButton="0" quotePrefix="0" xfId="0"/>
    <xf numFmtId="0" fontId="80" fillId="0" borderId="0" pivotButton="0" quotePrefix="0" xfId="0"/>
    <xf numFmtId="0" fontId="76" fillId="0" borderId="0" applyAlignment="1" pivotButton="0" quotePrefix="0" xfId="0">
      <alignment horizontal="left" vertical="center"/>
    </xf>
    <xf numFmtId="0" fontId="81" fillId="0" borderId="0" pivotButton="0" quotePrefix="0" xfId="0"/>
    <xf numFmtId="0" fontId="82" fillId="0" borderId="0" pivotButton="0" quotePrefix="0" xfId="0"/>
    <xf numFmtId="0" fontId="82" fillId="0" borderId="32" pivotButton="0" quotePrefix="0" xfId="0"/>
    <xf numFmtId="0" fontId="83" fillId="0" borderId="0" pivotButton="0" quotePrefix="0" xfId="0"/>
    <xf numFmtId="0" fontId="84" fillId="0" borderId="0" pivotButton="0" quotePrefix="0" xfId="0"/>
    <xf numFmtId="0" fontId="85" fillId="11" borderId="0" applyAlignment="1" pivotButton="0" quotePrefix="0" xfId="0">
      <alignment vertical="center"/>
    </xf>
    <xf numFmtId="0" fontId="86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0" fillId="0" borderId="11" applyAlignment="1" pivotButton="0" quotePrefix="0" xfId="0">
      <alignment horizontal="center" vertical="center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2" applyAlignment="1" applyProtection="1" pivotButton="0" quotePrefix="0" xfId="0">
      <alignment horizontal="center"/>
      <protection locked="0" hidden="0"/>
    </xf>
    <xf numFmtId="0" fontId="87" fillId="0" borderId="1" applyAlignment="1" pivotButton="0" quotePrefix="0" xfId="0">
      <alignment horizontal="center"/>
    </xf>
    <xf numFmtId="0" fontId="87" fillId="0" borderId="2" applyAlignment="1" pivotButton="0" quotePrefix="0" xfId="0">
      <alignment horizontal="center"/>
    </xf>
    <xf numFmtId="0" fontId="75" fillId="12" borderId="0" applyAlignment="1" pivotButton="0" quotePrefix="0" xfId="0">
      <alignment horizontal="left" vertical="center"/>
    </xf>
    <xf numFmtId="0" fontId="76" fillId="12" borderId="0" applyAlignment="1" pivotButton="0" quotePrefix="0" xfId="0">
      <alignment horizontal="left"/>
    </xf>
    <xf numFmtId="40" fontId="75" fillId="12" borderId="0" applyAlignment="1" pivotButton="0" quotePrefix="0" xfId="0">
      <alignment horizontal="left" vertical="center"/>
    </xf>
    <xf numFmtId="38" fontId="75" fillId="12" borderId="0" applyAlignment="1" pivotButton="0" quotePrefix="0" xfId="0">
      <alignment horizontal="left" vertical="center"/>
    </xf>
    <xf numFmtId="2" fontId="75" fillId="12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center"/>
    </xf>
    <xf numFmtId="0" fontId="22" fillId="5" borderId="7" applyAlignment="1" pivotButton="0" quotePrefix="0" xfId="0">
      <alignment horizontal="center"/>
    </xf>
    <xf numFmtId="0" fontId="22" fillId="5" borderId="10" applyAlignment="1" pivotButton="0" quotePrefix="0" xfId="0">
      <alignment horizontal="center"/>
    </xf>
    <xf numFmtId="0" fontId="22" fillId="5" borderId="8" applyAlignment="1" pivotButton="0" quotePrefix="0" xfId="0">
      <alignment horizontal="center"/>
    </xf>
    <xf numFmtId="0" fontId="19" fillId="0" borderId="7" applyAlignment="1" pivotButton="0" quotePrefix="0" xfId="0">
      <alignment horizontal="center"/>
    </xf>
    <xf numFmtId="0" fontId="19" fillId="0" borderId="8" applyAlignment="1" pivotButton="0" quotePrefix="0" xfId="0">
      <alignment horizontal="center"/>
    </xf>
    <xf numFmtId="0" fontId="21" fillId="5" borderId="7" applyAlignment="1" pivotButton="0" quotePrefix="0" xfId="0">
      <alignment horizontal="center"/>
    </xf>
    <xf numFmtId="0" fontId="21" fillId="5" borderId="10" applyAlignment="1" pivotButton="0" quotePrefix="0" xfId="0">
      <alignment horizontal="center"/>
    </xf>
    <xf numFmtId="0" fontId="21" fillId="5" borderId="8" applyAlignment="1" pivotButton="0" quotePrefix="0" xfId="0">
      <alignment horizontal="center"/>
    </xf>
    <xf numFmtId="0" fontId="32" fillId="0" borderId="0" applyAlignment="1" pivotButton="0" quotePrefix="0" xfId="0">
      <alignment horizontal="center"/>
    </xf>
    <xf numFmtId="40" fontId="12" fillId="0" borderId="7" applyAlignment="1" pivotButton="0" quotePrefix="0" xfId="3">
      <alignment horizontal="center"/>
    </xf>
    <xf numFmtId="40" fontId="12" fillId="0" borderId="10" applyAlignment="1" pivotButton="0" quotePrefix="0" xfId="3">
      <alignment horizontal="center"/>
    </xf>
    <xf numFmtId="40" fontId="12" fillId="0" borderId="8" applyAlignment="1" pivotButton="0" quotePrefix="0" xfId="3">
      <alignment horizontal="center"/>
    </xf>
    <xf numFmtId="0" fontId="19" fillId="0" borderId="10" applyAlignment="1" pivotButton="0" quotePrefix="0" xfId="0">
      <alignment horizontal="center"/>
    </xf>
    <xf numFmtId="0" fontId="54" fillId="0" borderId="0" applyAlignment="1" pivotButton="0" quotePrefix="0" xfId="0">
      <alignment horizontal="left" vertical="center"/>
    </xf>
    <xf numFmtId="0" fontId="48" fillId="0" borderId="21" applyAlignment="1" pivotButton="0" quotePrefix="0" xfId="0">
      <alignment horizontal="center" vertical="center"/>
    </xf>
    <xf numFmtId="0" fontId="48" fillId="0" borderId="22" applyAlignment="1" pivotButton="0" quotePrefix="0" xfId="0">
      <alignment horizontal="center" vertical="center"/>
    </xf>
    <xf numFmtId="0" fontId="48" fillId="0" borderId="21" applyAlignment="1" pivotButton="0" quotePrefix="0" xfId="0">
      <alignment horizontal="center" vertical="center" wrapText="1"/>
    </xf>
    <xf numFmtId="0" fontId="48" fillId="0" borderId="22" applyAlignment="1" pivotButton="0" quotePrefix="0" xfId="0">
      <alignment horizontal="center" vertical="center" wrapText="1"/>
    </xf>
    <xf numFmtId="167" fontId="86" fillId="0" borderId="0" applyAlignment="1" pivotButton="0" quotePrefix="0" xfId="0">
      <alignment horizontal="right" vertical="center"/>
    </xf>
    <xf numFmtId="0" fontId="77" fillId="11" borderId="0" applyAlignment="1" pivotButton="0" quotePrefix="0" xfId="0">
      <alignment horizontal="left" vertical="center"/>
    </xf>
    <xf numFmtId="167" fontId="85" fillId="11" borderId="0" applyAlignment="1" pivotButton="0" quotePrefix="0" xfId="0">
      <alignment horizontal="right" vertical="center"/>
    </xf>
    <xf numFmtId="0" fontId="75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horizontal="left" vertical="center"/>
    </xf>
    <xf numFmtId="0" fontId="73" fillId="0" borderId="0" applyAlignment="1" pivotButton="0" quotePrefix="0" xfId="0">
      <alignment horizontal="left" vertical="center"/>
    </xf>
    <xf numFmtId="0" fontId="78" fillId="0" borderId="0" applyAlignment="1" pivotButton="0" quotePrefix="0" xfId="0">
      <alignment horizontal="center" vertical="center"/>
    </xf>
    <xf numFmtId="14" fontId="79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27" fillId="5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8" fillId="0" borderId="0" applyAlignment="1" pivotButton="0" quotePrefix="0" xfId="5">
      <alignment horizontal="center"/>
    </xf>
    <xf numFmtId="0" fontId="0" fillId="0" borderId="10" pivotButton="0" quotePrefix="0" xfId="0"/>
    <xf numFmtId="0" fontId="0" fillId="0" borderId="8" pivotButton="0" quotePrefix="0" xfId="0"/>
    <xf numFmtId="0" fontId="22" fillId="5" borderId="9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10" fontId="14" fillId="0" borderId="0" applyAlignment="1" pivotButton="0" quotePrefix="0" xfId="6">
      <alignment horizontal="center"/>
    </xf>
    <xf numFmtId="0" fontId="14" fillId="0" borderId="2" applyAlignment="1" pivotButton="0" quotePrefix="0" xfId="0">
      <alignment horizontal="center"/>
    </xf>
    <xf numFmtId="38" fontId="16" fillId="4" borderId="0" applyAlignment="1" pivotButton="0" quotePrefix="0" xfId="6">
      <alignment horizontal="center"/>
    </xf>
    <xf numFmtId="0" fontId="14" fillId="0" borderId="0" applyAlignment="1" pivotButton="0" quotePrefix="0" xfId="0">
      <alignment horizontal="center"/>
    </xf>
    <xf numFmtId="40" fontId="19" fillId="4" borderId="11" applyAlignment="1" pivotButton="0" quotePrefix="0" xfId="0">
      <alignment horizontal="center"/>
    </xf>
    <xf numFmtId="38" fontId="19" fillId="4" borderId="1" pivotButton="0" quotePrefix="0" xfId="0"/>
    <xf numFmtId="38" fontId="19" fillId="4" borderId="2" pivotButton="0" quotePrefix="0" xfId="0"/>
    <xf numFmtId="40" fontId="19" fillId="4" borderId="11" pivotButton="0" quotePrefix="0" xfId="0"/>
    <xf numFmtId="0" fontId="12" fillId="0" borderId="11" applyAlignment="1" pivotButton="0" quotePrefix="0" xfId="3">
      <alignment horizontal="center"/>
    </xf>
    <xf numFmtId="40" fontId="12" fillId="0" borderId="1" applyAlignment="1" pivotButton="0" quotePrefix="0" xfId="0">
      <alignment horizontal="right"/>
    </xf>
    <xf numFmtId="38" fontId="12" fillId="0" borderId="11" applyAlignment="1" pivotButton="0" quotePrefix="0" xfId="0">
      <alignment horizontal="center"/>
    </xf>
    <xf numFmtId="2" fontId="12" fillId="0" borderId="11" applyAlignment="1" pivotButton="0" quotePrefix="0" xfId="3">
      <alignment horizontal="center"/>
    </xf>
    <xf numFmtId="10" fontId="14" fillId="0" borderId="0" applyAlignment="1" pivotButton="0" quotePrefix="0" xfId="0">
      <alignment horizontal="center"/>
    </xf>
    <xf numFmtId="38" fontId="16" fillId="4" borderId="0" applyAlignment="1" pivotButton="0" quotePrefix="0" xfId="0">
      <alignment horizontal="center"/>
    </xf>
    <xf numFmtId="40" fontId="19" fillId="4" borderId="1" applyAlignment="1" pivotButton="0" quotePrefix="0" xfId="0">
      <alignment horizontal="center"/>
    </xf>
    <xf numFmtId="40" fontId="19" fillId="4" borderId="0" applyAlignment="1" pivotButton="0" quotePrefix="0" xfId="0">
      <alignment horizontal="center"/>
    </xf>
    <xf numFmtId="40" fontId="19" fillId="4" borderId="2" applyAlignment="1" pivotButton="0" quotePrefix="0" xfId="0">
      <alignment vertical="center"/>
    </xf>
    <xf numFmtId="0" fontId="88" fillId="0" borderId="0" pivotButton="0" quotePrefix="0" xfId="0"/>
    <xf numFmtId="0" fontId="5" fillId="0" borderId="36" applyAlignment="1" pivotButton="0" quotePrefix="0" xfId="0">
      <alignment horizontal="center"/>
    </xf>
    <xf numFmtId="0" fontId="0" fillId="0" borderId="19" pivotButton="0" quotePrefix="0" xfId="0"/>
    <xf numFmtId="0" fontId="5" fillId="0" borderId="12" applyAlignment="1" pivotButton="0" quotePrefix="0" xfId="0">
      <alignment horizontal="center"/>
    </xf>
    <xf numFmtId="0" fontId="0" fillId="0" borderId="20" pivotButton="0" quotePrefix="0" xfId="0"/>
  </cellXfs>
  <cellStyles count="8">
    <cellStyle name="Normal" xfId="0" builtinId="0"/>
    <cellStyle name="Euro" xfId="1"/>
    <cellStyle name="Hipervínculo" xfId="2" builtinId="8"/>
    <cellStyle name="Millares" xfId="3" builtinId="3"/>
    <cellStyle name="Millares_Confeccion" xfId="4"/>
    <cellStyle name="Normal_Confeccion" xfId="5"/>
    <cellStyle name="Porcentaje" xfId="6" builtinId="5"/>
    <cellStyle name="Cálculo" xfId="7" builtinId="2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3:B14"/>
  <sheetViews>
    <sheetView workbookViewId="0">
      <selection activeCell="B14" sqref="B14"/>
    </sheetView>
  </sheetViews>
  <sheetFormatPr baseColWidth="10" defaultRowHeight="12.75"/>
  <cols>
    <col width="26.42578125" bestFit="1" customWidth="1" min="1" max="1"/>
    <col width="103.140625" customWidth="1" min="2" max="2"/>
  </cols>
  <sheetData>
    <row r="3" ht="15.75" customHeight="1">
      <c r="A3" s="193" t="inlineStr">
        <is>
          <t xml:space="preserve">PRESUPUESO Nº: </t>
        </is>
      </c>
      <c r="B3" s="194" t="n">
        <v>110125</v>
      </c>
    </row>
    <row r="4" ht="15.75" customHeight="1">
      <c r="A4" s="193" t="inlineStr">
        <is>
          <t xml:space="preserve">CLIENTE: </t>
        </is>
      </c>
      <c r="B4" s="195" t="inlineStr">
        <is>
          <t>CLIENTE</t>
        </is>
      </c>
    </row>
    <row r="5" ht="15.75" customHeight="1">
      <c r="A5" s="193" t="inlineStr">
        <is>
          <t xml:space="preserve">FECHA: </t>
        </is>
      </c>
      <c r="B5" s="178">
        <f>TODAY()</f>
        <v/>
      </c>
    </row>
    <row r="6" ht="15.75" customHeight="1">
      <c r="A6" s="193" t="inlineStr">
        <is>
          <t xml:space="preserve">COMERCIAL: </t>
        </is>
      </c>
      <c r="B6" s="194" t="inlineStr">
        <is>
          <t>MARIO</t>
        </is>
      </c>
    </row>
    <row r="7" ht="15.75" customHeight="1">
      <c r="A7" s="193" t="inlineStr">
        <is>
          <t xml:space="preserve">REFERNCIA: </t>
        </is>
      </c>
      <c r="B7" s="194" t="n"/>
    </row>
    <row r="8" ht="18.75" customHeight="1">
      <c r="A8" s="288" t="inlineStr">
        <is>
          <t>DATOS FISCALES</t>
        </is>
      </c>
    </row>
    <row r="9" ht="15.75" customHeight="1">
      <c r="A9" s="193" t="inlineStr">
        <is>
          <t xml:space="preserve">SOCIEDAD: </t>
        </is>
      </c>
      <c r="B9" s="195" t="inlineStr">
        <is>
          <t>CLIENTE</t>
        </is>
      </c>
    </row>
    <row r="10" ht="15.75" customHeight="1">
      <c r="A10" s="193" t="inlineStr">
        <is>
          <t xml:space="preserve">NIF: </t>
        </is>
      </c>
      <c r="B10" s="194" t="n"/>
    </row>
    <row r="11" ht="15.75" customHeight="1">
      <c r="A11" s="193" t="inlineStr">
        <is>
          <t xml:space="preserve">DIRECCION: </t>
        </is>
      </c>
      <c r="B11" s="194" t="n"/>
    </row>
    <row r="12" ht="15.75" customHeight="1">
      <c r="A12" s="193" t="inlineStr">
        <is>
          <t xml:space="preserve">CORREO: </t>
        </is>
      </c>
      <c r="B12" s="154" t="n"/>
    </row>
    <row r="13" ht="15.75" customHeight="1">
      <c r="A13" s="193" t="inlineStr">
        <is>
          <t xml:space="preserve">PERSONA DE CONTACTO: </t>
        </is>
      </c>
      <c r="B13" s="194" t="n"/>
    </row>
    <row r="14" ht="15.75" customHeight="1">
      <c r="A14" s="193" t="inlineStr">
        <is>
          <t xml:space="preserve">TELEFONO: </t>
        </is>
      </c>
      <c r="B14" s="194" t="n"/>
    </row>
  </sheetData>
  <mergeCells count="1">
    <mergeCell ref="A8:B8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 codeName="Hoja12">
    <tabColor rgb="FF00B050"/>
    <outlinePr summaryBelow="1" summaryRight="1"/>
    <pageSetUpPr fitToPage="1"/>
  </sheetPr>
  <dimension ref="A1:BA51"/>
  <sheetViews>
    <sheetView showGridLines="0" tabSelected="1" topLeftCell="AF1" zoomScaleNormal="100" workbookViewId="0">
      <selection activeCell="AI23" sqref="AI23"/>
    </sheetView>
  </sheetViews>
  <sheetFormatPr baseColWidth="10" defaultRowHeight="15"/>
  <cols>
    <col width="13.42578125" customWidth="1" style="14" min="1" max="1"/>
    <col width="12.140625" bestFit="1" customWidth="1" style="14" min="2" max="2"/>
    <col width="21.5703125" customWidth="1" style="14" min="3" max="3"/>
    <col width="7.140625" bestFit="1" customWidth="1" style="14" min="4" max="4"/>
    <col width="8.28515625" customWidth="1" style="14" min="5" max="5"/>
    <col width="8.7109375" bestFit="1" customWidth="1" style="14" min="6" max="6"/>
    <col width="12.28515625" customWidth="1" style="14" min="7" max="7"/>
    <col width="6.85546875" bestFit="1" customWidth="1" style="14" min="8" max="8"/>
    <col width="11.42578125" customWidth="1" style="14" min="9" max="9"/>
    <col width="13.28515625" bestFit="1" customWidth="1" style="14" min="10" max="10"/>
    <col width="13" customWidth="1" style="14" min="11" max="11"/>
    <col width="11" customWidth="1" style="14" min="12" max="18"/>
    <col width="13.28515625" bestFit="1" customWidth="1" style="14" min="19" max="19"/>
    <col width="13.85546875" customWidth="1" style="14" min="20" max="20"/>
    <col width="13.42578125" customWidth="1" style="14" min="21" max="21"/>
    <col width="20.5703125" bestFit="1" customWidth="1" style="14" min="22" max="22"/>
    <col width="11.42578125" customWidth="1" style="14" min="23" max="23"/>
    <col width="12.85546875" customWidth="1" style="14" min="24" max="24"/>
    <col width="20.5703125" bestFit="1" customWidth="1" style="14" min="25" max="25"/>
    <col width="11.42578125" customWidth="1" style="14" min="26" max="27"/>
    <col width="16.5703125" customWidth="1" style="14" min="28" max="28"/>
    <col width="15.42578125" customWidth="1" style="14" min="29" max="29"/>
    <col width="15.42578125" bestFit="1" customWidth="1" style="14" min="30" max="30"/>
    <col width="15" bestFit="1" customWidth="1" style="14" min="31" max="31"/>
    <col width="15.42578125" customWidth="1" style="14" min="32" max="40"/>
    <col width="2.5703125" customWidth="1" style="16" min="41" max="41"/>
    <col width="13" customWidth="1" style="14" min="42" max="42"/>
    <col width="15.7109375" customWidth="1" style="14" min="43" max="43"/>
    <col width="19" customWidth="1" style="14" min="44" max="44"/>
    <col width="17.7109375" customWidth="1" style="14" min="45" max="45"/>
    <col width="29.85546875" customWidth="1" style="14" min="46" max="46"/>
    <col width="21.140625" customWidth="1" style="14" min="47" max="47"/>
    <col width="15.42578125" customWidth="1" style="14" min="48" max="48"/>
    <col width="12.85546875" customWidth="1" style="14" min="49" max="49"/>
    <col width="25.42578125" customWidth="1" style="14" min="50" max="50"/>
    <col width="19" customWidth="1" style="14" min="51" max="51"/>
    <col width="11.42578125" customWidth="1" style="14" min="52" max="52"/>
    <col width="14.42578125" customWidth="1" style="14" min="53" max="53"/>
    <col width="11.42578125" customWidth="1" style="14" min="54" max="16384"/>
  </cols>
  <sheetData>
    <row r="1" ht="107.25" customHeight="1">
      <c r="AQ1" s="107" t="n"/>
      <c r="AR1" s="116" t="n"/>
      <c r="AS1" s="108" t="n"/>
      <c r="AT1" s="107" t="n"/>
      <c r="AU1" s="107" t="n"/>
      <c r="AV1" s="108" t="n"/>
      <c r="AW1" s="108" t="n"/>
      <c r="AX1" s="108" t="n"/>
      <c r="AY1" s="108" t="n"/>
      <c r="AZ1" s="108" t="n"/>
    </row>
    <row r="2" ht="15" customHeight="1">
      <c r="AP2" s="98" t="n"/>
      <c r="AQ2" s="98" t="n"/>
      <c r="AR2" s="98" t="n"/>
      <c r="AS2" s="297" t="n"/>
      <c r="AY2" s="98" t="n"/>
      <c r="AZ2" s="98" t="n"/>
    </row>
    <row r="3" ht="15" customHeight="1">
      <c r="A3" s="166" t="inlineStr">
        <is>
          <t>PRESU. Nº:</t>
        </is>
      </c>
      <c r="B3" s="179" t="n"/>
      <c r="C3" s="175">
        <f>DATOS!B3</f>
        <v/>
      </c>
      <c r="AL3" s="18" t="n"/>
      <c r="AP3" s="177" t="inlineStr">
        <is>
          <t>PRESUPUESTO:</t>
        </is>
      </c>
      <c r="AQ3" s="98" t="n"/>
      <c r="AR3" s="182">
        <f>C3</f>
        <v/>
      </c>
      <c r="AS3" s="98" t="n"/>
      <c r="AT3" s="98" t="n"/>
      <c r="AU3" s="98" t="n"/>
      <c r="AV3" s="98" t="n"/>
      <c r="AW3" s="98" t="n"/>
      <c r="AX3" s="98" t="n"/>
      <c r="AY3" s="98" t="n"/>
      <c r="AZ3" s="98" t="n"/>
    </row>
    <row r="4" ht="18" customHeight="1">
      <c r="A4" s="166" t="inlineStr">
        <is>
          <t>CLIENTE:</t>
        </is>
      </c>
      <c r="B4" s="179" t="n"/>
      <c r="C4" s="183">
        <f>DATOS!B4</f>
        <v/>
      </c>
      <c r="E4" s="15" t="n"/>
      <c r="F4" s="15" t="n"/>
      <c r="AP4" s="175" t="inlineStr">
        <is>
          <t>CLIENTE:</t>
        </is>
      </c>
      <c r="AQ4" s="166" t="n"/>
      <c r="AR4" s="182">
        <f>C4</f>
        <v/>
      </c>
      <c r="AS4" s="176" t="n"/>
      <c r="AT4" s="177" t="n"/>
      <c r="AU4" s="99" t="n"/>
      <c r="AV4" s="99" t="n"/>
      <c r="AW4" s="192" t="n"/>
      <c r="AX4" s="192" t="n"/>
      <c r="AY4" s="99" t="n"/>
      <c r="AZ4" s="98" t="n"/>
    </row>
    <row r="5" ht="18" customHeight="1">
      <c r="A5" s="166" t="inlineStr">
        <is>
          <t>FECHA:</t>
        </is>
      </c>
      <c r="B5" s="179" t="n"/>
      <c r="C5" s="184">
        <f>DATOS!B5</f>
        <v/>
      </c>
      <c r="E5" s="17" t="n"/>
      <c r="F5" s="17" t="n"/>
      <c r="AP5" s="175" t="inlineStr">
        <is>
          <t>Con Fecha:</t>
        </is>
      </c>
      <c r="AQ5" s="166" t="n"/>
      <c r="AR5" s="178">
        <f>C5</f>
        <v/>
      </c>
      <c r="AT5" s="179" t="inlineStr">
        <is>
          <t>COMERCIAL:</t>
        </is>
      </c>
      <c r="AU5" s="176" t="n"/>
      <c r="AV5" s="154" t="n"/>
      <c r="AW5" s="99" t="n"/>
      <c r="AX5" s="99" t="n"/>
      <c r="AY5" s="99" t="n"/>
      <c r="AZ5" s="99" t="n"/>
    </row>
    <row r="6" ht="18" customHeight="1">
      <c r="A6" s="166" t="inlineStr">
        <is>
          <t>COMERCIAL:</t>
        </is>
      </c>
      <c r="B6" s="179" t="n"/>
      <c r="C6" s="183">
        <f>DATOS!B6</f>
        <v/>
      </c>
      <c r="E6" s="15" t="n"/>
      <c r="F6" s="15" t="n"/>
      <c r="AP6" s="175" t="inlineStr">
        <is>
          <t>Validez hasta:</t>
        </is>
      </c>
      <c r="AQ6" s="166" t="n"/>
      <c r="AR6" s="178">
        <f>AR5+10</f>
        <v/>
      </c>
      <c r="AT6" s="179" t="inlineStr">
        <is>
          <t>REFERENCIA:</t>
        </is>
      </c>
      <c r="AU6" s="176" t="n"/>
      <c r="AW6" s="99" t="n"/>
      <c r="AX6" s="99" t="n"/>
      <c r="AY6" s="99" t="n"/>
      <c r="AZ6" s="99" t="n"/>
    </row>
    <row r="7" ht="15" customHeight="1" thickBot="1">
      <c r="A7" s="166" t="inlineStr">
        <is>
          <t>REFERENCIA:</t>
        </is>
      </c>
      <c r="B7" s="179" t="n"/>
      <c r="C7" s="175">
        <f>DATOS!B7</f>
        <v/>
      </c>
      <c r="M7" s="187" t="n"/>
      <c r="N7" s="187" t="n"/>
      <c r="O7" s="187" t="n"/>
      <c r="P7" s="187" t="n"/>
      <c r="Q7" s="187" t="n"/>
      <c r="R7" s="187" t="n"/>
      <c r="AP7" s="98" t="n"/>
      <c r="AQ7" s="98" t="n"/>
      <c r="AR7" s="106" t="n"/>
      <c r="AS7" s="98" t="n"/>
      <c r="AT7" s="98" t="n"/>
      <c r="AW7" s="98" t="n"/>
      <c r="AX7" s="98" t="n"/>
      <c r="AY7" s="98" t="n"/>
      <c r="AZ7" s="98" t="n"/>
    </row>
    <row r="8" ht="20.25" customHeight="1" thickBot="1">
      <c r="A8" s="60" t="inlineStr">
        <is>
          <t>DATOS DE TEJIDO</t>
        </is>
      </c>
      <c r="B8" s="324" t="n"/>
      <c r="C8" s="324" t="n"/>
      <c r="D8" s="325" t="n"/>
      <c r="E8" s="188" t="n"/>
      <c r="F8" s="189" t="n"/>
      <c r="G8" s="189" t="n"/>
      <c r="H8" s="189" t="n"/>
      <c r="I8" s="189" t="n"/>
      <c r="J8" s="189" t="n"/>
      <c r="K8" s="190" t="n"/>
      <c r="L8" s="326" t="inlineStr">
        <is>
          <t>TAMAÑO DEL ARTICULO A CONFECCIONAR</t>
        </is>
      </c>
      <c r="M8" s="324" t="n"/>
      <c r="N8" s="324" t="n"/>
      <c r="O8" s="324" t="n"/>
      <c r="P8" s="324" t="n"/>
      <c r="Q8" s="324" t="n"/>
      <c r="R8" s="325" t="n"/>
      <c r="S8" s="46" t="inlineStr">
        <is>
          <t>MEDIDA TERMINADA</t>
        </is>
      </c>
      <c r="T8" s="324" t="n"/>
      <c r="U8" s="325" t="n"/>
      <c r="V8" s="60" t="inlineStr">
        <is>
          <t>DOBLADILLO</t>
        </is>
      </c>
      <c r="W8" s="46" t="inlineStr">
        <is>
          <t>MEDIDA CON DOBLAD.</t>
        </is>
      </c>
      <c r="X8" s="325" t="n"/>
      <c r="Y8" s="60" t="inlineStr">
        <is>
          <t>ENCOG. (1/0)</t>
        </is>
      </c>
      <c r="Z8" s="46" t="inlineStr">
        <is>
          <t>MEDIDA CORTE</t>
        </is>
      </c>
      <c r="AA8" s="325" t="n"/>
      <c r="AB8" s="59" t="inlineStr">
        <is>
          <t>REDONDO (1/2)</t>
        </is>
      </c>
      <c r="AC8" s="59" t="inlineStr">
        <is>
          <t>EMPALME</t>
        </is>
      </c>
      <c r="AD8" s="46" t="inlineStr">
        <is>
          <t>REF. EMPALME</t>
        </is>
      </c>
      <c r="AE8" s="46" t="inlineStr">
        <is>
          <t>NUM. EMPALM</t>
        </is>
      </c>
      <c r="AF8" s="59" t="inlineStr">
        <is>
          <t>NUM. EMPALM.</t>
        </is>
      </c>
      <c r="AG8" s="46" t="inlineStr">
        <is>
          <t>CONFECCIÓN</t>
        </is>
      </c>
      <c r="AH8" s="61" t="inlineStr">
        <is>
          <t>COBRA SOBRANTE</t>
        </is>
      </c>
      <c r="AI8" s="46" t="inlineStr">
        <is>
          <t>TEJIDO</t>
        </is>
      </c>
      <c r="AJ8" s="59" t="inlineStr">
        <is>
          <t>FESTÓN (1/2)</t>
        </is>
      </c>
      <c r="AK8" s="46" t="inlineStr">
        <is>
          <t>PRECIO</t>
        </is>
      </c>
      <c r="AL8" s="59" t="inlineStr">
        <is>
          <t>COLOR</t>
        </is>
      </c>
      <c r="AM8" s="59" t="inlineStr">
        <is>
          <t>PICOS REDOND</t>
        </is>
      </c>
      <c r="AP8" s="98" t="n"/>
      <c r="AQ8" s="98" t="n"/>
      <c r="AR8" s="106" t="n"/>
      <c r="AS8" s="98" t="n"/>
      <c r="AT8" s="98" t="n"/>
      <c r="AU8" s="98" t="n"/>
      <c r="AV8" s="98" t="n"/>
      <c r="AW8" s="98" t="n"/>
      <c r="AX8" s="98" t="n"/>
      <c r="AY8" s="98" t="n"/>
      <c r="AZ8" s="98" t="n"/>
    </row>
    <row r="9" ht="54" customFormat="1" customHeight="1" s="130" thickBot="1">
      <c r="A9" s="131" t="inlineStr">
        <is>
          <t>CANTIDAD</t>
        </is>
      </c>
      <c r="B9" s="132" t="inlineStr">
        <is>
          <t>MARGEN</t>
        </is>
      </c>
      <c r="C9" s="133" t="inlineStr">
        <is>
          <t>NOMBRE ARTICULO</t>
        </is>
      </c>
      <c r="D9" s="134" t="inlineStr">
        <is>
          <t>COLOR</t>
        </is>
      </c>
      <c r="E9" s="133" t="inlineStr">
        <is>
          <t>REF. 1</t>
        </is>
      </c>
      <c r="F9" s="133" t="inlineStr">
        <is>
          <t>REF. 2</t>
        </is>
      </c>
      <c r="G9" s="135" t="inlineStr">
        <is>
          <t>REF. 3</t>
        </is>
      </c>
      <c r="H9" s="135" t="n"/>
      <c r="I9" s="131" t="inlineStr">
        <is>
          <t>COSTE</t>
        </is>
      </c>
      <c r="J9" s="133" t="inlineStr">
        <is>
          <t>ANCHO PIEZA</t>
        </is>
      </c>
      <c r="K9" s="136" t="inlineStr">
        <is>
          <t>PRECIO VENTA</t>
        </is>
      </c>
      <c r="L9" s="137" t="inlineStr">
        <is>
          <t>ARTICULO (1/2/3/4/5/6)</t>
        </is>
      </c>
      <c r="M9" s="131" t="inlineStr">
        <is>
          <t>ANCHO</t>
        </is>
      </c>
      <c r="N9" s="135" t="inlineStr">
        <is>
          <t>LARGO</t>
        </is>
      </c>
      <c r="O9" s="135" t="inlineStr">
        <is>
          <t>REDONDA</t>
        </is>
      </c>
      <c r="P9" s="133" t="inlineStr">
        <is>
          <t>ALTO DE LA MESA</t>
        </is>
      </c>
      <c r="Q9" s="133" t="inlineStr">
        <is>
          <t>AÑADIR LARGO</t>
        </is>
      </c>
      <c r="R9" s="136" t="inlineStr">
        <is>
          <t>CAIDA MANTEL</t>
        </is>
      </c>
      <c r="S9" s="138" t="inlineStr">
        <is>
          <t>MEDIDA MESA</t>
        </is>
      </c>
      <c r="T9" s="185" t="inlineStr">
        <is>
          <t>ANCHO</t>
        </is>
      </c>
      <c r="U9" s="186" t="inlineStr">
        <is>
          <t>LARGO</t>
        </is>
      </c>
      <c r="V9" s="140" t="inlineStr">
        <is>
          <t>(1) Sencillo o Medida</t>
        </is>
      </c>
      <c r="W9" s="131" t="inlineStr">
        <is>
          <t>ANCHO</t>
        </is>
      </c>
      <c r="X9" s="139" t="inlineStr">
        <is>
          <t>LARGO</t>
        </is>
      </c>
      <c r="Y9" s="140" t="inlineStr">
        <is>
          <t>(1) Si   (0) No</t>
        </is>
      </c>
      <c r="Z9" s="131" t="inlineStr">
        <is>
          <t>ANCHO</t>
        </is>
      </c>
      <c r="AA9" s="139" t="inlineStr">
        <is>
          <t>LARGO</t>
        </is>
      </c>
      <c r="AB9" s="140" t="inlineStr">
        <is>
          <t>(1) Si   (2) No</t>
        </is>
      </c>
      <c r="AC9" s="140" t="inlineStr">
        <is>
          <t>(1) Si   (2) No</t>
        </is>
      </c>
      <c r="AD9" s="140" t="n"/>
      <c r="AE9" s="140" t="n"/>
      <c r="AF9" s="141" t="inlineStr">
        <is>
          <t>SOLO SIN SON MENOS</t>
        </is>
      </c>
      <c r="AG9" s="140" t="n"/>
      <c r="AH9" s="140" t="inlineStr">
        <is>
          <t>(1) Si   (2) No</t>
        </is>
      </c>
      <c r="AI9" s="140" t="n"/>
      <c r="AJ9" s="140" t="inlineStr">
        <is>
          <t>(1) Si   (2) No</t>
        </is>
      </c>
      <c r="AK9" s="142" t="inlineStr">
        <is>
          <t>FESTÓN</t>
        </is>
      </c>
      <c r="AL9" s="142" t="inlineStr">
        <is>
          <t>FESTÓN</t>
        </is>
      </c>
      <c r="AM9" s="142" t="inlineStr">
        <is>
          <t>(1) Si   (2) No</t>
        </is>
      </c>
      <c r="AO9" s="143" t="n"/>
      <c r="AP9" s="169" t="inlineStr">
        <is>
          <t>CINTA</t>
        </is>
      </c>
      <c r="AQ9" s="170" t="inlineStr">
        <is>
          <t>MESA</t>
        </is>
      </c>
      <c r="AR9" s="169" t="inlineStr">
        <is>
          <t>ARTICULO</t>
        </is>
      </c>
      <c r="AS9" s="171" t="inlineStr">
        <is>
          <t>MEDIDA USO</t>
        </is>
      </c>
      <c r="AT9" s="169" t="inlineStr">
        <is>
          <t>DESCRIPCION ARTICULO</t>
        </is>
      </c>
      <c r="AU9" s="169" t="inlineStr">
        <is>
          <t>COLOR</t>
        </is>
      </c>
      <c r="AV9" s="169" t="inlineStr">
        <is>
          <t>DOBLADILLO</t>
        </is>
      </c>
      <c r="AW9" s="172" t="n"/>
      <c r="AX9" s="169" t="inlineStr">
        <is>
          <t>MEDIDA DE CORTE</t>
        </is>
      </c>
      <c r="AY9" s="173" t="inlineStr">
        <is>
          <t>PRECIO UNITARIO</t>
        </is>
      </c>
      <c r="AZ9" s="174" t="inlineStr">
        <is>
          <t>CANTIDAD</t>
        </is>
      </c>
      <c r="BA9" s="174" t="inlineStr">
        <is>
          <t>TOTAL</t>
        </is>
      </c>
    </row>
    <row r="10" ht="16.5" customHeight="1">
      <c r="A10" s="45" t="n">
        <v>0</v>
      </c>
      <c r="B10" s="43" t="n">
        <v>1</v>
      </c>
      <c r="C10" s="43" t="n"/>
      <c r="D10" s="48" t="n">
        <v>1</v>
      </c>
      <c r="E10" s="41">
        <f>MATCH(C10,ARTICULOS!$F$10:$F$699,0)</f>
        <v/>
      </c>
      <c r="F10" s="41">
        <f>+VLOOKUP(E10,ARTICULOS!$D$10:$I$699,6)</f>
        <v/>
      </c>
      <c r="G10" s="42">
        <f>+F10&amp;D10</f>
        <v/>
      </c>
      <c r="H10" s="42">
        <f>+MATCH(G10,COLORES!$E$7:$E$4394,0)</f>
        <v/>
      </c>
      <c r="I10" s="49">
        <f>VLOOKUP(H10,COLORES!$A$7:$I$4394,8)</f>
        <v/>
      </c>
      <c r="J10" s="50">
        <f>VLOOKUP(H10,COLORES!$A$7:$I$4394,9)</f>
        <v/>
      </c>
      <c r="K10" s="191">
        <f>I10*(1+B10)</f>
        <v/>
      </c>
      <c r="L10" s="44" t="n">
        <v>0</v>
      </c>
      <c r="M10" s="45" t="n">
        <v>0</v>
      </c>
      <c r="N10" s="47" t="n">
        <v>0</v>
      </c>
      <c r="O10" s="47" t="n">
        <v>0</v>
      </c>
      <c r="P10" s="47" t="n">
        <v>0</v>
      </c>
      <c r="Q10" s="47" t="n">
        <v>0</v>
      </c>
      <c r="R10" s="48" t="n"/>
      <c r="S10" s="53">
        <f>IF(P10&gt;0,IF(O10&gt;0,"(/)"&amp;O10&amp;"*"&amp;P10&amp;IF(Q10&gt;0,"+"&amp;Q10,IF(Q10=0,"",Q10)),+M10&amp;"*"&amp;N10&amp;"*"&amp;P10&amp;IF(Q10&gt;0,"+"&amp;Q10,IF(Q10=0,"",Q10))),"")</f>
        <v/>
      </c>
      <c r="T10" s="51">
        <f>+IF(O10&gt;0,O10+R10*2,M10+R10*2)+P10*2+Q10*2</f>
        <v/>
      </c>
      <c r="U10" s="52">
        <f>+IF(O10&gt;0,O10+R10*2,N10+R10*2)+P10*2+Q10*2</f>
        <v/>
      </c>
      <c r="V10" s="54" t="n"/>
      <c r="W10" s="56">
        <f>IF(V10=1,T10+5,T10+(V10*4))</f>
        <v/>
      </c>
      <c r="X10" s="57">
        <f>IF(V10=1,U10+5,U10+(V10*4))</f>
        <v/>
      </c>
      <c r="Y10" s="54" t="n">
        <v>0</v>
      </c>
      <c r="Z10" s="56">
        <f>IF(Y10=1,ROUNDUP(W10*(1+VLOOKUP(E10,ARTICULOS!$D$10:$H$699,5)),0),W10)</f>
        <v/>
      </c>
      <c r="AA10" s="57">
        <f>IF(Y10=1,ROUNDUP(X10*(1+VLOOKUP(E10,ARTICULOS!$D$10:$H$699,4)),0),X10)</f>
        <v/>
      </c>
      <c r="AB10" s="54" t="n">
        <v>2</v>
      </c>
      <c r="AC10" s="54" t="n"/>
      <c r="AD10" s="53">
        <f>IF(AC10=1,J10*100&amp;Z10,"")</f>
        <v/>
      </c>
      <c r="AE10" s="53">
        <f>IF(AC10=1,VLOOKUP(AD10,EMPALME!$C$2:$F$33,4),"")</f>
        <v/>
      </c>
      <c r="AF10" s="44" t="n"/>
      <c r="AG10" s="55">
        <f>IF(L10=3,IF(V10=1,CONFECCION!$C$18,CONFECCION!$C$18*2),IF(V10=1,HLOOKUP(AA10,CONFECCION!$C$17:$AD$33,VLOOKUP(Z10,CONFECCION!$A$18:$B$33,2)-16),2*HLOOKUP(AA10,CONFECCION!$C$17:$AD$33,VLOOKUP(Z10,CONFECCION!$A$18:$B$33,2)-16)))*IF(AC10=1,3,1)</f>
        <v/>
      </c>
      <c r="AH10" s="54" t="n"/>
      <c r="AI10" s="55">
        <f>IF(AC10=1,AA10/100*K10+IF(AF10&gt;0,K10*(VLOOKUP(AD10,EMPALME!$C$2:$D$33,2)/100)/AF10,K10*(VLOOKUP(AD10,EMPALME!$C$2:$D$33,2)/100)/VLOOKUP(AD10,EMPALME!$C$2:$F$33,4)),IF(AH10=2,ROUND((K10*(AA10/100)-(I10/10)*INT((AA10/100)/0.55)*INT((J10-(Z10/100)*INT(J10/(Z10/100)))/0.55))/INT(J10/(Z10/100)),2),ROUND(K10*(AA10/100)/INT(J10/(Z10/100)),2)))</f>
        <v/>
      </c>
      <c r="AJ10" s="54" t="n">
        <v>2</v>
      </c>
      <c r="AK10" s="55">
        <f>ROUND(IF(AJ10=2,0,((Z10*2)+(AA10*2))*CONFECCION!$B$35/100),2)</f>
        <v/>
      </c>
      <c r="AL10" s="54" t="n"/>
      <c r="AM10" s="54" t="n">
        <v>2</v>
      </c>
      <c r="AP10" s="149" t="n"/>
      <c r="AQ10" s="149">
        <f>IF(S10=0,"",S10)</f>
        <v/>
      </c>
      <c r="AR10" s="149">
        <f>IF(A10=0,"",VLOOKUP(L10,ARTICULOS!$A$10:$B$19,2))</f>
        <v/>
      </c>
      <c r="AS10" s="157">
        <f>IF(A10=0,"",T10&amp;" * "&amp;U10)&amp;IF(AM10=1," PR","")</f>
        <v/>
      </c>
      <c r="AT10" s="167">
        <f>IF(A10=0,"",VLOOKUP(E10,ARTICULOS!$D$10:$F$699,3))</f>
        <v/>
      </c>
      <c r="AU10" s="164">
        <f>IF(A10=0,"","c/ "&amp;D10&amp;" "&amp;VLOOKUP(H10,COLORES!$A$7:$G$4394,7))</f>
        <v/>
      </c>
      <c r="AV10" s="149">
        <f>IF(A10=0,"",IF(V10=1,"Dobl. Sencillo","Dobl. "&amp;V10&amp;" cm."))</f>
        <v/>
      </c>
      <c r="AW10" s="149">
        <f>+IF(Y10=1,"SI","")</f>
        <v/>
      </c>
      <c r="AX10" s="149">
        <f>IF(A10=0,"",IF(AB10=2,Z10&amp;" * "&amp;AA10,IF(Z10=AA10,"Redondo "&amp;Z10&amp;" * "&amp;AA10,"Ovalado "&amp;Z10&amp;" * "&amp;AA10)))</f>
        <v/>
      </c>
      <c r="AY10" s="152">
        <f>IF(A10=0,"",AG10+AI10+AK10)</f>
        <v/>
      </c>
      <c r="AZ10" s="155">
        <f>IF(A10=0,"",A10)</f>
        <v/>
      </c>
      <c r="BA10" s="156">
        <f>IF(A10=0,"",ROUND(AY10*AZ10,2))</f>
        <v/>
      </c>
    </row>
    <row r="11" ht="16.5" customHeight="1">
      <c r="A11" s="45" t="n">
        <v>0</v>
      </c>
      <c r="B11" s="43" t="n">
        <v>1</v>
      </c>
      <c r="C11" s="43" t="n"/>
      <c r="D11" s="48" t="n">
        <v>1</v>
      </c>
      <c r="E11" s="41">
        <f>MATCH(C11,ARTICULOS!$F$10:$F$699,0)</f>
        <v/>
      </c>
      <c r="F11" s="41">
        <f>+VLOOKUP(E11,ARTICULOS!$D$10:$I$699,6)</f>
        <v/>
      </c>
      <c r="G11" s="42">
        <f>+F11&amp;D11</f>
        <v/>
      </c>
      <c r="H11" s="42">
        <f>+MATCH(G11,COLORES!$E$7:$E$4394,0)</f>
        <v/>
      </c>
      <c r="I11" s="49">
        <f>VLOOKUP(H11,COLORES!$A$7:$I$4394,8)</f>
        <v/>
      </c>
      <c r="J11" s="50">
        <f>VLOOKUP(H11,COLORES!$A$7:$I$4394,9)</f>
        <v/>
      </c>
      <c r="K11" s="191">
        <f>I11*(1+B11)</f>
        <v/>
      </c>
      <c r="L11" s="44" t="n">
        <v>0</v>
      </c>
      <c r="M11" s="45" t="n">
        <v>0</v>
      </c>
      <c r="N11" s="47" t="n">
        <v>0</v>
      </c>
      <c r="O11" s="47" t="n">
        <v>0</v>
      </c>
      <c r="P11" s="47" t="n">
        <v>0</v>
      </c>
      <c r="Q11" s="47" t="n">
        <v>0</v>
      </c>
      <c r="R11" s="48" t="n"/>
      <c r="S11" s="53">
        <f>IF(P11&gt;0,IF(O11&gt;0,"(/)"&amp;O11&amp;"*"&amp;P11&amp;IF(Q11&gt;0,"+"&amp;Q11,IF(Q11=0,"",Q11)),+M11&amp;"*"&amp;N11&amp;"*"&amp;P11&amp;IF(Q11&gt;0,"+"&amp;Q11,IF(Q11=0,"",Q11))),"")</f>
        <v/>
      </c>
      <c r="T11" s="51">
        <f>+IF(O11&gt;0,O11+R11*2,M11+R11*2)+P11*2+Q11*2</f>
        <v/>
      </c>
      <c r="U11" s="52">
        <f>+IF(O11&gt;0,O11+R11*2,N11+R11*2)+P11*2+Q11*2</f>
        <v/>
      </c>
      <c r="V11" s="54" t="n"/>
      <c r="W11" s="56">
        <f>IF(V11=1,T11+5,T11+(V11*4))</f>
        <v/>
      </c>
      <c r="X11" s="57">
        <f>IF(V11=1,U11+5,U11+(V11*4))</f>
        <v/>
      </c>
      <c r="Y11" s="54" t="n">
        <v>0</v>
      </c>
      <c r="Z11" s="56">
        <f>IF(Y11=1,ROUNDUP(W11*(1+VLOOKUP(E11,ARTICULOS!$D$10:$H$699,5)),0),W11)</f>
        <v/>
      </c>
      <c r="AA11" s="57">
        <f>IF(Y11=1,ROUNDUP(X11*(1+VLOOKUP(E11,ARTICULOS!$D$10:$H$699,4)),0),X11)</f>
        <v/>
      </c>
      <c r="AB11" s="54" t="n">
        <v>2</v>
      </c>
      <c r="AC11" s="54" t="n"/>
      <c r="AD11" s="53">
        <f>IF(AC11=1,J11*100&amp;Z11,"")</f>
        <v/>
      </c>
      <c r="AE11" s="53">
        <f>IF(AC11=1,VLOOKUP(AD11,EMPALME!$C$2:$F$33,4),"")</f>
        <v/>
      </c>
      <c r="AF11" s="44" t="n"/>
      <c r="AG11" s="55">
        <f>IF(L11=3,IF(V11=1,CONFECCION!$C$18,CONFECCION!$C$18*2),IF(V11=1,HLOOKUP(AA11,CONFECCION!$C$17:$AD$33,VLOOKUP(Z11,CONFECCION!$A$18:$B$33,2)-16),2*HLOOKUP(AA11,CONFECCION!$C$17:$AD$33,VLOOKUP(Z11,CONFECCION!$A$18:$B$33,2)-16)))*IF(AC11=1,3,1)</f>
        <v/>
      </c>
      <c r="AH11" s="54" t="n"/>
      <c r="AI11" s="55">
        <f>IF(AC11=1,AA11/100*K11+IF(AF11&gt;0,K11*(VLOOKUP(AD11,EMPALME!$C$2:$D$33,2)/100)/AF11,K11*(VLOOKUP(AD11,EMPALME!$C$2:$D$33,2)/100)/VLOOKUP(AD11,EMPALME!$C$2:$F$33,4)),IF(AH11=2,ROUND((K11*(AA11/100)-(I11/10)*INT((AA11/100)/0.55)*INT((J11-(Z11/100)*INT(J11/(Z11/100)))/0.55))/INT(J11/(Z11/100)),2),ROUND(K11*(AA11/100)/INT(J11/(Z11/100)),2)))</f>
        <v/>
      </c>
      <c r="AJ11" s="54" t="n">
        <v>2</v>
      </c>
      <c r="AK11" s="55">
        <f>ROUND(IF(AJ11=2,0,((Z11*2)+(AA11*2))*CONFECCION!$B$35/100),2)</f>
        <v/>
      </c>
      <c r="AL11" s="54" t="n"/>
      <c r="AM11" s="54" t="n">
        <v>2</v>
      </c>
      <c r="AP11" s="149" t="n"/>
      <c r="AQ11" s="149">
        <f>IF(S11=0,"",S11)</f>
        <v/>
      </c>
      <c r="AR11" s="149">
        <f>IF(A11=0,"",VLOOKUP(L11,ARTICULOS!$A$10:$B$19,2))</f>
        <v/>
      </c>
      <c r="AS11" s="157">
        <f>IF(A11=0,"",T11&amp;" * "&amp;U11)&amp;IF(AM11=1," PR","")</f>
        <v/>
      </c>
      <c r="AT11" s="167">
        <f>IF(A11=0,"",VLOOKUP(E11,ARTICULOS!$D$10:$F$699,3))</f>
        <v/>
      </c>
      <c r="AU11" s="164">
        <f>IF(A11=0,"","c/ "&amp;D11&amp;" "&amp;VLOOKUP(H11,COLORES!$A$7:$G$4394,7))</f>
        <v/>
      </c>
      <c r="AV11" s="149">
        <f>IF(A11=0,"",IF(V11=1,"Dobl. Sencillo","Dobl. "&amp;V11&amp;" cm."))</f>
        <v/>
      </c>
      <c r="AW11" s="149">
        <f>+IF(Y11=1,"SI","")</f>
        <v/>
      </c>
      <c r="AX11" s="149">
        <f>IF(A11=0,"",IF(AB11=2,Z11&amp;" * "&amp;AA11,IF(Z11=AA11,"Redondo "&amp;Z11&amp;" * "&amp;AA11,"Ovalado "&amp;Z11&amp;" * "&amp;AA11)))</f>
        <v/>
      </c>
      <c r="AY11" s="152">
        <f>IF(A11=0,"",AG11+AI11+AK11)</f>
        <v/>
      </c>
      <c r="AZ11" s="155">
        <f>IF(A11=0,"",A11)</f>
        <v/>
      </c>
      <c r="BA11" s="156">
        <f>IF(A11=0,"",ROUND(AY11*AZ11,2))</f>
        <v/>
      </c>
    </row>
    <row r="12" ht="16.5" customHeight="1">
      <c r="A12" s="45" t="n">
        <v>0</v>
      </c>
      <c r="B12" s="43" t="n">
        <v>1</v>
      </c>
      <c r="C12" s="43" t="n"/>
      <c r="D12" s="48" t="n">
        <v>1</v>
      </c>
      <c r="E12" s="41">
        <f>MATCH(C12,ARTICULOS!$F$10:$F$699,0)</f>
        <v/>
      </c>
      <c r="F12" s="41">
        <f>+VLOOKUP(E12,ARTICULOS!$D$10:$I$699,6)</f>
        <v/>
      </c>
      <c r="G12" s="42">
        <f>+F12&amp;D12</f>
        <v/>
      </c>
      <c r="H12" s="42">
        <f>+MATCH(G12,COLORES!$E$7:$E$4394,0)</f>
        <v/>
      </c>
      <c r="I12" s="49">
        <f>VLOOKUP(H12,COLORES!$A$7:$I$4394,8)</f>
        <v/>
      </c>
      <c r="J12" s="50">
        <f>VLOOKUP(H12,COLORES!$A$7:$I$4394,9)</f>
        <v/>
      </c>
      <c r="K12" s="191">
        <f>I12*(1+B12)</f>
        <v/>
      </c>
      <c r="L12" s="44" t="n">
        <v>0</v>
      </c>
      <c r="M12" s="45" t="n">
        <v>0</v>
      </c>
      <c r="N12" s="47" t="n">
        <v>0</v>
      </c>
      <c r="O12" s="47" t="n">
        <v>0</v>
      </c>
      <c r="P12" s="47" t="n">
        <v>0</v>
      </c>
      <c r="Q12" s="47" t="n">
        <v>0</v>
      </c>
      <c r="R12" s="48" t="n"/>
      <c r="S12" s="53">
        <f>IF(P12&gt;0,IF(O12&gt;0,"(/)"&amp;O12&amp;"*"&amp;P12&amp;IF(Q12&gt;0,"+"&amp;Q12,IF(Q12=0,"",Q12)),+M12&amp;"*"&amp;N12&amp;"*"&amp;P12&amp;IF(Q12&gt;0,"+"&amp;Q12,IF(Q12=0,"",Q12))),"")</f>
        <v/>
      </c>
      <c r="T12" s="51">
        <f>+IF(O12&gt;0,O12+R12*2,M12+R12*2)+P12*2+Q12*2</f>
        <v/>
      </c>
      <c r="U12" s="52">
        <f>+IF(O12&gt;0,O12+R12*2,N12+R12*2)+P12*2+Q12*2</f>
        <v/>
      </c>
      <c r="V12" s="54" t="n"/>
      <c r="W12" s="56">
        <f>IF(V12=1,T12+5,T12+(V12*4))</f>
        <v/>
      </c>
      <c r="X12" s="57">
        <f>IF(V12=1,U12+5,U12+(V12*4))</f>
        <v/>
      </c>
      <c r="Y12" s="54" t="n">
        <v>0</v>
      </c>
      <c r="Z12" s="56">
        <f>IF(Y12=1,ROUNDUP(W12*(1+VLOOKUP(E12,ARTICULOS!$D$10:$H$699,5)),0),W12)</f>
        <v/>
      </c>
      <c r="AA12" s="57">
        <f>IF(Y12=1,ROUNDUP(X12*(1+VLOOKUP(E12,ARTICULOS!$D$10:$H$699,4)),0),X12)</f>
        <v/>
      </c>
      <c r="AB12" s="54" t="n">
        <v>2</v>
      </c>
      <c r="AC12" s="54" t="n"/>
      <c r="AD12" s="53">
        <f>IF(AC12=1,J12*100&amp;Z12,"")</f>
        <v/>
      </c>
      <c r="AE12" s="53">
        <f>IF(AC12=1,VLOOKUP(AD12,EMPALME!$C$2:$F$33,4),"")</f>
        <v/>
      </c>
      <c r="AF12" s="44" t="n"/>
      <c r="AG12" s="55">
        <f>IF(L12=3,IF(V12=1,CONFECCION!$C$18,CONFECCION!$C$18*2),IF(V12=1,HLOOKUP(AA12,CONFECCION!$C$17:$AD$33,VLOOKUP(Z12,CONFECCION!$A$18:$B$33,2)-16),2*HLOOKUP(AA12,CONFECCION!$C$17:$AD$33,VLOOKUP(Z12,CONFECCION!$A$18:$B$33,2)-16)))*IF(AC12=1,3,1)</f>
        <v/>
      </c>
      <c r="AH12" s="54" t="n"/>
      <c r="AI12" s="55">
        <f>IF(AC12=1,AA12/100*K12+IF(AF12&gt;0,K12*(VLOOKUP(AD12,EMPALME!$C$2:$D$33,2)/100)/AF12,K12*(VLOOKUP(AD12,EMPALME!$C$2:$D$33,2)/100)/VLOOKUP(AD12,EMPALME!$C$2:$F$33,4)),IF(AH12=2,ROUND((K12*(AA12/100)-(I12/10)*INT((AA12/100)/0.55)*INT((J12-(Z12/100)*INT(J12/(Z12/100)))/0.55))/INT(J12/(Z12/100)),2),ROUND(K12*(AA12/100)/INT(J12/(Z12/100)),2)))</f>
        <v/>
      </c>
      <c r="AJ12" s="54" t="n">
        <v>2</v>
      </c>
      <c r="AK12" s="55">
        <f>ROUND(IF(AJ12=2,0,((Z12*2)+(AA12*2))*CONFECCION!$B$35/100),2)</f>
        <v/>
      </c>
      <c r="AL12" s="54" t="n"/>
      <c r="AM12" s="54" t="n">
        <v>2</v>
      </c>
      <c r="AP12" s="149" t="n"/>
      <c r="AQ12" s="149">
        <f>IF(S12=0,"",S12)</f>
        <v/>
      </c>
      <c r="AR12" s="149">
        <f>IF(A12=0,"",VLOOKUP(L12,ARTICULOS!$A$10:$B$19,2))</f>
        <v/>
      </c>
      <c r="AS12" s="157">
        <f>IF(A12=0,"",T12&amp;" * "&amp;U12)&amp;IF(AM12=1," PR","")</f>
        <v/>
      </c>
      <c r="AT12" s="167">
        <f>IF(A12=0,"",VLOOKUP(E12,ARTICULOS!$D$10:$F$699,3))</f>
        <v/>
      </c>
      <c r="AU12" s="164">
        <f>IF(A12=0,"","c/ "&amp;D12&amp;" "&amp;VLOOKUP(H12,COLORES!$A$7:$G$4394,7))</f>
        <v/>
      </c>
      <c r="AV12" s="149">
        <f>IF(A12=0,"",IF(V12=1,"Dobl. Sencillo","Dobl. "&amp;V12&amp;" cm."))</f>
        <v/>
      </c>
      <c r="AW12" s="149">
        <f>+IF(Y12=1,"SI","")</f>
        <v/>
      </c>
      <c r="AX12" s="149">
        <f>IF(A12=0,"",IF(AB12=2,Z12&amp;" * "&amp;AA12,IF(Z12=AA12,"Redondo "&amp;Z12&amp;" * "&amp;AA12,"Ovalado "&amp;Z12&amp;" * "&amp;AA12)))</f>
        <v/>
      </c>
      <c r="AY12" s="152">
        <f>IF(A12=0,"",AG12+AI12+AK12)</f>
        <v/>
      </c>
      <c r="AZ12" s="155">
        <f>IF(A12=0,"",A12)</f>
        <v/>
      </c>
      <c r="BA12" s="156">
        <f>IF(A12=0,"",ROUND(AY12*AZ12,2))</f>
        <v/>
      </c>
    </row>
    <row r="13" ht="16.5" customHeight="1">
      <c r="A13" s="45" t="n">
        <v>0</v>
      </c>
      <c r="B13" s="43" t="n">
        <v>1</v>
      </c>
      <c r="C13" s="43" t="n"/>
      <c r="D13" s="48" t="n">
        <v>1</v>
      </c>
      <c r="E13" s="41">
        <f>MATCH(C13,ARTICULOS!$F$10:$F$699,0)</f>
        <v/>
      </c>
      <c r="F13" s="41">
        <f>+VLOOKUP(E13,ARTICULOS!$D$10:$I$699,6)</f>
        <v/>
      </c>
      <c r="G13" s="42">
        <f>+F13&amp;D13</f>
        <v/>
      </c>
      <c r="H13" s="42">
        <f>+MATCH(G13,COLORES!$E$7:$E$4394,0)</f>
        <v/>
      </c>
      <c r="I13" s="49">
        <f>VLOOKUP(H13,COLORES!$A$7:$I$4394,8)</f>
        <v/>
      </c>
      <c r="J13" s="50">
        <f>VLOOKUP(H13,COLORES!$A$7:$I$4394,9)</f>
        <v/>
      </c>
      <c r="K13" s="191">
        <f>I13*(1+B13)</f>
        <v/>
      </c>
      <c r="L13" s="44" t="n">
        <v>0</v>
      </c>
      <c r="M13" s="45" t="n">
        <v>0</v>
      </c>
      <c r="N13" s="47" t="n">
        <v>0</v>
      </c>
      <c r="O13" s="47" t="n">
        <v>0</v>
      </c>
      <c r="P13" s="47" t="n">
        <v>0</v>
      </c>
      <c r="Q13" s="47" t="n">
        <v>0</v>
      </c>
      <c r="R13" s="48" t="n"/>
      <c r="S13" s="53">
        <f>IF(P13&gt;0,IF(O13&gt;0,"(/)"&amp;O13&amp;"*"&amp;P13&amp;IF(Q13&gt;0,"+"&amp;Q13,IF(Q13=0,"",Q13)),+M13&amp;"*"&amp;N13&amp;"*"&amp;P13&amp;IF(Q13&gt;0,"+"&amp;Q13,IF(Q13=0,"",Q13))),"")</f>
        <v/>
      </c>
      <c r="T13" s="51">
        <f>+IF(O13&gt;0,O13+R13*2,M13+R13*2)+P13*2+Q13*2</f>
        <v/>
      </c>
      <c r="U13" s="52">
        <f>+IF(O13&gt;0,O13+R13*2,N13+R13*2)+P13*2+Q13*2</f>
        <v/>
      </c>
      <c r="V13" s="54" t="n"/>
      <c r="W13" s="56">
        <f>IF(V13=1,T13+5,T13+(V13*4))</f>
        <v/>
      </c>
      <c r="X13" s="57">
        <f>IF(V13=1,U13+5,U13+(V13*4))</f>
        <v/>
      </c>
      <c r="Y13" s="54" t="n">
        <v>0</v>
      </c>
      <c r="Z13" s="56">
        <f>IF(Y13=1,ROUNDUP(W13*(1+VLOOKUP(E13,ARTICULOS!$D$10:$H$699,5)),0),W13)</f>
        <v/>
      </c>
      <c r="AA13" s="57">
        <f>IF(Y13=1,ROUNDUP(X13*(1+VLOOKUP(E13,ARTICULOS!$D$10:$H$699,4)),0),X13)</f>
        <v/>
      </c>
      <c r="AB13" s="54" t="n">
        <v>2</v>
      </c>
      <c r="AC13" s="54" t="n"/>
      <c r="AD13" s="53">
        <f>IF(AC13=1,J13*100&amp;Z13,"")</f>
        <v/>
      </c>
      <c r="AE13" s="53">
        <f>IF(AC13=1,VLOOKUP(AD13,EMPALME!$C$2:$F$33,4),"")</f>
        <v/>
      </c>
      <c r="AF13" s="44" t="n"/>
      <c r="AG13" s="55">
        <f>IF(L13=3,IF(V13=1,CONFECCION!$C$18,CONFECCION!$C$18*2),IF(V13=1,HLOOKUP(AA13,CONFECCION!$C$17:$AD$33,VLOOKUP(Z13,CONFECCION!$A$18:$B$33,2)-16),2*HLOOKUP(AA13,CONFECCION!$C$17:$AD$33,VLOOKUP(Z13,CONFECCION!$A$18:$B$33,2)-16)))*IF(AC13=1,3,1)</f>
        <v/>
      </c>
      <c r="AH13" s="54" t="n"/>
      <c r="AI13" s="55">
        <f>IF(AC13=1,AA13/100*K13+IF(AF13&gt;0,K13*(VLOOKUP(AD13,EMPALME!$C$2:$D$33,2)/100)/AF13,K13*(VLOOKUP(AD13,EMPALME!$C$2:$D$33,2)/100)/VLOOKUP(AD13,EMPALME!$C$2:$F$33,4)),IF(AH13=2,ROUND((K13*(AA13/100)-(I13/10)*INT((AA13/100)/0.55)*INT((J13-(Z13/100)*INT(J13/(Z13/100)))/0.55))/INT(J13/(Z13/100)),2),ROUND(K13*(AA13/100)/INT(J13/(Z13/100)),2)))</f>
        <v/>
      </c>
      <c r="AJ13" s="54" t="n">
        <v>2</v>
      </c>
      <c r="AK13" s="55">
        <f>ROUND(IF(AJ13=2,0,((Z13*2)+(AA13*2))*CONFECCION!$B$35/100),2)</f>
        <v/>
      </c>
      <c r="AL13" s="54" t="n"/>
      <c r="AM13" s="54" t="n">
        <v>2</v>
      </c>
      <c r="AP13" s="149" t="n"/>
      <c r="AQ13" s="149">
        <f>IF(S13=0,"",S13)</f>
        <v/>
      </c>
      <c r="AR13" s="149">
        <f>IF(A13=0,"",VLOOKUP(L13,ARTICULOS!$A$10:$B$19,2))</f>
        <v/>
      </c>
      <c r="AS13" s="157">
        <f>IF(A13=0,"",T13&amp;" * "&amp;U13)&amp;IF(AM13=1," PR","")</f>
        <v/>
      </c>
      <c r="AT13" s="167">
        <f>IF(A13=0,"",VLOOKUP(E13,ARTICULOS!$D$10:$F$699,3))</f>
        <v/>
      </c>
      <c r="AU13" s="164">
        <f>IF(A13=0,"","c/ "&amp;D13&amp;" "&amp;VLOOKUP(H13,COLORES!$A$7:$G$4394,7))</f>
        <v/>
      </c>
      <c r="AV13" s="149">
        <f>IF(A13=0,"",IF(V13=1,"Dobl. Sencillo","Dobl. "&amp;V13&amp;" cm."))</f>
        <v/>
      </c>
      <c r="AW13" s="149">
        <f>+IF(Y13=1,"SI","")</f>
        <v/>
      </c>
      <c r="AX13" s="149">
        <f>IF(A13=0,"",IF(AB13=2,Z13&amp;" * "&amp;AA13,IF(Z13=AA13,"Redondo "&amp;Z13&amp;" * "&amp;AA13,"Ovalado "&amp;Z13&amp;" * "&amp;AA13)))</f>
        <v/>
      </c>
      <c r="AY13" s="152">
        <f>IF(A13=0,"",AG13+AI13+AK13)</f>
        <v/>
      </c>
      <c r="AZ13" s="155">
        <f>IF(A13=0,"",A13)</f>
        <v/>
      </c>
      <c r="BA13" s="156">
        <f>IF(A13=0,"",ROUND(AY13*AZ13,2))</f>
        <v/>
      </c>
    </row>
    <row r="14" ht="16.5" customHeight="1">
      <c r="A14" s="45" t="n">
        <v>0</v>
      </c>
      <c r="B14" s="43" t="n">
        <v>1</v>
      </c>
      <c r="C14" s="43" t="n"/>
      <c r="D14" s="48" t="n">
        <v>1</v>
      </c>
      <c r="E14" s="41">
        <f>MATCH(C14,ARTICULOS!$F$10:$F$699,0)</f>
        <v/>
      </c>
      <c r="F14" s="41">
        <f>+VLOOKUP(E14,ARTICULOS!$D$10:$I$699,6)</f>
        <v/>
      </c>
      <c r="G14" s="42">
        <f>+F14&amp;D14</f>
        <v/>
      </c>
      <c r="H14" s="42">
        <f>+MATCH(G14,COLORES!$E$7:$E$4394,0)</f>
        <v/>
      </c>
      <c r="I14" s="49">
        <f>VLOOKUP(H14,COLORES!$A$7:$I$4394,8)</f>
        <v/>
      </c>
      <c r="J14" s="50">
        <f>VLOOKUP(H14,COLORES!$A$7:$I$4394,9)</f>
        <v/>
      </c>
      <c r="K14" s="191">
        <f>I14*(1+B14)</f>
        <v/>
      </c>
      <c r="L14" s="44" t="n">
        <v>0</v>
      </c>
      <c r="M14" s="45" t="n">
        <v>0</v>
      </c>
      <c r="N14" s="47" t="n">
        <v>0</v>
      </c>
      <c r="O14" s="47" t="n">
        <v>0</v>
      </c>
      <c r="P14" s="47" t="n">
        <v>0</v>
      </c>
      <c r="Q14" s="47" t="n">
        <v>0</v>
      </c>
      <c r="R14" s="48" t="n"/>
      <c r="S14" s="53">
        <f>IF(P14&gt;0,IF(O14&gt;0,"(/)"&amp;O14&amp;"*"&amp;P14&amp;IF(Q14&gt;0,"+"&amp;Q14,IF(Q14=0,"",Q14)),+M14&amp;"*"&amp;N14&amp;"*"&amp;P14&amp;IF(Q14&gt;0,"+"&amp;Q14,IF(Q14=0,"",Q14))),"")</f>
        <v/>
      </c>
      <c r="T14" s="51">
        <f>+IF(O14&gt;0,O14+R14*2,M14+R14*2)+P14*2+Q14*2</f>
        <v/>
      </c>
      <c r="U14" s="52">
        <f>+IF(O14&gt;0,O14+R14*2,N14+R14*2)+P14*2+Q14*2</f>
        <v/>
      </c>
      <c r="V14" s="54" t="n"/>
      <c r="W14" s="56">
        <f>IF(V14=1,T14+5,T14+(V14*4))</f>
        <v/>
      </c>
      <c r="X14" s="57">
        <f>IF(V14=1,U14+5,U14+(V14*4))</f>
        <v/>
      </c>
      <c r="Y14" s="54" t="n">
        <v>0</v>
      </c>
      <c r="Z14" s="56">
        <f>IF(Y14=1,ROUNDUP(W14*(1+VLOOKUP(E14,ARTICULOS!$D$10:$H$699,5)),0),W14)</f>
        <v/>
      </c>
      <c r="AA14" s="57">
        <f>IF(Y14=1,ROUNDUP(X14*(1+VLOOKUP(E14,ARTICULOS!$D$10:$H$699,4)),0),X14)</f>
        <v/>
      </c>
      <c r="AB14" s="54" t="n">
        <v>2</v>
      </c>
      <c r="AC14" s="54" t="n"/>
      <c r="AD14" s="53">
        <f>IF(AC14=1,J14*100&amp;Z14,"")</f>
        <v/>
      </c>
      <c r="AE14" s="53">
        <f>IF(AC14=1,VLOOKUP(AD14,EMPALME!$C$2:$F$33,4),"")</f>
        <v/>
      </c>
      <c r="AF14" s="44" t="n"/>
      <c r="AG14" s="55">
        <f>IF(L14=3,IF(V14=1,CONFECCION!$C$18,CONFECCION!$C$18*2),IF(V14=1,HLOOKUP(AA14,CONFECCION!$C$17:$AD$33,VLOOKUP(Z14,CONFECCION!$A$18:$B$33,2)-16),2*HLOOKUP(AA14,CONFECCION!$C$17:$AD$33,VLOOKUP(Z14,CONFECCION!$A$18:$B$33,2)-16)))*IF(AC14=1,3,1)</f>
        <v/>
      </c>
      <c r="AH14" s="54" t="n"/>
      <c r="AI14" s="55">
        <f>IF(AC14=1,AA14/100*K14+IF(AF14&gt;0,K14*(VLOOKUP(AD14,EMPALME!$C$2:$D$33,2)/100)/AF14,K14*(VLOOKUP(AD14,EMPALME!$C$2:$D$33,2)/100)/VLOOKUP(AD14,EMPALME!$C$2:$F$33,4)),IF(AH14=2,ROUND((K14*(AA14/100)-(I14/10)*INT((AA14/100)/0.55)*INT((J14-(Z14/100)*INT(J14/(Z14/100)))/0.55))/INT(J14/(Z14/100)),2),ROUND(K14*(AA14/100)/INT(J14/(Z14/100)),2)))</f>
        <v/>
      </c>
      <c r="AJ14" s="54" t="n">
        <v>2</v>
      </c>
      <c r="AK14" s="55">
        <f>ROUND(IF(AJ14=2,0,((Z14*2)+(AA14*2))*CONFECCION!$B$35/100),2)</f>
        <v/>
      </c>
      <c r="AL14" s="54" t="n"/>
      <c r="AM14" s="54" t="n">
        <v>2</v>
      </c>
      <c r="AP14" s="149" t="n"/>
      <c r="AQ14" s="149">
        <f>IF(S14=0,"",S14)</f>
        <v/>
      </c>
      <c r="AR14" s="149">
        <f>IF(A14=0,"",VLOOKUP(L14,ARTICULOS!$A$10:$B$19,2))</f>
        <v/>
      </c>
      <c r="AS14" s="157">
        <f>IF(A14=0,"",T14&amp;" * "&amp;U14)&amp;IF(AM14=1," PR","")</f>
        <v/>
      </c>
      <c r="AT14" s="167">
        <f>IF(A14=0,"",VLOOKUP(E14,ARTICULOS!$D$10:$F$699,3))</f>
        <v/>
      </c>
      <c r="AU14" s="164">
        <f>IF(A14=0,"","c/ "&amp;D14&amp;" "&amp;VLOOKUP(H14,COLORES!$A$7:$G$4394,7))</f>
        <v/>
      </c>
      <c r="AV14" s="149">
        <f>IF(A14=0,"",IF(V14=1,"Dobl. Sencillo","Dobl. "&amp;V14&amp;" cm."))</f>
        <v/>
      </c>
      <c r="AW14" s="149">
        <f>+IF(Y14=1,"SI","")</f>
        <v/>
      </c>
      <c r="AX14" s="149">
        <f>IF(A14=0,"",IF(AB14=2,Z14&amp;" * "&amp;AA14,IF(Z14=AA14,"Redondo "&amp;Z14&amp;" * "&amp;AA14,"Ovalado "&amp;Z14&amp;" * "&amp;AA14)))</f>
        <v/>
      </c>
      <c r="AY14" s="152">
        <f>IF(A14=0,"",AG14+AI14+AK14)</f>
        <v/>
      </c>
      <c r="AZ14" s="155">
        <f>IF(A14=0,"",A14)</f>
        <v/>
      </c>
      <c r="BA14" s="156">
        <f>IF(A14=0,"",ROUND(AY14*AZ14,2))</f>
        <v/>
      </c>
    </row>
    <row r="15" ht="16.5" customHeight="1">
      <c r="A15" s="45" t="n">
        <v>0</v>
      </c>
      <c r="B15" s="43" t="n">
        <v>1</v>
      </c>
      <c r="C15" s="43" t="n"/>
      <c r="D15" s="48" t="n">
        <v>1</v>
      </c>
      <c r="E15" s="41">
        <f>MATCH(C15,ARTICULOS!$F$10:$F$699,0)</f>
        <v/>
      </c>
      <c r="F15" s="41">
        <f>+VLOOKUP(E15,ARTICULOS!$D$10:$I$699,6)</f>
        <v/>
      </c>
      <c r="G15" s="42">
        <f>+F15&amp;D15</f>
        <v/>
      </c>
      <c r="H15" s="42">
        <f>+MATCH(G15,COLORES!$E$7:$E$4394,0)</f>
        <v/>
      </c>
      <c r="I15" s="49">
        <f>VLOOKUP(H15,COLORES!$A$7:$I$4394,8)</f>
        <v/>
      </c>
      <c r="J15" s="50">
        <f>VLOOKUP(H15,COLORES!$A$7:$I$4394,9)</f>
        <v/>
      </c>
      <c r="K15" s="191">
        <f>I15*(1+B15)</f>
        <v/>
      </c>
      <c r="L15" s="44" t="n">
        <v>0</v>
      </c>
      <c r="M15" s="45" t="n">
        <v>0</v>
      </c>
      <c r="N15" s="47" t="n">
        <v>0</v>
      </c>
      <c r="O15" s="47" t="n">
        <v>0</v>
      </c>
      <c r="P15" s="47" t="n">
        <v>0</v>
      </c>
      <c r="Q15" s="47" t="n">
        <v>0</v>
      </c>
      <c r="R15" s="48" t="n"/>
      <c r="S15" s="53">
        <f>IF(P15&gt;0,IF(O15&gt;0,"(/)"&amp;O15&amp;"*"&amp;P15&amp;IF(Q15&gt;0,"+"&amp;Q15,IF(Q15=0,"",Q15)),+M15&amp;"*"&amp;N15&amp;"*"&amp;P15&amp;IF(Q15&gt;0,"+"&amp;Q15,IF(Q15=0,"",Q15))),"")</f>
        <v/>
      </c>
      <c r="T15" s="51">
        <f>+IF(O15&gt;0,O15+R15*2,M15+R15*2)+P15*2+Q15*2</f>
        <v/>
      </c>
      <c r="U15" s="52">
        <f>+IF(O15&gt;0,O15+R15*2,N15+R15*2)+P15*2+Q15*2</f>
        <v/>
      </c>
      <c r="V15" s="54" t="n"/>
      <c r="W15" s="56">
        <f>IF(V15=1,T15+5,T15+(V15*4))</f>
        <v/>
      </c>
      <c r="X15" s="57">
        <f>IF(V15=1,U15+5,U15+(V15*4))</f>
        <v/>
      </c>
      <c r="Y15" s="54" t="n">
        <v>0</v>
      </c>
      <c r="Z15" s="56">
        <f>IF(Y15=1,ROUNDUP(W15*(1+VLOOKUP(E15,ARTICULOS!$D$10:$H$699,5)),0),W15)</f>
        <v/>
      </c>
      <c r="AA15" s="57">
        <f>IF(Y15=1,ROUNDUP(X15*(1+VLOOKUP(E15,ARTICULOS!$D$10:$H$699,4)),0),X15)</f>
        <v/>
      </c>
      <c r="AB15" s="54" t="n">
        <v>2</v>
      </c>
      <c r="AC15" s="54" t="n"/>
      <c r="AD15" s="53">
        <f>IF(AC15=1,J15*100&amp;Z15,"")</f>
        <v/>
      </c>
      <c r="AE15" s="53">
        <f>IF(AC15=1,VLOOKUP(AD15,EMPALME!$C$2:$F$33,4),"")</f>
        <v/>
      </c>
      <c r="AF15" s="44" t="n"/>
      <c r="AG15" s="55">
        <f>IF(L15=3,IF(V15=1,CONFECCION!$C$18,CONFECCION!$C$18*2),IF(V15=1,HLOOKUP(AA15,CONFECCION!$C$17:$AD$33,VLOOKUP(Z15,CONFECCION!$A$18:$B$33,2)-16),2*HLOOKUP(AA15,CONFECCION!$C$17:$AD$33,VLOOKUP(Z15,CONFECCION!$A$18:$B$33,2)-16)))*IF(AC15=1,3,1)</f>
        <v/>
      </c>
      <c r="AH15" s="54" t="n"/>
      <c r="AI15" s="55">
        <f>IF(AC15=1,AA15/100*K15+IF(AF15&gt;0,K15*(VLOOKUP(AD15,EMPALME!$C$2:$D$33,2)/100)/AF15,K15*(VLOOKUP(AD15,EMPALME!$C$2:$D$33,2)/100)/VLOOKUP(AD15,EMPALME!$C$2:$F$33,4)),IF(AH15=2,ROUND((K15*(AA15/100)-(I15/10)*INT((AA15/100)/0.55)*INT((J15-(Z15/100)*INT(J15/(Z15/100)))/0.55))/INT(J15/(Z15/100)),2),ROUND(K15*(AA15/100)/INT(J15/(Z15/100)),2)))</f>
        <v/>
      </c>
      <c r="AJ15" s="54" t="n">
        <v>2</v>
      </c>
      <c r="AK15" s="55">
        <f>ROUND(IF(AJ15=2,0,((Z15*2)+(AA15*2))*CONFECCION!$B$35/100),2)</f>
        <v/>
      </c>
      <c r="AL15" s="54" t="n"/>
      <c r="AM15" s="54" t="n">
        <v>2</v>
      </c>
      <c r="AP15" s="149" t="n"/>
      <c r="AQ15" s="149">
        <f>IF(S15=0,"",S15)</f>
        <v/>
      </c>
      <c r="AR15" s="149">
        <f>IF(A15=0,"",VLOOKUP(L15,ARTICULOS!$A$10:$B$19,2))</f>
        <v/>
      </c>
      <c r="AS15" s="157">
        <f>IF(A15=0,"",T15&amp;" * "&amp;U15)&amp;IF(AM15=1," PR","")</f>
        <v/>
      </c>
      <c r="AT15" s="167">
        <f>IF(A15=0,"",VLOOKUP(E15,ARTICULOS!$D$10:$F$699,3))</f>
        <v/>
      </c>
      <c r="AU15" s="164">
        <f>IF(A15=0,"","c/ "&amp;D15&amp;" "&amp;VLOOKUP(H15,COLORES!$A$7:$G$4394,7))</f>
        <v/>
      </c>
      <c r="AV15" s="149">
        <f>IF(A15=0,"",IF(V15=1,"Dobl. Sencillo","Dobl. "&amp;V15&amp;" cm."))</f>
        <v/>
      </c>
      <c r="AW15" s="149">
        <f>+IF(Y15=1,"SI","")</f>
        <v/>
      </c>
      <c r="AX15" s="149">
        <f>IF(A15=0,"",IF(AB15=2,Z15&amp;" * "&amp;AA15,IF(Z15=AA15,"Redondo "&amp;Z15&amp;" * "&amp;AA15,"Ovalado "&amp;Z15&amp;" * "&amp;AA15)))</f>
        <v/>
      </c>
      <c r="AY15" s="152">
        <f>IF(A15=0,"",AG15+AI15+AK15)</f>
        <v/>
      </c>
      <c r="AZ15" s="155">
        <f>IF(A15=0,"",A15)</f>
        <v/>
      </c>
      <c r="BA15" s="156">
        <f>IF(A15=0,"",ROUND(AY15*AZ15,2))</f>
        <v/>
      </c>
    </row>
    <row r="16" ht="16.5" customHeight="1">
      <c r="A16" s="45" t="n">
        <v>0</v>
      </c>
      <c r="B16" s="43" t="n">
        <v>1</v>
      </c>
      <c r="C16" s="43" t="n"/>
      <c r="D16" s="48" t="n">
        <v>1</v>
      </c>
      <c r="E16" s="41">
        <f>MATCH(C16,ARTICULOS!$F$10:$F$699,0)</f>
        <v/>
      </c>
      <c r="F16" s="41">
        <f>+VLOOKUP(E16,ARTICULOS!$D$10:$I$699,6)</f>
        <v/>
      </c>
      <c r="G16" s="42">
        <f>+F16&amp;D16</f>
        <v/>
      </c>
      <c r="H16" s="42">
        <f>+MATCH(G16,COLORES!$E$7:$E$4394,0)</f>
        <v/>
      </c>
      <c r="I16" s="49">
        <f>VLOOKUP(H16,COLORES!$A$7:$I$4394,8)</f>
        <v/>
      </c>
      <c r="J16" s="50">
        <f>VLOOKUP(H16,COLORES!$A$7:$I$4394,9)</f>
        <v/>
      </c>
      <c r="K16" s="191">
        <f>I16*(1+B16)</f>
        <v/>
      </c>
      <c r="L16" s="44" t="n">
        <v>0</v>
      </c>
      <c r="M16" s="45" t="n">
        <v>0</v>
      </c>
      <c r="N16" s="47" t="n">
        <v>0</v>
      </c>
      <c r="O16" s="47" t="n">
        <v>0</v>
      </c>
      <c r="P16" s="47" t="n">
        <v>0</v>
      </c>
      <c r="Q16" s="47" t="n">
        <v>0</v>
      </c>
      <c r="R16" s="48" t="n"/>
      <c r="S16" s="53">
        <f>IF(P16&gt;0,IF(O16&gt;0,"(/)"&amp;O16&amp;"*"&amp;P16&amp;IF(Q16&gt;0,"+"&amp;Q16,IF(Q16=0,"",Q16)),+M16&amp;"*"&amp;N16&amp;"*"&amp;P16&amp;IF(Q16&gt;0,"+"&amp;Q16,IF(Q16=0,"",Q16))),"")</f>
        <v/>
      </c>
      <c r="T16" s="51">
        <f>+IF(O16&gt;0,O16+R16*2,M16+R16*2)+P16*2+Q16*2</f>
        <v/>
      </c>
      <c r="U16" s="52">
        <f>+IF(O16&gt;0,O16+R16*2,N16+R16*2)+P16*2+Q16*2</f>
        <v/>
      </c>
      <c r="V16" s="54" t="n"/>
      <c r="W16" s="56">
        <f>IF(V16=1,T16+5,T16+(V16*4))</f>
        <v/>
      </c>
      <c r="X16" s="57">
        <f>IF(V16=1,U16+5,U16+(V16*4))</f>
        <v/>
      </c>
      <c r="Y16" s="54" t="n">
        <v>0</v>
      </c>
      <c r="Z16" s="56">
        <f>IF(Y16=1,ROUNDUP(W16*(1+VLOOKUP(E16,ARTICULOS!$D$10:$H$699,5)),0),W16)</f>
        <v/>
      </c>
      <c r="AA16" s="57">
        <f>IF(Y16=1,ROUNDUP(X16*(1+VLOOKUP(E16,ARTICULOS!$D$10:$H$699,4)),0),X16)</f>
        <v/>
      </c>
      <c r="AB16" s="54" t="n">
        <v>2</v>
      </c>
      <c r="AC16" s="54" t="n"/>
      <c r="AD16" s="53">
        <f>IF(AC16=1,J16*100&amp;Z16,"")</f>
        <v/>
      </c>
      <c r="AE16" s="53">
        <f>IF(AC16=1,VLOOKUP(AD16,EMPALME!$C$2:$F$33,4),"")</f>
        <v/>
      </c>
      <c r="AF16" s="44" t="n"/>
      <c r="AG16" s="55">
        <f>IF(L16=3,IF(V16=1,CONFECCION!$C$18,CONFECCION!$C$18*2),IF(V16=1,HLOOKUP(AA16,CONFECCION!$C$17:$AD$33,VLOOKUP(Z16,CONFECCION!$A$18:$B$33,2)-16),2*HLOOKUP(AA16,CONFECCION!$C$17:$AD$33,VLOOKUP(Z16,CONFECCION!$A$18:$B$33,2)-16)))*IF(AC16=1,3,1)</f>
        <v/>
      </c>
      <c r="AH16" s="54" t="n"/>
      <c r="AI16" s="55">
        <f>IF(AC16=1,AA16/100*K16+IF(AF16&gt;0,K16*(VLOOKUP(AD16,EMPALME!$C$2:$D$33,2)/100)/AF16,K16*(VLOOKUP(AD16,EMPALME!$C$2:$D$33,2)/100)/VLOOKUP(AD16,EMPALME!$C$2:$F$33,4)),IF(AH16=2,ROUND((K16*(AA16/100)-(I16/10)*INT((AA16/100)/0.55)*INT((J16-(Z16/100)*INT(J16/(Z16/100)))/0.55))/INT(J16/(Z16/100)),2),ROUND(K16*(AA16/100)/INT(J16/(Z16/100)),2)))</f>
        <v/>
      </c>
      <c r="AJ16" s="54" t="n">
        <v>2</v>
      </c>
      <c r="AK16" s="55">
        <f>ROUND(IF(AJ16=2,0,((Z16*2)+(AA16*2))*CONFECCION!$B$35/100),2)</f>
        <v/>
      </c>
      <c r="AL16" s="54" t="n"/>
      <c r="AM16" s="54" t="n">
        <v>2</v>
      </c>
      <c r="AP16" s="149" t="n"/>
      <c r="AQ16" s="149">
        <f>IF(S16=0,"",S16)</f>
        <v/>
      </c>
      <c r="AR16" s="149">
        <f>IF(A16=0,"",VLOOKUP(L16,ARTICULOS!$A$10:$B$19,2))</f>
        <v/>
      </c>
      <c r="AS16" s="157">
        <f>IF(A16=0,"",T16&amp;" * "&amp;U16)&amp;IF(AM16=1," PR","")</f>
        <v/>
      </c>
      <c r="AT16" s="167">
        <f>IF(A16=0,"",VLOOKUP(E16,ARTICULOS!$D$10:$F$699,3))</f>
        <v/>
      </c>
      <c r="AU16" s="164">
        <f>IF(A16=0,"","c/ "&amp;D16&amp;" "&amp;VLOOKUP(H16,COLORES!$A$7:$G$4394,7))</f>
        <v/>
      </c>
      <c r="AV16" s="149">
        <f>IF(A16=0,"",IF(V16=1,"Dobl. Sencillo","Dobl. "&amp;V16&amp;" cm."))</f>
        <v/>
      </c>
      <c r="AW16" s="149">
        <f>+IF(Y16=1,"SI","")</f>
        <v/>
      </c>
      <c r="AX16" s="149">
        <f>IF(A16=0,"",IF(AB16=2,Z16&amp;" * "&amp;AA16,IF(Z16=AA16,"Redondo "&amp;Z16&amp;" * "&amp;AA16,"Ovalado "&amp;Z16&amp;" * "&amp;AA16)))</f>
        <v/>
      </c>
      <c r="AY16" s="152">
        <f>IF(A16=0,"",AG16+AI16+AK16)</f>
        <v/>
      </c>
      <c r="AZ16" s="155">
        <f>IF(A16=0,"",A16)</f>
        <v/>
      </c>
      <c r="BA16" s="156">
        <f>IF(A16=0,"",ROUND(AY16*AZ16,2))</f>
        <v/>
      </c>
    </row>
    <row r="17" ht="16.5" customHeight="1">
      <c r="A17" s="45" t="n">
        <v>0</v>
      </c>
      <c r="B17" s="43" t="n">
        <v>1</v>
      </c>
      <c r="C17" s="43" t="n"/>
      <c r="D17" s="48" t="n">
        <v>1</v>
      </c>
      <c r="E17" s="41">
        <f>MATCH(C17,ARTICULOS!$F$10:$F$699,0)</f>
        <v/>
      </c>
      <c r="F17" s="41">
        <f>+VLOOKUP(E17,ARTICULOS!$D$10:$I$699,6)</f>
        <v/>
      </c>
      <c r="G17" s="42">
        <f>+F17&amp;D17</f>
        <v/>
      </c>
      <c r="H17" s="42">
        <f>+MATCH(G17,COLORES!$E$7:$E$4394,0)</f>
        <v/>
      </c>
      <c r="I17" s="49">
        <f>VLOOKUP(H17,COLORES!$A$7:$I$4394,8)</f>
        <v/>
      </c>
      <c r="J17" s="50">
        <f>VLOOKUP(H17,COLORES!$A$7:$I$4394,9)</f>
        <v/>
      </c>
      <c r="K17" s="191">
        <f>I17*(1+B17)</f>
        <v/>
      </c>
      <c r="L17" s="44" t="n">
        <v>0</v>
      </c>
      <c r="M17" s="45" t="n">
        <v>0</v>
      </c>
      <c r="N17" s="47" t="n">
        <v>0</v>
      </c>
      <c r="O17" s="47" t="n">
        <v>0</v>
      </c>
      <c r="P17" s="47" t="n">
        <v>0</v>
      </c>
      <c r="Q17" s="47" t="n">
        <v>0</v>
      </c>
      <c r="R17" s="48" t="n"/>
      <c r="S17" s="53">
        <f>IF(P17&gt;0,IF(O17&gt;0,"(/)"&amp;O17&amp;"*"&amp;P17&amp;IF(Q17&gt;0,"+"&amp;Q17,IF(Q17=0,"",Q17)),+M17&amp;"*"&amp;N17&amp;"*"&amp;P17&amp;IF(Q17&gt;0,"+"&amp;Q17,IF(Q17=0,"",Q17))),"")</f>
        <v/>
      </c>
      <c r="T17" s="51">
        <f>+IF(O17&gt;0,O17+R17*2,M17+R17*2)+P17*2+Q17*2</f>
        <v/>
      </c>
      <c r="U17" s="52">
        <f>+IF(O17&gt;0,O17+R17*2,N17+R17*2)+P17*2+Q17*2</f>
        <v/>
      </c>
      <c r="V17" s="54" t="n"/>
      <c r="W17" s="56">
        <f>IF(V17=1,T17+5,T17+(V17*4))</f>
        <v/>
      </c>
      <c r="X17" s="57">
        <f>IF(V17=1,U17+5,U17+(V17*4))</f>
        <v/>
      </c>
      <c r="Y17" s="54" t="n">
        <v>0</v>
      </c>
      <c r="Z17" s="56">
        <f>IF(Y17=1,ROUNDUP(W17*(1+VLOOKUP(E17,ARTICULOS!$D$10:$H$699,5)),0),W17)</f>
        <v/>
      </c>
      <c r="AA17" s="57">
        <f>IF(Y17=1,ROUNDUP(X17*(1+VLOOKUP(E17,ARTICULOS!$D$10:$H$699,4)),0),X17)</f>
        <v/>
      </c>
      <c r="AB17" s="54" t="n">
        <v>2</v>
      </c>
      <c r="AC17" s="54" t="n"/>
      <c r="AD17" s="53">
        <f>IF(AC17=1,J17*100&amp;Z17,"")</f>
        <v/>
      </c>
      <c r="AE17" s="53">
        <f>IF(AC17=1,VLOOKUP(AD17,EMPALME!$C$2:$F$33,4),"")</f>
        <v/>
      </c>
      <c r="AF17" s="44" t="n"/>
      <c r="AG17" s="55">
        <f>IF(L17=3,IF(V17=1,CONFECCION!$C$18,CONFECCION!$C$18*2),IF(V17=1,HLOOKUP(AA17,CONFECCION!$C$17:$AD$33,VLOOKUP(Z17,CONFECCION!$A$18:$B$33,2)-16),2*HLOOKUP(AA17,CONFECCION!$C$17:$AD$33,VLOOKUP(Z17,CONFECCION!$A$18:$B$33,2)-16)))*IF(AC17=1,3,1)</f>
        <v/>
      </c>
      <c r="AH17" s="54" t="n"/>
      <c r="AI17" s="55">
        <f>IF(AC17=1,AA17/100*K17+IF(AF17&gt;0,K17*(VLOOKUP(AD17,EMPALME!$C$2:$D$33,2)/100)/AF17,K17*(VLOOKUP(AD17,EMPALME!$C$2:$D$33,2)/100)/VLOOKUP(AD17,EMPALME!$C$2:$F$33,4)),IF(AH17=2,ROUND((K17*(AA17/100)-(I17/10)*INT((AA17/100)/0.55)*INT((J17-(Z17/100)*INT(J17/(Z17/100)))/0.55))/INT(J17/(Z17/100)),2),ROUND(K17*(AA17/100)/INT(J17/(Z17/100)),2)))</f>
        <v/>
      </c>
      <c r="AJ17" s="54" t="n">
        <v>2</v>
      </c>
      <c r="AK17" s="55">
        <f>ROUND(IF(AJ17=2,0,((Z17*2)+(AA17*2))*CONFECCION!$B$35/100),2)</f>
        <v/>
      </c>
      <c r="AL17" s="54" t="n"/>
      <c r="AM17" s="54" t="n">
        <v>2</v>
      </c>
      <c r="AP17" s="149" t="n"/>
      <c r="AQ17" s="149">
        <f>IF(S17=0,"",S17)</f>
        <v/>
      </c>
      <c r="AR17" s="149">
        <f>IF(A17=0,"",VLOOKUP(L17,ARTICULOS!$A$10:$B$19,2))</f>
        <v/>
      </c>
      <c r="AS17" s="157">
        <f>IF(A17=0,"",T17&amp;" * "&amp;U17)&amp;IF(AM17=1," PR","")</f>
        <v/>
      </c>
      <c r="AT17" s="167">
        <f>IF(A17=0,"",VLOOKUP(E17,ARTICULOS!$D$10:$F$699,3))</f>
        <v/>
      </c>
      <c r="AU17" s="164">
        <f>IF(A17=0,"","c/ "&amp;D17&amp;" "&amp;VLOOKUP(H17,COLORES!$A$7:$G$4394,7))</f>
        <v/>
      </c>
      <c r="AV17" s="149">
        <f>IF(A17=0,"",IF(V17=1,"Dobl. Sencillo","Dobl. "&amp;V17&amp;" cm."))</f>
        <v/>
      </c>
      <c r="AW17" s="149">
        <f>+IF(Y17=1,"SI","")</f>
        <v/>
      </c>
      <c r="AX17" s="149">
        <f>IF(A17=0,"",IF(AB17=2,Z17&amp;" * "&amp;AA17,IF(Z17=AA17,"Redondo "&amp;Z17&amp;" * "&amp;AA17,"Ovalado "&amp;Z17&amp;" * "&amp;AA17)))</f>
        <v/>
      </c>
      <c r="AY17" s="152">
        <f>IF(A17=0,"",AG17+AI17+AK17)</f>
        <v/>
      </c>
      <c r="AZ17" s="155">
        <f>IF(A17=0,"",A17)</f>
        <v/>
      </c>
      <c r="BA17" s="156">
        <f>IF(A17=0,"",ROUND(AY17*AZ17,2))</f>
        <v/>
      </c>
    </row>
    <row r="18" ht="16.5" customHeight="1">
      <c r="A18" s="45" t="n">
        <v>0</v>
      </c>
      <c r="B18" s="43" t="n">
        <v>1</v>
      </c>
      <c r="C18" s="43" t="n"/>
      <c r="D18" s="48" t="n">
        <v>1</v>
      </c>
      <c r="E18" s="41">
        <f>MATCH(C18,ARTICULOS!$F$10:$F$699,0)</f>
        <v/>
      </c>
      <c r="F18" s="41">
        <f>+VLOOKUP(E18,ARTICULOS!$D$10:$I$699,6)</f>
        <v/>
      </c>
      <c r="G18" s="42">
        <f>+F18&amp;D18</f>
        <v/>
      </c>
      <c r="H18" s="42">
        <f>+MATCH(G18,COLORES!$E$7:$E$4394,0)</f>
        <v/>
      </c>
      <c r="I18" s="49">
        <f>VLOOKUP(H18,COLORES!$A$7:$I$4394,8)</f>
        <v/>
      </c>
      <c r="J18" s="50">
        <f>VLOOKUP(H18,COLORES!$A$7:$I$4394,9)</f>
        <v/>
      </c>
      <c r="K18" s="191">
        <f>I18*(1+B18)</f>
        <v/>
      </c>
      <c r="L18" s="44" t="n">
        <v>0</v>
      </c>
      <c r="M18" s="45" t="n">
        <v>0</v>
      </c>
      <c r="N18" s="47" t="n">
        <v>0</v>
      </c>
      <c r="O18" s="47" t="n">
        <v>0</v>
      </c>
      <c r="P18" s="47" t="n">
        <v>0</v>
      </c>
      <c r="Q18" s="47" t="n">
        <v>0</v>
      </c>
      <c r="R18" s="48" t="n"/>
      <c r="S18" s="53">
        <f>IF(P18&gt;0,IF(O18&gt;0,"(/)"&amp;O18&amp;"*"&amp;P18&amp;IF(Q18&gt;0,"+"&amp;Q18,IF(Q18=0,"",Q18)),+M18&amp;"*"&amp;N18&amp;"*"&amp;P18&amp;IF(Q18&gt;0,"+"&amp;Q18,IF(Q18=0,"",Q18))),"")</f>
        <v/>
      </c>
      <c r="T18" s="51">
        <f>+IF(O18&gt;0,O18+R18*2,M18+R18*2)+P18*2+Q18*2</f>
        <v/>
      </c>
      <c r="U18" s="52">
        <f>+IF(O18&gt;0,O18+R18*2,N18+R18*2)+P18*2+Q18*2</f>
        <v/>
      </c>
      <c r="V18" s="54" t="n"/>
      <c r="W18" s="56">
        <f>IF(V18=1,T18+5,T18+(V18*4))</f>
        <v/>
      </c>
      <c r="X18" s="57">
        <f>IF(V18=1,U18+5,U18+(V18*4))</f>
        <v/>
      </c>
      <c r="Y18" s="54" t="n">
        <v>0</v>
      </c>
      <c r="Z18" s="56">
        <f>IF(Y18=1,ROUNDUP(W18*(1+VLOOKUP(E18,ARTICULOS!$D$10:$H$699,5)),0),W18)</f>
        <v/>
      </c>
      <c r="AA18" s="57">
        <f>IF(Y18=1,ROUNDUP(X18*(1+VLOOKUP(E18,ARTICULOS!$D$10:$H$699,4)),0),X18)</f>
        <v/>
      </c>
      <c r="AB18" s="54" t="n">
        <v>2</v>
      </c>
      <c r="AC18" s="54" t="n"/>
      <c r="AD18" s="53">
        <f>IF(AC18=1,J18*100&amp;Z18,"")</f>
        <v/>
      </c>
      <c r="AE18" s="53">
        <f>IF(AC18=1,VLOOKUP(AD18,EMPALME!$C$2:$F$33,4),"")</f>
        <v/>
      </c>
      <c r="AF18" s="44" t="n"/>
      <c r="AG18" s="55">
        <f>IF(L18=3,IF(V18=1,CONFECCION!$C$18,CONFECCION!$C$18*2),IF(V18=1,HLOOKUP(AA18,CONFECCION!$C$17:$AD$33,VLOOKUP(Z18,CONFECCION!$A$18:$B$33,2)-16),2*HLOOKUP(AA18,CONFECCION!$C$17:$AD$33,VLOOKUP(Z18,CONFECCION!$A$18:$B$33,2)-16)))*IF(AC18=1,3,1)</f>
        <v/>
      </c>
      <c r="AH18" s="54" t="n"/>
      <c r="AI18" s="55">
        <f>IF(AC18=1,AA18/100*K18+IF(AF18&gt;0,K18*(VLOOKUP(AD18,EMPALME!$C$2:$D$33,2)/100)/AF18,K18*(VLOOKUP(AD18,EMPALME!$C$2:$D$33,2)/100)/VLOOKUP(AD18,EMPALME!$C$2:$F$33,4)),IF(AH18=2,ROUND((K18*(AA18/100)-(I18/10)*INT((AA18/100)/0.55)*INT((J18-(Z18/100)*INT(J18/(Z18/100)))/0.55))/INT(J18/(Z18/100)),2),ROUND(K18*(AA18/100)/INT(J18/(Z18/100)),2)))</f>
        <v/>
      </c>
      <c r="AJ18" s="54" t="n">
        <v>2</v>
      </c>
      <c r="AK18" s="55">
        <f>ROUND(IF(AJ18=2,0,((Z18*2)+(AA18*2))*CONFECCION!$B$35/100),2)</f>
        <v/>
      </c>
      <c r="AL18" s="54" t="n"/>
      <c r="AM18" s="54" t="n">
        <v>2</v>
      </c>
      <c r="AP18" s="149" t="n"/>
      <c r="AQ18" s="149">
        <f>IF(S18=0,"",S18)</f>
        <v/>
      </c>
      <c r="AR18" s="149">
        <f>IF(A18=0,"",VLOOKUP(L18,ARTICULOS!$A$10:$B$19,2))</f>
        <v/>
      </c>
      <c r="AS18" s="157">
        <f>IF(A18=0,"",T18&amp;" * "&amp;U18)&amp;IF(AM18=1," PR","")</f>
        <v/>
      </c>
      <c r="AT18" s="167">
        <f>IF(A18=0,"",VLOOKUP(E18,ARTICULOS!$D$10:$F$699,3))</f>
        <v/>
      </c>
      <c r="AU18" s="164">
        <f>IF(A18=0,"","c/ "&amp;D18&amp;" "&amp;VLOOKUP(H18,COLORES!$A$7:$G$4394,7))</f>
        <v/>
      </c>
      <c r="AV18" s="149">
        <f>IF(A18=0,"",IF(V18=1,"Dobl. Sencillo","Dobl. "&amp;V18&amp;" cm."))</f>
        <v/>
      </c>
      <c r="AW18" s="149">
        <f>+IF(Y18=1,"SI","")</f>
        <v/>
      </c>
      <c r="AX18" s="149">
        <f>IF(A18=0,"",IF(AB18=2,Z18&amp;" * "&amp;AA18,IF(Z18=AA18,"Redondo "&amp;Z18&amp;" * "&amp;AA18,"Ovalado "&amp;Z18&amp;" * "&amp;AA18)))</f>
        <v/>
      </c>
      <c r="AY18" s="152">
        <f>IF(A18=0,"",AG18+AI18+AK18)</f>
        <v/>
      </c>
      <c r="AZ18" s="155">
        <f>IF(A18=0,"",A18)</f>
        <v/>
      </c>
      <c r="BA18" s="156">
        <f>IF(A18=0,"",ROUND(AY18*AZ18,2))</f>
        <v/>
      </c>
    </row>
    <row r="19" ht="16.5" customHeight="1">
      <c r="A19" s="45" t="n">
        <v>0</v>
      </c>
      <c r="B19" s="43" t="n">
        <v>1</v>
      </c>
      <c r="C19" s="43" t="n"/>
      <c r="D19" s="48" t="n">
        <v>1</v>
      </c>
      <c r="E19" s="41">
        <f>MATCH(C19,ARTICULOS!$F$10:$F$699,0)</f>
        <v/>
      </c>
      <c r="F19" s="41">
        <f>+VLOOKUP(E19,ARTICULOS!$D$10:$I$699,6)</f>
        <v/>
      </c>
      <c r="G19" s="42">
        <f>+F19&amp;D19</f>
        <v/>
      </c>
      <c r="H19" s="42">
        <f>+MATCH(G19,COLORES!$E$7:$E$4394,0)</f>
        <v/>
      </c>
      <c r="I19" s="49">
        <f>VLOOKUP(H19,COLORES!$A$7:$I$4394,8)</f>
        <v/>
      </c>
      <c r="J19" s="50">
        <f>VLOOKUP(H19,COLORES!$A$7:$I$4394,9)</f>
        <v/>
      </c>
      <c r="K19" s="191">
        <f>I19*(1+B19)</f>
        <v/>
      </c>
      <c r="L19" s="44" t="n">
        <v>0</v>
      </c>
      <c r="M19" s="45" t="n">
        <v>0</v>
      </c>
      <c r="N19" s="47" t="n">
        <v>0</v>
      </c>
      <c r="O19" s="47" t="n">
        <v>0</v>
      </c>
      <c r="P19" s="47" t="n">
        <v>0</v>
      </c>
      <c r="Q19" s="47" t="n">
        <v>0</v>
      </c>
      <c r="R19" s="48" t="n"/>
      <c r="S19" s="53">
        <f>IF(P19&gt;0,IF(O19&gt;0,"(/)"&amp;O19&amp;"*"&amp;P19&amp;IF(Q19&gt;0,"+"&amp;Q19,IF(Q19=0,"",Q19)),+M19&amp;"*"&amp;N19&amp;"*"&amp;P19&amp;IF(Q19&gt;0,"+"&amp;Q19,IF(Q19=0,"",Q19))),"")</f>
        <v/>
      </c>
      <c r="T19" s="51">
        <f>+IF(O19&gt;0,O19+R19*2,M19+R19*2)+P19*2+Q19*2</f>
        <v/>
      </c>
      <c r="U19" s="52">
        <f>+IF(O19&gt;0,O19+R19*2,N19+R19*2)+P19*2+Q19*2</f>
        <v/>
      </c>
      <c r="V19" s="54" t="n"/>
      <c r="W19" s="56">
        <f>IF(V19=1,T19+5,T19+(V19*4))</f>
        <v/>
      </c>
      <c r="X19" s="57">
        <f>IF(V19=1,U19+5,U19+(V19*4))</f>
        <v/>
      </c>
      <c r="Y19" s="54" t="n">
        <v>0</v>
      </c>
      <c r="Z19" s="56">
        <f>IF(Y19=1,ROUNDUP(W19*(1+VLOOKUP(E19,ARTICULOS!$D$10:$H$699,5)),0),W19)</f>
        <v/>
      </c>
      <c r="AA19" s="57">
        <f>IF(Y19=1,ROUNDUP(X19*(1+VLOOKUP(E19,ARTICULOS!$D$10:$H$699,4)),0),X19)</f>
        <v/>
      </c>
      <c r="AB19" s="54" t="n">
        <v>2</v>
      </c>
      <c r="AC19" s="54" t="n"/>
      <c r="AD19" s="53">
        <f>IF(AC19=1,J19*100&amp;Z19,"")</f>
        <v/>
      </c>
      <c r="AE19" s="53">
        <f>IF(AC19=1,VLOOKUP(AD19,EMPALME!$C$2:$F$33,4),"")</f>
        <v/>
      </c>
      <c r="AF19" s="44" t="n"/>
      <c r="AG19" s="55">
        <f>IF(L19=3,IF(V19=1,CONFECCION!$C$18,CONFECCION!$C$18*2),IF(V19=1,HLOOKUP(AA19,CONFECCION!$C$17:$AD$33,VLOOKUP(Z19,CONFECCION!$A$18:$B$33,2)-16),2*HLOOKUP(AA19,CONFECCION!$C$17:$AD$33,VLOOKUP(Z19,CONFECCION!$A$18:$B$33,2)-16)))*IF(AC19=1,3,1)</f>
        <v/>
      </c>
      <c r="AH19" s="54" t="n"/>
      <c r="AI19" s="55">
        <f>IF(AC19=1,AA19/100*K19+IF(AF19&gt;0,K19*(VLOOKUP(AD19,EMPALME!$C$2:$D$33,2)/100)/AF19,K19*(VLOOKUP(AD19,EMPALME!$C$2:$D$33,2)/100)/VLOOKUP(AD19,EMPALME!$C$2:$F$33,4)),IF(AH19=2,ROUND((K19*(AA19/100)-(I19/10)*INT((AA19/100)/0.55)*INT((J19-(Z19/100)*INT(J19/(Z19/100)))/0.55))/INT(J19/(Z19/100)),2),ROUND(K19*(AA19/100)/INT(J19/(Z19/100)),2)))</f>
        <v/>
      </c>
      <c r="AJ19" s="54" t="n">
        <v>2</v>
      </c>
      <c r="AK19" s="55">
        <f>ROUND(IF(AJ19=2,0,((Z19*2)+(AA19*2))*CONFECCION!$B$35/100),2)</f>
        <v/>
      </c>
      <c r="AL19" s="54" t="n"/>
      <c r="AM19" s="54" t="n">
        <v>2</v>
      </c>
      <c r="AP19" s="149" t="n"/>
      <c r="AQ19" s="149">
        <f>IF(S19=0,"",S19)</f>
        <v/>
      </c>
      <c r="AR19" s="149">
        <f>IF(A19=0,"",VLOOKUP(L19,ARTICULOS!$A$10:$B$19,2))</f>
        <v/>
      </c>
      <c r="AS19" s="157">
        <f>IF(A19=0,"",T19&amp;" * "&amp;U19)&amp;IF(AM19=1," PR","")</f>
        <v/>
      </c>
      <c r="AT19" s="167">
        <f>IF(A19=0,"",VLOOKUP(E19,ARTICULOS!$D$10:$F$699,3))</f>
        <v/>
      </c>
      <c r="AU19" s="164">
        <f>IF(A19=0,"","c/ "&amp;D19&amp;" "&amp;VLOOKUP(H19,COLORES!$A$7:$G$4394,7))</f>
        <v/>
      </c>
      <c r="AV19" s="149">
        <f>IF(A19=0,"",IF(V19=1,"Dobl. Sencillo","Dobl. "&amp;V19&amp;" cm."))</f>
        <v/>
      </c>
      <c r="AW19" s="149">
        <f>+IF(Y19=1,"SI","")</f>
        <v/>
      </c>
      <c r="AX19" s="149">
        <f>IF(A19=0,"",IF(AB19=2,Z19&amp;" * "&amp;AA19,IF(Z19=AA19,"Redondo "&amp;Z19&amp;" * "&amp;AA19,"Ovalado "&amp;Z19&amp;" * "&amp;AA19)))</f>
        <v/>
      </c>
      <c r="AY19" s="152">
        <f>IF(A19=0,"",AG19+AI19+AK19)</f>
        <v/>
      </c>
      <c r="AZ19" s="155">
        <f>IF(A19=0,"",A19)</f>
        <v/>
      </c>
      <c r="BA19" s="156">
        <f>IF(A19=0,"",ROUND(AY19*AZ19,2))</f>
        <v/>
      </c>
    </row>
    <row r="20" ht="16.5" customHeight="1">
      <c r="A20" s="45" t="n">
        <v>0</v>
      </c>
      <c r="B20" s="43" t="n">
        <v>1</v>
      </c>
      <c r="C20" s="43" t="n"/>
      <c r="D20" s="48" t="n">
        <v>1</v>
      </c>
      <c r="E20" s="41">
        <f>MATCH(C20,ARTICULOS!$F$10:$F$699,0)</f>
        <v/>
      </c>
      <c r="F20" s="41">
        <f>+VLOOKUP(E20,ARTICULOS!$D$10:$I$699,6)</f>
        <v/>
      </c>
      <c r="G20" s="42">
        <f>+F20&amp;D20</f>
        <v/>
      </c>
      <c r="H20" s="42">
        <f>+MATCH(G20,COLORES!$E$7:$E$4394,0)</f>
        <v/>
      </c>
      <c r="I20" s="49">
        <f>VLOOKUP(H20,COLORES!$A$7:$I$4394,8)</f>
        <v/>
      </c>
      <c r="J20" s="50">
        <f>VLOOKUP(H20,COLORES!$A$7:$I$4394,9)</f>
        <v/>
      </c>
      <c r="K20" s="191">
        <f>I20*(1+B20)</f>
        <v/>
      </c>
      <c r="L20" s="44" t="n">
        <v>0</v>
      </c>
      <c r="M20" s="45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8" t="n"/>
      <c r="S20" s="53">
        <f>IF(P20&gt;0,IF(O20&gt;0,"(/)"&amp;O20&amp;"*"&amp;P20&amp;IF(Q20&gt;0,"+"&amp;Q20,IF(Q20=0,"",Q20)),+M20&amp;"*"&amp;N20&amp;"*"&amp;P20&amp;IF(Q20&gt;0,"+"&amp;Q20,IF(Q20=0,"",Q20))),"")</f>
        <v/>
      </c>
      <c r="T20" s="51">
        <f>+IF(O20&gt;0,O20+R20*2,M20+R20*2)+P20*2+Q20*2</f>
        <v/>
      </c>
      <c r="U20" s="52">
        <f>+IF(O20&gt;0,O20+R20*2,N20+R20*2)+P20*2+Q20*2</f>
        <v/>
      </c>
      <c r="V20" s="54" t="n"/>
      <c r="W20" s="56">
        <f>IF(V20=1,T20+5,T20+(V20*4))</f>
        <v/>
      </c>
      <c r="X20" s="57">
        <f>IF(V20=1,U20+5,U20+(V20*4))</f>
        <v/>
      </c>
      <c r="Y20" s="54" t="n">
        <v>0</v>
      </c>
      <c r="Z20" s="56">
        <f>IF(Y20=1,ROUNDUP(W20*(1+VLOOKUP(E20,ARTICULOS!$D$10:$H$699,5)),0),W20)</f>
        <v/>
      </c>
      <c r="AA20" s="57">
        <f>IF(Y20=1,ROUNDUP(X20*(1+VLOOKUP(E20,ARTICULOS!$D$10:$H$699,4)),0),X20)</f>
        <v/>
      </c>
      <c r="AB20" s="54" t="n">
        <v>2</v>
      </c>
      <c r="AC20" s="54" t="n"/>
      <c r="AD20" s="53">
        <f>IF(AC20=1,J20*100&amp;Z20,"")</f>
        <v/>
      </c>
      <c r="AE20" s="53">
        <f>IF(AC20=1,VLOOKUP(AD20,EMPALME!$C$2:$F$33,4),"")</f>
        <v/>
      </c>
      <c r="AF20" s="44" t="n"/>
      <c r="AG20" s="55">
        <f>IF(L20=3,IF(V20=1,CONFECCION!$C$18,CONFECCION!$C$18*2),IF(V20=1,HLOOKUP(AA20,CONFECCION!$C$17:$AD$33,VLOOKUP(Z20,CONFECCION!$A$18:$B$33,2)-16),2*HLOOKUP(AA20,CONFECCION!$C$17:$AD$33,VLOOKUP(Z20,CONFECCION!$A$18:$B$33,2)-16)))*IF(AC20=1,3,1)</f>
        <v/>
      </c>
      <c r="AH20" s="54" t="n"/>
      <c r="AI20" s="55">
        <f>IF(AC20=1,AA20/100*K20+IF(AF20&gt;0,K20*(VLOOKUP(AD20,EMPALME!$C$2:$D$33,2)/100)/AF20,K20*(VLOOKUP(AD20,EMPALME!$C$2:$D$33,2)/100)/VLOOKUP(AD20,EMPALME!$C$2:$F$33,4)),IF(AH20=2,ROUND((K20*(AA20/100)-(I20/10)*INT((AA20/100)/0.55)*INT((J20-(Z20/100)*INT(J20/(Z20/100)))/0.55))/INT(J20/(Z20/100)),2),ROUND(K20*(AA20/100)/INT(J20/(Z20/100)),2)))</f>
        <v/>
      </c>
      <c r="AJ20" s="54" t="n">
        <v>2</v>
      </c>
      <c r="AK20" s="55">
        <f>ROUND(IF(AJ20=2,0,((Z20*2)+(AA20*2))*CONFECCION!$B$35/100),2)</f>
        <v/>
      </c>
      <c r="AL20" s="54" t="n"/>
      <c r="AM20" s="54" t="n">
        <v>2</v>
      </c>
      <c r="AP20" s="149" t="n"/>
      <c r="AQ20" s="149">
        <f>IF(S20=0,"",S20)</f>
        <v/>
      </c>
      <c r="AR20" s="149">
        <f>IF(A20=0,"",VLOOKUP(L20,ARTICULOS!$A$10:$B$19,2))</f>
        <v/>
      </c>
      <c r="AS20" s="157">
        <f>IF(A20=0,"",T20&amp;" * "&amp;U20)&amp;IF(AM20=1," PR","")</f>
        <v/>
      </c>
      <c r="AT20" s="167">
        <f>IF(A20=0,"",VLOOKUP(E20,ARTICULOS!$D$10:$F$699,3))</f>
        <v/>
      </c>
      <c r="AU20" s="164">
        <f>IF(A20=0,"","c/ "&amp;D20&amp;" "&amp;VLOOKUP(H20,COLORES!$A$7:$G$4394,7))</f>
        <v/>
      </c>
      <c r="AV20" s="149">
        <f>IF(A20=0,"",IF(V20=1,"Dobl. Sencillo","Dobl. "&amp;V20&amp;" cm."))</f>
        <v/>
      </c>
      <c r="AW20" s="149">
        <f>+IF(Y20=1,"SI","")</f>
        <v/>
      </c>
      <c r="AX20" s="149">
        <f>IF(A20=0,"",IF(AB20=2,Z20&amp;" * "&amp;AA20,IF(Z20=AA20,"Redondo "&amp;Z20&amp;" * "&amp;AA20,"Ovalado "&amp;Z20&amp;" * "&amp;AA20)))</f>
        <v/>
      </c>
      <c r="AY20" s="152">
        <f>IF(A20=0,"",AG20+AI20+AK20)</f>
        <v/>
      </c>
      <c r="AZ20" s="155">
        <f>IF(A20=0,"",A20)</f>
        <v/>
      </c>
      <c r="BA20" s="156">
        <f>IF(A20=0,"",ROUND(AY20*AZ20,2))</f>
        <v/>
      </c>
    </row>
    <row r="21" ht="16.5" customHeight="1">
      <c r="A21" s="45" t="n">
        <v>0</v>
      </c>
      <c r="B21" s="43" t="n">
        <v>1</v>
      </c>
      <c r="C21" s="43" t="n"/>
      <c r="D21" s="48" t="n">
        <v>1</v>
      </c>
      <c r="E21" s="41">
        <f>MATCH(C21,ARTICULOS!$F$10:$F$699,0)</f>
        <v/>
      </c>
      <c r="F21" s="41">
        <f>+VLOOKUP(E21,ARTICULOS!$D$10:$I$699,6)</f>
        <v/>
      </c>
      <c r="G21" s="42">
        <f>+F21&amp;D21</f>
        <v/>
      </c>
      <c r="H21" s="42">
        <f>+MATCH(G21,COLORES!$E$7:$E$4394,0)</f>
        <v/>
      </c>
      <c r="I21" s="49">
        <f>VLOOKUP(H21,COLORES!$A$7:$I$4394,8)</f>
        <v/>
      </c>
      <c r="J21" s="50">
        <f>VLOOKUP(H21,COLORES!$A$7:$I$4394,9)</f>
        <v/>
      </c>
      <c r="K21" s="191">
        <f>I21*(1+B21)</f>
        <v/>
      </c>
      <c r="L21" s="44" t="n">
        <v>0</v>
      </c>
      <c r="M21" s="45" t="n">
        <v>0</v>
      </c>
      <c r="N21" s="47" t="n">
        <v>0</v>
      </c>
      <c r="O21" s="47" t="n">
        <v>0</v>
      </c>
      <c r="P21" s="47" t="n">
        <v>0</v>
      </c>
      <c r="Q21" s="47" t="n">
        <v>0</v>
      </c>
      <c r="R21" s="48" t="n"/>
      <c r="S21" s="53">
        <f>IF(P21&gt;0,IF(O21&gt;0,"(/)"&amp;O21&amp;"*"&amp;P21&amp;IF(Q21&gt;0,"+"&amp;Q21,IF(Q21=0,"",Q21)),+M21&amp;"*"&amp;N21&amp;"*"&amp;P21&amp;IF(Q21&gt;0,"+"&amp;Q21,IF(Q21=0,"",Q21))),"")</f>
        <v/>
      </c>
      <c r="T21" s="51">
        <f>+IF(O21&gt;0,O21+R21*2,M21+R21*2)+P21*2+Q21*2</f>
        <v/>
      </c>
      <c r="U21" s="52">
        <f>+IF(O21&gt;0,O21+R21*2,N21+R21*2)+P21*2+Q21*2</f>
        <v/>
      </c>
      <c r="V21" s="54" t="n"/>
      <c r="W21" s="56">
        <f>IF(V21=1,T21+5,T21+(V21*4))</f>
        <v/>
      </c>
      <c r="X21" s="57">
        <f>IF(V21=1,U21+5,U21+(V21*4))</f>
        <v/>
      </c>
      <c r="Y21" s="54" t="n">
        <v>0</v>
      </c>
      <c r="Z21" s="56">
        <f>IF(Y21=1,ROUNDUP(W21*(1+VLOOKUP(E21,ARTICULOS!$D$10:$H$699,5)),0),W21)</f>
        <v/>
      </c>
      <c r="AA21" s="57">
        <f>IF(Y21=1,ROUNDUP(X21*(1+VLOOKUP(E21,ARTICULOS!$D$10:$H$699,4)),0),X21)</f>
        <v/>
      </c>
      <c r="AB21" s="54" t="n">
        <v>2</v>
      </c>
      <c r="AC21" s="54" t="n"/>
      <c r="AD21" s="53">
        <f>IF(AC21=1,J21*100&amp;Z21,"")</f>
        <v/>
      </c>
      <c r="AE21" s="53">
        <f>IF(AC21=1,VLOOKUP(AD21,EMPALME!$C$2:$F$33,4),"")</f>
        <v/>
      </c>
      <c r="AF21" s="44" t="n"/>
      <c r="AG21" s="55">
        <f>IF(L21=3,IF(V21=1,CONFECCION!$C$18,CONFECCION!$C$18*2),IF(V21=1,HLOOKUP(AA21,CONFECCION!$C$17:$AD$33,VLOOKUP(Z21,CONFECCION!$A$18:$B$33,2)-16),2*HLOOKUP(AA21,CONFECCION!$C$17:$AD$33,VLOOKUP(Z21,CONFECCION!$A$18:$B$33,2)-16)))*IF(AC21=1,3,1)</f>
        <v/>
      </c>
      <c r="AH21" s="54" t="n"/>
      <c r="AI21" s="55">
        <f>IF(AC21=1,AA21/100*K21+IF(AF21&gt;0,K21*(VLOOKUP(AD21,EMPALME!$C$2:$D$33,2)/100)/AF21,K21*(VLOOKUP(AD21,EMPALME!$C$2:$D$33,2)/100)/VLOOKUP(AD21,EMPALME!$C$2:$F$33,4)),IF(AH21=2,ROUND((K21*(AA21/100)-(I21/10)*INT((AA21/100)/0.55)*INT((J21-(Z21/100)*INT(J21/(Z21/100)))/0.55))/INT(J21/(Z21/100)),2),ROUND(K21*(AA21/100)/INT(J21/(Z21/100)),2)))</f>
        <v/>
      </c>
      <c r="AJ21" s="54" t="n">
        <v>2</v>
      </c>
      <c r="AK21" s="55">
        <f>ROUND(IF(AJ21=2,0,((Z21*2)+(AA21*2))*CONFECCION!$B$35/100),2)</f>
        <v/>
      </c>
      <c r="AL21" s="54" t="n"/>
      <c r="AM21" s="54" t="n">
        <v>2</v>
      </c>
      <c r="AP21" s="149" t="n"/>
      <c r="AQ21" s="149">
        <f>IF(S21=0,"",S21)</f>
        <v/>
      </c>
      <c r="AR21" s="149">
        <f>IF(A21=0,"",VLOOKUP(L21,ARTICULOS!$A$10:$B$19,2))</f>
        <v/>
      </c>
      <c r="AS21" s="157">
        <f>IF(A21=0,"",T21&amp;" * "&amp;U21)&amp;IF(AM21=1," PR","")</f>
        <v/>
      </c>
      <c r="AT21" s="167">
        <f>IF(A21=0,"",VLOOKUP(E21,ARTICULOS!$D$10:$F$699,3))</f>
        <v/>
      </c>
      <c r="AU21" s="164">
        <f>IF(A21=0,"","c/ "&amp;D21&amp;" "&amp;VLOOKUP(H21,COLORES!$A$7:$G$4394,7))</f>
        <v/>
      </c>
      <c r="AV21" s="149">
        <f>IF(A21=0,"",IF(V21=1,"Dobl. Sencillo","Dobl. "&amp;V21&amp;" cm."))</f>
        <v/>
      </c>
      <c r="AW21" s="149">
        <f>+IF(Y21=1,"SI","")</f>
        <v/>
      </c>
      <c r="AX21" s="149">
        <f>IF(A21=0,"",IF(AB21=2,Z21&amp;" * "&amp;AA21,IF(Z21=AA21,"Redondo "&amp;Z21&amp;" * "&amp;AA21,"Ovalado "&amp;Z21&amp;" * "&amp;AA21)))</f>
        <v/>
      </c>
      <c r="AY21" s="152">
        <f>IF(A21=0,"",AG21+AI21+AK21)</f>
        <v/>
      </c>
      <c r="AZ21" s="155">
        <f>IF(A21=0,"",A21)</f>
        <v/>
      </c>
      <c r="BA21" s="156">
        <f>IF(A21=0,"",ROUND(AY21*AZ21,2))</f>
        <v/>
      </c>
    </row>
    <row r="22" ht="16.5" customHeight="1">
      <c r="A22" s="45" t="n">
        <v>0</v>
      </c>
      <c r="B22" s="43" t="n">
        <v>1</v>
      </c>
      <c r="C22" s="43" t="n"/>
      <c r="D22" s="48" t="n">
        <v>1</v>
      </c>
      <c r="E22" s="41">
        <f>MATCH(C22,ARTICULOS!$F$10:$F$699,0)</f>
        <v/>
      </c>
      <c r="F22" s="41">
        <f>+VLOOKUP(E22,ARTICULOS!$D$10:$I$699,6)</f>
        <v/>
      </c>
      <c r="G22" s="42">
        <f>+F22&amp;D22</f>
        <v/>
      </c>
      <c r="H22" s="42">
        <f>+MATCH(G22,COLORES!$E$7:$E$4394,0)</f>
        <v/>
      </c>
      <c r="I22" s="49">
        <f>VLOOKUP(H22,COLORES!$A$7:$I$4394,8)</f>
        <v/>
      </c>
      <c r="J22" s="50">
        <f>VLOOKUP(H22,COLORES!$A$7:$I$4394,9)</f>
        <v/>
      </c>
      <c r="K22" s="191">
        <f>I22*(1+B22)</f>
        <v/>
      </c>
      <c r="L22" s="44" t="n">
        <v>0</v>
      </c>
      <c r="M22" s="45" t="n">
        <v>0</v>
      </c>
      <c r="N22" s="47" t="n">
        <v>0</v>
      </c>
      <c r="O22" s="47" t="n">
        <v>0</v>
      </c>
      <c r="P22" s="47" t="n">
        <v>0</v>
      </c>
      <c r="Q22" s="47" t="n">
        <v>0</v>
      </c>
      <c r="R22" s="48" t="n"/>
      <c r="S22" s="53">
        <f>IF(P22&gt;0,IF(O22&gt;0,"(/)"&amp;O22&amp;"*"&amp;P22&amp;IF(Q22&gt;0,"+"&amp;Q22,IF(Q22=0,"",Q22)),+M22&amp;"*"&amp;N22&amp;"*"&amp;P22&amp;IF(Q22&gt;0,"+"&amp;Q22,IF(Q22=0,"",Q22))),"")</f>
        <v/>
      </c>
      <c r="T22" s="51">
        <f>+IF(O22&gt;0,O22+R22*2,M22+R22*2)+P22*2+Q22*2</f>
        <v/>
      </c>
      <c r="U22" s="52">
        <f>+IF(O22&gt;0,O22+R22*2,N22+R22*2)+P22*2+Q22*2</f>
        <v/>
      </c>
      <c r="V22" s="54" t="n"/>
      <c r="W22" s="56">
        <f>IF(V22=1,T22+5,T22+(V22*4))</f>
        <v/>
      </c>
      <c r="X22" s="57">
        <f>IF(V22=1,U22+5,U22+(V22*4))</f>
        <v/>
      </c>
      <c r="Y22" s="54" t="n">
        <v>0</v>
      </c>
      <c r="Z22" s="56">
        <f>IF(Y22=1,ROUNDUP(W22*(1+VLOOKUP(E22,ARTICULOS!$D$10:$H$699,5)),0),W22)</f>
        <v/>
      </c>
      <c r="AA22" s="57">
        <f>IF(Y22=1,ROUNDUP(X22*(1+VLOOKUP(E22,ARTICULOS!$D$10:$H$699,4)),0),X22)</f>
        <v/>
      </c>
      <c r="AB22" s="54" t="n">
        <v>2</v>
      </c>
      <c r="AC22" s="54" t="n"/>
      <c r="AD22" s="53">
        <f>IF(AC22=1,J22*100&amp;Z22,"")</f>
        <v/>
      </c>
      <c r="AE22" s="53">
        <f>IF(AC22=1,VLOOKUP(AD22,EMPALME!$C$2:$F$33,4),"")</f>
        <v/>
      </c>
      <c r="AF22" s="44" t="n"/>
      <c r="AG22" s="55">
        <f>IF(L22=3,IF(V22=1,CONFECCION!$C$18,CONFECCION!$C$18*2),IF(V22=1,HLOOKUP(AA22,CONFECCION!$C$17:$AD$33,VLOOKUP(Z22,CONFECCION!$A$18:$B$33,2)-16),2*HLOOKUP(AA22,CONFECCION!$C$17:$AD$33,VLOOKUP(Z22,CONFECCION!$A$18:$B$33,2)-16)))*IF(AC22=1,3,1)</f>
        <v/>
      </c>
      <c r="AH22" s="54" t="n"/>
      <c r="AI22" s="55">
        <f>IF(AC22=1,AA22/100*K22+IF(AF22&gt;0,K22*(VLOOKUP(AD22,EMPALME!$C$2:$D$33,2)/100)/AF22,K22*(VLOOKUP(AD22,EMPALME!$C$2:$D$33,2)/100)/VLOOKUP(AD22,EMPALME!$C$2:$F$33,4)),IF(AH22=2,ROUND((K22*(AA22/100)-(I22/10)*INT((AA22/100)/0.55)*INT((J22-(Z22/100)*INT(J22/(Z22/100)))/0.55))/INT(J22/(Z22/100)),2),ROUND(K22*(AA22/100)/INT(J22/(Z22/100)),2)))</f>
        <v/>
      </c>
      <c r="AJ22" s="54" t="n">
        <v>2</v>
      </c>
      <c r="AK22" s="55">
        <f>ROUND(IF(AJ22=2,0,((Z22*2)+(AA22*2))*CONFECCION!$B$35/100),2)</f>
        <v/>
      </c>
      <c r="AL22" s="54" t="n"/>
      <c r="AM22" s="54" t="n">
        <v>2</v>
      </c>
      <c r="AP22" s="149" t="n"/>
      <c r="AQ22" s="149">
        <f>IF(S22=0,"",S22)</f>
        <v/>
      </c>
      <c r="AR22" s="149">
        <f>IF(A22=0,"",VLOOKUP(L22,ARTICULOS!$A$10:$B$19,2))</f>
        <v/>
      </c>
      <c r="AS22" s="157">
        <f>IF(A22=0,"",T22&amp;" * "&amp;U22)&amp;IF(AM22=1," PR","")</f>
        <v/>
      </c>
      <c r="AT22" s="167">
        <f>IF(A22=0,"",VLOOKUP(E22,ARTICULOS!$D$10:$F$699,3))</f>
        <v/>
      </c>
      <c r="AU22" s="164">
        <f>IF(A22=0,"","c/ "&amp;D22&amp;" "&amp;VLOOKUP(H22,COLORES!$A$7:$G$4394,7))</f>
        <v/>
      </c>
      <c r="AV22" s="149">
        <f>IF(A22=0,"",IF(V22=1,"Dobl. Sencillo","Dobl. "&amp;V22&amp;" cm."))</f>
        <v/>
      </c>
      <c r="AW22" s="149">
        <f>+IF(Y22=1,"SI","")</f>
        <v/>
      </c>
      <c r="AX22" s="149">
        <f>IF(A22=0,"",IF(AB22=2,Z22&amp;" * "&amp;AA22,IF(Z22=AA22,"Redondo "&amp;Z22&amp;" * "&amp;AA22,"Ovalado "&amp;Z22&amp;" * "&amp;AA22)))</f>
        <v/>
      </c>
      <c r="AY22" s="152">
        <f>IF(A22=0,"",AG22+AI22+AK22)</f>
        <v/>
      </c>
      <c r="AZ22" s="155">
        <f>IF(A22=0,"",A22)</f>
        <v/>
      </c>
      <c r="BA22" s="156">
        <f>IF(A22=0,"",ROUND(AY22*AZ22,2))</f>
        <v/>
      </c>
    </row>
    <row r="23" ht="16.5" customHeight="1">
      <c r="A23" s="45" t="n">
        <v>0</v>
      </c>
      <c r="B23" s="43" t="n">
        <v>1</v>
      </c>
      <c r="C23" s="43" t="n"/>
      <c r="D23" s="48" t="n">
        <v>1</v>
      </c>
      <c r="E23" s="41">
        <f>MATCH(C23,ARTICULOS!$F$10:$F$699,0)</f>
        <v/>
      </c>
      <c r="F23" s="41">
        <f>+VLOOKUP(E23,ARTICULOS!$D$10:$I$699,6)</f>
        <v/>
      </c>
      <c r="G23" s="42">
        <f>+F23&amp;D23</f>
        <v/>
      </c>
      <c r="H23" s="42">
        <f>+MATCH(G23,COLORES!$E$7:$E$4394,0)</f>
        <v/>
      </c>
      <c r="I23" s="49">
        <f>VLOOKUP(H23,COLORES!$A$7:$I$4394,8)</f>
        <v/>
      </c>
      <c r="J23" s="50">
        <f>VLOOKUP(H23,COLORES!$A$7:$I$4394,9)</f>
        <v/>
      </c>
      <c r="K23" s="191">
        <f>I23*(1+B23)</f>
        <v/>
      </c>
      <c r="L23" s="44" t="n">
        <v>0</v>
      </c>
      <c r="M23" s="45" t="n">
        <v>0</v>
      </c>
      <c r="N23" s="47" t="n">
        <v>0</v>
      </c>
      <c r="O23" s="47" t="n">
        <v>0</v>
      </c>
      <c r="P23" s="47" t="n">
        <v>0</v>
      </c>
      <c r="Q23" s="47" t="n">
        <v>0</v>
      </c>
      <c r="R23" s="48" t="n"/>
      <c r="S23" s="53">
        <f>IF(P23&gt;0,IF(O23&gt;0,"(/)"&amp;O23&amp;"*"&amp;P23&amp;IF(Q23&gt;0,"+"&amp;Q23,IF(Q23=0,"",Q23)),+M23&amp;"*"&amp;N23&amp;"*"&amp;P23&amp;IF(Q23&gt;0,"+"&amp;Q23,IF(Q23=0,"",Q23))),"")</f>
        <v/>
      </c>
      <c r="T23" s="51">
        <f>+IF(O23&gt;0,O23+R23*2,M23+R23*2)+P23*2+Q23*2</f>
        <v/>
      </c>
      <c r="U23" s="52">
        <f>+IF(O23&gt;0,O23+R23*2,N23+R23*2)+P23*2+Q23*2</f>
        <v/>
      </c>
      <c r="V23" s="54" t="n"/>
      <c r="W23" s="56">
        <f>IF(V23=1,T23+5,T23+(V23*4))</f>
        <v/>
      </c>
      <c r="X23" s="57">
        <f>IF(V23=1,U23+5,U23+(V23*4))</f>
        <v/>
      </c>
      <c r="Y23" s="54" t="n">
        <v>0</v>
      </c>
      <c r="Z23" s="56">
        <f>IF(Y23=1,ROUNDUP(W23*(1+VLOOKUP(E23,ARTICULOS!$D$10:$H$699,5)),0),W23)</f>
        <v/>
      </c>
      <c r="AA23" s="57">
        <f>IF(Y23=1,ROUNDUP(X23*(1+VLOOKUP(E23,ARTICULOS!$D$10:$H$699,4)),0),X23)</f>
        <v/>
      </c>
      <c r="AB23" s="54" t="n">
        <v>2</v>
      </c>
      <c r="AC23" s="54" t="n"/>
      <c r="AD23" s="53">
        <f>IF(AC23=1,J23*100&amp;Z23,"")</f>
        <v/>
      </c>
      <c r="AE23" s="53">
        <f>IF(AC23=1,VLOOKUP(AD23,EMPALME!$C$2:$F$33,4),"")</f>
        <v/>
      </c>
      <c r="AF23" s="44" t="n"/>
      <c r="AG23" s="55">
        <f>IF(L23=3,IF(V23=1,CONFECCION!$C$18,CONFECCION!$C$18*2),IF(V23=1,HLOOKUP(AA23,CONFECCION!$C$17:$AD$33,VLOOKUP(Z23,CONFECCION!$A$18:$B$33,2)-16),2*HLOOKUP(AA23,CONFECCION!$C$17:$AD$33,VLOOKUP(Z23,CONFECCION!$A$18:$B$33,2)-16)))*IF(AC23=1,3,1)</f>
        <v/>
      </c>
      <c r="AH23" s="54" t="n"/>
      <c r="AI23" s="55">
        <f>IF(AC23=1,AA23/100*K23+IF(AF23&gt;0,K23*(VLOOKUP(AD23,EMPALME!$C$2:$D$33,2)/100)/AF23,K23*(VLOOKUP(AD23,EMPALME!$C$2:$D$33,2)/100)/VLOOKUP(AD23,EMPALME!$C$2:$F$33,4)),IF(AH23=2,ROUND((K23*(AA23/100)-(I23/10)*INT((AA23/100)/0.55)*INT((J23-(Z23/100)*INT(J23/(Z23/100)))/0.55))/INT(J23/(Z23/100)),2),ROUND(K23*(AA23/100)/INT(J23/(Z23/100)),2)))</f>
        <v/>
      </c>
      <c r="AJ23" s="54" t="n">
        <v>2</v>
      </c>
      <c r="AK23" s="55">
        <f>ROUND(IF(AJ23=2,0,((Z23*2)+(AA23*2))*CONFECCION!$B$35/100),2)</f>
        <v/>
      </c>
      <c r="AL23" s="54" t="n"/>
      <c r="AM23" s="54" t="n">
        <v>2</v>
      </c>
      <c r="AP23" s="149" t="n"/>
      <c r="AQ23" s="149">
        <f>IF(S23=0,"",S23)</f>
        <v/>
      </c>
      <c r="AR23" s="149">
        <f>IF(A23=0,"",VLOOKUP(L23,ARTICULOS!$A$10:$B$19,2))</f>
        <v/>
      </c>
      <c r="AS23" s="157">
        <f>IF(A23=0,"",T23&amp;" * "&amp;U23)&amp;IF(AM23=1," PR","")</f>
        <v/>
      </c>
      <c r="AT23" s="167">
        <f>IF(A23=0,"",VLOOKUP(E23,ARTICULOS!$D$10:$F$699,3))</f>
        <v/>
      </c>
      <c r="AU23" s="164">
        <f>IF(A23=0,"","c/ "&amp;D23&amp;" "&amp;VLOOKUP(H23,COLORES!$A$7:$G$4394,7))</f>
        <v/>
      </c>
      <c r="AV23" s="149">
        <f>IF(A23=0,"",IF(V23=1,"Dobl. Sencillo","Dobl. "&amp;V23&amp;" cm."))</f>
        <v/>
      </c>
      <c r="AW23" s="149">
        <f>+IF(Y23=1,"SI","")</f>
        <v/>
      </c>
      <c r="AX23" s="149">
        <f>IF(A23=0,"",IF(AB23=2,Z23&amp;" * "&amp;AA23,IF(Z23=AA23,"Redondo "&amp;Z23&amp;" * "&amp;AA23,"Ovalado "&amp;Z23&amp;" * "&amp;AA23)))</f>
        <v/>
      </c>
      <c r="AY23" s="152">
        <f>IF(A23=0,"",AG23+AI23+AK23)</f>
        <v/>
      </c>
      <c r="AZ23" s="155">
        <f>IF(A23=0,"",A23)</f>
        <v/>
      </c>
      <c r="BA23" s="156">
        <f>IF(A23=0,"",ROUND(AY23*AZ23,2))</f>
        <v/>
      </c>
    </row>
    <row r="24" ht="16.5" customHeight="1">
      <c r="A24" s="45" t="n">
        <v>0</v>
      </c>
      <c r="B24" s="43" t="n">
        <v>1</v>
      </c>
      <c r="C24" s="43" t="n"/>
      <c r="D24" s="48" t="n">
        <v>1</v>
      </c>
      <c r="E24" s="41">
        <f>MATCH(C24,ARTICULOS!$F$10:$F$699,0)</f>
        <v/>
      </c>
      <c r="F24" s="41">
        <f>+VLOOKUP(E24,ARTICULOS!$D$10:$I$699,6)</f>
        <v/>
      </c>
      <c r="G24" s="42">
        <f>+F24&amp;D24</f>
        <v/>
      </c>
      <c r="H24" s="42">
        <f>+MATCH(G24,COLORES!$E$7:$E$4394,0)</f>
        <v/>
      </c>
      <c r="I24" s="49">
        <f>VLOOKUP(H24,COLORES!$A$7:$I$4394,8)</f>
        <v/>
      </c>
      <c r="J24" s="50">
        <f>VLOOKUP(H24,COLORES!$A$7:$I$4394,9)</f>
        <v/>
      </c>
      <c r="K24" s="191">
        <f>I24*(1+B24)</f>
        <v/>
      </c>
      <c r="L24" s="44" t="n">
        <v>0</v>
      </c>
      <c r="M24" s="45" t="n">
        <v>0</v>
      </c>
      <c r="N24" s="47" t="n">
        <v>0</v>
      </c>
      <c r="O24" s="47" t="n">
        <v>0</v>
      </c>
      <c r="P24" s="47" t="n">
        <v>0</v>
      </c>
      <c r="Q24" s="47" t="n">
        <v>0</v>
      </c>
      <c r="R24" s="48" t="n"/>
      <c r="S24" s="53">
        <f>IF(P24&gt;0,IF(O24&gt;0,"(/)"&amp;O24&amp;"*"&amp;P24&amp;IF(Q24&gt;0,"+"&amp;Q24,IF(Q24=0,"",Q24)),+M24&amp;"*"&amp;N24&amp;"*"&amp;P24&amp;IF(Q24&gt;0,"+"&amp;Q24,IF(Q24=0,"",Q24))),"")</f>
        <v/>
      </c>
      <c r="T24" s="51">
        <f>+IF(O24&gt;0,O24+R24*2,M24+R24*2)+P24*2+Q24*2</f>
        <v/>
      </c>
      <c r="U24" s="52">
        <f>+IF(O24&gt;0,O24+R24*2,N24+R24*2)+P24*2+Q24*2</f>
        <v/>
      </c>
      <c r="V24" s="54" t="n"/>
      <c r="W24" s="56">
        <f>IF(V24=1,T24+5,T24+(V24*4))</f>
        <v/>
      </c>
      <c r="X24" s="57">
        <f>IF(V24=1,U24+5,U24+(V24*4))</f>
        <v/>
      </c>
      <c r="Y24" s="54" t="n">
        <v>0</v>
      </c>
      <c r="Z24" s="56">
        <f>IF(Y24=1,ROUNDUP(W24*(1+VLOOKUP(E24,ARTICULOS!$D$10:$H$699,5)),0),W24)</f>
        <v/>
      </c>
      <c r="AA24" s="57">
        <f>IF(Y24=1,ROUNDUP(X24*(1+VLOOKUP(E24,ARTICULOS!$D$10:$H$699,4)),0),X24)</f>
        <v/>
      </c>
      <c r="AB24" s="54" t="n">
        <v>2</v>
      </c>
      <c r="AC24" s="54" t="n"/>
      <c r="AD24" s="53">
        <f>IF(AC24=1,J24*100&amp;Z24,"")</f>
        <v/>
      </c>
      <c r="AE24" s="53">
        <f>IF(AC24=1,VLOOKUP(AD24,EMPALME!$C$2:$F$33,4),"")</f>
        <v/>
      </c>
      <c r="AF24" s="44" t="n"/>
      <c r="AG24" s="55">
        <f>IF(L24=3,IF(V24=1,CONFECCION!$C$18,CONFECCION!$C$18*2),IF(V24=1,HLOOKUP(AA24,CONFECCION!$C$17:$AD$33,VLOOKUP(Z24,CONFECCION!$A$18:$B$33,2)-16),2*HLOOKUP(AA24,CONFECCION!$C$17:$AD$33,VLOOKUP(Z24,CONFECCION!$A$18:$B$33,2)-16)))*IF(AC24=1,3,1)</f>
        <v/>
      </c>
      <c r="AH24" s="54" t="n"/>
      <c r="AI24" s="55">
        <f>IF(AC24=1,AA24/100*K24+IF(AF24&gt;0,K24*(VLOOKUP(AD24,EMPALME!$C$2:$D$33,2)/100)/AF24,K24*(VLOOKUP(AD24,EMPALME!$C$2:$D$33,2)/100)/VLOOKUP(AD24,EMPALME!$C$2:$F$33,4)),IF(AH24=2,ROUND((K24*(AA24/100)-(I24/10)*INT((AA24/100)/0.55)*INT((J24-(Z24/100)*INT(J24/(Z24/100)))/0.55))/INT(J24/(Z24/100)),2),ROUND(K24*(AA24/100)/INT(J24/(Z24/100)),2)))</f>
        <v/>
      </c>
      <c r="AJ24" s="54" t="n">
        <v>2</v>
      </c>
      <c r="AK24" s="55">
        <f>ROUND(IF(AJ24=2,0,((Z24*2)+(AA24*2))*CONFECCION!$B$35/100),2)</f>
        <v/>
      </c>
      <c r="AL24" s="54" t="n"/>
      <c r="AM24" s="54" t="n">
        <v>2</v>
      </c>
      <c r="AP24" s="149" t="n"/>
      <c r="AQ24" s="149">
        <f>IF(S24=0,"",S24)</f>
        <v/>
      </c>
      <c r="AR24" s="149">
        <f>IF(A24=0,"",VLOOKUP(L24,ARTICULOS!$A$10:$B$19,2))</f>
        <v/>
      </c>
      <c r="AS24" s="157">
        <f>IF(A24=0,"",T24&amp;" * "&amp;U24)&amp;IF(AM24=1," PR","")</f>
        <v/>
      </c>
      <c r="AT24" s="167">
        <f>IF(A24=0,"",VLOOKUP(E24,ARTICULOS!$D$10:$F$699,3))</f>
        <v/>
      </c>
      <c r="AU24" s="164">
        <f>IF(A24=0,"","c/ "&amp;D24&amp;" "&amp;VLOOKUP(H24,COLORES!$A$7:$G$4394,7))</f>
        <v/>
      </c>
      <c r="AV24" s="149">
        <f>IF(A24=0,"",IF(V24=1,"Dobl. Sencillo","Dobl. "&amp;V24&amp;" cm."))</f>
        <v/>
      </c>
      <c r="AW24" s="149">
        <f>+IF(Y24=1,"SI","")</f>
        <v/>
      </c>
      <c r="AX24" s="149">
        <f>IF(A24=0,"",IF(AB24=2,Z24&amp;" * "&amp;AA24,IF(Z24=AA24,"Redondo "&amp;Z24&amp;" * "&amp;AA24,"Ovalado "&amp;Z24&amp;" * "&amp;AA24)))</f>
        <v/>
      </c>
      <c r="AY24" s="152">
        <f>IF(A24=0,"",AG24+AI24+AK24)</f>
        <v/>
      </c>
      <c r="AZ24" s="155">
        <f>IF(A24=0,"",A24)</f>
        <v/>
      </c>
      <c r="BA24" s="156">
        <f>IF(A24=0,"",ROUND(AY24*AZ24,2))</f>
        <v/>
      </c>
    </row>
    <row r="25" ht="16.5" customHeight="1">
      <c r="A25" s="45" t="n">
        <v>0</v>
      </c>
      <c r="B25" s="43" t="n">
        <v>1</v>
      </c>
      <c r="C25" s="43" t="n"/>
      <c r="D25" s="48" t="n">
        <v>1</v>
      </c>
      <c r="E25" s="41">
        <f>MATCH(C25,ARTICULOS!$F$10:$F$699,0)</f>
        <v/>
      </c>
      <c r="F25" s="41">
        <f>+VLOOKUP(E25,ARTICULOS!$D$10:$I$699,6)</f>
        <v/>
      </c>
      <c r="G25" s="42">
        <f>+F25&amp;D25</f>
        <v/>
      </c>
      <c r="H25" s="42">
        <f>+MATCH(G25,COLORES!$E$7:$E$4394,0)</f>
        <v/>
      </c>
      <c r="I25" s="49">
        <f>VLOOKUP(H25,COLORES!$A$7:$I$4394,8)</f>
        <v/>
      </c>
      <c r="J25" s="50">
        <f>VLOOKUP(H25,COLORES!$A$7:$I$4394,9)</f>
        <v/>
      </c>
      <c r="K25" s="191">
        <f>I25*(1+B25)</f>
        <v/>
      </c>
      <c r="L25" s="44" t="n">
        <v>0</v>
      </c>
      <c r="M25" s="45" t="n">
        <v>0</v>
      </c>
      <c r="N25" s="47" t="n">
        <v>0</v>
      </c>
      <c r="O25" s="47" t="n">
        <v>0</v>
      </c>
      <c r="P25" s="47" t="n">
        <v>0</v>
      </c>
      <c r="Q25" s="47" t="n">
        <v>0</v>
      </c>
      <c r="R25" s="48" t="n"/>
      <c r="S25" s="53">
        <f>IF(P25&gt;0,IF(O25&gt;0,"(/)"&amp;O25&amp;"*"&amp;P25&amp;IF(Q25&gt;0,"+"&amp;Q25,IF(Q25=0,"",Q25)),+M25&amp;"*"&amp;N25&amp;"*"&amp;P25&amp;IF(Q25&gt;0,"+"&amp;Q25,IF(Q25=0,"",Q25))),"")</f>
        <v/>
      </c>
      <c r="T25" s="51">
        <f>+IF(O25&gt;0,O25+R25*2,M25+R25*2)+P25*2+Q25*2</f>
        <v/>
      </c>
      <c r="U25" s="52">
        <f>+IF(O25&gt;0,O25+R25*2,N25+R25*2)+P25*2+Q25*2</f>
        <v/>
      </c>
      <c r="V25" s="54" t="n"/>
      <c r="W25" s="56">
        <f>IF(V25=1,T25+5,T25+(V25*4))</f>
        <v/>
      </c>
      <c r="X25" s="57">
        <f>IF(V25=1,U25+5,U25+(V25*4))</f>
        <v/>
      </c>
      <c r="Y25" s="54" t="n">
        <v>0</v>
      </c>
      <c r="Z25" s="56">
        <f>IF(Y25=1,ROUNDUP(W25*(1+VLOOKUP(E25,ARTICULOS!$D$10:$H$699,5)),0),W25)</f>
        <v/>
      </c>
      <c r="AA25" s="57">
        <f>IF(Y25=1,ROUNDUP(X25*(1+VLOOKUP(E25,ARTICULOS!$D$10:$H$699,4)),0),X25)</f>
        <v/>
      </c>
      <c r="AB25" s="54" t="n">
        <v>2</v>
      </c>
      <c r="AC25" s="54" t="n"/>
      <c r="AD25" s="53">
        <f>IF(AC25=1,J25*100&amp;Z25,"")</f>
        <v/>
      </c>
      <c r="AE25" s="53">
        <f>IF(AC25=1,VLOOKUP(AD25,EMPALME!$C$2:$F$33,4),"")</f>
        <v/>
      </c>
      <c r="AF25" s="44" t="n"/>
      <c r="AG25" s="55">
        <f>IF(L25=3,IF(V25=1,CONFECCION!$C$18,CONFECCION!$C$18*2),IF(V25=1,HLOOKUP(AA25,CONFECCION!$C$17:$AD$33,VLOOKUP(Z25,CONFECCION!$A$18:$B$33,2)-16),2*HLOOKUP(AA25,CONFECCION!$C$17:$AD$33,VLOOKUP(Z25,CONFECCION!$A$18:$B$33,2)-16)))*IF(AC25=1,3,1)</f>
        <v/>
      </c>
      <c r="AH25" s="54" t="n"/>
      <c r="AI25" s="55">
        <f>IF(AC25=1,AA25/100*K25+IF(AF25&gt;0,K25*(VLOOKUP(AD25,EMPALME!$C$2:$D$33,2)/100)/AF25,K25*(VLOOKUP(AD25,EMPALME!$C$2:$D$33,2)/100)/VLOOKUP(AD25,EMPALME!$C$2:$F$33,4)),IF(AH25=2,ROUND((K25*(AA25/100)-(I25/10)*INT((AA25/100)/0.55)*INT((J25-(Z25/100)*INT(J25/(Z25/100)))/0.55))/INT(J25/(Z25/100)),2),ROUND(K25*(AA25/100)/INT(J25/(Z25/100)),2)))</f>
        <v/>
      </c>
      <c r="AJ25" s="54" t="n">
        <v>2</v>
      </c>
      <c r="AK25" s="55">
        <f>ROUND(IF(AJ25=2,0,((Z25*2)+(AA25*2))*CONFECCION!$B$35/100),2)</f>
        <v/>
      </c>
      <c r="AL25" s="54" t="n"/>
      <c r="AM25" s="54" t="n">
        <v>2</v>
      </c>
      <c r="AP25" s="149" t="n"/>
      <c r="AQ25" s="149">
        <f>IF(S25=0,"",S25)</f>
        <v/>
      </c>
      <c r="AR25" s="149">
        <f>IF(A25=0,"",VLOOKUP(L25,ARTICULOS!$A$10:$B$19,2))</f>
        <v/>
      </c>
      <c r="AS25" s="157">
        <f>IF(A25=0,"",T25&amp;" * "&amp;U25)&amp;IF(AM25=1," PR","")</f>
        <v/>
      </c>
      <c r="AT25" s="167">
        <f>IF(A25=0,"",VLOOKUP(E25,ARTICULOS!$D$10:$F$699,3))</f>
        <v/>
      </c>
      <c r="AU25" s="164">
        <f>IF(A25=0,"","c/ "&amp;D25&amp;" "&amp;VLOOKUP(H25,COLORES!$A$7:$G$4394,7))</f>
        <v/>
      </c>
      <c r="AV25" s="149">
        <f>IF(A25=0,"",IF(V25=1,"Dobl. Sencillo","Dobl. "&amp;V25&amp;" cm."))</f>
        <v/>
      </c>
      <c r="AW25" s="149">
        <f>+IF(Y25=1,"SI","")</f>
        <v/>
      </c>
      <c r="AX25" s="149">
        <f>IF(A25=0,"",IF(AB25=2,Z25&amp;" * "&amp;AA25,IF(Z25=AA25,"Redondo "&amp;Z25&amp;" * "&amp;AA25,"Ovalado "&amp;Z25&amp;" * "&amp;AA25)))</f>
        <v/>
      </c>
      <c r="AY25" s="152">
        <f>IF(A25=0,"",AG25+AI25+AK25)</f>
        <v/>
      </c>
      <c r="AZ25" s="155">
        <f>IF(A25=0,"",A25)</f>
        <v/>
      </c>
      <c r="BA25" s="156">
        <f>IF(A25=0,"",ROUND(AY25*AZ25,2))</f>
        <v/>
      </c>
    </row>
    <row r="26" ht="16.5" customHeight="1">
      <c r="A26" s="45" t="n">
        <v>0</v>
      </c>
      <c r="B26" s="43" t="n">
        <v>1</v>
      </c>
      <c r="C26" s="43" t="n"/>
      <c r="D26" s="48" t="n">
        <v>1</v>
      </c>
      <c r="E26" s="41">
        <f>MATCH(C26,ARTICULOS!$F$10:$F$699,0)</f>
        <v/>
      </c>
      <c r="F26" s="41">
        <f>+VLOOKUP(E26,ARTICULOS!$D$10:$I$699,6)</f>
        <v/>
      </c>
      <c r="G26" s="42">
        <f>+F26&amp;D26</f>
        <v/>
      </c>
      <c r="H26" s="42">
        <f>+MATCH(G26,COLORES!$E$7:$E$4394,0)</f>
        <v/>
      </c>
      <c r="I26" s="49">
        <f>VLOOKUP(H26,COLORES!$A$7:$I$4394,8)</f>
        <v/>
      </c>
      <c r="J26" s="50">
        <f>VLOOKUP(H26,COLORES!$A$7:$I$4394,9)</f>
        <v/>
      </c>
      <c r="K26" s="191">
        <f>I26*(1+B26)</f>
        <v/>
      </c>
      <c r="L26" s="44" t="n">
        <v>0</v>
      </c>
      <c r="M26" s="45" t="n">
        <v>0</v>
      </c>
      <c r="N26" s="47" t="n">
        <v>0</v>
      </c>
      <c r="O26" s="47" t="n">
        <v>0</v>
      </c>
      <c r="P26" s="47" t="n">
        <v>0</v>
      </c>
      <c r="Q26" s="47" t="n">
        <v>0</v>
      </c>
      <c r="R26" s="48" t="n"/>
      <c r="S26" s="53">
        <f>IF(P26&gt;0,IF(O26&gt;0,"(/)"&amp;O26&amp;"*"&amp;P26&amp;IF(Q26&gt;0,"+"&amp;Q26,IF(Q26=0,"",Q26)),+M26&amp;"*"&amp;N26&amp;"*"&amp;P26&amp;IF(Q26&gt;0,"+"&amp;Q26,IF(Q26=0,"",Q26))),"")</f>
        <v/>
      </c>
      <c r="T26" s="51">
        <f>+IF(O26&gt;0,O26+R26*2,M26+R26*2)+P26*2+Q26*2</f>
        <v/>
      </c>
      <c r="U26" s="52">
        <f>+IF(O26&gt;0,O26+R26*2,N26+R26*2)+P26*2+Q26*2</f>
        <v/>
      </c>
      <c r="V26" s="54" t="n"/>
      <c r="W26" s="56">
        <f>IF(V26=1,T26+5,T26+(V26*4))</f>
        <v/>
      </c>
      <c r="X26" s="57">
        <f>IF(V26=1,U26+5,U26+(V26*4))</f>
        <v/>
      </c>
      <c r="Y26" s="54" t="n">
        <v>0</v>
      </c>
      <c r="Z26" s="56">
        <f>IF(Y26=1,ROUNDUP(W26*(1+VLOOKUP(E26,ARTICULOS!$D$10:$H$699,5)),0),W26)</f>
        <v/>
      </c>
      <c r="AA26" s="57">
        <f>IF(Y26=1,ROUNDUP(X26*(1+VLOOKUP(E26,ARTICULOS!$D$10:$H$699,4)),0),X26)</f>
        <v/>
      </c>
      <c r="AB26" s="54" t="n">
        <v>2</v>
      </c>
      <c r="AC26" s="54" t="n"/>
      <c r="AD26" s="53">
        <f>IF(AC26=1,J26*100&amp;Z26,"")</f>
        <v/>
      </c>
      <c r="AE26" s="53">
        <f>IF(AC26=1,VLOOKUP(AD26,EMPALME!$C$2:$F$33,4),"")</f>
        <v/>
      </c>
      <c r="AF26" s="44" t="n"/>
      <c r="AG26" s="55">
        <f>IF(L26=3,IF(V26=1,CONFECCION!$C$18,CONFECCION!$C$18*2),IF(V26=1,HLOOKUP(AA26,CONFECCION!$C$17:$AD$33,VLOOKUP(Z26,CONFECCION!$A$18:$B$33,2)-16),2*HLOOKUP(AA26,CONFECCION!$C$17:$AD$33,VLOOKUP(Z26,CONFECCION!$A$18:$B$33,2)-16)))*IF(AC26=1,3,1)</f>
        <v/>
      </c>
      <c r="AH26" s="54" t="n"/>
      <c r="AI26" s="55">
        <f>IF(AC26=1,AA26/100*K26+IF(AF26&gt;0,K26*(VLOOKUP(AD26,EMPALME!$C$2:$D$33,2)/100)/AF26,K26*(VLOOKUP(AD26,EMPALME!$C$2:$D$33,2)/100)/VLOOKUP(AD26,EMPALME!$C$2:$F$33,4)),IF(AH26=2,ROUND((K26*(AA26/100)-(I26/10)*INT((AA26/100)/0.55)*INT((J26-(Z26/100)*INT(J26/(Z26/100)))/0.55))/INT(J26/(Z26/100)),2),ROUND(K26*(AA26/100)/INT(J26/(Z26/100)),2)))</f>
        <v/>
      </c>
      <c r="AJ26" s="54" t="n">
        <v>2</v>
      </c>
      <c r="AK26" s="55">
        <f>ROUND(IF(AJ26=2,0,((Z26*2)+(AA26*2))*CONFECCION!$B$35/100),2)</f>
        <v/>
      </c>
      <c r="AL26" s="54" t="n"/>
      <c r="AM26" s="54" t="n">
        <v>2</v>
      </c>
      <c r="AP26" s="149" t="n"/>
      <c r="AQ26" s="149">
        <f>IF(S26=0,"",S26)</f>
        <v/>
      </c>
      <c r="AR26" s="149">
        <f>IF(A26=0,"",VLOOKUP(L26,ARTICULOS!$A$10:$B$19,2))</f>
        <v/>
      </c>
      <c r="AS26" s="157">
        <f>IF(A26=0,"",T26&amp;" * "&amp;U26)&amp;IF(AM26=1," PR","")</f>
        <v/>
      </c>
      <c r="AT26" s="167">
        <f>IF(A26=0,"",VLOOKUP(E26,ARTICULOS!$D$10:$F$699,3))</f>
        <v/>
      </c>
      <c r="AU26" s="164">
        <f>IF(A26=0,"","c/ "&amp;D26&amp;" "&amp;VLOOKUP(H26,COLORES!$A$7:$G$4394,7))</f>
        <v/>
      </c>
      <c r="AV26" s="149">
        <f>IF(A26=0,"",IF(V26=1,"Dobl. Sencillo","Dobl. "&amp;V26&amp;" cm."))</f>
        <v/>
      </c>
      <c r="AW26" s="149">
        <f>+IF(Y26=1,"SI","")</f>
        <v/>
      </c>
      <c r="AX26" s="149">
        <f>IF(A26=0,"",IF(AB26=2,Z26&amp;" * "&amp;AA26,IF(Z26=AA26,"Redondo "&amp;Z26&amp;" * "&amp;AA26,"Ovalado "&amp;Z26&amp;" * "&amp;AA26)))</f>
        <v/>
      </c>
      <c r="AY26" s="152">
        <f>IF(A26=0,"",AG26+AI26+AK26)</f>
        <v/>
      </c>
      <c r="AZ26" s="155">
        <f>IF(A26=0,"",A26)</f>
        <v/>
      </c>
      <c r="BA26" s="156">
        <f>IF(A26=0,"",ROUND(AY26*AZ26,2))</f>
        <v/>
      </c>
    </row>
    <row r="27" ht="16.5" customHeight="1">
      <c r="A27" s="45" t="n">
        <v>0</v>
      </c>
      <c r="B27" s="43" t="n">
        <v>1</v>
      </c>
      <c r="C27" s="43" t="n"/>
      <c r="D27" s="48" t="n">
        <v>1</v>
      </c>
      <c r="E27" s="41">
        <f>MATCH(C27,ARTICULOS!$F$10:$F$699,0)</f>
        <v/>
      </c>
      <c r="F27" s="41">
        <f>+VLOOKUP(E27,ARTICULOS!$D$10:$I$699,6)</f>
        <v/>
      </c>
      <c r="G27" s="42">
        <f>+F27&amp;D27</f>
        <v/>
      </c>
      <c r="H27" s="42">
        <f>+MATCH(G27,COLORES!$E$7:$E$4394,0)</f>
        <v/>
      </c>
      <c r="I27" s="49">
        <f>VLOOKUP(H27,COLORES!$A$7:$I$4394,8)</f>
        <v/>
      </c>
      <c r="J27" s="50">
        <f>VLOOKUP(H27,COLORES!$A$7:$I$4394,9)</f>
        <v/>
      </c>
      <c r="K27" s="191">
        <f>I27*(1+B27)</f>
        <v/>
      </c>
      <c r="L27" s="44" t="n">
        <v>0</v>
      </c>
      <c r="M27" s="45" t="n">
        <v>0</v>
      </c>
      <c r="N27" s="47" t="n">
        <v>0</v>
      </c>
      <c r="O27" s="47" t="n">
        <v>0</v>
      </c>
      <c r="P27" s="47" t="n">
        <v>0</v>
      </c>
      <c r="Q27" s="47" t="n">
        <v>0</v>
      </c>
      <c r="R27" s="48" t="n"/>
      <c r="S27" s="53">
        <f>IF(P27&gt;0,IF(O27&gt;0,"(/)"&amp;O27&amp;"*"&amp;P27&amp;IF(Q27&gt;0,"+"&amp;Q27,IF(Q27=0,"",Q27)),+M27&amp;"*"&amp;N27&amp;"*"&amp;P27&amp;IF(Q27&gt;0,"+"&amp;Q27,IF(Q27=0,"",Q27))),"")</f>
        <v/>
      </c>
      <c r="T27" s="51">
        <f>+IF(O27&gt;0,O27+R27*2,M27+R27*2)+P27*2+Q27*2</f>
        <v/>
      </c>
      <c r="U27" s="52">
        <f>+IF(O27&gt;0,O27+R27*2,N27+R27*2)+P27*2+Q27*2</f>
        <v/>
      </c>
      <c r="V27" s="54" t="n"/>
      <c r="W27" s="56">
        <f>IF(V27=1,T27+5,T27+(V27*4))</f>
        <v/>
      </c>
      <c r="X27" s="57">
        <f>IF(V27=1,U27+5,U27+(V27*4))</f>
        <v/>
      </c>
      <c r="Y27" s="54" t="n">
        <v>0</v>
      </c>
      <c r="Z27" s="56">
        <f>IF(Y27=1,ROUNDUP(W27*(1+VLOOKUP(E27,ARTICULOS!$D$10:$H$699,5)),0),W27)</f>
        <v/>
      </c>
      <c r="AA27" s="57">
        <f>IF(Y27=1,ROUNDUP(X27*(1+VLOOKUP(E27,ARTICULOS!$D$10:$H$699,4)),0),X27)</f>
        <v/>
      </c>
      <c r="AB27" s="54" t="n">
        <v>2</v>
      </c>
      <c r="AC27" s="54" t="n"/>
      <c r="AD27" s="53">
        <f>IF(AC27=1,J27*100&amp;Z27,"")</f>
        <v/>
      </c>
      <c r="AE27" s="53">
        <f>IF(AC27=1,VLOOKUP(AD27,EMPALME!$C$2:$F$33,4),"")</f>
        <v/>
      </c>
      <c r="AF27" s="44" t="n"/>
      <c r="AG27" s="55">
        <f>IF(L27=3,IF(V27=1,CONFECCION!$C$18,CONFECCION!$C$18*2),IF(V27=1,HLOOKUP(AA27,CONFECCION!$C$17:$AD$33,VLOOKUP(Z27,CONFECCION!$A$18:$B$33,2)-16),2*HLOOKUP(AA27,CONFECCION!$C$17:$AD$33,VLOOKUP(Z27,CONFECCION!$A$18:$B$33,2)-16)))*IF(AC27=1,3,1)</f>
        <v/>
      </c>
      <c r="AH27" s="54" t="n"/>
      <c r="AI27" s="55">
        <f>IF(AC27=1,AA27/100*K27+IF(AF27&gt;0,K27*(VLOOKUP(AD27,EMPALME!$C$2:$D$33,2)/100)/AF27,K27*(VLOOKUP(AD27,EMPALME!$C$2:$D$33,2)/100)/VLOOKUP(AD27,EMPALME!$C$2:$F$33,4)),IF(AH27=2,ROUND((K27*(AA27/100)-(I27/10)*INT((AA27/100)/0.55)*INT((J27-(Z27/100)*INT(J27/(Z27/100)))/0.55))/INT(J27/(Z27/100)),2),ROUND(K27*(AA27/100)/INT(J27/(Z27/100)),2)))</f>
        <v/>
      </c>
      <c r="AJ27" s="54" t="n">
        <v>2</v>
      </c>
      <c r="AK27" s="55">
        <f>ROUND(IF(AJ27=2,0,((Z27*2)+(AA27*2))*CONFECCION!$B$35/100),2)</f>
        <v/>
      </c>
      <c r="AL27" s="54" t="n"/>
      <c r="AM27" s="54" t="n">
        <v>2</v>
      </c>
      <c r="AP27" s="149" t="n"/>
      <c r="AQ27" s="149">
        <f>IF(S27=0,"",S27)</f>
        <v/>
      </c>
      <c r="AR27" s="149">
        <f>IF(A27=0,"",VLOOKUP(L27,ARTICULOS!$A$10:$B$19,2))</f>
        <v/>
      </c>
      <c r="AS27" s="157">
        <f>IF(A27=0,"",T27&amp;" * "&amp;U27)&amp;IF(AM27=1," PR","")</f>
        <v/>
      </c>
      <c r="AT27" s="167">
        <f>IF(A27=0,"",VLOOKUP(E27,ARTICULOS!$D$10:$F$699,3))</f>
        <v/>
      </c>
      <c r="AU27" s="164">
        <f>IF(A27=0,"","c/ "&amp;D27&amp;" "&amp;VLOOKUP(H27,COLORES!$A$7:$G$4394,7))</f>
        <v/>
      </c>
      <c r="AV27" s="149">
        <f>IF(A27=0,"",IF(V27=1,"Dobl. Sencillo","Dobl. "&amp;V27&amp;" cm."))</f>
        <v/>
      </c>
      <c r="AW27" s="149">
        <f>+IF(Y27=1,"SI","")</f>
        <v/>
      </c>
      <c r="AX27" s="149">
        <f>IF(A27=0,"",IF(AB27=2,Z27&amp;" * "&amp;AA27,IF(Z27=AA27,"Redondo "&amp;Z27&amp;" * "&amp;AA27,"Ovalado "&amp;Z27&amp;" * "&amp;AA27)))</f>
        <v/>
      </c>
      <c r="AY27" s="152">
        <f>IF(A27=0,"",AG27+AI27+AK27)</f>
        <v/>
      </c>
      <c r="AZ27" s="155">
        <f>IF(A27=0,"",A27)</f>
        <v/>
      </c>
      <c r="BA27" s="156">
        <f>IF(A27=0,"",ROUND(AY27*AZ27,2))</f>
        <v/>
      </c>
    </row>
    <row r="28" ht="16.5" customHeight="1">
      <c r="A28" s="45" t="n">
        <v>0</v>
      </c>
      <c r="B28" s="43" t="n">
        <v>1</v>
      </c>
      <c r="C28" s="43" t="n"/>
      <c r="D28" s="48" t="n">
        <v>1</v>
      </c>
      <c r="E28" s="41">
        <f>MATCH(C28,ARTICULOS!$F$10:$F$699,0)</f>
        <v/>
      </c>
      <c r="F28" s="41">
        <f>+VLOOKUP(E28,ARTICULOS!$D$10:$I$699,6)</f>
        <v/>
      </c>
      <c r="G28" s="42">
        <f>+F28&amp;D28</f>
        <v/>
      </c>
      <c r="H28" s="42">
        <f>+MATCH(G28,COLORES!$E$7:$E$4394,0)</f>
        <v/>
      </c>
      <c r="I28" s="49">
        <f>VLOOKUP(H28,COLORES!$A$7:$I$4394,8)</f>
        <v/>
      </c>
      <c r="J28" s="50">
        <f>VLOOKUP(H28,COLORES!$A$7:$I$4394,9)</f>
        <v/>
      </c>
      <c r="K28" s="191">
        <f>I28*(1+B28)</f>
        <v/>
      </c>
      <c r="L28" s="44" t="n">
        <v>0</v>
      </c>
      <c r="M28" s="45" t="n">
        <v>0</v>
      </c>
      <c r="N28" s="47" t="n">
        <v>0</v>
      </c>
      <c r="O28" s="47" t="n">
        <v>0</v>
      </c>
      <c r="P28" s="47" t="n">
        <v>0</v>
      </c>
      <c r="Q28" s="47" t="n">
        <v>0</v>
      </c>
      <c r="R28" s="48" t="n"/>
      <c r="S28" s="53">
        <f>IF(P28&gt;0,IF(O28&gt;0,"(/)"&amp;O28&amp;"*"&amp;P28&amp;IF(Q28&gt;0,"+"&amp;Q28,IF(Q28=0,"",Q28)),+M28&amp;"*"&amp;N28&amp;"*"&amp;P28&amp;IF(Q28&gt;0,"+"&amp;Q28,IF(Q28=0,"",Q28))),"")</f>
        <v/>
      </c>
      <c r="T28" s="51">
        <f>+IF(O28&gt;0,O28+R28*2,M28+R28*2)+P28*2+Q28*2</f>
        <v/>
      </c>
      <c r="U28" s="52">
        <f>+IF(O28&gt;0,O28+R28*2,N28+R28*2)+P28*2+Q28*2</f>
        <v/>
      </c>
      <c r="V28" s="54" t="n"/>
      <c r="W28" s="56">
        <f>IF(V28=1,T28+5,T28+(V28*4))</f>
        <v/>
      </c>
      <c r="X28" s="57">
        <f>IF(V28=1,U28+5,U28+(V28*4))</f>
        <v/>
      </c>
      <c r="Y28" s="54" t="n">
        <v>0</v>
      </c>
      <c r="Z28" s="56">
        <f>IF(Y28=1,ROUNDUP(W28*(1+VLOOKUP(E28,ARTICULOS!$D$10:$H$699,5)),0),W28)</f>
        <v/>
      </c>
      <c r="AA28" s="57">
        <f>IF(Y28=1,ROUNDUP(X28*(1+VLOOKUP(E28,ARTICULOS!$D$10:$H$699,4)),0),X28)</f>
        <v/>
      </c>
      <c r="AB28" s="54" t="n">
        <v>2</v>
      </c>
      <c r="AC28" s="54" t="n"/>
      <c r="AD28" s="53">
        <f>IF(AC28=1,J28*100&amp;Z28,"")</f>
        <v/>
      </c>
      <c r="AE28" s="53">
        <f>IF(AC28=1,VLOOKUP(AD28,EMPALME!$C$2:$F$33,4),"")</f>
        <v/>
      </c>
      <c r="AF28" s="44" t="n"/>
      <c r="AG28" s="55">
        <f>IF(L28=3,IF(V28=1,CONFECCION!$C$18,CONFECCION!$C$18*2),IF(V28=1,HLOOKUP(AA28,CONFECCION!$C$17:$AD$33,VLOOKUP(Z28,CONFECCION!$A$18:$B$33,2)-16),2*HLOOKUP(AA28,CONFECCION!$C$17:$AD$33,VLOOKUP(Z28,CONFECCION!$A$18:$B$33,2)-16)))*IF(AC28=1,3,1)</f>
        <v/>
      </c>
      <c r="AH28" s="54" t="n"/>
      <c r="AI28" s="55">
        <f>IF(AC28=1,AA28/100*K28+IF(AF28&gt;0,K28*(VLOOKUP(AD28,EMPALME!$C$2:$D$33,2)/100)/AF28,K28*(VLOOKUP(AD28,EMPALME!$C$2:$D$33,2)/100)/VLOOKUP(AD28,EMPALME!$C$2:$F$33,4)),IF(AH28=2,ROUND((K28*(AA28/100)-(I28/10)*INT((AA28/100)/0.55)*INT((J28-(Z28/100)*INT(J28/(Z28/100)))/0.55))/INT(J28/(Z28/100)),2),ROUND(K28*(AA28/100)/INT(J28/(Z28/100)),2)))</f>
        <v/>
      </c>
      <c r="AJ28" s="54" t="n">
        <v>2</v>
      </c>
      <c r="AK28" s="55">
        <f>ROUND(IF(AJ28=2,0,((Z28*2)+(AA28*2))*CONFECCION!$B$35/100),2)</f>
        <v/>
      </c>
      <c r="AL28" s="54" t="n"/>
      <c r="AM28" s="54" t="n">
        <v>2</v>
      </c>
      <c r="AP28" s="149" t="n"/>
      <c r="AQ28" s="149">
        <f>IF(S28=0,"",S28)</f>
        <v/>
      </c>
      <c r="AR28" s="149">
        <f>IF(A28=0,"",VLOOKUP(L28,ARTICULOS!$A$10:$B$19,2))</f>
        <v/>
      </c>
      <c r="AS28" s="157">
        <f>IF(A28=0,"",T28&amp;" * "&amp;U28)&amp;IF(AM28=1," PR","")</f>
        <v/>
      </c>
      <c r="AT28" s="167">
        <f>IF(A28=0,"",VLOOKUP(E28,ARTICULOS!$D$10:$F$699,3))</f>
        <v/>
      </c>
      <c r="AU28" s="164">
        <f>IF(A28=0,"","c/ "&amp;D28&amp;" "&amp;VLOOKUP(H28,COLORES!$A$7:$G$4394,7))</f>
        <v/>
      </c>
      <c r="AV28" s="149">
        <f>IF(A28=0,"",IF(V28=1,"Dobl. Sencillo","Dobl. "&amp;V28&amp;" cm."))</f>
        <v/>
      </c>
      <c r="AW28" s="149">
        <f>+IF(Y28=1,"SI","")</f>
        <v/>
      </c>
      <c r="AX28" s="149">
        <f>IF(A28=0,"",IF(AB28=2,Z28&amp;" * "&amp;AA28,IF(Z28=AA28,"Redondo "&amp;Z28&amp;" * "&amp;AA28,"Ovalado "&amp;Z28&amp;" * "&amp;AA28)))</f>
        <v/>
      </c>
      <c r="AY28" s="152">
        <f>IF(A28=0,"",AG28+AI28+AK28)</f>
        <v/>
      </c>
      <c r="AZ28" s="155">
        <f>IF(A28=0,"",A28)</f>
        <v/>
      </c>
      <c r="BA28" s="156">
        <f>IF(A28=0,"",ROUND(AY28*AZ28,2))</f>
        <v/>
      </c>
    </row>
    <row r="29" ht="16.5" customHeight="1" thickBot="1">
      <c r="A29" s="45" t="n">
        <v>0</v>
      </c>
      <c r="B29" s="43" t="n">
        <v>1</v>
      </c>
      <c r="C29" s="43" t="n"/>
      <c r="D29" s="48" t="n">
        <v>1</v>
      </c>
      <c r="E29" s="41">
        <f>MATCH(C29,ARTICULOS!$F$10:$F$699,0)</f>
        <v/>
      </c>
      <c r="F29" s="41">
        <f>+VLOOKUP(E29,ARTICULOS!$D$10:$I$699,6)</f>
        <v/>
      </c>
      <c r="G29" s="42">
        <f>+F29&amp;D29</f>
        <v/>
      </c>
      <c r="H29" s="42">
        <f>+MATCH(G29,COLORES!$E$7:$E$4394,0)</f>
        <v/>
      </c>
      <c r="I29" s="49">
        <f>VLOOKUP(H29,COLORES!$A$7:$I$4394,8)</f>
        <v/>
      </c>
      <c r="J29" s="50">
        <f>VLOOKUP(H29,COLORES!$A$7:$I$4394,9)</f>
        <v/>
      </c>
      <c r="K29" s="191">
        <f>I29*(1+B29)</f>
        <v/>
      </c>
      <c r="L29" s="44" t="n">
        <v>0</v>
      </c>
      <c r="M29" s="45" t="n">
        <v>0</v>
      </c>
      <c r="N29" s="47" t="n">
        <v>0</v>
      </c>
      <c r="O29" s="47" t="n">
        <v>0</v>
      </c>
      <c r="P29" s="47" t="n">
        <v>0</v>
      </c>
      <c r="Q29" s="47" t="n">
        <v>0</v>
      </c>
      <c r="R29" s="48" t="n"/>
      <c r="S29" s="53">
        <f>IF(P29&gt;0,IF(O29&gt;0,"(/)"&amp;O29&amp;"*"&amp;P29&amp;IF(Q29&gt;0,"+"&amp;Q29,IF(Q29=0,"",Q29)),+M29&amp;"*"&amp;N29&amp;"*"&amp;P29&amp;IF(Q29&gt;0,"+"&amp;Q29,IF(Q29=0,"",Q29))),"")</f>
        <v/>
      </c>
      <c r="T29" s="51">
        <f>+IF(O29&gt;0,O29+R29*2,M29+R29*2)+P29*2+Q29*2</f>
        <v/>
      </c>
      <c r="U29" s="52">
        <f>+IF(O29&gt;0,O29+R29*2,N29+R29*2)+P29*2+Q29*2</f>
        <v/>
      </c>
      <c r="V29" s="54" t="n"/>
      <c r="W29" s="56">
        <f>IF(V29=1,T29+5,T29+(V29*4))</f>
        <v/>
      </c>
      <c r="X29" s="57">
        <f>IF(V29=1,U29+5,U29+(V29*4))</f>
        <v/>
      </c>
      <c r="Y29" s="54" t="n">
        <v>0</v>
      </c>
      <c r="Z29" s="56">
        <f>IF(Y29=1,ROUNDUP(W29*(1+VLOOKUP(E29,ARTICULOS!$D$10:$H$699,5)),0),W29)</f>
        <v/>
      </c>
      <c r="AA29" s="57">
        <f>IF(Y29=1,ROUNDUP(X29*(1+VLOOKUP(E29,ARTICULOS!$D$10:$H$699,4)),0),X29)</f>
        <v/>
      </c>
      <c r="AB29" s="54" t="n">
        <v>2</v>
      </c>
      <c r="AC29" s="54" t="n"/>
      <c r="AD29" s="53">
        <f>IF(AC29=1,J29*100&amp;Z29,"")</f>
        <v/>
      </c>
      <c r="AE29" s="53">
        <f>IF(AC29=1,VLOOKUP(AD29,EMPALME!$C$2:$F$33,4),"")</f>
        <v/>
      </c>
      <c r="AF29" s="44" t="n"/>
      <c r="AG29" s="55">
        <f>IF(L29=3,IF(V29=1,CONFECCION!$C$18,CONFECCION!$C$18*2),IF(V29=1,HLOOKUP(AA29,CONFECCION!$C$17:$AD$33,VLOOKUP(Z29,CONFECCION!$A$18:$B$33,2)-16),2*HLOOKUP(AA29,CONFECCION!$C$17:$AD$33,VLOOKUP(Z29,CONFECCION!$A$18:$B$33,2)-16)))*IF(AC29=1,3,1)</f>
        <v/>
      </c>
      <c r="AH29" s="54" t="n"/>
      <c r="AI29" s="55">
        <f>IF(AC29=1,AA29/100*K29+IF(AF29&gt;0,K29*(VLOOKUP(AD29,EMPALME!$C$2:$D$33,2)/100)/AF29,K29*(VLOOKUP(AD29,EMPALME!$C$2:$D$33,2)/100)/VLOOKUP(AD29,EMPALME!$C$2:$F$33,4)),IF(AH29=2,ROUND((K29*(AA29/100)-(I29/10)*INT((AA29/100)/0.55)*INT((J29-(Z29/100)*INT(J29/(Z29/100)))/0.55))/INT(J29/(Z29/100)),2),ROUND(K29*(AA29/100)/INT(J29/(Z29/100)),2)))</f>
        <v/>
      </c>
      <c r="AJ29" s="54" t="n">
        <v>2</v>
      </c>
      <c r="AK29" s="55">
        <f>ROUND(IF(AJ29=2,0,((Z29*2)+(AA29*2))*CONFECCION!$B$35/100),2)</f>
        <v/>
      </c>
      <c r="AL29" s="54" t="n"/>
      <c r="AM29" s="54" t="n">
        <v>2</v>
      </c>
      <c r="AP29" s="149" t="n"/>
      <c r="AQ29" s="149">
        <f>IF(S29=0,"",S29)</f>
        <v/>
      </c>
      <c r="AR29" s="149">
        <f>IF(A29=0,"",VLOOKUP(L29,ARTICULOS!$A$10:$B$19,2))</f>
        <v/>
      </c>
      <c r="AS29" s="157">
        <f>IF(A29=0,"",T29&amp;" * "&amp;U29)&amp;IF(AM29=1," PR","")</f>
        <v/>
      </c>
      <c r="AT29" s="167">
        <f>IF(A29=0,"",VLOOKUP(E29,ARTICULOS!$D$10:$F$699,3))</f>
        <v/>
      </c>
      <c r="AU29" s="164">
        <f>IF(A29=0,"","c/ "&amp;D29&amp;" "&amp;VLOOKUP(H29,COLORES!$A$7:$G$4394,7))</f>
        <v/>
      </c>
      <c r="AV29" s="149">
        <f>IF(A29=0,"",IF(V29=1,"Dobl. Sencillo","Dobl. "&amp;V29&amp;" cm."))</f>
        <v/>
      </c>
      <c r="AW29" s="149">
        <f>+IF(Y29=1,"SI","")</f>
        <v/>
      </c>
      <c r="AX29" s="149">
        <f>IF(A29=0,"",IF(AB29=2,Z29&amp;" * "&amp;AA29,IF(Z29=AA29,"Redondo "&amp;Z29&amp;" * "&amp;AA29,"Ovalado "&amp;Z29&amp;" * "&amp;AA29)))</f>
        <v/>
      </c>
      <c r="AY29" s="152">
        <f>IF(A29=0,"",AG29+AI29+AK29)</f>
        <v/>
      </c>
      <c r="AZ29" s="155">
        <f>IF(A29=0,"",A29)</f>
        <v/>
      </c>
      <c r="BA29" s="156">
        <f>IF(A29=0,"",ROUND(AY29*AZ29,2))</f>
        <v/>
      </c>
    </row>
    <row r="30" ht="16.5" customHeight="1" thickBot="1">
      <c r="A30" s="327" t="n">
        <v>0</v>
      </c>
      <c r="B30" s="328" t="n">
        <v>1</v>
      </c>
      <c r="C30" s="328" t="n"/>
      <c r="D30" s="329" t="n">
        <v>1</v>
      </c>
      <c r="E30" s="330">
        <f>MATCH(C30,ARTICULOS!$F$10:$F$699,0)</f>
        <v/>
      </c>
      <c r="F30" s="330">
        <f>+VLOOKUP(E30,ARTICULOS!$D$10:$I$699,6)</f>
        <v/>
      </c>
      <c r="G30" s="42">
        <f>+F30&amp;D30</f>
        <v/>
      </c>
      <c r="H30" s="42">
        <f>+MATCH(G30,COLORES!$E$7:$E$4394,0)</f>
        <v/>
      </c>
      <c r="I30" s="49">
        <f>VLOOKUP(H30,COLORES!$A$7:$I$4394,8)</f>
        <v/>
      </c>
      <c r="J30" s="50">
        <f>VLOOKUP(H30,COLORES!$A$7:$I$4394,9)</f>
        <v/>
      </c>
      <c r="K30" s="191">
        <f>I30*(1+B30)</f>
        <v/>
      </c>
      <c r="L30" s="54" t="n">
        <v>0</v>
      </c>
      <c r="M30" s="327" t="n">
        <v>0</v>
      </c>
      <c r="N30" s="331" t="n">
        <v>0</v>
      </c>
      <c r="O30" s="331" t="n">
        <v>0</v>
      </c>
      <c r="P30" s="331" t="n">
        <v>0</v>
      </c>
      <c r="Q30" s="331" t="n">
        <v>0</v>
      </c>
      <c r="R30" s="329" t="n"/>
      <c r="S30" s="332">
        <f>IF(P30&gt;0,IF(O30&gt;0,"(/)"&amp;O30&amp;"*"&amp;P30&amp;IF(Q30&gt;0,"+"&amp;Q30,IF(Q30=0,"",Q30)),+M30&amp;"*"&amp;N30&amp;"*"&amp;P30&amp;IF(Q30&gt;0,"+"&amp;Q30,IF(Q30=0,"",Q30))),"")</f>
        <v/>
      </c>
      <c r="T30" s="51">
        <f>+IF(O30&gt;0,O30+R30*2,M30+R30*2)+P30*2+Q30*2</f>
        <v/>
      </c>
      <c r="U30" s="52">
        <f>+IF(O30&gt;0,O30+R30*2,N30+R30*2)+P30*2+Q30*2</f>
        <v/>
      </c>
      <c r="V30" s="54" t="n"/>
      <c r="W30" s="333">
        <f>IF(V30=1,T30+5,T30+(V30*4))</f>
        <v/>
      </c>
      <c r="X30" s="334">
        <f>IF(V30=1,U30+5,U30+(V30*4))</f>
        <v/>
      </c>
      <c r="Y30" s="54" t="n">
        <v>0</v>
      </c>
      <c r="Z30" s="333">
        <f>IF(Y30=1,ROUNDUP(W30*(1+VLOOKUP(E30,ARTICULOS!$D$10:$H$699,5)),0),W30)</f>
        <v/>
      </c>
      <c r="AA30" s="334">
        <f>IF(Y30=1,ROUNDUP(X30*(1+VLOOKUP(E30,ARTICULOS!$D$10:$H$699,4)),0),X30)</f>
        <v/>
      </c>
      <c r="AB30" s="54" t="n">
        <v>2</v>
      </c>
      <c r="AC30" s="54" t="n"/>
      <c r="AD30" s="332">
        <f>IF(AC30=1,J30*100&amp;Z30,"")</f>
        <v/>
      </c>
      <c r="AE30" s="332">
        <f>IF(AC30=1,VLOOKUP(AD30,EMPALME!$C$2:$F$33,4),"")</f>
        <v/>
      </c>
      <c r="AF30" s="54" t="n"/>
      <c r="AG30" s="335">
        <f>IF(L30=3,IF(V30=1,CONFECCION!$C$18,CONFECCION!$C$18*2),IF(V30=1,HLOOKUP(AA30,CONFECCION!$C$17:$AD$33,VLOOKUP(Z30,CONFECCION!$A$18:$B$33,2)-16),2*HLOOKUP(AA30,CONFECCION!$C$17:$AD$33,VLOOKUP(Z30,CONFECCION!$A$18:$B$33,2)-16)))*IF(AC30=1,3,1)</f>
        <v/>
      </c>
      <c r="AH30" s="54" t="n"/>
      <c r="AI30" s="335">
        <f>IF(AC30=1,AA30/100*K30+IF(AF30&gt;0,K30*(VLOOKUP(AD30,EMPALME!$C$2:$D$33,2)/100)/AF30,K30*(VLOOKUP(AD30,EMPALME!$C$2:$D$33,2)/100)/VLOOKUP(AD30,EMPALME!$C$2:$F$33,4)),IF(AH30=2,ROUND((K30*(AA30/100)-(I30/10)*INT((AA30/100)/0.55)*INT((J30-(Z30/100)*INT(J30/(Z30/100)))/0.55))/INT(J30/(Z30/100)),2),ROUND(K30*(AA30/100)/INT(J30/(Z30/100)),2)))</f>
        <v/>
      </c>
      <c r="AJ30" s="54" t="n">
        <v>2</v>
      </c>
      <c r="AK30" s="335">
        <f>ROUND(IF(AJ30=2,0,((Z30*2)+(AA30*2))*CONFECCION!$B$35/100),2)</f>
        <v/>
      </c>
      <c r="AL30" s="54" t="n"/>
      <c r="AM30" s="54" t="n">
        <v>2</v>
      </c>
      <c r="AP30" s="149" t="n"/>
      <c r="AQ30" s="149">
        <f>IF(S30=0,"",S30)</f>
        <v/>
      </c>
      <c r="AR30" s="149">
        <f>IF(A30=0,"",VLOOKUP(L30,ARTICULOS!$A$10:$B$19,2))</f>
        <v/>
      </c>
      <c r="AS30" s="157">
        <f>IF(A30=0,"",T30&amp;" * "&amp;U30)&amp;IF(AM30=1," PR","")</f>
        <v/>
      </c>
      <c r="AT30" s="167">
        <f>IF(A30=0,"",VLOOKUP(E30,ARTICULOS!$D$10:$F$699,3))</f>
        <v/>
      </c>
      <c r="AU30" s="164">
        <f>IF(A30=0,"","c/ "&amp;D30&amp;" "&amp;VLOOKUP(H30,COLORES!$A$7:$G$4394,7))</f>
        <v/>
      </c>
      <c r="AV30" s="149">
        <f>IF(A30=0,"",IF(V30=1,"Dobl. Sencillo","Dobl. "&amp;V30&amp;" cm."))</f>
        <v/>
      </c>
      <c r="AW30" s="149">
        <f>+IF(Y30=1,"SI","")</f>
        <v/>
      </c>
      <c r="AX30" s="336">
        <f>IF(A30=0,"",IF(AB30=2,Z30&amp;" * "&amp;AA30,IF(Z30=AA30,"Redondo "&amp;Z30&amp;" * "&amp;AA30,"Ovalado "&amp;Z30&amp;" * "&amp;AA30)))</f>
        <v/>
      </c>
      <c r="AY30" s="337">
        <f>IF(A30=0,"",AG30+AI30+AK30)</f>
        <v/>
      </c>
      <c r="AZ30" s="338">
        <f>IF(A30=0,"",A30)</f>
        <v/>
      </c>
      <c r="BA30" s="339">
        <f>IF(A30=0,"",ROUND(AY30*AZ30,2))</f>
        <v/>
      </c>
    </row>
    <row r="31" ht="15.75" customHeight="1">
      <c r="A31" s="327" t="n">
        <v>0</v>
      </c>
      <c r="B31" s="340" t="n">
        <v>1</v>
      </c>
      <c r="C31" s="340" t="n"/>
      <c r="D31" s="329" t="n">
        <v>1</v>
      </c>
      <c r="E31" s="341">
        <f>MATCH(C31,ARTICULOS!$F$10:$F$699,0)</f>
        <v/>
      </c>
      <c r="F31" s="341">
        <f>+VLOOKUP(E31,ARTICULOS!$D$10:$I$699,6)</f>
        <v/>
      </c>
      <c r="G31" s="42">
        <f>+F31&amp;D31</f>
        <v/>
      </c>
      <c r="H31" s="42">
        <f>+MATCH(G31,COLORES!$E$7:$E$4394,0)</f>
        <v/>
      </c>
      <c r="I31" s="342">
        <f>VLOOKUP(H31,COLORES!$A$7:$I$4394,8)</f>
        <v/>
      </c>
      <c r="J31" s="343">
        <f>VLOOKUP(H31,COLORES!$A$7:$I$4394,9)</f>
        <v/>
      </c>
      <c r="K31" s="344">
        <f>I31*(1+B31)</f>
        <v/>
      </c>
      <c r="L31" s="54" t="n">
        <v>0</v>
      </c>
      <c r="M31" s="327" t="n">
        <v>0</v>
      </c>
      <c r="N31" s="331" t="n">
        <v>0</v>
      </c>
      <c r="O31" s="331" t="n">
        <v>0</v>
      </c>
      <c r="P31" s="331" t="n">
        <v>0</v>
      </c>
      <c r="Q31" s="331" t="n">
        <v>0</v>
      </c>
      <c r="R31" s="329" t="n"/>
      <c r="S31" s="332">
        <f>IF(P31&gt;0,IF(O31&gt;0,"(/)"&amp;O31&amp;"*"&amp;P31&amp;IF(Q31&gt;0,"+"&amp;Q31,IF(Q31=0,"",Q31)),+M31&amp;"*"&amp;N31&amp;"*"&amp;P31&amp;IF(Q31&gt;0,"+"&amp;Q31,IF(Q31=0,"",Q31))),"")</f>
        <v/>
      </c>
      <c r="T31" s="51">
        <f>+IF(O31&gt;0,O31+R31*2,M31+R31*2)+P31*2+Q31*2</f>
        <v/>
      </c>
      <c r="U31" s="52">
        <f>+IF(O31&gt;0,O31+R31*2,N31+R31*2)+P31*2+Q31*2</f>
        <v/>
      </c>
      <c r="V31" s="54" t="n"/>
      <c r="W31" s="333">
        <f>IF(V31=1,T31+5,T31+(V31*4))</f>
        <v/>
      </c>
      <c r="X31" s="334">
        <f>IF(V31=1,U31+5,U31+(V31*4))</f>
        <v/>
      </c>
      <c r="Y31" s="54" t="n">
        <v>0</v>
      </c>
      <c r="Z31" s="333">
        <f>IF(Y31=1,ROUNDUP(W31*(1+VLOOKUP(E31,ARTICULOS!$D$10:$H$699,5)),0),W31)</f>
        <v/>
      </c>
      <c r="AA31" s="334">
        <f>IF(Y31=1,ROUNDUP(X31*(1+VLOOKUP(E31,ARTICULOS!$D$10:$H$699,4)),0),X31)</f>
        <v/>
      </c>
      <c r="AB31" s="54" t="n">
        <v>2</v>
      </c>
      <c r="AC31" s="54" t="n"/>
      <c r="AD31" s="332">
        <f>IF(AC31=1,J31*100&amp;Z31,"")</f>
        <v/>
      </c>
      <c r="AE31" s="332">
        <f>IF(AC31=1,VLOOKUP(AD31,EMPALME!$C$2:$F$33,4),"")</f>
        <v/>
      </c>
      <c r="AF31" s="54" t="n"/>
      <c r="AG31" s="335">
        <f>IF(L31=3,IF(V31=1,CONFECCION!$C$18,CONFECCION!$C$18*2),IF(V31=1,HLOOKUP(AA31,CONFECCION!$C$17:$AD$33,VLOOKUP(Z31,CONFECCION!$A$18:$B$33,2)-16),2*HLOOKUP(AA31,CONFECCION!$C$17:$AD$33,VLOOKUP(Z31,CONFECCION!$A$18:$B$33,2)-16)))*IF(AC31=1,3,1)</f>
        <v/>
      </c>
      <c r="AH31" s="54" t="n"/>
      <c r="AI31" s="335">
        <f>IF(AC31=1,AA31/100*K31+IF(AF31&gt;0,K31*(VLOOKUP(AD31,EMPALME!$C$2:$D$33,2)/100)/AF31,K31*(VLOOKUP(AD31,EMPALME!$C$2:$D$33,2)/100)/VLOOKUP(AD31,EMPALME!$C$2:$F$33,4)),IF(AH31=2,ROUND((K31*(AA31/100)-(I31/10)*INT((AA31/100)/0.55)*INT((J31-(Z31/100)*INT(J31/(Z31/100)))/0.55))/INT(J31/(Z31/100)),2),ROUND(K31*(AA31/100)/INT(J31/(Z31/100)),2)))</f>
        <v/>
      </c>
      <c r="AJ31" s="54" t="n">
        <v>2</v>
      </c>
      <c r="AK31" s="335">
        <f>ROUND(IF(AJ31=2,0,((Z31*2)+(AA31*2))*CONFECCION!$B$35/100),2)</f>
        <v/>
      </c>
      <c r="AL31" s="54" t="n"/>
      <c r="AM31" s="54" t="n">
        <v>2</v>
      </c>
      <c r="AP31" s="149" t="n"/>
      <c r="AQ31" s="149">
        <f>IF(S31=0,"",S31)</f>
        <v/>
      </c>
      <c r="AR31" s="149">
        <f>IF(A31=0,"",VLOOKUP(L31,ARTICULOS!$A$10:$B$19,2))</f>
        <v/>
      </c>
      <c r="AS31" s="157">
        <f>IF(A31=0,"",T31&amp;" * "&amp;U31)&amp;IF(AM31=1," PR","")</f>
        <v/>
      </c>
      <c r="AT31" s="167">
        <f>IF(A31=0,"",VLOOKUP(E31,ARTICULOS!$D$10:$F$699,3))</f>
        <v/>
      </c>
      <c r="AU31" s="164">
        <f>IF(A31=0,"","c/ "&amp;D31&amp;" "&amp;VLOOKUP(H31,COLORES!$A$7:$G$4394,7))</f>
        <v/>
      </c>
      <c r="AV31" s="149">
        <f>IF(A31=0,"",IF(V31=1,"Dobl. Sencillo","Dobl. "&amp;V31&amp;" cm."))</f>
        <v/>
      </c>
      <c r="AW31" s="149">
        <f>+IF(Y31=1,"SI","")</f>
        <v/>
      </c>
      <c r="AX31" s="149">
        <f>IF(A31=0,"",IF(AB31=2,Z31&amp;" * "&amp;AA31,IF(Z31=AA31,"Redondo "&amp;Z31&amp;" * "&amp;AA31,"Ovalado "&amp;Z31&amp;" * "&amp;AA31)))</f>
        <v/>
      </c>
      <c r="AY31" s="337">
        <f>IF(A31=0,"",AG31+AI31+AK31)</f>
        <v/>
      </c>
      <c r="AZ31" s="338">
        <f>IF(A31=0,"",A31)</f>
        <v/>
      </c>
      <c r="BA31" s="156">
        <f>IF(A31=0,"",ROUND(AY31*AZ31,2))</f>
        <v/>
      </c>
    </row>
    <row r="32" hidden="1" ht="16.5" customHeight="1">
      <c r="A32" s="327" t="n">
        <v>0</v>
      </c>
      <c r="B32" s="340" t="n">
        <v>1</v>
      </c>
      <c r="C32" s="340" t="n"/>
      <c r="D32" s="329" t="n">
        <v>1</v>
      </c>
      <c r="E32" s="341">
        <f>MATCH(C32,ARTICULOS!$F$10:$F$699,0)</f>
        <v/>
      </c>
      <c r="F32" s="341">
        <f>+VLOOKUP(E32,ARTICULOS!$D$10:$I$699,6)</f>
        <v/>
      </c>
      <c r="G32" s="42">
        <f>+F32&amp;D32</f>
        <v/>
      </c>
      <c r="H32" s="42">
        <f>+MATCH(G32,COLORES!$E$7:$E$4394,0)</f>
        <v/>
      </c>
      <c r="I32" s="342">
        <f>VLOOKUP(H32,COLORES!$A$7:$I$4394,8)</f>
        <v/>
      </c>
      <c r="J32" s="343">
        <f>VLOOKUP(H32,COLORES!$A$7:$I$4394,9)</f>
        <v/>
      </c>
      <c r="K32" s="344">
        <f>I32*(1+B32)</f>
        <v/>
      </c>
      <c r="L32" s="54" t="n">
        <v>0</v>
      </c>
      <c r="M32" s="327" t="n">
        <v>0</v>
      </c>
      <c r="N32" s="331" t="n">
        <v>0</v>
      </c>
      <c r="O32" s="331" t="n">
        <v>0</v>
      </c>
      <c r="P32" s="331" t="n">
        <v>0</v>
      </c>
      <c r="Q32" s="331" t="n">
        <v>0</v>
      </c>
      <c r="R32" s="329" t="n"/>
      <c r="S32" s="332">
        <f>IF(P32&gt;0,IF(O32&gt;0,"(/)"&amp;O32&amp;"*"&amp;P32&amp;IF(Q32&gt;0,"+"&amp;Q32,IF(Q32=0,"",Q32)),+M32&amp;"*"&amp;N32&amp;"*"&amp;P32&amp;IF(Q32&gt;0,"+"&amp;Q32,IF(Q32=0,"",Q32))),"")</f>
        <v/>
      </c>
      <c r="T32" s="51">
        <f>+IF(O32&gt;0,O32+R32*2,M32+R32*2)+P32*2+Q32*2</f>
        <v/>
      </c>
      <c r="U32" s="52">
        <f>+IF(O32&gt;0,O32+R32*2,N32+R32*2)+P32*2+Q32*2</f>
        <v/>
      </c>
      <c r="V32" s="54" t="n"/>
      <c r="W32" s="333">
        <f>IF(V32=1,T32+5,T32+(V32*4))</f>
        <v/>
      </c>
      <c r="X32" s="334">
        <f>IF(V32=1,U32+5,U32+(V32*4))</f>
        <v/>
      </c>
      <c r="Y32" s="54" t="n">
        <v>0</v>
      </c>
      <c r="Z32" s="333">
        <f>IF(Y32=1,ROUNDUP(W32*(1+VLOOKUP(E32,ARTICULOS!$D$10:$H$699,5)),0),W32)</f>
        <v/>
      </c>
      <c r="AA32" s="334">
        <f>IF(Y32=1,ROUNDUP(X32*(1+VLOOKUP(E32,ARTICULOS!$D$10:$H$699,4)),0),X32)</f>
        <v/>
      </c>
      <c r="AB32" s="54" t="n">
        <v>2</v>
      </c>
      <c r="AC32" s="54" t="n"/>
      <c r="AD32" s="332">
        <f>IF(AC32=1,J32*100&amp;Z32,"")</f>
        <v/>
      </c>
      <c r="AE32" s="332">
        <f>IF(AC32=1,VLOOKUP(AD32,EMPALME!$C$2:$F$33,4),"")</f>
        <v/>
      </c>
      <c r="AF32" s="54" t="n"/>
      <c r="AG32" s="335">
        <f>IF(L32=3,IF(V32=1,CONFECCION!$C$18,CONFECCION!$C$18*2),IF(V32=1,HLOOKUP(AA32,CONFECCION!$C$17:$AD$33,VLOOKUP(Z32,CONFECCION!$A$18:$B$33,2)-16),2*HLOOKUP(AA32,CONFECCION!$C$17:$AD$33,VLOOKUP(Z32,CONFECCION!$A$18:$B$33,2)-16)))*IF(AC32=1,3,1)</f>
        <v/>
      </c>
      <c r="AH32" s="54" t="n"/>
      <c r="AI32" s="335">
        <f>IF(AC32=1,AA32/100*K32+IF(AF32&gt;0,K32*(VLOOKUP(AD32,EMPALME!$C$2:$D$33,2)/100)/AF32,K32*(VLOOKUP(AD32,EMPALME!$C$2:$D$33,2)/100)/VLOOKUP(AD32,EMPALME!$C$2:$F$33,4)),IF(AH32=2,ROUND((K32*(AA32/100)-(I32/10)*INT((AA32/100)/0.55)*INT((J32-(Z32/100)*INT(J32/(Z32/100)))/0.55))/INT(J32/(Z32/100)),2),ROUND(K32*(AA32/100)/INT(J32/(Z32/100)),2)))</f>
        <v/>
      </c>
      <c r="AJ32" s="54" t="n">
        <v>2</v>
      </c>
      <c r="AK32" s="335">
        <f>ROUND(IF(AJ32=2,0,((Z32*2)+(AA32*2))*CONFECCION!$B$35/100),2)</f>
        <v/>
      </c>
      <c r="AL32" s="54" t="n"/>
      <c r="AM32" s="54" t="n">
        <v>2</v>
      </c>
      <c r="AP32" s="149" t="n"/>
      <c r="AQ32" s="149">
        <f>IF(S32=0,"",S32)</f>
        <v/>
      </c>
      <c r="AR32" s="149">
        <f>IF(A32=0,"",VLOOKUP(L32,ARTICULOS!$A$10:$B$19,2))</f>
        <v/>
      </c>
      <c r="AS32" s="157">
        <f>IF(A32=0,"",T32&amp;" * "&amp;U32)&amp;IF(AM32=1," PR","")</f>
        <v/>
      </c>
      <c r="AT32" s="167">
        <f>IF(A32=0,"",VLOOKUP(E32,ARTICULOS!$D$10:$F$699,3))</f>
        <v/>
      </c>
      <c r="AU32" s="164">
        <f>IF(A32=0,"","c/ "&amp;D32&amp;" "&amp;VLOOKUP(H32,COLORES!$A$7:$G$4394,7))</f>
        <v/>
      </c>
      <c r="AV32" s="149">
        <f>IF(A32=0,"",IF(V32=1,"Dobl. Sencillo","Dobl. "&amp;V32&amp;" cm."))</f>
        <v/>
      </c>
      <c r="AW32" s="149">
        <f>+IF(Y32=1,"SI","")</f>
        <v/>
      </c>
      <c r="AX32" s="149">
        <f>IF(A32=0,"",IF(AB32=2,Z32&amp;" * "&amp;AA32,IF(Z32=AA32,"Redondo "&amp;Z32&amp;" * "&amp;AA32,"Ovalado "&amp;Z32&amp;" * "&amp;AA32)))</f>
        <v/>
      </c>
      <c r="AY32" s="337">
        <f>IF(A32=0,"",AG32+AI32+AK32)</f>
        <v/>
      </c>
      <c r="AZ32" s="338">
        <f>IF(A32=0,"",A32)</f>
        <v/>
      </c>
      <c r="BA32" s="156">
        <f>IF(A32=0,"",ROUND(AY32*AZ32,2))</f>
        <v/>
      </c>
    </row>
    <row r="33" ht="25.5" customHeight="1">
      <c r="A33" s="327" t="n">
        <v>0</v>
      </c>
      <c r="B33" s="340" t="n">
        <v>1</v>
      </c>
      <c r="C33" s="340" t="n"/>
      <c r="D33" s="329" t="n">
        <v>1</v>
      </c>
      <c r="E33" s="341">
        <f>MATCH(C33,ARTICULOS!$F$10:$F$699,0)</f>
        <v/>
      </c>
      <c r="F33" s="341">
        <f>+VLOOKUP(E33,ARTICULOS!$D$10:$I$699,6)</f>
        <v/>
      </c>
      <c r="G33" s="42">
        <f>+F33&amp;D33</f>
        <v/>
      </c>
      <c r="H33" s="42">
        <f>+MATCH(G33,COLORES!$E$7:$E$4394,0)</f>
        <v/>
      </c>
      <c r="I33" s="342">
        <f>VLOOKUP(H33,COLORES!$A$7:$I$4394,8)</f>
        <v/>
      </c>
      <c r="J33" s="343">
        <f>VLOOKUP(H33,COLORES!$A$7:$I$4394,9)</f>
        <v/>
      </c>
      <c r="K33" s="344">
        <f>I33*(1+B33)</f>
        <v/>
      </c>
      <c r="L33" s="54" t="n">
        <v>0</v>
      </c>
      <c r="M33" s="327" t="n">
        <v>0</v>
      </c>
      <c r="N33" s="331" t="n">
        <v>0</v>
      </c>
      <c r="O33" s="331" t="n">
        <v>0</v>
      </c>
      <c r="P33" s="331" t="n">
        <v>0</v>
      </c>
      <c r="Q33" s="331" t="n">
        <v>0</v>
      </c>
      <c r="R33" s="329" t="n"/>
      <c r="S33" s="332">
        <f>IF(P33&gt;0,IF(O33&gt;0,"(/)"&amp;O33&amp;"*"&amp;P33&amp;IF(Q33&gt;0,"+"&amp;Q33,IF(Q33=0,"",Q33)),+M33&amp;"*"&amp;N33&amp;"*"&amp;P33&amp;IF(Q33&gt;0,"+"&amp;Q33,IF(Q33=0,"",Q33))),"")</f>
        <v/>
      </c>
      <c r="T33" s="51">
        <f>+IF(O33&gt;0,O33+R33*2,M33+R33*2)+P33*2+Q33*2</f>
        <v/>
      </c>
      <c r="U33" s="52">
        <f>+IF(O33&gt;0,O33+R33*2,N33+R33*2)+P33*2+Q33*2</f>
        <v/>
      </c>
      <c r="V33" s="54" t="n"/>
      <c r="W33" s="333">
        <f>IF(V33=1,T33+5,T33+(V33*4))</f>
        <v/>
      </c>
      <c r="X33" s="334">
        <f>IF(V33=1,U33+5,U33+(V33*4))</f>
        <v/>
      </c>
      <c r="Y33" s="54" t="n">
        <v>0</v>
      </c>
      <c r="Z33" s="333">
        <f>IF(Y33=1,ROUNDUP(W33*(1+VLOOKUP(E33,ARTICULOS!$D$10:$H$699,5)),0),W33)</f>
        <v/>
      </c>
      <c r="AA33" s="334">
        <f>IF(Y33=1,ROUNDUP(X33*(1+VLOOKUP(E33,ARTICULOS!$D$10:$H$699,4)),0),X33)</f>
        <v/>
      </c>
      <c r="AB33" s="54" t="n">
        <v>2</v>
      </c>
      <c r="AC33" s="54" t="n"/>
      <c r="AD33" s="332">
        <f>IF(AC33=1,J33*100&amp;Z33,"")</f>
        <v/>
      </c>
      <c r="AE33" s="332">
        <f>IF(AC33=1,VLOOKUP(AD33,EMPALME!$C$2:$F$33,4),"")</f>
        <v/>
      </c>
      <c r="AF33" s="54" t="n"/>
      <c r="AG33" s="335">
        <f>IF(L33=3,IF(V33=1,CONFECCION!$C$18,CONFECCION!$C$18*2),IF(V33=1,HLOOKUP(AA33,CONFECCION!$C$17:$AD$33,VLOOKUP(Z33,CONFECCION!$A$18:$B$33,2)-16),2*HLOOKUP(AA33,CONFECCION!$C$17:$AD$33,VLOOKUP(Z33,CONFECCION!$A$18:$B$33,2)-16)))*IF(AC33=1,3,1)</f>
        <v/>
      </c>
      <c r="AH33" s="54" t="n"/>
      <c r="AI33" s="335">
        <f>IF(AC33=1,AA33/100*K33+IF(AF33&gt;0,K33*(VLOOKUP(AD33,EMPALME!$C$2:$D$33,2)/100)/AF33,K33*(VLOOKUP(AD33,EMPALME!$C$2:$D$33,2)/100)/VLOOKUP(AD33,EMPALME!$C$2:$F$33,4)),IF(AH33=2,ROUND((K33*(AA33/100)-(I33/10)*INT((AA33/100)/0.55)*INT((J33-(Z33/100)*INT(J33/(Z33/100)))/0.55))/INT(J33/(Z33/100)),2),ROUND(K33*(AA33/100)/INT(J33/(Z33/100)),2)))</f>
        <v/>
      </c>
      <c r="AJ33" s="54" t="n">
        <v>2</v>
      </c>
      <c r="AK33" s="335">
        <f>ROUND(IF(AJ33=2,0,((Z33*2)+(AA33*2))*CONFECCION!$B$35/100),2)</f>
        <v/>
      </c>
      <c r="AL33" s="54" t="n"/>
      <c r="AM33" s="54" t="n">
        <v>2</v>
      </c>
      <c r="AP33" s="149" t="inlineStr">
        <is>
          <t>Todas las prendas, seran identificadas con etiquerta color, según medida.</t>
        </is>
      </c>
      <c r="AQ33" s="149">
        <f>IF(S33=0,"",S33)</f>
        <v/>
      </c>
      <c r="AR33" s="149">
        <f>IF(A33=0,"",VLOOKUP(L33,ARTICULOS!$A$10:$B$19,2))</f>
        <v/>
      </c>
      <c r="AS33" s="157">
        <f>IF(A33=0,"",T33&amp;" * "&amp;U33)&amp;IF(AM33=1," PR","")</f>
        <v/>
      </c>
      <c r="AT33" s="167">
        <f>IF(A33=0,"",VLOOKUP(E33,ARTICULOS!$D$10:$F$699,3))</f>
        <v/>
      </c>
      <c r="AU33" s="164">
        <f>IF(A33=0,"","c/ "&amp;D33&amp;" "&amp;VLOOKUP(H33,COLORES!$A$7:$G$4394,7))</f>
        <v/>
      </c>
      <c r="AV33" s="149">
        <f>IF(A33=0,"",IF(V33=1,"Dobl. Sencillo","Dobl. "&amp;V33&amp;" cm."))</f>
        <v/>
      </c>
      <c r="AW33" s="149">
        <f>+IF(Y33=1,"SI","")</f>
        <v/>
      </c>
      <c r="AX33" s="149">
        <f>IF(A33=0,"",IF(AB33=2,Z33&amp;" * "&amp;AA33,IF(Z33=AA33,"Redondo "&amp;Z33&amp;" * "&amp;AA33,"Ovalado "&amp;Z33&amp;" * "&amp;AA33)))</f>
        <v/>
      </c>
      <c r="AY33" s="337">
        <f>IF(A33=0,"",AG33+AI33+AK33)</f>
        <v/>
      </c>
      <c r="AZ33" s="338">
        <f>IF(A33=0,"",A33)</f>
        <v/>
      </c>
      <c r="BA33" s="156">
        <f>IF(A33=0,"",ROUND(AY33*AZ33,2))</f>
        <v/>
      </c>
    </row>
    <row r="34" ht="16.5" customHeight="1">
      <c r="A34" s="327" t="n">
        <v>0</v>
      </c>
      <c r="B34" s="340" t="n">
        <v>1</v>
      </c>
      <c r="C34" s="340" t="n"/>
      <c r="D34" s="329" t="n">
        <v>1</v>
      </c>
      <c r="E34" s="341">
        <f>MATCH(C34,ARTICULOS!$F$10:$F$699,0)</f>
        <v/>
      </c>
      <c r="F34" s="341">
        <f>+VLOOKUP(E34,ARTICULOS!$D$10:$I$699,6)</f>
        <v/>
      </c>
      <c r="G34" s="42">
        <f>+F34&amp;D34</f>
        <v/>
      </c>
      <c r="H34" s="42">
        <f>+MATCH(G34,COLORES!$E$7:$E$4394,0)</f>
        <v/>
      </c>
      <c r="I34" s="342">
        <f>VLOOKUP(H34,COLORES!$A$7:$I$4394,8)</f>
        <v/>
      </c>
      <c r="J34" s="343">
        <f>VLOOKUP(H34,COLORES!$A$7:$I$4394,9)</f>
        <v/>
      </c>
      <c r="K34" s="344">
        <f>I34*(1+B34)</f>
        <v/>
      </c>
      <c r="L34" s="54" t="n">
        <v>0</v>
      </c>
      <c r="M34" s="327" t="n">
        <v>0</v>
      </c>
      <c r="N34" s="331" t="n">
        <v>0</v>
      </c>
      <c r="O34" s="331" t="n">
        <v>0</v>
      </c>
      <c r="P34" s="331" t="n">
        <v>0</v>
      </c>
      <c r="Q34" s="331" t="n">
        <v>0</v>
      </c>
      <c r="R34" s="329" t="n"/>
      <c r="S34" s="332">
        <f>IF(P34&gt;0,IF(O34&gt;0,"(/)"&amp;O34&amp;"*"&amp;P34&amp;IF(Q34&gt;0,"+"&amp;Q34,IF(Q34=0,"",Q34)),+M34&amp;"*"&amp;N34&amp;"*"&amp;P34&amp;IF(Q34&gt;0,"+"&amp;Q34,IF(Q34=0,"",Q34))),"")</f>
        <v/>
      </c>
      <c r="T34" s="51">
        <f>+IF(O34&gt;0,O34+R34*2,M34+R34*2)+P34*2+Q34*2</f>
        <v/>
      </c>
      <c r="U34" s="52">
        <f>+IF(O34&gt;0,O34+R34*2,N34+R34*2)+P34*2+Q34*2</f>
        <v/>
      </c>
      <c r="V34" s="54" t="n"/>
      <c r="W34" s="333">
        <f>IF(V34=1,T34+5,T34+(V34*4))</f>
        <v/>
      </c>
      <c r="X34" s="334">
        <f>IF(V34=1,U34+5,U34+(V34*4))</f>
        <v/>
      </c>
      <c r="Y34" s="54" t="n">
        <v>0</v>
      </c>
      <c r="Z34" s="333">
        <f>IF(Y34=1,ROUNDUP(W34*(1+VLOOKUP(E34,ARTICULOS!$D$10:$H$699,5)),0),W34)</f>
        <v/>
      </c>
      <c r="AA34" s="334">
        <f>IF(Y34=1,ROUNDUP(X34*(1+VLOOKUP(E34,ARTICULOS!$D$10:$H$699,4)),0),X34)</f>
        <v/>
      </c>
      <c r="AB34" s="54" t="n">
        <v>2</v>
      </c>
      <c r="AC34" s="54" t="n"/>
      <c r="AD34" s="332">
        <f>IF(AC34=1,J34*100&amp;Z34,"")</f>
        <v/>
      </c>
      <c r="AE34" s="332">
        <f>IF(AC34=1,VLOOKUP(AD34,EMPALME!$C$2:$F$33,4),"")</f>
        <v/>
      </c>
      <c r="AF34" s="54" t="n"/>
      <c r="AG34" s="335">
        <f>IF(L34=3,IF(V34=1,CONFECCION!$C$18,CONFECCION!$C$18*2),IF(V34=1,HLOOKUP(AA34,CONFECCION!$C$17:$AD$33,VLOOKUP(Z34,CONFECCION!$A$18:$B$33,2)-16),2*HLOOKUP(AA34,CONFECCION!$C$17:$AD$33,VLOOKUP(Z34,CONFECCION!$A$18:$B$33,2)-16)))*IF(AC34=1,3,1)</f>
        <v/>
      </c>
      <c r="AH34" s="54" t="n"/>
      <c r="AI34" s="335">
        <f>IF(AC34=1,AA34/100*K34+IF(AF34&gt;0,K34*(VLOOKUP(AD34,EMPALME!$C$2:$D$33,2)/100)/AF34,K34*(VLOOKUP(AD34,EMPALME!$C$2:$D$33,2)/100)/VLOOKUP(AD34,EMPALME!$C$2:$F$33,4)),IF(AH34=2,ROUND((K34*(AA34/100)-(I34/10)*INT((AA34/100)/0.55)*INT((J34-(Z34/100)*INT(J34/(Z34/100)))/0.55))/INT(J34/(Z34/100)),2),ROUND(K34*(AA34/100)/INT(J34/(Z34/100)),2)))</f>
        <v/>
      </c>
      <c r="AJ34" s="54" t="n">
        <v>2</v>
      </c>
      <c r="AK34" s="335">
        <f>ROUND(IF(AJ34=2,0,((Z34*2)+(AA34*2))*CONFECCION!$B$35/100),2)</f>
        <v/>
      </c>
      <c r="AL34" s="54" t="n"/>
      <c r="AM34" s="54" t="n">
        <v>2</v>
      </c>
      <c r="AP34" s="149" t="inlineStr">
        <is>
          <t>Estos precios no incluyen I.V.A.</t>
        </is>
      </c>
      <c r="AQ34" s="149">
        <f>IF(S34=0,"",S34)</f>
        <v/>
      </c>
      <c r="AR34" s="149">
        <f>IF(A34=0,"",VLOOKUP(L34,ARTICULOS!$A$10:$B$19,2))</f>
        <v/>
      </c>
      <c r="AS34" s="157">
        <f>IF(A34=0,"",T34&amp;" * "&amp;U34)&amp;IF(AM34=1," PR","")</f>
        <v/>
      </c>
      <c r="AT34" s="167">
        <f>IF(A34=0,"",VLOOKUP(E34,ARTICULOS!$D$10:$F$699,3))</f>
        <v/>
      </c>
      <c r="AU34" s="164">
        <f>IF(A34=0,"","c/ "&amp;D34&amp;" "&amp;VLOOKUP(H34,COLORES!$A$7:$G$4394,7))</f>
        <v/>
      </c>
      <c r="AV34" s="149">
        <f>IF(A34=0,"",IF(V34=1,"Dobl. Sencillo","Dobl. "&amp;V34&amp;" cm."))</f>
        <v/>
      </c>
      <c r="AW34" s="149">
        <f>+IF(Y34=1,"SI","")</f>
        <v/>
      </c>
      <c r="AX34" s="149">
        <f>IF(A34=0,"",IF(AB34=2,Z34&amp;" * "&amp;AA34,IF(Z34=AA34,"Redondo "&amp;Z34&amp;" * "&amp;AA34,"Ovalado "&amp;Z34&amp;" * "&amp;AA34)))</f>
        <v/>
      </c>
      <c r="AY34" s="337">
        <f>IF(A34=0,"",AG34+AI34+AK34)</f>
        <v/>
      </c>
      <c r="AZ34" s="338">
        <f>IF(A34=0,"",A34)</f>
        <v/>
      </c>
      <c r="BA34" s="156">
        <f>IF(A34=0,"",ROUND(AY34*AZ34,2))</f>
        <v/>
      </c>
    </row>
    <row r="35" ht="16.5" customHeight="1">
      <c r="A35" s="327" t="n">
        <v>0</v>
      </c>
      <c r="B35" s="340" t="n">
        <v>1</v>
      </c>
      <c r="C35" s="340" t="n"/>
      <c r="D35" s="329" t="n">
        <v>1</v>
      </c>
      <c r="E35" s="341">
        <f>MATCH(C35,ARTICULOS!$F$10:$F$699,0)</f>
        <v/>
      </c>
      <c r="F35" s="341">
        <f>+VLOOKUP(E35,ARTICULOS!$D$10:$I$699,6)</f>
        <v/>
      </c>
      <c r="G35" s="42">
        <f>+F35&amp;D35</f>
        <v/>
      </c>
      <c r="H35" s="42">
        <f>+MATCH(G35,COLORES!$E$7:$E$4394,0)</f>
        <v/>
      </c>
      <c r="I35" s="342">
        <f>VLOOKUP(H35,COLORES!$A$7:$I$4394,8)</f>
        <v/>
      </c>
      <c r="J35" s="343">
        <f>VLOOKUP(H35,COLORES!$A$7:$I$4394,9)</f>
        <v/>
      </c>
      <c r="K35" s="344">
        <f>I35*(1+B35)</f>
        <v/>
      </c>
      <c r="L35" s="54" t="n">
        <v>0</v>
      </c>
      <c r="M35" s="327" t="n">
        <v>0</v>
      </c>
      <c r="N35" s="331" t="n">
        <v>0</v>
      </c>
      <c r="O35" s="331" t="n">
        <v>0</v>
      </c>
      <c r="P35" s="331" t="n">
        <v>0</v>
      </c>
      <c r="Q35" s="331" t="n">
        <v>0</v>
      </c>
      <c r="R35" s="329" t="n"/>
      <c r="S35" s="332">
        <f>IF(P35&gt;0,IF(O35&gt;0,"(/)"&amp;O35&amp;"*"&amp;P35&amp;IF(Q35&gt;0,"+"&amp;Q35,IF(Q35=0,"",Q35)),+M35&amp;"*"&amp;N35&amp;"*"&amp;P35&amp;IF(Q35&gt;0,"+"&amp;Q35,IF(Q35=0,"",Q35))),"")</f>
        <v/>
      </c>
      <c r="T35" s="51">
        <f>+IF(O35&gt;0,O35+R35*2,M35+R35*2)+P35*2+Q35*2</f>
        <v/>
      </c>
      <c r="U35" s="52">
        <f>+IF(O35&gt;0,O35+R35*2,N35+R35*2)+P35*2+Q35*2</f>
        <v/>
      </c>
      <c r="V35" s="54" t="n"/>
      <c r="W35" s="333">
        <f>IF(V35=1,T35+5,T35+(V35*4))</f>
        <v/>
      </c>
      <c r="X35" s="334">
        <f>IF(V35=1,U35+5,U35+(V35*4))</f>
        <v/>
      </c>
      <c r="Y35" s="54" t="n">
        <v>0</v>
      </c>
      <c r="Z35" s="333">
        <f>IF(Y35=1,ROUNDUP(W35*(1+VLOOKUP(E35,ARTICULOS!$D$10:$H$699,5)),0),W35)</f>
        <v/>
      </c>
      <c r="AA35" s="334">
        <f>IF(Y35=1,ROUNDUP(X35*(1+VLOOKUP(E35,ARTICULOS!$D$10:$H$699,4)),0),X35)</f>
        <v/>
      </c>
      <c r="AB35" s="54" t="n">
        <v>2</v>
      </c>
      <c r="AC35" s="54" t="n"/>
      <c r="AD35" s="332">
        <f>IF(AC35=1,J35*100&amp;Z35,"")</f>
        <v/>
      </c>
      <c r="AE35" s="332">
        <f>IF(AC35=1,VLOOKUP(AD35,EMPALME!$C$2:$F$33,4),"")</f>
        <v/>
      </c>
      <c r="AF35" s="54" t="n"/>
      <c r="AG35" s="335">
        <f>IF(L35=3,IF(V35=1,CONFECCION!$C$18,CONFECCION!$C$18*2),IF(V35=1,HLOOKUP(AA35,CONFECCION!$C$17:$AD$33,VLOOKUP(Z35,CONFECCION!$A$18:$B$33,2)-16),2*HLOOKUP(AA35,CONFECCION!$C$17:$AD$33,VLOOKUP(Z35,CONFECCION!$A$18:$B$33,2)-16)))*IF(AC35=1,3,1)</f>
        <v/>
      </c>
      <c r="AH35" s="54" t="n"/>
      <c r="AI35" s="335">
        <f>IF(AC35=1,AA35/100*K35+IF(AF35&gt;0,K35*(VLOOKUP(AD35,EMPALME!$C$2:$D$33,2)/100)/AF35,K35*(VLOOKUP(AD35,EMPALME!$C$2:$D$33,2)/100)/VLOOKUP(AD35,EMPALME!$C$2:$F$33,4)),IF(AH35=2,ROUND((K35*(AA35/100)-(I35/10)*INT((AA35/100)/0.55)*INT((J35-(Z35/100)*INT(J35/(Z35/100)))/0.55))/INT(J35/(Z35/100)),2),ROUND(K35*(AA35/100)/INT(J35/(Z35/100)),2)))</f>
        <v/>
      </c>
      <c r="AJ35" s="54" t="n">
        <v>2</v>
      </c>
      <c r="AK35" s="335">
        <f>ROUND(IF(AJ35=2,0,((Z35*2)+(AA35*2))*CONFECCION!$B$35/100),2)</f>
        <v/>
      </c>
      <c r="AL35" s="54" t="n"/>
      <c r="AM35" s="54" t="n">
        <v>2</v>
      </c>
      <c r="AP35" s="149" t="inlineStr">
        <is>
          <t>Considerado encogimiento.</t>
        </is>
      </c>
      <c r="AQ35" s="149">
        <f>IF(S35=0,"",S35)</f>
        <v/>
      </c>
      <c r="AR35" s="149">
        <f>IF(A35=0,"",VLOOKUP(L35,ARTICULOS!$A$10:$B$19,2))</f>
        <v/>
      </c>
      <c r="AS35" s="157">
        <f>IF(A35=0,"",T35&amp;" * "&amp;U35)&amp;IF(AM35=1," PR","")</f>
        <v/>
      </c>
      <c r="AT35" s="167">
        <f>IF(A35=0,"",VLOOKUP(E35,ARTICULOS!$D$10:$F$699,3))</f>
        <v/>
      </c>
      <c r="AU35" s="164">
        <f>IF(A35=0,"","c/ "&amp;D35&amp;" "&amp;VLOOKUP(H35,COLORES!$A$7:$G$4394,7))</f>
        <v/>
      </c>
      <c r="AV35" s="149">
        <f>IF(A35=0,"",IF(V35=1,"Dobl. Sencillo","Dobl. "&amp;V35&amp;" cm."))</f>
        <v/>
      </c>
      <c r="AW35" s="149">
        <f>+IF(Y35=1,"SI","")</f>
        <v/>
      </c>
      <c r="AX35" s="149">
        <f>IF(A35=0,"",IF(AB35=2,Z35&amp;" * "&amp;AA35,IF(Z35=AA35,"Redondo "&amp;Z35&amp;" * "&amp;AA35,"Ovalado "&amp;Z35&amp;" * "&amp;AA35)))</f>
        <v/>
      </c>
      <c r="AY35" s="337">
        <f>IF(A35=0,"",AG35+AI35+AK35)</f>
        <v/>
      </c>
      <c r="AZ35" s="338">
        <f>IF(A35=0,"",A35)</f>
        <v/>
      </c>
      <c r="BA35" s="156">
        <f>IF(A35=0,"",ROUND(AY35*AZ35,2))</f>
        <v/>
      </c>
    </row>
    <row r="36" ht="16.5" customHeight="1">
      <c r="A36" s="327" t="n">
        <v>0</v>
      </c>
      <c r="B36" s="340" t="n">
        <v>1</v>
      </c>
      <c r="C36" s="340" t="n"/>
      <c r="D36" s="329" t="n">
        <v>1</v>
      </c>
      <c r="E36" s="341">
        <f>MATCH(C36,ARTICULOS!$F$10:$F$699,0)</f>
        <v/>
      </c>
      <c r="F36" s="341">
        <f>+VLOOKUP(E36,ARTICULOS!$D$10:$I$699,6)</f>
        <v/>
      </c>
      <c r="G36" s="42">
        <f>+F36&amp;D36</f>
        <v/>
      </c>
      <c r="H36" s="42">
        <f>+MATCH(G36,COLORES!$E$7:$E$4394,0)</f>
        <v/>
      </c>
      <c r="I36" s="342">
        <f>VLOOKUP(H36,COLORES!$A$7:$I$4394,8)</f>
        <v/>
      </c>
      <c r="J36" s="343">
        <f>VLOOKUP(H36,COLORES!$A$7:$I$4394,9)</f>
        <v/>
      </c>
      <c r="K36" s="344">
        <f>I36*(1+B36)</f>
        <v/>
      </c>
      <c r="L36" s="54" t="n">
        <v>0</v>
      </c>
      <c r="M36" s="327" t="n">
        <v>0</v>
      </c>
      <c r="N36" s="331" t="n">
        <v>0</v>
      </c>
      <c r="O36" s="331" t="n">
        <v>0</v>
      </c>
      <c r="P36" s="331" t="n">
        <v>0</v>
      </c>
      <c r="Q36" s="331" t="n">
        <v>0</v>
      </c>
      <c r="R36" s="329" t="n"/>
      <c r="S36" s="332">
        <f>IF(P36&gt;0,IF(O36&gt;0,"(/)"&amp;O36&amp;"*"&amp;P36&amp;IF(Q36&gt;0,"+"&amp;Q36,IF(Q36=0,"",Q36)),+M36&amp;"*"&amp;N36&amp;"*"&amp;P36&amp;IF(Q36&gt;0,"+"&amp;Q36,IF(Q36=0,"",Q36))),"")</f>
        <v/>
      </c>
      <c r="T36" s="51">
        <f>+IF(O36&gt;0,O36+R36*2,M36+R36*2)+P36*2+Q36*2</f>
        <v/>
      </c>
      <c r="U36" s="52">
        <f>+IF(O36&gt;0,O36+R36*2,N36+R36*2)+P36*2+Q36*2</f>
        <v/>
      </c>
      <c r="V36" s="54" t="n"/>
      <c r="W36" s="333">
        <f>IF(V36=1,T36+5,T36+(V36*4))</f>
        <v/>
      </c>
      <c r="X36" s="334">
        <f>IF(V36=1,U36+5,U36+(V36*4))</f>
        <v/>
      </c>
      <c r="Y36" s="54" t="n">
        <v>0</v>
      </c>
      <c r="Z36" s="333">
        <f>IF(Y36=1,ROUNDUP(W36*(1+VLOOKUP(E36,ARTICULOS!$D$10:$H$699,5)),0),W36)</f>
        <v/>
      </c>
      <c r="AA36" s="334">
        <f>IF(Y36=1,ROUNDUP(X36*(1+VLOOKUP(E36,ARTICULOS!$D$10:$H$699,4)),0),X36)</f>
        <v/>
      </c>
      <c r="AB36" s="54" t="n">
        <v>2</v>
      </c>
      <c r="AC36" s="54" t="n"/>
      <c r="AD36" s="332">
        <f>IF(AC36=1,J36*100&amp;Z36,"")</f>
        <v/>
      </c>
      <c r="AE36" s="332">
        <f>IF(AC36=1,VLOOKUP(AD36,EMPALME!$C$2:$F$33,4),"")</f>
        <v/>
      </c>
      <c r="AF36" s="54" t="n"/>
      <c r="AG36" s="335">
        <f>IF(L36=3,IF(V36=1,CONFECCION!$C$18,CONFECCION!$C$18*2),IF(V36=1,HLOOKUP(AA36,CONFECCION!$C$17:$AD$33,VLOOKUP(Z36,CONFECCION!$A$18:$B$33,2)-16),2*HLOOKUP(AA36,CONFECCION!$C$17:$AD$33,VLOOKUP(Z36,CONFECCION!$A$18:$B$33,2)-16)))*IF(AC36=1,3,1)</f>
        <v/>
      </c>
      <c r="AH36" s="54" t="n"/>
      <c r="AI36" s="335">
        <f>IF(AC36=1,AA36/100*K36+IF(AF36&gt;0,K36*(VLOOKUP(AD36,EMPALME!$C$2:$D$33,2)/100)/AF36,K36*(VLOOKUP(AD36,EMPALME!$C$2:$D$33,2)/100)/VLOOKUP(AD36,EMPALME!$C$2:$F$33,4)),IF(AH36=2,ROUND((K36*(AA36/100)-(I36/10)*INT((AA36/100)/0.55)*INT((J36-(Z36/100)*INT(J36/(Z36/100)))/0.55))/INT(J36/(Z36/100)),2),ROUND(K36*(AA36/100)/INT(J36/(Z36/100)),2)))</f>
        <v/>
      </c>
      <c r="AJ36" s="54" t="n">
        <v>2</v>
      </c>
      <c r="AK36" s="335">
        <f>ROUND(IF(AJ36=2,0,((Z36*2)+(AA36*2))*CONFECCION!$B$35/100),2)</f>
        <v/>
      </c>
      <c r="AL36" s="54" t="n"/>
      <c r="AM36" s="54" t="n">
        <v>2</v>
      </c>
      <c r="AP36" s="149" t="inlineStr">
        <is>
          <t>Confección a Capet</t>
        </is>
      </c>
      <c r="AQ36" s="149">
        <f>IF(S36=0,"",S36)</f>
        <v/>
      </c>
      <c r="AR36" s="149">
        <f>IF(A36=0,"",VLOOKUP(L36,ARTICULOS!$A$10:$B$19,2))</f>
        <v/>
      </c>
      <c r="AS36" s="157">
        <f>IF(A36=0,"",T36&amp;" * "&amp;U36)&amp;IF(AM36=1," PR","")</f>
        <v/>
      </c>
      <c r="AT36" s="167">
        <f>IF(A36=0,"",VLOOKUP(E36,ARTICULOS!$D$10:$F$699,3))</f>
        <v/>
      </c>
      <c r="AU36" s="164">
        <f>IF(A36=0,"","c/ "&amp;D36&amp;" "&amp;VLOOKUP(H36,COLORES!$A$7:$G$4394,7))</f>
        <v/>
      </c>
      <c r="AV36" s="149">
        <f>IF(A36=0,"",IF(V36=1,"Dobl. Sencillo","Dobl. "&amp;V36&amp;" cm."))</f>
        <v/>
      </c>
      <c r="AW36" s="149">
        <f>+IF(Y36=1,"SI","")</f>
        <v/>
      </c>
      <c r="AX36" s="149">
        <f>IF(A36=0,"",IF(AB36=2,Z36&amp;" * "&amp;AA36,IF(Z36=AA36,"Redondo "&amp;Z36&amp;" * "&amp;AA36,"Ovalado "&amp;Z36&amp;" * "&amp;AA36)))</f>
        <v/>
      </c>
      <c r="AY36" s="337">
        <f>IF(A36=0,"",AG36+AI36+AK36)</f>
        <v/>
      </c>
      <c r="AZ36" s="338">
        <f>IF(A36=0,"",A36)</f>
        <v/>
      </c>
      <c r="BA36" s="156">
        <f>IF(A36=0,"",ROUND(AY36*AZ36,2))</f>
        <v/>
      </c>
    </row>
    <row r="37" ht="16.5" customHeight="1">
      <c r="A37" s="327" t="n">
        <v>0</v>
      </c>
      <c r="B37" s="340" t="n">
        <v>1</v>
      </c>
      <c r="C37" s="340" t="n"/>
      <c r="D37" s="329" t="n">
        <v>1</v>
      </c>
      <c r="E37" s="341">
        <f>MATCH(C37,ARTICULOS!$F$10:$F$699,0)</f>
        <v/>
      </c>
      <c r="F37" s="341">
        <f>+VLOOKUP(E37,ARTICULOS!$D$10:$I$699,6)</f>
        <v/>
      </c>
      <c r="G37" s="42">
        <f>+F37&amp;D37</f>
        <v/>
      </c>
      <c r="H37" s="42">
        <f>+MATCH(G37,COLORES!$E$7:$E$4394,0)</f>
        <v/>
      </c>
      <c r="I37" s="342">
        <f>VLOOKUP(H37,COLORES!$A$7:$I$4394,8)</f>
        <v/>
      </c>
      <c r="J37" s="343">
        <f>VLOOKUP(H37,COLORES!$A$7:$I$4394,9)</f>
        <v/>
      </c>
      <c r="K37" s="344">
        <f>I37*(1+B37)</f>
        <v/>
      </c>
      <c r="L37" s="54" t="n">
        <v>0</v>
      </c>
      <c r="M37" s="327" t="n">
        <v>0</v>
      </c>
      <c r="N37" s="331" t="n">
        <v>0</v>
      </c>
      <c r="O37" s="331" t="n">
        <v>0</v>
      </c>
      <c r="P37" s="331" t="n">
        <v>0</v>
      </c>
      <c r="Q37" s="331" t="n">
        <v>0</v>
      </c>
      <c r="R37" s="329" t="n"/>
      <c r="S37" s="332">
        <f>IF(P37&gt;0,IF(O37&gt;0,"(/)"&amp;O37&amp;"*"&amp;P37&amp;IF(Q37&gt;0,"+"&amp;Q37,IF(Q37=0,"",Q37)),+M37&amp;"*"&amp;N37&amp;"*"&amp;P37&amp;IF(Q37&gt;0,"+"&amp;Q37,IF(Q37=0,"",Q37))),"")</f>
        <v/>
      </c>
      <c r="T37" s="51">
        <f>+IF(O37&gt;0,O37+R37*2,M37+R37*2)+P37*2+Q37*2</f>
        <v/>
      </c>
      <c r="U37" s="52">
        <f>+IF(O37&gt;0,O37+R37*2,N37+R37*2)+P37*2+Q37*2</f>
        <v/>
      </c>
      <c r="V37" s="54" t="n"/>
      <c r="W37" s="333">
        <f>IF(V37=1,T37+5,T37+(V37*4))</f>
        <v/>
      </c>
      <c r="X37" s="334">
        <f>IF(V37=1,U37+5,U37+(V37*4))</f>
        <v/>
      </c>
      <c r="Y37" s="54" t="n">
        <v>0</v>
      </c>
      <c r="Z37" s="333">
        <f>IF(Y37=1,ROUNDUP(W37*(1+VLOOKUP(E37,ARTICULOS!$D$10:$H$699,5)),0),W37)</f>
        <v/>
      </c>
      <c r="AA37" s="334">
        <f>IF(Y37=1,ROUNDUP(X37*(1+VLOOKUP(E37,ARTICULOS!$D$10:$H$699,4)),0),X37)</f>
        <v/>
      </c>
      <c r="AB37" s="54" t="n">
        <v>2</v>
      </c>
      <c r="AC37" s="54" t="n"/>
      <c r="AD37" s="332">
        <f>IF(AC37=1,J37*100&amp;Z37,"")</f>
        <v/>
      </c>
      <c r="AE37" s="332">
        <f>IF(AC37=1,VLOOKUP(AD37,EMPALME!$C$2:$F$33,4),"")</f>
        <v/>
      </c>
      <c r="AF37" s="54" t="n"/>
      <c r="AG37" s="335">
        <f>IF(L37=3,IF(V37=1,CONFECCION!$C$18,CONFECCION!$C$18*2),IF(V37=1,HLOOKUP(AA37,CONFECCION!$C$17:$AD$33,VLOOKUP(Z37,CONFECCION!$A$18:$B$33,2)-16),2*HLOOKUP(AA37,CONFECCION!$C$17:$AD$33,VLOOKUP(Z37,CONFECCION!$A$18:$B$33,2)-16)))*IF(AC37=1,3,1)</f>
        <v/>
      </c>
      <c r="AH37" s="54" t="n"/>
      <c r="AI37" s="335">
        <f>IF(AC37=1,AA37/100*K37+IF(AF37&gt;0,K37*(VLOOKUP(AD37,EMPALME!$C$2:$D$33,2)/100)/AF37,K37*(VLOOKUP(AD37,EMPALME!$C$2:$D$33,2)/100)/VLOOKUP(AD37,EMPALME!$C$2:$F$33,4)),IF(AH37=2,ROUND((K37*(AA37/100)-(I37/10)*INT((AA37/100)/0.55)*INT((J37-(Z37/100)*INT(J37/(Z37/100)))/0.55))/INT(J37/(Z37/100)),2),ROUND(K37*(AA37/100)/INT(J37/(Z37/100)),2)))</f>
        <v/>
      </c>
      <c r="AJ37" s="54" t="n">
        <v>2</v>
      </c>
      <c r="AK37" s="335">
        <f>ROUND(IF(AJ37=2,0,((Z37*2)+(AA37*2))*CONFECCION!$B$35/100),2)</f>
        <v/>
      </c>
      <c r="AL37" s="54" t="n"/>
      <c r="AM37" s="54" t="n">
        <v>2</v>
      </c>
      <c r="AP37" s="149" t="inlineStr">
        <is>
          <t>F. Pago : 50% a la aceptacion de presupuesto.</t>
        </is>
      </c>
      <c r="AQ37" s="149">
        <f>IF(S37=0,"",S37)</f>
        <v/>
      </c>
      <c r="AR37" s="149">
        <f>IF(A37=0,"",VLOOKUP(L37,ARTICULOS!$A$10:$B$19,2))</f>
        <v/>
      </c>
      <c r="AS37" s="157">
        <f>IF(A37=0,"",T37&amp;" * "&amp;U37)&amp;IF(AM37=1," PR","")</f>
        <v/>
      </c>
      <c r="AT37" s="167">
        <f>IF(A37=0,"",VLOOKUP(E37,ARTICULOS!$D$10:$F$699,3))</f>
        <v/>
      </c>
      <c r="AU37" s="164">
        <f>IF(A37=0,"","c/ "&amp;D37&amp;" "&amp;VLOOKUP(H37,COLORES!$A$7:$G$4394,7))</f>
        <v/>
      </c>
      <c r="AV37" s="149">
        <f>IF(A37=0,"",IF(V37=1,"Dobl. Sencillo","Dobl. "&amp;V37&amp;" cm."))</f>
        <v/>
      </c>
      <c r="AW37" s="149">
        <f>+IF(Y37=1,"SI","")</f>
        <v/>
      </c>
      <c r="AX37" s="149">
        <f>IF(A37=0,"",IF(AB37=2,Z37&amp;" * "&amp;AA37,IF(Z37=AA37,"Redondo "&amp;Z37&amp;" * "&amp;AA37,"Ovalado "&amp;Z37&amp;" * "&amp;AA37)))</f>
        <v/>
      </c>
      <c r="AY37" s="337">
        <f>IF(A37=0,"",AG37+AI37+AK37)</f>
        <v/>
      </c>
      <c r="AZ37" s="338">
        <f>IF(A37=0,"",A37)</f>
        <v/>
      </c>
      <c r="BA37" s="156">
        <f>IF(A37=0,"",ROUND(AY37*AZ37,2))</f>
        <v/>
      </c>
    </row>
    <row r="38" ht="16.5" customHeight="1">
      <c r="A38" s="327" t="n">
        <v>0</v>
      </c>
      <c r="B38" s="340" t="n">
        <v>1</v>
      </c>
      <c r="C38" s="340" t="n"/>
      <c r="D38" s="329" t="n">
        <v>1</v>
      </c>
      <c r="E38" s="341">
        <f>MATCH(C38,ARTICULOS!$F$10:$F$699,0)</f>
        <v/>
      </c>
      <c r="F38" s="341">
        <f>+VLOOKUP(E38,ARTICULOS!$D$10:$I$699,6)</f>
        <v/>
      </c>
      <c r="G38" s="42">
        <f>+F38&amp;D38</f>
        <v/>
      </c>
      <c r="H38" s="42">
        <f>+MATCH(G38,COLORES!$E$7:$E$4394,0)</f>
        <v/>
      </c>
      <c r="I38" s="342">
        <f>VLOOKUP(H38,COLORES!$A$7:$I$4394,8)</f>
        <v/>
      </c>
      <c r="J38" s="343">
        <f>VLOOKUP(H38,COLORES!$A$7:$I$4394,9)</f>
        <v/>
      </c>
      <c r="K38" s="344">
        <f>I38*(1+B38)</f>
        <v/>
      </c>
      <c r="L38" s="54" t="n">
        <v>0</v>
      </c>
      <c r="M38" s="327" t="n">
        <v>0</v>
      </c>
      <c r="N38" s="331" t="n">
        <v>0</v>
      </c>
      <c r="O38" s="331" t="n">
        <v>0</v>
      </c>
      <c r="P38" s="331" t="n">
        <v>0</v>
      </c>
      <c r="Q38" s="331" t="n">
        <v>0</v>
      </c>
      <c r="R38" s="329" t="n"/>
      <c r="S38" s="332">
        <f>IF(P38&gt;0,IF(O38&gt;0,"(/)"&amp;O38&amp;"*"&amp;P38&amp;IF(Q38&gt;0,"+"&amp;Q38,IF(Q38=0,"",Q38)),+M38&amp;"*"&amp;N38&amp;"*"&amp;P38&amp;IF(Q38&gt;0,"+"&amp;Q38,IF(Q38=0,"",Q38))),"")</f>
        <v/>
      </c>
      <c r="T38" s="51">
        <f>+IF(O38&gt;0,O38+R38*2,M38+R38*2)+P38*2+Q38*2</f>
        <v/>
      </c>
      <c r="U38" s="52">
        <f>+IF(O38&gt;0,O38+R38*2,N38+R38*2)+P38*2+Q38*2</f>
        <v/>
      </c>
      <c r="V38" s="54" t="n"/>
      <c r="W38" s="333">
        <f>IF(V38=1,T38+5,T38+(V38*4))</f>
        <v/>
      </c>
      <c r="X38" s="334">
        <f>IF(V38=1,U38+5,U38+(V38*4))</f>
        <v/>
      </c>
      <c r="Y38" s="54" t="n">
        <v>0</v>
      </c>
      <c r="Z38" s="333">
        <f>IF(Y38=1,ROUNDUP(W38*(1+VLOOKUP(E38,ARTICULOS!$D$10:$H$699,5)),0),W38)</f>
        <v/>
      </c>
      <c r="AA38" s="334">
        <f>IF(Y38=1,ROUNDUP(X38*(1+VLOOKUP(E38,ARTICULOS!$D$10:$H$699,4)),0),X38)</f>
        <v/>
      </c>
      <c r="AB38" s="54" t="n">
        <v>2</v>
      </c>
      <c r="AC38" s="54" t="n"/>
      <c r="AD38" s="332">
        <f>IF(AC38=1,J38*100&amp;Z38,"")</f>
        <v/>
      </c>
      <c r="AE38" s="332">
        <f>IF(AC38=1,VLOOKUP(AD38,EMPALME!$C$2:$F$33,4),"")</f>
        <v/>
      </c>
      <c r="AF38" s="54" t="n"/>
      <c r="AG38" s="335">
        <f>IF(L38=3,IF(V38=1,CONFECCION!$C$18,CONFECCION!$C$18*2),IF(V38=1,HLOOKUP(AA38,CONFECCION!$C$17:$AD$33,VLOOKUP(Z38,CONFECCION!$A$18:$B$33,2)-16),2*HLOOKUP(AA38,CONFECCION!$C$17:$AD$33,VLOOKUP(Z38,CONFECCION!$A$18:$B$33,2)-16)))*IF(AC38=1,3,1)</f>
        <v/>
      </c>
      <c r="AH38" s="54" t="n"/>
      <c r="AI38" s="335">
        <f>IF(AC38=1,AA38/100*K38+IF(AF38&gt;0,K38*(VLOOKUP(AD38,EMPALME!$C$2:$D$33,2)/100)/AF38,K38*(VLOOKUP(AD38,EMPALME!$C$2:$D$33,2)/100)/VLOOKUP(AD38,EMPALME!$C$2:$F$33,4)),IF(AH38=2,ROUND((K38*(AA38/100)-(I38/10)*INT((AA38/100)/0.55)*INT((J38-(Z38/100)*INT(J38/(Z38/100)))/0.55))/INT(J38/(Z38/100)),2),ROUND(K38*(AA38/100)/INT(J38/(Z38/100)),2)))</f>
        <v/>
      </c>
      <c r="AJ38" s="54" t="n">
        <v>2</v>
      </c>
      <c r="AK38" s="335">
        <f>ROUND(IF(AJ38=2,0,((Z38*2)+(AA38*2))*CONFECCION!$B$35/100),2)</f>
        <v/>
      </c>
      <c r="AL38" s="54" t="n"/>
      <c r="AM38" s="54" t="n">
        <v>2</v>
      </c>
      <c r="AP38" s="149" t="inlineStr">
        <is>
          <t>Resto a la entrega de mercancia</t>
        </is>
      </c>
      <c r="AQ38" s="149">
        <f>IF(S38=0,"",S38)</f>
        <v/>
      </c>
      <c r="AR38" s="149">
        <f>IF(A38=0,"",VLOOKUP(L38,ARTICULOS!$A$10:$B$19,2))</f>
        <v/>
      </c>
      <c r="AS38" s="157">
        <f>IF(A38=0,"",T38&amp;" * "&amp;U38)&amp;IF(AM38=1," PR","")</f>
        <v/>
      </c>
      <c r="AT38" s="167">
        <f>IF(A38=0,"",VLOOKUP(E38,ARTICULOS!$D$10:$F$699,3))</f>
        <v/>
      </c>
      <c r="AU38" s="164">
        <f>IF(A38=0,"","c/ "&amp;D38&amp;" "&amp;VLOOKUP(H38,COLORES!$A$7:$G$4394,7))</f>
        <v/>
      </c>
      <c r="AV38" s="149">
        <f>IF(A38=0,"",IF(V38=1,"Dobl. Sencillo","Dobl. "&amp;V38&amp;" cm."))</f>
        <v/>
      </c>
      <c r="AW38" s="149">
        <f>+IF(Y38=1,"SI","")</f>
        <v/>
      </c>
      <c r="AX38" s="149">
        <f>IF(A38=0,"",IF(AB38=2,Z38&amp;" * "&amp;AA38,IF(Z38=AA38,"Redondo "&amp;Z38&amp;" * "&amp;AA38,"Ovalado "&amp;Z38&amp;" * "&amp;AA38)))</f>
        <v/>
      </c>
      <c r="AY38" s="337">
        <f>IF(A38=0,"",AG38+AI38+AK38)</f>
        <v/>
      </c>
      <c r="AZ38" s="338">
        <f>IF(A38=0,"",A38)</f>
        <v/>
      </c>
      <c r="BA38" s="156">
        <f>IF(A38=0,"",ROUND(AY38*AZ38,2))</f>
        <v/>
      </c>
    </row>
    <row r="39" ht="16.5" customHeight="1">
      <c r="A39" s="327" t="n">
        <v>0</v>
      </c>
      <c r="B39" s="340" t="n">
        <v>1</v>
      </c>
      <c r="C39" s="340" t="n"/>
      <c r="D39" s="329" t="n">
        <v>1</v>
      </c>
      <c r="E39" s="341">
        <f>MATCH(C39,ARTICULOS!$F$10:$F$699,0)</f>
        <v/>
      </c>
      <c r="F39" s="341">
        <f>+VLOOKUP(E39,ARTICULOS!$D$10:$I$699,6)</f>
        <v/>
      </c>
      <c r="G39" s="42">
        <f>+F39&amp;D39</f>
        <v/>
      </c>
      <c r="H39" s="42">
        <f>+MATCH(G39,COLORES!$E$7:$E$4394,0)</f>
        <v/>
      </c>
      <c r="I39" s="342">
        <f>VLOOKUP(H39,COLORES!$A$7:$I$4394,8)</f>
        <v/>
      </c>
      <c r="J39" s="343">
        <f>VLOOKUP(H39,COLORES!$A$7:$I$4394,9)</f>
        <v/>
      </c>
      <c r="K39" s="344">
        <f>I39*(1+B39)</f>
        <v/>
      </c>
      <c r="L39" s="54" t="n">
        <v>0</v>
      </c>
      <c r="M39" s="327" t="n">
        <v>0</v>
      </c>
      <c r="N39" s="331" t="n">
        <v>0</v>
      </c>
      <c r="O39" s="331" t="n">
        <v>0</v>
      </c>
      <c r="P39" s="331" t="n">
        <v>0</v>
      </c>
      <c r="Q39" s="331" t="n">
        <v>0</v>
      </c>
      <c r="R39" s="329" t="n"/>
      <c r="S39" s="332">
        <f>IF(P39&gt;0,IF(O39&gt;0,"(/)"&amp;O39&amp;"*"&amp;P39&amp;IF(Q39&gt;0,"+"&amp;Q39,IF(Q39=0,"",Q39)),+M39&amp;"*"&amp;N39&amp;"*"&amp;P39&amp;IF(Q39&gt;0,"+"&amp;Q39,IF(Q39=0,"",Q39))),"")</f>
        <v/>
      </c>
      <c r="T39" s="51">
        <f>+IF(O39&gt;0,O39+R39*2,M39+R39*2)+P39*2+Q39*2</f>
        <v/>
      </c>
      <c r="U39" s="52">
        <f>+IF(O39&gt;0,O39+R39*2,N39+R39*2)+P39*2+Q39*2</f>
        <v/>
      </c>
      <c r="V39" s="54" t="n"/>
      <c r="W39" s="333">
        <f>IF(V39=1,T39+5,T39+(V39*4))</f>
        <v/>
      </c>
      <c r="X39" s="334">
        <f>IF(V39=1,U39+5,U39+(V39*4))</f>
        <v/>
      </c>
      <c r="Y39" s="54" t="n">
        <v>0</v>
      </c>
      <c r="Z39" s="333">
        <f>IF(Y39=1,ROUNDUP(W39*(1+VLOOKUP(E39,ARTICULOS!$D$10:$H$699,5)),0),W39)</f>
        <v/>
      </c>
      <c r="AA39" s="334">
        <f>IF(Y39=1,ROUNDUP(X39*(1+VLOOKUP(E39,ARTICULOS!$D$10:$H$699,4)),0),X39)</f>
        <v/>
      </c>
      <c r="AB39" s="54" t="n">
        <v>2</v>
      </c>
      <c r="AC39" s="54" t="n"/>
      <c r="AD39" s="332">
        <f>IF(AC39=1,J39*100&amp;Z39,"")</f>
        <v/>
      </c>
      <c r="AE39" s="332">
        <f>IF(AC39=1,VLOOKUP(AD39,EMPALME!$C$2:$F$33,4),"")</f>
        <v/>
      </c>
      <c r="AF39" s="54" t="n"/>
      <c r="AG39" s="335">
        <f>IF(L39=3,IF(V39=1,CONFECCION!$C$18,CONFECCION!$C$18*2),IF(V39=1,HLOOKUP(AA39,CONFECCION!$C$17:$AD$33,VLOOKUP(Z39,CONFECCION!$A$18:$B$33,2)-16),2*HLOOKUP(AA39,CONFECCION!$C$17:$AD$33,VLOOKUP(Z39,CONFECCION!$A$18:$B$33,2)-16)))*IF(AC39=1,3,1)</f>
        <v/>
      </c>
      <c r="AH39" s="54" t="n"/>
      <c r="AI39" s="335">
        <f>IF(AC39=1,AA39/100*K39+IF(AF39&gt;0,K39*(VLOOKUP(AD39,EMPALME!$C$2:$D$33,2)/100)/AF39,K39*(VLOOKUP(AD39,EMPALME!$C$2:$D$33,2)/100)/VLOOKUP(AD39,EMPALME!$C$2:$F$33,4)),IF(AH39=2,ROUND((K39*(AA39/100)-(I39/10)*INT((AA39/100)/0.55)*INT((J39-(Z39/100)*INT(J39/(Z39/100)))/0.55))/INT(J39/(Z39/100)),2),ROUND(K39*(AA39/100)/INT(J39/(Z39/100)),2)))</f>
        <v/>
      </c>
      <c r="AJ39" s="54" t="n">
        <v>2</v>
      </c>
      <c r="AK39" s="335">
        <f>ROUND(IF(AJ39=2,0,((Z39*2)+(AA39*2))*CONFECCION!$B$35/100),2)</f>
        <v/>
      </c>
      <c r="AL39" s="54" t="n"/>
      <c r="AM39" s="54" t="n">
        <v>2</v>
      </c>
      <c r="AP39" s="149" t="inlineStr">
        <is>
          <t>La cantidad de prendas, puede variar en un + - 10%</t>
        </is>
      </c>
      <c r="AQ39" s="149">
        <f>IF(S39=0,"",S39)</f>
        <v/>
      </c>
      <c r="AR39" s="149">
        <f>IF(A39=0,"",VLOOKUP(L39,ARTICULOS!$A$10:$B$19,2))</f>
        <v/>
      </c>
      <c r="AS39" s="157">
        <f>IF(A39=0,"",T39&amp;" * "&amp;U39)&amp;IF(AM39=1," PR","")</f>
        <v/>
      </c>
      <c r="AT39" s="167">
        <f>IF(A39=0,"",VLOOKUP(E39,ARTICULOS!$D$10:$F$699,3))</f>
        <v/>
      </c>
      <c r="AU39" s="164">
        <f>IF(A39=0,"","c/ "&amp;D39&amp;" "&amp;VLOOKUP(H39,COLORES!$A$7:$G$4394,7))</f>
        <v/>
      </c>
      <c r="AV39" s="149">
        <f>IF(A39=0,"",IF(V39=1,"Dobl. Sencillo","Dobl. "&amp;V39&amp;" cm."))</f>
        <v/>
      </c>
      <c r="AW39" s="149">
        <f>+IF(Y39=1,"SI","")</f>
        <v/>
      </c>
      <c r="AX39" s="149">
        <f>IF(A39=0,"",IF(AB39=2,Z39&amp;" * "&amp;AA39,IF(Z39=AA39,"Redondo "&amp;Z39&amp;" * "&amp;AA39,"Ovalado "&amp;Z39&amp;" * "&amp;AA39)))</f>
        <v/>
      </c>
      <c r="AY39" s="337">
        <f>IF(A39=0,"",AG39+AI39+AK39)</f>
        <v/>
      </c>
      <c r="AZ39" s="338">
        <f>IF(A39=0,"",A39)</f>
        <v/>
      </c>
      <c r="BA39" s="156">
        <f>IF(A39=0,"",ROUND(AY39*AZ39,2))</f>
        <v/>
      </c>
    </row>
    <row r="40" ht="16.5" customHeight="1">
      <c r="A40" s="327" t="n">
        <v>0</v>
      </c>
      <c r="B40" s="340" t="n">
        <v>1</v>
      </c>
      <c r="C40" s="340" t="n"/>
      <c r="D40" s="329" t="n">
        <v>1</v>
      </c>
      <c r="E40" s="341">
        <f>MATCH(C40,ARTICULOS!$F$10:$F$699,0)</f>
        <v/>
      </c>
      <c r="F40" s="341">
        <f>+VLOOKUP(E40,ARTICULOS!$D$10:$I$699,6)</f>
        <v/>
      </c>
      <c r="G40" s="42">
        <f>+F40&amp;D40</f>
        <v/>
      </c>
      <c r="H40" s="42">
        <f>+MATCH(G40,COLORES!$E$7:$E$4394,0)</f>
        <v/>
      </c>
      <c r="I40" s="342">
        <f>VLOOKUP(H40,COLORES!$A$7:$I$4394,8)</f>
        <v/>
      </c>
      <c r="J40" s="343">
        <f>VLOOKUP(H40,COLORES!$A$7:$I$4394,9)</f>
        <v/>
      </c>
      <c r="K40" s="344">
        <f>I40*(1+B40)</f>
        <v/>
      </c>
      <c r="L40" s="54" t="n">
        <v>0</v>
      </c>
      <c r="M40" s="327" t="n">
        <v>0</v>
      </c>
      <c r="N40" s="331" t="n">
        <v>0</v>
      </c>
      <c r="O40" s="331" t="n">
        <v>0</v>
      </c>
      <c r="P40" s="331" t="n">
        <v>0</v>
      </c>
      <c r="Q40" s="331" t="n">
        <v>0</v>
      </c>
      <c r="R40" s="329" t="n"/>
      <c r="S40" s="332">
        <f>IF(P40&gt;0,IF(O40&gt;0,"(/)"&amp;O40&amp;"*"&amp;P40&amp;IF(Q40&gt;0,"+"&amp;Q40,IF(Q40=0,"",Q40)),+M40&amp;"*"&amp;N40&amp;"*"&amp;P40&amp;IF(Q40&gt;0,"+"&amp;Q40,IF(Q40=0,"",Q40))),"")</f>
        <v/>
      </c>
      <c r="T40" s="51">
        <f>+IF(O40&gt;0,O40+R40*2,M40+R40*2)+P40*2+Q40*2</f>
        <v/>
      </c>
      <c r="U40" s="52">
        <f>+IF(O40&gt;0,O40+R40*2,N40+R40*2)+P40*2+Q40*2</f>
        <v/>
      </c>
      <c r="V40" s="54" t="n"/>
      <c r="W40" s="333">
        <f>IF(V40=1,T40+5,T40+(V40*4))</f>
        <v/>
      </c>
      <c r="X40" s="334">
        <f>IF(V40=1,U40+5,U40+(V40*4))</f>
        <v/>
      </c>
      <c r="Y40" s="54" t="n">
        <v>0</v>
      </c>
      <c r="Z40" s="333">
        <f>IF(Y40=1,ROUNDUP(W40*(1+VLOOKUP(E40,ARTICULOS!$D$10:$H$699,5)),0),W40)</f>
        <v/>
      </c>
      <c r="AA40" s="334">
        <f>IF(Y40=1,ROUNDUP(X40*(1+VLOOKUP(E40,ARTICULOS!$D$10:$H$699,4)),0),X40)</f>
        <v/>
      </c>
      <c r="AB40" s="54" t="n">
        <v>2</v>
      </c>
      <c r="AC40" s="54" t="n"/>
      <c r="AD40" s="332">
        <f>IF(AC40=1,J40*100&amp;Z40,"")</f>
        <v/>
      </c>
      <c r="AE40" s="332">
        <f>IF(AC40=1,VLOOKUP(AD40,EMPALME!$C$2:$F$33,4),"")</f>
        <v/>
      </c>
      <c r="AF40" s="54" t="n"/>
      <c r="AG40" s="335">
        <f>IF(L40=3,IF(V40=1,CONFECCION!$C$18,CONFECCION!$C$18*2),IF(V40=1,HLOOKUP(AA40,CONFECCION!$C$17:$AD$33,VLOOKUP(Z40,CONFECCION!$A$18:$B$33,2)-16),2*HLOOKUP(AA40,CONFECCION!$C$17:$AD$33,VLOOKUP(Z40,CONFECCION!$A$18:$B$33,2)-16)))*IF(AC40=1,3,1)</f>
        <v/>
      </c>
      <c r="AH40" s="54" t="n"/>
      <c r="AI40" s="335">
        <f>IF(AC40=1,AA40/100*K40+IF(AF40&gt;0,K40*(VLOOKUP(AD40,EMPALME!$C$2:$D$33,2)/100)/AF40,K40*(VLOOKUP(AD40,EMPALME!$C$2:$D$33,2)/100)/VLOOKUP(AD40,EMPALME!$C$2:$F$33,4)),IF(AH40=2,ROUND((K40*(AA40/100)-(I40/10)*INT((AA40/100)/0.55)*INT((J40-(Z40/100)*INT(J40/(Z40/100)))/0.55))/INT(J40/(Z40/100)),2),ROUND(K40*(AA40/100)/INT(J40/(Z40/100)),2)))</f>
        <v/>
      </c>
      <c r="AJ40" s="54" t="n">
        <v>2</v>
      </c>
      <c r="AK40" s="335">
        <f>ROUND(IF(AJ40=2,0,((Z40*2)+(AA40*2))*CONFECCION!$B$35/100),2)</f>
        <v/>
      </c>
      <c r="AL40" s="54" t="n"/>
      <c r="AM40" s="54" t="n">
        <v>2</v>
      </c>
      <c r="AP40" s="149" t="n"/>
      <c r="AQ40" s="149">
        <f>IF(S40=0,"",S40)</f>
        <v/>
      </c>
      <c r="AR40" s="149">
        <f>IF(A40=0,"",VLOOKUP(L40,ARTICULOS!$A$10:$B$19,2))</f>
        <v/>
      </c>
      <c r="AS40" s="157">
        <f>IF(A40=0,"",T40&amp;" * "&amp;U40)&amp;IF(AM40=1," PR","")</f>
        <v/>
      </c>
      <c r="AT40" s="167">
        <f>IF(A40=0,"",VLOOKUP(E40,ARTICULOS!$D$10:$F$699,3))</f>
        <v/>
      </c>
      <c r="AU40" s="164">
        <f>IF(A40=0,"","c/ "&amp;D40&amp;" "&amp;VLOOKUP(H40,COLORES!$A$7:$G$4394,7))</f>
        <v/>
      </c>
      <c r="AV40" s="149">
        <f>IF(A40=0,"",IF(V40=1,"Dobl. Sencillo","Dobl. "&amp;V40&amp;" cm."))</f>
        <v/>
      </c>
      <c r="AW40" s="149">
        <f>+IF(Y40=1,"SI","")</f>
        <v/>
      </c>
      <c r="AX40" s="149">
        <f>IF(A40=0,"",IF(AB40=2,Z40&amp;" * "&amp;AA40,IF(Z40=AA40,"Redondo "&amp;Z40&amp;" * "&amp;AA40,"Ovalado "&amp;Z40&amp;" * "&amp;AA40)))</f>
        <v/>
      </c>
      <c r="AY40" s="337">
        <f>IF(A40=0,"",AG40+AI40+AK40)</f>
        <v/>
      </c>
      <c r="AZ40" s="338">
        <f>IF(A40=0,"",A40)</f>
        <v/>
      </c>
      <c r="BA40" s="156">
        <f>IF(A40=0,"",ROUND(AY40*AZ40,2))</f>
        <v/>
      </c>
    </row>
    <row r="41" ht="16.5" customHeight="1">
      <c r="A41" s="327" t="n">
        <v>0</v>
      </c>
      <c r="B41" s="340" t="n">
        <v>1</v>
      </c>
      <c r="C41" s="340" t="n"/>
      <c r="D41" s="329" t="n">
        <v>1</v>
      </c>
      <c r="E41" s="341">
        <f>MATCH(C41,ARTICULOS!$F$10:$F$699,0)</f>
        <v/>
      </c>
      <c r="F41" s="341">
        <f>+VLOOKUP(E41,ARTICULOS!$D$10:$I$699,6)</f>
        <v/>
      </c>
      <c r="G41" s="42">
        <f>+F41&amp;D41</f>
        <v/>
      </c>
      <c r="H41" s="42">
        <f>+MATCH(G41,COLORES!$E$7:$E$4394,0)</f>
        <v/>
      </c>
      <c r="I41" s="342">
        <f>VLOOKUP(H41,COLORES!$A$7:$I$4394,8)</f>
        <v/>
      </c>
      <c r="J41" s="343">
        <f>VLOOKUP(H41,COLORES!$A$7:$I$4394,9)</f>
        <v/>
      </c>
      <c r="K41" s="344">
        <f>I41*(1+B41)</f>
        <v/>
      </c>
      <c r="L41" s="54" t="n">
        <v>0</v>
      </c>
      <c r="M41" s="327" t="n">
        <v>0</v>
      </c>
      <c r="N41" s="331" t="n">
        <v>0</v>
      </c>
      <c r="O41" s="331" t="n">
        <v>0</v>
      </c>
      <c r="P41" s="331" t="n">
        <v>0</v>
      </c>
      <c r="Q41" s="331" t="n">
        <v>0</v>
      </c>
      <c r="R41" s="329" t="n"/>
      <c r="S41" s="332">
        <f>IF(P41&gt;0,IF(O41&gt;0,"(/)"&amp;O41&amp;"*"&amp;P41&amp;IF(Q41&gt;0,"+"&amp;Q41,IF(Q41=0,"",Q41)),+M41&amp;"*"&amp;N41&amp;"*"&amp;P41&amp;IF(Q41&gt;0,"+"&amp;Q41,IF(Q41=0,"",Q41))),"")</f>
        <v/>
      </c>
      <c r="T41" s="51">
        <f>+IF(O41&gt;0,O41+R41*2,M41+R41*2)+P41*2+Q41*2</f>
        <v/>
      </c>
      <c r="U41" s="52">
        <f>+IF(O41&gt;0,O41+R41*2,N41+R41*2)+P41*2+Q41*2</f>
        <v/>
      </c>
      <c r="V41" s="54" t="n"/>
      <c r="W41" s="333">
        <f>IF(V41=1,T41+5,T41+(V41*4))</f>
        <v/>
      </c>
      <c r="X41" s="334">
        <f>IF(V41=1,U41+5,U41+(V41*4))</f>
        <v/>
      </c>
      <c r="Y41" s="54" t="n">
        <v>0</v>
      </c>
      <c r="Z41" s="333">
        <f>IF(Y41=1,ROUNDUP(W41*(1+VLOOKUP(E41,ARTICULOS!$D$10:$H$699,5)),0),W41)</f>
        <v/>
      </c>
      <c r="AA41" s="334">
        <f>IF(Y41=1,ROUNDUP(X41*(1+VLOOKUP(E41,ARTICULOS!$D$10:$H$699,4)),0),X41)</f>
        <v/>
      </c>
      <c r="AB41" s="54" t="n">
        <v>2</v>
      </c>
      <c r="AC41" s="54" t="n"/>
      <c r="AD41" s="332">
        <f>IF(AC41=1,J41*100&amp;Z41,"")</f>
        <v/>
      </c>
      <c r="AE41" s="332">
        <f>IF(AC41=1,VLOOKUP(AD41,EMPALME!$C$2:$F$33,4),"")</f>
        <v/>
      </c>
      <c r="AF41" s="54" t="n"/>
      <c r="AG41" s="335">
        <f>IF(L41=3,IF(V41=1,CONFECCION!$C$18,CONFECCION!$C$18*2),IF(V41=1,HLOOKUP(AA41,CONFECCION!$C$17:$AD$33,VLOOKUP(Z41,CONFECCION!$A$18:$B$33,2)-16),2*HLOOKUP(AA41,CONFECCION!$C$17:$AD$33,VLOOKUP(Z41,CONFECCION!$A$18:$B$33,2)-16)))*IF(AC41=1,3,1)</f>
        <v/>
      </c>
      <c r="AH41" s="54" t="n"/>
      <c r="AI41" s="335">
        <f>IF(AC41=1,AA41/100*K41+IF(AF41&gt;0,K41*(VLOOKUP(AD41,EMPALME!$C$2:$D$33,2)/100)/AF41,K41*(VLOOKUP(AD41,EMPALME!$C$2:$D$33,2)/100)/VLOOKUP(AD41,EMPALME!$C$2:$F$33,4)),IF(AH41=2,ROUND((K41*(AA41/100)-(I41/10)*INT((AA41/100)/0.55)*INT((J41-(Z41/100)*INT(J41/(Z41/100)))/0.55))/INT(J41/(Z41/100)),2),ROUND(K41*(AA41/100)/INT(J41/(Z41/100)),2)))</f>
        <v/>
      </c>
      <c r="AJ41" s="54" t="n">
        <v>2</v>
      </c>
      <c r="AK41" s="335">
        <f>ROUND(IF(AJ41=2,0,((Z41*2)+(AA41*2))*CONFECCION!$B$35/100),2)</f>
        <v/>
      </c>
      <c r="AL41" s="54" t="n"/>
      <c r="AM41" s="54" t="n">
        <v>2</v>
      </c>
      <c r="AP41" s="149" t="n"/>
      <c r="AQ41" s="149">
        <f>IF(S41=0,"",S41)</f>
        <v/>
      </c>
      <c r="AR41" s="149">
        <f>IF(A41=0,"",VLOOKUP(L41,ARTICULOS!$A$10:$B$19,2))</f>
        <v/>
      </c>
      <c r="AS41" s="157">
        <f>IF(A41=0,"",T41&amp;" * "&amp;U41)&amp;IF(AM41=1," PR","")</f>
        <v/>
      </c>
      <c r="AT41" s="167">
        <f>IF(A41=0,"",VLOOKUP(E41,ARTICULOS!$D$10:$F$699,3))</f>
        <v/>
      </c>
      <c r="AU41" s="164">
        <f>IF(A41=0,"","c/ "&amp;D41&amp;" "&amp;VLOOKUP(H41,COLORES!$A$7:$G$4394,7))</f>
        <v/>
      </c>
      <c r="AV41" s="149">
        <f>IF(A41=0,"",IF(V41=1,"Dobl. Sencillo","Dobl. "&amp;V41&amp;" cm."))</f>
        <v/>
      </c>
      <c r="AW41" s="149">
        <f>+IF(Y41=1,"SI","")</f>
        <v/>
      </c>
      <c r="AX41" s="149">
        <f>IF(A41=0,"",IF(AB41=2,Z41&amp;" * "&amp;AA41,IF(Z41=AA41,"Redondo "&amp;Z41&amp;" * "&amp;AA41,"Ovalado "&amp;Z41&amp;" * "&amp;AA41)))</f>
        <v/>
      </c>
      <c r="AY41" s="337">
        <f>IF(A41=0,"",AG41+AI41+AK41)</f>
        <v/>
      </c>
      <c r="AZ41" s="338">
        <f>IF(A41=0,"",A41)</f>
        <v/>
      </c>
      <c r="BA41" s="156">
        <f>IF(A41=0,"",ROUND(AY41*AZ41,2))</f>
        <v/>
      </c>
    </row>
    <row r="42" ht="16.5" customHeight="1">
      <c r="A42" s="327" t="n">
        <v>0</v>
      </c>
      <c r="B42" s="340" t="n">
        <v>1</v>
      </c>
      <c r="C42" s="340" t="n"/>
      <c r="D42" s="329" t="n">
        <v>1</v>
      </c>
      <c r="E42" s="341">
        <f>MATCH(C42,ARTICULOS!$F$10:$F$699,0)</f>
        <v/>
      </c>
      <c r="F42" s="341">
        <f>+VLOOKUP(E42,ARTICULOS!$D$10:$I$699,6)</f>
        <v/>
      </c>
      <c r="G42" s="42">
        <f>+F42&amp;D42</f>
        <v/>
      </c>
      <c r="H42" s="42">
        <f>+MATCH(G42,COLORES!$E$7:$E$4394,0)</f>
        <v/>
      </c>
      <c r="I42" s="342">
        <f>VLOOKUP(H42,COLORES!$A$7:$I$4394,8)</f>
        <v/>
      </c>
      <c r="J42" s="343">
        <f>VLOOKUP(H42,COLORES!$A$7:$I$4394,9)</f>
        <v/>
      </c>
      <c r="K42" s="344">
        <f>I42*(1+B42)</f>
        <v/>
      </c>
      <c r="L42" s="54" t="n">
        <v>0</v>
      </c>
      <c r="M42" s="327" t="n">
        <v>0</v>
      </c>
      <c r="N42" s="331" t="n">
        <v>0</v>
      </c>
      <c r="O42" s="331" t="n">
        <v>0</v>
      </c>
      <c r="P42" s="331" t="n">
        <v>0</v>
      </c>
      <c r="Q42" s="331" t="n">
        <v>0</v>
      </c>
      <c r="R42" s="329" t="n"/>
      <c r="S42" s="332">
        <f>IF(P42&gt;0,IF(O42&gt;0,"(/)"&amp;O42&amp;"*"&amp;P42&amp;IF(Q42&gt;0,"+"&amp;Q42,IF(Q42=0,"",Q42)),+M42&amp;"*"&amp;N42&amp;"*"&amp;P42&amp;IF(Q42&gt;0,"+"&amp;Q42,IF(Q42=0,"",Q42))),"")</f>
        <v/>
      </c>
      <c r="T42" s="51">
        <f>+IF(O42&gt;0,O42+R42*2,M42+R42*2)+P42*2+Q42*2</f>
        <v/>
      </c>
      <c r="U42" s="52">
        <f>+IF(O42&gt;0,O42+R42*2,N42+R42*2)+P42*2+Q42*2</f>
        <v/>
      </c>
      <c r="V42" s="54" t="n"/>
      <c r="W42" s="333">
        <f>IF(V42=1,T42+5,T42+(V42*4))</f>
        <v/>
      </c>
      <c r="X42" s="334">
        <f>IF(V42=1,U42+5,U42+(V42*4))</f>
        <v/>
      </c>
      <c r="Y42" s="54" t="n">
        <v>0</v>
      </c>
      <c r="Z42" s="333">
        <f>IF(Y42=1,ROUNDUP(W42*(1+VLOOKUP(E42,ARTICULOS!$D$10:$H$699,5)),0),W42)</f>
        <v/>
      </c>
      <c r="AA42" s="334">
        <f>IF(Y42=1,ROUNDUP(X42*(1+VLOOKUP(E42,ARTICULOS!$D$10:$H$699,4)),0),X42)</f>
        <v/>
      </c>
      <c r="AB42" s="54" t="n">
        <v>2</v>
      </c>
      <c r="AC42" s="54" t="n"/>
      <c r="AD42" s="332">
        <f>IF(AC42=1,J42*100&amp;Z42,"")</f>
        <v/>
      </c>
      <c r="AE42" s="332">
        <f>IF(AC42=1,VLOOKUP(AD42,EMPALME!$C$2:$F$33,4),"")</f>
        <v/>
      </c>
      <c r="AF42" s="54" t="n"/>
      <c r="AG42" s="335">
        <f>IF(L42=3,IF(V42=1,CONFECCION!$C$18,CONFECCION!$C$18*2),IF(V42=1,HLOOKUP(AA42,CONFECCION!$C$17:$AD$33,VLOOKUP(Z42,CONFECCION!$A$18:$B$33,2)-16),2*HLOOKUP(AA42,CONFECCION!$C$17:$AD$33,VLOOKUP(Z42,CONFECCION!$A$18:$B$33,2)-16)))*IF(AC42=1,3,1)</f>
        <v/>
      </c>
      <c r="AH42" s="54" t="n"/>
      <c r="AI42" s="335">
        <f>IF(AC42=1,AA42/100*K42+IF(AF42&gt;0,K42*(VLOOKUP(AD42,EMPALME!$C$2:$D$33,2)/100)/AF42,K42*(VLOOKUP(AD42,EMPALME!$C$2:$D$33,2)/100)/VLOOKUP(AD42,EMPALME!$C$2:$F$33,4)),IF(AH42=2,ROUND((K42*(AA42/100)-(I42/10)*INT((AA42/100)/0.55)*INT((J42-(Z42/100)*INT(J42/(Z42/100)))/0.55))/INT(J42/(Z42/100)),2),ROUND(K42*(AA42/100)/INT(J42/(Z42/100)),2)))</f>
        <v/>
      </c>
      <c r="AJ42" s="54" t="n">
        <v>2</v>
      </c>
      <c r="AK42" s="335">
        <f>ROUND(IF(AJ42=2,0,((Z42*2)+(AA42*2))*CONFECCION!$B$35/100),2)</f>
        <v/>
      </c>
      <c r="AL42" s="54" t="n"/>
      <c r="AM42" s="54" t="n">
        <v>2</v>
      </c>
      <c r="AP42" s="149" t="n"/>
      <c r="AQ42" s="149">
        <f>IF(S42=0,"",S42)</f>
        <v/>
      </c>
      <c r="AR42" s="149">
        <f>IF(A42=0,"",VLOOKUP(L42,ARTICULOS!$A$10:$B$19,2))</f>
        <v/>
      </c>
      <c r="AS42" s="157">
        <f>IF(A42=0,"",T42&amp;" * "&amp;U42)&amp;IF(AM42=1," PR","")</f>
        <v/>
      </c>
      <c r="AT42" s="167">
        <f>IF(A42=0,"",VLOOKUP(E42,ARTICULOS!$D$10:$F$699,3))</f>
        <v/>
      </c>
      <c r="AU42" s="164">
        <f>IF(A42=0,"","c/ "&amp;D42&amp;" "&amp;VLOOKUP(H42,COLORES!$A$7:$G$4394,7))</f>
        <v/>
      </c>
      <c r="AV42" s="149">
        <f>IF(A42=0,"",IF(V42=1,"Dobl. Sencillo","Dobl. "&amp;V42&amp;" cm."))</f>
        <v/>
      </c>
      <c r="AW42" s="149">
        <f>+IF(Y42=1,"SI","")</f>
        <v/>
      </c>
      <c r="AX42" s="149">
        <f>IF(A42=0,"",IF(AB42=2,Z42&amp;" * "&amp;AA42,IF(Z42=AA42,"Redondo "&amp;Z42&amp;" * "&amp;AA42,"Ovalado "&amp;Z42&amp;" * "&amp;AA42)))</f>
        <v/>
      </c>
      <c r="AY42" s="337">
        <f>IF(A42=0,"",AG42+AI42+AK42)</f>
        <v/>
      </c>
      <c r="AZ42" s="338">
        <f>IF(A42=0,"",A42)</f>
        <v/>
      </c>
      <c r="BA42" s="156">
        <f>IF(A42=0,"",ROUND(AY42*AZ42,2))</f>
        <v/>
      </c>
    </row>
    <row r="43">
      <c r="A43" s="327" t="n">
        <v>0</v>
      </c>
      <c r="B43" s="340" t="n">
        <v>1</v>
      </c>
      <c r="C43" s="340" t="n"/>
      <c r="D43" s="329" t="n">
        <v>1</v>
      </c>
      <c r="E43" s="341">
        <f>MATCH(C43,ARTICULOS!$F$10:$F$699,0)</f>
        <v/>
      </c>
      <c r="F43" s="341">
        <f>+VLOOKUP(E43,ARTICULOS!$D$10:$I$699,6)</f>
        <v/>
      </c>
      <c r="G43" s="42">
        <f>+F43&amp;D43</f>
        <v/>
      </c>
      <c r="H43" s="42">
        <f>+MATCH(G43,COLORES!$E$7:$E$4394,0)</f>
        <v/>
      </c>
      <c r="I43" s="342">
        <f>VLOOKUP(H43,COLORES!$A$7:$I$4394,8)</f>
        <v/>
      </c>
      <c r="J43" s="343">
        <f>VLOOKUP(H43,COLORES!$A$7:$I$4394,9)</f>
        <v/>
      </c>
      <c r="K43" s="344">
        <f>I43*(1+B43)</f>
        <v/>
      </c>
      <c r="L43" s="54" t="n">
        <v>0</v>
      </c>
      <c r="M43" s="327" t="n">
        <v>0</v>
      </c>
      <c r="N43" s="331" t="n">
        <v>0</v>
      </c>
      <c r="O43" s="331" t="n">
        <v>0</v>
      </c>
      <c r="P43" s="331" t="n">
        <v>0</v>
      </c>
      <c r="Q43" s="331" t="n">
        <v>0</v>
      </c>
      <c r="R43" s="329" t="n"/>
      <c r="S43" s="332">
        <f>IF(P43&gt;0,IF(O43&gt;0,"(/)"&amp;O43&amp;"*"&amp;P43&amp;IF(Q43&gt;0,"+"&amp;Q43,IF(Q43=0,"",Q43)),+M43&amp;"*"&amp;N43&amp;"*"&amp;P43&amp;IF(Q43&gt;0,"+"&amp;Q43,IF(Q43=0,"",Q43))),"")</f>
        <v/>
      </c>
      <c r="T43" s="51">
        <f>+IF(O43&gt;0,O43+R43*2,M43+R43*2)+P43*2+Q43*2</f>
        <v/>
      </c>
      <c r="U43" s="52">
        <f>+IF(O43&gt;0,O43+R43*2,N43+R43*2)+P43*2+Q43*2</f>
        <v/>
      </c>
      <c r="V43" s="54" t="n"/>
      <c r="W43" s="333">
        <f>IF(V43=1,T43+5,T43+(V43*4))</f>
        <v/>
      </c>
      <c r="X43" s="334">
        <f>IF(V43=1,U43+5,U43+(V43*4))</f>
        <v/>
      </c>
      <c r="Y43" s="54" t="n">
        <v>0</v>
      </c>
      <c r="Z43" s="333">
        <f>IF(Y43=1,ROUNDUP(W43*(1+VLOOKUP(E43,ARTICULOS!$D$10:$H$699,5)),0),W43)</f>
        <v/>
      </c>
      <c r="AA43" s="334">
        <f>IF(Y43=1,ROUNDUP(X43*(1+VLOOKUP(E43,ARTICULOS!$D$10:$H$699,4)),0),X43)</f>
        <v/>
      </c>
      <c r="AB43" s="54" t="n">
        <v>2</v>
      </c>
      <c r="AC43" s="54" t="n"/>
      <c r="AD43" s="332">
        <f>IF(AC43=1,J43*100&amp;Z43,"")</f>
        <v/>
      </c>
      <c r="AE43" s="332">
        <f>IF(AC43=1,VLOOKUP(AD43,EMPALME!$C$2:$F$33,4),"")</f>
        <v/>
      </c>
      <c r="AF43" s="54" t="n"/>
      <c r="AG43" s="335">
        <f>IF(L43=3,IF(V43=1,CONFECCION!$C$18,CONFECCION!$C$18*2),IF(V43=1,HLOOKUP(AA43,CONFECCION!$C$17:$AD$33,VLOOKUP(Z43,CONFECCION!$A$18:$B$33,2)-16),2*HLOOKUP(AA43,CONFECCION!$C$17:$AD$33,VLOOKUP(Z43,CONFECCION!$A$18:$B$33,2)-16)))*IF(AC43=1,3,1)</f>
        <v/>
      </c>
      <c r="AH43" s="54" t="n"/>
      <c r="AI43" s="335">
        <f>IF(AC43=1,AA43/100*K43+IF(AF43&gt;0,K43*(VLOOKUP(AD43,EMPALME!$C$2:$D$33,2)/100)/AF43,K43*(VLOOKUP(AD43,EMPALME!$C$2:$D$33,2)/100)/VLOOKUP(AD43,EMPALME!$C$2:$F$33,4)),IF(AH43=2,ROUND((K43*(AA43/100)-(I43/10)*INT((AA43/100)/0.55)*INT((J43-(Z43/100)*INT(J43/(Z43/100)))/0.55))/INT(J43/(Z43/100)),2),ROUND(K43*(AA43/100)/INT(J43/(Z43/100)),2)))</f>
        <v/>
      </c>
      <c r="AJ43" s="54" t="n">
        <v>2</v>
      </c>
      <c r="AK43" s="335">
        <f>ROUND(IF(AJ43=2,0,((Z43*2)+(AA43*2))*CONFECCION!$B$35/100),2)</f>
        <v/>
      </c>
      <c r="AL43" s="54" t="n"/>
      <c r="AM43" s="54" t="n">
        <v>2</v>
      </c>
      <c r="AP43" s="149" t="n"/>
      <c r="AQ43" s="149">
        <f>IF(S43=0,"",S43)</f>
        <v/>
      </c>
      <c r="AR43" s="149">
        <f>IF(A43=0,"",VLOOKUP(L43,ARTICULOS!$A$10:$B$19,2))</f>
        <v/>
      </c>
      <c r="AS43" s="157">
        <f>IF(A43=0,"",T43&amp;" * "&amp;U43)&amp;IF(AM43=1," PR","")</f>
        <v/>
      </c>
      <c r="AT43" s="167">
        <f>IF(A43=0,"",VLOOKUP(E43,ARTICULOS!$D$10:$F$699,3))</f>
        <v/>
      </c>
      <c r="AU43" s="164">
        <f>IF(A43=0,"","c/ "&amp;D43&amp;" "&amp;VLOOKUP(H43,COLORES!$A$7:$G$4394,7))</f>
        <v/>
      </c>
      <c r="AV43" s="149">
        <f>IF(A43=0,"",IF(V43=1,"Dobl. Sencillo","Dobl. "&amp;V43&amp;" cm."))</f>
        <v/>
      </c>
      <c r="AW43" s="149">
        <f>+IF(Y43=1,"SI","")</f>
        <v/>
      </c>
      <c r="AX43" s="149">
        <f>IF(A43=0,"",IF(AB43=2,Z43&amp;" * "&amp;AA43,IF(Z43=AA43,"Redondo "&amp;Z43&amp;" * "&amp;AA43,"Ovalado "&amp;Z43&amp;" * "&amp;AA43)))</f>
        <v/>
      </c>
      <c r="AY43" s="337">
        <f>IF(A43=0,"",AG43+AI43+AK43)</f>
        <v/>
      </c>
      <c r="AZ43" s="338">
        <f>IF(A43=0,"",A43)</f>
        <v/>
      </c>
      <c r="BA43" s="156">
        <f>IF(A43=0,"",ROUND(AY43*AZ43,2))</f>
        <v/>
      </c>
    </row>
    <row r="44">
      <c r="A44" s="327" t="n">
        <v>0</v>
      </c>
      <c r="B44" s="340" t="n">
        <v>1</v>
      </c>
      <c r="C44" s="340" t="n"/>
      <c r="D44" s="329" t="n">
        <v>1</v>
      </c>
      <c r="E44" s="341">
        <f>MATCH(C44,ARTICULOS!$F$10:$F$699,0)</f>
        <v/>
      </c>
      <c r="F44" s="341">
        <f>+VLOOKUP(E44,ARTICULOS!$D$10:$I$699,6)</f>
        <v/>
      </c>
      <c r="G44" s="42">
        <f>+F44&amp;D44</f>
        <v/>
      </c>
      <c r="H44" s="42">
        <f>+MATCH(G44,COLORES!$E$7:$E$4394,0)</f>
        <v/>
      </c>
      <c r="I44" s="342">
        <f>VLOOKUP(H44,COLORES!$A$7:$I$4394,8)</f>
        <v/>
      </c>
      <c r="J44" s="343">
        <f>VLOOKUP(H44,COLORES!$A$7:$I$4394,9)</f>
        <v/>
      </c>
      <c r="K44" s="344">
        <f>I44*(1+B44)</f>
        <v/>
      </c>
      <c r="L44" s="54" t="n">
        <v>0</v>
      </c>
      <c r="M44" s="327" t="n">
        <v>0</v>
      </c>
      <c r="N44" s="331" t="n">
        <v>0</v>
      </c>
      <c r="O44" s="331" t="n">
        <v>0</v>
      </c>
      <c r="P44" s="331" t="n">
        <v>0</v>
      </c>
      <c r="Q44" s="331" t="n">
        <v>0</v>
      </c>
      <c r="R44" s="329" t="n"/>
      <c r="S44" s="332">
        <f>IF(P44&gt;0,IF(O44&gt;0,"(/)"&amp;O44&amp;"*"&amp;P44&amp;IF(Q44&gt;0,"+"&amp;Q44,IF(Q44=0,"",Q44)),+M44&amp;"*"&amp;N44&amp;"*"&amp;P44&amp;IF(Q44&gt;0,"+"&amp;Q44,IF(Q44=0,"",Q44))),"")</f>
        <v/>
      </c>
      <c r="T44" s="51">
        <f>+IF(O44&gt;0,O44+R44*2,M44+R44*2)+P44*2+Q44*2</f>
        <v/>
      </c>
      <c r="U44" s="52">
        <f>+IF(O44&gt;0,O44+R44*2,N44+R44*2)+P44*2+Q44*2</f>
        <v/>
      </c>
      <c r="V44" s="54" t="n"/>
      <c r="W44" s="333">
        <f>IF(V44=1,T44+5,T44+(V44*4))</f>
        <v/>
      </c>
      <c r="X44" s="334">
        <f>IF(V44=1,U44+5,U44+(V44*4))</f>
        <v/>
      </c>
      <c r="Y44" s="54" t="n">
        <v>0</v>
      </c>
      <c r="Z44" s="333">
        <f>IF(Y44=1,ROUNDUP(W44*(1+VLOOKUP(E44,ARTICULOS!$D$10:$H$699,5)),0),W44)</f>
        <v/>
      </c>
      <c r="AA44" s="334">
        <f>IF(Y44=1,ROUNDUP(X44*(1+VLOOKUP(E44,ARTICULOS!$D$10:$H$699,4)),0),X44)</f>
        <v/>
      </c>
      <c r="AB44" s="54" t="n">
        <v>2</v>
      </c>
      <c r="AC44" s="54" t="n"/>
      <c r="AD44" s="332">
        <f>IF(AC44=1,J44*100&amp;Z44,"")</f>
        <v/>
      </c>
      <c r="AE44" s="332">
        <f>IF(AC44=1,VLOOKUP(AD44,EMPALME!$C$2:$F$33,4),"")</f>
        <v/>
      </c>
      <c r="AF44" s="54" t="n"/>
      <c r="AG44" s="335">
        <f>IF(L44=3,IF(V44=1,CONFECCION!$C$18,CONFECCION!$C$18*2),IF(V44=1,HLOOKUP(AA44,CONFECCION!$C$17:$AD$33,VLOOKUP(Z44,CONFECCION!$A$18:$B$33,2)-16),2*HLOOKUP(AA44,CONFECCION!$C$17:$AD$33,VLOOKUP(Z44,CONFECCION!$A$18:$B$33,2)-16)))*IF(AC44=1,3,1)</f>
        <v/>
      </c>
      <c r="AH44" s="54" t="n"/>
      <c r="AI44" s="335">
        <f>IF(AC44=1,AA44/100*K44+IF(AF44&gt;0,K44*(VLOOKUP(AD44,EMPALME!$C$2:$D$33,2)/100)/AF44,K44*(VLOOKUP(AD44,EMPALME!$C$2:$D$33,2)/100)/VLOOKUP(AD44,EMPALME!$C$2:$F$33,4)),IF(AH44=2,ROUND((K44*(AA44/100)-(I44/10)*INT((AA44/100)/0.55)*INT((J44-(Z44/100)*INT(J44/(Z44/100)))/0.55))/INT(J44/(Z44/100)),2),ROUND(K44*(AA44/100)/INT(J44/(Z44/100)),2)))</f>
        <v/>
      </c>
      <c r="AJ44" s="54" t="n">
        <v>2</v>
      </c>
      <c r="AK44" s="335">
        <f>ROUND(IF(AJ44=2,0,((Z44*2)+(AA44*2))*CONFECCION!$B$35/100),2)</f>
        <v/>
      </c>
      <c r="AL44" s="54" t="n"/>
      <c r="AM44" s="54" t="n">
        <v>2</v>
      </c>
      <c r="AP44" s="149" t="n"/>
      <c r="AQ44" s="149">
        <f>IF(S44=0,"",S44)</f>
        <v/>
      </c>
      <c r="AR44" s="149">
        <f>IF(A44=0,"",VLOOKUP(L44,ARTICULOS!$A$10:$B$19,2))</f>
        <v/>
      </c>
      <c r="AS44" s="157">
        <f>IF(A44=0,"",T44&amp;" * "&amp;U44)&amp;IF(AM44=1," PR","")</f>
        <v/>
      </c>
      <c r="AT44" s="167">
        <f>IF(A44=0,"",VLOOKUP(E44,ARTICULOS!$D$10:$F$699,3))</f>
        <v/>
      </c>
      <c r="AU44" s="164">
        <f>IF(A44=0,"","c/ "&amp;D44&amp;" "&amp;VLOOKUP(H44,COLORES!$A$7:$G$4394,7))</f>
        <v/>
      </c>
      <c r="AV44" s="149">
        <f>IF(A44=0,"",IF(V44=1,"Dobl. Sencillo","Dobl. "&amp;V44&amp;" cm."))</f>
        <v/>
      </c>
      <c r="AW44" s="149">
        <f>+IF(Y44=1,"SI","")</f>
        <v/>
      </c>
      <c r="AX44" s="149">
        <f>IF(A44=0,"",IF(AB44=2,Z44&amp;" * "&amp;AA44,IF(Z44=AA44,"Redondo "&amp;Z44&amp;" * "&amp;AA44,"Ovalado "&amp;Z44&amp;" * "&amp;AA44)))</f>
        <v/>
      </c>
      <c r="AY44" s="337">
        <f>IF(A44=0,"",AG44+AI44+AK44)</f>
        <v/>
      </c>
      <c r="AZ44" s="338">
        <f>IF(A44=0,"",A44)</f>
        <v/>
      </c>
      <c r="BA44" s="156">
        <f>IF(A44=0,"",ROUND(AY44*AZ44,2))</f>
        <v/>
      </c>
    </row>
    <row r="45">
      <c r="A45" s="327" t="n">
        <v>0</v>
      </c>
      <c r="B45" s="340" t="n">
        <v>1</v>
      </c>
      <c r="C45" s="340" t="n"/>
      <c r="D45" s="329" t="n">
        <v>1</v>
      </c>
      <c r="E45" s="341">
        <f>MATCH(C45,ARTICULOS!$F$10:$F$699,0)</f>
        <v/>
      </c>
      <c r="F45" s="341">
        <f>+VLOOKUP(E45,ARTICULOS!$D$10:$I$699,6)</f>
        <v/>
      </c>
      <c r="G45" s="42">
        <f>+F45&amp;D45</f>
        <v/>
      </c>
      <c r="H45" s="42">
        <f>+MATCH(G45,COLORES!$E$7:$E$4394,0)</f>
        <v/>
      </c>
      <c r="I45" s="342">
        <f>VLOOKUP(H45,COLORES!$A$7:$I$4394,8)</f>
        <v/>
      </c>
      <c r="J45" s="343">
        <f>VLOOKUP(H45,COLORES!$A$7:$I$4394,9)</f>
        <v/>
      </c>
      <c r="K45" s="344">
        <f>I45*(1+B45)</f>
        <v/>
      </c>
      <c r="L45" s="54" t="n">
        <v>0</v>
      </c>
      <c r="M45" s="327" t="n">
        <v>0</v>
      </c>
      <c r="N45" s="331" t="n">
        <v>0</v>
      </c>
      <c r="O45" s="331" t="n">
        <v>0</v>
      </c>
      <c r="P45" s="331" t="n">
        <v>0</v>
      </c>
      <c r="Q45" s="331" t="n">
        <v>0</v>
      </c>
      <c r="R45" s="329" t="n"/>
      <c r="S45" s="332">
        <f>IF(P45&gt;0,IF(O45&gt;0,"(/)"&amp;O45&amp;"*"&amp;P45&amp;IF(Q45&gt;0,"+"&amp;Q45,IF(Q45=0,"",Q45)),+M45&amp;"*"&amp;N45&amp;"*"&amp;P45&amp;IF(Q45&gt;0,"+"&amp;Q45,IF(Q45=0,"",Q45))),"")</f>
        <v/>
      </c>
      <c r="T45" s="51">
        <f>+IF(O45&gt;0,O45+R45*2,M45+R45*2)+P45*2+Q45*2</f>
        <v/>
      </c>
      <c r="U45" s="52">
        <f>+IF(O45&gt;0,O45+R45*2,N45+R45*2)+P45*2+Q45*2</f>
        <v/>
      </c>
      <c r="V45" s="54" t="n"/>
      <c r="W45" s="333">
        <f>IF(V45=1,T45+5,T45+(V45*4))</f>
        <v/>
      </c>
      <c r="X45" s="334">
        <f>IF(V45=1,U45+5,U45+(V45*4))</f>
        <v/>
      </c>
      <c r="Y45" s="54" t="n">
        <v>0</v>
      </c>
      <c r="Z45" s="333">
        <f>IF(Y45=1,ROUNDUP(W45*(1+VLOOKUP(E45,ARTICULOS!$D$10:$H$699,5)),0),W45)</f>
        <v/>
      </c>
      <c r="AA45" s="334">
        <f>IF(Y45=1,ROUNDUP(X45*(1+VLOOKUP(E45,ARTICULOS!$D$10:$H$699,4)),0),X45)</f>
        <v/>
      </c>
      <c r="AB45" s="54" t="n">
        <v>2</v>
      </c>
      <c r="AC45" s="54" t="n"/>
      <c r="AD45" s="332">
        <f>IF(AC45=1,J45*100&amp;Z45,"")</f>
        <v/>
      </c>
      <c r="AE45" s="332">
        <f>IF(AC45=1,VLOOKUP(AD45,EMPALME!$C$2:$F$33,4),"")</f>
        <v/>
      </c>
      <c r="AF45" s="54" t="n"/>
      <c r="AG45" s="335">
        <f>IF(L45=3,IF(V45=1,CONFECCION!$C$18,CONFECCION!$C$18*2),IF(V45=1,HLOOKUP(AA45,CONFECCION!$C$17:$AD$33,VLOOKUP(Z45,CONFECCION!$A$18:$B$33,2)-16),2*HLOOKUP(AA45,CONFECCION!$C$17:$AD$33,VLOOKUP(Z45,CONFECCION!$A$18:$B$33,2)-16)))*IF(AC45=1,3,1)</f>
        <v/>
      </c>
      <c r="AH45" s="54" t="n"/>
      <c r="AI45" s="335">
        <f>IF(AC45=1,AA45/100*K45+IF(AF45&gt;0,K45*(VLOOKUP(AD45,EMPALME!$C$2:$D$33,2)/100)/AF45,K45*(VLOOKUP(AD45,EMPALME!$C$2:$D$33,2)/100)/VLOOKUP(AD45,EMPALME!$C$2:$F$33,4)),IF(AH45=2,ROUND((K45*(AA45/100)-(I45/10)*INT((AA45/100)/0.55)*INT((J45-(Z45/100)*INT(J45/(Z45/100)))/0.55))/INT(J45/(Z45/100)),2),ROUND(K45*(AA45/100)/INT(J45/(Z45/100)),2)))</f>
        <v/>
      </c>
      <c r="AJ45" s="54" t="n">
        <v>2</v>
      </c>
      <c r="AK45" s="335">
        <f>ROUND(IF(AJ45=2,0,((Z45*2)+(AA45*2))*CONFECCION!$B$35/100),2)</f>
        <v/>
      </c>
      <c r="AL45" s="54" t="n"/>
      <c r="AM45" s="54" t="n">
        <v>2</v>
      </c>
      <c r="AP45" s="149" t="n"/>
      <c r="AQ45" s="149">
        <f>IF(S45=0,"",S45)</f>
        <v/>
      </c>
      <c r="AR45" s="149">
        <f>IF(A45=0,"",VLOOKUP(L45,ARTICULOS!$A$10:$B$19,2))</f>
        <v/>
      </c>
      <c r="AS45" s="157">
        <f>IF(A45=0,"",T45&amp;" * "&amp;U45)&amp;IF(AM45=1," PR","")</f>
        <v/>
      </c>
      <c r="AT45" s="167">
        <f>IF(A45=0,"",VLOOKUP(E45,ARTICULOS!$D$10:$F$699,3))</f>
        <v/>
      </c>
      <c r="AU45" s="164">
        <f>IF(A45=0,"","c/ "&amp;D45&amp;" "&amp;VLOOKUP(H45,COLORES!$A$7:$G$4394,7))</f>
        <v/>
      </c>
      <c r="AV45" s="149">
        <f>IF(A45=0,"",IF(V45=1,"Dobl. Sencillo","Dobl. "&amp;V45&amp;" cm."))</f>
        <v/>
      </c>
      <c r="AW45" s="149">
        <f>+IF(Y45=1,"SI","")</f>
        <v/>
      </c>
      <c r="AX45" s="149">
        <f>IF(A45=0,"",IF(AB45=2,Z45&amp;" * "&amp;AA45,IF(Z45=AA45,"Redondo "&amp;Z45&amp;" * "&amp;AA45,"Ovalado "&amp;Z45&amp;" * "&amp;AA45)))</f>
        <v/>
      </c>
      <c r="AY45" s="337">
        <f>IF(A45=0,"",AG45+AI45+AK45)</f>
        <v/>
      </c>
      <c r="AZ45" s="338">
        <f>IF(A45=0,"",A45)</f>
        <v/>
      </c>
      <c r="BA45" s="156">
        <f>IF(A45=0,"",ROUND(AY45*AZ45,2))</f>
        <v/>
      </c>
    </row>
    <row r="46">
      <c r="A46" s="327" t="n">
        <v>0</v>
      </c>
      <c r="B46" s="340" t="n">
        <v>1</v>
      </c>
      <c r="C46" s="340" t="n"/>
      <c r="D46" s="329" t="n">
        <v>1</v>
      </c>
      <c r="E46" s="341">
        <f>MATCH(C46,ARTICULOS!$F$10:$F$699,0)</f>
        <v/>
      </c>
      <c r="F46" s="341">
        <f>+VLOOKUP(E46,ARTICULOS!$D$10:$I$699,6)</f>
        <v/>
      </c>
      <c r="G46" s="42">
        <f>+F46&amp;D46</f>
        <v/>
      </c>
      <c r="H46" s="42">
        <f>+MATCH(G46,COLORES!$E$7:$E$4394,0)</f>
        <v/>
      </c>
      <c r="I46" s="342">
        <f>VLOOKUP(H46,COLORES!$A$7:$I$4394,8)</f>
        <v/>
      </c>
      <c r="J46" s="343">
        <f>VLOOKUP(H46,COLORES!$A$7:$I$4394,9)</f>
        <v/>
      </c>
      <c r="K46" s="344">
        <f>I46*(1+B46)</f>
        <v/>
      </c>
      <c r="L46" s="54" t="n">
        <v>0</v>
      </c>
      <c r="M46" s="327" t="n">
        <v>0</v>
      </c>
      <c r="N46" s="331" t="n">
        <v>0</v>
      </c>
      <c r="O46" s="331" t="n">
        <v>0</v>
      </c>
      <c r="P46" s="331" t="n">
        <v>0</v>
      </c>
      <c r="Q46" s="331" t="n">
        <v>0</v>
      </c>
      <c r="R46" s="329" t="n"/>
      <c r="S46" s="332">
        <f>IF(P46&gt;0,IF(O46&gt;0,"(/)"&amp;O46&amp;"*"&amp;P46&amp;IF(Q46&gt;0,"+"&amp;Q46,IF(Q46=0,"",Q46)),+M46&amp;"*"&amp;N46&amp;"*"&amp;P46&amp;IF(Q46&gt;0,"+"&amp;Q46,IF(Q46=0,"",Q46))),"")</f>
        <v/>
      </c>
      <c r="T46" s="51">
        <f>+IF(O46&gt;0,O46+R46*2,M46+R46*2)+P46*2+Q46*2</f>
        <v/>
      </c>
      <c r="U46" s="52">
        <f>+IF(O46&gt;0,O46+R46*2,N46+R46*2)+P46*2+Q46*2</f>
        <v/>
      </c>
      <c r="V46" s="54" t="n"/>
      <c r="W46" s="333">
        <f>IF(V46=1,T46+5,T46+(V46*4))</f>
        <v/>
      </c>
      <c r="X46" s="334">
        <f>IF(V46=1,U46+5,U46+(V46*4))</f>
        <v/>
      </c>
      <c r="Y46" s="54" t="n">
        <v>0</v>
      </c>
      <c r="Z46" s="333">
        <f>IF(Y46=1,ROUNDUP(W46*(1+VLOOKUP(E46,ARTICULOS!$D$10:$H$699,5)),0),W46)</f>
        <v/>
      </c>
      <c r="AA46" s="334">
        <f>IF(Y46=1,ROUNDUP(X46*(1+VLOOKUP(E46,ARTICULOS!$D$10:$H$699,4)),0),X46)</f>
        <v/>
      </c>
      <c r="AB46" s="54" t="n">
        <v>2</v>
      </c>
      <c r="AC46" s="54" t="n"/>
      <c r="AD46" s="332">
        <f>IF(AC46=1,J46*100&amp;Z46,"")</f>
        <v/>
      </c>
      <c r="AE46" s="332">
        <f>IF(AC46=1,VLOOKUP(AD46,EMPALME!$C$2:$F$33,4),"")</f>
        <v/>
      </c>
      <c r="AF46" s="54" t="n"/>
      <c r="AG46" s="335">
        <f>IF(L46=3,IF(V46=1,CONFECCION!$C$18,CONFECCION!$C$18*2),IF(V46=1,HLOOKUP(AA46,CONFECCION!$C$17:$AD$33,VLOOKUP(Z46,CONFECCION!$A$18:$B$33,2)-16),2*HLOOKUP(AA46,CONFECCION!$C$17:$AD$33,VLOOKUP(Z46,CONFECCION!$A$18:$B$33,2)-16)))*IF(AC46=1,3,1)</f>
        <v/>
      </c>
      <c r="AH46" s="54" t="n"/>
      <c r="AI46" s="335">
        <f>IF(AC46=1,AA46/100*K46+IF(AF46&gt;0,K46*(VLOOKUP(AD46,EMPALME!$C$2:$D$33,2)/100)/AF46,K46*(VLOOKUP(AD46,EMPALME!$C$2:$D$33,2)/100)/VLOOKUP(AD46,EMPALME!$C$2:$F$33,4)),IF(AH46=2,ROUND((K46*(AA46/100)-(I46/10)*INT((AA46/100)/0.55)*INT((J46-(Z46/100)*INT(J46/(Z46/100)))/0.55))/INT(J46/(Z46/100)),2),ROUND(K46*(AA46/100)/INT(J46/(Z46/100)),2)))</f>
        <v/>
      </c>
      <c r="AJ46" s="54" t="n">
        <v>2</v>
      </c>
      <c r="AK46" s="335">
        <f>ROUND(IF(AJ46=2,0,((Z46*2)+(AA46*2))*CONFECCION!$B$35/100),2)</f>
        <v/>
      </c>
      <c r="AL46" s="54" t="n"/>
      <c r="AM46" s="54" t="n">
        <v>2</v>
      </c>
      <c r="AP46" s="149" t="n"/>
      <c r="AQ46" s="149">
        <f>IF(S46=0,"",S46)</f>
        <v/>
      </c>
      <c r="AR46" s="149">
        <f>IF(A46=0,"",VLOOKUP(L46,ARTICULOS!$A$10:$B$19,2))</f>
        <v/>
      </c>
      <c r="AS46" s="157">
        <f>IF(A46=0,"",T46&amp;" * "&amp;U46)&amp;IF(AM46=1," PR","")</f>
        <v/>
      </c>
      <c r="AT46" s="167">
        <f>IF(A46=0,"",VLOOKUP(E46,ARTICULOS!$D$10:$F$699,3))</f>
        <v/>
      </c>
      <c r="AU46" s="164">
        <f>IF(A46=0,"","c/ "&amp;D46&amp;" "&amp;VLOOKUP(H46,COLORES!$A$7:$G$4394,7))</f>
        <v/>
      </c>
      <c r="AV46" s="149">
        <f>IF(A46=0,"",IF(V46=1,"Dobl. Sencillo","Dobl. "&amp;V46&amp;" cm."))</f>
        <v/>
      </c>
      <c r="AW46" s="149">
        <f>+IF(Y46=1,"SI","")</f>
        <v/>
      </c>
      <c r="AX46" s="149">
        <f>IF(A46=0,"",IF(AB46=2,Z46&amp;" * "&amp;AA46,IF(Z46=AA46,"Redondo "&amp;Z46&amp;" * "&amp;AA46,"Ovalado "&amp;Z46&amp;" * "&amp;AA46)))</f>
        <v/>
      </c>
      <c r="AY46" s="337">
        <f>IF(A46=0,"",AG46+AI46+AK46)</f>
        <v/>
      </c>
      <c r="AZ46" s="338">
        <f>IF(A46=0,"",A46)</f>
        <v/>
      </c>
      <c r="BA46" s="156">
        <f>IF(A46=0,"",ROUND(AY46*AZ46,2))</f>
        <v/>
      </c>
    </row>
    <row r="47">
      <c r="A47" s="327" t="n">
        <v>0</v>
      </c>
      <c r="B47" s="340" t="n">
        <v>1</v>
      </c>
      <c r="C47" s="340" t="n"/>
      <c r="D47" s="329" t="n">
        <v>1</v>
      </c>
      <c r="E47" s="341">
        <f>MATCH(C47,ARTICULOS!$F$10:$F$699,0)</f>
        <v/>
      </c>
      <c r="F47" s="341">
        <f>+VLOOKUP(E47,ARTICULOS!$D$10:$I$699,6)</f>
        <v/>
      </c>
      <c r="G47" s="42">
        <f>+F47&amp;D47</f>
        <v/>
      </c>
      <c r="H47" s="42">
        <f>+MATCH(G47,COLORES!$E$7:$E$4394,0)</f>
        <v/>
      </c>
      <c r="I47" s="342">
        <f>VLOOKUP(H47,COLORES!$A$7:$I$4394,8)</f>
        <v/>
      </c>
      <c r="J47" s="343">
        <f>VLOOKUP(H47,COLORES!$A$7:$I$4394,9)</f>
        <v/>
      </c>
      <c r="K47" s="344">
        <f>I47*(1+B47)</f>
        <v/>
      </c>
      <c r="L47" s="54" t="n">
        <v>0</v>
      </c>
      <c r="M47" s="327" t="n">
        <v>0</v>
      </c>
      <c r="N47" s="331" t="n">
        <v>0</v>
      </c>
      <c r="O47" s="331" t="n">
        <v>0</v>
      </c>
      <c r="P47" s="331" t="n">
        <v>0</v>
      </c>
      <c r="Q47" s="331" t="n">
        <v>0</v>
      </c>
      <c r="R47" s="329" t="n"/>
      <c r="S47" s="332">
        <f>IF(P47&gt;0,IF(O47&gt;0,"(/)"&amp;O47&amp;"*"&amp;P47&amp;IF(Q47&gt;0,"+"&amp;Q47,IF(Q47=0,"",Q47)),+M47&amp;"*"&amp;N47&amp;"*"&amp;P47&amp;IF(Q47&gt;0,"+"&amp;Q47,IF(Q47=0,"",Q47))),"")</f>
        <v/>
      </c>
      <c r="T47" s="51">
        <f>+IF(O47&gt;0,O47+R47*2,M47+R47*2)+P47*2+Q47*2</f>
        <v/>
      </c>
      <c r="U47" s="52">
        <f>+IF(O47&gt;0,O47+R47*2,N47+R47*2)+P47*2+Q47*2</f>
        <v/>
      </c>
      <c r="V47" s="54" t="n"/>
      <c r="W47" s="333">
        <f>IF(V47=1,T47+5,T47+(V47*4))</f>
        <v/>
      </c>
      <c r="X47" s="334">
        <f>IF(V47=1,U47+5,U47+(V47*4))</f>
        <v/>
      </c>
      <c r="Y47" s="54" t="n">
        <v>0</v>
      </c>
      <c r="Z47" s="333">
        <f>IF(Y47=1,ROUNDUP(W47*(1+VLOOKUP(E47,ARTICULOS!$D$10:$H$699,5)),0),W47)</f>
        <v/>
      </c>
      <c r="AA47" s="334">
        <f>IF(Y47=1,ROUNDUP(X47*(1+VLOOKUP(E47,ARTICULOS!$D$10:$H$699,4)),0),X47)</f>
        <v/>
      </c>
      <c r="AB47" s="54" t="n">
        <v>2</v>
      </c>
      <c r="AC47" s="54" t="n"/>
      <c r="AD47" s="332">
        <f>IF(AC47=1,J47*100&amp;Z47,"")</f>
        <v/>
      </c>
      <c r="AE47" s="332">
        <f>IF(AC47=1,VLOOKUP(AD47,EMPALME!$C$2:$F$33,4),"")</f>
        <v/>
      </c>
      <c r="AF47" s="54" t="n"/>
      <c r="AG47" s="335">
        <f>IF(L47=3,IF(V47=1,CONFECCION!$C$18,CONFECCION!$C$18*2),IF(V47=1,HLOOKUP(AA47,CONFECCION!$C$17:$AD$33,VLOOKUP(Z47,CONFECCION!$A$18:$B$33,2)-16),2*HLOOKUP(AA47,CONFECCION!$C$17:$AD$33,VLOOKUP(Z47,CONFECCION!$A$18:$B$33,2)-16)))*IF(AC47=1,3,1)</f>
        <v/>
      </c>
      <c r="AH47" s="54" t="n"/>
      <c r="AI47" s="335">
        <f>IF(AC47=1,AA47/100*K47+IF(AF47&gt;0,K47*(VLOOKUP(AD47,EMPALME!$C$2:$D$33,2)/100)/AF47,K47*(VLOOKUP(AD47,EMPALME!$C$2:$D$33,2)/100)/VLOOKUP(AD47,EMPALME!$C$2:$F$33,4)),IF(AH47=2,ROUND((K47*(AA47/100)-(I47/10)*INT((AA47/100)/0.55)*INT((J47-(Z47/100)*INT(J47/(Z47/100)))/0.55))/INT(J47/(Z47/100)),2),ROUND(K47*(AA47/100)/INT(J47/(Z47/100)),2)))</f>
        <v/>
      </c>
      <c r="AJ47" s="54" t="n">
        <v>2</v>
      </c>
      <c r="AK47" s="335">
        <f>ROUND(IF(AJ47=2,0,((Z47*2)+(AA47*2))*CONFECCION!$B$35/100),2)</f>
        <v/>
      </c>
      <c r="AL47" s="54" t="n"/>
      <c r="AM47" s="54" t="n">
        <v>2</v>
      </c>
      <c r="AP47" s="149" t="n"/>
      <c r="AQ47" s="149">
        <f>IF(S47=0,"",S47)</f>
        <v/>
      </c>
      <c r="AR47" s="149">
        <f>IF(A47=0,"",VLOOKUP(L47,ARTICULOS!$A$10:$B$19,2))</f>
        <v/>
      </c>
      <c r="AS47" s="157">
        <f>IF(A47=0,"",T47&amp;" * "&amp;U47)&amp;IF(AM47=1," PR","")</f>
        <v/>
      </c>
      <c r="AT47" s="167">
        <f>IF(A47=0,"",VLOOKUP(E47,ARTICULOS!$D$10:$F$699,3))</f>
        <v/>
      </c>
      <c r="AU47" s="164">
        <f>IF(A47=0,"","c/ "&amp;D47&amp;" "&amp;VLOOKUP(H47,COLORES!$A$7:$G$4394,7))</f>
        <v/>
      </c>
      <c r="AV47" s="149">
        <f>IF(A47=0,"",IF(V47=1,"Dobl. Sencillo","Dobl. "&amp;V47&amp;" cm."))</f>
        <v/>
      </c>
      <c r="AW47" s="149">
        <f>+IF(Y47=1,"SI","")</f>
        <v/>
      </c>
      <c r="AX47" s="149">
        <f>IF(A47=0,"",IF(AB47=2,Z47&amp;" * "&amp;AA47,IF(Z47=AA47,"Redondo "&amp;Z47&amp;" * "&amp;AA47,"Ovalado "&amp;Z47&amp;" * "&amp;AA47)))</f>
        <v/>
      </c>
      <c r="AY47" s="337">
        <f>IF(A47=0,"",AG47+AI47+AK47)</f>
        <v/>
      </c>
      <c r="AZ47" s="338">
        <f>IF(A47=0,"",A47)</f>
        <v/>
      </c>
      <c r="BA47" s="156">
        <f>IF(A47=0,"",ROUND(AY47*AZ47,2))</f>
        <v/>
      </c>
    </row>
    <row r="48">
      <c r="A48" s="327" t="n">
        <v>0</v>
      </c>
      <c r="B48" s="340" t="n">
        <v>1</v>
      </c>
      <c r="C48" s="340" t="n"/>
      <c r="D48" s="329" t="n">
        <v>1</v>
      </c>
      <c r="E48" s="341">
        <f>MATCH(C48,ARTICULOS!$F$10:$F$699,0)</f>
        <v/>
      </c>
      <c r="F48" s="341">
        <f>+VLOOKUP(E48,ARTICULOS!$D$10:$I$699,6)</f>
        <v/>
      </c>
      <c r="G48" s="42">
        <f>+F48&amp;D48</f>
        <v/>
      </c>
      <c r="H48" s="42">
        <f>+MATCH(G48,COLORES!$E$7:$E$4394,0)</f>
        <v/>
      </c>
      <c r="I48" s="342">
        <f>VLOOKUP(H48,COLORES!$A$7:$I$4394,8)</f>
        <v/>
      </c>
      <c r="J48" s="343">
        <f>VLOOKUP(H48,COLORES!$A$7:$I$4394,9)</f>
        <v/>
      </c>
      <c r="K48" s="344">
        <f>I48*(1+B48)</f>
        <v/>
      </c>
      <c r="L48" s="54" t="n">
        <v>0</v>
      </c>
      <c r="M48" s="327" t="n">
        <v>0</v>
      </c>
      <c r="N48" s="331" t="n">
        <v>0</v>
      </c>
      <c r="O48" s="331" t="n">
        <v>0</v>
      </c>
      <c r="P48" s="331" t="n">
        <v>0</v>
      </c>
      <c r="Q48" s="331" t="n">
        <v>0</v>
      </c>
      <c r="R48" s="329" t="n"/>
      <c r="S48" s="332">
        <f>IF(P48&gt;0,IF(O48&gt;0,"(/)"&amp;O48&amp;"*"&amp;P48&amp;IF(Q48&gt;0,"+"&amp;Q48,IF(Q48=0,"",Q48)),+M48&amp;"*"&amp;N48&amp;"*"&amp;P48&amp;IF(Q48&gt;0,"+"&amp;Q48,IF(Q48=0,"",Q48))),"")</f>
        <v/>
      </c>
      <c r="T48" s="51">
        <f>+IF(O48&gt;0,O48+R48*2,M48+R48*2)+P48*2+Q48*2</f>
        <v/>
      </c>
      <c r="U48" s="52">
        <f>+IF(O48&gt;0,O48+R48*2,N48+R48*2)+P48*2+Q48*2</f>
        <v/>
      </c>
      <c r="V48" s="54" t="n"/>
      <c r="W48" s="333">
        <f>IF(V48=1,T48+5,T48+(V48*4))</f>
        <v/>
      </c>
      <c r="X48" s="334">
        <f>IF(V48=1,U48+5,U48+(V48*4))</f>
        <v/>
      </c>
      <c r="Y48" s="54" t="n">
        <v>0</v>
      </c>
      <c r="Z48" s="333">
        <f>IF(Y48=1,ROUNDUP(W48*(1+VLOOKUP(E48,ARTICULOS!$D$10:$H$699,5)),0),W48)</f>
        <v/>
      </c>
      <c r="AA48" s="334">
        <f>IF(Y48=1,ROUNDUP(X48*(1+VLOOKUP(E48,ARTICULOS!$D$10:$H$699,4)),0),X48)</f>
        <v/>
      </c>
      <c r="AB48" s="54" t="n">
        <v>2</v>
      </c>
      <c r="AC48" s="54" t="n"/>
      <c r="AD48" s="332">
        <f>IF(AC48=1,J48*100&amp;Z48,"")</f>
        <v/>
      </c>
      <c r="AE48" s="332">
        <f>IF(AC48=1,VLOOKUP(AD48,EMPALME!$C$2:$F$33,4),"")</f>
        <v/>
      </c>
      <c r="AF48" s="54" t="n"/>
      <c r="AG48" s="335">
        <f>IF(L48=3,IF(V48=1,CONFECCION!$C$18,CONFECCION!$C$18*2),IF(V48=1,HLOOKUP(AA48,CONFECCION!$C$17:$AD$33,VLOOKUP(Z48,CONFECCION!$A$18:$B$33,2)-16),2*HLOOKUP(AA48,CONFECCION!$C$17:$AD$33,VLOOKUP(Z48,CONFECCION!$A$18:$B$33,2)-16)))*IF(AC48=1,3,1)</f>
        <v/>
      </c>
      <c r="AH48" s="54" t="n"/>
      <c r="AI48" s="335">
        <f>IF(AC48=1,AA48/100*K48+IF(AF48&gt;0,K48*(VLOOKUP(AD48,EMPALME!$C$2:$D$33,2)/100)/AF48,K48*(VLOOKUP(AD48,EMPALME!$C$2:$D$33,2)/100)/VLOOKUP(AD48,EMPALME!$C$2:$F$33,4)),IF(AH48=2,ROUND((K48*(AA48/100)-(I48/10)*INT((AA48/100)/0.55)*INT((J48-(Z48/100)*INT(J48/(Z48/100)))/0.55))/INT(J48/(Z48/100)),2),ROUND(K48*(AA48/100)/INT(J48/(Z48/100)),2)))</f>
        <v/>
      </c>
      <c r="AJ48" s="54" t="n">
        <v>2</v>
      </c>
      <c r="AK48" s="335">
        <f>ROUND(IF(AJ48=2,0,((Z48*2)+(AA48*2))*CONFECCION!$B$35/100),2)</f>
        <v/>
      </c>
      <c r="AL48" s="54" t="n"/>
      <c r="AM48" s="54" t="n">
        <v>2</v>
      </c>
      <c r="AP48" s="149" t="n"/>
      <c r="AQ48" s="149">
        <f>IF(S48=0,"",S48)</f>
        <v/>
      </c>
      <c r="AR48" s="149">
        <f>IF(A48=0,"",VLOOKUP(L48,ARTICULOS!$A$10:$B$19,2))</f>
        <v/>
      </c>
      <c r="AS48" s="157">
        <f>IF(A48=0,"",T48&amp;" * "&amp;U48)&amp;IF(AM48=1," PR","")</f>
        <v/>
      </c>
      <c r="AT48" s="167">
        <f>IF(A48=0,"",VLOOKUP(E48,ARTICULOS!$D$10:$F$699,3))</f>
        <v/>
      </c>
      <c r="AU48" s="164">
        <f>IF(A48=0,"","c/ "&amp;D48&amp;" "&amp;VLOOKUP(H48,COLORES!$A$7:$G$4394,7))</f>
        <v/>
      </c>
      <c r="AV48" s="149">
        <f>IF(A48=0,"",IF(V48=1,"Dobl. Sencillo","Dobl. "&amp;V48&amp;" cm."))</f>
        <v/>
      </c>
      <c r="AW48" s="149">
        <f>+IF(Y48=1,"SI","")</f>
        <v/>
      </c>
      <c r="AX48" s="149">
        <f>IF(A48=0,"",IF(AB48=2,Z48&amp;" * "&amp;AA48,IF(Z48=AA48,"Redondo "&amp;Z48&amp;" * "&amp;AA48,"Ovalado "&amp;Z48&amp;" * "&amp;AA48)))</f>
        <v/>
      </c>
      <c r="AY48" s="337">
        <f>IF(A48=0,"",AG48+AI48+AK48)</f>
        <v/>
      </c>
      <c r="AZ48" s="338">
        <f>IF(A48=0,"",A48)</f>
        <v/>
      </c>
      <c r="BA48" s="156">
        <f>IF(A48=0,"",ROUND(AY48*AZ48,2))</f>
        <v/>
      </c>
    </row>
    <row r="49">
      <c r="A49" s="327" t="n">
        <v>0</v>
      </c>
      <c r="B49" s="340" t="n">
        <v>1</v>
      </c>
      <c r="C49" s="340" t="n"/>
      <c r="D49" s="329" t="n">
        <v>1</v>
      </c>
      <c r="E49" s="341">
        <f>MATCH(C49,ARTICULOS!$F$10:$F$699,0)</f>
        <v/>
      </c>
      <c r="F49" s="341">
        <f>+VLOOKUP(E49,ARTICULOS!$D$10:$I$699,6)</f>
        <v/>
      </c>
      <c r="G49" s="42">
        <f>+F49&amp;D49</f>
        <v/>
      </c>
      <c r="H49" s="42">
        <f>+MATCH(G49,COLORES!$E$7:$E$4394,0)</f>
        <v/>
      </c>
      <c r="I49" s="342">
        <f>VLOOKUP(H49,COLORES!$A$7:$I$4394,8)</f>
        <v/>
      </c>
      <c r="J49" s="343">
        <f>VLOOKUP(H49,COLORES!$A$7:$I$4394,9)</f>
        <v/>
      </c>
      <c r="K49" s="344">
        <f>I49*(1+B49)</f>
        <v/>
      </c>
      <c r="L49" s="54" t="n">
        <v>0</v>
      </c>
      <c r="M49" s="327" t="n">
        <v>0</v>
      </c>
      <c r="N49" s="331" t="n">
        <v>0</v>
      </c>
      <c r="O49" s="331" t="n">
        <v>0</v>
      </c>
      <c r="P49" s="331" t="n">
        <v>0</v>
      </c>
      <c r="Q49" s="331" t="n">
        <v>0</v>
      </c>
      <c r="R49" s="329" t="n"/>
      <c r="S49" s="332">
        <f>IF(P49&gt;0,IF(O49&gt;0,"(/)"&amp;O49&amp;"*"&amp;P49&amp;IF(Q49&gt;0,"+"&amp;Q49,IF(Q49=0,"",Q49)),+M49&amp;"*"&amp;N49&amp;"*"&amp;P49&amp;IF(Q49&gt;0,"+"&amp;Q49,IF(Q49=0,"",Q49))),"")</f>
        <v/>
      </c>
      <c r="T49" s="51">
        <f>+IF(O49&gt;0,O49+R49*2,M49+R49*2)+P49*2+Q49*2</f>
        <v/>
      </c>
      <c r="U49" s="52">
        <f>+IF(O49&gt;0,O49+R49*2,N49+R49*2)+P49*2+Q49*2</f>
        <v/>
      </c>
      <c r="V49" s="54" t="n"/>
      <c r="W49" s="333">
        <f>IF(V49=1,T49+5,T49+(V49*4))</f>
        <v/>
      </c>
      <c r="X49" s="334">
        <f>IF(V49=1,U49+5,U49+(V49*4))</f>
        <v/>
      </c>
      <c r="Y49" s="54" t="n">
        <v>0</v>
      </c>
      <c r="Z49" s="333">
        <f>IF(Y49=1,ROUNDUP(W49*(1+VLOOKUP(E49,ARTICULOS!$D$10:$H$699,5)),0),W49)</f>
        <v/>
      </c>
      <c r="AA49" s="334">
        <f>IF(Y49=1,ROUNDUP(X49*(1+VLOOKUP(E49,ARTICULOS!$D$10:$H$699,4)),0),X49)</f>
        <v/>
      </c>
      <c r="AB49" s="54" t="n">
        <v>2</v>
      </c>
      <c r="AC49" s="54" t="n"/>
      <c r="AD49" s="332">
        <f>IF(AC49=1,J49*100&amp;Z49,"")</f>
        <v/>
      </c>
      <c r="AE49" s="332">
        <f>IF(AC49=1,VLOOKUP(AD49,EMPALME!$C$2:$F$33,4),"")</f>
        <v/>
      </c>
      <c r="AF49" s="54" t="n"/>
      <c r="AG49" s="335">
        <f>IF(L49=3,IF(V49=1,CONFECCION!$C$18,CONFECCION!$C$18*2),IF(V49=1,HLOOKUP(AA49,CONFECCION!$C$17:$AD$33,VLOOKUP(Z49,CONFECCION!$A$18:$B$33,2)-16),2*HLOOKUP(AA49,CONFECCION!$C$17:$AD$33,VLOOKUP(Z49,CONFECCION!$A$18:$B$33,2)-16)))*IF(AC49=1,3,1)</f>
        <v/>
      </c>
      <c r="AH49" s="54" t="n"/>
      <c r="AI49" s="335">
        <f>IF(AC49=1,AA49/100*K49+IF(AF49&gt;0,K49*(VLOOKUP(AD49,EMPALME!$C$2:$D$33,2)/100)/AF49,K49*(VLOOKUP(AD49,EMPALME!$C$2:$D$33,2)/100)/VLOOKUP(AD49,EMPALME!$C$2:$F$33,4)),IF(AH49=2,ROUND((K49*(AA49/100)-(I49/10)*INT((AA49/100)/0.55)*INT((J49-(Z49/100)*INT(J49/(Z49/100)))/0.55))/INT(J49/(Z49/100)),2),ROUND(K49*(AA49/100)/INT(J49/(Z49/100)),2)))</f>
        <v/>
      </c>
      <c r="AJ49" s="54" t="n">
        <v>2</v>
      </c>
      <c r="AK49" s="335">
        <f>ROUND(IF(AJ49=2,0,((Z49*2)+(AA49*2))*CONFECCION!$B$35/100),2)</f>
        <v/>
      </c>
      <c r="AL49" s="54" t="n"/>
      <c r="AM49" s="54" t="n">
        <v>2</v>
      </c>
      <c r="AP49" s="149" t="n"/>
      <c r="AQ49" s="149">
        <f>IF(S49=0,"",S49)</f>
        <v/>
      </c>
      <c r="AR49" s="149">
        <f>IF(A49=0,"",VLOOKUP(L49,ARTICULOS!$A$10:$B$19,2))</f>
        <v/>
      </c>
      <c r="AS49" s="157">
        <f>IF(A49=0,"",T49&amp;" * "&amp;U49)&amp;IF(AM49=1," PR","")</f>
        <v/>
      </c>
      <c r="AT49" s="167">
        <f>IF(A49=0,"",VLOOKUP(E49,ARTICULOS!$D$10:$F$699,3))</f>
        <v/>
      </c>
      <c r="AU49" s="164">
        <f>IF(A49=0,"","c/ "&amp;D49&amp;" "&amp;VLOOKUP(H49,COLORES!$A$7:$G$4394,7))</f>
        <v/>
      </c>
      <c r="AV49" s="149">
        <f>IF(A49=0,"",IF(V49=1,"Dobl. Sencillo","Dobl. "&amp;V49&amp;" cm."))</f>
        <v/>
      </c>
      <c r="AW49" s="149">
        <f>+IF(Y49=1,"SI","")</f>
        <v/>
      </c>
      <c r="AX49" s="149">
        <f>IF(A49=0,"",IF(AB49=2,Z49&amp;" * "&amp;AA49,IF(Z49=AA49,"Redondo "&amp;Z49&amp;" * "&amp;AA49,"Ovalado "&amp;Z49&amp;" * "&amp;AA49)))</f>
        <v/>
      </c>
      <c r="AY49" s="337">
        <f>IF(A49=0,"",AG49+AI49+AK49)</f>
        <v/>
      </c>
      <c r="AZ49" s="338">
        <f>IF(A49=0,"",A49)</f>
        <v/>
      </c>
      <c r="BA49" s="156">
        <f>IF(A49=0,"",ROUND(AY49*AZ49,2))</f>
        <v/>
      </c>
    </row>
    <row r="51">
      <c r="AY51" s="345" t="inlineStr">
        <is>
          <t>TOTAL PRESUPUESTO</t>
        </is>
      </c>
      <c r="BA51" s="345">
        <f>ROUND(SUM(BA10:BA49),2)</f>
        <v/>
      </c>
    </row>
  </sheetData>
  <mergeCells count="6">
    <mergeCell ref="AS2:AX2"/>
    <mergeCell ref="W8:X8"/>
    <mergeCell ref="Z8:AA8"/>
    <mergeCell ref="A8:D8"/>
    <mergeCell ref="L8:R8"/>
    <mergeCell ref="S8:U8"/>
  </mergeCells>
  <printOptions horizontalCentered="1" verticalCentered="1"/>
  <pageMargins left="0.3149606299212598" right="0.4724409448818898" top="0.1968503937007874" bottom="0.1574803149606299" header="0" footer="0"/>
  <pageSetup orientation="landscape" paperSize="9" scale="71" horizontalDpi="300" verticalDpi="300" copies="2"/>
</worksheet>
</file>

<file path=xl/worksheets/sheet3.xml><?xml version="1.0" encoding="utf-8"?>
<worksheet xmlns="http://schemas.openxmlformats.org/spreadsheetml/2006/main">
  <sheetPr codeName="Hoja3">
    <outlinePr summaryBelow="1" summaryRight="1"/>
    <pageSetUpPr fitToPage="1"/>
  </sheetPr>
  <dimension ref="A6:L849"/>
  <sheetViews>
    <sheetView topLeftCell="A7" workbookViewId="0">
      <selection activeCell="I58" sqref="I58"/>
    </sheetView>
  </sheetViews>
  <sheetFormatPr baseColWidth="10" defaultRowHeight="12.75"/>
  <cols>
    <col width="18.7109375" customWidth="1" min="2" max="2"/>
    <col width="16.42578125" customWidth="1" min="3" max="3"/>
    <col width="7.5703125" customWidth="1" min="4" max="4"/>
    <col width="27.28515625" customWidth="1" min="6" max="6"/>
    <col width="22.85546875" customWidth="1" min="7" max="7"/>
    <col width="23.28515625" customWidth="1" min="8" max="8"/>
    <col width="13.140625" customWidth="1" min="9" max="9"/>
    <col width="16.85546875" bestFit="1" customWidth="1" min="13" max="13"/>
  </cols>
  <sheetData>
    <row r="6" ht="30.75" customHeight="1">
      <c r="D6" s="320" t="inlineStr">
        <is>
          <t>¡¡¡¡NO PONGAS ACENTOS !!!!!!</t>
        </is>
      </c>
    </row>
    <row r="7" ht="13.5" customHeight="1" thickBot="1"/>
    <row r="8" ht="13.5" customHeight="1" thickBot="1">
      <c r="A8" s="346" t="inlineStr">
        <is>
          <t>PRODUCTO</t>
        </is>
      </c>
      <c r="B8" s="347" t="n"/>
      <c r="D8" s="348" t="inlineStr">
        <is>
          <t>ARTICULO</t>
        </is>
      </c>
      <c r="E8" s="349" t="n"/>
      <c r="F8" s="349" t="n"/>
      <c r="G8" s="349" t="n"/>
      <c r="H8" s="27" t="n"/>
      <c r="I8" s="27" t="n"/>
    </row>
    <row r="9" ht="14.25" customHeight="1" thickBot="1" thickTop="1">
      <c r="A9" s="2" t="n"/>
      <c r="B9" s="3" t="n"/>
      <c r="D9" s="32" t="inlineStr">
        <is>
          <t>REF. 1</t>
        </is>
      </c>
      <c r="E9" s="38" t="n"/>
      <c r="F9" s="35" t="n"/>
      <c r="G9" s="36" t="inlineStr">
        <is>
          <t>Encogimiento LargoU</t>
        </is>
      </c>
      <c r="H9" s="37" t="inlineStr">
        <is>
          <t>Encogimiento AnchoT</t>
        </is>
      </c>
      <c r="I9" s="322" t="inlineStr">
        <is>
          <t>REF. 2</t>
        </is>
      </c>
      <c r="K9" s="58" t="n"/>
    </row>
    <row r="10">
      <c r="A10" s="2" t="n">
        <v>1</v>
      </c>
      <c r="B10" s="3" t="inlineStr">
        <is>
          <t>Mantel</t>
        </is>
      </c>
      <c r="D10" s="2" t="n">
        <v>1</v>
      </c>
      <c r="E10" s="199" t="inlineStr">
        <is>
          <t>TVR</t>
        </is>
      </c>
      <c r="F10" s="200" t="inlineStr">
        <is>
          <t>Saten 50/50</t>
        </is>
      </c>
      <c r="G10" s="202" t="n">
        <v>0.03</v>
      </c>
      <c r="H10" s="202" t="n">
        <v>0.02</v>
      </c>
      <c r="I10" s="68">
        <f>+D10&amp;E10</f>
        <v/>
      </c>
      <c r="K10" s="30" t="n"/>
    </row>
    <row r="11">
      <c r="A11" s="2" t="n">
        <v>2</v>
      </c>
      <c r="B11" s="3" t="inlineStr">
        <is>
          <t>Cubre</t>
        </is>
      </c>
      <c r="D11" s="2" t="n">
        <v>2</v>
      </c>
      <c r="E11" s="199" t="inlineStr">
        <is>
          <t>TVR</t>
        </is>
      </c>
      <c r="F11" s="200" t="inlineStr">
        <is>
          <t>Saten Pes100</t>
        </is>
      </c>
      <c r="G11" s="202" t="n">
        <v>0</v>
      </c>
      <c r="H11" s="202" t="n">
        <v>0</v>
      </c>
      <c r="I11" s="69">
        <f>+D11&amp;E11</f>
        <v/>
      </c>
      <c r="K11" s="30" t="n"/>
    </row>
    <row r="12">
      <c r="A12" s="2" t="n">
        <v>3</v>
      </c>
      <c r="B12" s="3" t="inlineStr">
        <is>
          <t>Servilleta</t>
        </is>
      </c>
      <c r="D12" s="2" t="n">
        <v>3</v>
      </c>
      <c r="E12" s="199" t="inlineStr">
        <is>
          <t>TVR</t>
        </is>
      </c>
      <c r="F12" s="200" t="inlineStr">
        <is>
          <t>Saten London</t>
        </is>
      </c>
      <c r="G12" s="202" t="n">
        <v>0</v>
      </c>
      <c r="H12" s="202" t="n">
        <v>0</v>
      </c>
      <c r="I12" s="69">
        <f>+D12&amp;E12</f>
        <v/>
      </c>
      <c r="K12" s="30" t="n"/>
    </row>
    <row r="13">
      <c r="A13" s="2" t="n">
        <v>4</v>
      </c>
      <c r="B13" s="3" t="inlineStr">
        <is>
          <t>Camino de mesa</t>
        </is>
      </c>
      <c r="C13" t="inlineStr">
        <is>
          <t>Triana</t>
        </is>
      </c>
      <c r="D13" s="2" t="n">
        <v>4</v>
      </c>
      <c r="E13" s="199" t="inlineStr">
        <is>
          <t>TVR</t>
        </is>
      </c>
      <c r="F13" s="200" t="inlineStr">
        <is>
          <t>Triunfo</t>
        </is>
      </c>
      <c r="G13" s="202" t="n">
        <v>0.03</v>
      </c>
      <c r="H13" s="202" t="n">
        <v>0.02</v>
      </c>
      <c r="I13" s="69">
        <f>+D13&amp;E13</f>
        <v/>
      </c>
      <c r="K13" s="30" t="n"/>
    </row>
    <row r="14">
      <c r="A14" s="2" t="n">
        <v>5</v>
      </c>
      <c r="B14" s="3" t="inlineStr">
        <is>
          <t>Muleton</t>
        </is>
      </c>
      <c r="C14" t="inlineStr">
        <is>
          <t>Triana Imitacion</t>
        </is>
      </c>
      <c r="D14" s="2" t="n">
        <v>5</v>
      </c>
      <c r="E14" s="199" t="inlineStr">
        <is>
          <t>TVR</t>
        </is>
      </c>
      <c r="F14" s="200" t="inlineStr">
        <is>
          <t>Triunfo Lino</t>
        </is>
      </c>
      <c r="G14" s="202" t="n">
        <v>0.03</v>
      </c>
      <c r="H14" s="202" t="n">
        <v>0.02</v>
      </c>
      <c r="I14" s="69">
        <f>+D14&amp;E14</f>
        <v/>
      </c>
      <c r="K14" s="30" t="n"/>
    </row>
    <row r="15">
      <c r="A15" s="2" t="n">
        <v>6</v>
      </c>
      <c r="B15" s="3" t="inlineStr">
        <is>
          <t>Gueridon</t>
        </is>
      </c>
      <c r="D15" s="2" t="n">
        <v>6</v>
      </c>
      <c r="E15" s="199" t="inlineStr">
        <is>
          <t>TVR</t>
        </is>
      </c>
      <c r="F15" s="200" t="inlineStr">
        <is>
          <t>Granito</t>
        </is>
      </c>
      <c r="G15" s="202" t="n">
        <v>0</v>
      </c>
      <c r="H15" s="202" t="n">
        <v>0</v>
      </c>
      <c r="I15" s="69">
        <f>+D15&amp;E15</f>
        <v/>
      </c>
      <c r="K15" s="30" t="n"/>
    </row>
    <row r="16">
      <c r="A16" s="2" t="n">
        <v>7</v>
      </c>
      <c r="B16" s="3" t="inlineStr">
        <is>
          <t>Lito</t>
        </is>
      </c>
      <c r="D16" s="2" t="n">
        <v>7</v>
      </c>
      <c r="E16" s="199" t="inlineStr">
        <is>
          <t>TVR</t>
        </is>
      </c>
      <c r="F16" s="200" t="inlineStr">
        <is>
          <t>Tevere</t>
        </is>
      </c>
      <c r="G16" s="202" t="n">
        <v>0.03</v>
      </c>
      <c r="H16" s="202" t="n">
        <v>0.02</v>
      </c>
      <c r="I16" s="69">
        <f>+D16&amp;E16</f>
        <v/>
      </c>
      <c r="K16" s="30" t="n"/>
    </row>
    <row r="17">
      <c r="A17" s="2" t="n">
        <v>8</v>
      </c>
      <c r="B17" s="3" t="inlineStr">
        <is>
          <t>Individual</t>
        </is>
      </c>
      <c r="D17" s="2" t="n">
        <v>8</v>
      </c>
      <c r="E17" s="199" t="inlineStr">
        <is>
          <t>TVR</t>
        </is>
      </c>
      <c r="F17" s="200" t="inlineStr">
        <is>
          <t>Tagore Pes100</t>
        </is>
      </c>
      <c r="G17" s="202" t="n">
        <v>0</v>
      </c>
      <c r="H17" s="202" t="n">
        <v>0</v>
      </c>
      <c r="I17" s="69">
        <f>+D17&amp;E17</f>
        <v/>
      </c>
      <c r="K17" s="30" t="n"/>
    </row>
    <row r="18">
      <c r="A18" s="2" t="n">
        <v>9</v>
      </c>
      <c r="B18" s="3" t="n"/>
      <c r="D18" s="2" t="n">
        <v>9</v>
      </c>
      <c r="E18" s="199" t="inlineStr">
        <is>
          <t>TVR</t>
        </is>
      </c>
      <c r="F18" s="200" t="inlineStr">
        <is>
          <t>Santorini</t>
        </is>
      </c>
      <c r="G18" s="202" t="n">
        <v>0</v>
      </c>
      <c r="H18" s="202" t="n">
        <v>0</v>
      </c>
      <c r="I18" s="69">
        <f>+D18&amp;E18</f>
        <v/>
      </c>
      <c r="K18" s="30" t="n"/>
    </row>
    <row r="19">
      <c r="A19" s="2" t="n">
        <v>10</v>
      </c>
      <c r="B19" s="3" t="inlineStr">
        <is>
          <t>Funda</t>
        </is>
      </c>
      <c r="C19" t="inlineStr">
        <is>
          <t>Jara</t>
        </is>
      </c>
      <c r="D19" s="2" t="n">
        <v>10</v>
      </c>
      <c r="E19" s="199" t="inlineStr">
        <is>
          <t>TVR</t>
        </is>
      </c>
      <c r="F19" s="203" t="inlineStr">
        <is>
          <t>Lino Jazmin</t>
        </is>
      </c>
      <c r="G19" s="204" t="n">
        <v>0.03</v>
      </c>
      <c r="H19" s="204" t="n">
        <v>0.05</v>
      </c>
      <c r="I19" s="69">
        <f>+D19&amp;E19</f>
        <v/>
      </c>
      <c r="K19" s="30" t="n"/>
    </row>
    <row r="20">
      <c r="A20" s="2" t="n"/>
      <c r="B20" s="3" t="n"/>
      <c r="D20" s="2" t="n">
        <v>11</v>
      </c>
      <c r="E20" s="199" t="inlineStr">
        <is>
          <t>TVR</t>
        </is>
      </c>
      <c r="F20" s="200" t="inlineStr">
        <is>
          <t>Damasco Alhambra</t>
        </is>
      </c>
      <c r="G20" s="202" t="n">
        <v>0.03</v>
      </c>
      <c r="H20" s="202" t="n">
        <v>0.02</v>
      </c>
      <c r="I20" s="69">
        <f>+D20&amp;E20</f>
        <v/>
      </c>
      <c r="K20" s="30" t="n"/>
    </row>
    <row r="21">
      <c r="A21" s="2" t="n"/>
      <c r="B21" s="3" t="n"/>
      <c r="D21" s="2" t="n">
        <v>12</v>
      </c>
      <c r="E21" s="205" t="inlineStr">
        <is>
          <t>GRT</t>
        </is>
      </c>
      <c r="F21" s="206" t="inlineStr">
        <is>
          <t>Nilo Rustico</t>
        </is>
      </c>
      <c r="G21" s="208" t="n">
        <v>0.045</v>
      </c>
      <c r="H21" s="208" t="n">
        <v>0.035</v>
      </c>
      <c r="I21" s="69">
        <f>+D21&amp;E21</f>
        <v/>
      </c>
      <c r="J21" t="n">
        <v>2024</v>
      </c>
      <c r="K21" s="30" t="n"/>
    </row>
    <row r="22">
      <c r="A22" s="2" t="n"/>
      <c r="B22" s="3" t="n"/>
      <c r="D22" s="2" t="n">
        <v>13</v>
      </c>
      <c r="E22" s="205" t="inlineStr">
        <is>
          <t>GRT</t>
        </is>
      </c>
      <c r="F22" s="206" t="inlineStr">
        <is>
          <t>Lino Grt</t>
        </is>
      </c>
      <c r="G22" s="208" t="n">
        <v>0.05</v>
      </c>
      <c r="H22" s="208" t="n">
        <v>0.05</v>
      </c>
      <c r="I22" s="69">
        <f>+D22&amp;E22</f>
        <v/>
      </c>
      <c r="J22" t="n">
        <v>2024</v>
      </c>
      <c r="K22" t="inlineStr">
        <is>
          <t>al/lin/pol</t>
        </is>
      </c>
    </row>
    <row r="23">
      <c r="A23" s="2" t="n"/>
      <c r="B23" s="3" t="n"/>
      <c r="D23" s="2" t="n">
        <v>14</v>
      </c>
      <c r="E23" s="205" t="inlineStr">
        <is>
          <t>RMR</t>
        </is>
      </c>
      <c r="F23" s="206" t="inlineStr">
        <is>
          <t>Acrisol Liso 160</t>
        </is>
      </c>
      <c r="G23" s="208" t="n">
        <v>0</v>
      </c>
      <c r="H23" s="208" t="n">
        <v>0</v>
      </c>
      <c r="I23" s="69">
        <f>+D23&amp;E23</f>
        <v/>
      </c>
      <c r="K23" s="30" t="n"/>
    </row>
    <row r="24">
      <c r="A24" s="2" t="n"/>
      <c r="B24" s="3" t="n"/>
      <c r="D24" s="2" t="n">
        <v>15</v>
      </c>
      <c r="E24" s="205" t="inlineStr">
        <is>
          <t>RMR</t>
        </is>
      </c>
      <c r="F24" s="206" t="inlineStr">
        <is>
          <t>Acrisol Liso 320</t>
        </is>
      </c>
      <c r="G24" s="209" t="n">
        <v>0</v>
      </c>
      <c r="H24" s="209" t="n">
        <v>0</v>
      </c>
      <c r="I24" s="69">
        <f>+D24&amp;E24</f>
        <v/>
      </c>
      <c r="K24" s="30" t="n"/>
    </row>
    <row r="25">
      <c r="A25" s="2" t="n"/>
      <c r="B25" s="3" t="n"/>
      <c r="D25" s="2" t="n">
        <v>16</v>
      </c>
      <c r="E25" s="205" t="inlineStr">
        <is>
          <t>RMR</t>
        </is>
      </c>
      <c r="F25" s="206" t="inlineStr">
        <is>
          <t>Acrisol 7 Calles 160</t>
        </is>
      </c>
      <c r="G25" s="208" t="n">
        <v>0</v>
      </c>
      <c r="H25" s="208" t="n">
        <v>0</v>
      </c>
      <c r="I25" s="69">
        <f>+D25&amp;E25</f>
        <v/>
      </c>
      <c r="K25" s="30" t="n"/>
    </row>
    <row r="26" ht="13.5" customHeight="1" thickBot="1">
      <c r="A26" s="4" t="n"/>
      <c r="B26" s="5" t="n"/>
      <c r="D26" s="2" t="n">
        <v>17</v>
      </c>
      <c r="E26" s="205" t="inlineStr">
        <is>
          <t>GCU</t>
        </is>
      </c>
      <c r="F26" s="206" t="inlineStr">
        <is>
          <t>LinoPoliester</t>
        </is>
      </c>
      <c r="G26" s="208" t="n">
        <v>0.03</v>
      </c>
      <c r="H26" s="208" t="n">
        <v>0.02</v>
      </c>
      <c r="I26" s="69">
        <f>+D26&amp;E26</f>
        <v/>
      </c>
      <c r="K26" s="30" t="n"/>
    </row>
    <row r="27">
      <c r="D27" s="2" t="n">
        <v>18</v>
      </c>
      <c r="E27" s="205" t="inlineStr">
        <is>
          <t>TVR</t>
        </is>
      </c>
      <c r="F27" s="206" t="inlineStr">
        <is>
          <t>Saten London</t>
        </is>
      </c>
      <c r="G27" s="208" t="n">
        <v>0</v>
      </c>
      <c r="H27" s="208" t="n">
        <v>0</v>
      </c>
      <c r="I27" s="69">
        <f>+D27&amp;E27</f>
        <v/>
      </c>
      <c r="K27" s="30" t="n"/>
    </row>
    <row r="28">
      <c r="D28" s="2" t="n">
        <v>19</v>
      </c>
      <c r="E28" s="205" t="inlineStr">
        <is>
          <t>GCU</t>
        </is>
      </c>
      <c r="F28" s="206" t="inlineStr">
        <is>
          <t>Saten Liso Nacional</t>
        </is>
      </c>
      <c r="G28" s="208" t="n">
        <v>0.03</v>
      </c>
      <c r="H28" s="208" t="n">
        <v>0.02</v>
      </c>
      <c r="I28" s="69">
        <f>+D28&amp;E28</f>
        <v/>
      </c>
      <c r="K28" s="30" t="n"/>
    </row>
    <row r="29">
      <c r="D29" s="2" t="n">
        <v>20</v>
      </c>
      <c r="E29" s="205" t="inlineStr">
        <is>
          <t>TVR</t>
        </is>
      </c>
      <c r="F29" s="206" t="inlineStr">
        <is>
          <t>Saten Liso Importacion</t>
        </is>
      </c>
      <c r="G29" s="208" t="n">
        <v>0.03</v>
      </c>
      <c r="H29" s="208" t="n">
        <v>0.02</v>
      </c>
      <c r="I29" s="69">
        <f>+D29&amp;E29</f>
        <v/>
      </c>
      <c r="K29" s="30" t="n"/>
    </row>
    <row r="30">
      <c r="D30" s="2" t="n">
        <v>21</v>
      </c>
      <c r="E30" s="205" t="inlineStr">
        <is>
          <t>TVR</t>
        </is>
      </c>
      <c r="F30" s="210" t="inlineStr">
        <is>
          <t>Chambery</t>
        </is>
      </c>
      <c r="G30" s="208" t="n">
        <v>0.03</v>
      </c>
      <c r="H30" s="209" t="n">
        <v>0.02</v>
      </c>
      <c r="I30" s="69">
        <f>+D30&amp;E30</f>
        <v/>
      </c>
      <c r="J30" t="inlineStr">
        <is>
          <t>ojo modificado según lavado miguel 2025</t>
        </is>
      </c>
      <c r="K30" s="30" t="n"/>
    </row>
    <row r="31">
      <c r="D31" s="2" t="n">
        <v>22</v>
      </c>
      <c r="E31" s="205" t="inlineStr">
        <is>
          <t>TVR</t>
        </is>
      </c>
      <c r="F31" s="206" t="inlineStr">
        <is>
          <t>Rabat</t>
        </is>
      </c>
      <c r="G31" s="208" t="n">
        <v>0.06</v>
      </c>
      <c r="H31" s="208" t="n">
        <v>0.04</v>
      </c>
      <c r="I31" s="69">
        <f>+D31&amp;E31</f>
        <v/>
      </c>
      <c r="K31" s="30" t="n"/>
    </row>
    <row r="32">
      <c r="D32" s="2" t="n">
        <v>23</v>
      </c>
      <c r="E32" s="205" t="inlineStr">
        <is>
          <t>ANG</t>
        </is>
      </c>
      <c r="F32" s="210" t="inlineStr">
        <is>
          <t>Lino 100% For.</t>
        </is>
      </c>
      <c r="G32" s="208" t="n">
        <v>0.067</v>
      </c>
      <c r="H32" s="208" t="n">
        <v>0.055</v>
      </c>
      <c r="I32" s="69">
        <f>+D32&amp;E32</f>
        <v/>
      </c>
    </row>
    <row r="33">
      <c r="D33" s="2" t="n">
        <v>24</v>
      </c>
      <c r="E33" s="205" t="inlineStr">
        <is>
          <t>GRT</t>
        </is>
      </c>
      <c r="F33" s="210" t="inlineStr">
        <is>
          <t>Muleton</t>
        </is>
      </c>
      <c r="G33" s="209" t="n">
        <v>0</v>
      </c>
      <c r="H33" s="209" t="n">
        <v>0</v>
      </c>
      <c r="I33" s="69">
        <f>+D33&amp;E33</f>
        <v/>
      </c>
    </row>
    <row r="34" customFormat="1" s="119">
      <c r="D34" s="117" t="n">
        <v>25</v>
      </c>
      <c r="E34" s="118" t="inlineStr">
        <is>
          <t>TVR</t>
        </is>
      </c>
      <c r="F34" s="122" t="inlineStr">
        <is>
          <t>Col. Rustico T.</t>
        </is>
      </c>
      <c r="G34" s="120" t="n">
        <v>0</v>
      </c>
      <c r="H34" s="120" t="n">
        <v>0</v>
      </c>
      <c r="I34" s="121">
        <f>+D34&amp;E34</f>
        <v/>
      </c>
    </row>
    <row r="35" customFormat="1" s="119">
      <c r="D35" s="117" t="n">
        <v>26</v>
      </c>
      <c r="E35" s="118" t="inlineStr">
        <is>
          <t>BTX</t>
        </is>
      </c>
      <c r="F35" s="119" t="inlineStr">
        <is>
          <t>Clio</t>
        </is>
      </c>
      <c r="G35" s="120" t="n">
        <v>0.02</v>
      </c>
      <c r="H35" s="120" t="n">
        <v>0.02</v>
      </c>
      <c r="I35" s="121">
        <f>+D35&amp;E35</f>
        <v/>
      </c>
    </row>
    <row r="36" customFormat="1" s="119">
      <c r="D36" s="117" t="n">
        <v>27</v>
      </c>
      <c r="E36" s="118" t="inlineStr">
        <is>
          <t>GCU</t>
        </is>
      </c>
      <c r="F36" s="122" t="inlineStr">
        <is>
          <t>Nilo Cuadro</t>
        </is>
      </c>
      <c r="G36" s="120" t="n">
        <v>0.035</v>
      </c>
      <c r="H36" s="120" t="n">
        <v>0.03</v>
      </c>
      <c r="I36" s="121">
        <f>+D36&amp;E36</f>
        <v/>
      </c>
    </row>
    <row r="37">
      <c r="D37" s="2" t="n">
        <v>28</v>
      </c>
      <c r="E37" s="39" t="inlineStr">
        <is>
          <t>YEB</t>
        </is>
      </c>
      <c r="F37" s="65" t="inlineStr">
        <is>
          <t>Fenicia</t>
        </is>
      </c>
      <c r="G37" s="67" t="n">
        <v>0.025</v>
      </c>
      <c r="H37" s="67" t="n">
        <v>0.02</v>
      </c>
      <c r="I37" s="69">
        <f>+D37&amp;E37</f>
        <v/>
      </c>
    </row>
    <row r="38">
      <c r="D38" s="2" t="n">
        <v>29</v>
      </c>
      <c r="E38" s="39" t="inlineStr">
        <is>
          <t>TVR</t>
        </is>
      </c>
      <c r="F38" s="65" t="inlineStr">
        <is>
          <t>Mahon</t>
        </is>
      </c>
      <c r="G38" s="67" t="n">
        <v>0.02</v>
      </c>
      <c r="H38" s="67" t="n">
        <v>0.02</v>
      </c>
      <c r="I38" s="69">
        <f>+D38&amp;E38</f>
        <v/>
      </c>
    </row>
    <row r="39">
      <c r="D39" s="2" t="n">
        <v>30</v>
      </c>
      <c r="E39" s="39" t="inlineStr">
        <is>
          <t>BTX</t>
        </is>
      </c>
      <c r="F39" s="65" t="inlineStr">
        <is>
          <t>Gouble</t>
        </is>
      </c>
      <c r="G39" s="67" t="n">
        <v>0.02</v>
      </c>
      <c r="H39" s="67" t="n">
        <v>0.02</v>
      </c>
      <c r="I39" s="69">
        <f>+D39&amp;E39</f>
        <v/>
      </c>
    </row>
    <row r="40">
      <c r="D40" s="2" t="n">
        <v>31</v>
      </c>
      <c r="E40" s="39" t="inlineStr">
        <is>
          <t>BTX</t>
        </is>
      </c>
      <c r="F40" s="28" t="inlineStr">
        <is>
          <t>Trivial</t>
        </is>
      </c>
      <c r="G40" s="67" t="n">
        <v>0.02</v>
      </c>
      <c r="H40" s="67" t="n">
        <v>0.02</v>
      </c>
      <c r="I40" s="69">
        <f>+D40&amp;E40</f>
        <v/>
      </c>
    </row>
    <row r="41">
      <c r="D41" s="2" t="n">
        <v>32</v>
      </c>
      <c r="E41" s="39" t="inlineStr">
        <is>
          <t>GCU</t>
        </is>
      </c>
      <c r="F41" s="114" t="inlineStr">
        <is>
          <t>Resite Antimanchas</t>
        </is>
      </c>
      <c r="G41" s="67" t="n">
        <v>0</v>
      </c>
      <c r="H41" s="67" t="n">
        <v>0</v>
      </c>
      <c r="I41" s="69">
        <f>+D41&amp;E41</f>
        <v/>
      </c>
    </row>
    <row r="42">
      <c r="D42" s="2" t="n">
        <v>33</v>
      </c>
      <c r="E42" s="39" t="inlineStr">
        <is>
          <t>TVR</t>
        </is>
      </c>
      <c r="F42" s="65" t="inlineStr">
        <is>
          <t>Saten Antimanchas</t>
        </is>
      </c>
      <c r="G42" s="67" t="n">
        <v>0.01</v>
      </c>
      <c r="H42" s="67" t="n">
        <v>0.01</v>
      </c>
      <c r="I42" s="69">
        <f>+D42&amp;E42</f>
        <v/>
      </c>
    </row>
    <row r="43">
      <c r="D43" s="2" t="n">
        <v>34</v>
      </c>
      <c r="E43" s="39" t="inlineStr">
        <is>
          <t>BTX</t>
        </is>
      </c>
      <c r="F43" s="65" t="inlineStr">
        <is>
          <t>Trivial</t>
        </is>
      </c>
      <c r="G43" s="67" t="n">
        <v>0.03</v>
      </c>
      <c r="H43" s="67" t="n">
        <v>0.05</v>
      </c>
      <c r="I43" s="69">
        <f>+D43&amp;E43</f>
        <v/>
      </c>
    </row>
    <row r="44">
      <c r="D44" s="2" t="n">
        <v>35</v>
      </c>
      <c r="E44" s="39" t="inlineStr">
        <is>
          <t>RMA</t>
        </is>
      </c>
      <c r="F44" s="65" t="inlineStr">
        <is>
          <t>Rustico</t>
        </is>
      </c>
      <c r="G44" s="67" t="n">
        <v>0</v>
      </c>
      <c r="H44" s="67" t="n">
        <v>0</v>
      </c>
      <c r="I44" s="69">
        <f>+D44&amp;E44</f>
        <v/>
      </c>
    </row>
    <row r="45">
      <c r="D45" s="2" t="n">
        <v>36</v>
      </c>
      <c r="E45" s="39" t="inlineStr">
        <is>
          <t>GCU</t>
        </is>
      </c>
      <c r="F45" s="28" t="inlineStr">
        <is>
          <t>Saten Liso Poliester H</t>
        </is>
      </c>
      <c r="G45" s="30" t="n">
        <v>0</v>
      </c>
      <c r="H45" s="30" t="n">
        <v>0</v>
      </c>
      <c r="I45" s="69">
        <f>+D45&amp;E45</f>
        <v/>
      </c>
    </row>
    <row r="46">
      <c r="D46" s="2" t="n">
        <v>37</v>
      </c>
      <c r="E46" s="39" t="inlineStr">
        <is>
          <t>BTX</t>
        </is>
      </c>
      <c r="F46" s="28" t="inlineStr">
        <is>
          <t>Gouble M</t>
        </is>
      </c>
      <c r="G46" s="30" t="n">
        <v>0.02</v>
      </c>
      <c r="H46" s="30" t="n">
        <v>0.02</v>
      </c>
      <c r="I46" s="69">
        <f>+D46&amp;E46</f>
        <v/>
      </c>
    </row>
    <row r="47">
      <c r="D47" s="2" t="n">
        <v>38</v>
      </c>
      <c r="E47" s="39" t="inlineStr">
        <is>
          <t>TVR</t>
        </is>
      </c>
      <c r="F47" s="114" t="inlineStr">
        <is>
          <t>Saten I 50/50</t>
        </is>
      </c>
      <c r="G47" s="67" t="n">
        <v>0.03</v>
      </c>
      <c r="H47" s="67" t="n">
        <v>0.05</v>
      </c>
      <c r="I47" s="69">
        <f>+D47&amp;E47</f>
        <v/>
      </c>
    </row>
    <row r="48">
      <c r="D48" s="2" t="n">
        <v>39</v>
      </c>
      <c r="E48" s="39" t="inlineStr">
        <is>
          <t>TVR</t>
        </is>
      </c>
      <c r="F48" s="114" t="inlineStr">
        <is>
          <t>Milano Pol.100</t>
        </is>
      </c>
      <c r="G48" s="67" t="n">
        <v>0</v>
      </c>
      <c r="H48" s="67" t="n">
        <v>0</v>
      </c>
      <c r="I48" s="69">
        <f>+D48&amp;E48</f>
        <v/>
      </c>
    </row>
    <row r="49">
      <c r="D49" s="2" t="n">
        <v>40</v>
      </c>
      <c r="E49" s="39" t="inlineStr">
        <is>
          <t>TVR</t>
        </is>
      </c>
      <c r="F49" s="65" t="inlineStr">
        <is>
          <t>Saten I 65/35</t>
        </is>
      </c>
      <c r="G49" s="67" t="n">
        <v>0.015</v>
      </c>
      <c r="H49" s="67" t="n">
        <v>0.03</v>
      </c>
      <c r="I49" s="69">
        <f>+D49&amp;E49</f>
        <v/>
      </c>
    </row>
    <row r="50" customFormat="1" s="114">
      <c r="D50" s="124" t="n">
        <v>41</v>
      </c>
      <c r="E50" s="125" t="inlineStr">
        <is>
          <t>YEB</t>
        </is>
      </c>
      <c r="F50" s="115" t="inlineStr">
        <is>
          <t>Loneta Prisma</t>
        </is>
      </c>
      <c r="G50" s="126" t="n">
        <v>0.03</v>
      </c>
      <c r="H50" s="126" t="n">
        <v>0.015</v>
      </c>
      <c r="I50" s="127">
        <f>+D50&amp;E50</f>
        <v/>
      </c>
    </row>
    <row r="51">
      <c r="D51" s="2" t="n">
        <v>42</v>
      </c>
      <c r="E51" s="39" t="inlineStr">
        <is>
          <t>TVR</t>
        </is>
      </c>
      <c r="F51" s="28" t="inlineStr">
        <is>
          <t>Santorini</t>
        </is>
      </c>
      <c r="G51" s="30" t="n">
        <v>0.01</v>
      </c>
      <c r="H51" s="30" t="n">
        <v>0.01</v>
      </c>
      <c r="I51" s="69">
        <f>+D51&amp;E51</f>
        <v/>
      </c>
    </row>
    <row r="52">
      <c r="D52" s="2" t="n">
        <v>43</v>
      </c>
      <c r="E52" s="39" t="inlineStr">
        <is>
          <t>COM</t>
        </is>
      </c>
      <c r="F52" s="114" t="inlineStr">
        <is>
          <t>Aeris</t>
        </is>
      </c>
      <c r="G52" s="67" t="n"/>
      <c r="H52" s="67" t="n"/>
      <c r="I52" s="69">
        <f>+D52&amp;E52</f>
        <v/>
      </c>
    </row>
    <row r="53">
      <c r="D53" s="2" t="n">
        <v>44</v>
      </c>
      <c r="E53" s="39" t="inlineStr">
        <is>
          <t>GRT</t>
        </is>
      </c>
      <c r="F53" s="114" t="inlineStr">
        <is>
          <t>Recy Linen</t>
        </is>
      </c>
      <c r="G53" s="67" t="n">
        <v>0.055</v>
      </c>
      <c r="H53" s="67" t="n">
        <v>0.035</v>
      </c>
      <c r="I53" s="69">
        <f>+D53&amp;E53</f>
        <v/>
      </c>
      <c r="J53" t="n">
        <v>2024</v>
      </c>
    </row>
    <row r="54">
      <c r="D54" s="2" t="n">
        <v>45</v>
      </c>
      <c r="E54" s="39" t="inlineStr">
        <is>
          <t>YEB</t>
        </is>
      </c>
      <c r="F54" s="65" t="inlineStr">
        <is>
          <t>Bellini</t>
        </is>
      </c>
      <c r="G54" s="67" t="n">
        <v>0</v>
      </c>
      <c r="H54" s="67" t="n">
        <v>0</v>
      </c>
      <c r="I54" s="69">
        <f>+D54&amp;E54</f>
        <v/>
      </c>
    </row>
    <row r="55">
      <c r="D55" s="2" t="n">
        <v>46</v>
      </c>
      <c r="E55" s="39" t="inlineStr">
        <is>
          <t>RMA</t>
        </is>
      </c>
      <c r="F55" s="28" t="inlineStr">
        <is>
          <t>Ninfa</t>
        </is>
      </c>
      <c r="G55" s="30" t="n">
        <v>0</v>
      </c>
      <c r="H55" s="30" t="n">
        <v>0</v>
      </c>
      <c r="I55" s="69">
        <f>+D55&amp;E55</f>
        <v/>
      </c>
    </row>
    <row r="56">
      <c r="D56" s="2" t="n">
        <v>47</v>
      </c>
      <c r="E56" s="39" t="inlineStr">
        <is>
          <t>GCU</t>
        </is>
      </c>
      <c r="F56" s="65" t="inlineStr">
        <is>
          <t>Saten Algodon</t>
        </is>
      </c>
      <c r="G56" s="67" t="n">
        <v>0.055</v>
      </c>
      <c r="H56" s="67" t="n">
        <v>0.035</v>
      </c>
      <c r="I56" s="69">
        <f>+D56&amp;E56</f>
        <v/>
      </c>
    </row>
    <row r="57">
      <c r="D57" s="2" t="n">
        <v>48</v>
      </c>
      <c r="E57" s="39" t="inlineStr">
        <is>
          <t>YEB</t>
        </is>
      </c>
      <c r="F57" s="28" t="inlineStr">
        <is>
          <t>Lido</t>
        </is>
      </c>
      <c r="G57" s="30" t="n">
        <v>0.02</v>
      </c>
      <c r="H57" s="30" t="n">
        <v>0.02</v>
      </c>
      <c r="I57" s="69">
        <f>+D57&amp;E57</f>
        <v/>
      </c>
    </row>
    <row r="58">
      <c r="D58" s="2" t="n">
        <v>49</v>
      </c>
      <c r="E58" s="39" t="inlineStr">
        <is>
          <t>MRV</t>
        </is>
      </c>
      <c r="F58" s="28" t="inlineStr">
        <is>
          <t>Baroja</t>
        </is>
      </c>
      <c r="G58" s="30" t="n">
        <v>0</v>
      </c>
      <c r="H58" s="30" t="n">
        <v>0</v>
      </c>
      <c r="I58" s="69">
        <f>+D58&amp;E58</f>
        <v/>
      </c>
    </row>
    <row r="59">
      <c r="D59" s="2" t="n">
        <v>50</v>
      </c>
      <c r="E59" s="39" t="n"/>
      <c r="F59" s="28" t="n"/>
      <c r="G59" s="30" t="n"/>
      <c r="H59" s="30" t="n"/>
      <c r="I59" s="69">
        <f>+D59&amp;E59</f>
        <v/>
      </c>
    </row>
    <row r="60">
      <c r="D60" s="2" t="n">
        <v>51</v>
      </c>
      <c r="E60" s="39" t="n"/>
      <c r="F60" s="28" t="n"/>
      <c r="G60" s="30" t="n"/>
      <c r="H60" s="30" t="n"/>
      <c r="I60" s="69">
        <f>+D60&amp;E60</f>
        <v/>
      </c>
    </row>
    <row r="61">
      <c r="D61" s="2" t="n">
        <v>52</v>
      </c>
      <c r="E61" s="39" t="n"/>
      <c r="F61" s="28" t="n"/>
      <c r="G61" s="30" t="n"/>
      <c r="H61" s="30" t="n"/>
      <c r="I61" s="69">
        <f>+D61&amp;E61</f>
        <v/>
      </c>
    </row>
    <row r="62">
      <c r="D62" s="2" t="n">
        <v>53</v>
      </c>
      <c r="E62" s="39" t="n"/>
      <c r="F62" s="28" t="n"/>
      <c r="G62" s="30" t="n"/>
      <c r="H62" s="30" t="n"/>
      <c r="I62" s="69">
        <f>+D62&amp;E62</f>
        <v/>
      </c>
    </row>
    <row r="63">
      <c r="D63" s="2" t="n">
        <v>54</v>
      </c>
      <c r="E63" s="39" t="n"/>
      <c r="F63" s="28" t="n"/>
      <c r="G63" s="30" t="n"/>
      <c r="H63" s="30" t="n"/>
      <c r="I63" s="69">
        <f>+D63&amp;E63</f>
        <v/>
      </c>
    </row>
    <row r="64">
      <c r="D64" s="2" t="n">
        <v>55</v>
      </c>
      <c r="E64" s="39" t="n"/>
      <c r="F64" s="28" t="n"/>
      <c r="G64" s="30" t="n"/>
      <c r="H64" s="30" t="n"/>
      <c r="I64" s="69">
        <f>+D64&amp;E64</f>
        <v/>
      </c>
    </row>
    <row r="65">
      <c r="D65" s="2" t="n">
        <v>56</v>
      </c>
      <c r="E65" s="39" t="n"/>
      <c r="F65" s="28" t="n"/>
      <c r="G65" s="30" t="n"/>
      <c r="H65" s="30" t="n"/>
      <c r="I65" s="69">
        <f>+D65&amp;E65</f>
        <v/>
      </c>
    </row>
    <row r="66">
      <c r="D66" s="2" t="n">
        <v>57</v>
      </c>
      <c r="E66" s="39" t="n"/>
      <c r="F66" s="198" t="n"/>
      <c r="G66" s="67" t="n"/>
      <c r="H66" s="67" t="n"/>
      <c r="I66" s="69">
        <f>+D66&amp;E66</f>
        <v/>
      </c>
      <c r="K66" s="128" t="n"/>
      <c r="L66" s="128" t="n"/>
    </row>
    <row r="67">
      <c r="D67" s="2" t="n">
        <v>58</v>
      </c>
      <c r="E67" s="39" t="n"/>
      <c r="F67" s="115" t="n"/>
      <c r="G67" s="30" t="n"/>
      <c r="H67" s="30" t="n"/>
      <c r="I67" s="69">
        <f>+D67&amp;E67</f>
        <v/>
      </c>
    </row>
    <row r="68">
      <c r="D68" s="2" t="n">
        <v>59</v>
      </c>
      <c r="E68" s="39" t="n"/>
      <c r="F68" s="28" t="n"/>
      <c r="G68" s="30" t="n"/>
      <c r="H68" s="30" t="n"/>
      <c r="I68" s="69">
        <f>+D68&amp;E68</f>
        <v/>
      </c>
    </row>
    <row r="69">
      <c r="D69" s="2" t="n">
        <v>60</v>
      </c>
      <c r="E69" s="39" t="n"/>
      <c r="F69" s="28" t="n"/>
      <c r="G69" s="30" t="n"/>
      <c r="H69" s="30" t="n"/>
      <c r="I69" s="69">
        <f>+D69&amp;E69</f>
        <v/>
      </c>
    </row>
    <row r="70">
      <c r="D70" s="2" t="n">
        <v>61</v>
      </c>
      <c r="E70" s="39" t="n"/>
      <c r="F70" s="28" t="n"/>
      <c r="G70" s="30" t="n"/>
      <c r="H70" s="30" t="n"/>
      <c r="I70" s="69">
        <f>+D70&amp;E70</f>
        <v/>
      </c>
    </row>
    <row r="71">
      <c r="D71" s="2" t="n">
        <v>62</v>
      </c>
      <c r="E71" s="39" t="n"/>
      <c r="F71" s="28" t="n"/>
      <c r="G71" s="30" t="n"/>
      <c r="H71" s="30" t="n"/>
      <c r="I71" s="69">
        <f>+D71&amp;E71</f>
        <v/>
      </c>
    </row>
    <row r="72">
      <c r="D72" s="2" t="n">
        <v>63</v>
      </c>
      <c r="E72" s="39" t="n"/>
      <c r="F72" s="28" t="n"/>
      <c r="G72" s="30" t="n"/>
      <c r="H72" s="30" t="n"/>
      <c r="I72" s="69">
        <f>+D72&amp;E72</f>
        <v/>
      </c>
    </row>
    <row r="73">
      <c r="D73" s="2" t="n">
        <v>64</v>
      </c>
      <c r="E73" s="39" t="n"/>
      <c r="F73" s="28" t="n"/>
      <c r="G73" s="30" t="n"/>
      <c r="H73" s="30" t="n"/>
      <c r="I73" s="69">
        <f>+D73&amp;E73</f>
        <v/>
      </c>
    </row>
    <row r="74">
      <c r="D74" s="2" t="n">
        <v>65</v>
      </c>
      <c r="E74" s="39" t="n"/>
      <c r="F74" s="28" t="n"/>
      <c r="G74" s="30" t="n"/>
      <c r="H74" s="30" t="n"/>
      <c r="I74" s="69">
        <f>+D74&amp;E74</f>
        <v/>
      </c>
    </row>
    <row r="75">
      <c r="D75" s="2" t="n">
        <v>66</v>
      </c>
      <c r="E75" s="39" t="n"/>
      <c r="F75" s="115" t="n"/>
      <c r="G75" s="30" t="n"/>
      <c r="H75" s="30" t="n"/>
      <c r="I75" s="69">
        <f>+D75&amp;E75</f>
        <v/>
      </c>
    </row>
    <row r="76">
      <c r="D76" s="2" t="n">
        <v>67</v>
      </c>
      <c r="E76" s="39" t="n"/>
      <c r="F76" s="28" t="n"/>
      <c r="G76" s="30" t="n"/>
      <c r="H76" s="30" t="n"/>
      <c r="I76" s="69">
        <f>+D76&amp;E76</f>
        <v/>
      </c>
    </row>
    <row r="77">
      <c r="D77" s="2" t="n">
        <v>68</v>
      </c>
      <c r="E77" s="39" t="n"/>
      <c r="F77" s="28" t="n"/>
      <c r="G77" s="30" t="n"/>
      <c r="H77" s="30" t="n"/>
      <c r="I77" s="69">
        <f>+D77&amp;E77</f>
        <v/>
      </c>
    </row>
    <row r="78">
      <c r="D78" s="2" t="n">
        <v>69</v>
      </c>
      <c r="E78" s="39" t="n"/>
      <c r="F78" s="28" t="n"/>
      <c r="G78" s="30" t="n"/>
      <c r="H78" s="30" t="n"/>
      <c r="I78" s="69">
        <f>+D78&amp;E78</f>
        <v/>
      </c>
    </row>
    <row r="79">
      <c r="D79" s="2" t="n">
        <v>70</v>
      </c>
      <c r="E79" s="39" t="n"/>
      <c r="F79" s="28" t="n"/>
      <c r="G79" s="30" t="n"/>
      <c r="H79" s="30" t="n"/>
      <c r="I79" s="69">
        <f>+D79&amp;E79</f>
        <v/>
      </c>
    </row>
    <row r="80">
      <c r="D80" s="2" t="n">
        <v>71</v>
      </c>
      <c r="E80" s="39" t="n"/>
      <c r="F80" s="115" t="n"/>
      <c r="G80" s="30" t="n"/>
      <c r="H80" s="30" t="n"/>
      <c r="I80" s="69">
        <f>+D80&amp;E80</f>
        <v/>
      </c>
    </row>
    <row r="81">
      <c r="D81" s="2" t="n">
        <v>72</v>
      </c>
      <c r="E81" s="39" t="n"/>
      <c r="F81" s="28" t="n"/>
      <c r="G81" s="30" t="n"/>
      <c r="H81" s="30" t="n"/>
      <c r="I81" s="69">
        <f>+D81&amp;E81</f>
        <v/>
      </c>
    </row>
    <row r="82">
      <c r="D82" s="2" t="n">
        <v>73</v>
      </c>
      <c r="E82" s="39" t="n"/>
      <c r="F82" s="28" t="n"/>
      <c r="G82" s="30" t="n"/>
      <c r="H82" s="30" t="n"/>
      <c r="I82" s="69">
        <f>+D82&amp;E82</f>
        <v/>
      </c>
    </row>
    <row r="83">
      <c r="D83" s="2" t="n">
        <v>74</v>
      </c>
      <c r="E83" s="39" t="n"/>
      <c r="F83" s="28" t="n"/>
      <c r="G83" s="30" t="n"/>
      <c r="H83" s="30" t="n"/>
      <c r="I83" s="69">
        <f>+D83&amp;E83</f>
        <v/>
      </c>
      <c r="J83" s="146" t="n"/>
    </row>
    <row r="84">
      <c r="D84" s="2" t="n">
        <v>75</v>
      </c>
      <c r="E84" s="39" t="n"/>
      <c r="F84" s="28" t="n"/>
      <c r="G84" s="30" t="n"/>
      <c r="H84" s="30" t="n"/>
      <c r="I84" s="69">
        <f>+D84&amp;E84</f>
        <v/>
      </c>
    </row>
    <row r="85">
      <c r="D85" s="2" t="n">
        <v>76</v>
      </c>
      <c r="E85" s="39" t="n"/>
      <c r="F85" s="28" t="n"/>
      <c r="G85" s="30" t="n"/>
      <c r="H85" s="30" t="n"/>
      <c r="I85" s="69">
        <f>+D85&amp;E85</f>
        <v/>
      </c>
    </row>
    <row r="86">
      <c r="D86" s="2" t="n">
        <v>77</v>
      </c>
      <c r="E86" s="39" t="n"/>
      <c r="F86" s="28" t="n"/>
      <c r="G86" s="30" t="n"/>
      <c r="H86" s="30" t="n"/>
      <c r="I86" s="69">
        <f>+D86&amp;E86</f>
        <v/>
      </c>
    </row>
    <row r="87">
      <c r="D87" s="2" t="n">
        <v>78</v>
      </c>
      <c r="E87" s="39" t="n"/>
      <c r="F87" s="28" t="n"/>
      <c r="G87" s="30" t="n"/>
      <c r="H87" s="30" t="n"/>
      <c r="I87" s="69">
        <f>+D87&amp;E87</f>
        <v/>
      </c>
    </row>
    <row r="88">
      <c r="D88" s="2" t="n">
        <v>79</v>
      </c>
      <c r="E88" s="39" t="n"/>
      <c r="F88" s="28" t="n"/>
      <c r="G88" s="30" t="n"/>
      <c r="H88" s="30" t="n"/>
      <c r="I88" s="69">
        <f>+D88&amp;E88</f>
        <v/>
      </c>
    </row>
    <row r="89">
      <c r="D89" s="2" t="n">
        <v>80</v>
      </c>
      <c r="E89" s="39" t="n"/>
      <c r="F89" s="28" t="n"/>
      <c r="G89" s="30" t="n"/>
      <c r="H89" s="30" t="n"/>
      <c r="I89" s="69">
        <f>+D89&amp;E89</f>
        <v/>
      </c>
    </row>
    <row r="90">
      <c r="D90" s="2" t="n">
        <v>81</v>
      </c>
      <c r="E90" s="39" t="n"/>
      <c r="F90" s="28" t="n"/>
      <c r="G90" s="30" t="n"/>
      <c r="H90" s="30" t="n"/>
      <c r="I90" s="69">
        <f>+D90&amp;E90</f>
        <v/>
      </c>
    </row>
    <row r="91">
      <c r="D91" s="2" t="n">
        <v>82</v>
      </c>
      <c r="E91" s="39" t="n"/>
      <c r="F91" s="28" t="n"/>
      <c r="G91" s="30" t="n"/>
      <c r="H91" s="30" t="n"/>
      <c r="I91" s="69">
        <f>+D91&amp;E91</f>
        <v/>
      </c>
    </row>
    <row r="92">
      <c r="D92" s="2" t="n">
        <v>83</v>
      </c>
      <c r="E92" s="39" t="n"/>
      <c r="F92" s="28" t="n"/>
      <c r="G92" s="30" t="n"/>
      <c r="H92" s="30" t="n"/>
      <c r="I92" s="69">
        <f>+D92&amp;E92</f>
        <v/>
      </c>
    </row>
    <row r="93">
      <c r="D93" s="2" t="n">
        <v>84</v>
      </c>
      <c r="E93" s="39" t="n"/>
      <c r="F93" s="28" t="n"/>
      <c r="G93" s="30" t="n"/>
      <c r="H93" s="30" t="n"/>
      <c r="I93" s="69">
        <f>+D93&amp;E93</f>
        <v/>
      </c>
    </row>
    <row r="94">
      <c r="D94" s="2" t="n">
        <v>85</v>
      </c>
      <c r="E94" s="39" t="n"/>
      <c r="F94" s="28" t="n"/>
      <c r="G94" s="30" t="n"/>
      <c r="H94" s="30" t="n"/>
      <c r="I94" s="69">
        <f>+D94&amp;E94</f>
        <v/>
      </c>
    </row>
    <row r="95">
      <c r="D95" s="2" t="n">
        <v>86</v>
      </c>
      <c r="E95" s="39" t="n"/>
      <c r="F95" s="28" t="n"/>
      <c r="G95" s="30" t="n"/>
      <c r="H95" s="30" t="n"/>
      <c r="I95" s="69">
        <f>+D95&amp;E95</f>
        <v/>
      </c>
    </row>
    <row r="96">
      <c r="D96" s="2" t="n">
        <v>87</v>
      </c>
      <c r="E96" s="39" t="n"/>
      <c r="F96" s="28" t="n"/>
      <c r="G96" s="30" t="n"/>
      <c r="H96" s="30" t="n"/>
      <c r="I96" s="69">
        <f>+D96&amp;E96</f>
        <v/>
      </c>
    </row>
    <row r="97">
      <c r="D97" s="2" t="n">
        <v>88</v>
      </c>
      <c r="E97" s="39" t="n"/>
      <c r="F97" s="28" t="n"/>
      <c r="G97" s="30" t="n"/>
      <c r="H97" s="30" t="n"/>
      <c r="I97" s="69">
        <f>+D97&amp;E97</f>
        <v/>
      </c>
    </row>
    <row r="98">
      <c r="D98" s="2" t="n">
        <v>89</v>
      </c>
      <c r="E98" s="39" t="n"/>
      <c r="F98" s="28" t="n"/>
      <c r="G98" s="30" t="n"/>
      <c r="H98" s="30" t="n"/>
      <c r="I98" s="69">
        <f>+D98&amp;E98</f>
        <v/>
      </c>
    </row>
    <row r="99">
      <c r="D99" s="2" t="n">
        <v>90</v>
      </c>
      <c r="E99" s="39" t="n"/>
      <c r="F99" s="28" t="n"/>
      <c r="G99" s="30" t="n"/>
      <c r="H99" s="30" t="n"/>
      <c r="I99" s="69">
        <f>+D99&amp;E99</f>
        <v/>
      </c>
    </row>
    <row r="100">
      <c r="D100" s="2" t="n">
        <v>91</v>
      </c>
      <c r="E100" s="39" t="n"/>
      <c r="F100" s="28" t="n"/>
      <c r="G100" s="30" t="n"/>
      <c r="H100" s="30" t="n"/>
      <c r="I100" s="69">
        <f>+D100&amp;E100</f>
        <v/>
      </c>
    </row>
    <row r="101">
      <c r="D101" s="2" t="n">
        <v>92</v>
      </c>
      <c r="E101" s="39" t="n"/>
      <c r="F101" s="28" t="n"/>
      <c r="G101" s="30" t="n"/>
      <c r="H101" s="30" t="n"/>
      <c r="I101" s="69">
        <f>+D101&amp;E101</f>
        <v/>
      </c>
    </row>
    <row r="102">
      <c r="D102" s="2" t="n">
        <v>93</v>
      </c>
      <c r="E102" s="39" t="n"/>
      <c r="F102" s="28" t="n"/>
      <c r="G102" s="30" t="n"/>
      <c r="H102" s="30" t="n"/>
      <c r="I102" s="69">
        <f>+D102&amp;E102</f>
        <v/>
      </c>
    </row>
    <row r="103">
      <c r="D103" s="2" t="n">
        <v>94</v>
      </c>
      <c r="E103" s="39" t="n"/>
      <c r="F103" s="28" t="n"/>
      <c r="G103" s="30" t="n"/>
      <c r="H103" s="30" t="n"/>
      <c r="I103" s="69">
        <f>+D103&amp;E103</f>
        <v/>
      </c>
    </row>
    <row r="104">
      <c r="B104" s="102" t="n"/>
      <c r="D104" s="2" t="n">
        <v>95</v>
      </c>
      <c r="E104" s="39" t="n"/>
      <c r="F104" s="28" t="n"/>
      <c r="G104" s="30" t="n"/>
      <c r="H104" s="30" t="n"/>
      <c r="I104" s="69">
        <f>+D104&amp;E104</f>
        <v/>
      </c>
    </row>
    <row r="105">
      <c r="D105" s="2" t="n">
        <v>96</v>
      </c>
      <c r="E105" s="39" t="n"/>
      <c r="F105" s="28" t="n"/>
      <c r="G105" s="30" t="n"/>
      <c r="H105" s="30" t="n"/>
      <c r="I105" s="69">
        <f>+D105&amp;E105</f>
        <v/>
      </c>
    </row>
    <row r="106">
      <c r="D106" s="2" t="n">
        <v>97</v>
      </c>
      <c r="E106" s="39" t="n"/>
      <c r="F106" s="28" t="n"/>
      <c r="G106" s="30" t="n"/>
      <c r="H106" s="30" t="n"/>
      <c r="I106" s="69">
        <f>+D106&amp;E106</f>
        <v/>
      </c>
    </row>
    <row r="107">
      <c r="D107" s="2" t="n">
        <v>98</v>
      </c>
      <c r="E107" s="39" t="n"/>
      <c r="F107" s="28" t="n"/>
      <c r="G107" s="30" t="n"/>
      <c r="H107" s="30" t="n"/>
      <c r="I107" s="69">
        <f>+D107&amp;E107</f>
        <v/>
      </c>
    </row>
    <row r="108">
      <c r="D108" s="2" t="n">
        <v>99</v>
      </c>
      <c r="E108" s="39" t="n"/>
      <c r="F108" s="28" t="n"/>
      <c r="G108" s="30" t="n"/>
      <c r="H108" s="30" t="n"/>
      <c r="I108" s="69">
        <f>+D108&amp;E108</f>
        <v/>
      </c>
    </row>
    <row r="109">
      <c r="D109" s="2" t="n">
        <v>100</v>
      </c>
      <c r="E109" s="39" t="n"/>
      <c r="F109" s="28" t="n"/>
      <c r="G109" s="30" t="n"/>
      <c r="H109" s="30" t="n"/>
      <c r="I109" s="69">
        <f>+D109&amp;E109</f>
        <v/>
      </c>
    </row>
    <row r="110">
      <c r="D110" s="2" t="n">
        <v>101</v>
      </c>
      <c r="E110" s="39" t="n"/>
      <c r="F110" s="28" t="n"/>
      <c r="G110" s="30" t="n"/>
      <c r="H110" s="30" t="n"/>
      <c r="I110" s="69">
        <f>+D110&amp;E110</f>
        <v/>
      </c>
    </row>
    <row r="111">
      <c r="D111" s="2" t="n">
        <v>102</v>
      </c>
      <c r="E111" s="39" t="n"/>
      <c r="F111" s="28" t="n"/>
      <c r="G111" s="30" t="n"/>
      <c r="H111" s="30" t="n"/>
      <c r="I111" s="69">
        <f>+D111&amp;E111</f>
        <v/>
      </c>
    </row>
    <row r="112">
      <c r="D112" s="2" t="n">
        <v>103</v>
      </c>
      <c r="E112" s="39" t="n"/>
      <c r="F112" s="28" t="n"/>
      <c r="G112" s="30" t="n"/>
      <c r="H112" s="30" t="n"/>
      <c r="I112" s="69">
        <f>+D112&amp;E112</f>
        <v/>
      </c>
    </row>
    <row r="113">
      <c r="D113" s="2" t="n">
        <v>104</v>
      </c>
      <c r="E113" s="39" t="n"/>
      <c r="F113" s="115" t="n"/>
      <c r="G113" s="30" t="n"/>
      <c r="H113" s="30" t="n"/>
      <c r="I113" s="69">
        <f>+D113&amp;E113</f>
        <v/>
      </c>
    </row>
    <row r="114">
      <c r="D114" s="2" t="n">
        <v>105</v>
      </c>
      <c r="E114" s="39" t="n"/>
      <c r="F114" s="28" t="n"/>
      <c r="G114" s="30" t="n"/>
      <c r="H114" s="30" t="n"/>
      <c r="I114" s="69">
        <f>+D114&amp;E114</f>
        <v/>
      </c>
    </row>
    <row r="115">
      <c r="D115" s="2" t="n">
        <v>106</v>
      </c>
      <c r="E115" s="39" t="n"/>
      <c r="F115" s="28" t="n"/>
      <c r="G115" s="30" t="n"/>
      <c r="H115" s="30" t="n"/>
      <c r="I115" s="69">
        <f>+D115&amp;E115</f>
        <v/>
      </c>
    </row>
    <row r="116">
      <c r="D116" s="2" t="n">
        <v>107</v>
      </c>
      <c r="E116" s="39" t="n"/>
      <c r="F116" s="28" t="n"/>
      <c r="G116" s="30" t="n"/>
      <c r="H116" s="30" t="n"/>
      <c r="I116" s="69">
        <f>+D116&amp;E116</f>
        <v/>
      </c>
    </row>
    <row r="117">
      <c r="D117" s="2" t="n">
        <v>108</v>
      </c>
      <c r="E117" s="39" t="n"/>
      <c r="F117" s="28" t="n"/>
      <c r="G117" s="30" t="n"/>
      <c r="H117" s="30" t="n"/>
      <c r="I117" s="69">
        <f>+D117&amp;E117</f>
        <v/>
      </c>
    </row>
    <row r="118">
      <c r="D118" s="2" t="n">
        <v>109</v>
      </c>
      <c r="E118" s="39" t="n"/>
      <c r="F118" s="28" t="n"/>
      <c r="G118" s="30" t="n"/>
      <c r="H118" s="30" t="n"/>
      <c r="I118" s="69">
        <f>+D118&amp;E118</f>
        <v/>
      </c>
    </row>
    <row r="119">
      <c r="D119" s="2" t="n">
        <v>110</v>
      </c>
      <c r="E119" s="39" t="n"/>
      <c r="F119" s="28" t="n"/>
      <c r="G119" s="30" t="n"/>
      <c r="H119" s="30" t="n"/>
      <c r="I119" s="69">
        <f>+D119&amp;E119</f>
        <v/>
      </c>
    </row>
    <row r="120">
      <c r="D120" s="2" t="n">
        <v>111</v>
      </c>
      <c r="E120" s="39" t="n"/>
      <c r="F120" s="28" t="n"/>
      <c r="G120" s="30" t="n"/>
      <c r="H120" s="30" t="n"/>
      <c r="I120" s="69">
        <f>+D120&amp;E120</f>
        <v/>
      </c>
    </row>
    <row r="121">
      <c r="D121" s="2" t="n">
        <v>112</v>
      </c>
      <c r="E121" s="39" t="n"/>
      <c r="F121" s="28" t="n"/>
      <c r="G121" s="30" t="n"/>
      <c r="H121" s="30" t="n"/>
      <c r="I121" s="69">
        <f>+D121&amp;E121</f>
        <v/>
      </c>
    </row>
    <row r="122">
      <c r="D122" s="2" t="n">
        <v>113</v>
      </c>
      <c r="E122" s="39" t="n"/>
      <c r="F122" s="28" t="n"/>
      <c r="G122" s="30" t="n"/>
      <c r="H122" s="30" t="n"/>
      <c r="I122" s="69">
        <f>+D122&amp;E122</f>
        <v/>
      </c>
    </row>
    <row r="123">
      <c r="D123" s="2" t="n">
        <v>114</v>
      </c>
      <c r="E123" s="39" t="n"/>
      <c r="F123" s="28" t="n"/>
      <c r="G123" s="30" t="n"/>
      <c r="H123" s="30" t="n"/>
      <c r="I123" s="69">
        <f>+D123&amp;E123</f>
        <v/>
      </c>
    </row>
    <row r="124">
      <c r="D124" s="2" t="n">
        <v>115</v>
      </c>
      <c r="E124" s="39" t="n"/>
      <c r="F124" s="28" t="n"/>
      <c r="G124" s="30" t="n"/>
      <c r="H124" s="30" t="n"/>
      <c r="I124" s="69">
        <f>+D124&amp;E124</f>
        <v/>
      </c>
    </row>
    <row r="125">
      <c r="D125" s="2" t="n">
        <v>116</v>
      </c>
      <c r="E125" s="39" t="n"/>
      <c r="F125" s="28" t="n"/>
      <c r="G125" s="30" t="n"/>
      <c r="H125" s="30" t="n"/>
      <c r="I125" s="69">
        <f>+D125&amp;E125</f>
        <v/>
      </c>
    </row>
    <row r="126">
      <c r="D126" s="2" t="n">
        <v>117</v>
      </c>
      <c r="E126" s="39" t="n"/>
      <c r="F126" s="28" t="n"/>
      <c r="G126" s="30" t="n"/>
      <c r="H126" s="30" t="n"/>
      <c r="I126" s="69">
        <f>+D126&amp;E126</f>
        <v/>
      </c>
    </row>
    <row r="127">
      <c r="D127" s="2" t="n">
        <v>118</v>
      </c>
      <c r="E127" s="39" t="n"/>
      <c r="F127" s="28" t="n"/>
      <c r="G127" s="30" t="n"/>
      <c r="H127" s="30" t="n"/>
      <c r="I127" s="69">
        <f>+D127&amp;E127</f>
        <v/>
      </c>
    </row>
    <row r="128">
      <c r="D128" s="2" t="n">
        <v>119</v>
      </c>
      <c r="E128" s="39" t="n"/>
      <c r="F128" s="28" t="n"/>
      <c r="G128" s="30" t="n"/>
      <c r="H128" s="30" t="n"/>
      <c r="I128" s="69">
        <f>+D128&amp;E128</f>
        <v/>
      </c>
    </row>
    <row r="129">
      <c r="D129" s="2" t="n">
        <v>120</v>
      </c>
      <c r="E129" s="39" t="n"/>
      <c r="F129" s="115" t="n"/>
      <c r="G129" s="30" t="n"/>
      <c r="H129" s="30" t="n"/>
      <c r="I129" s="69">
        <f>+D129&amp;E129</f>
        <v/>
      </c>
    </row>
    <row r="130">
      <c r="D130" s="2" t="n">
        <v>121</v>
      </c>
      <c r="E130" s="39" t="n"/>
      <c r="F130" s="28" t="n"/>
      <c r="G130" s="30" t="n"/>
      <c r="H130" s="30" t="n"/>
      <c r="I130" s="69">
        <f>+D130&amp;E130</f>
        <v/>
      </c>
    </row>
    <row r="131">
      <c r="D131" s="2" t="n">
        <v>122</v>
      </c>
      <c r="E131" s="39" t="n"/>
      <c r="F131" s="28" t="n"/>
      <c r="G131" s="30" t="n"/>
      <c r="H131" s="30" t="n"/>
      <c r="I131" s="69">
        <f>+D131&amp;E131</f>
        <v/>
      </c>
    </row>
    <row r="132">
      <c r="D132" s="2" t="n">
        <v>123</v>
      </c>
      <c r="E132" s="39" t="n"/>
      <c r="F132" s="28" t="n"/>
      <c r="G132" s="30" t="n"/>
      <c r="H132" s="30" t="n"/>
      <c r="I132" s="69">
        <f>+D132&amp;E132</f>
        <v/>
      </c>
    </row>
    <row r="133">
      <c r="D133" s="2" t="n">
        <v>124</v>
      </c>
      <c r="E133" s="39" t="n"/>
      <c r="F133" s="28" t="n"/>
      <c r="G133" s="30" t="n"/>
      <c r="H133" s="30" t="n"/>
      <c r="I133" s="69">
        <f>+D133&amp;E133</f>
        <v/>
      </c>
    </row>
    <row r="134">
      <c r="D134" s="2" t="n">
        <v>125</v>
      </c>
      <c r="E134" s="39" t="n"/>
      <c r="F134" s="28" t="n"/>
      <c r="G134" s="30" t="n"/>
      <c r="H134" s="30" t="n"/>
      <c r="I134" s="69">
        <f>+D134&amp;E134</f>
        <v/>
      </c>
    </row>
    <row r="135">
      <c r="D135" s="2" t="n">
        <v>126</v>
      </c>
      <c r="E135" s="39" t="n"/>
      <c r="F135" s="28" t="n"/>
      <c r="G135" s="30" t="n"/>
      <c r="H135" s="30" t="n"/>
      <c r="I135" s="69">
        <f>+D135&amp;E135</f>
        <v/>
      </c>
    </row>
    <row r="136">
      <c r="D136" s="2" t="n">
        <v>127</v>
      </c>
      <c r="E136" s="39" t="n"/>
      <c r="F136" s="28" t="n"/>
      <c r="G136" s="30" t="n"/>
      <c r="H136" s="30" t="n"/>
      <c r="I136" s="69">
        <f>+D136&amp;E136</f>
        <v/>
      </c>
    </row>
    <row r="137">
      <c r="D137" s="2" t="n">
        <v>128</v>
      </c>
      <c r="E137" s="39" t="n"/>
      <c r="F137" s="144" t="n"/>
      <c r="G137" s="30" t="n"/>
      <c r="H137" s="30" t="n"/>
      <c r="I137" s="69">
        <f>+D137&amp;E137</f>
        <v/>
      </c>
      <c r="J137" s="145" t="n"/>
    </row>
    <row r="138">
      <c r="D138" s="2" t="n">
        <v>129</v>
      </c>
      <c r="E138" s="39" t="n"/>
      <c r="F138" s="115" t="n"/>
      <c r="G138" s="30" t="n"/>
      <c r="H138" s="30" t="n"/>
      <c r="I138" s="69">
        <f>+D138&amp;E138</f>
        <v/>
      </c>
    </row>
    <row r="139">
      <c r="D139" s="2" t="n">
        <v>130</v>
      </c>
      <c r="E139" s="39" t="n"/>
      <c r="F139" s="28" t="n"/>
      <c r="G139" s="30" t="n"/>
      <c r="H139" s="30" t="n"/>
      <c r="I139" s="69">
        <f>+D139&amp;E139</f>
        <v/>
      </c>
    </row>
    <row r="140">
      <c r="D140" s="2" t="n">
        <v>131</v>
      </c>
      <c r="E140" s="39" t="n"/>
      <c r="F140" s="144" t="n"/>
      <c r="G140" s="30" t="n"/>
      <c r="H140" s="30" t="n"/>
      <c r="I140" s="69">
        <f>+D140&amp;E140</f>
        <v/>
      </c>
      <c r="J140" s="145" t="n"/>
    </row>
    <row r="141">
      <c r="D141" s="2" t="n">
        <v>132</v>
      </c>
      <c r="E141" s="39" t="n"/>
      <c r="F141" s="28" t="n"/>
      <c r="G141" s="30" t="n"/>
      <c r="H141" s="30" t="n"/>
      <c r="I141" s="69">
        <f>+D141&amp;E141</f>
        <v/>
      </c>
    </row>
    <row r="142">
      <c r="D142" s="2" t="n">
        <v>133</v>
      </c>
      <c r="E142" s="39" t="n"/>
      <c r="F142" s="28" t="n"/>
      <c r="G142" s="30" t="n"/>
      <c r="H142" s="30" t="n"/>
      <c r="I142" s="69">
        <f>+D142&amp;E142</f>
        <v/>
      </c>
    </row>
    <row r="143">
      <c r="D143" s="2" t="n">
        <v>134</v>
      </c>
      <c r="E143" s="39" t="n"/>
      <c r="F143" s="28" t="n"/>
      <c r="G143" s="30" t="n"/>
      <c r="H143" s="30" t="n"/>
      <c r="I143" s="69">
        <f>+D143&amp;E143</f>
        <v/>
      </c>
    </row>
    <row r="144">
      <c r="D144" s="2" t="n">
        <v>135</v>
      </c>
      <c r="E144" s="39" t="n"/>
      <c r="F144" s="115" t="n"/>
      <c r="G144" s="30" t="n"/>
      <c r="H144" s="30" t="n"/>
      <c r="I144" s="69">
        <f>+D144&amp;E144</f>
        <v/>
      </c>
    </row>
    <row r="145">
      <c r="D145" s="2" t="n">
        <v>136</v>
      </c>
      <c r="E145" s="39" t="n"/>
      <c r="F145" s="28" t="n"/>
      <c r="G145" s="30" t="n"/>
      <c r="H145" s="30" t="n"/>
      <c r="I145" s="69">
        <f>+D145&amp;E145</f>
        <v/>
      </c>
    </row>
    <row r="146">
      <c r="D146" s="2" t="n">
        <v>137</v>
      </c>
      <c r="E146" s="39" t="n"/>
      <c r="F146" s="28" t="n"/>
      <c r="G146" s="30" t="n"/>
      <c r="H146" s="30" t="n"/>
      <c r="I146" s="69">
        <f>+D146&amp;E146</f>
        <v/>
      </c>
    </row>
    <row r="147">
      <c r="D147" s="2" t="n">
        <v>138</v>
      </c>
      <c r="E147" s="39" t="n"/>
      <c r="F147" s="28" t="n"/>
      <c r="G147" s="30" t="n"/>
      <c r="H147" s="30" t="n"/>
      <c r="I147" s="69">
        <f>+D147&amp;E147</f>
        <v/>
      </c>
    </row>
    <row r="148">
      <c r="D148" s="2" t="n">
        <v>139</v>
      </c>
      <c r="E148" s="39" t="n"/>
      <c r="F148" s="28" t="n"/>
      <c r="G148" s="30" t="n"/>
      <c r="H148" s="30" t="n"/>
      <c r="I148" s="69">
        <f>+D148&amp;E148</f>
        <v/>
      </c>
    </row>
    <row r="149">
      <c r="D149" s="2" t="n">
        <v>140</v>
      </c>
      <c r="E149" s="39" t="n"/>
      <c r="F149" s="28" t="n"/>
      <c r="G149" s="30" t="n"/>
      <c r="H149" s="30" t="n"/>
      <c r="I149" s="69">
        <f>+D149&amp;E149</f>
        <v/>
      </c>
    </row>
    <row r="150">
      <c r="D150" s="2" t="n">
        <v>141</v>
      </c>
      <c r="E150" s="39" t="n"/>
      <c r="F150" s="28" t="n"/>
      <c r="G150" s="30" t="n"/>
      <c r="H150" s="30" t="n"/>
      <c r="I150" s="69">
        <f>+D150&amp;E150</f>
        <v/>
      </c>
    </row>
    <row r="151">
      <c r="D151" s="2" t="n">
        <v>142</v>
      </c>
      <c r="E151" s="39" t="n"/>
      <c r="F151" s="28" t="n"/>
      <c r="G151" s="30" t="n"/>
      <c r="H151" s="30" t="n"/>
      <c r="I151" s="69">
        <f>+D151&amp;E151</f>
        <v/>
      </c>
    </row>
    <row r="152">
      <c r="D152" s="2" t="n">
        <v>143</v>
      </c>
      <c r="E152" s="39" t="n"/>
      <c r="F152" s="28" t="n"/>
      <c r="G152" s="30" t="n"/>
      <c r="H152" s="30" t="n"/>
      <c r="I152" s="69">
        <f>+D152&amp;E152</f>
        <v/>
      </c>
    </row>
    <row r="153">
      <c r="D153" s="2" t="n">
        <v>144</v>
      </c>
      <c r="E153" s="39" t="n"/>
      <c r="F153" s="28" t="n"/>
      <c r="G153" s="30" t="n"/>
      <c r="H153" s="30" t="n"/>
      <c r="I153" s="69">
        <f>+D153&amp;E153</f>
        <v/>
      </c>
    </row>
    <row r="154">
      <c r="D154" s="2" t="n">
        <v>145</v>
      </c>
      <c r="E154" s="39" t="n"/>
      <c r="F154" s="28" t="n"/>
      <c r="G154" s="30" t="n"/>
      <c r="H154" s="30" t="n"/>
      <c r="I154" s="69">
        <f>+D154&amp;E154</f>
        <v/>
      </c>
    </row>
    <row r="155">
      <c r="D155" s="2" t="n">
        <v>146</v>
      </c>
      <c r="E155" s="39" t="n"/>
      <c r="F155" s="115" t="n"/>
      <c r="G155" s="30" t="n"/>
      <c r="H155" s="30" t="n"/>
      <c r="I155" s="69">
        <f>+D155&amp;E155</f>
        <v/>
      </c>
    </row>
    <row r="156">
      <c r="D156" s="2" t="n">
        <v>147</v>
      </c>
      <c r="E156" s="39" t="n"/>
      <c r="F156" s="28" t="n"/>
      <c r="G156" s="30" t="n"/>
      <c r="H156" s="30" t="n"/>
      <c r="I156" s="69">
        <f>+D156&amp;E156</f>
        <v/>
      </c>
    </row>
    <row r="157">
      <c r="D157" s="2" t="n">
        <v>148</v>
      </c>
      <c r="E157" s="39" t="n"/>
      <c r="F157" s="28" t="n"/>
      <c r="G157" s="30" t="n"/>
      <c r="H157" s="30" t="n"/>
      <c r="I157" s="69">
        <f>+D157&amp;E157</f>
        <v/>
      </c>
    </row>
    <row r="158">
      <c r="B158" s="102" t="n"/>
      <c r="D158" s="2" t="n">
        <v>149</v>
      </c>
      <c r="E158" s="39" t="n"/>
      <c r="F158" s="28" t="n"/>
      <c r="G158" s="30" t="n"/>
      <c r="H158" s="30" t="n"/>
      <c r="I158" s="69">
        <f>+D158&amp;E158</f>
        <v/>
      </c>
    </row>
    <row r="159">
      <c r="B159" s="102" t="n"/>
      <c r="D159" s="2" t="n">
        <v>150</v>
      </c>
      <c r="E159" s="39" t="n"/>
      <c r="F159" s="115" t="n"/>
      <c r="G159" s="30" t="n"/>
      <c r="H159" s="30" t="n"/>
      <c r="I159" s="69">
        <f>+D159&amp;E159</f>
        <v/>
      </c>
    </row>
    <row r="160">
      <c r="D160" s="2" t="n">
        <v>151</v>
      </c>
      <c r="E160" s="39" t="n"/>
      <c r="F160" s="28" t="n"/>
      <c r="G160" s="30" t="n"/>
      <c r="H160" s="30" t="n"/>
      <c r="I160" s="69">
        <f>+D160&amp;E160</f>
        <v/>
      </c>
    </row>
    <row r="161">
      <c r="D161" s="2" t="n">
        <v>152</v>
      </c>
      <c r="E161" s="103" t="n"/>
      <c r="F161" s="115" t="n"/>
      <c r="G161" s="30" t="n"/>
      <c r="H161" s="30" t="n"/>
      <c r="I161" s="69">
        <f>+D161&amp;E161</f>
        <v/>
      </c>
    </row>
    <row r="162">
      <c r="B162" s="102" t="n"/>
      <c r="D162" s="2" t="n">
        <v>153</v>
      </c>
      <c r="E162" s="103" t="n"/>
      <c r="F162" s="104" t="n"/>
      <c r="G162" s="30" t="n"/>
      <c r="H162" s="30" t="n"/>
      <c r="I162" s="69">
        <f>+D162&amp;E162</f>
        <v/>
      </c>
    </row>
    <row r="163">
      <c r="B163" s="102" t="n"/>
      <c r="D163" s="2" t="n">
        <v>154</v>
      </c>
      <c r="E163" s="103" t="n"/>
      <c r="F163" s="104" t="n"/>
      <c r="G163" s="30" t="n"/>
      <c r="H163" s="30" t="n"/>
      <c r="I163" s="69">
        <f>+D163&amp;E163</f>
        <v/>
      </c>
    </row>
    <row r="164">
      <c r="B164" s="102" t="n"/>
      <c r="D164" s="2" t="n">
        <v>155</v>
      </c>
      <c r="E164" s="103" t="n"/>
      <c r="F164" s="104" t="n"/>
      <c r="G164" s="30" t="n"/>
      <c r="H164" s="30" t="n"/>
      <c r="I164" s="69">
        <f>+D164&amp;E164</f>
        <v/>
      </c>
    </row>
    <row r="165">
      <c r="D165" s="2" t="n">
        <v>156</v>
      </c>
      <c r="E165" s="103" t="n"/>
      <c r="F165" s="104" t="n"/>
      <c r="G165" s="30" t="n"/>
      <c r="H165" s="30" t="n"/>
      <c r="I165" s="69">
        <f>+D165&amp;E165</f>
        <v/>
      </c>
    </row>
    <row r="166">
      <c r="D166" s="2" t="n">
        <v>157</v>
      </c>
      <c r="E166" s="39" t="n"/>
      <c r="F166" s="28" t="n"/>
      <c r="G166" s="30" t="n"/>
      <c r="H166" s="30" t="n"/>
      <c r="I166" s="69">
        <f>+D166&amp;E166</f>
        <v/>
      </c>
    </row>
    <row r="167">
      <c r="D167" s="2" t="n">
        <v>158</v>
      </c>
      <c r="E167" s="39" t="n"/>
      <c r="F167" s="28" t="n"/>
      <c r="G167" s="30" t="n"/>
      <c r="H167" s="30" t="n"/>
      <c r="I167" s="69">
        <f>+D167&amp;E167</f>
        <v/>
      </c>
    </row>
    <row r="168">
      <c r="D168" s="2" t="n">
        <v>159</v>
      </c>
      <c r="E168" s="39" t="n"/>
      <c r="F168" s="28" t="n"/>
      <c r="G168" s="30" t="n"/>
      <c r="H168" s="30" t="n"/>
      <c r="I168" s="69">
        <f>+D168&amp;E168</f>
        <v/>
      </c>
    </row>
    <row r="169">
      <c r="D169" s="2" t="n">
        <v>160</v>
      </c>
      <c r="E169" s="39" t="n"/>
      <c r="F169" s="28" t="n"/>
      <c r="G169" s="30" t="n"/>
      <c r="H169" s="30" t="n"/>
      <c r="I169" s="69">
        <f>+D169&amp;E169</f>
        <v/>
      </c>
    </row>
    <row r="170">
      <c r="B170" s="102" t="n"/>
      <c r="D170" s="2" t="n">
        <v>161</v>
      </c>
      <c r="E170" s="39" t="n"/>
      <c r="F170" s="105" t="n"/>
      <c r="G170" s="30" t="n"/>
      <c r="H170" s="30" t="n"/>
      <c r="I170" s="69">
        <f>+D170&amp;E170</f>
        <v/>
      </c>
    </row>
    <row r="171">
      <c r="D171" s="2" t="n">
        <v>162</v>
      </c>
      <c r="E171" s="39" t="n"/>
      <c r="F171" s="28" t="n"/>
      <c r="G171" s="30" t="n"/>
      <c r="H171" s="30" t="n"/>
      <c r="I171" s="69">
        <f>+D171&amp;E171</f>
        <v/>
      </c>
    </row>
    <row r="172">
      <c r="D172" s="2" t="n">
        <v>163</v>
      </c>
      <c r="E172" s="39" t="n"/>
      <c r="F172" s="28" t="n"/>
      <c r="G172" s="30" t="n"/>
      <c r="H172" s="30" t="n"/>
      <c r="I172" s="69">
        <f>+D172&amp;E172</f>
        <v/>
      </c>
    </row>
    <row r="173">
      <c r="A173" s="28" t="n"/>
      <c r="D173" s="2" t="n">
        <v>164</v>
      </c>
      <c r="E173" s="39" t="n"/>
      <c r="F173" s="28" t="n"/>
      <c r="G173" s="30" t="n"/>
      <c r="H173" s="30" t="n"/>
      <c r="I173" s="69">
        <f>+D173&amp;E173</f>
        <v/>
      </c>
    </row>
    <row r="174">
      <c r="D174" s="2" t="n">
        <v>165</v>
      </c>
      <c r="E174" s="39" t="n"/>
      <c r="F174" s="28" t="n"/>
      <c r="G174" s="30" t="n"/>
      <c r="H174" s="30" t="n"/>
      <c r="I174" s="69">
        <f>+D174&amp;E174</f>
        <v/>
      </c>
    </row>
    <row r="175">
      <c r="D175" s="2" t="n">
        <v>166</v>
      </c>
      <c r="E175" s="39" t="n"/>
      <c r="F175" s="28" t="n"/>
      <c r="G175" s="30" t="n"/>
      <c r="H175" s="30" t="n"/>
      <c r="I175" s="69">
        <f>+D175&amp;E175</f>
        <v/>
      </c>
    </row>
    <row r="176">
      <c r="D176" s="2" t="n">
        <v>167</v>
      </c>
      <c r="E176" s="39" t="n"/>
      <c r="F176" s="28" t="n"/>
      <c r="G176" s="30" t="n"/>
      <c r="H176" s="30" t="n"/>
      <c r="I176" s="69">
        <f>+D176&amp;E176</f>
        <v/>
      </c>
    </row>
    <row r="177">
      <c r="D177" s="2" t="n">
        <v>168</v>
      </c>
      <c r="E177" s="39" t="n"/>
      <c r="F177" s="28" t="n"/>
      <c r="G177" s="30" t="n"/>
      <c r="H177" s="30" t="n"/>
      <c r="I177" s="69">
        <f>+D177&amp;E177</f>
        <v/>
      </c>
    </row>
    <row r="178">
      <c r="D178" s="2" t="n">
        <v>169</v>
      </c>
      <c r="E178" s="39" t="n"/>
      <c r="F178" s="28" t="n"/>
      <c r="G178" s="30" t="n"/>
      <c r="H178" s="30" t="n"/>
      <c r="I178" s="69">
        <f>+D178&amp;E178</f>
        <v/>
      </c>
    </row>
    <row r="179">
      <c r="D179" s="2" t="n">
        <v>170</v>
      </c>
      <c r="E179" s="39" t="n"/>
      <c r="F179" s="28" t="n"/>
      <c r="G179" s="30" t="n"/>
      <c r="H179" s="30" t="n"/>
      <c r="I179" s="69">
        <f>+D179&amp;E179</f>
        <v/>
      </c>
    </row>
    <row r="180">
      <c r="D180" s="2" t="n">
        <v>171</v>
      </c>
      <c r="E180" s="39" t="n"/>
      <c r="F180" s="28" t="n"/>
      <c r="G180" s="30" t="n"/>
      <c r="H180" s="30" t="n"/>
      <c r="I180" s="69">
        <f>+D180&amp;E180</f>
        <v/>
      </c>
    </row>
    <row r="181">
      <c r="D181" s="2" t="n">
        <v>172</v>
      </c>
      <c r="E181" s="39" t="n"/>
      <c r="F181" s="28" t="n"/>
      <c r="G181" s="30" t="n"/>
      <c r="H181" s="30" t="n"/>
      <c r="I181" s="69">
        <f>+D181&amp;E181</f>
        <v/>
      </c>
    </row>
    <row r="182">
      <c r="D182" s="2" t="n">
        <v>173</v>
      </c>
      <c r="E182" s="39" t="n"/>
      <c r="F182" s="28" t="n"/>
      <c r="G182" s="30" t="n"/>
      <c r="H182" s="30" t="n"/>
      <c r="I182" s="69">
        <f>+D182&amp;E182</f>
        <v/>
      </c>
    </row>
    <row r="183">
      <c r="D183" s="2" t="n">
        <v>174</v>
      </c>
      <c r="E183" s="39" t="n"/>
      <c r="F183" s="28" t="n"/>
      <c r="G183" s="30" t="n"/>
      <c r="H183" s="30" t="n"/>
      <c r="I183" s="69">
        <f>+D183&amp;E183</f>
        <v/>
      </c>
    </row>
    <row r="184" customFormat="1" s="114">
      <c r="D184" s="124" t="n">
        <v>175</v>
      </c>
      <c r="E184" s="125" t="n"/>
      <c r="F184" s="115" t="n"/>
      <c r="G184" s="126" t="n"/>
      <c r="H184" s="126" t="n"/>
      <c r="I184" s="127">
        <f>+D184&amp;E184</f>
        <v/>
      </c>
    </row>
    <row r="185">
      <c r="D185" s="2" t="n">
        <v>176</v>
      </c>
      <c r="E185" s="39" t="n"/>
      <c r="F185" s="28" t="n"/>
      <c r="G185" s="30" t="n"/>
      <c r="H185" s="30" t="n"/>
      <c r="I185" s="69">
        <f>+D185&amp;E185</f>
        <v/>
      </c>
    </row>
    <row r="186">
      <c r="D186" s="2" t="n">
        <v>177</v>
      </c>
      <c r="E186" s="39" t="n"/>
      <c r="F186" s="28" t="n"/>
      <c r="G186" s="30" t="n"/>
      <c r="H186" s="30" t="n"/>
      <c r="I186" s="69">
        <f>+D186&amp;E186</f>
        <v/>
      </c>
    </row>
    <row r="187">
      <c r="D187" s="2" t="n">
        <v>178</v>
      </c>
      <c r="E187" s="39" t="n"/>
      <c r="F187" s="28" t="n"/>
      <c r="G187" s="30" t="n"/>
      <c r="H187" s="30" t="n"/>
      <c r="I187" s="69">
        <f>+D187&amp;E187</f>
        <v/>
      </c>
    </row>
    <row r="188">
      <c r="D188" s="2" t="n">
        <v>179</v>
      </c>
      <c r="E188" s="39" t="n"/>
      <c r="F188" s="115" t="n"/>
      <c r="G188" s="30" t="n"/>
      <c r="H188" s="30" t="n"/>
      <c r="I188" s="69">
        <f>+D188&amp;E188</f>
        <v/>
      </c>
    </row>
    <row r="189">
      <c r="D189" s="2" t="n">
        <v>180</v>
      </c>
      <c r="E189" s="39" t="n"/>
      <c r="F189" s="28" t="n"/>
      <c r="G189" s="30" t="n"/>
      <c r="H189" s="30" t="n"/>
      <c r="I189" s="69">
        <f>+D189&amp;E189</f>
        <v/>
      </c>
    </row>
    <row r="190">
      <c r="D190" s="2" t="n">
        <v>181</v>
      </c>
      <c r="E190" s="39" t="n"/>
      <c r="F190" s="28" t="n"/>
      <c r="G190" s="30" t="n"/>
      <c r="H190" s="30" t="n"/>
      <c r="I190" s="69">
        <f>+D190&amp;E190</f>
        <v/>
      </c>
    </row>
    <row r="191">
      <c r="D191" s="2" t="n">
        <v>182</v>
      </c>
      <c r="E191" s="39" t="n"/>
      <c r="F191" s="28" t="n"/>
      <c r="G191" s="30" t="n"/>
      <c r="H191" s="30" t="n"/>
      <c r="I191" s="69">
        <f>+D191&amp;E191</f>
        <v/>
      </c>
    </row>
    <row r="192">
      <c r="D192" s="2" t="n">
        <v>183</v>
      </c>
      <c r="E192" s="39" t="n"/>
      <c r="F192" s="28" t="n"/>
      <c r="G192" s="30" t="n"/>
      <c r="H192" s="30" t="n"/>
      <c r="I192" s="69">
        <f>+D192&amp;E192</f>
        <v/>
      </c>
    </row>
    <row r="193">
      <c r="D193" s="2" t="n">
        <v>184</v>
      </c>
      <c r="E193" s="39" t="n"/>
      <c r="F193" s="28" t="n"/>
      <c r="G193" s="30" t="n"/>
      <c r="H193" s="30" t="n"/>
      <c r="I193" s="69">
        <f>+D193&amp;E193</f>
        <v/>
      </c>
    </row>
    <row r="194">
      <c r="D194" s="2" t="n">
        <v>185</v>
      </c>
      <c r="E194" s="39" t="n"/>
      <c r="F194" s="28" t="n"/>
      <c r="G194" s="30" t="n"/>
      <c r="H194" s="30" t="n"/>
      <c r="I194" s="69">
        <f>+D194&amp;E194</f>
        <v/>
      </c>
    </row>
    <row r="195">
      <c r="D195" s="2" t="n">
        <v>186</v>
      </c>
      <c r="E195" s="39" t="n"/>
      <c r="F195" s="28" t="n"/>
      <c r="G195" s="30" t="n"/>
      <c r="H195" s="30" t="n"/>
      <c r="I195" s="69">
        <f>+D195&amp;E195</f>
        <v/>
      </c>
    </row>
    <row r="196">
      <c r="D196" s="2" t="n">
        <v>187</v>
      </c>
      <c r="E196" s="39" t="n"/>
      <c r="F196" s="28" t="n"/>
      <c r="G196" s="30" t="n"/>
      <c r="H196" s="30" t="n"/>
      <c r="I196" s="69">
        <f>+D196&amp;E196</f>
        <v/>
      </c>
    </row>
    <row r="197">
      <c r="D197" s="2" t="n">
        <v>188</v>
      </c>
      <c r="E197" s="39" t="n"/>
      <c r="F197" s="28" t="n"/>
      <c r="G197" s="30" t="n"/>
      <c r="H197" s="30" t="n"/>
      <c r="I197" s="69">
        <f>+D197&amp;E197</f>
        <v/>
      </c>
    </row>
    <row r="198">
      <c r="D198" s="2" t="n">
        <v>189</v>
      </c>
      <c r="E198" s="39" t="n"/>
      <c r="F198" s="28" t="n"/>
      <c r="G198" s="30" t="n"/>
      <c r="H198" s="30" t="n"/>
      <c r="I198" s="69">
        <f>+D198&amp;E198</f>
        <v/>
      </c>
    </row>
    <row r="199">
      <c r="D199" s="2" t="n">
        <v>190</v>
      </c>
      <c r="E199" s="39" t="n"/>
      <c r="F199" s="28" t="n"/>
      <c r="G199" s="30" t="n"/>
      <c r="H199" s="30" t="n"/>
      <c r="I199" s="69">
        <f>+D199&amp;E199</f>
        <v/>
      </c>
    </row>
    <row r="200">
      <c r="D200" s="2" t="n">
        <v>191</v>
      </c>
      <c r="E200" s="39" t="n"/>
      <c r="F200" s="28" t="n"/>
      <c r="G200" s="30" t="n"/>
      <c r="H200" s="30" t="n"/>
      <c r="I200" s="69">
        <f>+D200&amp;E200</f>
        <v/>
      </c>
    </row>
    <row r="201">
      <c r="D201" s="2" t="n">
        <v>192</v>
      </c>
      <c r="E201" s="39" t="n"/>
      <c r="F201" s="28" t="n"/>
      <c r="G201" s="30" t="n"/>
      <c r="H201" s="30" t="n"/>
      <c r="I201" s="69">
        <f>+D201&amp;E201</f>
        <v/>
      </c>
    </row>
    <row r="202">
      <c r="D202" s="2" t="n">
        <v>193</v>
      </c>
      <c r="E202" s="39" t="n"/>
      <c r="F202" s="28" t="n"/>
      <c r="G202" s="30" t="n"/>
      <c r="H202" s="30" t="n"/>
      <c r="I202" s="69">
        <f>+D202&amp;E202</f>
        <v/>
      </c>
    </row>
    <row r="203">
      <c r="D203" s="2" t="n">
        <v>194</v>
      </c>
      <c r="E203" s="39" t="n"/>
      <c r="F203" s="28" t="n"/>
      <c r="G203" s="30" t="n"/>
      <c r="H203" s="30" t="n"/>
      <c r="I203" s="69">
        <f>+D203&amp;E203</f>
        <v/>
      </c>
    </row>
    <row r="204">
      <c r="D204" s="2" t="n">
        <v>195</v>
      </c>
      <c r="E204" s="39" t="n"/>
      <c r="F204" s="28" t="n"/>
      <c r="G204" s="30" t="n"/>
      <c r="H204" s="30" t="n"/>
      <c r="I204" s="69">
        <f>+D204&amp;E204</f>
        <v/>
      </c>
    </row>
    <row r="205">
      <c r="D205" s="2" t="n">
        <v>196</v>
      </c>
      <c r="E205" s="39" t="n"/>
      <c r="F205" s="28" t="n"/>
      <c r="G205" s="30" t="n"/>
      <c r="H205" s="30" t="n"/>
      <c r="I205" s="69">
        <f>+D205&amp;E205</f>
        <v/>
      </c>
    </row>
    <row r="206">
      <c r="D206" s="2" t="n">
        <v>197</v>
      </c>
      <c r="E206" s="39" t="n"/>
      <c r="F206" s="28" t="n"/>
      <c r="G206" s="30" t="n"/>
      <c r="H206" s="30" t="n"/>
      <c r="I206" s="69">
        <f>+D206&amp;E206</f>
        <v/>
      </c>
    </row>
    <row r="207">
      <c r="D207" s="2" t="n">
        <v>198</v>
      </c>
      <c r="E207" s="39" t="n"/>
      <c r="F207" s="28" t="n"/>
      <c r="G207" s="30" t="n"/>
      <c r="H207" s="30" t="n"/>
      <c r="I207" s="69">
        <f>+D207&amp;E207</f>
        <v/>
      </c>
    </row>
    <row r="208">
      <c r="D208" s="2" t="n">
        <v>199</v>
      </c>
      <c r="E208" s="39" t="n"/>
      <c r="F208" s="28" t="n"/>
      <c r="G208" s="30" t="n"/>
      <c r="H208" s="30" t="n"/>
      <c r="I208" s="69">
        <f>+D208&amp;E208</f>
        <v/>
      </c>
    </row>
    <row r="209">
      <c r="D209" s="2" t="n">
        <v>200</v>
      </c>
      <c r="E209" s="39" t="n"/>
      <c r="F209" s="28" t="n"/>
      <c r="G209" s="30" t="n"/>
      <c r="H209" s="30" t="n"/>
      <c r="I209" s="69">
        <f>+D209&amp;E209</f>
        <v/>
      </c>
    </row>
    <row r="210">
      <c r="D210" s="2" t="n">
        <v>201</v>
      </c>
      <c r="E210" s="39" t="n"/>
      <c r="F210" s="28" t="n"/>
      <c r="G210" s="30" t="n"/>
      <c r="H210" s="30" t="n"/>
      <c r="I210" s="69">
        <f>+D210&amp;E210</f>
        <v/>
      </c>
    </row>
    <row r="211">
      <c r="D211" s="2" t="n">
        <v>202</v>
      </c>
      <c r="E211" s="39" t="n"/>
      <c r="F211" s="28" t="n"/>
      <c r="G211" s="30" t="n"/>
      <c r="H211" s="30" t="n"/>
      <c r="I211" s="69">
        <f>+D211&amp;E211</f>
        <v/>
      </c>
    </row>
    <row r="212">
      <c r="D212" s="2" t="n">
        <v>203</v>
      </c>
      <c r="E212" s="39" t="n"/>
      <c r="F212" s="28" t="n"/>
      <c r="G212" s="30" t="n"/>
      <c r="H212" s="30" t="n"/>
      <c r="I212" s="69">
        <f>+D212&amp;E212</f>
        <v/>
      </c>
    </row>
    <row r="213">
      <c r="D213" s="2" t="n">
        <v>204</v>
      </c>
      <c r="E213" s="39" t="n"/>
      <c r="F213" s="28" t="n"/>
      <c r="G213" s="30" t="n"/>
      <c r="H213" s="30" t="n"/>
      <c r="I213" s="69">
        <f>+D213&amp;E213</f>
        <v/>
      </c>
    </row>
    <row r="214">
      <c r="D214" s="2" t="n">
        <v>205</v>
      </c>
      <c r="E214" s="39" t="n"/>
      <c r="F214" s="28" t="n"/>
      <c r="G214" s="30" t="n"/>
      <c r="H214" s="30" t="n"/>
      <c r="I214" s="69">
        <f>+D214&amp;E214</f>
        <v/>
      </c>
    </row>
    <row r="215">
      <c r="D215" s="2" t="n">
        <v>206</v>
      </c>
      <c r="E215" s="39" t="n"/>
      <c r="F215" s="28" t="n"/>
      <c r="G215" s="30" t="n"/>
      <c r="H215" s="30" t="n"/>
      <c r="I215" s="69">
        <f>+D215&amp;E215</f>
        <v/>
      </c>
    </row>
    <row r="216">
      <c r="D216" s="2" t="n">
        <v>207</v>
      </c>
      <c r="E216" s="39" t="n"/>
      <c r="F216" s="28" t="n"/>
      <c r="G216" s="30" t="n"/>
      <c r="H216" s="30" t="n"/>
      <c r="I216" s="69">
        <f>+D216&amp;E216</f>
        <v/>
      </c>
    </row>
    <row r="217">
      <c r="D217" s="2" t="n">
        <v>208</v>
      </c>
      <c r="E217" s="39" t="n"/>
      <c r="F217" s="28" t="n"/>
      <c r="G217" s="30" t="n"/>
      <c r="H217" s="30" t="n"/>
      <c r="I217" s="69">
        <f>+D217&amp;E217</f>
        <v/>
      </c>
    </row>
    <row r="218">
      <c r="D218" s="2" t="n">
        <v>209</v>
      </c>
      <c r="E218" s="39" t="n"/>
      <c r="F218" s="28" t="n"/>
      <c r="G218" s="30" t="n"/>
      <c r="H218" s="30" t="n"/>
      <c r="I218" s="69">
        <f>+D218&amp;E218</f>
        <v/>
      </c>
    </row>
    <row r="219">
      <c r="B219" t="inlineStr">
        <is>
          <t>Algodn / lino</t>
        </is>
      </c>
      <c r="D219" s="2" t="n">
        <v>210</v>
      </c>
      <c r="E219" s="39" t="n"/>
      <c r="F219" s="28" t="n"/>
      <c r="G219" s="30" t="n"/>
      <c r="H219" s="30" t="n"/>
      <c r="I219" s="69">
        <f>+D219&amp;E219</f>
        <v/>
      </c>
    </row>
    <row r="220">
      <c r="D220" s="2" t="n">
        <v>211</v>
      </c>
      <c r="E220" s="39" t="n"/>
      <c r="F220" s="28" t="n"/>
      <c r="G220" s="30" t="n"/>
      <c r="H220" s="30" t="n"/>
      <c r="I220" s="69">
        <f>+D220&amp;E220</f>
        <v/>
      </c>
    </row>
    <row r="221">
      <c r="A221" t="inlineStr">
        <is>
          <t>NOTA.- PORCENTAJE A QUITAR SI ES 25</t>
        </is>
      </c>
      <c r="D221" s="2" t="n">
        <v>212</v>
      </c>
      <c r="E221" s="39" t="n"/>
      <c r="F221" s="28" t="n"/>
      <c r="G221" s="30" t="n"/>
      <c r="H221" s="30" t="n"/>
      <c r="I221" s="69">
        <f>+D221&amp;E221</f>
        <v/>
      </c>
    </row>
    <row r="222">
      <c r="A222" t="inlineStr">
        <is>
          <t>ES 0.75</t>
        </is>
      </c>
      <c r="D222" s="2" t="n">
        <v>213</v>
      </c>
      <c r="E222" s="39" t="n"/>
      <c r="F222" s="28" t="n"/>
      <c r="G222" s="30" t="n"/>
      <c r="H222" s="30" t="n"/>
      <c r="I222" s="69">
        <f>+D222&amp;E222</f>
        <v/>
      </c>
    </row>
    <row r="223">
      <c r="D223" s="2" t="n">
        <v>214</v>
      </c>
      <c r="E223" s="39" t="n"/>
      <c r="F223" s="28" t="n"/>
      <c r="G223" s="30" t="n"/>
      <c r="H223" s="30" t="n"/>
      <c r="I223" s="69">
        <f>+D223&amp;E223</f>
        <v/>
      </c>
    </row>
    <row r="224">
      <c r="A224" t="inlineStr">
        <is>
          <t>para poner 1,25</t>
        </is>
      </c>
      <c r="D224" s="2" t="n">
        <v>215</v>
      </c>
      <c r="E224" s="39" t="n"/>
      <c r="F224" s="28" t="n"/>
      <c r="G224" s="30" t="n"/>
      <c r="H224" s="30" t="n"/>
      <c r="I224" s="69">
        <f>+D224&amp;E224</f>
        <v/>
      </c>
    </row>
    <row r="225">
      <c r="D225" s="2" t="n">
        <v>216</v>
      </c>
      <c r="E225" s="39" t="n"/>
      <c r="F225" s="28" t="n"/>
      <c r="G225" s="30" t="n"/>
      <c r="H225" s="30" t="n"/>
      <c r="I225" s="69">
        <f>+D225&amp;E225</f>
        <v/>
      </c>
    </row>
    <row r="226">
      <c r="D226" s="2" t="n">
        <v>217</v>
      </c>
      <c r="E226" s="39" t="n"/>
      <c r="F226" s="28" t="n"/>
      <c r="G226" s="30" t="n"/>
      <c r="H226" s="30" t="n"/>
      <c r="I226" s="69">
        <f>+D226&amp;E226</f>
        <v/>
      </c>
    </row>
    <row r="227">
      <c r="D227" s="2" t="n">
        <v>218</v>
      </c>
      <c r="E227" s="39" t="n"/>
      <c r="F227" s="28" t="n"/>
      <c r="G227" s="30" t="n"/>
      <c r="H227" s="30" t="n"/>
      <c r="I227" s="69">
        <f>+D227&amp;E227</f>
        <v/>
      </c>
    </row>
    <row r="228">
      <c r="D228" s="2" t="n">
        <v>219</v>
      </c>
      <c r="E228" s="39" t="n"/>
      <c r="F228" s="28" t="n"/>
      <c r="G228" s="30" t="n"/>
      <c r="H228" s="30" t="n"/>
      <c r="I228" s="69">
        <f>+D228&amp;E228</f>
        <v/>
      </c>
    </row>
    <row r="229">
      <c r="D229" s="2" t="n">
        <v>220</v>
      </c>
      <c r="E229" s="39" t="n"/>
      <c r="F229" s="28" t="n"/>
      <c r="G229" s="30" t="n"/>
      <c r="H229" s="30" t="n"/>
      <c r="I229" s="69">
        <f>+D229&amp;E229</f>
        <v/>
      </c>
    </row>
    <row r="230">
      <c r="D230" s="2" t="n">
        <v>221</v>
      </c>
      <c r="E230" s="39" t="n"/>
      <c r="F230" s="28" t="n"/>
      <c r="G230" s="30" t="n"/>
      <c r="H230" s="30" t="n"/>
      <c r="I230" s="69">
        <f>+D230&amp;E230</f>
        <v/>
      </c>
    </row>
    <row r="231">
      <c r="D231" s="2" t="n">
        <v>222</v>
      </c>
      <c r="E231" s="39" t="n"/>
      <c r="F231" s="28" t="n"/>
      <c r="G231" s="30" t="n"/>
      <c r="H231" s="30" t="n"/>
      <c r="I231" s="69">
        <f>+D231&amp;E231</f>
        <v/>
      </c>
    </row>
    <row r="232">
      <c r="D232" s="2" t="n">
        <v>223</v>
      </c>
      <c r="E232" s="39" t="n"/>
      <c r="F232" s="28" t="n"/>
      <c r="G232" s="30" t="n"/>
      <c r="H232" s="30" t="n"/>
      <c r="I232" s="69">
        <f>+D232&amp;E232</f>
        <v/>
      </c>
    </row>
    <row r="233">
      <c r="D233" s="2" t="n">
        <v>224</v>
      </c>
      <c r="E233" s="39" t="n"/>
      <c r="F233" s="28" t="n"/>
      <c r="G233" s="30" t="n"/>
      <c r="H233" s="30" t="n"/>
      <c r="I233" s="69">
        <f>+D233&amp;E233</f>
        <v/>
      </c>
    </row>
    <row r="234">
      <c r="D234" s="2" t="n">
        <v>225</v>
      </c>
      <c r="E234" s="39" t="n"/>
      <c r="F234" s="28" t="n"/>
      <c r="G234" s="30" t="n"/>
      <c r="H234" s="30" t="n"/>
      <c r="I234" s="69">
        <f>+D234&amp;E234</f>
        <v/>
      </c>
    </row>
    <row r="235">
      <c r="D235" s="2" t="n">
        <v>226</v>
      </c>
      <c r="E235" s="39" t="n"/>
      <c r="F235" s="28" t="n"/>
      <c r="G235" s="30" t="n"/>
      <c r="H235" s="30" t="n"/>
      <c r="I235" s="69">
        <f>+D235&amp;E235</f>
        <v/>
      </c>
    </row>
    <row r="236">
      <c r="D236" s="2" t="n">
        <v>227</v>
      </c>
      <c r="E236" s="39" t="n"/>
      <c r="F236" s="28" t="n"/>
      <c r="G236" s="30" t="n"/>
      <c r="H236" s="30" t="n"/>
      <c r="I236" s="69">
        <f>+D236&amp;E236</f>
        <v/>
      </c>
    </row>
    <row r="237">
      <c r="D237" s="2" t="n">
        <v>228</v>
      </c>
      <c r="E237" s="39" t="n"/>
      <c r="F237" s="28" t="n"/>
      <c r="G237" s="30" t="n"/>
      <c r="H237" s="30" t="n"/>
      <c r="I237" s="69">
        <f>+D237&amp;E237</f>
        <v/>
      </c>
    </row>
    <row r="238">
      <c r="D238" s="2" t="n">
        <v>229</v>
      </c>
      <c r="E238" s="39" t="n"/>
      <c r="F238" s="28" t="n"/>
      <c r="G238" s="30" t="n"/>
      <c r="H238" s="30" t="n"/>
      <c r="I238" s="69">
        <f>+D238&amp;E238</f>
        <v/>
      </c>
    </row>
    <row r="239">
      <c r="D239" s="2" t="n">
        <v>230</v>
      </c>
      <c r="E239" s="39" t="n"/>
      <c r="F239" s="28" t="n"/>
      <c r="G239" s="30" t="n"/>
      <c r="H239" s="30" t="n"/>
      <c r="I239" s="69">
        <f>+D239&amp;E239</f>
        <v/>
      </c>
    </row>
    <row r="240">
      <c r="D240" s="2" t="n">
        <v>231</v>
      </c>
      <c r="E240" s="39" t="n"/>
      <c r="F240" s="28" t="n"/>
      <c r="G240" s="30" t="n"/>
      <c r="H240" s="30" t="n"/>
      <c r="I240" s="69">
        <f>+D240&amp;E240</f>
        <v/>
      </c>
    </row>
    <row r="241">
      <c r="D241" s="2" t="n">
        <v>232</v>
      </c>
      <c r="E241" s="39" t="n"/>
      <c r="F241" s="28" t="n"/>
      <c r="G241" s="30" t="n"/>
      <c r="H241" s="30" t="n"/>
      <c r="I241" s="69">
        <f>+D241&amp;E241</f>
        <v/>
      </c>
    </row>
    <row r="242">
      <c r="D242" s="2" t="n">
        <v>233</v>
      </c>
      <c r="E242" s="39" t="n"/>
      <c r="F242" s="28" t="n"/>
      <c r="G242" s="30" t="n"/>
      <c r="H242" s="30" t="n"/>
      <c r="I242" s="69">
        <f>+D242&amp;E242</f>
        <v/>
      </c>
    </row>
    <row r="243">
      <c r="D243" s="2" t="n">
        <v>234</v>
      </c>
      <c r="E243" s="39" t="n"/>
      <c r="F243" s="28" t="n"/>
      <c r="G243" s="30" t="n"/>
      <c r="H243" s="30" t="n"/>
      <c r="I243" s="69">
        <f>+D243&amp;E243</f>
        <v/>
      </c>
    </row>
    <row r="244">
      <c r="D244" s="2" t="n">
        <v>235</v>
      </c>
      <c r="E244" s="39" t="n"/>
      <c r="F244" s="28" t="n"/>
      <c r="G244" s="30" t="n"/>
      <c r="H244" s="30" t="n"/>
      <c r="I244" s="69">
        <f>+D244&amp;E244</f>
        <v/>
      </c>
    </row>
    <row r="245">
      <c r="D245" s="2" t="n">
        <v>236</v>
      </c>
      <c r="E245" s="39" t="n"/>
      <c r="F245" s="28" t="n"/>
      <c r="G245" s="30" t="n"/>
      <c r="H245" s="30" t="n"/>
      <c r="I245" s="69">
        <f>+D245&amp;E245</f>
        <v/>
      </c>
    </row>
    <row r="246">
      <c r="D246" s="2" t="n">
        <v>237</v>
      </c>
      <c r="E246" s="39" t="n"/>
      <c r="F246" s="28" t="n"/>
      <c r="G246" s="30" t="n"/>
      <c r="H246" s="30" t="n"/>
      <c r="I246" s="69">
        <f>+D246&amp;E246</f>
        <v/>
      </c>
    </row>
    <row r="247">
      <c r="D247" s="2" t="n">
        <v>238</v>
      </c>
      <c r="E247" s="39" t="n"/>
      <c r="F247" s="28" t="n"/>
      <c r="G247" s="30" t="n"/>
      <c r="H247" s="30" t="n"/>
      <c r="I247" s="69">
        <f>+D247&amp;E247</f>
        <v/>
      </c>
    </row>
    <row r="248">
      <c r="D248" s="2" t="n">
        <v>239</v>
      </c>
      <c r="E248" s="39" t="n"/>
      <c r="F248" s="28" t="n"/>
      <c r="G248" s="30" t="n"/>
      <c r="H248" s="30" t="n"/>
      <c r="I248" s="69">
        <f>+D248&amp;E248</f>
        <v/>
      </c>
    </row>
    <row r="249">
      <c r="D249" s="2" t="n">
        <v>240</v>
      </c>
      <c r="E249" s="39" t="n"/>
      <c r="F249" s="28" t="n"/>
      <c r="G249" s="30" t="n"/>
      <c r="H249" s="30" t="n"/>
      <c r="I249" s="69">
        <f>+D249&amp;E249</f>
        <v/>
      </c>
    </row>
    <row r="250">
      <c r="D250" s="2" t="n">
        <v>241</v>
      </c>
      <c r="E250" s="39" t="n"/>
      <c r="F250" s="28" t="n"/>
      <c r="G250" s="30" t="n"/>
      <c r="H250" s="30" t="n"/>
      <c r="I250" s="69">
        <f>+D250&amp;E250</f>
        <v/>
      </c>
    </row>
    <row r="251">
      <c r="D251" s="2" t="n">
        <v>242</v>
      </c>
      <c r="E251" s="39" t="n"/>
      <c r="F251" s="28" t="n"/>
      <c r="G251" s="30" t="n"/>
      <c r="H251" s="30" t="n"/>
      <c r="I251" s="69">
        <f>+D251&amp;E251</f>
        <v/>
      </c>
    </row>
    <row r="252">
      <c r="D252" s="2" t="n">
        <v>243</v>
      </c>
      <c r="E252" s="39" t="n"/>
      <c r="F252" s="28" t="n"/>
      <c r="G252" s="30" t="n"/>
      <c r="H252" s="30" t="n"/>
      <c r="I252" s="69">
        <f>+D252&amp;E252</f>
        <v/>
      </c>
    </row>
    <row r="253">
      <c r="D253" s="2" t="n">
        <v>244</v>
      </c>
      <c r="E253" s="39" t="n"/>
      <c r="F253" s="28" t="n"/>
      <c r="G253" s="30" t="n"/>
      <c r="H253" s="30" t="n"/>
      <c r="I253" s="69">
        <f>+D253&amp;E253</f>
        <v/>
      </c>
    </row>
    <row r="254">
      <c r="D254" s="2" t="n">
        <v>245</v>
      </c>
      <c r="E254" s="39" t="n"/>
      <c r="F254" s="28" t="n"/>
      <c r="G254" s="30" t="n"/>
      <c r="H254" s="30" t="n"/>
      <c r="I254" s="69">
        <f>+D254&amp;E254</f>
        <v/>
      </c>
    </row>
    <row r="255">
      <c r="D255" s="2" t="n">
        <v>246</v>
      </c>
      <c r="E255" s="39" t="n"/>
      <c r="F255" s="28" t="n"/>
      <c r="G255" s="30" t="n"/>
      <c r="H255" s="30" t="n"/>
      <c r="I255" s="69">
        <f>+D255&amp;E255</f>
        <v/>
      </c>
    </row>
    <row r="256">
      <c r="D256" s="2" t="n">
        <v>247</v>
      </c>
      <c r="E256" s="39" t="n"/>
      <c r="F256" s="28" t="n"/>
      <c r="G256" s="30" t="n"/>
      <c r="H256" s="30" t="n"/>
      <c r="I256" s="69">
        <f>+D256&amp;E256</f>
        <v/>
      </c>
    </row>
    <row r="257">
      <c r="D257" s="2" t="n">
        <v>248</v>
      </c>
      <c r="E257" s="39" t="n"/>
      <c r="F257" s="28" t="n"/>
      <c r="G257" s="30" t="n"/>
      <c r="H257" s="30" t="n"/>
      <c r="I257" s="69">
        <f>+D257&amp;E257</f>
        <v/>
      </c>
    </row>
    <row r="258">
      <c r="D258" s="2" t="n">
        <v>249</v>
      </c>
      <c r="E258" s="39" t="n"/>
      <c r="F258" s="28" t="n"/>
      <c r="G258" s="30" t="n"/>
      <c r="H258" s="30" t="n"/>
      <c r="I258" s="69">
        <f>+D258&amp;E258</f>
        <v/>
      </c>
    </row>
    <row r="259">
      <c r="D259" s="2" t="n">
        <v>250</v>
      </c>
      <c r="E259" s="39" t="n"/>
      <c r="F259" s="28" t="n"/>
      <c r="G259" s="30" t="n"/>
      <c r="H259" s="30" t="n"/>
      <c r="I259" s="69">
        <f>+D259&amp;E259</f>
        <v/>
      </c>
    </row>
    <row r="260">
      <c r="D260" s="2" t="n">
        <v>251</v>
      </c>
      <c r="E260" s="39" t="n"/>
      <c r="F260" s="28" t="n"/>
      <c r="G260" s="30" t="n"/>
      <c r="H260" s="30" t="n"/>
      <c r="I260" s="69">
        <f>+D260&amp;E260</f>
        <v/>
      </c>
    </row>
    <row r="261">
      <c r="D261" s="2" t="n">
        <v>252</v>
      </c>
      <c r="E261" s="39" t="n"/>
      <c r="F261" s="28" t="n"/>
      <c r="G261" s="30" t="n"/>
      <c r="H261" s="30" t="n"/>
      <c r="I261" s="69">
        <f>+D261&amp;E261</f>
        <v/>
      </c>
    </row>
    <row r="262">
      <c r="D262" s="2" t="n">
        <v>253</v>
      </c>
      <c r="E262" s="39" t="n"/>
      <c r="F262" s="28" t="n"/>
      <c r="G262" s="30" t="n"/>
      <c r="H262" s="30" t="n"/>
      <c r="I262" s="69">
        <f>+D262&amp;E262</f>
        <v/>
      </c>
    </row>
    <row r="263">
      <c r="D263" s="2" t="n">
        <v>254</v>
      </c>
      <c r="E263" s="39" t="n"/>
      <c r="F263" s="28" t="n"/>
      <c r="G263" s="30" t="n"/>
      <c r="H263" s="30" t="n"/>
      <c r="I263" s="69">
        <f>+D263&amp;E263</f>
        <v/>
      </c>
    </row>
    <row r="264">
      <c r="D264" s="2" t="n">
        <v>255</v>
      </c>
      <c r="E264" s="39" t="n"/>
      <c r="F264" s="28" t="n"/>
      <c r="G264" s="30" t="n"/>
      <c r="H264" s="30" t="n"/>
      <c r="I264" s="69">
        <f>+D264&amp;E264</f>
        <v/>
      </c>
    </row>
    <row r="265">
      <c r="D265" s="2" t="n">
        <v>256</v>
      </c>
      <c r="E265" s="39" t="n"/>
      <c r="F265" s="28" t="n"/>
      <c r="G265" s="30" t="n"/>
      <c r="H265" s="30" t="n"/>
      <c r="I265" s="69">
        <f>+D265&amp;E265</f>
        <v/>
      </c>
    </row>
    <row r="266">
      <c r="D266" s="2" t="n">
        <v>257</v>
      </c>
      <c r="E266" s="39" t="n"/>
      <c r="F266" s="28" t="n"/>
      <c r="G266" s="30" t="n"/>
      <c r="H266" s="30" t="n"/>
      <c r="I266" s="69">
        <f>+D266&amp;E266</f>
        <v/>
      </c>
    </row>
    <row r="267">
      <c r="D267" s="2" t="n">
        <v>258</v>
      </c>
      <c r="E267" s="39" t="n"/>
      <c r="F267" s="28" t="n"/>
      <c r="G267" s="30" t="n"/>
      <c r="H267" s="30" t="n"/>
      <c r="I267" s="69">
        <f>+D267&amp;E267</f>
        <v/>
      </c>
    </row>
    <row r="268">
      <c r="D268" s="2" t="n">
        <v>259</v>
      </c>
      <c r="E268" s="39" t="n"/>
      <c r="F268" s="28" t="n"/>
      <c r="G268" s="30" t="n"/>
      <c r="H268" s="30" t="n"/>
      <c r="I268" s="69">
        <f>+D268&amp;E268</f>
        <v/>
      </c>
    </row>
    <row r="269">
      <c r="D269" s="2" t="n">
        <v>260</v>
      </c>
      <c r="E269" s="39" t="n"/>
      <c r="F269" s="28" t="n"/>
      <c r="G269" s="30" t="n"/>
      <c r="H269" s="30" t="n"/>
      <c r="I269" s="69">
        <f>+D269&amp;E269</f>
        <v/>
      </c>
    </row>
    <row r="270">
      <c r="D270" s="2" t="n">
        <v>261</v>
      </c>
      <c r="E270" s="39" t="n"/>
      <c r="F270" s="28" t="n"/>
      <c r="G270" s="30" t="n"/>
      <c r="H270" s="30" t="n"/>
      <c r="I270" s="69">
        <f>+D270&amp;E270</f>
        <v/>
      </c>
    </row>
    <row r="271">
      <c r="D271" s="2" t="n">
        <v>262</v>
      </c>
      <c r="E271" s="39" t="n"/>
      <c r="F271" s="28" t="n"/>
      <c r="G271" s="30" t="n"/>
      <c r="H271" s="30" t="n"/>
      <c r="I271" s="69">
        <f>+D271&amp;E271</f>
        <v/>
      </c>
    </row>
    <row r="272">
      <c r="D272" s="2" t="n">
        <v>263</v>
      </c>
      <c r="E272" s="39" t="n"/>
      <c r="F272" s="28" t="n"/>
      <c r="G272" s="30" t="n"/>
      <c r="H272" s="30" t="n"/>
      <c r="I272" s="69">
        <f>+D272&amp;E272</f>
        <v/>
      </c>
    </row>
    <row r="273">
      <c r="D273" s="2" t="n">
        <v>264</v>
      </c>
      <c r="E273" s="39" t="n"/>
      <c r="F273" s="28" t="n"/>
      <c r="G273" s="30" t="n"/>
      <c r="H273" s="30" t="n"/>
      <c r="I273" s="69">
        <f>+D273&amp;E273</f>
        <v/>
      </c>
    </row>
    <row r="274">
      <c r="D274" s="2" t="n">
        <v>265</v>
      </c>
      <c r="E274" s="39" t="n"/>
      <c r="F274" s="28" t="n"/>
      <c r="G274" s="30" t="n"/>
      <c r="H274" s="30" t="n"/>
      <c r="I274" s="69">
        <f>+D274&amp;E274</f>
        <v/>
      </c>
    </row>
    <row r="275">
      <c r="D275" s="2" t="n">
        <v>266</v>
      </c>
      <c r="E275" s="39" t="n"/>
      <c r="F275" s="28" t="n"/>
      <c r="G275" s="30" t="n"/>
      <c r="H275" s="30" t="n"/>
      <c r="I275" s="69">
        <f>+D275&amp;E275</f>
        <v/>
      </c>
    </row>
    <row r="276">
      <c r="D276" s="2" t="n">
        <v>267</v>
      </c>
      <c r="E276" s="39" t="n"/>
      <c r="F276" s="28" t="n"/>
      <c r="G276" s="30" t="n"/>
      <c r="H276" s="30" t="n"/>
      <c r="I276" s="69">
        <f>+D276&amp;E276</f>
        <v/>
      </c>
    </row>
    <row r="277">
      <c r="D277" s="2" t="n">
        <v>268</v>
      </c>
      <c r="E277" s="39" t="n"/>
      <c r="F277" s="28" t="n"/>
      <c r="G277" s="30" t="n"/>
      <c r="H277" s="30" t="n"/>
      <c r="I277" s="69">
        <f>+D277&amp;E277</f>
        <v/>
      </c>
    </row>
    <row r="278">
      <c r="D278" s="2" t="n">
        <v>269</v>
      </c>
      <c r="E278" s="39" t="n"/>
      <c r="F278" s="28" t="n"/>
      <c r="G278" s="30" t="n"/>
      <c r="H278" s="30" t="n"/>
      <c r="I278" s="69">
        <f>+D278&amp;E278</f>
        <v/>
      </c>
    </row>
    <row r="279">
      <c r="D279" s="2" t="n">
        <v>270</v>
      </c>
      <c r="E279" s="39" t="n"/>
      <c r="F279" s="28" t="n"/>
      <c r="G279" s="30" t="n"/>
      <c r="H279" s="30" t="n"/>
      <c r="I279" s="69">
        <f>+D279&amp;E279</f>
        <v/>
      </c>
    </row>
    <row r="280">
      <c r="D280" s="2" t="n">
        <v>271</v>
      </c>
      <c r="E280" s="39" t="n"/>
      <c r="F280" s="28" t="n"/>
      <c r="G280" s="30" t="n"/>
      <c r="H280" s="30" t="n"/>
      <c r="I280" s="69">
        <f>+D280&amp;E280</f>
        <v/>
      </c>
    </row>
    <row r="281">
      <c r="D281" s="2" t="n">
        <v>272</v>
      </c>
      <c r="E281" s="39" t="n"/>
      <c r="F281" s="28" t="n"/>
      <c r="G281" s="30" t="n"/>
      <c r="H281" s="30" t="n"/>
      <c r="I281" s="69">
        <f>+D281&amp;E281</f>
        <v/>
      </c>
    </row>
    <row r="282">
      <c r="D282" s="2" t="n">
        <v>273</v>
      </c>
      <c r="E282" s="39" t="n"/>
      <c r="F282" s="28" t="n"/>
      <c r="G282" s="30" t="n"/>
      <c r="H282" s="30" t="n"/>
      <c r="I282" s="69">
        <f>+D282&amp;E282</f>
        <v/>
      </c>
    </row>
    <row r="283">
      <c r="D283" s="2" t="n">
        <v>274</v>
      </c>
      <c r="E283" s="39" t="n"/>
      <c r="F283" s="28" t="n"/>
      <c r="G283" s="30" t="n"/>
      <c r="H283" s="30" t="n"/>
      <c r="I283" s="69">
        <f>+D283&amp;E283</f>
        <v/>
      </c>
    </row>
    <row r="284">
      <c r="D284" s="2" t="n">
        <v>275</v>
      </c>
      <c r="E284" s="39" t="n"/>
      <c r="F284" s="28" t="n"/>
      <c r="G284" s="30" t="n"/>
      <c r="H284" s="30" t="n"/>
      <c r="I284" s="69">
        <f>+D284&amp;E284</f>
        <v/>
      </c>
    </row>
    <row r="285">
      <c r="D285" s="2" t="n">
        <v>276</v>
      </c>
      <c r="E285" s="39" t="n"/>
      <c r="F285" s="28" t="n"/>
      <c r="G285" s="30" t="n"/>
      <c r="H285" s="30" t="n"/>
      <c r="I285" s="69">
        <f>+D285&amp;E285</f>
        <v/>
      </c>
    </row>
    <row r="286">
      <c r="D286" s="2" t="n">
        <v>277</v>
      </c>
      <c r="E286" s="39" t="n"/>
      <c r="F286" s="28" t="n"/>
      <c r="G286" s="30" t="n"/>
      <c r="H286" s="30" t="n"/>
      <c r="I286" s="69">
        <f>+D286&amp;E286</f>
        <v/>
      </c>
    </row>
    <row r="287">
      <c r="D287" s="2" t="n">
        <v>278</v>
      </c>
      <c r="E287" s="39" t="n"/>
      <c r="F287" s="28" t="n"/>
      <c r="G287" s="30" t="n"/>
      <c r="H287" s="30" t="n"/>
      <c r="I287" s="69">
        <f>+D287&amp;E287</f>
        <v/>
      </c>
    </row>
    <row r="288">
      <c r="D288" s="2" t="n">
        <v>279</v>
      </c>
      <c r="E288" s="39" t="n"/>
      <c r="F288" s="28" t="n"/>
      <c r="G288" s="30" t="n"/>
      <c r="H288" s="30" t="n"/>
      <c r="I288" s="69">
        <f>+D288&amp;E288</f>
        <v/>
      </c>
    </row>
    <row r="289">
      <c r="D289" s="2" t="n">
        <v>280</v>
      </c>
      <c r="E289" s="39" t="n"/>
      <c r="F289" s="28" t="n"/>
      <c r="G289" s="30" t="n"/>
      <c r="H289" s="30" t="n"/>
      <c r="I289" s="69">
        <f>+D289&amp;E289</f>
        <v/>
      </c>
    </row>
    <row r="290">
      <c r="D290" s="2" t="n">
        <v>281</v>
      </c>
      <c r="E290" s="39" t="n"/>
      <c r="F290" s="28" t="n"/>
      <c r="G290" s="30" t="n"/>
      <c r="H290" s="30" t="n"/>
      <c r="I290" s="69">
        <f>+D290&amp;E290</f>
        <v/>
      </c>
    </row>
    <row r="291">
      <c r="D291" s="2" t="n">
        <v>282</v>
      </c>
      <c r="E291" s="39" t="n"/>
      <c r="F291" s="28" t="n"/>
      <c r="G291" s="30" t="n"/>
      <c r="H291" s="30" t="n"/>
      <c r="I291" s="69">
        <f>+D291&amp;E291</f>
        <v/>
      </c>
    </row>
    <row r="292">
      <c r="D292" s="2" t="n">
        <v>283</v>
      </c>
      <c r="E292" s="39" t="n"/>
      <c r="F292" s="28" t="n"/>
      <c r="G292" s="30" t="n"/>
      <c r="H292" s="30" t="n"/>
      <c r="I292" s="69">
        <f>+D292&amp;E292</f>
        <v/>
      </c>
    </row>
    <row r="293">
      <c r="D293" s="2" t="n">
        <v>284</v>
      </c>
      <c r="E293" s="39" t="n"/>
      <c r="F293" s="28" t="n"/>
      <c r="G293" s="30" t="n"/>
      <c r="H293" s="30" t="n"/>
      <c r="I293" s="69">
        <f>+D293&amp;E293</f>
        <v/>
      </c>
    </row>
    <row r="294">
      <c r="D294" s="2" t="n">
        <v>285</v>
      </c>
      <c r="E294" s="39" t="n"/>
      <c r="F294" s="28" t="n"/>
      <c r="G294" s="30" t="n"/>
      <c r="H294" s="30" t="n"/>
      <c r="I294" s="69">
        <f>+D294&amp;E294</f>
        <v/>
      </c>
    </row>
    <row r="295">
      <c r="D295" s="2" t="n">
        <v>286</v>
      </c>
      <c r="E295" s="39" t="n"/>
      <c r="F295" s="28" t="n"/>
      <c r="G295" s="30" t="n"/>
      <c r="H295" s="30" t="n"/>
      <c r="I295" s="69">
        <f>+D295&amp;E295</f>
        <v/>
      </c>
    </row>
    <row r="296">
      <c r="D296" s="2" t="n">
        <v>287</v>
      </c>
      <c r="E296" s="39" t="n"/>
      <c r="F296" s="28" t="n"/>
      <c r="G296" s="30" t="n"/>
      <c r="H296" s="30" t="n"/>
      <c r="I296" s="69">
        <f>+D296&amp;E296</f>
        <v/>
      </c>
    </row>
    <row r="297">
      <c r="D297" s="2" t="n">
        <v>288</v>
      </c>
      <c r="E297" s="39" t="n"/>
      <c r="F297" s="28" t="n"/>
      <c r="G297" s="30" t="n"/>
      <c r="H297" s="30" t="n"/>
      <c r="I297" s="69">
        <f>+D297&amp;E297</f>
        <v/>
      </c>
    </row>
    <row r="298">
      <c r="D298" s="2" t="n">
        <v>289</v>
      </c>
      <c r="E298" s="39" t="n"/>
      <c r="F298" s="28" t="n"/>
      <c r="G298" s="30" t="n"/>
      <c r="H298" s="30" t="n"/>
      <c r="I298" s="69">
        <f>+D298&amp;E298</f>
        <v/>
      </c>
    </row>
    <row r="299">
      <c r="D299" s="2" t="n">
        <v>290</v>
      </c>
      <c r="E299" s="39" t="n"/>
      <c r="F299" s="28" t="n"/>
      <c r="G299" s="30" t="n"/>
      <c r="H299" s="30" t="n"/>
      <c r="I299" s="69">
        <f>+D299&amp;E299</f>
        <v/>
      </c>
    </row>
    <row r="300">
      <c r="D300" s="2" t="n">
        <v>291</v>
      </c>
      <c r="E300" s="39" t="n"/>
      <c r="F300" s="28" t="n"/>
      <c r="G300" s="30" t="n"/>
      <c r="H300" s="30" t="n"/>
      <c r="I300" s="69">
        <f>+D300&amp;E300</f>
        <v/>
      </c>
    </row>
    <row r="301">
      <c r="D301" s="2" t="n">
        <v>292</v>
      </c>
      <c r="E301" s="39" t="n"/>
      <c r="F301" s="28" t="n"/>
      <c r="G301" s="30" t="n"/>
      <c r="H301" s="30" t="n"/>
      <c r="I301" s="69">
        <f>+D301&amp;E301</f>
        <v/>
      </c>
    </row>
    <row r="302">
      <c r="D302" s="2" t="n">
        <v>293</v>
      </c>
      <c r="E302" s="39" t="n"/>
      <c r="F302" s="28" t="n"/>
      <c r="G302" s="30" t="n"/>
      <c r="H302" s="30" t="n"/>
      <c r="I302" s="69">
        <f>+D302&amp;E302</f>
        <v/>
      </c>
    </row>
    <row r="303">
      <c r="D303" s="2" t="n">
        <v>294</v>
      </c>
      <c r="E303" s="39" t="n"/>
      <c r="F303" s="28" t="n"/>
      <c r="G303" s="30" t="n"/>
      <c r="H303" s="30" t="n"/>
      <c r="I303" s="69">
        <f>+D303&amp;E303</f>
        <v/>
      </c>
    </row>
    <row r="304">
      <c r="D304" s="2" t="n">
        <v>295</v>
      </c>
      <c r="E304" s="39" t="n"/>
      <c r="F304" s="28" t="n"/>
      <c r="G304" s="30" t="n"/>
      <c r="H304" s="30" t="n"/>
      <c r="I304" s="69">
        <f>+D304&amp;E304</f>
        <v/>
      </c>
    </row>
    <row r="305">
      <c r="D305" s="2" t="n">
        <v>296</v>
      </c>
      <c r="E305" s="39" t="n"/>
      <c r="F305" s="28" t="n"/>
      <c r="G305" s="30" t="n"/>
      <c r="H305" s="30" t="n"/>
      <c r="I305" s="69">
        <f>+D305&amp;E305</f>
        <v/>
      </c>
    </row>
    <row r="306">
      <c r="D306" s="2" t="n">
        <v>297</v>
      </c>
      <c r="E306" s="39" t="n"/>
      <c r="F306" s="28" t="n"/>
      <c r="G306" s="30" t="n"/>
      <c r="H306" s="30" t="n"/>
      <c r="I306" s="69">
        <f>+D306&amp;E306</f>
        <v/>
      </c>
    </row>
    <row r="307">
      <c r="D307" s="2" t="n">
        <v>298</v>
      </c>
      <c r="E307" s="39" t="n"/>
      <c r="F307" s="28" t="n"/>
      <c r="G307" s="30" t="n"/>
      <c r="H307" s="30" t="n"/>
      <c r="I307" s="69">
        <f>+D307&amp;E307</f>
        <v/>
      </c>
    </row>
    <row r="308">
      <c r="D308" s="2" t="n">
        <v>299</v>
      </c>
      <c r="E308" s="39" t="n"/>
      <c r="F308" s="28" t="n"/>
      <c r="G308" s="30" t="n"/>
      <c r="H308" s="30" t="n"/>
      <c r="I308" s="69">
        <f>+D308&amp;E308</f>
        <v/>
      </c>
    </row>
    <row r="309">
      <c r="D309" s="2" t="n">
        <v>300</v>
      </c>
      <c r="E309" s="39" t="n"/>
      <c r="F309" s="28" t="n"/>
      <c r="G309" s="30" t="n"/>
      <c r="H309" s="30" t="n"/>
      <c r="I309" s="69">
        <f>+D309&amp;E309</f>
        <v/>
      </c>
    </row>
    <row r="310">
      <c r="D310" s="2" t="n">
        <v>301</v>
      </c>
      <c r="E310" s="39" t="n"/>
      <c r="F310" s="28" t="n"/>
      <c r="G310" s="30" t="n"/>
      <c r="H310" s="30" t="n"/>
      <c r="I310" s="69">
        <f>+D310&amp;E310</f>
        <v/>
      </c>
    </row>
    <row r="311">
      <c r="D311" s="2" t="n">
        <v>302</v>
      </c>
      <c r="E311" s="39" t="n"/>
      <c r="F311" s="28" t="n"/>
      <c r="G311" s="30" t="n"/>
      <c r="H311" s="30" t="n"/>
      <c r="I311" s="69">
        <f>+D311&amp;E311</f>
        <v/>
      </c>
    </row>
    <row r="312">
      <c r="D312" s="2" t="n">
        <v>303</v>
      </c>
      <c r="E312" s="39" t="n"/>
      <c r="F312" s="28" t="n"/>
      <c r="G312" s="30" t="n"/>
      <c r="H312" s="30" t="n"/>
      <c r="I312" s="69">
        <f>+D312&amp;E312</f>
        <v/>
      </c>
    </row>
    <row r="313">
      <c r="D313" s="2" t="n">
        <v>304</v>
      </c>
      <c r="E313" s="39" t="n"/>
      <c r="F313" s="28" t="n"/>
      <c r="G313" s="30" t="n"/>
      <c r="H313" s="30" t="n"/>
      <c r="I313" s="69">
        <f>+D313&amp;E313</f>
        <v/>
      </c>
    </row>
    <row r="314">
      <c r="D314" s="2" t="n">
        <v>305</v>
      </c>
      <c r="E314" s="39" t="n"/>
      <c r="F314" s="28" t="n"/>
      <c r="G314" s="30" t="n"/>
      <c r="H314" s="30" t="n"/>
      <c r="I314" s="69">
        <f>+D314&amp;E314</f>
        <v/>
      </c>
    </row>
    <row r="315">
      <c r="D315" s="2" t="n">
        <v>306</v>
      </c>
      <c r="E315" s="39" t="n"/>
      <c r="F315" s="28" t="n"/>
      <c r="G315" s="30" t="n"/>
      <c r="H315" s="30" t="n"/>
      <c r="I315" s="69">
        <f>+D315&amp;E315</f>
        <v/>
      </c>
    </row>
    <row r="316">
      <c r="D316" s="2" t="n">
        <v>307</v>
      </c>
      <c r="E316" s="39" t="n"/>
      <c r="F316" s="28" t="n"/>
      <c r="G316" s="30" t="n"/>
      <c r="H316" s="30" t="n"/>
      <c r="I316" s="69">
        <f>+D316&amp;E316</f>
        <v/>
      </c>
    </row>
    <row r="317">
      <c r="D317" s="2" t="n">
        <v>308</v>
      </c>
      <c r="E317" s="39" t="n"/>
      <c r="F317" s="28" t="n"/>
      <c r="G317" s="30" t="n"/>
      <c r="H317" s="30" t="n"/>
      <c r="I317" s="69">
        <f>+D317&amp;E317</f>
        <v/>
      </c>
    </row>
    <row r="318">
      <c r="D318" s="2" t="n">
        <v>309</v>
      </c>
      <c r="E318" s="39" t="n"/>
      <c r="F318" s="28" t="n"/>
      <c r="G318" s="30" t="n"/>
      <c r="H318" s="30" t="n"/>
      <c r="I318" s="69">
        <f>+D318&amp;E318</f>
        <v/>
      </c>
    </row>
    <row r="319">
      <c r="D319" s="2" t="n">
        <v>310</v>
      </c>
      <c r="E319" s="39" t="n"/>
      <c r="F319" s="28" t="n"/>
      <c r="G319" s="30" t="n"/>
      <c r="H319" s="30" t="n"/>
      <c r="I319" s="69">
        <f>+D319&amp;E319</f>
        <v/>
      </c>
    </row>
    <row r="320">
      <c r="D320" s="2" t="n">
        <v>311</v>
      </c>
      <c r="E320" s="39" t="n"/>
      <c r="F320" s="28" t="n"/>
      <c r="G320" s="30" t="n"/>
      <c r="H320" s="30" t="n"/>
      <c r="I320" s="69">
        <f>+D320&amp;E320</f>
        <v/>
      </c>
    </row>
    <row r="321">
      <c r="D321" s="2" t="n">
        <v>312</v>
      </c>
      <c r="E321" s="39" t="n"/>
      <c r="F321" s="28" t="n"/>
      <c r="G321" s="30" t="n"/>
      <c r="H321" s="30" t="n"/>
      <c r="I321" s="69">
        <f>+D321&amp;E321</f>
        <v/>
      </c>
    </row>
    <row r="322">
      <c r="D322" s="2" t="n">
        <v>313</v>
      </c>
      <c r="E322" s="39" t="n"/>
      <c r="F322" s="28" t="n"/>
      <c r="G322" s="30" t="n"/>
      <c r="H322" s="30" t="n"/>
      <c r="I322" s="69">
        <f>+D322&amp;E322</f>
        <v/>
      </c>
    </row>
    <row r="323">
      <c r="D323" s="2" t="n">
        <v>314</v>
      </c>
      <c r="E323" s="39" t="n"/>
      <c r="F323" s="28" t="n"/>
      <c r="G323" s="30" t="n"/>
      <c r="H323" s="30" t="n"/>
      <c r="I323" s="69">
        <f>+D323&amp;E323</f>
        <v/>
      </c>
    </row>
    <row r="324">
      <c r="D324" s="2" t="n">
        <v>315</v>
      </c>
      <c r="E324" s="39" t="n"/>
      <c r="F324" s="28" t="n"/>
      <c r="G324" s="30" t="n"/>
      <c r="H324" s="30" t="n"/>
      <c r="I324" s="69">
        <f>+D324&amp;E324</f>
        <v/>
      </c>
    </row>
    <row r="325">
      <c r="D325" s="2" t="n">
        <v>316</v>
      </c>
      <c r="E325" s="39" t="n"/>
      <c r="F325" s="28" t="n"/>
      <c r="G325" s="30" t="n"/>
      <c r="H325" s="30" t="n"/>
      <c r="I325" s="69">
        <f>+D325&amp;E325</f>
        <v/>
      </c>
    </row>
    <row r="326">
      <c r="D326" s="2" t="n">
        <v>317</v>
      </c>
      <c r="E326" s="39" t="n"/>
      <c r="F326" s="28" t="n"/>
      <c r="G326" s="30" t="n"/>
      <c r="H326" s="30" t="n"/>
      <c r="I326" s="69">
        <f>+D326&amp;E326</f>
        <v/>
      </c>
    </row>
    <row r="327">
      <c r="D327" s="2" t="n">
        <v>318</v>
      </c>
      <c r="E327" s="39" t="n"/>
      <c r="F327" s="28" t="n"/>
      <c r="G327" s="30" t="n"/>
      <c r="H327" s="30" t="n"/>
      <c r="I327" s="69">
        <f>+D327&amp;E327</f>
        <v/>
      </c>
    </row>
    <row r="328">
      <c r="D328" s="2" t="n">
        <v>319</v>
      </c>
      <c r="E328" s="39" t="n"/>
      <c r="F328" s="28" t="n"/>
      <c r="G328" s="30" t="n"/>
      <c r="H328" s="30" t="n"/>
      <c r="I328" s="69">
        <f>+D328&amp;E328</f>
        <v/>
      </c>
    </row>
    <row r="329">
      <c r="D329" s="2" t="n">
        <v>320</v>
      </c>
      <c r="E329" s="39" t="n"/>
      <c r="F329" s="28" t="n"/>
      <c r="G329" s="30" t="n"/>
      <c r="H329" s="30" t="n"/>
      <c r="I329" s="69">
        <f>+D329&amp;E329</f>
        <v/>
      </c>
    </row>
    <row r="330">
      <c r="D330" s="2" t="n">
        <v>321</v>
      </c>
      <c r="E330" s="39" t="n"/>
      <c r="F330" s="28" t="n"/>
      <c r="G330" s="30" t="n"/>
      <c r="H330" s="30" t="n"/>
      <c r="I330" s="69">
        <f>+D330&amp;E330</f>
        <v/>
      </c>
    </row>
    <row r="331">
      <c r="D331" s="2" t="n">
        <v>322</v>
      </c>
      <c r="E331" s="39" t="n"/>
      <c r="F331" s="28" t="n"/>
      <c r="G331" s="30" t="n"/>
      <c r="H331" s="30" t="n"/>
      <c r="I331" s="69">
        <f>+D331&amp;E331</f>
        <v/>
      </c>
    </row>
    <row r="332">
      <c r="D332" s="2" t="n">
        <v>323</v>
      </c>
      <c r="E332" s="39" t="n"/>
      <c r="F332" s="28" t="n"/>
      <c r="G332" s="30" t="n"/>
      <c r="H332" s="30" t="n"/>
      <c r="I332" s="69">
        <f>+D332&amp;E332</f>
        <v/>
      </c>
    </row>
    <row r="333">
      <c r="D333" s="2" t="n">
        <v>324</v>
      </c>
      <c r="E333" s="39" t="n"/>
      <c r="F333" s="28" t="n"/>
      <c r="G333" s="30" t="n"/>
      <c r="H333" s="30" t="n"/>
      <c r="I333" s="69">
        <f>+D333&amp;E333</f>
        <v/>
      </c>
    </row>
    <row r="334">
      <c r="D334" s="2" t="n">
        <v>325</v>
      </c>
      <c r="E334" s="39" t="n"/>
      <c r="F334" s="28" t="n"/>
      <c r="G334" s="30" t="n"/>
      <c r="H334" s="30" t="n"/>
      <c r="I334" s="69">
        <f>+D334&amp;E334</f>
        <v/>
      </c>
    </row>
    <row r="335">
      <c r="D335" s="2" t="n">
        <v>326</v>
      </c>
      <c r="E335" s="39" t="n"/>
      <c r="F335" s="28" t="n"/>
      <c r="G335" s="30" t="n"/>
      <c r="H335" s="30" t="n"/>
      <c r="I335" s="69">
        <f>+D335&amp;E335</f>
        <v/>
      </c>
    </row>
    <row r="336">
      <c r="D336" s="2" t="n">
        <v>327</v>
      </c>
      <c r="E336" s="39" t="n"/>
      <c r="F336" s="28" t="n"/>
      <c r="G336" s="30" t="n"/>
      <c r="H336" s="30" t="n"/>
      <c r="I336" s="69">
        <f>+D336&amp;E336</f>
        <v/>
      </c>
    </row>
    <row r="337">
      <c r="D337" s="2" t="n">
        <v>328</v>
      </c>
      <c r="E337" s="39" t="n"/>
      <c r="F337" s="28" t="n"/>
      <c r="G337" s="30" t="n"/>
      <c r="H337" s="30" t="n"/>
      <c r="I337" s="69">
        <f>+D337&amp;E337</f>
        <v/>
      </c>
    </row>
    <row r="338">
      <c r="D338" s="2" t="n">
        <v>329</v>
      </c>
      <c r="E338" s="39" t="n"/>
      <c r="F338" s="28" t="n"/>
      <c r="G338" s="30" t="n"/>
      <c r="H338" s="30" t="n"/>
      <c r="I338" s="69">
        <f>+D338&amp;E338</f>
        <v/>
      </c>
    </row>
    <row r="339">
      <c r="D339" s="2" t="n">
        <v>330</v>
      </c>
      <c r="E339" s="39" t="n"/>
      <c r="F339" s="28" t="n"/>
      <c r="G339" s="30" t="n"/>
      <c r="H339" s="30" t="n"/>
      <c r="I339" s="69">
        <f>+D339&amp;E339</f>
        <v/>
      </c>
    </row>
    <row r="340">
      <c r="D340" s="2" t="n">
        <v>331</v>
      </c>
      <c r="E340" s="39" t="n"/>
      <c r="F340" s="28" t="n"/>
      <c r="G340" s="30" t="n"/>
      <c r="H340" s="30" t="n"/>
      <c r="I340" s="69">
        <f>+D340&amp;E340</f>
        <v/>
      </c>
    </row>
    <row r="341">
      <c r="D341" s="2" t="n">
        <v>332</v>
      </c>
      <c r="E341" s="39" t="n"/>
      <c r="F341" s="28" t="n"/>
      <c r="G341" s="30" t="n"/>
      <c r="H341" s="30" t="n"/>
      <c r="I341" s="69">
        <f>+D341&amp;E341</f>
        <v/>
      </c>
    </row>
    <row r="342">
      <c r="D342" s="2" t="n">
        <v>333</v>
      </c>
      <c r="E342" s="39" t="n"/>
      <c r="F342" s="28" t="n"/>
      <c r="G342" s="30" t="n"/>
      <c r="H342" s="30" t="n"/>
      <c r="I342" s="69">
        <f>+D342&amp;E342</f>
        <v/>
      </c>
    </row>
    <row r="343">
      <c r="D343" s="2" t="n">
        <v>334</v>
      </c>
      <c r="E343" s="39" t="n"/>
      <c r="F343" s="28" t="n"/>
      <c r="G343" s="30" t="n"/>
      <c r="H343" s="30" t="n"/>
      <c r="I343" s="69">
        <f>+D343&amp;E343</f>
        <v/>
      </c>
    </row>
    <row r="344">
      <c r="D344" s="2" t="n">
        <v>335</v>
      </c>
      <c r="E344" s="39" t="n"/>
      <c r="F344" s="28" t="n"/>
      <c r="G344" s="30" t="n"/>
      <c r="H344" s="30" t="n"/>
      <c r="I344" s="69">
        <f>+D344&amp;E344</f>
        <v/>
      </c>
    </row>
    <row r="345">
      <c r="D345" s="2" t="n">
        <v>336</v>
      </c>
      <c r="E345" s="39" t="n"/>
      <c r="F345" s="28" t="n"/>
      <c r="G345" s="30" t="n"/>
      <c r="H345" s="30" t="n"/>
      <c r="I345" s="69">
        <f>+D345&amp;E345</f>
        <v/>
      </c>
    </row>
    <row r="346">
      <c r="D346" s="2" t="n">
        <v>337</v>
      </c>
      <c r="E346" s="39" t="n"/>
      <c r="F346" s="28" t="n"/>
      <c r="G346" s="30" t="n"/>
      <c r="H346" s="30" t="n"/>
      <c r="I346" s="69">
        <f>+D346&amp;E346</f>
        <v/>
      </c>
    </row>
    <row r="347">
      <c r="D347" s="2" t="n">
        <v>338</v>
      </c>
      <c r="E347" s="39" t="n"/>
      <c r="F347" s="28" t="n"/>
      <c r="G347" s="30" t="n"/>
      <c r="H347" s="30" t="n"/>
      <c r="I347" s="69">
        <f>+D347&amp;E347</f>
        <v/>
      </c>
    </row>
    <row r="348">
      <c r="D348" s="2" t="n">
        <v>339</v>
      </c>
      <c r="E348" s="39" t="n"/>
      <c r="F348" s="28" t="n"/>
      <c r="G348" s="30" t="n"/>
      <c r="H348" s="30" t="n"/>
      <c r="I348" s="69">
        <f>+D348&amp;E348</f>
        <v/>
      </c>
    </row>
    <row r="349">
      <c r="D349" s="2" t="n">
        <v>340</v>
      </c>
      <c r="E349" s="39" t="n"/>
      <c r="F349" s="28" t="n"/>
      <c r="G349" s="30" t="n"/>
      <c r="H349" s="30" t="n"/>
      <c r="I349" s="69">
        <f>+D349&amp;E349</f>
        <v/>
      </c>
    </row>
    <row r="350">
      <c r="D350" s="2" t="n">
        <v>341</v>
      </c>
      <c r="E350" s="39" t="n"/>
      <c r="F350" s="28" t="n"/>
      <c r="G350" s="30" t="n"/>
      <c r="H350" s="30" t="n"/>
      <c r="I350" s="69">
        <f>+D350&amp;E350</f>
        <v/>
      </c>
    </row>
    <row r="351">
      <c r="D351" s="2" t="n">
        <v>342</v>
      </c>
      <c r="E351" s="39" t="n"/>
      <c r="F351" s="28" t="n"/>
      <c r="G351" s="30" t="n"/>
      <c r="H351" s="30" t="n"/>
      <c r="I351" s="69">
        <f>+D351&amp;E351</f>
        <v/>
      </c>
    </row>
    <row r="352">
      <c r="D352" s="2" t="n">
        <v>343</v>
      </c>
      <c r="E352" s="39" t="n"/>
      <c r="F352" s="28" t="n"/>
      <c r="G352" s="30" t="n"/>
      <c r="H352" s="30" t="n"/>
      <c r="I352" s="69">
        <f>+D352&amp;E352</f>
        <v/>
      </c>
    </row>
    <row r="353">
      <c r="D353" s="2" t="n">
        <v>344</v>
      </c>
      <c r="E353" s="39" t="n"/>
      <c r="F353" s="28" t="n"/>
      <c r="G353" s="30" t="n"/>
      <c r="H353" s="30" t="n"/>
      <c r="I353" s="69">
        <f>+D353&amp;E353</f>
        <v/>
      </c>
    </row>
    <row r="354">
      <c r="D354" s="2" t="n">
        <v>345</v>
      </c>
      <c r="E354" s="39" t="n"/>
      <c r="F354" s="28" t="n"/>
      <c r="G354" s="30" t="n"/>
      <c r="H354" s="30" t="n"/>
      <c r="I354" s="69">
        <f>+D354&amp;E354</f>
        <v/>
      </c>
    </row>
    <row r="355">
      <c r="D355" s="2" t="n">
        <v>346</v>
      </c>
      <c r="E355" s="39" t="n"/>
      <c r="F355" s="28" t="n"/>
      <c r="G355" s="30" t="n"/>
      <c r="H355" s="30" t="n"/>
      <c r="I355" s="69">
        <f>+D355&amp;E355</f>
        <v/>
      </c>
    </row>
    <row r="356">
      <c r="D356" s="2" t="n">
        <v>347</v>
      </c>
      <c r="E356" s="39" t="n"/>
      <c r="F356" s="28" t="n"/>
      <c r="G356" s="30" t="n"/>
      <c r="H356" s="30" t="n"/>
      <c r="I356" s="69">
        <f>+D356&amp;E356</f>
        <v/>
      </c>
    </row>
    <row r="357">
      <c r="D357" s="2" t="n">
        <v>348</v>
      </c>
      <c r="E357" s="39" t="n"/>
      <c r="F357" s="28" t="n"/>
      <c r="G357" s="30" t="n"/>
      <c r="H357" s="30" t="n"/>
      <c r="I357" s="69">
        <f>+D357&amp;E357</f>
        <v/>
      </c>
    </row>
    <row r="358">
      <c r="D358" s="2" t="n">
        <v>349</v>
      </c>
      <c r="E358" s="39" t="n"/>
      <c r="F358" s="28" t="n"/>
      <c r="G358" s="30" t="n"/>
      <c r="H358" s="30" t="n"/>
      <c r="I358" s="69">
        <f>+D358&amp;E358</f>
        <v/>
      </c>
    </row>
    <row r="359">
      <c r="D359" s="2" t="n">
        <v>350</v>
      </c>
      <c r="E359" s="39" t="n"/>
      <c r="F359" s="28" t="n"/>
      <c r="G359" s="30" t="n"/>
      <c r="H359" s="30" t="n"/>
      <c r="I359" s="69">
        <f>+D359&amp;E359</f>
        <v/>
      </c>
    </row>
    <row r="360">
      <c r="D360" s="2" t="n">
        <v>351</v>
      </c>
      <c r="E360" s="39" t="n"/>
      <c r="F360" s="28" t="n"/>
      <c r="G360" s="30" t="n"/>
      <c r="H360" s="30" t="n"/>
      <c r="I360" s="69">
        <f>+D360&amp;E360</f>
        <v/>
      </c>
    </row>
    <row r="361">
      <c r="D361" s="2" t="n">
        <v>352</v>
      </c>
      <c r="E361" s="39" t="n"/>
      <c r="F361" s="28" t="n"/>
      <c r="G361" s="30" t="n"/>
      <c r="H361" s="30" t="n"/>
      <c r="I361" s="69">
        <f>+D361&amp;E361</f>
        <v/>
      </c>
    </row>
    <row r="362">
      <c r="D362" s="2" t="n">
        <v>353</v>
      </c>
      <c r="E362" s="39" t="n"/>
      <c r="F362" s="28" t="n"/>
      <c r="G362" s="30" t="n"/>
      <c r="H362" s="30" t="n"/>
      <c r="I362" s="69">
        <f>+D362&amp;E362</f>
        <v/>
      </c>
    </row>
    <row r="363">
      <c r="D363" s="2" t="n">
        <v>354</v>
      </c>
      <c r="E363" s="39" t="n"/>
      <c r="F363" s="28" t="n"/>
      <c r="G363" s="30" t="n"/>
      <c r="H363" s="30" t="n"/>
      <c r="I363" s="69">
        <f>+D363&amp;E363</f>
        <v/>
      </c>
    </row>
    <row r="364">
      <c r="D364" s="2" t="n">
        <v>355</v>
      </c>
      <c r="E364" s="39" t="n"/>
      <c r="F364" s="28" t="n"/>
      <c r="G364" s="30" t="n"/>
      <c r="H364" s="30" t="n"/>
      <c r="I364" s="69">
        <f>+D364&amp;E364</f>
        <v/>
      </c>
    </row>
    <row r="365">
      <c r="D365" s="2" t="n">
        <v>356</v>
      </c>
      <c r="E365" s="39" t="n"/>
      <c r="F365" s="28" t="n"/>
      <c r="G365" s="30" t="n"/>
      <c r="H365" s="30" t="n"/>
      <c r="I365" s="69">
        <f>+D365&amp;E365</f>
        <v/>
      </c>
    </row>
    <row r="366">
      <c r="D366" s="2" t="n">
        <v>357</v>
      </c>
      <c r="E366" s="39" t="n"/>
      <c r="F366" s="28" t="n"/>
      <c r="G366" s="30" t="n"/>
      <c r="H366" s="30" t="n"/>
      <c r="I366" s="69">
        <f>+D366&amp;E366</f>
        <v/>
      </c>
    </row>
    <row r="367">
      <c r="D367" s="2" t="n">
        <v>358</v>
      </c>
      <c r="E367" s="39" t="n"/>
      <c r="F367" s="28" t="n"/>
      <c r="G367" s="30" t="n"/>
      <c r="H367" s="30" t="n"/>
      <c r="I367" s="69">
        <f>+D367&amp;E367</f>
        <v/>
      </c>
    </row>
    <row r="368">
      <c r="D368" s="2" t="n">
        <v>359</v>
      </c>
      <c r="E368" s="39" t="n"/>
      <c r="F368" s="28" t="n"/>
      <c r="G368" s="30" t="n"/>
      <c r="H368" s="30" t="n"/>
      <c r="I368" s="69">
        <f>+D368&amp;E368</f>
        <v/>
      </c>
    </row>
    <row r="369">
      <c r="D369" s="2" t="n">
        <v>360</v>
      </c>
      <c r="E369" s="39" t="n"/>
      <c r="F369" s="28" t="n"/>
      <c r="G369" s="30" t="n"/>
      <c r="H369" s="30" t="n"/>
      <c r="I369" s="69">
        <f>+D369&amp;E369</f>
        <v/>
      </c>
    </row>
    <row r="370">
      <c r="D370" s="2" t="n">
        <v>361</v>
      </c>
      <c r="E370" s="39" t="n"/>
      <c r="F370" s="28" t="n"/>
      <c r="G370" s="30" t="n"/>
      <c r="H370" s="30" t="n"/>
      <c r="I370" s="69">
        <f>+D370&amp;E370</f>
        <v/>
      </c>
    </row>
    <row r="371">
      <c r="D371" s="2" t="n">
        <v>362</v>
      </c>
      <c r="E371" s="39" t="n"/>
      <c r="F371" s="28" t="n"/>
      <c r="G371" s="30" t="n"/>
      <c r="H371" s="30" t="n"/>
      <c r="I371" s="69">
        <f>+D371&amp;E371</f>
        <v/>
      </c>
    </row>
    <row r="372">
      <c r="D372" s="2" t="n">
        <v>363</v>
      </c>
      <c r="E372" s="39" t="n"/>
      <c r="F372" s="28" t="n"/>
      <c r="G372" s="30" t="n"/>
      <c r="H372" s="30" t="n"/>
      <c r="I372" s="69">
        <f>+D372&amp;E372</f>
        <v/>
      </c>
    </row>
    <row r="373">
      <c r="D373" s="2" t="n">
        <v>364</v>
      </c>
      <c r="E373" s="39" t="n"/>
      <c r="F373" s="28" t="n"/>
      <c r="G373" s="30" t="n"/>
      <c r="H373" s="30" t="n"/>
      <c r="I373" s="69">
        <f>+D373&amp;E373</f>
        <v/>
      </c>
    </row>
    <row r="374">
      <c r="D374" s="2" t="n">
        <v>365</v>
      </c>
      <c r="E374" s="39" t="n"/>
      <c r="F374" s="28" t="n"/>
      <c r="G374" s="30" t="n"/>
      <c r="H374" s="30" t="n"/>
      <c r="I374" s="69">
        <f>+D374&amp;E374</f>
        <v/>
      </c>
    </row>
    <row r="375">
      <c r="D375" s="2" t="n">
        <v>366</v>
      </c>
      <c r="E375" s="39" t="n"/>
      <c r="F375" s="28" t="n"/>
      <c r="G375" s="30" t="n"/>
      <c r="H375" s="30" t="n"/>
      <c r="I375" s="69">
        <f>+D375&amp;E375</f>
        <v/>
      </c>
    </row>
    <row r="376">
      <c r="D376" s="2" t="n">
        <v>367</v>
      </c>
      <c r="E376" s="39" t="n"/>
      <c r="F376" s="28" t="n"/>
      <c r="G376" s="30" t="n"/>
      <c r="H376" s="30" t="n"/>
      <c r="I376" s="69">
        <f>+D376&amp;E376</f>
        <v/>
      </c>
    </row>
    <row r="377">
      <c r="D377" s="2" t="n">
        <v>368</v>
      </c>
      <c r="E377" s="39" t="n"/>
      <c r="F377" s="28" t="n"/>
      <c r="G377" s="30" t="n"/>
      <c r="H377" s="30" t="n"/>
      <c r="I377" s="69">
        <f>+D377&amp;E377</f>
        <v/>
      </c>
    </row>
    <row r="378">
      <c r="D378" s="2" t="n">
        <v>369</v>
      </c>
      <c r="E378" s="39" t="n"/>
      <c r="F378" s="28" t="n"/>
      <c r="G378" s="30" t="n"/>
      <c r="H378" s="30" t="n"/>
      <c r="I378" s="69">
        <f>+D378&amp;E378</f>
        <v/>
      </c>
    </row>
    <row r="379">
      <c r="D379" s="2" t="n">
        <v>370</v>
      </c>
      <c r="E379" s="39" t="n"/>
      <c r="F379" s="28" t="n"/>
      <c r="G379" s="30" t="n"/>
      <c r="H379" s="30" t="n"/>
      <c r="I379" s="69">
        <f>+D379&amp;E379</f>
        <v/>
      </c>
    </row>
    <row r="380">
      <c r="D380" s="2" t="n">
        <v>371</v>
      </c>
      <c r="E380" s="39" t="n"/>
      <c r="F380" s="28" t="n"/>
      <c r="G380" s="30" t="n"/>
      <c r="H380" s="30" t="n"/>
      <c r="I380" s="69">
        <f>+D380&amp;E380</f>
        <v/>
      </c>
    </row>
    <row r="381">
      <c r="D381" s="2" t="n">
        <v>372</v>
      </c>
      <c r="E381" s="39" t="n"/>
      <c r="F381" s="28" t="n"/>
      <c r="G381" s="30" t="n"/>
      <c r="H381" s="30" t="n"/>
      <c r="I381" s="69">
        <f>+D381&amp;E381</f>
        <v/>
      </c>
    </row>
    <row r="382">
      <c r="D382" s="2" t="n">
        <v>373</v>
      </c>
      <c r="E382" s="39" t="n"/>
      <c r="F382" s="28" t="n"/>
      <c r="G382" s="30" t="n"/>
      <c r="H382" s="30" t="n"/>
      <c r="I382" s="69">
        <f>+D382&amp;E382</f>
        <v/>
      </c>
    </row>
    <row r="383">
      <c r="D383" s="2" t="n">
        <v>374</v>
      </c>
      <c r="E383" s="39" t="n"/>
      <c r="F383" s="28" t="n"/>
      <c r="G383" s="30" t="n"/>
      <c r="H383" s="30" t="n"/>
      <c r="I383" s="69">
        <f>+D383&amp;E383</f>
        <v/>
      </c>
    </row>
    <row r="384">
      <c r="D384" s="2" t="n">
        <v>375</v>
      </c>
      <c r="E384" s="39" t="n"/>
      <c r="F384" s="28" t="n"/>
      <c r="G384" s="30" t="n"/>
      <c r="H384" s="30" t="n"/>
      <c r="I384" s="69">
        <f>+D384&amp;E384</f>
        <v/>
      </c>
    </row>
    <row r="385">
      <c r="D385" s="2" t="n">
        <v>376</v>
      </c>
      <c r="E385" s="39" t="n"/>
      <c r="F385" s="28" t="n"/>
      <c r="G385" s="30" t="n"/>
      <c r="H385" s="30" t="n"/>
      <c r="I385" s="69">
        <f>+D385&amp;E385</f>
        <v/>
      </c>
    </row>
    <row r="386">
      <c r="D386" s="2" t="n">
        <v>377</v>
      </c>
      <c r="E386" s="39" t="n"/>
      <c r="F386" s="28" t="n"/>
      <c r="G386" s="30" t="n"/>
      <c r="H386" s="30" t="n"/>
      <c r="I386" s="69">
        <f>+D386&amp;E386</f>
        <v/>
      </c>
    </row>
    <row r="387">
      <c r="D387" s="2" t="n">
        <v>378</v>
      </c>
      <c r="E387" s="39" t="n"/>
      <c r="F387" s="28" t="n"/>
      <c r="G387" s="30" t="n"/>
      <c r="H387" s="30" t="n"/>
      <c r="I387" s="69">
        <f>+D387&amp;E387</f>
        <v/>
      </c>
    </row>
    <row r="388">
      <c r="D388" s="2" t="n">
        <v>379</v>
      </c>
      <c r="E388" s="39" t="n"/>
      <c r="F388" s="28" t="n"/>
      <c r="G388" s="30" t="n"/>
      <c r="H388" s="30" t="n"/>
      <c r="I388" s="69">
        <f>+D388&amp;E388</f>
        <v/>
      </c>
    </row>
    <row r="389">
      <c r="D389" s="2" t="n">
        <v>380</v>
      </c>
      <c r="E389" s="39" t="n"/>
      <c r="F389" s="28" t="n"/>
      <c r="G389" s="30" t="n"/>
      <c r="H389" s="30" t="n"/>
      <c r="I389" s="69">
        <f>+D389&amp;E389</f>
        <v/>
      </c>
    </row>
    <row r="390">
      <c r="D390" s="2" t="n">
        <v>381</v>
      </c>
      <c r="E390" s="39" t="n"/>
      <c r="F390" s="28" t="n"/>
      <c r="G390" s="30" t="n"/>
      <c r="H390" s="30" t="n"/>
      <c r="I390" s="69">
        <f>+D390&amp;E390</f>
        <v/>
      </c>
    </row>
    <row r="391">
      <c r="D391" s="2" t="n">
        <v>382</v>
      </c>
      <c r="E391" s="39" t="n"/>
      <c r="F391" s="28" t="n"/>
      <c r="G391" s="30" t="n"/>
      <c r="H391" s="30" t="n"/>
      <c r="I391" s="69">
        <f>+D391&amp;E391</f>
        <v/>
      </c>
    </row>
    <row r="392">
      <c r="D392" s="2" t="n">
        <v>383</v>
      </c>
      <c r="E392" s="39" t="n"/>
      <c r="F392" s="28" t="n"/>
      <c r="G392" s="30" t="n"/>
      <c r="H392" s="30" t="n"/>
      <c r="I392" s="69">
        <f>+D392&amp;E392</f>
        <v/>
      </c>
    </row>
    <row r="393">
      <c r="D393" s="2" t="n">
        <v>384</v>
      </c>
      <c r="E393" s="39" t="n"/>
      <c r="F393" s="28" t="n"/>
      <c r="G393" s="30" t="n"/>
      <c r="H393" s="30" t="n"/>
      <c r="I393" s="69">
        <f>+D393&amp;E393</f>
        <v/>
      </c>
    </row>
    <row r="394">
      <c r="D394" s="2" t="n">
        <v>385</v>
      </c>
      <c r="E394" s="39" t="n"/>
      <c r="F394" s="28" t="n"/>
      <c r="G394" s="30" t="n"/>
      <c r="H394" s="30" t="n"/>
      <c r="I394" s="69">
        <f>+D394&amp;E394</f>
        <v/>
      </c>
    </row>
    <row r="395">
      <c r="D395" s="2" t="n">
        <v>386</v>
      </c>
      <c r="E395" s="39" t="n"/>
      <c r="F395" s="28" t="n"/>
      <c r="G395" s="30" t="n"/>
      <c r="H395" s="30" t="n"/>
      <c r="I395" s="69">
        <f>+D395&amp;E395</f>
        <v/>
      </c>
    </row>
    <row r="396">
      <c r="D396" s="2" t="n">
        <v>387</v>
      </c>
      <c r="E396" s="39" t="n"/>
      <c r="F396" s="28" t="n"/>
      <c r="G396" s="30" t="n"/>
      <c r="H396" s="30" t="n"/>
      <c r="I396" s="69">
        <f>+D396&amp;E396</f>
        <v/>
      </c>
    </row>
    <row r="397">
      <c r="D397" s="2" t="n">
        <v>388</v>
      </c>
      <c r="E397" s="39" t="n"/>
      <c r="F397" s="28" t="n"/>
      <c r="G397" s="30" t="n"/>
      <c r="H397" s="30" t="n"/>
      <c r="I397" s="69">
        <f>+D397&amp;E397</f>
        <v/>
      </c>
    </row>
    <row r="398">
      <c r="D398" s="2" t="n">
        <v>389</v>
      </c>
      <c r="E398" s="39" t="n"/>
      <c r="F398" s="28" t="n"/>
      <c r="G398" s="30" t="n"/>
      <c r="H398" s="30" t="n"/>
      <c r="I398" s="69">
        <f>+D398&amp;E398</f>
        <v/>
      </c>
    </row>
    <row r="399">
      <c r="D399" s="2" t="n">
        <v>390</v>
      </c>
      <c r="E399" s="39" t="n"/>
      <c r="F399" s="28" t="n"/>
      <c r="G399" s="30" t="n"/>
      <c r="H399" s="30" t="n"/>
      <c r="I399" s="69">
        <f>+D399&amp;E399</f>
        <v/>
      </c>
    </row>
    <row r="400">
      <c r="D400" s="2" t="n">
        <v>391</v>
      </c>
      <c r="E400" s="39" t="n"/>
      <c r="F400" s="28" t="n"/>
      <c r="G400" s="30" t="n"/>
      <c r="H400" s="30" t="n"/>
      <c r="I400" s="69">
        <f>+D400&amp;E400</f>
        <v/>
      </c>
    </row>
    <row r="401">
      <c r="D401" s="2" t="n">
        <v>392</v>
      </c>
      <c r="E401" s="39" t="n"/>
      <c r="F401" s="28" t="n"/>
      <c r="G401" s="30" t="n"/>
      <c r="H401" s="30" t="n"/>
      <c r="I401" s="69">
        <f>+D401&amp;E401</f>
        <v/>
      </c>
    </row>
    <row r="402">
      <c r="D402" s="2" t="n">
        <v>393</v>
      </c>
      <c r="E402" s="39" t="n"/>
      <c r="F402" s="28" t="n"/>
      <c r="G402" s="30" t="n"/>
      <c r="H402" s="30" t="n"/>
      <c r="I402" s="69">
        <f>+D402&amp;E402</f>
        <v/>
      </c>
    </row>
    <row r="403">
      <c r="D403" s="2" t="n">
        <v>394</v>
      </c>
      <c r="E403" s="39" t="n"/>
      <c r="F403" s="28" t="n"/>
      <c r="G403" s="30" t="n"/>
      <c r="H403" s="30" t="n"/>
      <c r="I403" s="69">
        <f>+D403&amp;E403</f>
        <v/>
      </c>
    </row>
    <row r="404">
      <c r="D404" s="2" t="n">
        <v>395</v>
      </c>
      <c r="E404" s="39" t="n"/>
      <c r="F404" s="28" t="n"/>
      <c r="G404" s="30" t="n"/>
      <c r="H404" s="30" t="n"/>
      <c r="I404" s="69">
        <f>+D404&amp;E404</f>
        <v/>
      </c>
    </row>
    <row r="405">
      <c r="D405" s="2" t="n">
        <v>396</v>
      </c>
      <c r="E405" s="39" t="n"/>
      <c r="F405" s="28" t="n"/>
      <c r="G405" s="30" t="n"/>
      <c r="H405" s="30" t="n"/>
      <c r="I405" s="69">
        <f>+D405&amp;E405</f>
        <v/>
      </c>
    </row>
    <row r="406">
      <c r="D406" s="2" t="n">
        <v>397</v>
      </c>
      <c r="E406" s="39" t="n"/>
      <c r="F406" s="28" t="n"/>
      <c r="G406" s="30" t="n"/>
      <c r="H406" s="30" t="n"/>
      <c r="I406" s="69">
        <f>+D406&amp;E406</f>
        <v/>
      </c>
    </row>
    <row r="407">
      <c r="D407" s="2" t="n">
        <v>398</v>
      </c>
      <c r="E407" s="39" t="n"/>
      <c r="F407" s="28" t="n"/>
      <c r="G407" s="30" t="n"/>
      <c r="H407" s="30" t="n"/>
      <c r="I407" s="69">
        <f>+D407&amp;E407</f>
        <v/>
      </c>
    </row>
    <row r="408">
      <c r="D408" s="2" t="n">
        <v>399</v>
      </c>
      <c r="E408" s="39" t="n"/>
      <c r="F408" s="28" t="n"/>
      <c r="G408" s="30" t="n"/>
      <c r="H408" s="30" t="n"/>
      <c r="I408" s="69">
        <f>+D408&amp;E408</f>
        <v/>
      </c>
    </row>
    <row r="409">
      <c r="D409" s="2" t="n">
        <v>400</v>
      </c>
      <c r="E409" s="39" t="n"/>
      <c r="F409" s="28" t="n"/>
      <c r="G409" s="30" t="n"/>
      <c r="H409" s="30" t="n"/>
      <c r="I409" s="69">
        <f>+D409&amp;E409</f>
        <v/>
      </c>
    </row>
    <row r="410">
      <c r="D410" s="2" t="n">
        <v>401</v>
      </c>
      <c r="E410" s="39" t="n"/>
      <c r="F410" s="28" t="n"/>
      <c r="G410" s="30" t="n"/>
      <c r="H410" s="30" t="n"/>
      <c r="I410" s="69">
        <f>+D410&amp;E410</f>
        <v/>
      </c>
    </row>
    <row r="411">
      <c r="D411" s="2" t="n">
        <v>402</v>
      </c>
      <c r="E411" s="39" t="n"/>
      <c r="F411" s="28" t="n"/>
      <c r="G411" s="30" t="n"/>
      <c r="H411" s="30" t="n"/>
      <c r="I411" s="69">
        <f>+D411&amp;E411</f>
        <v/>
      </c>
    </row>
    <row r="412">
      <c r="D412" s="2" t="n">
        <v>403</v>
      </c>
      <c r="E412" s="39" t="n"/>
      <c r="F412" s="28" t="n"/>
      <c r="G412" s="30" t="n"/>
      <c r="H412" s="30" t="n"/>
      <c r="I412" s="69">
        <f>+D412&amp;E412</f>
        <v/>
      </c>
    </row>
    <row r="413">
      <c r="D413" s="2" t="n">
        <v>404</v>
      </c>
      <c r="E413" s="39" t="n"/>
      <c r="F413" s="28" t="n"/>
      <c r="G413" s="30" t="n"/>
      <c r="H413" s="30" t="n"/>
      <c r="I413" s="69">
        <f>+D413&amp;E413</f>
        <v/>
      </c>
    </row>
    <row r="414">
      <c r="D414" s="2" t="n">
        <v>405</v>
      </c>
      <c r="E414" s="39" t="n"/>
      <c r="F414" s="28" t="n"/>
      <c r="G414" s="30" t="n"/>
      <c r="H414" s="30" t="n"/>
      <c r="I414" s="69">
        <f>+D414&amp;E414</f>
        <v/>
      </c>
    </row>
    <row r="415">
      <c r="D415" s="2" t="n">
        <v>406</v>
      </c>
      <c r="E415" s="39" t="n"/>
      <c r="F415" s="28" t="n"/>
      <c r="G415" s="30" t="n"/>
      <c r="H415" s="30" t="n"/>
      <c r="I415" s="69">
        <f>+D415&amp;E415</f>
        <v/>
      </c>
    </row>
    <row r="416">
      <c r="D416" s="2" t="n">
        <v>407</v>
      </c>
      <c r="E416" s="39" t="n"/>
      <c r="F416" s="28" t="n"/>
      <c r="G416" s="30" t="n"/>
      <c r="H416" s="30" t="n"/>
      <c r="I416" s="69">
        <f>+D416&amp;E416</f>
        <v/>
      </c>
    </row>
    <row r="417">
      <c r="D417" s="2" t="n">
        <v>408</v>
      </c>
      <c r="E417" s="39" t="n"/>
      <c r="F417" s="28" t="n"/>
      <c r="G417" s="30" t="n"/>
      <c r="H417" s="30" t="n"/>
      <c r="I417" s="69">
        <f>+D417&amp;E417</f>
        <v/>
      </c>
    </row>
    <row r="418">
      <c r="D418" s="2" t="n">
        <v>409</v>
      </c>
      <c r="E418" s="39" t="n"/>
      <c r="F418" s="28" t="n"/>
      <c r="G418" s="30" t="n"/>
      <c r="H418" s="30" t="n"/>
      <c r="I418" s="69">
        <f>+D418&amp;E418</f>
        <v/>
      </c>
    </row>
    <row r="419">
      <c r="D419" s="2" t="n">
        <v>410</v>
      </c>
      <c r="E419" s="39" t="n"/>
      <c r="F419" s="28" t="n"/>
      <c r="G419" s="30" t="n"/>
      <c r="H419" s="30" t="n"/>
      <c r="I419" s="69">
        <f>+D419&amp;E419</f>
        <v/>
      </c>
    </row>
    <row r="420">
      <c r="D420" s="2" t="n">
        <v>411</v>
      </c>
      <c r="E420" s="39" t="n"/>
      <c r="F420" s="28" t="n"/>
      <c r="G420" s="30" t="n"/>
      <c r="H420" s="30" t="n"/>
      <c r="I420" s="69">
        <f>+D420&amp;E420</f>
        <v/>
      </c>
    </row>
    <row r="421">
      <c r="D421" s="2" t="n">
        <v>412</v>
      </c>
      <c r="E421" s="39" t="n"/>
      <c r="F421" s="28" t="n"/>
      <c r="G421" s="30" t="n"/>
      <c r="H421" s="30" t="n"/>
      <c r="I421" s="69">
        <f>+D421&amp;E421</f>
        <v/>
      </c>
    </row>
    <row r="422">
      <c r="D422" s="2" t="n">
        <v>413</v>
      </c>
      <c r="E422" s="39" t="n"/>
      <c r="F422" s="28" t="n"/>
      <c r="G422" s="30" t="n"/>
      <c r="H422" s="30" t="n"/>
      <c r="I422" s="69">
        <f>+D422&amp;E422</f>
        <v/>
      </c>
    </row>
    <row r="423">
      <c r="D423" s="2" t="n">
        <v>414</v>
      </c>
      <c r="E423" s="39" t="n"/>
      <c r="F423" s="28" t="n"/>
      <c r="G423" s="30" t="n"/>
      <c r="H423" s="30" t="n"/>
      <c r="I423" s="69">
        <f>+D423&amp;E423</f>
        <v/>
      </c>
    </row>
    <row r="424">
      <c r="D424" s="2" t="n">
        <v>415</v>
      </c>
      <c r="E424" s="39" t="n"/>
      <c r="F424" s="28" t="n"/>
      <c r="G424" s="30" t="n"/>
      <c r="H424" s="30" t="n"/>
      <c r="I424" s="69">
        <f>+D424&amp;E424</f>
        <v/>
      </c>
    </row>
    <row r="425">
      <c r="D425" s="2" t="n">
        <v>416</v>
      </c>
      <c r="E425" s="39" t="n"/>
      <c r="F425" s="28" t="n"/>
      <c r="G425" s="30" t="n"/>
      <c r="H425" s="30" t="n"/>
      <c r="I425" s="69">
        <f>+D425&amp;E425</f>
        <v/>
      </c>
    </row>
    <row r="426">
      <c r="D426" s="2" t="n">
        <v>417</v>
      </c>
      <c r="E426" s="39" t="n"/>
      <c r="F426" s="28" t="n"/>
      <c r="G426" s="30" t="n"/>
      <c r="H426" s="30" t="n"/>
      <c r="I426" s="69">
        <f>+D426&amp;E426</f>
        <v/>
      </c>
    </row>
    <row r="427">
      <c r="D427" s="2" t="n">
        <v>418</v>
      </c>
      <c r="E427" s="39" t="n"/>
      <c r="F427" s="28" t="n"/>
      <c r="G427" s="30" t="n"/>
      <c r="H427" s="30" t="n"/>
      <c r="I427" s="69">
        <f>+D427&amp;E427</f>
        <v/>
      </c>
    </row>
    <row r="428">
      <c r="D428" s="2" t="n">
        <v>419</v>
      </c>
      <c r="E428" s="39" t="n"/>
      <c r="F428" s="28" t="n"/>
      <c r="G428" s="30" t="n"/>
      <c r="H428" s="30" t="n"/>
      <c r="I428" s="69">
        <f>+D428&amp;E428</f>
        <v/>
      </c>
    </row>
    <row r="429">
      <c r="D429" s="2" t="n">
        <v>420</v>
      </c>
      <c r="E429" s="39" t="n"/>
      <c r="F429" s="28" t="n"/>
      <c r="G429" s="30" t="n"/>
      <c r="H429" s="30" t="n"/>
      <c r="I429" s="69">
        <f>+D429&amp;E429</f>
        <v/>
      </c>
    </row>
    <row r="430">
      <c r="D430" s="2" t="n">
        <v>421</v>
      </c>
      <c r="E430" s="39" t="n"/>
      <c r="F430" s="28" t="n"/>
      <c r="G430" s="30" t="n"/>
      <c r="H430" s="30" t="n"/>
      <c r="I430" s="69">
        <f>+D430&amp;E430</f>
        <v/>
      </c>
    </row>
    <row r="431">
      <c r="D431" s="2" t="n">
        <v>422</v>
      </c>
      <c r="E431" s="39" t="n"/>
      <c r="F431" s="28" t="n"/>
      <c r="G431" s="30" t="n"/>
      <c r="H431" s="30" t="n"/>
      <c r="I431" s="69">
        <f>+D431&amp;E431</f>
        <v/>
      </c>
    </row>
    <row r="432">
      <c r="D432" s="2" t="n">
        <v>423</v>
      </c>
      <c r="E432" s="39" t="n"/>
      <c r="F432" s="28" t="n"/>
      <c r="G432" s="30" t="n"/>
      <c r="H432" s="30" t="n"/>
      <c r="I432" s="69">
        <f>+D432&amp;E432</f>
        <v/>
      </c>
    </row>
    <row r="433">
      <c r="D433" s="2" t="n">
        <v>424</v>
      </c>
      <c r="E433" s="39" t="n"/>
      <c r="F433" s="28" t="n"/>
      <c r="G433" s="30" t="n"/>
      <c r="H433" s="30" t="n"/>
      <c r="I433" s="69">
        <f>+D433&amp;E433</f>
        <v/>
      </c>
    </row>
    <row r="434">
      <c r="D434" s="2" t="n">
        <v>425</v>
      </c>
      <c r="E434" s="39" t="n"/>
      <c r="F434" s="28" t="n"/>
      <c r="G434" s="30" t="n"/>
      <c r="H434" s="30" t="n"/>
      <c r="I434" s="69">
        <f>+D434&amp;E434</f>
        <v/>
      </c>
    </row>
    <row r="435">
      <c r="D435" s="2" t="n">
        <v>426</v>
      </c>
      <c r="E435" s="39" t="n"/>
      <c r="F435" s="28" t="n"/>
      <c r="G435" s="30" t="n"/>
      <c r="H435" s="30" t="n"/>
      <c r="I435" s="69">
        <f>+D435&amp;E435</f>
        <v/>
      </c>
    </row>
    <row r="436">
      <c r="D436" s="2" t="n">
        <v>427</v>
      </c>
      <c r="E436" s="39" t="n"/>
      <c r="F436" s="28" t="n"/>
      <c r="G436" s="30" t="n"/>
      <c r="H436" s="30" t="n"/>
      <c r="I436" s="69">
        <f>+D436&amp;E436</f>
        <v/>
      </c>
    </row>
    <row r="437">
      <c r="D437" s="2" t="n">
        <v>428</v>
      </c>
      <c r="E437" s="39" t="n"/>
      <c r="F437" s="28" t="n"/>
      <c r="G437" s="30" t="n"/>
      <c r="H437" s="30" t="n"/>
      <c r="I437" s="69">
        <f>+D437&amp;E437</f>
        <v/>
      </c>
    </row>
    <row r="438">
      <c r="D438" s="2" t="n">
        <v>429</v>
      </c>
      <c r="E438" s="39" t="n"/>
      <c r="F438" s="28" t="n"/>
      <c r="G438" s="30" t="n"/>
      <c r="H438" s="30" t="n"/>
      <c r="I438" s="69">
        <f>+D438&amp;E438</f>
        <v/>
      </c>
    </row>
    <row r="439">
      <c r="D439" s="2" t="n">
        <v>430</v>
      </c>
      <c r="E439" s="39" t="n"/>
      <c r="F439" s="28" t="n"/>
      <c r="G439" s="30" t="n"/>
      <c r="H439" s="30" t="n"/>
      <c r="I439" s="69">
        <f>+D439&amp;E439</f>
        <v/>
      </c>
    </row>
    <row r="440">
      <c r="D440" s="2" t="n">
        <v>431</v>
      </c>
      <c r="E440" s="39" t="n"/>
      <c r="F440" s="28" t="n"/>
      <c r="G440" s="30" t="n"/>
      <c r="H440" s="30" t="n"/>
      <c r="I440" s="69">
        <f>+D440&amp;E440</f>
        <v/>
      </c>
    </row>
    <row r="441">
      <c r="D441" s="2" t="n">
        <v>432</v>
      </c>
      <c r="E441" s="39" t="n"/>
      <c r="F441" s="28" t="n"/>
      <c r="G441" s="30" t="n"/>
      <c r="H441" s="30" t="n"/>
      <c r="I441" s="69">
        <f>+D441&amp;E441</f>
        <v/>
      </c>
    </row>
    <row r="442">
      <c r="D442" s="2" t="n">
        <v>433</v>
      </c>
      <c r="E442" s="39" t="n"/>
      <c r="F442" s="28" t="n"/>
      <c r="G442" s="30" t="n"/>
      <c r="H442" s="30" t="n"/>
      <c r="I442" s="69">
        <f>+D442&amp;E442</f>
        <v/>
      </c>
    </row>
    <row r="443">
      <c r="D443" s="2" t="n">
        <v>434</v>
      </c>
      <c r="E443" s="39" t="n"/>
      <c r="F443" s="28" t="n"/>
      <c r="G443" s="30" t="n"/>
      <c r="H443" s="30" t="n"/>
      <c r="I443" s="69">
        <f>+D443&amp;E443</f>
        <v/>
      </c>
    </row>
    <row r="444">
      <c r="D444" s="2" t="n">
        <v>435</v>
      </c>
      <c r="E444" s="39" t="n"/>
      <c r="F444" s="28" t="n"/>
      <c r="G444" s="30" t="n"/>
      <c r="H444" s="30" t="n"/>
      <c r="I444" s="69">
        <f>+D444&amp;E444</f>
        <v/>
      </c>
    </row>
    <row r="445">
      <c r="D445" s="2" t="n">
        <v>436</v>
      </c>
      <c r="E445" s="39" t="n"/>
      <c r="F445" s="28" t="n"/>
      <c r="G445" s="30" t="n"/>
      <c r="H445" s="30" t="n"/>
      <c r="I445" s="69">
        <f>+D445&amp;E445</f>
        <v/>
      </c>
    </row>
    <row r="446">
      <c r="D446" s="2" t="n">
        <v>437</v>
      </c>
      <c r="E446" s="39" t="n"/>
      <c r="F446" s="28" t="n"/>
      <c r="G446" s="30" t="n"/>
      <c r="H446" s="30" t="n"/>
      <c r="I446" s="69">
        <f>+D446&amp;E446</f>
        <v/>
      </c>
    </row>
    <row r="447">
      <c r="D447" s="2" t="n">
        <v>438</v>
      </c>
      <c r="E447" s="39" t="n"/>
      <c r="F447" s="28" t="n"/>
      <c r="G447" s="30" t="n"/>
      <c r="H447" s="30" t="n"/>
      <c r="I447" s="69">
        <f>+D447&amp;E447</f>
        <v/>
      </c>
    </row>
    <row r="448">
      <c r="D448" s="2" t="n">
        <v>439</v>
      </c>
      <c r="E448" s="39" t="n"/>
      <c r="F448" s="28" t="n"/>
      <c r="G448" s="30" t="n"/>
      <c r="H448" s="30" t="n"/>
      <c r="I448" s="69">
        <f>+D448&amp;E448</f>
        <v/>
      </c>
    </row>
    <row r="449">
      <c r="D449" s="2" t="n">
        <v>440</v>
      </c>
      <c r="E449" s="39" t="n"/>
      <c r="F449" s="28" t="n"/>
      <c r="G449" s="30" t="n"/>
      <c r="H449" s="30" t="n"/>
      <c r="I449" s="69">
        <f>+D449&amp;E449</f>
        <v/>
      </c>
    </row>
    <row r="450">
      <c r="D450" s="2" t="n">
        <v>441</v>
      </c>
      <c r="E450" s="39" t="n"/>
      <c r="F450" s="28" t="n"/>
      <c r="G450" s="30" t="n"/>
      <c r="H450" s="30" t="n"/>
      <c r="I450" s="69">
        <f>+D450&amp;E450</f>
        <v/>
      </c>
    </row>
    <row r="451">
      <c r="D451" s="2" t="n">
        <v>442</v>
      </c>
      <c r="E451" s="39" t="n"/>
      <c r="F451" s="28" t="n"/>
      <c r="G451" s="30" t="n"/>
      <c r="H451" s="30" t="n"/>
      <c r="I451" s="69">
        <f>+D451&amp;E451</f>
        <v/>
      </c>
    </row>
    <row r="452">
      <c r="D452" s="2" t="n">
        <v>443</v>
      </c>
      <c r="E452" s="39" t="n"/>
      <c r="F452" s="28" t="n"/>
      <c r="G452" s="30" t="n"/>
      <c r="H452" s="30" t="n"/>
      <c r="I452" s="69">
        <f>+D452&amp;E452</f>
        <v/>
      </c>
    </row>
    <row r="453">
      <c r="D453" s="2" t="n">
        <v>444</v>
      </c>
      <c r="E453" s="39" t="n"/>
      <c r="F453" s="28" t="n"/>
      <c r="G453" s="30" t="n"/>
      <c r="H453" s="30" t="n"/>
      <c r="I453" s="69">
        <f>+D453&amp;E453</f>
        <v/>
      </c>
    </row>
    <row r="454">
      <c r="D454" s="2" t="n">
        <v>445</v>
      </c>
      <c r="E454" s="39" t="n"/>
      <c r="F454" s="28" t="n"/>
      <c r="G454" s="30" t="n"/>
      <c r="H454" s="30" t="n"/>
      <c r="I454" s="69">
        <f>+D454&amp;E454</f>
        <v/>
      </c>
    </row>
    <row r="455">
      <c r="D455" s="2" t="n">
        <v>446</v>
      </c>
      <c r="E455" s="39" t="n"/>
      <c r="F455" s="28" t="n"/>
      <c r="G455" s="30" t="n"/>
      <c r="H455" s="30" t="n"/>
      <c r="I455" s="69">
        <f>+D455&amp;E455</f>
        <v/>
      </c>
    </row>
    <row r="456">
      <c r="D456" s="2" t="n">
        <v>447</v>
      </c>
      <c r="E456" s="39" t="n"/>
      <c r="F456" s="28" t="n"/>
      <c r="G456" s="30" t="n"/>
      <c r="H456" s="30" t="n"/>
      <c r="I456" s="69">
        <f>+D456&amp;E456</f>
        <v/>
      </c>
    </row>
    <row r="457">
      <c r="D457" s="2" t="n">
        <v>448</v>
      </c>
      <c r="E457" s="39" t="n"/>
      <c r="F457" s="28" t="n"/>
      <c r="G457" s="30" t="n"/>
      <c r="H457" s="30" t="n"/>
      <c r="I457" s="69">
        <f>+D457&amp;E457</f>
        <v/>
      </c>
    </row>
    <row r="458">
      <c r="D458" s="2" t="n">
        <v>449</v>
      </c>
      <c r="E458" s="39" t="n"/>
      <c r="F458" s="28" t="n"/>
      <c r="G458" s="30" t="n"/>
      <c r="H458" s="30" t="n"/>
      <c r="I458" s="69">
        <f>+D458&amp;E458</f>
        <v/>
      </c>
    </row>
    <row r="459">
      <c r="D459" s="2" t="n">
        <v>450</v>
      </c>
      <c r="E459" s="39" t="n"/>
      <c r="F459" s="28" t="n"/>
      <c r="G459" s="30" t="n"/>
      <c r="H459" s="30" t="n"/>
      <c r="I459" s="69">
        <f>+D459&amp;E459</f>
        <v/>
      </c>
    </row>
    <row r="460">
      <c r="D460" s="2" t="n">
        <v>451</v>
      </c>
      <c r="E460" s="39" t="n"/>
      <c r="F460" s="28" t="n"/>
      <c r="G460" s="30" t="n"/>
      <c r="H460" s="30" t="n"/>
      <c r="I460" s="69">
        <f>+D460&amp;E460</f>
        <v/>
      </c>
    </row>
    <row r="461">
      <c r="D461" s="2" t="n">
        <v>452</v>
      </c>
      <c r="E461" s="39" t="n"/>
      <c r="F461" s="28" t="n"/>
      <c r="G461" s="30" t="n"/>
      <c r="H461" s="30" t="n"/>
      <c r="I461" s="69">
        <f>+D461&amp;E461</f>
        <v/>
      </c>
    </row>
    <row r="462">
      <c r="D462" s="2" t="n">
        <v>453</v>
      </c>
      <c r="E462" s="39" t="n"/>
      <c r="F462" s="28" t="n"/>
      <c r="G462" s="30" t="n"/>
      <c r="H462" s="30" t="n"/>
      <c r="I462" s="69">
        <f>+D462&amp;E462</f>
        <v/>
      </c>
    </row>
    <row r="463">
      <c r="D463" s="2" t="n">
        <v>454</v>
      </c>
      <c r="E463" s="39" t="n"/>
      <c r="F463" s="28" t="n"/>
      <c r="G463" s="30" t="n"/>
      <c r="H463" s="30" t="n"/>
      <c r="I463" s="69">
        <f>+D463&amp;E463</f>
        <v/>
      </c>
    </row>
    <row r="464">
      <c r="D464" s="2" t="n">
        <v>455</v>
      </c>
      <c r="E464" s="39" t="n"/>
      <c r="F464" s="28" t="n"/>
      <c r="G464" s="30" t="n"/>
      <c r="H464" s="30" t="n"/>
      <c r="I464" s="69">
        <f>+D464&amp;E464</f>
        <v/>
      </c>
    </row>
    <row r="465">
      <c r="D465" s="2" t="n">
        <v>456</v>
      </c>
      <c r="E465" s="39" t="n"/>
      <c r="F465" s="28" t="n"/>
      <c r="G465" s="30" t="n"/>
      <c r="H465" s="30" t="n"/>
      <c r="I465" s="69">
        <f>+D465&amp;E465</f>
        <v/>
      </c>
    </row>
    <row r="466">
      <c r="D466" s="2" t="n">
        <v>457</v>
      </c>
      <c r="E466" s="39" t="n"/>
      <c r="F466" s="28" t="n"/>
      <c r="G466" s="30" t="n"/>
      <c r="H466" s="30" t="n"/>
      <c r="I466" s="69">
        <f>+D466&amp;E466</f>
        <v/>
      </c>
    </row>
    <row r="467">
      <c r="D467" s="2" t="n">
        <v>458</v>
      </c>
      <c r="E467" s="39" t="n"/>
      <c r="F467" s="28" t="n"/>
      <c r="G467" s="30" t="n"/>
      <c r="H467" s="30" t="n"/>
      <c r="I467" s="69">
        <f>+D467&amp;E467</f>
        <v/>
      </c>
    </row>
    <row r="468">
      <c r="D468" s="2" t="n">
        <v>459</v>
      </c>
      <c r="E468" s="39" t="n"/>
      <c r="F468" s="28" t="n"/>
      <c r="G468" s="30" t="n"/>
      <c r="H468" s="30" t="n"/>
      <c r="I468" s="69">
        <f>+D468&amp;E468</f>
        <v/>
      </c>
    </row>
    <row r="469">
      <c r="D469" s="2" t="n">
        <v>460</v>
      </c>
      <c r="E469" s="39" t="n"/>
      <c r="F469" s="28" t="n"/>
      <c r="G469" s="30" t="n"/>
      <c r="H469" s="30" t="n"/>
      <c r="I469" s="69">
        <f>+D469&amp;E469</f>
        <v/>
      </c>
    </row>
    <row r="470">
      <c r="D470" s="2" t="n">
        <v>461</v>
      </c>
      <c r="E470" s="39" t="n"/>
      <c r="F470" s="28" t="n"/>
      <c r="G470" s="30" t="n"/>
      <c r="H470" s="30" t="n"/>
      <c r="I470" s="69">
        <f>+D470&amp;E470</f>
        <v/>
      </c>
    </row>
    <row r="471">
      <c r="D471" s="2" t="n">
        <v>462</v>
      </c>
      <c r="E471" s="39" t="n"/>
      <c r="F471" s="28" t="n"/>
      <c r="G471" s="30" t="n"/>
      <c r="H471" s="30" t="n"/>
      <c r="I471" s="69">
        <f>+D471&amp;E471</f>
        <v/>
      </c>
    </row>
    <row r="472">
      <c r="D472" s="2" t="n">
        <v>463</v>
      </c>
      <c r="E472" s="39" t="n"/>
      <c r="F472" s="28" t="n"/>
      <c r="G472" s="30" t="n"/>
      <c r="H472" s="30" t="n"/>
      <c r="I472" s="69">
        <f>+D472&amp;E472</f>
        <v/>
      </c>
    </row>
    <row r="473">
      <c r="D473" s="2" t="n">
        <v>464</v>
      </c>
      <c r="E473" s="39" t="n"/>
      <c r="F473" s="28" t="n"/>
      <c r="G473" s="30" t="n"/>
      <c r="H473" s="30" t="n"/>
      <c r="I473" s="69">
        <f>+D473&amp;E473</f>
        <v/>
      </c>
    </row>
    <row r="474">
      <c r="D474" s="2" t="n">
        <v>465</v>
      </c>
      <c r="E474" s="39" t="n"/>
      <c r="F474" s="28" t="n"/>
      <c r="G474" s="30" t="n"/>
      <c r="H474" s="30" t="n"/>
      <c r="I474" s="69">
        <f>+D474&amp;E474</f>
        <v/>
      </c>
    </row>
    <row r="475">
      <c r="D475" s="2" t="n">
        <v>466</v>
      </c>
      <c r="E475" s="39" t="n"/>
      <c r="F475" s="28" t="n"/>
      <c r="G475" s="30" t="n"/>
      <c r="H475" s="30" t="n"/>
      <c r="I475" s="69">
        <f>+D475&amp;E475</f>
        <v/>
      </c>
    </row>
    <row r="476">
      <c r="D476" s="2" t="n">
        <v>467</v>
      </c>
      <c r="E476" s="39" t="n"/>
      <c r="F476" s="28" t="n"/>
      <c r="G476" s="30" t="n"/>
      <c r="H476" s="30" t="n"/>
      <c r="I476" s="69">
        <f>+D476&amp;E476</f>
        <v/>
      </c>
    </row>
    <row r="477">
      <c r="D477" s="2" t="n">
        <v>468</v>
      </c>
      <c r="E477" s="39" t="n"/>
      <c r="F477" s="28" t="n"/>
      <c r="G477" s="30" t="n"/>
      <c r="H477" s="30" t="n"/>
      <c r="I477" s="69">
        <f>+D477&amp;E477</f>
        <v/>
      </c>
    </row>
    <row r="478">
      <c r="D478" s="2" t="n">
        <v>469</v>
      </c>
      <c r="E478" s="39" t="n"/>
      <c r="F478" s="28" t="n"/>
      <c r="G478" s="30" t="n"/>
      <c r="H478" s="30" t="n"/>
      <c r="I478" s="69">
        <f>+D478&amp;E478</f>
        <v/>
      </c>
    </row>
    <row r="479">
      <c r="D479" s="2" t="n">
        <v>470</v>
      </c>
      <c r="E479" s="39" t="n"/>
      <c r="F479" s="28" t="n"/>
      <c r="G479" s="30" t="n"/>
      <c r="H479" s="30" t="n"/>
      <c r="I479" s="69">
        <f>+D479&amp;E479</f>
        <v/>
      </c>
    </row>
    <row r="480">
      <c r="D480" s="2" t="n">
        <v>471</v>
      </c>
      <c r="E480" s="39" t="n"/>
      <c r="F480" s="28" t="n"/>
      <c r="G480" s="30" t="n"/>
      <c r="H480" s="30" t="n"/>
      <c r="I480" s="69">
        <f>+D480&amp;E480</f>
        <v/>
      </c>
    </row>
    <row r="481">
      <c r="D481" s="2" t="n">
        <v>472</v>
      </c>
      <c r="E481" s="39" t="n"/>
      <c r="F481" s="28" t="n"/>
      <c r="G481" s="30" t="n"/>
      <c r="H481" s="30" t="n"/>
      <c r="I481" s="69">
        <f>+D481&amp;E481</f>
        <v/>
      </c>
    </row>
    <row r="482">
      <c r="D482" s="2" t="n">
        <v>473</v>
      </c>
      <c r="E482" s="39" t="n"/>
      <c r="F482" s="28" t="n"/>
      <c r="G482" s="30" t="n"/>
      <c r="H482" s="30" t="n"/>
      <c r="I482" s="69">
        <f>+D482&amp;E482</f>
        <v/>
      </c>
    </row>
    <row r="483">
      <c r="D483" s="2" t="n">
        <v>474</v>
      </c>
      <c r="E483" s="39" t="n"/>
      <c r="F483" s="28" t="n"/>
      <c r="G483" s="30" t="n"/>
      <c r="H483" s="30" t="n"/>
      <c r="I483" s="69">
        <f>+D483&amp;E483</f>
        <v/>
      </c>
    </row>
    <row r="484">
      <c r="D484" s="2" t="n">
        <v>475</v>
      </c>
      <c r="E484" s="39" t="n"/>
      <c r="F484" s="28" t="n"/>
      <c r="G484" s="30" t="n"/>
      <c r="H484" s="30" t="n"/>
      <c r="I484" s="69">
        <f>+D484&amp;E484</f>
        <v/>
      </c>
    </row>
    <row r="485">
      <c r="D485" s="2" t="n">
        <v>476</v>
      </c>
      <c r="E485" s="39" t="n"/>
      <c r="F485" s="28" t="n"/>
      <c r="G485" s="30" t="n"/>
      <c r="H485" s="30" t="n"/>
      <c r="I485" s="69">
        <f>+D485&amp;E485</f>
        <v/>
      </c>
    </row>
    <row r="486">
      <c r="D486" s="2" t="n">
        <v>477</v>
      </c>
      <c r="E486" s="39" t="n"/>
      <c r="F486" s="28" t="n"/>
      <c r="G486" s="30" t="n"/>
      <c r="H486" s="30" t="n"/>
      <c r="I486" s="69">
        <f>+D486&amp;E486</f>
        <v/>
      </c>
    </row>
    <row r="487">
      <c r="D487" s="2" t="n">
        <v>478</v>
      </c>
      <c r="E487" s="39" t="n"/>
      <c r="F487" s="28" t="n"/>
      <c r="G487" s="30" t="n"/>
      <c r="H487" s="30" t="n"/>
      <c r="I487" s="69">
        <f>+D487&amp;E487</f>
        <v/>
      </c>
    </row>
    <row r="488">
      <c r="D488" s="2" t="n">
        <v>479</v>
      </c>
      <c r="E488" s="39" t="n"/>
      <c r="F488" s="28" t="n"/>
      <c r="G488" s="30" t="n"/>
      <c r="H488" s="30" t="n"/>
      <c r="I488" s="69">
        <f>+D488&amp;E488</f>
        <v/>
      </c>
    </row>
    <row r="489">
      <c r="D489" s="2" t="n">
        <v>480</v>
      </c>
      <c r="E489" s="39" t="n"/>
      <c r="F489" s="28" t="n"/>
      <c r="G489" s="30" t="n"/>
      <c r="H489" s="30" t="n"/>
      <c r="I489" s="69">
        <f>+D489&amp;E489</f>
        <v/>
      </c>
    </row>
    <row r="490">
      <c r="D490" s="2" t="n">
        <v>481</v>
      </c>
      <c r="E490" s="39" t="n"/>
      <c r="F490" s="28" t="n"/>
      <c r="G490" s="30" t="n"/>
      <c r="H490" s="30" t="n"/>
      <c r="I490" s="69">
        <f>+D490&amp;E490</f>
        <v/>
      </c>
    </row>
    <row r="491">
      <c r="D491" s="2" t="n">
        <v>482</v>
      </c>
      <c r="E491" s="39" t="n"/>
      <c r="F491" s="28" t="n"/>
      <c r="G491" s="30" t="n"/>
      <c r="H491" s="30" t="n"/>
      <c r="I491" s="69">
        <f>+D491&amp;E491</f>
        <v/>
      </c>
    </row>
    <row r="492">
      <c r="D492" s="2" t="n">
        <v>483</v>
      </c>
      <c r="E492" s="39" t="n"/>
      <c r="F492" s="28" t="n"/>
      <c r="G492" s="30" t="n"/>
      <c r="H492" s="30" t="n"/>
      <c r="I492" s="69">
        <f>+D492&amp;E492</f>
        <v/>
      </c>
    </row>
    <row r="493">
      <c r="D493" s="2" t="n">
        <v>484</v>
      </c>
      <c r="E493" s="39" t="n"/>
      <c r="F493" s="28" t="n"/>
      <c r="G493" s="30" t="n"/>
      <c r="H493" s="30" t="n"/>
      <c r="I493" s="69">
        <f>+D493&amp;E493</f>
        <v/>
      </c>
    </row>
    <row r="494">
      <c r="D494" s="2" t="n">
        <v>485</v>
      </c>
      <c r="E494" s="39" t="n"/>
      <c r="F494" s="28" t="n"/>
      <c r="G494" s="30" t="n"/>
      <c r="H494" s="30" t="n"/>
      <c r="I494" s="69">
        <f>+D494&amp;E494</f>
        <v/>
      </c>
    </row>
    <row r="495">
      <c r="D495" s="2" t="n">
        <v>486</v>
      </c>
      <c r="E495" s="39" t="n"/>
      <c r="F495" s="28" t="n"/>
      <c r="G495" s="30" t="n"/>
      <c r="H495" s="30" t="n"/>
      <c r="I495" s="69">
        <f>+D495&amp;E495</f>
        <v/>
      </c>
    </row>
    <row r="496">
      <c r="D496" s="2" t="n">
        <v>487</v>
      </c>
      <c r="E496" s="39" t="n"/>
      <c r="F496" s="28" t="n"/>
      <c r="G496" s="30" t="n"/>
      <c r="H496" s="30" t="n"/>
      <c r="I496" s="69">
        <f>+D496&amp;E496</f>
        <v/>
      </c>
    </row>
    <row r="497">
      <c r="D497" s="2" t="n">
        <v>488</v>
      </c>
      <c r="E497" s="39" t="n"/>
      <c r="F497" s="28" t="n"/>
      <c r="G497" s="30" t="n"/>
      <c r="H497" s="30" t="n"/>
      <c r="I497" s="69">
        <f>+D497&amp;E497</f>
        <v/>
      </c>
    </row>
    <row r="498">
      <c r="D498" s="2" t="n">
        <v>489</v>
      </c>
      <c r="E498" s="39" t="n"/>
      <c r="F498" s="28" t="n"/>
      <c r="G498" s="30" t="n"/>
      <c r="H498" s="30" t="n"/>
      <c r="I498" s="69">
        <f>+D498&amp;E498</f>
        <v/>
      </c>
    </row>
    <row r="499">
      <c r="D499" s="2" t="n">
        <v>490</v>
      </c>
      <c r="E499" s="39" t="n"/>
      <c r="F499" s="28" t="n"/>
      <c r="G499" s="30" t="n"/>
      <c r="H499" s="30" t="n"/>
      <c r="I499" s="69">
        <f>+D499&amp;E499</f>
        <v/>
      </c>
    </row>
    <row r="500">
      <c r="D500" s="2" t="n">
        <v>491</v>
      </c>
      <c r="E500" s="39" t="n"/>
      <c r="F500" s="28" t="n"/>
      <c r="G500" s="30" t="n"/>
      <c r="H500" s="30" t="n"/>
      <c r="I500" s="69">
        <f>+D500&amp;E500</f>
        <v/>
      </c>
    </row>
    <row r="501">
      <c r="D501" s="2" t="n">
        <v>492</v>
      </c>
      <c r="E501" s="39" t="n"/>
      <c r="F501" s="28" t="n"/>
      <c r="G501" s="30" t="n"/>
      <c r="H501" s="30" t="n"/>
      <c r="I501" s="69">
        <f>+D501&amp;E501</f>
        <v/>
      </c>
    </row>
    <row r="502">
      <c r="D502" s="2" t="n">
        <v>493</v>
      </c>
      <c r="E502" s="39" t="n"/>
      <c r="F502" s="28" t="n"/>
      <c r="G502" s="30" t="n"/>
      <c r="H502" s="30" t="n"/>
      <c r="I502" s="69">
        <f>+D502&amp;E502</f>
        <v/>
      </c>
    </row>
    <row r="503">
      <c r="D503" s="2" t="n">
        <v>494</v>
      </c>
      <c r="E503" s="39" t="n"/>
      <c r="F503" s="28" t="n"/>
      <c r="G503" s="30" t="n"/>
      <c r="H503" s="30" t="n"/>
      <c r="I503" s="69">
        <f>+D503&amp;E503</f>
        <v/>
      </c>
    </row>
    <row r="504">
      <c r="D504" s="2" t="n">
        <v>495</v>
      </c>
      <c r="E504" s="39" t="n"/>
      <c r="F504" s="28" t="n"/>
      <c r="G504" s="30" t="n"/>
      <c r="H504" s="30" t="n"/>
      <c r="I504" s="69">
        <f>+D504&amp;E504</f>
        <v/>
      </c>
    </row>
    <row r="505">
      <c r="D505" s="2" t="n">
        <v>496</v>
      </c>
      <c r="E505" s="39" t="n"/>
      <c r="F505" s="28" t="n"/>
      <c r="G505" s="30" t="n"/>
      <c r="H505" s="30" t="n"/>
      <c r="I505" s="69">
        <f>+D505&amp;E505</f>
        <v/>
      </c>
    </row>
    <row r="506">
      <c r="D506" s="2" t="n">
        <v>497</v>
      </c>
      <c r="E506" s="39" t="n"/>
      <c r="F506" s="28" t="n"/>
      <c r="G506" s="30" t="n"/>
      <c r="H506" s="30" t="n"/>
      <c r="I506" s="69">
        <f>+D506&amp;E506</f>
        <v/>
      </c>
    </row>
    <row r="507">
      <c r="D507" s="2" t="n">
        <v>498</v>
      </c>
      <c r="E507" s="39" t="n"/>
      <c r="F507" s="28" t="n"/>
      <c r="G507" s="30" t="n"/>
      <c r="H507" s="30" t="n"/>
      <c r="I507" s="69">
        <f>+D507&amp;E507</f>
        <v/>
      </c>
    </row>
    <row r="508">
      <c r="D508" s="2" t="n">
        <v>499</v>
      </c>
      <c r="E508" s="39" t="n"/>
      <c r="F508" s="28" t="n"/>
      <c r="G508" s="30" t="n"/>
      <c r="H508" s="30" t="n"/>
      <c r="I508" s="69">
        <f>+D508&amp;E508</f>
        <v/>
      </c>
    </row>
    <row r="509">
      <c r="D509" s="2" t="n">
        <v>500</v>
      </c>
      <c r="E509" s="39" t="n"/>
      <c r="F509" s="28" t="n"/>
      <c r="G509" s="30" t="n"/>
      <c r="H509" s="30" t="n"/>
      <c r="I509" s="69">
        <f>+D509&amp;E509</f>
        <v/>
      </c>
    </row>
    <row r="510">
      <c r="D510" s="2" t="n">
        <v>501</v>
      </c>
      <c r="E510" s="39" t="n"/>
      <c r="F510" s="28" t="n"/>
      <c r="G510" s="30" t="n"/>
      <c r="H510" s="30" t="n"/>
      <c r="I510" s="69">
        <f>+D510&amp;E510</f>
        <v/>
      </c>
    </row>
    <row r="511">
      <c r="D511" s="2" t="n">
        <v>502</v>
      </c>
      <c r="E511" s="39" t="n"/>
      <c r="F511" s="28" t="n"/>
      <c r="G511" s="30" t="n"/>
      <c r="H511" s="30" t="n"/>
      <c r="I511" s="69">
        <f>+D511&amp;E511</f>
        <v/>
      </c>
    </row>
    <row r="512">
      <c r="D512" s="2" t="n">
        <v>503</v>
      </c>
      <c r="E512" s="39" t="n"/>
      <c r="F512" s="28" t="n"/>
      <c r="G512" s="30" t="n"/>
      <c r="H512" s="30" t="n"/>
      <c r="I512" s="69">
        <f>+D512&amp;E512</f>
        <v/>
      </c>
    </row>
    <row r="513">
      <c r="D513" s="2" t="n">
        <v>504</v>
      </c>
      <c r="E513" s="39" t="n"/>
      <c r="F513" s="28" t="n"/>
      <c r="G513" s="30" t="n"/>
      <c r="H513" s="30" t="n"/>
      <c r="I513" s="69">
        <f>+D513&amp;E513</f>
        <v/>
      </c>
    </row>
    <row r="514">
      <c r="D514" s="2" t="n">
        <v>505</v>
      </c>
      <c r="E514" s="39" t="n"/>
      <c r="F514" s="28" t="n"/>
      <c r="G514" s="30" t="n"/>
      <c r="H514" s="30" t="n"/>
      <c r="I514" s="69">
        <f>+D514&amp;E514</f>
        <v/>
      </c>
    </row>
    <row r="515">
      <c r="D515" s="2" t="n">
        <v>506</v>
      </c>
      <c r="E515" s="39" t="n"/>
      <c r="F515" s="28" t="n"/>
      <c r="G515" s="30" t="n"/>
      <c r="H515" s="30" t="n"/>
      <c r="I515" s="69">
        <f>+D515&amp;E515</f>
        <v/>
      </c>
    </row>
    <row r="516">
      <c r="D516" s="2" t="n">
        <v>507</v>
      </c>
      <c r="E516" s="39" t="n"/>
      <c r="F516" s="28" t="n"/>
      <c r="G516" s="30" t="n"/>
      <c r="H516" s="30" t="n"/>
      <c r="I516" s="69">
        <f>+D516&amp;E516</f>
        <v/>
      </c>
    </row>
    <row r="517">
      <c r="D517" s="2" t="n">
        <v>508</v>
      </c>
      <c r="E517" s="39" t="n"/>
      <c r="F517" s="28" t="n"/>
      <c r="G517" s="30" t="n"/>
      <c r="H517" s="30" t="n"/>
      <c r="I517" s="69">
        <f>+D517&amp;E517</f>
        <v/>
      </c>
    </row>
    <row r="518">
      <c r="D518" s="2" t="n">
        <v>509</v>
      </c>
      <c r="E518" s="39" t="n"/>
      <c r="F518" s="28" t="n"/>
      <c r="G518" s="30" t="n"/>
      <c r="H518" s="30" t="n"/>
      <c r="I518" s="69">
        <f>+D518&amp;E518</f>
        <v/>
      </c>
    </row>
    <row r="519">
      <c r="D519" s="2" t="n">
        <v>510</v>
      </c>
      <c r="E519" s="39" t="n"/>
      <c r="F519" s="28" t="n"/>
      <c r="G519" s="30" t="n"/>
      <c r="H519" s="30" t="n"/>
      <c r="I519" s="69">
        <f>+D519&amp;E519</f>
        <v/>
      </c>
    </row>
    <row r="520">
      <c r="D520" s="2" t="n">
        <v>511</v>
      </c>
      <c r="E520" s="39" t="n"/>
      <c r="F520" s="28" t="n"/>
      <c r="G520" s="30" t="n"/>
      <c r="H520" s="30" t="n"/>
      <c r="I520" s="69">
        <f>+D520&amp;E520</f>
        <v/>
      </c>
    </row>
    <row r="521">
      <c r="D521" s="2" t="n">
        <v>512</v>
      </c>
      <c r="E521" s="39" t="n"/>
      <c r="F521" s="28" t="n"/>
      <c r="G521" s="30" t="n"/>
      <c r="H521" s="30" t="n"/>
      <c r="I521" s="69">
        <f>+D521&amp;E521</f>
        <v/>
      </c>
    </row>
    <row r="522">
      <c r="D522" s="2" t="n">
        <v>513</v>
      </c>
      <c r="E522" s="39" t="n"/>
      <c r="F522" s="28" t="n"/>
      <c r="G522" s="30" t="n"/>
      <c r="H522" s="30" t="n"/>
      <c r="I522" s="69">
        <f>+D522&amp;E522</f>
        <v/>
      </c>
    </row>
    <row r="523">
      <c r="D523" s="2" t="n">
        <v>514</v>
      </c>
      <c r="E523" s="39" t="n"/>
      <c r="F523" s="28" t="n"/>
      <c r="G523" s="30" t="n"/>
      <c r="H523" s="30" t="n"/>
      <c r="I523" s="69">
        <f>+D523&amp;E523</f>
        <v/>
      </c>
    </row>
    <row r="524">
      <c r="D524" s="2" t="n">
        <v>515</v>
      </c>
      <c r="E524" s="39" t="n"/>
      <c r="F524" s="28" t="n"/>
      <c r="G524" s="30" t="n"/>
      <c r="H524" s="30" t="n"/>
      <c r="I524" s="69">
        <f>+D524&amp;E524</f>
        <v/>
      </c>
    </row>
    <row r="525">
      <c r="D525" s="2" t="n">
        <v>516</v>
      </c>
      <c r="E525" s="39" t="n"/>
      <c r="F525" s="28" t="n"/>
      <c r="G525" s="30" t="n"/>
      <c r="H525" s="30" t="n"/>
      <c r="I525" s="69">
        <f>+D525&amp;E525</f>
        <v/>
      </c>
    </row>
    <row r="526">
      <c r="D526" s="2" t="n">
        <v>517</v>
      </c>
      <c r="E526" s="39" t="n"/>
      <c r="F526" s="28" t="n"/>
      <c r="G526" s="30" t="n"/>
      <c r="H526" s="30" t="n"/>
      <c r="I526" s="69">
        <f>+D526&amp;E526</f>
        <v/>
      </c>
    </row>
    <row r="527">
      <c r="D527" s="2" t="n">
        <v>518</v>
      </c>
      <c r="E527" s="39" t="n"/>
      <c r="F527" s="28" t="n"/>
      <c r="G527" s="30" t="n"/>
      <c r="H527" s="30" t="n"/>
      <c r="I527" s="69">
        <f>+D527&amp;E527</f>
        <v/>
      </c>
    </row>
    <row r="528">
      <c r="D528" s="2" t="n">
        <v>519</v>
      </c>
      <c r="E528" s="39" t="n"/>
      <c r="F528" s="28" t="n"/>
      <c r="G528" s="30" t="n"/>
      <c r="H528" s="30" t="n"/>
      <c r="I528" s="69">
        <f>+D528&amp;E528</f>
        <v/>
      </c>
    </row>
    <row r="529">
      <c r="D529" s="2" t="n">
        <v>520</v>
      </c>
      <c r="E529" s="39" t="n"/>
      <c r="F529" s="28" t="n"/>
      <c r="G529" s="30" t="n"/>
      <c r="H529" s="30" t="n"/>
      <c r="I529" s="69">
        <f>+D529&amp;E529</f>
        <v/>
      </c>
    </row>
    <row r="530">
      <c r="D530" s="2" t="n">
        <v>521</v>
      </c>
      <c r="E530" s="39" t="n"/>
      <c r="F530" s="28" t="n"/>
      <c r="G530" s="30" t="n"/>
      <c r="H530" s="30" t="n"/>
      <c r="I530" s="69">
        <f>+D530&amp;E530</f>
        <v/>
      </c>
    </row>
    <row r="531">
      <c r="D531" s="2" t="n">
        <v>522</v>
      </c>
      <c r="E531" s="39" t="n"/>
      <c r="F531" s="28" t="n"/>
      <c r="G531" s="30" t="n"/>
      <c r="H531" s="30" t="n"/>
      <c r="I531" s="69">
        <f>+D531&amp;E531</f>
        <v/>
      </c>
    </row>
    <row r="532">
      <c r="D532" s="2" t="n">
        <v>523</v>
      </c>
      <c r="E532" s="39" t="n"/>
      <c r="F532" s="28" t="n"/>
      <c r="G532" s="30" t="n"/>
      <c r="H532" s="30" t="n"/>
      <c r="I532" s="69">
        <f>+D532&amp;E532</f>
        <v/>
      </c>
    </row>
    <row r="533">
      <c r="D533" s="2" t="n">
        <v>524</v>
      </c>
      <c r="E533" s="39" t="n"/>
      <c r="F533" s="28" t="n"/>
      <c r="G533" s="30" t="n"/>
      <c r="H533" s="30" t="n"/>
      <c r="I533" s="69">
        <f>+D533&amp;E533</f>
        <v/>
      </c>
    </row>
    <row r="534">
      <c r="D534" s="2" t="n">
        <v>525</v>
      </c>
      <c r="E534" s="39" t="n"/>
      <c r="F534" s="28" t="n"/>
      <c r="G534" s="30" t="n"/>
      <c r="H534" s="30" t="n"/>
      <c r="I534" s="69">
        <f>+D534&amp;E534</f>
        <v/>
      </c>
    </row>
    <row r="535">
      <c r="D535" s="2" t="n">
        <v>526</v>
      </c>
      <c r="E535" s="39" t="n"/>
      <c r="F535" s="28" t="n"/>
      <c r="G535" s="30" t="n"/>
      <c r="H535" s="30" t="n"/>
      <c r="I535" s="69">
        <f>+D535&amp;E535</f>
        <v/>
      </c>
    </row>
    <row r="536">
      <c r="D536" s="2" t="n">
        <v>527</v>
      </c>
      <c r="E536" s="39" t="n"/>
      <c r="F536" s="28" t="n"/>
      <c r="G536" s="30" t="n"/>
      <c r="H536" s="30" t="n"/>
      <c r="I536" s="69">
        <f>+D536&amp;E536</f>
        <v/>
      </c>
    </row>
    <row r="537">
      <c r="D537" s="2" t="n">
        <v>528</v>
      </c>
      <c r="E537" s="39" t="n"/>
      <c r="F537" s="28" t="n"/>
      <c r="G537" s="30" t="n"/>
      <c r="H537" s="30" t="n"/>
      <c r="I537" s="69">
        <f>+D537&amp;E537</f>
        <v/>
      </c>
    </row>
    <row r="538">
      <c r="D538" s="2" t="n">
        <v>529</v>
      </c>
      <c r="E538" s="39" t="n"/>
      <c r="F538" s="28" t="n"/>
      <c r="G538" s="30" t="n"/>
      <c r="H538" s="30" t="n"/>
      <c r="I538" s="69">
        <f>+D538&amp;E538</f>
        <v/>
      </c>
    </row>
    <row r="539">
      <c r="D539" s="2" t="n">
        <v>530</v>
      </c>
      <c r="E539" s="39" t="n"/>
      <c r="F539" s="28" t="n"/>
      <c r="G539" s="30" t="n"/>
      <c r="H539" s="30" t="n"/>
      <c r="I539" s="69">
        <f>+D539&amp;E539</f>
        <v/>
      </c>
    </row>
    <row r="540">
      <c r="D540" s="2" t="n">
        <v>531</v>
      </c>
      <c r="E540" s="39" t="n"/>
      <c r="F540" s="28" t="n"/>
      <c r="G540" s="30" t="n"/>
      <c r="H540" s="30" t="n"/>
      <c r="I540" s="69">
        <f>+D540&amp;E540</f>
        <v/>
      </c>
    </row>
    <row r="541">
      <c r="D541" s="2" t="n">
        <v>532</v>
      </c>
      <c r="E541" s="39" t="n"/>
      <c r="F541" s="28" t="n"/>
      <c r="G541" s="30" t="n"/>
      <c r="H541" s="30" t="n"/>
      <c r="I541" s="69">
        <f>+D541&amp;E541</f>
        <v/>
      </c>
    </row>
    <row r="542">
      <c r="D542" s="2" t="n">
        <v>533</v>
      </c>
      <c r="E542" s="39" t="n"/>
      <c r="F542" s="28" t="n"/>
      <c r="G542" s="30" t="n"/>
      <c r="H542" s="30" t="n"/>
      <c r="I542" s="69">
        <f>+D542&amp;E542</f>
        <v/>
      </c>
    </row>
    <row r="543">
      <c r="D543" s="2" t="n">
        <v>534</v>
      </c>
      <c r="E543" s="39" t="n"/>
      <c r="F543" s="28" t="n"/>
      <c r="G543" s="30" t="n"/>
      <c r="H543" s="30" t="n"/>
      <c r="I543" s="69">
        <f>+D543&amp;E543</f>
        <v/>
      </c>
    </row>
    <row r="544">
      <c r="D544" s="2" t="n">
        <v>535</v>
      </c>
      <c r="E544" s="39" t="n"/>
      <c r="F544" s="28" t="n"/>
      <c r="G544" s="30" t="n"/>
      <c r="H544" s="30" t="n"/>
      <c r="I544" s="69">
        <f>+D544&amp;E544</f>
        <v/>
      </c>
    </row>
    <row r="545">
      <c r="D545" s="2" t="n">
        <v>536</v>
      </c>
      <c r="E545" s="39" t="n"/>
      <c r="F545" s="28" t="n"/>
      <c r="G545" s="30" t="n"/>
      <c r="H545" s="30" t="n"/>
      <c r="I545" s="69">
        <f>+D545&amp;E545</f>
        <v/>
      </c>
    </row>
    <row r="546">
      <c r="D546" s="2" t="n">
        <v>537</v>
      </c>
      <c r="E546" s="39" t="n"/>
      <c r="F546" s="28" t="n"/>
      <c r="G546" s="30" t="n"/>
      <c r="H546" s="30" t="n"/>
      <c r="I546" s="69">
        <f>+D546&amp;E546</f>
        <v/>
      </c>
    </row>
    <row r="547">
      <c r="D547" s="2" t="n">
        <v>538</v>
      </c>
      <c r="E547" s="39" t="n"/>
      <c r="F547" s="28" t="n"/>
      <c r="G547" s="30" t="n"/>
      <c r="H547" s="30" t="n"/>
      <c r="I547" s="69">
        <f>+D547&amp;E547</f>
        <v/>
      </c>
    </row>
    <row r="548">
      <c r="D548" s="2" t="n">
        <v>539</v>
      </c>
      <c r="E548" s="39" t="n"/>
      <c r="F548" s="28" t="n"/>
      <c r="G548" s="30" t="n"/>
      <c r="H548" s="30" t="n"/>
      <c r="I548" s="69">
        <f>+D548&amp;E548</f>
        <v/>
      </c>
    </row>
    <row r="549">
      <c r="D549" s="2" t="n">
        <v>540</v>
      </c>
      <c r="E549" s="39" t="n"/>
      <c r="F549" s="28" t="n"/>
      <c r="G549" s="30" t="n"/>
      <c r="H549" s="30" t="n"/>
      <c r="I549" s="69">
        <f>+D549&amp;E549</f>
        <v/>
      </c>
    </row>
    <row r="550">
      <c r="D550" s="2" t="n">
        <v>541</v>
      </c>
      <c r="E550" s="39" t="n"/>
      <c r="F550" s="28" t="n"/>
      <c r="G550" s="30" t="n"/>
      <c r="H550" s="30" t="n"/>
      <c r="I550" s="69">
        <f>+D550&amp;E550</f>
        <v/>
      </c>
    </row>
    <row r="551">
      <c r="D551" s="2" t="n">
        <v>542</v>
      </c>
      <c r="E551" s="39" t="n"/>
      <c r="F551" s="28" t="n"/>
      <c r="G551" s="30" t="n"/>
      <c r="H551" s="30" t="n"/>
      <c r="I551" s="69">
        <f>+D551&amp;E551</f>
        <v/>
      </c>
    </row>
    <row r="552">
      <c r="D552" s="2" t="n">
        <v>543</v>
      </c>
      <c r="E552" s="39" t="n"/>
      <c r="F552" s="28" t="n"/>
      <c r="G552" s="30" t="n"/>
      <c r="H552" s="30" t="n"/>
      <c r="I552" s="69">
        <f>+D552&amp;E552</f>
        <v/>
      </c>
    </row>
    <row r="553">
      <c r="D553" s="2" t="n">
        <v>544</v>
      </c>
      <c r="E553" s="39" t="n"/>
      <c r="F553" s="28" t="n"/>
      <c r="G553" s="30" t="n"/>
      <c r="H553" s="30" t="n"/>
      <c r="I553" s="69">
        <f>+D553&amp;E553</f>
        <v/>
      </c>
    </row>
    <row r="554">
      <c r="D554" s="2" t="n">
        <v>545</v>
      </c>
      <c r="E554" s="39" t="n"/>
      <c r="F554" s="28" t="n"/>
      <c r="G554" s="30" t="n"/>
      <c r="H554" s="30" t="n"/>
      <c r="I554" s="69">
        <f>+D554&amp;E554</f>
        <v/>
      </c>
    </row>
    <row r="555">
      <c r="D555" s="2" t="n">
        <v>546</v>
      </c>
      <c r="E555" s="39" t="n"/>
      <c r="F555" s="28" t="n"/>
      <c r="G555" s="30" t="n"/>
      <c r="H555" s="30" t="n"/>
      <c r="I555" s="69">
        <f>+D555&amp;E555</f>
        <v/>
      </c>
    </row>
    <row r="556">
      <c r="D556" s="2" t="n">
        <v>547</v>
      </c>
      <c r="E556" s="39" t="n"/>
      <c r="F556" s="28" t="n"/>
      <c r="G556" s="30" t="n"/>
      <c r="H556" s="30" t="n"/>
      <c r="I556" s="69">
        <f>+D556&amp;E556</f>
        <v/>
      </c>
    </row>
    <row r="557">
      <c r="D557" s="2" t="n">
        <v>548</v>
      </c>
      <c r="E557" s="39" t="n"/>
      <c r="F557" s="28" t="n"/>
      <c r="G557" s="30" t="n"/>
      <c r="H557" s="30" t="n"/>
      <c r="I557" s="69">
        <f>+D557&amp;E557</f>
        <v/>
      </c>
    </row>
    <row r="558">
      <c r="D558" s="2" t="n">
        <v>549</v>
      </c>
      <c r="E558" s="39" t="n"/>
      <c r="F558" s="28" t="n"/>
      <c r="G558" s="30" t="n"/>
      <c r="H558" s="30" t="n"/>
      <c r="I558" s="69">
        <f>+D558&amp;E558</f>
        <v/>
      </c>
    </row>
    <row r="559">
      <c r="D559" s="2" t="n">
        <v>550</v>
      </c>
      <c r="E559" s="39" t="n"/>
      <c r="F559" s="28" t="n"/>
      <c r="G559" s="30" t="n"/>
      <c r="H559" s="30" t="n"/>
      <c r="I559" s="69">
        <f>+D559&amp;E559</f>
        <v/>
      </c>
    </row>
    <row r="560">
      <c r="D560" s="2" t="n">
        <v>551</v>
      </c>
      <c r="E560" s="39" t="n"/>
      <c r="F560" s="28" t="n"/>
      <c r="G560" s="30" t="n"/>
      <c r="H560" s="30" t="n"/>
      <c r="I560" s="69">
        <f>+D560&amp;E560</f>
        <v/>
      </c>
    </row>
    <row r="561">
      <c r="D561" s="2" t="n">
        <v>552</v>
      </c>
      <c r="E561" s="39" t="n"/>
      <c r="F561" s="28" t="n"/>
      <c r="G561" s="30" t="n"/>
      <c r="H561" s="30" t="n"/>
      <c r="I561" s="69">
        <f>+D561&amp;E561</f>
        <v/>
      </c>
    </row>
    <row r="562">
      <c r="D562" s="2" t="n">
        <v>553</v>
      </c>
      <c r="E562" s="39" t="n"/>
      <c r="F562" s="28" t="n"/>
      <c r="G562" s="30" t="n"/>
      <c r="H562" s="30" t="n"/>
      <c r="I562" s="69">
        <f>+D562&amp;E562</f>
        <v/>
      </c>
    </row>
    <row r="563">
      <c r="D563" s="2" t="n">
        <v>554</v>
      </c>
      <c r="E563" s="39" t="n"/>
      <c r="F563" s="28" t="n"/>
      <c r="G563" s="30" t="n"/>
      <c r="H563" s="30" t="n"/>
      <c r="I563" s="69">
        <f>+D563&amp;E563</f>
        <v/>
      </c>
    </row>
    <row r="564">
      <c r="D564" s="2" t="n">
        <v>555</v>
      </c>
      <c r="E564" s="39" t="n"/>
      <c r="F564" s="28" t="n"/>
      <c r="G564" s="30" t="n"/>
      <c r="H564" s="30" t="n"/>
      <c r="I564" s="69">
        <f>+D564&amp;E564</f>
        <v/>
      </c>
    </row>
    <row r="565">
      <c r="D565" s="2" t="n">
        <v>556</v>
      </c>
      <c r="E565" s="39" t="n"/>
      <c r="F565" s="28" t="n"/>
      <c r="G565" s="30" t="n"/>
      <c r="H565" s="30" t="n"/>
      <c r="I565" s="69">
        <f>+D565&amp;E565</f>
        <v/>
      </c>
    </row>
    <row r="566">
      <c r="D566" s="2" t="n">
        <v>557</v>
      </c>
      <c r="E566" s="39" t="n"/>
      <c r="F566" s="28" t="n"/>
      <c r="G566" s="30" t="n"/>
      <c r="H566" s="30" t="n"/>
      <c r="I566" s="69">
        <f>+D566&amp;E566</f>
        <v/>
      </c>
    </row>
    <row r="567">
      <c r="D567" s="2" t="n">
        <v>558</v>
      </c>
      <c r="E567" s="39" t="n"/>
      <c r="F567" s="28" t="n"/>
      <c r="G567" s="30" t="n"/>
      <c r="H567" s="30" t="n"/>
      <c r="I567" s="69">
        <f>+D567&amp;E567</f>
        <v/>
      </c>
    </row>
    <row r="568">
      <c r="D568" s="2" t="n">
        <v>559</v>
      </c>
      <c r="E568" s="39" t="n"/>
      <c r="F568" s="28" t="n"/>
      <c r="G568" s="30" t="n"/>
      <c r="H568" s="30" t="n"/>
      <c r="I568" s="69">
        <f>+D568&amp;E568</f>
        <v/>
      </c>
    </row>
    <row r="569">
      <c r="D569" s="2" t="n">
        <v>560</v>
      </c>
      <c r="E569" s="39" t="n"/>
      <c r="F569" s="28" t="n"/>
      <c r="G569" s="30" t="n"/>
      <c r="H569" s="30" t="n"/>
      <c r="I569" s="69">
        <f>+D569&amp;E569</f>
        <v/>
      </c>
    </row>
    <row r="570">
      <c r="D570" s="2" t="n">
        <v>561</v>
      </c>
      <c r="E570" s="39" t="n"/>
      <c r="F570" s="28" t="n"/>
      <c r="G570" s="30" t="n"/>
      <c r="H570" s="30" t="n"/>
      <c r="I570" s="69">
        <f>+D570&amp;E570</f>
        <v/>
      </c>
    </row>
    <row r="571">
      <c r="D571" s="2" t="n">
        <v>562</v>
      </c>
      <c r="E571" s="39" t="n"/>
      <c r="F571" s="28" t="n"/>
      <c r="G571" s="30" t="n"/>
      <c r="H571" s="30" t="n"/>
      <c r="I571" s="69">
        <f>+D571&amp;E571</f>
        <v/>
      </c>
    </row>
    <row r="572">
      <c r="D572" s="2" t="n">
        <v>563</v>
      </c>
      <c r="E572" s="39" t="n"/>
      <c r="F572" s="28" t="n"/>
      <c r="G572" s="30" t="n"/>
      <c r="H572" s="30" t="n"/>
      <c r="I572" s="69">
        <f>+D572&amp;E572</f>
        <v/>
      </c>
    </row>
    <row r="573">
      <c r="D573" s="2" t="n">
        <v>564</v>
      </c>
      <c r="E573" s="39" t="n"/>
      <c r="F573" s="28" t="n"/>
      <c r="G573" s="30" t="n"/>
      <c r="H573" s="30" t="n"/>
      <c r="I573" s="69">
        <f>+D573&amp;E573</f>
        <v/>
      </c>
    </row>
    <row r="574">
      <c r="D574" s="2" t="n">
        <v>565</v>
      </c>
      <c r="E574" s="39" t="n"/>
      <c r="F574" s="28" t="n"/>
      <c r="G574" s="30" t="n"/>
      <c r="H574" s="30" t="n"/>
      <c r="I574" s="69">
        <f>+D574&amp;E574</f>
        <v/>
      </c>
    </row>
    <row r="575">
      <c r="D575" s="2" t="n">
        <v>566</v>
      </c>
      <c r="E575" s="39" t="n"/>
      <c r="F575" s="28" t="n"/>
      <c r="G575" s="30" t="n"/>
      <c r="H575" s="30" t="n"/>
      <c r="I575" s="69">
        <f>+D575&amp;E575</f>
        <v/>
      </c>
    </row>
    <row r="576">
      <c r="D576" s="2" t="n">
        <v>567</v>
      </c>
      <c r="E576" s="39" t="n"/>
      <c r="F576" s="28" t="n"/>
      <c r="G576" s="30" t="n"/>
      <c r="H576" s="30" t="n"/>
      <c r="I576" s="69">
        <f>+D576&amp;E576</f>
        <v/>
      </c>
    </row>
    <row r="577">
      <c r="D577" s="2" t="n">
        <v>568</v>
      </c>
      <c r="E577" s="39" t="n"/>
      <c r="F577" s="28" t="n"/>
      <c r="G577" s="30" t="n"/>
      <c r="H577" s="30" t="n"/>
      <c r="I577" s="69">
        <f>+D577&amp;E577</f>
        <v/>
      </c>
    </row>
    <row r="578">
      <c r="D578" s="2" t="n">
        <v>569</v>
      </c>
      <c r="E578" s="39" t="n"/>
      <c r="F578" s="28" t="n"/>
      <c r="G578" s="30" t="n"/>
      <c r="H578" s="30" t="n"/>
      <c r="I578" s="69">
        <f>+D578&amp;E578</f>
        <v/>
      </c>
    </row>
    <row r="579">
      <c r="D579" s="2" t="n">
        <v>570</v>
      </c>
      <c r="E579" s="39" t="n"/>
      <c r="F579" s="28" t="n"/>
      <c r="G579" s="30" t="n"/>
      <c r="H579" s="30" t="n"/>
      <c r="I579" s="69">
        <f>+D579&amp;E579</f>
        <v/>
      </c>
    </row>
    <row r="580">
      <c r="D580" s="2" t="n">
        <v>571</v>
      </c>
      <c r="E580" s="39" t="n"/>
      <c r="F580" s="28" t="n"/>
      <c r="G580" s="30" t="n"/>
      <c r="H580" s="30" t="n"/>
      <c r="I580" s="69">
        <f>+D580&amp;E580</f>
        <v/>
      </c>
    </row>
    <row r="581">
      <c r="D581" s="2" t="n">
        <v>572</v>
      </c>
      <c r="E581" s="39" t="n"/>
      <c r="F581" s="28" t="n"/>
      <c r="G581" s="30" t="n"/>
      <c r="H581" s="30" t="n"/>
      <c r="I581" s="69">
        <f>+D581&amp;E581</f>
        <v/>
      </c>
    </row>
    <row r="582">
      <c r="D582" s="2" t="n">
        <v>573</v>
      </c>
      <c r="E582" s="39" t="n"/>
      <c r="F582" s="28" t="n"/>
      <c r="G582" s="30" t="n"/>
      <c r="H582" s="30" t="n"/>
      <c r="I582" s="69">
        <f>+D582&amp;E582</f>
        <v/>
      </c>
    </row>
    <row r="583">
      <c r="D583" s="2" t="n">
        <v>574</v>
      </c>
      <c r="E583" s="39" t="n"/>
      <c r="F583" s="28" t="n"/>
      <c r="G583" s="30" t="n"/>
      <c r="H583" s="30" t="n"/>
      <c r="I583" s="69">
        <f>+D583&amp;E583</f>
        <v/>
      </c>
    </row>
    <row r="584">
      <c r="D584" s="2" t="n">
        <v>575</v>
      </c>
      <c r="E584" s="39" t="n"/>
      <c r="F584" s="28" t="n"/>
      <c r="G584" s="30" t="n"/>
      <c r="H584" s="30" t="n"/>
      <c r="I584" s="69">
        <f>+D584&amp;E584</f>
        <v/>
      </c>
    </row>
    <row r="585">
      <c r="D585" s="2" t="n">
        <v>576</v>
      </c>
      <c r="E585" s="39" t="n"/>
      <c r="F585" s="28" t="n"/>
      <c r="G585" s="30" t="n"/>
      <c r="H585" s="30" t="n"/>
      <c r="I585" s="69">
        <f>+D585&amp;E585</f>
        <v/>
      </c>
    </row>
    <row r="586">
      <c r="D586" s="2" t="n">
        <v>577</v>
      </c>
      <c r="E586" s="39" t="n"/>
      <c r="F586" s="28" t="n"/>
      <c r="G586" s="30" t="n"/>
      <c r="H586" s="30" t="n"/>
      <c r="I586" s="69">
        <f>+D586&amp;E586</f>
        <v/>
      </c>
    </row>
    <row r="587">
      <c r="D587" s="2" t="n">
        <v>578</v>
      </c>
      <c r="E587" s="39" t="n"/>
      <c r="F587" s="28" t="n"/>
      <c r="G587" s="30" t="n"/>
      <c r="H587" s="30" t="n"/>
      <c r="I587" s="69">
        <f>+D587&amp;E587</f>
        <v/>
      </c>
    </row>
    <row r="588">
      <c r="D588" s="2" t="n">
        <v>579</v>
      </c>
      <c r="E588" s="39" t="n"/>
      <c r="F588" s="28" t="n"/>
      <c r="G588" s="30" t="n"/>
      <c r="H588" s="30" t="n"/>
      <c r="I588" s="69">
        <f>+D588&amp;E588</f>
        <v/>
      </c>
    </row>
    <row r="589">
      <c r="D589" s="2" t="n">
        <v>580</v>
      </c>
      <c r="E589" s="39" t="n"/>
      <c r="F589" s="28" t="n"/>
      <c r="G589" s="30" t="n"/>
      <c r="H589" s="30" t="n"/>
      <c r="I589" s="69">
        <f>+D589&amp;E589</f>
        <v/>
      </c>
    </row>
    <row r="590">
      <c r="D590" s="2" t="n">
        <v>581</v>
      </c>
      <c r="E590" s="39" t="n"/>
      <c r="F590" s="28" t="n"/>
      <c r="G590" s="30" t="n"/>
      <c r="H590" s="30" t="n"/>
      <c r="I590" s="69">
        <f>+D590&amp;E590</f>
        <v/>
      </c>
    </row>
    <row r="591">
      <c r="D591" s="2" t="n">
        <v>582</v>
      </c>
      <c r="E591" s="39" t="n"/>
      <c r="F591" s="28" t="n"/>
      <c r="G591" s="30" t="n"/>
      <c r="H591" s="30" t="n"/>
      <c r="I591" s="69">
        <f>+D591&amp;E591</f>
        <v/>
      </c>
    </row>
    <row r="592">
      <c r="D592" s="2" t="n">
        <v>583</v>
      </c>
      <c r="E592" s="39" t="n"/>
      <c r="F592" s="28" t="n"/>
      <c r="G592" s="30" t="n"/>
      <c r="H592" s="30" t="n"/>
      <c r="I592" s="69">
        <f>+D592&amp;E592</f>
        <v/>
      </c>
    </row>
    <row r="593">
      <c r="D593" s="2" t="n">
        <v>584</v>
      </c>
      <c r="E593" s="39" t="n"/>
      <c r="F593" s="28" t="n"/>
      <c r="G593" s="30" t="n"/>
      <c r="H593" s="30" t="n"/>
      <c r="I593" s="69">
        <f>+D593&amp;E593</f>
        <v/>
      </c>
    </row>
    <row r="594">
      <c r="D594" s="2" t="n">
        <v>585</v>
      </c>
      <c r="E594" s="39" t="n"/>
      <c r="F594" s="28" t="n"/>
      <c r="G594" s="30" t="n"/>
      <c r="H594" s="30" t="n"/>
      <c r="I594" s="69">
        <f>+D594&amp;E594</f>
        <v/>
      </c>
    </row>
    <row r="595">
      <c r="D595" s="2" t="n">
        <v>586</v>
      </c>
      <c r="E595" s="39" t="n"/>
      <c r="F595" s="28" t="n"/>
      <c r="G595" s="30" t="n"/>
      <c r="H595" s="30" t="n"/>
      <c r="I595" s="69">
        <f>+D595&amp;E595</f>
        <v/>
      </c>
    </row>
    <row r="596">
      <c r="D596" s="2" t="n">
        <v>587</v>
      </c>
      <c r="E596" s="39" t="n"/>
      <c r="F596" s="28" t="n"/>
      <c r="G596" s="30" t="n"/>
      <c r="H596" s="30" t="n"/>
      <c r="I596" s="69">
        <f>+D596&amp;E596</f>
        <v/>
      </c>
    </row>
    <row r="597">
      <c r="D597" s="2" t="n">
        <v>588</v>
      </c>
      <c r="E597" s="39" t="n"/>
      <c r="F597" s="28" t="n"/>
      <c r="G597" s="30" t="n"/>
      <c r="H597" s="30" t="n"/>
      <c r="I597" s="69">
        <f>+D597&amp;E597</f>
        <v/>
      </c>
    </row>
    <row r="598">
      <c r="D598" s="2" t="n">
        <v>589</v>
      </c>
      <c r="E598" s="39" t="n"/>
      <c r="F598" s="28" t="n"/>
      <c r="G598" s="30" t="n"/>
      <c r="H598" s="30" t="n"/>
      <c r="I598" s="69">
        <f>+D598&amp;E598</f>
        <v/>
      </c>
    </row>
    <row r="599">
      <c r="D599" s="2" t="n">
        <v>590</v>
      </c>
      <c r="E599" s="39" t="n"/>
      <c r="F599" s="28" t="n"/>
      <c r="G599" s="30" t="n"/>
      <c r="H599" s="30" t="n"/>
      <c r="I599" s="69">
        <f>+D599&amp;E599</f>
        <v/>
      </c>
    </row>
    <row r="600">
      <c r="D600" s="2" t="n">
        <v>591</v>
      </c>
      <c r="E600" s="39" t="n"/>
      <c r="F600" s="28" t="n"/>
      <c r="G600" s="30" t="n"/>
      <c r="H600" s="30" t="n"/>
      <c r="I600" s="69">
        <f>+D600&amp;E600</f>
        <v/>
      </c>
    </row>
    <row r="601">
      <c r="D601" s="2" t="n">
        <v>592</v>
      </c>
      <c r="E601" s="39" t="n"/>
      <c r="F601" s="28" t="n"/>
      <c r="G601" s="30" t="n"/>
      <c r="H601" s="30" t="n"/>
      <c r="I601" s="69">
        <f>+D601&amp;E601</f>
        <v/>
      </c>
    </row>
    <row r="602">
      <c r="D602" s="2" t="n">
        <v>593</v>
      </c>
      <c r="E602" s="39" t="n"/>
      <c r="F602" s="28" t="n"/>
      <c r="G602" s="30" t="n"/>
      <c r="H602" s="30" t="n"/>
      <c r="I602" s="69">
        <f>+D602&amp;E602</f>
        <v/>
      </c>
    </row>
    <row r="603">
      <c r="D603" s="2" t="n">
        <v>594</v>
      </c>
      <c r="E603" s="39" t="n"/>
      <c r="F603" s="28" t="n"/>
      <c r="G603" s="30" t="n"/>
      <c r="H603" s="30" t="n"/>
      <c r="I603" s="69">
        <f>+D603&amp;E603</f>
        <v/>
      </c>
    </row>
    <row r="604">
      <c r="D604" s="2" t="n">
        <v>595</v>
      </c>
      <c r="E604" s="39" t="n"/>
      <c r="F604" s="28" t="n"/>
      <c r="G604" s="30" t="n"/>
      <c r="H604" s="30" t="n"/>
      <c r="I604" s="69">
        <f>+D604&amp;E604</f>
        <v/>
      </c>
    </row>
    <row r="605">
      <c r="D605" s="2" t="n">
        <v>596</v>
      </c>
      <c r="E605" s="39" t="n"/>
      <c r="F605" s="28" t="n"/>
      <c r="G605" s="30" t="n"/>
      <c r="H605" s="30" t="n"/>
      <c r="I605" s="69">
        <f>+D605&amp;E605</f>
        <v/>
      </c>
    </row>
    <row r="606">
      <c r="D606" s="2" t="n">
        <v>597</v>
      </c>
      <c r="E606" s="39" t="n"/>
      <c r="F606" s="28" t="n"/>
      <c r="G606" s="30" t="n"/>
      <c r="H606" s="30" t="n"/>
      <c r="I606" s="69">
        <f>+D606&amp;E606</f>
        <v/>
      </c>
    </row>
    <row r="607">
      <c r="D607" s="2" t="n">
        <v>598</v>
      </c>
      <c r="E607" s="39" t="n"/>
      <c r="F607" s="28" t="n"/>
      <c r="G607" s="30" t="n"/>
      <c r="H607" s="30" t="n"/>
      <c r="I607" s="69">
        <f>+D607&amp;E607</f>
        <v/>
      </c>
    </row>
    <row r="608">
      <c r="D608" s="2" t="n">
        <v>599</v>
      </c>
      <c r="E608" s="39" t="n"/>
      <c r="F608" s="28" t="n"/>
      <c r="G608" s="30" t="n"/>
      <c r="H608" s="30" t="n"/>
      <c r="I608" s="69">
        <f>+D608&amp;E608</f>
        <v/>
      </c>
    </row>
    <row r="609">
      <c r="D609" s="2" t="n">
        <v>600</v>
      </c>
      <c r="E609" s="39" t="n"/>
      <c r="F609" s="28" t="n"/>
      <c r="G609" s="30" t="n"/>
      <c r="H609" s="30" t="n"/>
      <c r="I609" s="69">
        <f>+D609&amp;E609</f>
        <v/>
      </c>
    </row>
    <row r="610">
      <c r="D610" s="2" t="n">
        <v>601</v>
      </c>
      <c r="E610" s="39" t="n"/>
      <c r="F610" s="28" t="n"/>
      <c r="G610" s="30" t="n"/>
      <c r="H610" s="30" t="n"/>
      <c r="I610" s="69">
        <f>+D610&amp;E610</f>
        <v/>
      </c>
    </row>
    <row r="611">
      <c r="D611" s="2" t="n">
        <v>602</v>
      </c>
      <c r="E611" s="39" t="n"/>
      <c r="F611" s="28" t="n"/>
      <c r="G611" s="30" t="n"/>
      <c r="H611" s="30" t="n"/>
      <c r="I611" s="69">
        <f>+D611&amp;E611</f>
        <v/>
      </c>
    </row>
    <row r="612">
      <c r="D612" s="2" t="n">
        <v>603</v>
      </c>
      <c r="E612" s="39" t="n"/>
      <c r="F612" s="28" t="n"/>
      <c r="G612" s="30" t="n"/>
      <c r="H612" s="30" t="n"/>
      <c r="I612" s="69">
        <f>+D612&amp;E612</f>
        <v/>
      </c>
    </row>
    <row r="613">
      <c r="D613" s="2" t="n">
        <v>604</v>
      </c>
      <c r="E613" s="39" t="n"/>
      <c r="F613" s="28" t="n"/>
      <c r="G613" s="30" t="n"/>
      <c r="H613" s="30" t="n"/>
      <c r="I613" s="69">
        <f>+D613&amp;E613</f>
        <v/>
      </c>
    </row>
    <row r="614">
      <c r="D614" s="2" t="n">
        <v>605</v>
      </c>
      <c r="E614" s="39" t="n"/>
      <c r="F614" s="28" t="n"/>
      <c r="G614" s="30" t="n"/>
      <c r="H614" s="30" t="n"/>
      <c r="I614" s="69">
        <f>+D614&amp;E614</f>
        <v/>
      </c>
    </row>
    <row r="615">
      <c r="D615" s="2" t="n">
        <v>606</v>
      </c>
      <c r="E615" s="39" t="n"/>
      <c r="F615" s="28" t="n"/>
      <c r="G615" s="30" t="n"/>
      <c r="H615" s="30" t="n"/>
      <c r="I615" s="69">
        <f>+D615&amp;E615</f>
        <v/>
      </c>
    </row>
    <row r="616">
      <c r="D616" s="2" t="n">
        <v>607</v>
      </c>
      <c r="E616" s="39" t="n"/>
      <c r="F616" s="28" t="n"/>
      <c r="G616" s="30" t="n"/>
      <c r="H616" s="30" t="n"/>
      <c r="I616" s="69">
        <f>+D616&amp;E616</f>
        <v/>
      </c>
    </row>
    <row r="617">
      <c r="D617" s="2" t="n">
        <v>608</v>
      </c>
      <c r="E617" s="39" t="n"/>
      <c r="F617" s="28" t="n"/>
      <c r="G617" s="30" t="n"/>
      <c r="H617" s="30" t="n"/>
      <c r="I617" s="69">
        <f>+D617&amp;E617</f>
        <v/>
      </c>
    </row>
    <row r="618">
      <c r="D618" s="2" t="n">
        <v>609</v>
      </c>
      <c r="E618" s="39" t="n"/>
      <c r="F618" s="28" t="n"/>
      <c r="G618" s="30" t="n"/>
      <c r="H618" s="30" t="n"/>
      <c r="I618" s="69">
        <f>+D618&amp;E618</f>
        <v/>
      </c>
    </row>
    <row r="619">
      <c r="D619" s="2" t="n">
        <v>610</v>
      </c>
      <c r="E619" s="39" t="n"/>
      <c r="F619" s="28" t="n"/>
      <c r="G619" s="30" t="n"/>
      <c r="H619" s="30" t="n"/>
      <c r="I619" s="69">
        <f>+D619&amp;E619</f>
        <v/>
      </c>
    </row>
    <row r="620">
      <c r="D620" s="2" t="n">
        <v>611</v>
      </c>
      <c r="E620" s="39" t="n"/>
      <c r="F620" s="28" t="n"/>
      <c r="G620" s="30" t="n"/>
      <c r="H620" s="30" t="n"/>
      <c r="I620" s="69">
        <f>+D620&amp;E620</f>
        <v/>
      </c>
    </row>
    <row r="621">
      <c r="D621" s="2" t="n">
        <v>612</v>
      </c>
      <c r="E621" s="39" t="n"/>
      <c r="F621" s="28" t="n"/>
      <c r="G621" s="30" t="n"/>
      <c r="H621" s="30" t="n"/>
      <c r="I621" s="69">
        <f>+D621&amp;E621</f>
        <v/>
      </c>
    </row>
    <row r="622">
      <c r="D622" s="2" t="n">
        <v>613</v>
      </c>
      <c r="E622" s="39" t="n"/>
      <c r="F622" s="28" t="n"/>
      <c r="G622" s="30" t="n"/>
      <c r="H622" s="30" t="n"/>
      <c r="I622" s="69">
        <f>+D622&amp;E622</f>
        <v/>
      </c>
    </row>
    <row r="623">
      <c r="D623" s="2" t="n">
        <v>614</v>
      </c>
      <c r="E623" s="39" t="n"/>
      <c r="F623" s="28" t="n"/>
      <c r="G623" s="30" t="n"/>
      <c r="H623" s="30" t="n"/>
      <c r="I623" s="69">
        <f>+D623&amp;E623</f>
        <v/>
      </c>
    </row>
    <row r="624">
      <c r="D624" s="2" t="n">
        <v>615</v>
      </c>
      <c r="E624" s="39" t="n"/>
      <c r="F624" s="28" t="n"/>
      <c r="G624" s="30" t="n"/>
      <c r="H624" s="30" t="n"/>
      <c r="I624" s="69">
        <f>+D624&amp;E624</f>
        <v/>
      </c>
    </row>
    <row r="625">
      <c r="D625" s="2" t="n">
        <v>616</v>
      </c>
      <c r="E625" s="39" t="n"/>
      <c r="F625" s="28" t="n"/>
      <c r="G625" s="30" t="n"/>
      <c r="H625" s="30" t="n"/>
      <c r="I625" s="69">
        <f>+D625&amp;E625</f>
        <v/>
      </c>
    </row>
    <row r="626">
      <c r="D626" s="2" t="n">
        <v>617</v>
      </c>
      <c r="E626" s="39" t="n"/>
      <c r="F626" s="28" t="n"/>
      <c r="G626" s="30" t="n"/>
      <c r="H626" s="30" t="n"/>
      <c r="I626" s="69">
        <f>+D626&amp;E626</f>
        <v/>
      </c>
    </row>
    <row r="627">
      <c r="D627" s="2" t="n">
        <v>618</v>
      </c>
      <c r="E627" s="39" t="n"/>
      <c r="F627" s="28" t="n"/>
      <c r="G627" s="30" t="n"/>
      <c r="H627" s="30" t="n"/>
      <c r="I627" s="69">
        <f>+D627&amp;E627</f>
        <v/>
      </c>
    </row>
    <row r="628">
      <c r="D628" s="2" t="n">
        <v>619</v>
      </c>
      <c r="E628" s="39" t="n"/>
      <c r="F628" s="28" t="n"/>
      <c r="G628" s="30" t="n"/>
      <c r="H628" s="30" t="n"/>
      <c r="I628" s="69">
        <f>+D628&amp;E628</f>
        <v/>
      </c>
    </row>
    <row r="629">
      <c r="D629" s="2" t="n">
        <v>620</v>
      </c>
      <c r="E629" s="39" t="n"/>
      <c r="F629" s="28" t="n"/>
      <c r="G629" s="30" t="n"/>
      <c r="H629" s="30" t="n"/>
      <c r="I629" s="69">
        <f>+D629&amp;E629</f>
        <v/>
      </c>
    </row>
    <row r="630">
      <c r="D630" s="2" t="n">
        <v>621</v>
      </c>
      <c r="E630" s="39" t="n"/>
      <c r="F630" s="28" t="n"/>
      <c r="G630" s="30" t="n"/>
      <c r="H630" s="30" t="n"/>
      <c r="I630" s="69">
        <f>+D630&amp;E630</f>
        <v/>
      </c>
    </row>
    <row r="631">
      <c r="D631" s="2" t="n">
        <v>622</v>
      </c>
      <c r="E631" s="39" t="n"/>
      <c r="F631" s="28" t="n"/>
      <c r="G631" s="30" t="n"/>
      <c r="H631" s="30" t="n"/>
      <c r="I631" s="69">
        <f>+D631&amp;E631</f>
        <v/>
      </c>
    </row>
    <row r="632">
      <c r="D632" s="2" t="n">
        <v>623</v>
      </c>
      <c r="E632" s="39" t="n"/>
      <c r="F632" s="28" t="n"/>
      <c r="G632" s="30" t="n"/>
      <c r="H632" s="30" t="n"/>
      <c r="I632" s="69">
        <f>+D632&amp;E632</f>
        <v/>
      </c>
    </row>
    <row r="633">
      <c r="D633" s="2" t="n">
        <v>624</v>
      </c>
      <c r="E633" s="39" t="n"/>
      <c r="F633" s="28" t="n"/>
      <c r="G633" s="30" t="n"/>
      <c r="H633" s="30" t="n"/>
      <c r="I633" s="69">
        <f>+D633&amp;E633</f>
        <v/>
      </c>
    </row>
    <row r="634">
      <c r="D634" s="2" t="n">
        <v>625</v>
      </c>
      <c r="E634" s="39" t="n"/>
      <c r="F634" s="28" t="n"/>
      <c r="G634" s="30" t="n"/>
      <c r="H634" s="30" t="n"/>
      <c r="I634" s="69">
        <f>+D634&amp;E634</f>
        <v/>
      </c>
    </row>
    <row r="635">
      <c r="D635" s="2" t="n">
        <v>626</v>
      </c>
      <c r="E635" s="39" t="n"/>
      <c r="F635" s="28" t="n"/>
      <c r="G635" s="30" t="n"/>
      <c r="H635" s="30" t="n"/>
      <c r="I635" s="69">
        <f>+D635&amp;E635</f>
        <v/>
      </c>
    </row>
    <row r="636">
      <c r="D636" s="2" t="n">
        <v>627</v>
      </c>
      <c r="E636" s="39" t="n"/>
      <c r="F636" s="28" t="n"/>
      <c r="G636" s="30" t="n"/>
      <c r="H636" s="30" t="n"/>
      <c r="I636" s="69">
        <f>+D636&amp;E636</f>
        <v/>
      </c>
    </row>
    <row r="637">
      <c r="D637" s="2" t="n">
        <v>628</v>
      </c>
      <c r="E637" s="39" t="n"/>
      <c r="F637" s="28" t="n"/>
      <c r="G637" s="30" t="n"/>
      <c r="H637" s="30" t="n"/>
      <c r="I637" s="69">
        <f>+D637&amp;E637</f>
        <v/>
      </c>
    </row>
    <row r="638">
      <c r="D638" s="2" t="n">
        <v>629</v>
      </c>
      <c r="E638" s="39" t="n"/>
      <c r="F638" s="28" t="n"/>
      <c r="G638" s="30" t="n"/>
      <c r="H638" s="30" t="n"/>
      <c r="I638" s="69">
        <f>+D638&amp;E638</f>
        <v/>
      </c>
    </row>
    <row r="639">
      <c r="D639" s="2" t="n">
        <v>630</v>
      </c>
      <c r="E639" s="39" t="n"/>
      <c r="F639" s="28" t="n"/>
      <c r="G639" s="30" t="n"/>
      <c r="H639" s="30" t="n"/>
      <c r="I639" s="69">
        <f>+D639&amp;E639</f>
        <v/>
      </c>
    </row>
    <row r="640">
      <c r="D640" s="2" t="n">
        <v>631</v>
      </c>
      <c r="E640" s="39" t="n"/>
      <c r="F640" s="28" t="n"/>
      <c r="G640" s="30" t="n"/>
      <c r="H640" s="30" t="n"/>
      <c r="I640" s="69">
        <f>+D640&amp;E640</f>
        <v/>
      </c>
    </row>
    <row r="641">
      <c r="D641" s="2" t="n">
        <v>632</v>
      </c>
      <c r="E641" s="39" t="n"/>
      <c r="F641" s="28" t="n"/>
      <c r="G641" s="30" t="n"/>
      <c r="H641" s="30" t="n"/>
      <c r="I641" s="69">
        <f>+D641&amp;E641</f>
        <v/>
      </c>
    </row>
    <row r="642">
      <c r="D642" s="2" t="n">
        <v>633</v>
      </c>
      <c r="E642" s="39" t="n"/>
      <c r="F642" s="28" t="n"/>
      <c r="G642" s="30" t="n"/>
      <c r="H642" s="30" t="n"/>
      <c r="I642" s="69">
        <f>+D642&amp;E642</f>
        <v/>
      </c>
    </row>
    <row r="643">
      <c r="D643" s="2" t="n">
        <v>634</v>
      </c>
      <c r="E643" s="39" t="n"/>
      <c r="F643" s="28" t="n"/>
      <c r="G643" s="30" t="n"/>
      <c r="H643" s="30" t="n"/>
      <c r="I643" s="69">
        <f>+D643&amp;E643</f>
        <v/>
      </c>
    </row>
    <row r="644">
      <c r="D644" s="2" t="n">
        <v>635</v>
      </c>
      <c r="E644" s="39" t="n"/>
      <c r="F644" s="28" t="n"/>
      <c r="G644" s="30" t="n"/>
      <c r="H644" s="30" t="n"/>
      <c r="I644" s="69">
        <f>+D644&amp;E644</f>
        <v/>
      </c>
    </row>
    <row r="645">
      <c r="D645" s="2" t="n">
        <v>636</v>
      </c>
      <c r="E645" s="39" t="n"/>
      <c r="F645" s="28" t="n"/>
      <c r="G645" s="30" t="n"/>
      <c r="H645" s="30" t="n"/>
      <c r="I645" s="69">
        <f>+D645&amp;E645</f>
        <v/>
      </c>
    </row>
    <row r="646">
      <c r="D646" s="2" t="n">
        <v>637</v>
      </c>
      <c r="E646" s="39" t="n"/>
      <c r="F646" s="28" t="n"/>
      <c r="G646" s="30" t="n"/>
      <c r="H646" s="30" t="n"/>
      <c r="I646" s="69">
        <f>+D646&amp;E646</f>
        <v/>
      </c>
    </row>
    <row r="647">
      <c r="D647" s="2" t="n">
        <v>638</v>
      </c>
      <c r="E647" s="39" t="n"/>
      <c r="F647" s="28" t="n"/>
      <c r="G647" s="30" t="n"/>
      <c r="H647" s="30" t="n"/>
      <c r="I647" s="69">
        <f>+D647&amp;E647</f>
        <v/>
      </c>
    </row>
    <row r="648">
      <c r="D648" s="2" t="n">
        <v>639</v>
      </c>
      <c r="E648" s="39" t="n"/>
      <c r="F648" s="28" t="n"/>
      <c r="G648" s="30" t="n"/>
      <c r="H648" s="30" t="n"/>
      <c r="I648" s="69">
        <f>+D648&amp;E648</f>
        <v/>
      </c>
    </row>
    <row r="649">
      <c r="D649" s="2" t="n">
        <v>640</v>
      </c>
      <c r="E649" s="39" t="n"/>
      <c r="F649" s="28" t="n"/>
      <c r="G649" s="30" t="n"/>
      <c r="H649" s="30" t="n"/>
      <c r="I649" s="69">
        <f>+D649&amp;E649</f>
        <v/>
      </c>
    </row>
    <row r="650">
      <c r="D650" s="2" t="n">
        <v>641</v>
      </c>
      <c r="E650" s="39" t="n"/>
      <c r="F650" s="28" t="n"/>
      <c r="G650" s="30" t="n"/>
      <c r="H650" s="30" t="n"/>
      <c r="I650" s="69">
        <f>+D650&amp;E650</f>
        <v/>
      </c>
    </row>
    <row r="651">
      <c r="D651" s="2" t="n">
        <v>642</v>
      </c>
      <c r="E651" s="39" t="n"/>
      <c r="F651" s="28" t="n"/>
      <c r="G651" s="30" t="n"/>
      <c r="H651" s="30" t="n"/>
      <c r="I651" s="69">
        <f>+D651&amp;E651</f>
        <v/>
      </c>
    </row>
    <row r="652">
      <c r="D652" s="2" t="n">
        <v>643</v>
      </c>
      <c r="E652" s="39" t="n"/>
      <c r="F652" s="28" t="n"/>
      <c r="G652" s="30" t="n"/>
      <c r="H652" s="30" t="n"/>
      <c r="I652" s="69">
        <f>+D652&amp;E652</f>
        <v/>
      </c>
    </row>
    <row r="653">
      <c r="D653" s="2" t="n">
        <v>644</v>
      </c>
      <c r="E653" s="39" t="n"/>
      <c r="F653" s="28" t="n"/>
      <c r="G653" s="30" t="n"/>
      <c r="H653" s="30" t="n"/>
      <c r="I653" s="69">
        <f>+D653&amp;E653</f>
        <v/>
      </c>
    </row>
    <row r="654">
      <c r="D654" s="2" t="n">
        <v>645</v>
      </c>
      <c r="E654" s="39" t="n"/>
      <c r="F654" s="28" t="n"/>
      <c r="G654" s="30" t="n"/>
      <c r="H654" s="30" t="n"/>
      <c r="I654" s="69">
        <f>+D654&amp;E654</f>
        <v/>
      </c>
    </row>
    <row r="655">
      <c r="D655" s="2" t="n">
        <v>646</v>
      </c>
      <c r="E655" s="39" t="n"/>
      <c r="F655" s="28" t="n"/>
      <c r="G655" s="30" t="n"/>
      <c r="H655" s="30" t="n"/>
      <c r="I655" s="69">
        <f>+D655&amp;E655</f>
        <v/>
      </c>
    </row>
    <row r="656">
      <c r="D656" s="2" t="n">
        <v>647</v>
      </c>
      <c r="E656" s="39" t="n"/>
      <c r="F656" s="28" t="n"/>
      <c r="G656" s="30" t="n"/>
      <c r="H656" s="30" t="n"/>
      <c r="I656" s="69">
        <f>+D656&amp;E656</f>
        <v/>
      </c>
    </row>
    <row r="657">
      <c r="D657" s="2" t="n">
        <v>648</v>
      </c>
      <c r="E657" s="39" t="n"/>
      <c r="F657" s="28" t="n"/>
      <c r="G657" s="30" t="n"/>
      <c r="H657" s="30" t="n"/>
      <c r="I657" s="69">
        <f>+D657&amp;E657</f>
        <v/>
      </c>
    </row>
    <row r="658">
      <c r="D658" s="2" t="n">
        <v>649</v>
      </c>
      <c r="E658" s="39" t="n"/>
      <c r="F658" s="28" t="n"/>
      <c r="G658" s="30" t="n"/>
      <c r="H658" s="30" t="n"/>
      <c r="I658" s="69">
        <f>+D658&amp;E658</f>
        <v/>
      </c>
    </row>
    <row r="659">
      <c r="D659" s="2" t="n">
        <v>650</v>
      </c>
      <c r="E659" s="39" t="n"/>
      <c r="F659" s="28" t="n"/>
      <c r="G659" s="30" t="n"/>
      <c r="H659" s="30" t="n"/>
      <c r="I659" s="69">
        <f>+D659&amp;E659</f>
        <v/>
      </c>
    </row>
    <row r="660">
      <c r="D660" s="2" t="n">
        <v>651</v>
      </c>
      <c r="E660" s="39" t="n"/>
      <c r="F660" s="28" t="n"/>
      <c r="G660" s="30" t="n"/>
      <c r="H660" s="30" t="n"/>
      <c r="I660" s="69">
        <f>+D660&amp;E660</f>
        <v/>
      </c>
    </row>
    <row r="661">
      <c r="D661" s="2" t="n">
        <v>652</v>
      </c>
      <c r="E661" s="39" t="n"/>
      <c r="F661" s="28" t="n"/>
      <c r="G661" s="30" t="n"/>
      <c r="H661" s="30" t="n"/>
      <c r="I661" s="69">
        <f>+D661&amp;E661</f>
        <v/>
      </c>
    </row>
    <row r="662">
      <c r="D662" s="2" t="n">
        <v>653</v>
      </c>
      <c r="E662" s="39" t="n"/>
      <c r="F662" s="28" t="n"/>
      <c r="G662" s="30" t="n"/>
      <c r="H662" s="30" t="n"/>
      <c r="I662" s="69">
        <f>+D662&amp;E662</f>
        <v/>
      </c>
    </row>
    <row r="663">
      <c r="D663" s="2" t="n">
        <v>654</v>
      </c>
      <c r="E663" s="39" t="n"/>
      <c r="F663" s="28" t="n"/>
      <c r="G663" s="30" t="n"/>
      <c r="H663" s="30" t="n"/>
      <c r="I663" s="69">
        <f>+D663&amp;E663</f>
        <v/>
      </c>
    </row>
    <row r="664">
      <c r="D664" s="2" t="n">
        <v>655</v>
      </c>
      <c r="E664" s="39" t="n"/>
      <c r="F664" s="28" t="n"/>
      <c r="G664" s="30" t="n"/>
      <c r="H664" s="30" t="n"/>
      <c r="I664" s="69">
        <f>+D664&amp;E664</f>
        <v/>
      </c>
    </row>
    <row r="665">
      <c r="D665" s="2" t="n">
        <v>656</v>
      </c>
      <c r="E665" s="39" t="n"/>
      <c r="F665" s="28" t="n"/>
      <c r="G665" s="30" t="n"/>
      <c r="H665" s="30" t="n"/>
      <c r="I665" s="69">
        <f>+D665&amp;E665</f>
        <v/>
      </c>
    </row>
    <row r="666">
      <c r="D666" s="2" t="n">
        <v>657</v>
      </c>
      <c r="E666" s="39" t="n"/>
      <c r="F666" s="28" t="n"/>
      <c r="G666" s="30" t="n"/>
      <c r="H666" s="30" t="n"/>
      <c r="I666" s="69">
        <f>+D666&amp;E666</f>
        <v/>
      </c>
    </row>
    <row r="667">
      <c r="D667" s="2" t="n">
        <v>658</v>
      </c>
      <c r="E667" s="39" t="n"/>
      <c r="F667" s="28" t="n"/>
      <c r="G667" s="30" t="n"/>
      <c r="H667" s="30" t="n"/>
      <c r="I667" s="69">
        <f>+D667&amp;E667</f>
        <v/>
      </c>
    </row>
    <row r="668">
      <c r="D668" s="2" t="n">
        <v>659</v>
      </c>
      <c r="E668" s="39" t="n"/>
      <c r="F668" s="28" t="n"/>
      <c r="G668" s="30" t="n"/>
      <c r="H668" s="30" t="n"/>
      <c r="I668" s="69">
        <f>+D668&amp;E668</f>
        <v/>
      </c>
    </row>
    <row r="669">
      <c r="D669" s="2" t="n">
        <v>660</v>
      </c>
      <c r="E669" s="39" t="n"/>
      <c r="F669" s="28" t="n"/>
      <c r="G669" s="30" t="n"/>
      <c r="H669" s="30" t="n"/>
      <c r="I669" s="69">
        <f>+D669&amp;E669</f>
        <v/>
      </c>
    </row>
    <row r="670">
      <c r="D670" s="2" t="n">
        <v>661</v>
      </c>
      <c r="E670" s="39" t="n"/>
      <c r="F670" s="28" t="n"/>
      <c r="G670" s="30" t="n"/>
      <c r="H670" s="30" t="n"/>
      <c r="I670" s="69">
        <f>+D670&amp;E670</f>
        <v/>
      </c>
    </row>
    <row r="671">
      <c r="D671" s="2" t="n">
        <v>662</v>
      </c>
      <c r="E671" s="39" t="n"/>
      <c r="F671" s="28" t="n"/>
      <c r="G671" s="30" t="n"/>
      <c r="H671" s="30" t="n"/>
      <c r="I671" s="69">
        <f>+D671&amp;E671</f>
        <v/>
      </c>
    </row>
    <row r="672">
      <c r="D672" s="2" t="n">
        <v>663</v>
      </c>
      <c r="E672" s="39" t="n"/>
      <c r="F672" s="28" t="n"/>
      <c r="G672" s="30" t="n"/>
      <c r="H672" s="30" t="n"/>
      <c r="I672" s="69">
        <f>+D672&amp;E672</f>
        <v/>
      </c>
    </row>
    <row r="673">
      <c r="D673" s="2" t="n">
        <v>664</v>
      </c>
      <c r="E673" s="39" t="n"/>
      <c r="F673" s="28" t="n"/>
      <c r="G673" s="30" t="n"/>
      <c r="H673" s="30" t="n"/>
      <c r="I673" s="69">
        <f>+D673&amp;E673</f>
        <v/>
      </c>
    </row>
    <row r="674">
      <c r="D674" s="2" t="n">
        <v>665</v>
      </c>
      <c r="E674" s="39" t="n"/>
      <c r="F674" s="28" t="n"/>
      <c r="G674" s="30" t="n"/>
      <c r="H674" s="30" t="n"/>
      <c r="I674" s="69">
        <f>+D674&amp;E674</f>
        <v/>
      </c>
    </row>
    <row r="675">
      <c r="D675" s="2" t="n">
        <v>666</v>
      </c>
      <c r="E675" s="39" t="n"/>
      <c r="F675" s="28" t="n"/>
      <c r="G675" s="30" t="n"/>
      <c r="H675" s="30" t="n"/>
      <c r="I675" s="69">
        <f>+D675&amp;E675</f>
        <v/>
      </c>
    </row>
    <row r="676">
      <c r="D676" s="2" t="n">
        <v>667</v>
      </c>
      <c r="E676" s="39" t="n"/>
      <c r="F676" s="28" t="n"/>
      <c r="G676" s="30" t="n"/>
      <c r="H676" s="30" t="n"/>
      <c r="I676" s="69">
        <f>+D676&amp;E676</f>
        <v/>
      </c>
    </row>
    <row r="677">
      <c r="D677" s="2" t="n">
        <v>668</v>
      </c>
      <c r="E677" s="39" t="n"/>
      <c r="F677" s="28" t="n"/>
      <c r="G677" s="30" t="n"/>
      <c r="H677" s="30" t="n"/>
      <c r="I677" s="69">
        <f>+D677&amp;E677</f>
        <v/>
      </c>
    </row>
    <row r="678">
      <c r="D678" s="2" t="n">
        <v>669</v>
      </c>
      <c r="E678" s="39" t="n"/>
      <c r="F678" s="28" t="n"/>
      <c r="G678" s="30" t="n"/>
      <c r="H678" s="30" t="n"/>
      <c r="I678" s="69">
        <f>+D678&amp;E678</f>
        <v/>
      </c>
    </row>
    <row r="679">
      <c r="D679" s="2" t="n">
        <v>670</v>
      </c>
      <c r="E679" s="39" t="n"/>
      <c r="F679" s="28" t="n"/>
      <c r="G679" s="30" t="n"/>
      <c r="H679" s="30" t="n"/>
      <c r="I679" s="69">
        <f>+D679&amp;E679</f>
        <v/>
      </c>
    </row>
    <row r="680">
      <c r="D680" s="2" t="n">
        <v>671</v>
      </c>
      <c r="E680" s="39" t="n"/>
      <c r="F680" s="28" t="n"/>
      <c r="G680" s="30" t="n"/>
      <c r="H680" s="30" t="n"/>
      <c r="I680" s="69">
        <f>+D680&amp;E680</f>
        <v/>
      </c>
    </row>
    <row r="681">
      <c r="D681" s="2" t="n">
        <v>672</v>
      </c>
      <c r="E681" s="39" t="n"/>
      <c r="F681" s="28" t="n"/>
      <c r="G681" s="30" t="n"/>
      <c r="H681" s="30" t="n"/>
      <c r="I681" s="69">
        <f>+D681&amp;E681</f>
        <v/>
      </c>
    </row>
    <row r="682">
      <c r="D682" s="2" t="n">
        <v>673</v>
      </c>
      <c r="E682" s="39" t="n"/>
      <c r="F682" s="28" t="n"/>
      <c r="G682" s="30" t="n"/>
      <c r="H682" s="30" t="n"/>
      <c r="I682" s="69">
        <f>+D682&amp;E682</f>
        <v/>
      </c>
    </row>
    <row r="683">
      <c r="D683" s="2" t="n">
        <v>674</v>
      </c>
      <c r="E683" s="39" t="n"/>
      <c r="F683" s="28" t="n"/>
      <c r="G683" s="30" t="n"/>
      <c r="H683" s="30" t="n"/>
      <c r="I683" s="69">
        <f>+D683&amp;E683</f>
        <v/>
      </c>
    </row>
    <row r="684">
      <c r="D684" s="2" t="n">
        <v>675</v>
      </c>
      <c r="E684" s="39" t="n"/>
      <c r="F684" s="28" t="n"/>
      <c r="G684" s="30" t="n"/>
      <c r="H684" s="30" t="n"/>
      <c r="I684" s="69">
        <f>+D684&amp;E684</f>
        <v/>
      </c>
    </row>
    <row r="685">
      <c r="D685" s="2" t="n">
        <v>676</v>
      </c>
      <c r="E685" s="39" t="n"/>
      <c r="F685" s="28" t="n"/>
      <c r="G685" s="30" t="n"/>
      <c r="H685" s="30" t="n"/>
      <c r="I685" s="69">
        <f>+D685&amp;E685</f>
        <v/>
      </c>
    </row>
    <row r="686">
      <c r="D686" s="2" t="n">
        <v>677</v>
      </c>
      <c r="E686" s="39" t="n"/>
      <c r="F686" s="28" t="n"/>
      <c r="G686" s="30" t="n"/>
      <c r="H686" s="30" t="n"/>
      <c r="I686" s="69">
        <f>+D686&amp;E686</f>
        <v/>
      </c>
    </row>
    <row r="687">
      <c r="D687" s="2" t="n">
        <v>678</v>
      </c>
      <c r="E687" s="39" t="n"/>
      <c r="F687" s="28" t="n"/>
      <c r="G687" s="30" t="n"/>
      <c r="H687" s="30" t="n"/>
      <c r="I687" s="69">
        <f>+D687&amp;E687</f>
        <v/>
      </c>
    </row>
    <row r="688">
      <c r="D688" s="2" t="n">
        <v>679</v>
      </c>
      <c r="E688" s="39" t="n"/>
      <c r="F688" s="28" t="n"/>
      <c r="G688" s="30" t="n"/>
      <c r="H688" s="30" t="n"/>
      <c r="I688" s="69">
        <f>+D688&amp;E688</f>
        <v/>
      </c>
    </row>
    <row r="689">
      <c r="D689" s="2" t="n">
        <v>680</v>
      </c>
      <c r="E689" s="39" t="n"/>
      <c r="F689" s="28" t="n"/>
      <c r="G689" s="30" t="n"/>
      <c r="H689" s="30" t="n"/>
      <c r="I689" s="69">
        <f>+D689&amp;E689</f>
        <v/>
      </c>
    </row>
    <row r="690">
      <c r="D690" s="2" t="n">
        <v>681</v>
      </c>
      <c r="E690" s="39" t="n"/>
      <c r="F690" s="28" t="n"/>
      <c r="G690" s="30" t="n"/>
      <c r="H690" s="30" t="n"/>
      <c r="I690" s="69">
        <f>+D690&amp;E690</f>
        <v/>
      </c>
    </row>
    <row r="691">
      <c r="D691" s="2" t="n">
        <v>682</v>
      </c>
      <c r="E691" s="39" t="n"/>
      <c r="F691" s="28" t="n"/>
      <c r="G691" s="30" t="n"/>
      <c r="H691" s="30" t="n"/>
      <c r="I691" s="69">
        <f>+D691&amp;E691</f>
        <v/>
      </c>
    </row>
    <row r="692">
      <c r="D692" s="2" t="n">
        <v>683</v>
      </c>
      <c r="E692" s="39" t="n"/>
      <c r="F692" s="28" t="n"/>
      <c r="G692" s="30" t="n"/>
      <c r="H692" s="30" t="n"/>
      <c r="I692" s="69">
        <f>+D692&amp;E692</f>
        <v/>
      </c>
    </row>
    <row r="693">
      <c r="D693" s="2" t="n">
        <v>684</v>
      </c>
      <c r="E693" s="39" t="n"/>
      <c r="F693" s="28" t="n"/>
      <c r="G693" s="30" t="n"/>
      <c r="H693" s="30" t="n"/>
      <c r="I693" s="69">
        <f>+D693&amp;E693</f>
        <v/>
      </c>
    </row>
    <row r="694">
      <c r="D694" s="2" t="n">
        <v>685</v>
      </c>
      <c r="E694" s="39" t="n"/>
      <c r="F694" s="28" t="n"/>
      <c r="G694" s="30" t="n"/>
      <c r="H694" s="30" t="n"/>
      <c r="I694" s="69">
        <f>+D694&amp;E694</f>
        <v/>
      </c>
    </row>
    <row r="695">
      <c r="D695" s="2" t="n">
        <v>686</v>
      </c>
      <c r="E695" s="39" t="n"/>
      <c r="F695" s="28" t="n"/>
      <c r="G695" s="30" t="n"/>
      <c r="H695" s="30" t="n"/>
      <c r="I695" s="69">
        <f>+D695&amp;E695</f>
        <v/>
      </c>
    </row>
    <row r="696">
      <c r="D696" s="2" t="n">
        <v>687</v>
      </c>
      <c r="E696" s="39" t="n"/>
      <c r="F696" s="28" t="n"/>
      <c r="G696" s="30" t="n"/>
      <c r="H696" s="30" t="n"/>
      <c r="I696" s="69">
        <f>+D696&amp;E696</f>
        <v/>
      </c>
    </row>
    <row r="697">
      <c r="D697" s="2" t="n">
        <v>688</v>
      </c>
      <c r="E697" s="39" t="n"/>
      <c r="F697" s="28" t="n"/>
      <c r="G697" s="30" t="n"/>
      <c r="H697" s="30" t="n"/>
      <c r="I697" s="69">
        <f>+D697&amp;E697</f>
        <v/>
      </c>
    </row>
    <row r="698" ht="13.5" customHeight="1" thickBot="1">
      <c r="D698" s="2" t="n">
        <v>689</v>
      </c>
      <c r="E698" s="39" t="n"/>
      <c r="F698" s="28" t="n"/>
      <c r="G698" s="73" t="n"/>
      <c r="H698" s="73" t="n"/>
      <c r="I698" s="69">
        <f>+D698&amp;E698</f>
        <v/>
      </c>
    </row>
    <row r="699" ht="13.5" customHeight="1" thickBot="1">
      <c r="D699" s="4" t="n">
        <v>690</v>
      </c>
      <c r="E699" s="40" t="n"/>
      <c r="F699" s="31" t="n"/>
      <c r="G699" s="74" t="n"/>
      <c r="H699" s="74" t="n"/>
      <c r="I699" s="70">
        <f>+D699&amp;E699</f>
        <v/>
      </c>
    </row>
    <row r="700">
      <c r="G700" s="74" t="n"/>
      <c r="H700" s="74" t="n"/>
    </row>
    <row r="701">
      <c r="G701" s="74" t="n"/>
      <c r="H701" s="74" t="n"/>
    </row>
    <row r="702">
      <c r="G702" s="74" t="n"/>
      <c r="H702" s="74" t="n"/>
    </row>
    <row r="703">
      <c r="G703" s="74" t="n"/>
      <c r="H703" s="74" t="n"/>
    </row>
    <row r="704">
      <c r="G704" s="74" t="n"/>
      <c r="H704" s="74" t="n"/>
    </row>
    <row r="705">
      <c r="G705" s="74" t="n"/>
      <c r="H705" s="74" t="n"/>
    </row>
    <row r="706">
      <c r="G706" s="74" t="n"/>
      <c r="H706" s="74" t="n"/>
    </row>
    <row r="707">
      <c r="G707" s="74" t="n"/>
      <c r="H707" s="74" t="n"/>
    </row>
    <row r="708">
      <c r="G708" s="74" t="n"/>
      <c r="H708" s="74" t="n"/>
    </row>
    <row r="709">
      <c r="G709" s="74" t="n"/>
      <c r="H709" s="74" t="n"/>
    </row>
    <row r="710">
      <c r="G710" s="74" t="n"/>
      <c r="H710" s="74" t="n"/>
    </row>
    <row r="711">
      <c r="G711" s="74" t="n"/>
      <c r="H711" s="74" t="n"/>
    </row>
    <row r="712">
      <c r="G712" s="74" t="n"/>
      <c r="H712" s="74" t="n"/>
    </row>
    <row r="713">
      <c r="G713" s="74" t="n"/>
      <c r="H713" s="74" t="n"/>
    </row>
    <row r="714">
      <c r="G714" s="74" t="n"/>
      <c r="H714" s="74" t="n"/>
    </row>
    <row r="715">
      <c r="G715" s="74" t="n"/>
      <c r="H715" s="74" t="n"/>
    </row>
    <row r="716">
      <c r="G716" s="74" t="n"/>
      <c r="H716" s="74" t="n"/>
    </row>
    <row r="717">
      <c r="G717" s="74" t="n"/>
      <c r="H717" s="74" t="n"/>
    </row>
    <row r="718">
      <c r="G718" s="74" t="n"/>
      <c r="H718" s="74" t="n"/>
    </row>
    <row r="719">
      <c r="G719" s="74" t="n"/>
      <c r="H719" s="74" t="n"/>
    </row>
    <row r="720">
      <c r="G720" s="74" t="n"/>
      <c r="H720" s="74" t="n"/>
    </row>
    <row r="721">
      <c r="G721" s="74" t="n"/>
      <c r="H721" s="74" t="n"/>
    </row>
    <row r="722">
      <c r="G722" s="74" t="n"/>
      <c r="H722" s="74" t="n"/>
    </row>
    <row r="723">
      <c r="G723" s="74" t="n"/>
      <c r="H723" s="74" t="n"/>
    </row>
    <row r="724">
      <c r="G724" s="74" t="n"/>
      <c r="H724" s="74" t="n"/>
    </row>
    <row r="725">
      <c r="G725" s="74" t="n"/>
      <c r="H725" s="74" t="n"/>
    </row>
    <row r="726">
      <c r="G726" s="74" t="n"/>
      <c r="H726" s="74" t="n"/>
    </row>
    <row r="727">
      <c r="G727" s="74" t="n"/>
      <c r="H727" s="74" t="n"/>
    </row>
    <row r="728">
      <c r="G728" s="74" t="n"/>
      <c r="H728" s="74" t="n"/>
    </row>
    <row r="729">
      <c r="G729" s="74" t="n"/>
      <c r="H729" s="74" t="n"/>
    </row>
    <row r="730">
      <c r="G730" s="74" t="n"/>
      <c r="H730" s="74" t="n"/>
    </row>
    <row r="731">
      <c r="G731" s="74" t="n"/>
      <c r="H731" s="74" t="n"/>
    </row>
    <row r="732">
      <c r="G732" s="74" t="n"/>
      <c r="H732" s="74" t="n"/>
    </row>
    <row r="733">
      <c r="G733" s="74" t="n"/>
      <c r="H733" s="74" t="n"/>
    </row>
    <row r="734">
      <c r="G734" s="74" t="n"/>
      <c r="H734" s="74" t="n"/>
    </row>
    <row r="735">
      <c r="G735" s="74" t="n"/>
      <c r="H735" s="74" t="n"/>
    </row>
    <row r="736">
      <c r="G736" s="74" t="n"/>
      <c r="H736" s="74" t="n"/>
    </row>
    <row r="737">
      <c r="G737" s="74" t="n"/>
      <c r="H737" s="74" t="n"/>
    </row>
    <row r="738">
      <c r="G738" s="74" t="n"/>
      <c r="H738" s="74" t="n"/>
    </row>
    <row r="739">
      <c r="G739" s="74" t="n"/>
      <c r="H739" s="74" t="n"/>
    </row>
    <row r="740">
      <c r="G740" s="74" t="n"/>
      <c r="H740" s="74" t="n"/>
    </row>
    <row r="741">
      <c r="G741" s="74" t="n"/>
      <c r="H741" s="74" t="n"/>
    </row>
    <row r="742">
      <c r="G742" s="74" t="n"/>
      <c r="H742" s="74" t="n"/>
    </row>
    <row r="743">
      <c r="G743" s="74" t="n"/>
      <c r="H743" s="74" t="n"/>
    </row>
    <row r="744">
      <c r="G744" s="74" t="n"/>
      <c r="H744" s="74" t="n"/>
    </row>
    <row r="745">
      <c r="G745" s="74" t="n"/>
      <c r="H745" s="74" t="n"/>
    </row>
    <row r="746">
      <c r="G746" s="74" t="n"/>
      <c r="H746" s="74" t="n"/>
    </row>
    <row r="747">
      <c r="G747" s="74" t="n"/>
      <c r="H747" s="74" t="n"/>
    </row>
    <row r="748">
      <c r="G748" s="74" t="n"/>
      <c r="H748" s="74" t="n"/>
    </row>
    <row r="749">
      <c r="G749" s="74" t="n"/>
      <c r="H749" s="74" t="n"/>
    </row>
    <row r="750">
      <c r="G750" s="74" t="n"/>
      <c r="H750" s="74" t="n"/>
    </row>
    <row r="751">
      <c r="G751" s="74" t="n"/>
      <c r="H751" s="74" t="n"/>
    </row>
    <row r="752">
      <c r="G752" s="74" t="n"/>
      <c r="H752" s="74" t="n"/>
    </row>
    <row r="753">
      <c r="G753" s="74" t="n"/>
      <c r="H753" s="74" t="n"/>
    </row>
    <row r="754">
      <c r="G754" s="74" t="n"/>
      <c r="H754" s="74" t="n"/>
    </row>
    <row r="755">
      <c r="G755" s="74" t="n"/>
      <c r="H755" s="74" t="n"/>
    </row>
    <row r="756">
      <c r="G756" s="74" t="n"/>
      <c r="H756" s="74" t="n"/>
    </row>
    <row r="757">
      <c r="G757" s="74" t="n"/>
      <c r="H757" s="74" t="n"/>
    </row>
    <row r="758">
      <c r="G758" s="74" t="n"/>
      <c r="H758" s="74" t="n"/>
    </row>
    <row r="759">
      <c r="G759" s="74" t="n"/>
      <c r="H759" s="74" t="n"/>
    </row>
    <row r="760">
      <c r="G760" s="74" t="n"/>
      <c r="H760" s="74" t="n"/>
    </row>
    <row r="761">
      <c r="G761" s="74" t="n"/>
      <c r="H761" s="74" t="n"/>
    </row>
    <row r="762">
      <c r="G762" s="74" t="n"/>
      <c r="H762" s="74" t="n"/>
    </row>
    <row r="763">
      <c r="G763" s="74" t="n"/>
      <c r="H763" s="74" t="n"/>
    </row>
    <row r="764">
      <c r="G764" s="74" t="n"/>
      <c r="H764" s="74" t="n"/>
    </row>
    <row r="765">
      <c r="G765" s="74" t="n"/>
      <c r="H765" s="74" t="n"/>
    </row>
    <row r="766">
      <c r="G766" s="74" t="n"/>
      <c r="H766" s="74" t="n"/>
    </row>
    <row r="767">
      <c r="G767" s="74" t="n"/>
      <c r="H767" s="74" t="n"/>
    </row>
    <row r="768">
      <c r="G768" s="74" t="n"/>
      <c r="H768" s="74" t="n"/>
    </row>
    <row r="769">
      <c r="G769" s="74" t="n"/>
      <c r="H769" s="74" t="n"/>
    </row>
    <row r="770">
      <c r="G770" s="74" t="n"/>
      <c r="H770" s="74" t="n"/>
    </row>
    <row r="771">
      <c r="G771" s="74" t="n"/>
      <c r="H771" s="74" t="n"/>
    </row>
    <row r="772">
      <c r="G772" s="74" t="n"/>
      <c r="H772" s="74" t="n"/>
    </row>
    <row r="773">
      <c r="G773" s="74" t="n"/>
      <c r="H773" s="74" t="n"/>
    </row>
    <row r="774">
      <c r="G774" s="74" t="n"/>
      <c r="H774" s="74" t="n"/>
    </row>
    <row r="775">
      <c r="G775" s="74" t="n"/>
      <c r="H775" s="74" t="n"/>
    </row>
    <row r="776">
      <c r="G776" s="74" t="n"/>
      <c r="H776" s="74" t="n"/>
    </row>
    <row r="777">
      <c r="G777" s="74" t="n"/>
      <c r="H777" s="74" t="n"/>
    </row>
    <row r="778">
      <c r="G778" s="74" t="n"/>
      <c r="H778" s="74" t="n"/>
    </row>
    <row r="779">
      <c r="G779" s="74" t="n"/>
      <c r="H779" s="74" t="n"/>
    </row>
    <row r="780">
      <c r="G780" s="74" t="n"/>
      <c r="H780" s="74" t="n"/>
    </row>
    <row r="781">
      <c r="G781" s="74" t="n"/>
      <c r="H781" s="74" t="n"/>
    </row>
    <row r="782">
      <c r="G782" s="74" t="n"/>
      <c r="H782" s="74" t="n"/>
    </row>
    <row r="783">
      <c r="G783" s="74" t="n"/>
      <c r="H783" s="74" t="n"/>
    </row>
    <row r="784">
      <c r="G784" s="74" t="n"/>
      <c r="H784" s="74" t="n"/>
    </row>
    <row r="785">
      <c r="G785" s="74" t="n"/>
      <c r="H785" s="74" t="n"/>
    </row>
    <row r="786">
      <c r="G786" s="74" t="n"/>
      <c r="H786" s="74" t="n"/>
    </row>
    <row r="787">
      <c r="G787" s="74" t="n"/>
      <c r="H787" s="74" t="n"/>
    </row>
    <row r="788">
      <c r="G788" s="74" t="n"/>
      <c r="H788" s="74" t="n"/>
    </row>
    <row r="789">
      <c r="G789" s="74" t="n"/>
      <c r="H789" s="74" t="n"/>
    </row>
    <row r="790">
      <c r="G790" s="74" t="n"/>
      <c r="H790" s="74" t="n"/>
    </row>
    <row r="791">
      <c r="G791" s="74" t="n"/>
      <c r="H791" s="74" t="n"/>
    </row>
    <row r="792">
      <c r="G792" s="74" t="n"/>
      <c r="H792" s="74" t="n"/>
    </row>
    <row r="793">
      <c r="G793" s="74" t="n"/>
      <c r="H793" s="74" t="n"/>
    </row>
    <row r="794">
      <c r="G794" s="74" t="n"/>
      <c r="H794" s="74" t="n"/>
    </row>
    <row r="795">
      <c r="G795" s="74" t="n"/>
      <c r="H795" s="74" t="n"/>
    </row>
    <row r="796">
      <c r="G796" s="74" t="n"/>
      <c r="H796" s="74" t="n"/>
    </row>
    <row r="797">
      <c r="G797" s="74" t="n"/>
      <c r="H797" s="74" t="n"/>
    </row>
    <row r="798">
      <c r="G798" s="74" t="n"/>
      <c r="H798" s="74" t="n"/>
    </row>
    <row r="799">
      <c r="G799" s="74" t="n"/>
      <c r="H799" s="74" t="n"/>
    </row>
    <row r="800">
      <c r="G800" s="74" t="n"/>
      <c r="H800" s="74" t="n"/>
    </row>
    <row r="801">
      <c r="G801" s="74" t="n"/>
      <c r="H801" s="74" t="n"/>
    </row>
    <row r="802">
      <c r="G802" s="74" t="n"/>
      <c r="H802" s="74" t="n"/>
    </row>
    <row r="803">
      <c r="G803" s="74" t="n"/>
      <c r="H803" s="74" t="n"/>
    </row>
    <row r="804">
      <c r="G804" s="74" t="n"/>
      <c r="H804" s="74" t="n"/>
    </row>
    <row r="805">
      <c r="G805" s="74" t="n"/>
      <c r="H805" s="74" t="n"/>
    </row>
    <row r="806">
      <c r="G806" s="74" t="n"/>
      <c r="H806" s="74" t="n"/>
    </row>
    <row r="807">
      <c r="G807" s="74" t="n"/>
      <c r="H807" s="74" t="n"/>
    </row>
    <row r="808">
      <c r="G808" s="74" t="n"/>
      <c r="H808" s="74" t="n"/>
    </row>
    <row r="809">
      <c r="G809" s="74" t="n"/>
      <c r="H809" s="74" t="n"/>
    </row>
    <row r="810">
      <c r="G810" s="74" t="n"/>
      <c r="H810" s="74" t="n"/>
    </row>
    <row r="811">
      <c r="G811" s="74" t="n"/>
      <c r="H811" s="74" t="n"/>
    </row>
    <row r="812">
      <c r="G812" s="74" t="n"/>
      <c r="H812" s="74" t="n"/>
    </row>
    <row r="813">
      <c r="G813" s="74" t="n"/>
      <c r="H813" s="74" t="n"/>
    </row>
    <row r="814">
      <c r="G814" s="74" t="n"/>
      <c r="H814" s="74" t="n"/>
    </row>
    <row r="815">
      <c r="G815" s="74" t="n"/>
      <c r="H815" s="74" t="n"/>
    </row>
    <row r="816">
      <c r="G816" s="74" t="n"/>
      <c r="H816" s="74" t="n"/>
    </row>
    <row r="817">
      <c r="G817" s="74" t="n"/>
      <c r="H817" s="74" t="n"/>
    </row>
    <row r="818">
      <c r="G818" s="74" t="n"/>
      <c r="H818" s="74" t="n"/>
    </row>
    <row r="819">
      <c r="G819" s="74" t="n"/>
      <c r="H819" s="74" t="n"/>
    </row>
    <row r="820">
      <c r="G820" s="74" t="n"/>
      <c r="H820" s="74" t="n"/>
    </row>
    <row r="821">
      <c r="G821" s="74" t="n"/>
      <c r="H821" s="74" t="n"/>
    </row>
    <row r="822">
      <c r="G822" s="74" t="n"/>
      <c r="H822" s="74" t="n"/>
    </row>
    <row r="823">
      <c r="G823" s="74" t="n"/>
      <c r="H823" s="74" t="n"/>
    </row>
    <row r="824">
      <c r="G824" s="74" t="n"/>
      <c r="H824" s="74" t="n"/>
    </row>
    <row r="825">
      <c r="G825" s="74" t="n"/>
      <c r="H825" s="74" t="n"/>
    </row>
    <row r="826">
      <c r="G826" s="74" t="n"/>
      <c r="H826" s="74" t="n"/>
    </row>
    <row r="827">
      <c r="G827" s="74" t="n"/>
      <c r="H827" s="74" t="n"/>
    </row>
    <row r="828">
      <c r="G828" s="74" t="n"/>
      <c r="H828" s="74" t="n"/>
    </row>
    <row r="829">
      <c r="G829" s="74" t="n"/>
      <c r="H829" s="74" t="n"/>
    </row>
    <row r="830">
      <c r="G830" s="74" t="n"/>
      <c r="H830" s="74" t="n"/>
    </row>
    <row r="831">
      <c r="G831" s="74" t="n"/>
      <c r="H831" s="74" t="n"/>
    </row>
    <row r="832">
      <c r="G832" s="74" t="n"/>
      <c r="H832" s="74" t="n"/>
    </row>
    <row r="833">
      <c r="G833" s="74" t="n"/>
      <c r="H833" s="74" t="n"/>
    </row>
    <row r="834">
      <c r="G834" s="74" t="n"/>
      <c r="H834" s="74" t="n"/>
    </row>
    <row r="835">
      <c r="G835" s="74" t="n"/>
      <c r="H835" s="74" t="n"/>
    </row>
    <row r="836">
      <c r="G836" s="74" t="n"/>
      <c r="H836" s="74" t="n"/>
    </row>
    <row r="837">
      <c r="G837" s="74" t="n"/>
      <c r="H837" s="74" t="n"/>
    </row>
    <row r="838">
      <c r="G838" s="72" t="n"/>
      <c r="H838" s="72" t="n"/>
    </row>
    <row r="839">
      <c r="G839" s="72" t="n"/>
      <c r="H839" s="72" t="n"/>
    </row>
    <row r="840">
      <c r="G840" s="72" t="n"/>
      <c r="H840" s="72" t="n"/>
    </row>
    <row r="841">
      <c r="G841" s="72" t="n"/>
      <c r="H841" s="72" t="n"/>
    </row>
    <row r="842">
      <c r="G842" s="72" t="n"/>
      <c r="H842" s="72" t="n"/>
    </row>
    <row r="843">
      <c r="G843" s="72" t="n"/>
      <c r="H843" s="72" t="n"/>
    </row>
    <row r="844">
      <c r="G844" s="72" t="n"/>
      <c r="H844" s="72" t="n"/>
    </row>
    <row r="845">
      <c r="G845" s="72" t="n"/>
      <c r="H845" s="72" t="n"/>
    </row>
    <row r="846">
      <c r="G846" s="72" t="n"/>
      <c r="H846" s="72" t="n"/>
    </row>
    <row r="847">
      <c r="G847" s="72" t="n"/>
      <c r="H847" s="72" t="n"/>
    </row>
    <row r="848">
      <c r="G848" s="72" t="n"/>
      <c r="H848" s="72" t="n"/>
    </row>
    <row r="849">
      <c r="G849" s="72" t="n"/>
      <c r="H849" s="72" t="n"/>
    </row>
  </sheetData>
  <mergeCells count="3">
    <mergeCell ref="A8:B8"/>
    <mergeCell ref="D8:H8"/>
    <mergeCell ref="D6:I6"/>
  </mergeCells>
  <printOptions horizontalCentered="1" verticalCentered="1"/>
  <pageMargins left="0.75" right="0.75" top="1" bottom="1" header="0" footer="0"/>
  <pageSetup orientation="landscape" paperSize="9" scale="96" horizontalDpi="4294967293" verticalDpi="300"/>
</worksheet>
</file>

<file path=xl/worksheets/sheet4.xml><?xml version="1.0" encoding="utf-8"?>
<worksheet xmlns="http://schemas.openxmlformats.org/spreadsheetml/2006/main">
  <sheetPr codeName="Hoja4">
    <outlinePr summaryBelow="1" summaryRight="1"/>
    <pageSetUpPr/>
  </sheetPr>
  <dimension ref="A6:U64930"/>
  <sheetViews>
    <sheetView topLeftCell="A53" workbookViewId="0">
      <selection activeCell="D109" sqref="D109"/>
    </sheetView>
  </sheetViews>
  <sheetFormatPr baseColWidth="10" defaultRowHeight="12.75"/>
  <cols>
    <col width="11.42578125" customWidth="1" style="77" min="1" max="3"/>
    <col width="25.85546875" customWidth="1" style="109" min="4" max="4"/>
    <col width="8.7109375" customWidth="1" min="5" max="5"/>
    <col width="8.7109375" bestFit="1" customWidth="1" style="77" min="6" max="6"/>
    <col width="18.7109375" customWidth="1" style="77" min="7" max="7"/>
    <col width="8.5703125" bestFit="1" customWidth="1" style="77" min="8" max="8"/>
    <col width="8.85546875" bestFit="1" customWidth="1" style="77" min="9" max="9"/>
    <col width="28.140625" bestFit="1" customWidth="1" style="77" min="10" max="10"/>
    <col width="11.42578125" customWidth="1" style="158" min="12" max="21"/>
  </cols>
  <sheetData>
    <row r="5" ht="13.5" customHeight="1" thickBot="1"/>
    <row r="6" ht="13.5" customFormat="1" customHeight="1" s="1" thickBot="1">
      <c r="A6" s="34" t="inlineStr">
        <is>
          <t>FILA</t>
        </is>
      </c>
      <c r="B6" s="32" t="inlineStr">
        <is>
          <t>REF. 1</t>
        </is>
      </c>
      <c r="C6" s="322" t="inlineStr">
        <is>
          <t>REF. 2</t>
        </is>
      </c>
      <c r="D6" s="211" t="inlineStr">
        <is>
          <t>Artículo</t>
        </is>
      </c>
      <c r="E6" s="34" t="inlineStr">
        <is>
          <t>REF. 3</t>
        </is>
      </c>
      <c r="F6" s="322" t="inlineStr">
        <is>
          <t>COLOR</t>
        </is>
      </c>
      <c r="G6" s="325" t="n"/>
      <c r="H6" s="34" t="inlineStr">
        <is>
          <t>COSTE</t>
        </is>
      </c>
      <c r="I6" s="34" t="inlineStr">
        <is>
          <t>ANCHO</t>
        </is>
      </c>
      <c r="J6" s="34" t="inlineStr">
        <is>
          <t>COMPOSICION</t>
        </is>
      </c>
      <c r="L6" s="159" t="n"/>
      <c r="M6" s="159" t="n"/>
      <c r="N6" s="159" t="n"/>
      <c r="O6" s="159" t="n"/>
      <c r="P6" s="159" t="n"/>
      <c r="Q6" s="159" t="n"/>
      <c r="R6" s="159" t="n"/>
      <c r="S6" s="159" t="n"/>
      <c r="T6" s="159" t="n"/>
      <c r="U6" s="159" t="n"/>
    </row>
    <row r="7" customFormat="1" s="219">
      <c r="A7" s="218">
        <f>ROW()-6</f>
        <v/>
      </c>
      <c r="B7" s="220" t="n">
        <v>1</v>
      </c>
      <c r="C7" s="221">
        <f>+VLOOKUP(B7,ARTICULOS!$D$10:$I$699,6)</f>
        <v/>
      </c>
      <c r="D7" s="214" t="inlineStr">
        <is>
          <t>Saten 50/50</t>
        </is>
      </c>
      <c r="E7" s="222">
        <f>+C7&amp;F7</f>
        <v/>
      </c>
      <c r="F7" s="223" t="n">
        <v>1</v>
      </c>
      <c r="G7" s="224" t="inlineStr">
        <is>
          <t>Blanco</t>
        </is>
      </c>
      <c r="H7" s="218" t="n">
        <v>8.41</v>
      </c>
      <c r="I7" s="218" t="n">
        <v>3.2</v>
      </c>
      <c r="J7" s="218" t="inlineStr">
        <is>
          <t>50% Alg./50%Pes.</t>
        </is>
      </c>
      <c r="L7" s="225" t="n"/>
      <c r="M7" s="225" t="n"/>
      <c r="N7" s="225" t="n"/>
      <c r="O7" s="225" t="n"/>
      <c r="P7" s="225" t="n"/>
      <c r="Q7" s="225" t="n"/>
      <c r="R7" s="225" t="n"/>
      <c r="S7" s="225" t="n"/>
      <c r="T7" s="225" t="n"/>
      <c r="U7" s="225" t="n"/>
    </row>
    <row r="8" customFormat="1" s="219">
      <c r="A8" s="218">
        <f>ROW()-6</f>
        <v/>
      </c>
      <c r="B8" s="226">
        <f>+MATCH(D8,ARTICULOS!$F$10:$F$699,0)</f>
        <v/>
      </c>
      <c r="C8" s="227">
        <f>+VLOOKUP(B8,ARTICULOS!$D$10:$I$699,6)</f>
        <v/>
      </c>
      <c r="D8" s="214" t="inlineStr">
        <is>
          <t>Saten 50/50</t>
        </is>
      </c>
      <c r="E8" s="215">
        <f>+C8&amp;F8</f>
        <v/>
      </c>
      <c r="F8" s="216" t="n">
        <v>2</v>
      </c>
      <c r="G8" s="217" t="inlineStr">
        <is>
          <t>Palido</t>
        </is>
      </c>
      <c r="H8" s="218" t="n">
        <v>11.06</v>
      </c>
      <c r="I8" s="218" t="n">
        <v>3.2</v>
      </c>
      <c r="J8" s="218" t="inlineStr">
        <is>
          <t>50% Alg./50%Pes.</t>
        </is>
      </c>
      <c r="L8" s="225" t="n"/>
      <c r="M8" s="225" t="n"/>
      <c r="N8" s="225" t="n"/>
      <c r="O8" s="225" t="n"/>
      <c r="P8" s="225" t="n"/>
      <c r="Q8" s="225" t="n"/>
      <c r="R8" s="225" t="n"/>
      <c r="S8" s="225" t="n"/>
      <c r="T8" s="225" t="n"/>
      <c r="U8" s="225" t="n"/>
    </row>
    <row r="9" customFormat="1" s="219">
      <c r="A9" s="218">
        <f>ROW()-6</f>
        <v/>
      </c>
      <c r="B9" s="226">
        <f>+MATCH(D9,ARTICULOS!$F$10:$F$699,0)</f>
        <v/>
      </c>
      <c r="C9" s="227">
        <f>+VLOOKUP(B9,ARTICULOS!$D$10:$I$699,6)</f>
        <v/>
      </c>
      <c r="D9" s="214" t="inlineStr">
        <is>
          <t>Saten 50/50</t>
        </is>
      </c>
      <c r="E9" s="215">
        <f>+C9&amp;F9</f>
        <v/>
      </c>
      <c r="F9" s="216" t="n">
        <v>3</v>
      </c>
      <c r="G9" s="217" t="inlineStr">
        <is>
          <t>Medio</t>
        </is>
      </c>
      <c r="H9" s="218" t="n">
        <v>12.2</v>
      </c>
      <c r="I9" s="218" t="n">
        <v>3.2</v>
      </c>
      <c r="J9" s="218" t="inlineStr">
        <is>
          <t>50% Alg./50%Pes.</t>
        </is>
      </c>
      <c r="L9" s="225" t="n"/>
      <c r="M9" s="225" t="n"/>
      <c r="N9" s="225" t="n"/>
      <c r="O9" s="225" t="n"/>
      <c r="P9" s="225" t="n"/>
      <c r="Q9" s="225" t="n"/>
      <c r="R9" s="225" t="n"/>
      <c r="S9" s="225" t="n"/>
      <c r="T9" s="225" t="n"/>
      <c r="U9" s="225" t="n"/>
    </row>
    <row r="10" customFormat="1" s="219">
      <c r="A10" s="218">
        <f>ROW()-6</f>
        <v/>
      </c>
      <c r="B10" s="226">
        <f>+MATCH(D10,ARTICULOS!$F$10:$F$699,0)</f>
        <v/>
      </c>
      <c r="C10" s="227">
        <f>+VLOOKUP(B10,ARTICULOS!$D$10:$I$699,6)</f>
        <v/>
      </c>
      <c r="D10" s="214" t="inlineStr">
        <is>
          <t>Saten 50/50</t>
        </is>
      </c>
      <c r="E10" s="215">
        <f>+C10&amp;F10</f>
        <v/>
      </c>
      <c r="F10" s="216" t="n">
        <v>4</v>
      </c>
      <c r="G10" s="217" t="inlineStr">
        <is>
          <t>Intenso</t>
        </is>
      </c>
      <c r="H10" s="218" t="n">
        <v>13.46</v>
      </c>
      <c r="I10" s="218" t="n">
        <v>3.2</v>
      </c>
      <c r="J10" s="218" t="inlineStr">
        <is>
          <t>50% Alg./50%Pes.</t>
        </is>
      </c>
      <c r="L10" s="225" t="n"/>
      <c r="M10" s="225" t="n"/>
      <c r="N10" s="225" t="n"/>
      <c r="O10" s="225" t="n"/>
      <c r="P10" s="225" t="n"/>
      <c r="Q10" s="225" t="n"/>
      <c r="R10" s="225" t="n"/>
      <c r="S10" s="225" t="n"/>
      <c r="T10" s="225" t="n"/>
      <c r="U10" s="225" t="n"/>
    </row>
    <row r="11" customFormat="1" s="219">
      <c r="A11" s="218">
        <f>ROW()-6</f>
        <v/>
      </c>
      <c r="B11" s="226">
        <f>+MATCH(D11,ARTICULOS!$F$10:$F$699,0)</f>
        <v/>
      </c>
      <c r="C11" s="227">
        <f>+VLOOKUP(B11,ARTICULOS!$D$10:$I$699,6)</f>
        <v/>
      </c>
      <c r="D11" s="214" t="inlineStr">
        <is>
          <t>Saten 50/50</t>
        </is>
      </c>
      <c r="E11" s="215">
        <f>+C11&amp;F11</f>
        <v/>
      </c>
      <c r="F11" s="216" t="n">
        <v>5</v>
      </c>
      <c r="G11" s="217" t="inlineStr">
        <is>
          <t>Intenso Especial</t>
        </is>
      </c>
      <c r="H11" s="218" t="n">
        <v>14.55</v>
      </c>
      <c r="I11" s="218" t="n">
        <v>3.2</v>
      </c>
      <c r="J11" s="218" t="inlineStr">
        <is>
          <t>50% Alg./50%Pes.</t>
        </is>
      </c>
      <c r="L11" s="225" t="n"/>
      <c r="M11" s="225" t="n"/>
      <c r="N11" s="225" t="n"/>
      <c r="O11" s="225" t="n"/>
      <c r="P11" s="225" t="n"/>
      <c r="Q11" s="225" t="n"/>
      <c r="R11" s="225" t="n"/>
      <c r="S11" s="225" t="n"/>
      <c r="T11" s="225" t="n"/>
      <c r="U11" s="225" t="n"/>
    </row>
    <row r="12" customFormat="1" s="219">
      <c r="A12" s="218">
        <f>ROW()-6</f>
        <v/>
      </c>
      <c r="B12" s="226">
        <f>+MATCH(D12,ARTICULOS!$F$10:$F$699,0)</f>
        <v/>
      </c>
      <c r="C12" s="227">
        <f>+VLOOKUP(B12,ARTICULOS!$D$10:$I$699,6)</f>
        <v/>
      </c>
      <c r="D12" s="228" t="inlineStr">
        <is>
          <t>Saten Pes100</t>
        </is>
      </c>
      <c r="E12" s="215">
        <f>+C12&amp;F12</f>
        <v/>
      </c>
      <c r="F12" s="216" t="n">
        <v>1</v>
      </c>
      <c r="G12" s="217" t="inlineStr">
        <is>
          <t>Blanco</t>
        </is>
      </c>
      <c r="H12" s="218" t="n">
        <v>7.8</v>
      </c>
      <c r="I12" s="218" t="n">
        <v>3.25</v>
      </c>
      <c r="J12" s="218" t="inlineStr">
        <is>
          <t>100% Poliester</t>
        </is>
      </c>
      <c r="L12" s="225" t="n"/>
      <c r="M12" s="225" t="n"/>
      <c r="N12" s="225" t="n"/>
      <c r="O12" s="225" t="n"/>
      <c r="P12" s="225" t="n"/>
      <c r="Q12" s="225" t="n"/>
      <c r="R12" s="225" t="n"/>
      <c r="S12" s="225" t="n"/>
      <c r="T12" s="225" t="n"/>
      <c r="U12" s="225" t="n"/>
    </row>
    <row r="13" customFormat="1" s="219">
      <c r="A13" s="218">
        <f>ROW()-6</f>
        <v/>
      </c>
      <c r="B13" s="226">
        <f>+MATCH(D13,ARTICULOS!$F$10:$F$699,0)</f>
        <v/>
      </c>
      <c r="C13" s="227">
        <f>+VLOOKUP(B13,ARTICULOS!$D$10:$I$699,6)</f>
        <v/>
      </c>
      <c r="D13" s="228" t="inlineStr">
        <is>
          <t>Saten Pes100</t>
        </is>
      </c>
      <c r="E13" s="215">
        <f>+C13&amp;F13</f>
        <v/>
      </c>
      <c r="F13" s="216" t="n">
        <v>2</v>
      </c>
      <c r="G13" s="217" t="inlineStr">
        <is>
          <t>Palido</t>
        </is>
      </c>
      <c r="H13" s="218" t="n">
        <v>9.289999999999999</v>
      </c>
      <c r="I13" s="218" t="n">
        <v>3.25</v>
      </c>
      <c r="J13" s="218" t="inlineStr">
        <is>
          <t>100% Poliester</t>
        </is>
      </c>
      <c r="L13" s="225" t="n"/>
      <c r="M13" s="225" t="n"/>
      <c r="N13" s="225" t="n"/>
      <c r="O13" s="225" t="n"/>
      <c r="P13" s="225" t="n"/>
      <c r="Q13" s="225" t="n"/>
      <c r="R13" s="225" t="n"/>
      <c r="S13" s="225" t="n"/>
      <c r="T13" s="225" t="n"/>
      <c r="U13" s="225" t="n"/>
    </row>
    <row r="14" customFormat="1" s="219">
      <c r="A14" s="218">
        <f>ROW()-6</f>
        <v/>
      </c>
      <c r="B14" s="226">
        <f>+MATCH(D14,ARTICULOS!$F$10:$F$699,0)</f>
        <v/>
      </c>
      <c r="C14" s="227">
        <f>+VLOOKUP(B14,ARTICULOS!$D$10:$I$699,6)</f>
        <v/>
      </c>
      <c r="D14" s="228" t="inlineStr">
        <is>
          <t>Saten Pes100</t>
        </is>
      </c>
      <c r="E14" s="215">
        <f>+C14&amp;F14</f>
        <v/>
      </c>
      <c r="F14" s="216" t="n">
        <v>3</v>
      </c>
      <c r="G14" s="217" t="inlineStr">
        <is>
          <t>Medio</t>
        </is>
      </c>
      <c r="H14" s="218" t="n">
        <v>9.869999999999999</v>
      </c>
      <c r="I14" s="218" t="n">
        <v>3.25</v>
      </c>
      <c r="J14" s="218" t="inlineStr">
        <is>
          <t>100% Poliester</t>
        </is>
      </c>
      <c r="L14" s="225" t="n"/>
      <c r="M14" s="225" t="n"/>
      <c r="N14" s="225" t="n"/>
      <c r="O14" s="225" t="n"/>
      <c r="P14" s="225" t="n"/>
      <c r="Q14" s="225" t="n"/>
      <c r="R14" s="225" t="n"/>
      <c r="S14" s="225" t="n"/>
      <c r="T14" s="225" t="n"/>
      <c r="U14" s="225" t="n"/>
    </row>
    <row r="15" customFormat="1" s="219">
      <c r="A15" s="218">
        <f>ROW()-6</f>
        <v/>
      </c>
      <c r="B15" s="226">
        <f>+MATCH(D15,ARTICULOS!$F$10:$F$699,0)</f>
        <v/>
      </c>
      <c r="C15" s="227">
        <f>+VLOOKUP(B15,ARTICULOS!$D$10:$I$699,6)</f>
        <v/>
      </c>
      <c r="D15" s="228" t="inlineStr">
        <is>
          <t>Saten Pes100</t>
        </is>
      </c>
      <c r="E15" s="215">
        <f>+C15&amp;F15</f>
        <v/>
      </c>
      <c r="F15" s="216" t="n">
        <v>4</v>
      </c>
      <c r="G15" s="217" t="inlineStr">
        <is>
          <t>Intenso</t>
        </is>
      </c>
      <c r="H15" s="218" t="n">
        <v>11.4</v>
      </c>
      <c r="I15" s="218" t="n">
        <v>3.25</v>
      </c>
      <c r="J15" s="218" t="inlineStr">
        <is>
          <t>100% Poliester</t>
        </is>
      </c>
      <c r="L15" s="225" t="n"/>
      <c r="M15" s="225" t="n"/>
      <c r="N15" s="225" t="n"/>
      <c r="O15" s="225" t="n"/>
      <c r="P15" s="225" t="n"/>
      <c r="Q15" s="225" t="n"/>
      <c r="R15" s="225" t="n"/>
      <c r="S15" s="225" t="n"/>
      <c r="T15" s="225" t="n"/>
      <c r="U15" s="225" t="n"/>
    </row>
    <row r="16" customFormat="1" s="219">
      <c r="A16" s="218">
        <f>ROW()-6</f>
        <v/>
      </c>
      <c r="B16" s="226">
        <f>+MATCH(D16,ARTICULOS!$F$10:$F$699,0)</f>
        <v/>
      </c>
      <c r="C16" s="227">
        <f>+VLOOKUP(B16,ARTICULOS!$D$10:$I$699,6)</f>
        <v/>
      </c>
      <c r="D16" s="228" t="inlineStr">
        <is>
          <t>Saten London</t>
        </is>
      </c>
      <c r="E16" s="215">
        <f>+C16&amp;F16</f>
        <v/>
      </c>
      <c r="F16" s="216" t="n">
        <v>1</v>
      </c>
      <c r="G16" s="217" t="inlineStr">
        <is>
          <t>Blanco</t>
        </is>
      </c>
      <c r="H16" s="218" t="n">
        <v>9.93</v>
      </c>
      <c r="I16" s="218" t="n">
        <v>3.4</v>
      </c>
      <c r="J16" s="218" t="inlineStr">
        <is>
          <t>100% Poliester</t>
        </is>
      </c>
      <c r="L16" s="225" t="n"/>
      <c r="M16" s="225" t="n"/>
      <c r="N16" s="225" t="n"/>
      <c r="O16" s="225" t="n"/>
      <c r="P16" s="225" t="n"/>
      <c r="Q16" s="225" t="n"/>
      <c r="R16" s="225" t="n"/>
      <c r="S16" s="225" t="n"/>
      <c r="T16" s="225" t="n"/>
      <c r="U16" s="225" t="n"/>
    </row>
    <row r="17" customFormat="1" s="219">
      <c r="A17" s="218">
        <f>ROW()-6</f>
        <v/>
      </c>
      <c r="B17" s="226">
        <f>+MATCH(D17,ARTICULOS!$F$10:$F$699,0)</f>
        <v/>
      </c>
      <c r="C17" s="227">
        <f>+VLOOKUP(B17,ARTICULOS!$D$10:$I$699,6)</f>
        <v/>
      </c>
      <c r="D17" s="228" t="inlineStr">
        <is>
          <t>Saten London</t>
        </is>
      </c>
      <c r="E17" s="215">
        <f>+C17&amp;F17</f>
        <v/>
      </c>
      <c r="F17" s="216" t="n">
        <v>2</v>
      </c>
      <c r="G17" s="217" t="inlineStr">
        <is>
          <t>Palido</t>
        </is>
      </c>
      <c r="H17" s="218" t="n">
        <v>11.29</v>
      </c>
      <c r="I17" s="218" t="n">
        <v>3.4</v>
      </c>
      <c r="J17" s="218" t="inlineStr">
        <is>
          <t>100% Poliester</t>
        </is>
      </c>
      <c r="L17" s="225" t="n"/>
      <c r="M17" s="225" t="n"/>
      <c r="N17" s="225" t="n"/>
      <c r="O17" s="225" t="n"/>
      <c r="P17" s="225" t="n"/>
      <c r="Q17" s="225" t="n"/>
      <c r="R17" s="225" t="n"/>
      <c r="S17" s="225" t="n"/>
      <c r="T17" s="225" t="n"/>
      <c r="U17" s="225" t="n"/>
    </row>
    <row r="18" customFormat="1" s="219">
      <c r="A18" s="218">
        <f>ROW()-6</f>
        <v/>
      </c>
      <c r="B18" s="226">
        <f>+MATCH(D18,ARTICULOS!$F$10:$F$699,0)</f>
        <v/>
      </c>
      <c r="C18" s="227">
        <f>+VLOOKUP(B18,ARTICULOS!$D$10:$I$699,6)</f>
        <v/>
      </c>
      <c r="D18" s="228" t="inlineStr">
        <is>
          <t>Saten London</t>
        </is>
      </c>
      <c r="E18" s="215">
        <f>+C18&amp;F18</f>
        <v/>
      </c>
      <c r="F18" s="216" t="n">
        <v>3</v>
      </c>
      <c r="G18" s="217" t="inlineStr">
        <is>
          <t>Medio</t>
        </is>
      </c>
      <c r="H18" s="218" t="n">
        <v>11.44</v>
      </c>
      <c r="I18" s="218" t="n">
        <v>3.4</v>
      </c>
      <c r="J18" s="218" t="inlineStr">
        <is>
          <t>100% Poliester</t>
        </is>
      </c>
      <c r="L18" s="225" t="n"/>
      <c r="M18" s="225" t="n"/>
      <c r="N18" s="225" t="n"/>
      <c r="O18" s="225" t="n"/>
      <c r="P18" s="225" t="n"/>
      <c r="Q18" s="225" t="n"/>
      <c r="R18" s="225" t="n"/>
      <c r="S18" s="225" t="n"/>
      <c r="T18" s="225" t="n"/>
      <c r="U18" s="225" t="n"/>
    </row>
    <row r="19" customFormat="1" s="219">
      <c r="A19" s="218">
        <f>ROW()-6</f>
        <v/>
      </c>
      <c r="B19" s="226">
        <f>+MATCH(D19,ARTICULOS!$F$10:$F$699,0)</f>
        <v/>
      </c>
      <c r="C19" s="227">
        <f>+VLOOKUP(B19,ARTICULOS!$D$10:$I$699,6)</f>
        <v/>
      </c>
      <c r="D19" s="228" t="inlineStr">
        <is>
          <t>Saten London</t>
        </is>
      </c>
      <c r="E19" s="215">
        <f>+C19&amp;F19</f>
        <v/>
      </c>
      <c r="F19" s="216" t="n">
        <v>4</v>
      </c>
      <c r="G19" s="217" t="inlineStr">
        <is>
          <t>Intenso</t>
        </is>
      </c>
      <c r="H19" s="218" t="n">
        <v>12.67</v>
      </c>
      <c r="I19" s="218" t="n">
        <v>3.4</v>
      </c>
      <c r="J19" s="218" t="inlineStr">
        <is>
          <t>100% Poliester</t>
        </is>
      </c>
      <c r="L19" s="225" t="n"/>
      <c r="M19" s="225" t="n"/>
      <c r="N19" s="225" t="n"/>
      <c r="O19" s="225" t="n"/>
      <c r="P19" s="225" t="n"/>
      <c r="Q19" s="225" t="n"/>
      <c r="R19" s="225" t="n"/>
      <c r="S19" s="225" t="n"/>
      <c r="T19" s="225" t="n"/>
      <c r="U19" s="225" t="n"/>
    </row>
    <row r="20" customFormat="1" s="219">
      <c r="A20" s="218">
        <f>ROW()-6</f>
        <v/>
      </c>
      <c r="B20" s="226">
        <f>+MATCH(D20,ARTICULOS!$F$10:$F$699,0)</f>
        <v/>
      </c>
      <c r="C20" s="227">
        <f>+VLOOKUP(B20,ARTICULOS!$D$10:$I$699,6)</f>
        <v/>
      </c>
      <c r="D20" s="214" t="inlineStr">
        <is>
          <t>Triunfo</t>
        </is>
      </c>
      <c r="E20" s="215">
        <f>+C20&amp;F20</f>
        <v/>
      </c>
      <c r="F20" s="216" t="n">
        <v>1</v>
      </c>
      <c r="G20" s="217" t="inlineStr">
        <is>
          <t>Blanco</t>
        </is>
      </c>
      <c r="H20" s="218" t="n">
        <v>10.17</v>
      </c>
      <c r="I20" s="218" t="n">
        <v>3.2</v>
      </c>
      <c r="J20" s="218" t="inlineStr">
        <is>
          <t>50% Alg./50%Pes.</t>
        </is>
      </c>
      <c r="L20" s="225" t="n"/>
      <c r="M20" s="225" t="n"/>
      <c r="N20" s="225" t="n"/>
      <c r="O20" s="225" t="n"/>
      <c r="P20" s="225" t="n"/>
      <c r="Q20" s="225" t="n"/>
      <c r="R20" s="225" t="n"/>
      <c r="S20" s="225" t="n"/>
      <c r="T20" s="225" t="n"/>
      <c r="U20" s="225" t="n"/>
    </row>
    <row r="21" customFormat="1" s="219">
      <c r="A21" s="218">
        <f>ROW()-6</f>
        <v/>
      </c>
      <c r="B21" s="226">
        <f>+MATCH(D21,ARTICULOS!$F$10:$F$699,0)</f>
        <v/>
      </c>
      <c r="C21" s="227">
        <f>+VLOOKUP(B21,ARTICULOS!$D$10:$I$699,6)</f>
        <v/>
      </c>
      <c r="D21" s="214" t="inlineStr">
        <is>
          <t>Triunfo</t>
        </is>
      </c>
      <c r="E21" s="215">
        <f>+C21&amp;F21</f>
        <v/>
      </c>
      <c r="F21" s="216" t="n">
        <v>4</v>
      </c>
      <c r="G21" s="217" t="inlineStr">
        <is>
          <t>Crudo</t>
        </is>
      </c>
      <c r="H21" s="218" t="n">
        <v>12.01</v>
      </c>
      <c r="I21" s="218" t="n">
        <v>3.2</v>
      </c>
      <c r="J21" s="218" t="inlineStr">
        <is>
          <t>50% Alg./50%Pes.</t>
        </is>
      </c>
      <c r="L21" s="225" t="n"/>
      <c r="M21" s="225" t="n"/>
      <c r="N21" s="225" t="n"/>
      <c r="O21" s="225" t="n"/>
      <c r="P21" s="225" t="n"/>
      <c r="Q21" s="225" t="n"/>
      <c r="R21" s="225" t="n"/>
      <c r="S21" s="225" t="n"/>
      <c r="T21" s="225" t="n"/>
      <c r="U21" s="225" t="n"/>
    </row>
    <row r="22" customFormat="1" s="219">
      <c r="A22" s="218">
        <f>ROW()-6</f>
        <v/>
      </c>
      <c r="B22" s="226">
        <f>+MATCH(D22,ARTICULOS!$F$10:$F$699,0)</f>
        <v/>
      </c>
      <c r="C22" s="227">
        <f>+VLOOKUP(B22,ARTICULOS!$D$10:$I$699,6)</f>
        <v/>
      </c>
      <c r="D22" s="214" t="inlineStr">
        <is>
          <t>Triunfo</t>
        </is>
      </c>
      <c r="E22" s="215">
        <f>+C22&amp;F22</f>
        <v/>
      </c>
      <c r="F22" s="216" t="n">
        <v>0</v>
      </c>
      <c r="G22" s="217" t="inlineStr">
        <is>
          <t>Medio</t>
        </is>
      </c>
      <c r="H22" s="218" t="n">
        <v>12.33</v>
      </c>
      <c r="I22" s="218" t="n">
        <v>3.2</v>
      </c>
      <c r="J22" s="218" t="inlineStr">
        <is>
          <t>50% Alg./50%Pes.</t>
        </is>
      </c>
      <c r="L22" s="225" t="n"/>
      <c r="M22" s="225" t="n"/>
      <c r="N22" s="225" t="n"/>
      <c r="O22" s="225" t="n"/>
      <c r="P22" s="225" t="n"/>
      <c r="Q22" s="225" t="n"/>
      <c r="R22" s="225" t="n"/>
      <c r="S22" s="225" t="n"/>
      <c r="T22" s="225" t="n"/>
      <c r="U22" s="225" t="n"/>
    </row>
    <row r="23" customFormat="1" s="219">
      <c r="A23" s="218">
        <f>ROW()-6</f>
        <v/>
      </c>
      <c r="B23" s="226">
        <f>+MATCH(D23,ARTICULOS!$F$10:$F$699,0)</f>
        <v/>
      </c>
      <c r="C23" s="227">
        <f>+VLOOKUP(B23,ARTICULOS!$D$10:$I$699,6)</f>
        <v/>
      </c>
      <c r="D23" s="214" t="inlineStr">
        <is>
          <t>Triunfo</t>
        </is>
      </c>
      <c r="E23" s="215">
        <f>+C23&amp;F23</f>
        <v/>
      </c>
      <c r="F23" s="216" t="n">
        <v>0</v>
      </c>
      <c r="G23" s="217" t="inlineStr">
        <is>
          <t>Intenso</t>
        </is>
      </c>
      <c r="H23" s="218" t="n">
        <v>14</v>
      </c>
      <c r="I23" s="218" t="n">
        <v>3.2</v>
      </c>
      <c r="J23" s="218" t="inlineStr">
        <is>
          <t>50% Alg./50%Pes.</t>
        </is>
      </c>
      <c r="L23" s="225" t="n"/>
      <c r="M23" s="225" t="n"/>
      <c r="N23" s="225" t="n"/>
      <c r="O23" s="225" t="n"/>
      <c r="P23" s="225" t="n"/>
      <c r="Q23" s="225" t="n"/>
      <c r="R23" s="225" t="n"/>
      <c r="S23" s="225" t="n"/>
      <c r="T23" s="225" t="n"/>
      <c r="U23" s="225" t="n"/>
    </row>
    <row r="24" customFormat="1" s="219">
      <c r="A24" s="218">
        <f>ROW()-6</f>
        <v/>
      </c>
      <c r="B24" s="226">
        <f>+MATCH(D24,ARTICULOS!$F$10:$F$699,0)</f>
        <v/>
      </c>
      <c r="C24" s="227">
        <f>+VLOOKUP(B24,ARTICULOS!$D$10:$I$699,6)</f>
        <v/>
      </c>
      <c r="D24" s="214" t="inlineStr">
        <is>
          <t>Triunfo</t>
        </is>
      </c>
      <c r="E24" s="215">
        <f>+C24&amp;F24</f>
        <v/>
      </c>
      <c r="F24" s="216" t="n">
        <v>0</v>
      </c>
      <c r="G24" s="217" t="inlineStr">
        <is>
          <t>Intenso Especial</t>
        </is>
      </c>
      <c r="H24" s="218" t="n">
        <v>15.15</v>
      </c>
      <c r="I24" s="218" t="n">
        <v>3.2</v>
      </c>
      <c r="J24" s="218" t="inlineStr">
        <is>
          <t>50% Alg./50%Pes.</t>
        </is>
      </c>
      <c r="L24" s="225" t="n"/>
      <c r="M24" s="225" t="n"/>
      <c r="N24" s="225" t="n"/>
      <c r="O24" s="225" t="n"/>
      <c r="P24" s="225" t="n"/>
      <c r="Q24" s="225" t="n"/>
      <c r="R24" s="225" t="n"/>
      <c r="S24" s="225" t="n"/>
      <c r="T24" s="225" t="n"/>
      <c r="U24" s="225" t="n"/>
    </row>
    <row r="25" customFormat="1" s="219">
      <c r="A25" s="218">
        <f>ROW()-6</f>
        <v/>
      </c>
      <c r="B25" s="226">
        <f>+MATCH(D25,ARTICULOS!$F$10:$F$699,0)</f>
        <v/>
      </c>
      <c r="C25" s="227">
        <f>+VLOOKUP(B25,ARTICULOS!$D$10:$I$699,6)</f>
        <v/>
      </c>
      <c r="D25" s="228" t="inlineStr">
        <is>
          <t>Triunfo Lino</t>
        </is>
      </c>
      <c r="E25" s="215">
        <f>+C25&amp;F25</f>
        <v/>
      </c>
      <c r="F25" s="216" t="n">
        <v>99</v>
      </c>
      <c r="G25" s="217" t="inlineStr">
        <is>
          <t>Medio</t>
        </is>
      </c>
      <c r="H25" s="218" t="n">
        <v>12.46</v>
      </c>
      <c r="I25" s="218" t="n">
        <v>3.2</v>
      </c>
      <c r="J25" s="218" t="inlineStr">
        <is>
          <t>50% Alg./50%Pes.</t>
        </is>
      </c>
      <c r="L25" s="225" t="n"/>
      <c r="M25" s="225" t="n"/>
      <c r="N25" s="225" t="n"/>
      <c r="O25" s="225" t="n"/>
      <c r="P25" s="225" t="n"/>
      <c r="Q25" s="225" t="n"/>
      <c r="R25" s="225" t="n"/>
      <c r="S25" s="225" t="n"/>
      <c r="T25" s="225" t="n"/>
      <c r="U25" s="225" t="n"/>
    </row>
    <row r="26" customFormat="1" s="219">
      <c r="A26" s="218">
        <f>ROW()-6</f>
        <v/>
      </c>
      <c r="B26" s="226">
        <f>+MATCH(D26,ARTICULOS!$F$10:$F$699,0)</f>
        <v/>
      </c>
      <c r="C26" s="227">
        <f>+VLOOKUP(B26,ARTICULOS!$D$10:$I$699,6)</f>
        <v/>
      </c>
      <c r="D26" s="228" t="inlineStr">
        <is>
          <t>Granito</t>
        </is>
      </c>
      <c r="E26" s="215">
        <f>+C26&amp;F26</f>
        <v/>
      </c>
      <c r="F26" s="216" t="n">
        <v>1</v>
      </c>
      <c r="G26" s="217" t="inlineStr">
        <is>
          <t>Blanco</t>
        </is>
      </c>
      <c r="H26" s="218" t="n">
        <v>9.130000000000001</v>
      </c>
      <c r="I26" s="218" t="n">
        <v>3.2</v>
      </c>
      <c r="J26" s="218" t="inlineStr">
        <is>
          <t>100% Poliester</t>
        </is>
      </c>
      <c r="L26" s="225" t="n"/>
      <c r="M26" s="225" t="n"/>
      <c r="N26" s="225" t="n"/>
      <c r="O26" s="225" t="n"/>
      <c r="P26" s="225" t="n"/>
      <c r="Q26" s="225" t="n"/>
      <c r="R26" s="225" t="n"/>
      <c r="S26" s="225" t="n"/>
      <c r="T26" s="225" t="n"/>
      <c r="U26" s="225" t="n"/>
    </row>
    <row r="27" customFormat="1" s="219">
      <c r="A27" s="218">
        <f>ROW()-6</f>
        <v/>
      </c>
      <c r="B27" s="226">
        <f>+MATCH(D27,ARTICULOS!$F$10:$F$699,0)</f>
        <v/>
      </c>
      <c r="C27" s="227">
        <f>+VLOOKUP(B27,ARTICULOS!$D$10:$I$699,6)</f>
        <v/>
      </c>
      <c r="D27" s="228" t="inlineStr">
        <is>
          <t>Granito</t>
        </is>
      </c>
      <c r="E27" s="215">
        <f>+C27&amp;F27</f>
        <v/>
      </c>
      <c r="F27" s="216" t="n">
        <v>2</v>
      </c>
      <c r="G27" s="217" t="inlineStr">
        <is>
          <t>Palido</t>
        </is>
      </c>
      <c r="H27" s="218" t="n">
        <v>10.99</v>
      </c>
      <c r="I27" s="218" t="n">
        <v>3.2</v>
      </c>
      <c r="J27" s="218" t="inlineStr">
        <is>
          <t>100% Poliester</t>
        </is>
      </c>
      <c r="L27" s="225" t="n"/>
      <c r="M27" s="225" t="n"/>
      <c r="N27" s="225" t="n"/>
      <c r="O27" s="225" t="n"/>
      <c r="P27" s="225" t="n"/>
      <c r="Q27" s="225" t="n"/>
      <c r="R27" s="225" t="n"/>
      <c r="S27" s="225" t="n"/>
      <c r="T27" s="225" t="n"/>
      <c r="U27" s="225" t="n"/>
    </row>
    <row r="28" customFormat="1" s="219">
      <c r="A28" s="218">
        <f>ROW()-6</f>
        <v/>
      </c>
      <c r="B28" s="226">
        <f>+MATCH(D28,ARTICULOS!$F$10:$F$699,0)</f>
        <v/>
      </c>
      <c r="C28" s="227">
        <f>+VLOOKUP(B28,ARTICULOS!$D$10:$I$699,6)</f>
        <v/>
      </c>
      <c r="D28" s="228" t="inlineStr">
        <is>
          <t>Granito</t>
        </is>
      </c>
      <c r="E28" s="215">
        <f>+C28&amp;F28</f>
        <v/>
      </c>
      <c r="F28" s="216" t="n">
        <v>3</v>
      </c>
      <c r="G28" s="217" t="inlineStr">
        <is>
          <t>Medio</t>
        </is>
      </c>
      <c r="H28" s="218" t="n">
        <v>11.64</v>
      </c>
      <c r="I28" s="218" t="n">
        <v>3.2</v>
      </c>
      <c r="J28" s="218" t="inlineStr">
        <is>
          <t>100% Poliester</t>
        </is>
      </c>
      <c r="L28" s="225" t="n"/>
      <c r="M28" s="225" t="n"/>
      <c r="N28" s="225" t="n"/>
      <c r="O28" s="225" t="n"/>
      <c r="P28" s="225" t="n"/>
      <c r="Q28" s="225" t="n"/>
      <c r="R28" s="225" t="n"/>
      <c r="S28" s="225" t="n"/>
      <c r="T28" s="225" t="n"/>
      <c r="U28" s="225" t="n"/>
    </row>
    <row r="29" customFormat="1" s="219">
      <c r="A29" s="218">
        <f>ROW()-6</f>
        <v/>
      </c>
      <c r="B29" s="226">
        <f>+MATCH(D29,ARTICULOS!$F$10:$F$699,0)</f>
        <v/>
      </c>
      <c r="C29" s="227">
        <f>+VLOOKUP(B29,ARTICULOS!$D$10:$I$699,6)</f>
        <v/>
      </c>
      <c r="D29" s="228" t="inlineStr">
        <is>
          <t>Granito</t>
        </is>
      </c>
      <c r="E29" s="215">
        <f>+C29&amp;F29</f>
        <v/>
      </c>
      <c r="F29" s="216" t="n">
        <v>4</v>
      </c>
      <c r="G29" s="217" t="inlineStr">
        <is>
          <t>Intenso</t>
        </is>
      </c>
      <c r="H29" s="218" t="n">
        <v>12.21</v>
      </c>
      <c r="I29" s="218" t="n">
        <v>3.2</v>
      </c>
      <c r="J29" s="218" t="inlineStr">
        <is>
          <t>100% Poliester</t>
        </is>
      </c>
      <c r="L29" s="225" t="n"/>
      <c r="M29" s="225" t="n"/>
      <c r="N29" s="225" t="n"/>
      <c r="O29" s="225" t="n"/>
      <c r="P29" s="225" t="n"/>
      <c r="Q29" s="225" t="n"/>
      <c r="R29" s="225" t="n"/>
      <c r="S29" s="225" t="n"/>
      <c r="T29" s="225" t="n"/>
      <c r="U29" s="225" t="n"/>
    </row>
    <row r="30">
      <c r="A30" s="84">
        <f>ROW()-6</f>
        <v/>
      </c>
      <c r="B30" s="85">
        <f>+MATCH(D30,ARTICULOS!$F$10:$F$699,0)</f>
        <v/>
      </c>
      <c r="C30" s="86">
        <f>+VLOOKUP(B30,ARTICULOS!$D$10:$I$699,6)</f>
        <v/>
      </c>
      <c r="D30" s="214" t="inlineStr">
        <is>
          <t>LinoPoliester</t>
        </is>
      </c>
      <c r="E30" s="215">
        <f>+C30&amp;F30</f>
        <v/>
      </c>
      <c r="F30" s="216" t="n">
        <v>20</v>
      </c>
      <c r="G30" s="217" t="inlineStr">
        <is>
          <t>Natural</t>
        </is>
      </c>
      <c r="H30" s="218" t="n">
        <v>12.26</v>
      </c>
      <c r="I30" s="218" t="n">
        <v>3.3</v>
      </c>
      <c r="J30" s="218" t="inlineStr">
        <is>
          <t>50% Lino/50%Pes.</t>
        </is>
      </c>
    </row>
    <row r="31">
      <c r="A31" s="84">
        <f>ROW()-6</f>
        <v/>
      </c>
      <c r="B31" s="85">
        <f>+MATCH(D31,ARTICULOS!$F$10:$F$699,0)</f>
        <v/>
      </c>
      <c r="C31" s="86">
        <f>+VLOOKUP(B31,ARTICULOS!$D$10:$I$699,6)</f>
        <v/>
      </c>
      <c r="D31" s="214" t="inlineStr">
        <is>
          <t>Saten London</t>
        </is>
      </c>
      <c r="E31" s="215">
        <f>+C31&amp;F31</f>
        <v/>
      </c>
      <c r="F31" s="216" t="n">
        <v>0</v>
      </c>
      <c r="G31" s="217" t="inlineStr">
        <is>
          <t>Negro</t>
        </is>
      </c>
      <c r="H31" s="218" t="n">
        <v>12.67</v>
      </c>
      <c r="I31" s="218" t="n">
        <v>3.2</v>
      </c>
      <c r="J31" s="218" t="inlineStr">
        <is>
          <t>100% Poliester</t>
        </is>
      </c>
    </row>
    <row r="32">
      <c r="A32" s="84">
        <f>ROW()-6</f>
        <v/>
      </c>
      <c r="B32" s="85">
        <f>+MATCH(D32,ARTICULOS!$F$10:$F$699,0)</f>
        <v/>
      </c>
      <c r="C32" s="86">
        <f>+VLOOKUP(B32,ARTICULOS!$D$10:$I$699,6)</f>
        <v/>
      </c>
      <c r="D32" s="276" t="inlineStr">
        <is>
          <t>Saten Liso Nacional</t>
        </is>
      </c>
      <c r="E32" s="215">
        <f>+C32&amp;F32</f>
        <v/>
      </c>
      <c r="F32" s="216" t="n">
        <v>1</v>
      </c>
      <c r="G32" s="217" t="inlineStr">
        <is>
          <t>Blanco</t>
        </is>
      </c>
      <c r="H32" s="218" t="n">
        <v>6.65</v>
      </c>
      <c r="I32" s="218" t="n">
        <v>3.3</v>
      </c>
      <c r="J32" s="218" t="inlineStr">
        <is>
          <t>50% Alg./50%Pes.</t>
        </is>
      </c>
    </row>
    <row r="33">
      <c r="A33" s="84">
        <f>ROW()-6</f>
        <v/>
      </c>
      <c r="B33" s="85">
        <f>+MATCH(D33,ARTICULOS!$F$10:$F$699,0)</f>
        <v/>
      </c>
      <c r="C33" s="86">
        <f>+VLOOKUP(B33,ARTICULOS!$D$10:$I$699,6)</f>
        <v/>
      </c>
      <c r="D33" s="276" t="inlineStr">
        <is>
          <t>Saten Liso Importacion</t>
        </is>
      </c>
      <c r="E33" s="215">
        <f>+C33&amp;F33</f>
        <v/>
      </c>
      <c r="F33" s="216" t="n">
        <v>1</v>
      </c>
      <c r="G33" s="217" t="inlineStr">
        <is>
          <t>Blanco</t>
        </is>
      </c>
      <c r="H33" s="218" t="n">
        <v>5.47</v>
      </c>
      <c r="I33" s="218" t="n">
        <v>3.2</v>
      </c>
      <c r="J33" s="218" t="inlineStr">
        <is>
          <t>50% Alg./50%Pes.</t>
        </is>
      </c>
    </row>
    <row r="34">
      <c r="A34" s="84">
        <f>ROW()-6</f>
        <v/>
      </c>
      <c r="B34" s="85">
        <f>+MATCH(D34,ARTICULOS!$F$10:$F$699,0)</f>
        <v/>
      </c>
      <c r="C34" s="86">
        <f>+VLOOKUP(B34,ARTICULOS!$D$10:$I$699,6)</f>
        <v/>
      </c>
      <c r="D34" s="276" t="inlineStr">
        <is>
          <t>Saten Liso Nacional</t>
        </is>
      </c>
      <c r="E34" s="215">
        <f>+C34&amp;F34</f>
        <v/>
      </c>
      <c r="F34" s="216" t="n">
        <v>63</v>
      </c>
      <c r="G34" s="217" t="inlineStr">
        <is>
          <t>Gris</t>
        </is>
      </c>
      <c r="H34" s="218" t="n">
        <v>8.710000000000001</v>
      </c>
      <c r="I34" s="218" t="n">
        <v>3.3</v>
      </c>
      <c r="J34" s="218" t="inlineStr">
        <is>
          <t>50% Alg./50%Pes.</t>
        </is>
      </c>
    </row>
    <row r="35">
      <c r="A35" s="84">
        <f>ROW()-6</f>
        <v/>
      </c>
      <c r="B35" s="85">
        <f>+MATCH(D35,ARTICULOS!$F$10:$F$699,0)</f>
        <v/>
      </c>
      <c r="C35" s="86">
        <f>+VLOOKUP(B35,ARTICULOS!$D$10:$I$699,6)</f>
        <v/>
      </c>
      <c r="D35" s="214" t="inlineStr">
        <is>
          <t>Chambery</t>
        </is>
      </c>
      <c r="E35" s="215">
        <f>+C35&amp;F35</f>
        <v/>
      </c>
      <c r="F35" s="216" t="n">
        <v>1</v>
      </c>
      <c r="G35" s="217" t="inlineStr">
        <is>
          <t>Blanco</t>
        </is>
      </c>
      <c r="H35" s="218" t="n">
        <v>12.03</v>
      </c>
      <c r="I35" s="218" t="n">
        <v>3.2</v>
      </c>
      <c r="J35" s="218" t="inlineStr">
        <is>
          <t>48% Alg./52%Pes.</t>
        </is>
      </c>
    </row>
    <row r="36">
      <c r="A36" s="84">
        <f>ROW()-6</f>
        <v/>
      </c>
      <c r="B36" s="85">
        <f>+MATCH(D36,ARTICULOS!$F$10:$F$699,0)</f>
        <v/>
      </c>
      <c r="C36" s="86">
        <f>+VLOOKUP(B36,ARTICULOS!$D$10:$I$699,6)</f>
        <v/>
      </c>
      <c r="D36" s="214" t="inlineStr">
        <is>
          <t>Rabat</t>
        </is>
      </c>
      <c r="E36" s="215">
        <f>+C36&amp;F36</f>
        <v/>
      </c>
      <c r="F36" s="216" t="n">
        <v>1</v>
      </c>
      <c r="G36" s="217" t="inlineStr">
        <is>
          <t>Blanco</t>
        </is>
      </c>
      <c r="H36" s="218" t="n">
        <v>10.85</v>
      </c>
      <c r="I36" s="218" t="n">
        <v>3.2</v>
      </c>
      <c r="J36" s="218" t="inlineStr">
        <is>
          <t>50% Alg./50%Pes.</t>
        </is>
      </c>
    </row>
    <row r="37">
      <c r="A37" s="84">
        <f>ROW()-6</f>
        <v/>
      </c>
      <c r="B37" s="85">
        <f>+MATCH(D37,ARTICULOS!$F$10:$F$699,0)</f>
        <v/>
      </c>
      <c r="C37" s="86">
        <f>+VLOOKUP(B37,ARTICULOS!$D$10:$I$699,6)</f>
        <v/>
      </c>
      <c r="D37" s="214" t="inlineStr">
        <is>
          <t>Tagore Pes100</t>
        </is>
      </c>
      <c r="E37" s="215">
        <f>+C37&amp;F37</f>
        <v/>
      </c>
      <c r="F37" s="216" t="n">
        <v>11</v>
      </c>
      <c r="G37" s="217" t="inlineStr">
        <is>
          <t>Arena</t>
        </is>
      </c>
      <c r="H37" s="218" t="n">
        <v>7.43</v>
      </c>
      <c r="I37" s="218" t="n">
        <v>3.2</v>
      </c>
      <c r="J37" s="218" t="inlineStr">
        <is>
          <t>100% Poliester</t>
        </is>
      </c>
    </row>
    <row r="38">
      <c r="A38" s="84">
        <f>ROW()-6</f>
        <v/>
      </c>
      <c r="B38" s="85">
        <f>+MATCH(D38,ARTICULOS!$F$10:$F$699,0)</f>
        <v/>
      </c>
      <c r="C38" s="86">
        <f>+VLOOKUP(B38,ARTICULOS!$D$10:$I$699,6)</f>
        <v/>
      </c>
      <c r="D38" s="214" t="inlineStr">
        <is>
          <t>Lino 100% For.</t>
        </is>
      </c>
      <c r="E38" s="215">
        <f>+C38&amp;F38</f>
        <v/>
      </c>
      <c r="F38" s="216" t="n">
        <v>1</v>
      </c>
      <c r="G38" s="217" t="inlineStr">
        <is>
          <t>Blanco</t>
        </is>
      </c>
      <c r="H38" s="218" t="n">
        <v>21.15</v>
      </c>
      <c r="I38" s="218" t="n">
        <v>3.2</v>
      </c>
      <c r="J38" s="218" t="inlineStr">
        <is>
          <t>100% Lino</t>
        </is>
      </c>
    </row>
    <row r="39">
      <c r="A39" s="84">
        <f>ROW()-6</f>
        <v/>
      </c>
      <c r="B39" s="85">
        <f>+MATCH(D39,ARTICULOS!$F$10:$F$699,0)</f>
        <v/>
      </c>
      <c r="C39" s="86">
        <f>+VLOOKUP(B39,ARTICULOS!$D$10:$I$699,6)</f>
        <v/>
      </c>
      <c r="D39" s="214" t="inlineStr">
        <is>
          <t>Lino Jazmin</t>
        </is>
      </c>
      <c r="E39" s="215">
        <f>+C39&amp;F39</f>
        <v/>
      </c>
      <c r="F39" s="216" t="n">
        <v>44</v>
      </c>
      <c r="G39" s="217" t="inlineStr">
        <is>
          <t>Tostado</t>
        </is>
      </c>
      <c r="H39" s="218" t="n">
        <v>18.54</v>
      </c>
      <c r="I39" s="218" t="n">
        <v>3.2</v>
      </c>
      <c r="J39" s="218" t="inlineStr">
        <is>
          <t>50% Li./50%Pes.</t>
        </is>
      </c>
    </row>
    <row r="40">
      <c r="A40" s="84">
        <f>ROW()-6</f>
        <v/>
      </c>
      <c r="B40" s="85">
        <f>+MATCH(D40,ARTICULOS!$F$10:$F$699,0)</f>
        <v/>
      </c>
      <c r="C40" s="86">
        <f>+VLOOKUP(B40,ARTICULOS!$D$10:$I$699,6)</f>
        <v/>
      </c>
      <c r="D40" s="214" t="inlineStr">
        <is>
          <t>Muleton</t>
        </is>
      </c>
      <c r="E40" s="215">
        <f>+C40&amp;F40</f>
        <v/>
      </c>
      <c r="F40" s="216" t="n">
        <v>1</v>
      </c>
      <c r="G40" s="217" t="inlineStr">
        <is>
          <t>Blanco</t>
        </is>
      </c>
      <c r="H40" s="218" t="n">
        <v>6.26</v>
      </c>
      <c r="I40" s="218" t="n">
        <v>2</v>
      </c>
      <c r="J40" s="218" t="inlineStr">
        <is>
          <t>100% Poliester</t>
        </is>
      </c>
    </row>
    <row r="41">
      <c r="A41" s="84">
        <f>ROW()-6</f>
        <v/>
      </c>
      <c r="B41" s="85">
        <f>+MATCH(D41,ARTICULOS!$F$10:$F$699,0)</f>
        <v/>
      </c>
      <c r="C41" s="86">
        <f>+VLOOKUP(B41,ARTICULOS!$D$10:$I$699,6)</f>
        <v/>
      </c>
      <c r="D41" s="214" t="inlineStr">
        <is>
          <t>Lino Jazmin</t>
        </is>
      </c>
      <c r="E41" s="215">
        <f>+C41&amp;F41</f>
        <v/>
      </c>
      <c r="F41" s="216" t="n">
        <v>1</v>
      </c>
      <c r="G41" s="217" t="inlineStr">
        <is>
          <t>Blanco</t>
        </is>
      </c>
      <c r="H41" s="218" t="n">
        <v>16.13</v>
      </c>
      <c r="I41" s="218" t="n">
        <v>3.2</v>
      </c>
      <c r="J41" s="218" t="inlineStr">
        <is>
          <t>50% Li./50%Pes.</t>
        </is>
      </c>
    </row>
    <row r="42">
      <c r="A42" s="84">
        <f>ROW()-6</f>
        <v/>
      </c>
      <c r="B42" s="85">
        <f>+MATCH(D42,ARTICULOS!$F$10:$F$699,0)</f>
        <v/>
      </c>
      <c r="C42" s="86">
        <f>+VLOOKUP(B42,ARTICULOS!$D$10:$I$699,6)</f>
        <v/>
      </c>
      <c r="D42" s="214" t="inlineStr">
        <is>
          <t>Lino Jazmin</t>
        </is>
      </c>
      <c r="E42" s="215">
        <f>+C42&amp;F42</f>
        <v/>
      </c>
      <c r="F42" s="216" t="n">
        <v>0</v>
      </c>
      <c r="G42" s="217" t="inlineStr">
        <is>
          <t>Crudo</t>
        </is>
      </c>
      <c r="H42" s="218" t="n">
        <v>16.44</v>
      </c>
      <c r="I42" s="218" t="n">
        <v>3.2</v>
      </c>
      <c r="J42" s="218" t="inlineStr">
        <is>
          <t>50% Li./50%Pes.</t>
        </is>
      </c>
    </row>
    <row r="43">
      <c r="A43" s="84">
        <f>ROW()-6</f>
        <v/>
      </c>
      <c r="B43" s="85">
        <f>+MATCH(D43,ARTICULOS!$F$10:$F$699,0)</f>
        <v/>
      </c>
      <c r="C43" s="86">
        <f>+VLOOKUP(B43,ARTICULOS!$D$10:$I$699,6)</f>
        <v/>
      </c>
      <c r="D43" s="214" t="inlineStr">
        <is>
          <t>Col. Rustico T.</t>
        </is>
      </c>
      <c r="E43" s="215">
        <f>+C43&amp;F43</f>
        <v/>
      </c>
      <c r="F43" s="216" t="n">
        <v>93</v>
      </c>
      <c r="G43" s="217" t="inlineStr">
        <is>
          <t>Gris</t>
        </is>
      </c>
      <c r="H43" s="218" t="n">
        <v>11.37</v>
      </c>
      <c r="I43" s="218" t="n">
        <v>3.05</v>
      </c>
      <c r="J43" s="218" t="inlineStr">
        <is>
          <t>100% Poliester</t>
        </is>
      </c>
    </row>
    <row r="44">
      <c r="A44" s="84">
        <f>ROW()-6</f>
        <v/>
      </c>
      <c r="B44" s="85">
        <f>+MATCH(D44,ARTICULOS!$F$10:$F$699,0)</f>
        <v/>
      </c>
      <c r="C44" s="86">
        <f>+VLOOKUP(B44,ARTICULOS!$D$10:$I$699,6)</f>
        <v/>
      </c>
      <c r="D44" s="214" t="inlineStr">
        <is>
          <t>Saten Liso Nacional</t>
        </is>
      </c>
      <c r="E44" s="215">
        <f>+C44&amp;F44</f>
        <v/>
      </c>
      <c r="F44" s="216" t="n">
        <v>64</v>
      </c>
      <c r="G44" s="217" t="inlineStr">
        <is>
          <t>Gris</t>
        </is>
      </c>
      <c r="H44" s="218" t="n">
        <v>8.710000000000001</v>
      </c>
      <c r="I44" s="218" t="n">
        <v>3.3</v>
      </c>
      <c r="J44" s="218" t="inlineStr">
        <is>
          <t>50% Alg./50%Pes.</t>
        </is>
      </c>
    </row>
    <row r="45">
      <c r="A45" s="84">
        <f>ROW()-6</f>
        <v/>
      </c>
      <c r="B45" s="85">
        <f>+MATCH(D45,ARTICULOS!$F$10:$F$699,0)</f>
        <v/>
      </c>
      <c r="C45" s="86">
        <f>+VLOOKUP(B45,ARTICULOS!$D$10:$I$699,6)</f>
        <v/>
      </c>
      <c r="D45" s="214" t="inlineStr">
        <is>
          <t>Clio</t>
        </is>
      </c>
      <c r="E45" s="215">
        <f>+C45&amp;F45</f>
        <v/>
      </c>
      <c r="F45" s="216" t="n">
        <v>15</v>
      </c>
      <c r="G45" s="217" t="inlineStr">
        <is>
          <t>Rojo</t>
        </is>
      </c>
      <c r="H45" s="218" t="n">
        <v>6.76</v>
      </c>
      <c r="I45" s="218" t="n">
        <v>2.8</v>
      </c>
      <c r="J45" s="218" t="inlineStr">
        <is>
          <t>62%Alg. / 38% Pes.</t>
        </is>
      </c>
    </row>
    <row r="46">
      <c r="A46" s="84">
        <f>ROW()-6</f>
        <v/>
      </c>
      <c r="B46" s="85" t="n">
        <v>27</v>
      </c>
      <c r="C46" s="86">
        <f>+VLOOKUP(B46,ARTICULOS!$D$10:$I$699,6)</f>
        <v/>
      </c>
      <c r="D46" s="214" t="inlineStr">
        <is>
          <t>Nilo cuadro</t>
        </is>
      </c>
      <c r="E46" s="215">
        <f>+C46&amp;F46</f>
        <v/>
      </c>
      <c r="F46" s="216" t="n">
        <v>1</v>
      </c>
      <c r="G46" s="217" t="inlineStr">
        <is>
          <t>Blanco</t>
        </is>
      </c>
      <c r="H46" s="218" t="n">
        <v>7.22</v>
      </c>
      <c r="I46" s="218" t="n">
        <v>3.3</v>
      </c>
      <c r="J46" s="218" t="inlineStr">
        <is>
          <t>50% Alg./50%Pes.</t>
        </is>
      </c>
    </row>
    <row r="47">
      <c r="A47" s="84">
        <f>ROW()-6</f>
        <v/>
      </c>
      <c r="B47" s="85" t="n">
        <v>27</v>
      </c>
      <c r="C47" s="86">
        <f>+VLOOKUP(B47,ARTICULOS!$D$10:$I$699,6)</f>
        <v/>
      </c>
      <c r="D47" s="214" t="inlineStr">
        <is>
          <t>Nilo cuadro</t>
        </is>
      </c>
      <c r="E47" s="215">
        <f>+C47&amp;F47</f>
        <v/>
      </c>
      <c r="F47" s="216" t="n">
        <v>2</v>
      </c>
      <c r="G47" s="217" t="inlineStr">
        <is>
          <t>Salmon</t>
        </is>
      </c>
      <c r="H47" s="218" t="n">
        <v>9.289999999999999</v>
      </c>
      <c r="I47" s="218" t="n">
        <v>3.3</v>
      </c>
      <c r="J47" s="218" t="inlineStr">
        <is>
          <t>50% Alg./50%Pes.</t>
        </is>
      </c>
    </row>
    <row r="48">
      <c r="A48" s="84">
        <f>ROW()-6</f>
        <v/>
      </c>
      <c r="B48" s="85">
        <f>+MATCH(D48,ARTICULOS!$F$10:$F$699,0)</f>
        <v/>
      </c>
      <c r="C48" s="86">
        <f>+VLOOKUP(B48,ARTICULOS!$D$10:$I$699,6)</f>
        <v/>
      </c>
      <c r="D48" s="214" t="inlineStr">
        <is>
          <t>Rustico</t>
        </is>
      </c>
      <c r="E48" s="215">
        <f>+C48&amp;F48</f>
        <v/>
      </c>
      <c r="F48" s="216" t="n">
        <v>2</v>
      </c>
      <c r="G48" s="217" t="inlineStr">
        <is>
          <t>Tostado</t>
        </is>
      </c>
      <c r="H48" s="218" t="n">
        <v>8.300000000000001</v>
      </c>
      <c r="I48" s="218" t="n">
        <v>2.8</v>
      </c>
      <c r="J48" s="218" t="inlineStr">
        <is>
          <t>100% Poliester</t>
        </is>
      </c>
    </row>
    <row r="49">
      <c r="A49" s="84">
        <f>ROW()-6</f>
        <v/>
      </c>
      <c r="B49" s="85">
        <f>+MATCH(D49,ARTICULOS!$F$10:$F$699,0)</f>
        <v/>
      </c>
      <c r="C49" s="86">
        <f>+VLOOKUP(B49,ARTICULOS!$D$10:$I$699,6)</f>
        <v/>
      </c>
      <c r="D49" s="212" t="inlineStr">
        <is>
          <t>Saten Liso Poliester H</t>
        </is>
      </c>
      <c r="E49" s="75">
        <f>+C49&amp;F49</f>
        <v/>
      </c>
      <c r="F49" s="80" t="n">
        <v>11</v>
      </c>
      <c r="G49" s="81" t="inlineStr">
        <is>
          <t>Negro</t>
        </is>
      </c>
      <c r="H49" s="78" t="n">
        <v>8.300000000000001</v>
      </c>
      <c r="I49" s="78" t="n">
        <v>3.3</v>
      </c>
      <c r="J49" s="218" t="inlineStr">
        <is>
          <t>100% Poliester</t>
        </is>
      </c>
    </row>
    <row r="50">
      <c r="A50" s="84">
        <f>ROW()-6</f>
        <v/>
      </c>
      <c r="B50" s="85">
        <f>+MATCH(D50,ARTICULOS!$F$10:$F$699,0)</f>
        <v/>
      </c>
      <c r="C50" s="86">
        <f>+VLOOKUP(B50,ARTICULOS!$D$10:$I$699,6)</f>
        <v/>
      </c>
      <c r="D50" s="212" t="inlineStr">
        <is>
          <t>Saten Liso Nacional</t>
        </is>
      </c>
      <c r="E50" s="75">
        <f>+C50&amp;F50</f>
        <v/>
      </c>
      <c r="F50" s="80" t="n">
        <v>53</v>
      </c>
      <c r="G50" s="81" t="n"/>
      <c r="H50" s="78" t="n">
        <v>8.710000000000001</v>
      </c>
      <c r="I50" s="78" t="n">
        <v>3.3</v>
      </c>
      <c r="J50" s="218" t="inlineStr">
        <is>
          <t>50% Alg./50%Pes.</t>
        </is>
      </c>
    </row>
    <row r="51">
      <c r="A51" s="84">
        <f>ROW()-6</f>
        <v/>
      </c>
      <c r="B51" s="85">
        <f>+MATCH(D51,ARTICULOS!$F$10:$F$699,0)</f>
        <v/>
      </c>
      <c r="C51" s="86">
        <f>+VLOOKUP(B51,ARTICULOS!$D$10:$I$699,6)</f>
        <v/>
      </c>
      <c r="D51" s="212" t="inlineStr">
        <is>
          <t>Saten Liso Nacional</t>
        </is>
      </c>
      <c r="E51" s="75">
        <f>+C51&amp;F51</f>
        <v/>
      </c>
      <c r="F51" s="80" t="n">
        <v>59</v>
      </c>
      <c r="G51" s="81" t="n"/>
      <c r="H51" s="78" t="n">
        <v>8.859999999999999</v>
      </c>
      <c r="I51" s="78" t="n">
        <v>3.3</v>
      </c>
      <c r="J51" s="218" t="inlineStr">
        <is>
          <t>50% Alg./50%Pes.</t>
        </is>
      </c>
    </row>
    <row r="52">
      <c r="A52" s="84">
        <f>ROW()-6</f>
        <v/>
      </c>
      <c r="B52" s="85">
        <f>+MATCH(D52,ARTICULOS!$F$10:$F$699,0)</f>
        <v/>
      </c>
      <c r="C52" s="86">
        <f>+VLOOKUP(B52,ARTICULOS!$D$10:$I$699,6)</f>
        <v/>
      </c>
      <c r="D52" s="212" t="inlineStr">
        <is>
          <t>Fenicia</t>
        </is>
      </c>
      <c r="E52" s="75">
        <f>+C52&amp;F52</f>
        <v/>
      </c>
      <c r="F52" s="80" t="n">
        <v>1</v>
      </c>
      <c r="G52" s="81" t="inlineStr">
        <is>
          <t>Todos los colores</t>
        </is>
      </c>
      <c r="H52" s="78" t="n">
        <v>12.7</v>
      </c>
      <c r="I52" s="78" t="n">
        <v>2.8</v>
      </c>
      <c r="J52" s="78" t="inlineStr">
        <is>
          <t>70%Visc./30% Lino</t>
        </is>
      </c>
    </row>
    <row r="53">
      <c r="A53" s="84">
        <f>ROW()-6</f>
        <v/>
      </c>
      <c r="B53" s="85">
        <f>+MATCH(D53,ARTICULOS!$F$10:$F$699,0)</f>
        <v/>
      </c>
      <c r="C53" s="86">
        <f>+VLOOKUP(B53,ARTICULOS!$D$10:$I$699,6)</f>
        <v/>
      </c>
      <c r="D53" s="212" t="inlineStr">
        <is>
          <t>LinoPoliester</t>
        </is>
      </c>
      <c r="E53" s="75">
        <f>+C53&amp;F53</f>
        <v/>
      </c>
      <c r="F53" s="80" t="n">
        <v>4</v>
      </c>
      <c r="G53" s="81" t="inlineStr">
        <is>
          <t>Ocre</t>
        </is>
      </c>
      <c r="H53" s="78" t="n">
        <v>13.41</v>
      </c>
      <c r="I53" s="78" t="n">
        <v>3.3</v>
      </c>
      <c r="J53" s="218" t="inlineStr">
        <is>
          <t>50% Lino/50%Pes.</t>
        </is>
      </c>
    </row>
    <row r="54">
      <c r="A54" s="84">
        <f>ROW()-6</f>
        <v/>
      </c>
      <c r="B54" s="85">
        <f>+MATCH(D54,ARTICULOS!$F$10:$F$699,0)</f>
        <v/>
      </c>
      <c r="C54" s="86">
        <f>+VLOOKUP(B54,ARTICULOS!$D$10:$I$699,6)</f>
        <v/>
      </c>
      <c r="D54" s="212" t="inlineStr">
        <is>
          <t>Mahon</t>
        </is>
      </c>
      <c r="E54" s="75">
        <f>+C54&amp;F54</f>
        <v/>
      </c>
      <c r="F54" s="80" t="n">
        <v>1</v>
      </c>
      <c r="G54" s="81" t="inlineStr">
        <is>
          <t>Blanco</t>
        </is>
      </c>
      <c r="H54" s="78" t="n">
        <v>4.36</v>
      </c>
      <c r="I54" s="78" t="n">
        <v>2.8</v>
      </c>
      <c r="J54" s="218" t="inlineStr">
        <is>
          <t>50% Alg./50%Pes.</t>
        </is>
      </c>
    </row>
    <row r="55">
      <c r="A55" s="84">
        <f>ROW()-6</f>
        <v/>
      </c>
      <c r="B55" s="85">
        <f>+MATCH(D55,ARTICULOS!$F$10:$F$699,0)</f>
        <v/>
      </c>
      <c r="C55" s="86">
        <f>+VLOOKUP(B55,ARTICULOS!$D$10:$I$699,6)</f>
        <v/>
      </c>
      <c r="D55" s="212" t="inlineStr">
        <is>
          <t>Gouble</t>
        </is>
      </c>
      <c r="E55" s="75">
        <f>+C55&amp;F55</f>
        <v/>
      </c>
      <c r="F55" s="80" t="n">
        <v>1</v>
      </c>
      <c r="G55" s="81" t="inlineStr">
        <is>
          <t>Crudo</t>
        </is>
      </c>
      <c r="H55" s="78" t="n">
        <v>6.76</v>
      </c>
      <c r="I55" s="78" t="n">
        <v>2.8</v>
      </c>
      <c r="J55" s="218" t="inlineStr">
        <is>
          <t>50% Alg./50%Pes.</t>
        </is>
      </c>
    </row>
    <row r="56">
      <c r="A56" s="84">
        <f>ROW()-6</f>
        <v/>
      </c>
      <c r="B56" s="85">
        <f>+MATCH(D56,ARTICULOS!$F$10:$F$699,0)</f>
        <v/>
      </c>
      <c r="C56" s="86">
        <f>+VLOOKUP(B56,ARTICULOS!$D$10:$I$699,6)</f>
        <v/>
      </c>
      <c r="D56" s="212" t="inlineStr">
        <is>
          <t>Trivial</t>
        </is>
      </c>
      <c r="E56" s="75">
        <f>+C56&amp;F56</f>
        <v/>
      </c>
      <c r="F56" s="80" t="n">
        <v>6</v>
      </c>
      <c r="G56" s="81" t="inlineStr">
        <is>
          <t>Crudo</t>
        </is>
      </c>
      <c r="H56" s="78" t="n">
        <v>6.76</v>
      </c>
      <c r="I56" s="78" t="n">
        <v>2.8</v>
      </c>
      <c r="J56" s="218" t="inlineStr">
        <is>
          <t>50% Alg./50%Pes.</t>
        </is>
      </c>
    </row>
    <row r="57">
      <c r="A57" s="84">
        <f>ROW()-6</f>
        <v/>
      </c>
      <c r="B57" s="85">
        <f>+MATCH(D57,ARTICULOS!$F$10:$F$699,0)</f>
        <v/>
      </c>
      <c r="C57" s="86">
        <f>+VLOOKUP(B57,ARTICULOS!$D$10:$I$699,6)</f>
        <v/>
      </c>
      <c r="D57" s="212" t="inlineStr">
        <is>
          <t>Saten Liso Poliester H</t>
        </is>
      </c>
      <c r="E57" s="75">
        <f>+C57&amp;F57</f>
        <v/>
      </c>
      <c r="F57" s="80" t="n">
        <v>1</v>
      </c>
      <c r="G57" s="81" t="inlineStr">
        <is>
          <t>Blanco</t>
        </is>
      </c>
      <c r="H57" s="78" t="n">
        <v>5.96</v>
      </c>
      <c r="I57" s="78" t="n">
        <v>3.3</v>
      </c>
      <c r="J57" s="78" t="inlineStr">
        <is>
          <t>100% Poliester</t>
        </is>
      </c>
    </row>
    <row r="58">
      <c r="A58" s="84">
        <f>ROW()-6</f>
        <v/>
      </c>
      <c r="B58" s="85">
        <f>+MATCH(D58,ARTICULOS!$F$10:$F$699,0)</f>
        <v/>
      </c>
      <c r="C58" s="86">
        <f>+VLOOKUP(B58,ARTICULOS!$D$10:$I$699,6)</f>
        <v/>
      </c>
      <c r="D58" s="214" t="inlineStr">
        <is>
          <t>Saten Liso Nacional</t>
        </is>
      </c>
      <c r="E58" s="75">
        <f>+C58&amp;F58</f>
        <v/>
      </c>
      <c r="F58" s="80" t="n">
        <v>69</v>
      </c>
      <c r="G58" s="81" t="inlineStr">
        <is>
          <t>Cuerda</t>
        </is>
      </c>
      <c r="H58" s="78" t="n">
        <v>8.710000000000001</v>
      </c>
      <c r="I58" s="78" t="n">
        <v>3.3</v>
      </c>
      <c r="J58" s="218" t="inlineStr">
        <is>
          <t>50% Alg./50%Pes.</t>
        </is>
      </c>
    </row>
    <row r="59">
      <c r="A59" s="84">
        <f>ROW()-6</f>
        <v/>
      </c>
      <c r="B59" s="85">
        <f>+MATCH(D59,ARTICULOS!$F$10:$F$699,0)</f>
        <v/>
      </c>
      <c r="C59" s="86">
        <f>+VLOOKUP(B59,ARTICULOS!$D$10:$I$699,6)</f>
        <v/>
      </c>
      <c r="D59" s="212" t="inlineStr">
        <is>
          <t>Santorini</t>
        </is>
      </c>
      <c r="E59" s="75">
        <f>+C59&amp;F59</f>
        <v/>
      </c>
      <c r="F59" s="80" t="n">
        <v>1</v>
      </c>
      <c r="G59" s="81" t="inlineStr">
        <is>
          <t>Todos los colores</t>
        </is>
      </c>
      <c r="H59" s="78" t="n">
        <v>11.64</v>
      </c>
      <c r="I59" s="78" t="n">
        <v>3.5</v>
      </c>
      <c r="J59" s="218" t="inlineStr">
        <is>
          <t>100% Poliester</t>
        </is>
      </c>
    </row>
    <row r="60">
      <c r="A60" s="84">
        <f>ROW()-6</f>
        <v/>
      </c>
      <c r="B60" s="281">
        <f>+MATCH(D60,ARTICULOS!$F$10:$F$699,0)</f>
        <v/>
      </c>
      <c r="C60" s="282">
        <f>+VLOOKUP(B60,ARTICULOS!$D$10:$I$699,6)</f>
        <v/>
      </c>
      <c r="D60" s="278" t="inlineStr">
        <is>
          <t>Aeris</t>
        </is>
      </c>
      <c r="E60" s="75">
        <f>+C60&amp;F60</f>
        <v/>
      </c>
      <c r="F60" s="279" t="n">
        <v>1</v>
      </c>
      <c r="G60" s="280" t="inlineStr">
        <is>
          <t>Todos los colores</t>
        </is>
      </c>
      <c r="H60" s="84" t="n">
        <v>12.56</v>
      </c>
      <c r="I60" s="84" t="n">
        <v>2.8</v>
      </c>
      <c r="J60" s="84" t="inlineStr">
        <is>
          <t>100% Poliester</t>
        </is>
      </c>
    </row>
    <row r="61">
      <c r="A61" s="84">
        <f>ROW()-6</f>
        <v/>
      </c>
      <c r="B61" s="85">
        <f>+MATCH(D61,ARTICULOS!$F$10:$F$699,0)</f>
        <v/>
      </c>
      <c r="C61" s="86">
        <f>+VLOOKUP(B61,ARTICULOS!$D$10:$I$699,6)</f>
        <v/>
      </c>
      <c r="D61" s="212" t="inlineStr">
        <is>
          <t>Saten Liso Nacional</t>
        </is>
      </c>
      <c r="E61" s="75">
        <f>+C61&amp;F61</f>
        <v/>
      </c>
      <c r="F61" s="80" t="n">
        <v>58</v>
      </c>
      <c r="G61" s="81" t="inlineStr">
        <is>
          <t>Azul</t>
        </is>
      </c>
      <c r="H61" s="78" t="n">
        <v>9.16</v>
      </c>
      <c r="I61" s="78" t="n">
        <v>3.3</v>
      </c>
      <c r="J61" s="218" t="inlineStr">
        <is>
          <t>50% Alg./50%Pes.</t>
        </is>
      </c>
    </row>
    <row r="62">
      <c r="A62" s="84">
        <f>ROW()-6</f>
        <v/>
      </c>
      <c r="B62" s="281">
        <f>+MATCH(D62,ARTICULOS!$F$10:$F$699,0)</f>
        <v/>
      </c>
      <c r="C62" s="282">
        <f>+VLOOKUP(B62,ARTICULOS!$D$10:$I$699,6)</f>
        <v/>
      </c>
      <c r="D62" s="278" t="inlineStr">
        <is>
          <t>LinoPoliester</t>
        </is>
      </c>
      <c r="E62" s="75">
        <f>+C62&amp;F62</f>
        <v/>
      </c>
      <c r="F62" s="279" t="n">
        <v>1</v>
      </c>
      <c r="G62" s="280" t="inlineStr">
        <is>
          <t>Blanco</t>
        </is>
      </c>
      <c r="H62" s="84" t="n">
        <v>12.26</v>
      </c>
      <c r="I62" s="84" t="n">
        <v>3.3</v>
      </c>
      <c r="J62" s="84" t="n"/>
    </row>
    <row r="63">
      <c r="A63" s="84">
        <f>ROW()-6</f>
        <v/>
      </c>
      <c r="B63" s="85" t="n">
        <v>44</v>
      </c>
      <c r="C63" s="86">
        <f>+VLOOKUP(B63,ARTICULOS!$D$10:$I$699,6)</f>
        <v/>
      </c>
      <c r="D63" s="212" t="inlineStr">
        <is>
          <t xml:space="preserve">Recy Line </t>
        </is>
      </c>
      <c r="E63" s="75">
        <f>+C63&amp;F63</f>
        <v/>
      </c>
      <c r="F63" s="80" t="n">
        <v>1</v>
      </c>
      <c r="G63" s="81" t="inlineStr">
        <is>
          <t>Blanco</t>
        </is>
      </c>
      <c r="H63" s="78" t="n">
        <v>10.82</v>
      </c>
      <c r="I63" s="78" t="n">
        <v>3.4</v>
      </c>
      <c r="J63" s="218" t="inlineStr">
        <is>
          <t>50% Alg./50%Pes.</t>
        </is>
      </c>
      <c r="K63" t="n">
        <v>2024</v>
      </c>
    </row>
    <row r="64">
      <c r="A64" s="84">
        <f>ROW()-6</f>
        <v/>
      </c>
      <c r="B64" s="85" t="n">
        <v>44</v>
      </c>
      <c r="C64" s="86">
        <f>+VLOOKUP(B64,ARTICULOS!$D$10:$I$699,6)</f>
        <v/>
      </c>
      <c r="D64" s="212" t="inlineStr">
        <is>
          <t xml:space="preserve">Recy Line </t>
        </is>
      </c>
      <c r="E64" s="75">
        <f>+C64&amp;F64</f>
        <v/>
      </c>
      <c r="F64" s="80" t="n">
        <v>2</v>
      </c>
      <c r="G64" s="81" t="inlineStr">
        <is>
          <t>Nature</t>
        </is>
      </c>
      <c r="H64" s="78" t="n">
        <v>11</v>
      </c>
      <c r="I64" s="78" t="n">
        <v>3.4</v>
      </c>
      <c r="J64" s="218" t="inlineStr">
        <is>
          <t>50% Alg./50%Pes.</t>
        </is>
      </c>
      <c r="K64" t="n">
        <v>2024</v>
      </c>
    </row>
    <row r="65">
      <c r="A65" s="84">
        <f>ROW()-6</f>
        <v/>
      </c>
      <c r="B65" s="85" t="n">
        <v>44</v>
      </c>
      <c r="C65" s="86">
        <f>+VLOOKUP(B65,ARTICULOS!$D$10:$I$699,6)</f>
        <v/>
      </c>
      <c r="D65" s="212" t="inlineStr">
        <is>
          <t xml:space="preserve">Recy Line </t>
        </is>
      </c>
      <c r="E65" s="75">
        <f>+C65&amp;F65</f>
        <v/>
      </c>
      <c r="F65" s="80" t="n">
        <v>3</v>
      </c>
      <c r="G65" s="81" t="inlineStr">
        <is>
          <t>Caliza</t>
        </is>
      </c>
      <c r="H65" s="78" t="n">
        <v>11.32</v>
      </c>
      <c r="I65" s="78" t="n">
        <v>3.4</v>
      </c>
      <c r="J65" s="218" t="inlineStr">
        <is>
          <t>50% Alg./50%Pes.</t>
        </is>
      </c>
      <c r="K65" t="n">
        <v>2024</v>
      </c>
    </row>
    <row r="66">
      <c r="A66" s="84">
        <f>ROW()-6</f>
        <v/>
      </c>
      <c r="B66" s="85" t="n">
        <v>44</v>
      </c>
      <c r="C66" s="86">
        <f>+VLOOKUP(B66,ARTICULOS!$D$10:$I$699,6)</f>
        <v/>
      </c>
      <c r="D66" s="212" t="inlineStr">
        <is>
          <t xml:space="preserve">Recy Line </t>
        </is>
      </c>
      <c r="E66" s="75">
        <f>+C66&amp;F66</f>
        <v/>
      </c>
      <c r="F66" s="80" t="n">
        <v>4</v>
      </c>
      <c r="G66" s="81" t="inlineStr">
        <is>
          <t>Gris Titanio</t>
        </is>
      </c>
      <c r="H66" s="78" t="n">
        <v>11.32</v>
      </c>
      <c r="I66" s="78" t="n">
        <v>3.4</v>
      </c>
      <c r="J66" s="218" t="inlineStr">
        <is>
          <t>50% Alg./50%Pes.</t>
        </is>
      </c>
      <c r="K66" t="n">
        <v>2024</v>
      </c>
    </row>
    <row r="67">
      <c r="A67" s="84">
        <f>ROW()-6</f>
        <v/>
      </c>
      <c r="B67" s="85" t="n">
        <v>44</v>
      </c>
      <c r="C67" s="86">
        <f>+VLOOKUP(B67,ARTICULOS!$D$10:$I$699,6)</f>
        <v/>
      </c>
      <c r="D67" s="212" t="inlineStr">
        <is>
          <t xml:space="preserve">Recy Line </t>
        </is>
      </c>
      <c r="E67" s="75">
        <f>+C67&amp;F67</f>
        <v/>
      </c>
      <c r="F67" s="80" t="n">
        <v>5</v>
      </c>
      <c r="G67" s="81" t="inlineStr">
        <is>
          <t xml:space="preserve">Salvaje </t>
        </is>
      </c>
      <c r="H67" s="78" t="n">
        <v>11.65</v>
      </c>
      <c r="I67" s="78" t="n">
        <v>3.4</v>
      </c>
      <c r="J67" s="218" t="inlineStr">
        <is>
          <t>50% Alg./50%Pes.</t>
        </is>
      </c>
      <c r="K67" t="n">
        <v>2024</v>
      </c>
    </row>
    <row r="68">
      <c r="A68" s="84">
        <f>ROW()-6</f>
        <v/>
      </c>
      <c r="B68" s="85" t="n">
        <v>44</v>
      </c>
      <c r="C68" s="86">
        <f>+VLOOKUP(B68,ARTICULOS!$D$10:$I$699,6)</f>
        <v/>
      </c>
      <c r="D68" s="212" t="inlineStr">
        <is>
          <t xml:space="preserve">Recy Line </t>
        </is>
      </c>
      <c r="E68" s="75">
        <f>+C68&amp;F68</f>
        <v/>
      </c>
      <c r="F68" s="80" t="n">
        <v>6</v>
      </c>
      <c r="G68" s="81" t="inlineStr">
        <is>
          <t>Gris Marengo</t>
        </is>
      </c>
      <c r="H68" s="78" t="n">
        <v>11.65</v>
      </c>
      <c r="I68" s="78" t="n">
        <v>3.4</v>
      </c>
      <c r="J68" s="84" t="inlineStr">
        <is>
          <t>50% Alg./50%Pes.</t>
        </is>
      </c>
      <c r="K68" t="n">
        <v>2024</v>
      </c>
    </row>
    <row r="69">
      <c r="A69" s="84">
        <f>ROW()-6</f>
        <v/>
      </c>
      <c r="B69" s="85" t="n">
        <v>12</v>
      </c>
      <c r="C69" s="86">
        <f>+VLOOKUP(B69,ARTICULOS!$D$10:$I$699,6)</f>
        <v/>
      </c>
      <c r="D69" s="278" t="inlineStr">
        <is>
          <t>Nilo Rustico</t>
        </is>
      </c>
      <c r="E69" s="75">
        <f>+C69&amp;F69</f>
        <v/>
      </c>
      <c r="F69" s="279" t="n">
        <v>6</v>
      </c>
      <c r="G69" s="280" t="inlineStr">
        <is>
          <t>Gris Marengo</t>
        </is>
      </c>
      <c r="H69" s="84" t="n">
        <v>17.35</v>
      </c>
      <c r="I69" s="84" t="n">
        <v>3.4</v>
      </c>
      <c r="J69" s="84" t="inlineStr">
        <is>
          <t>50%Lin./50%Pes.</t>
        </is>
      </c>
      <c r="K69" s="277" t="n">
        <v>2024</v>
      </c>
    </row>
    <row r="70">
      <c r="A70" s="84">
        <f>ROW()-6</f>
        <v/>
      </c>
      <c r="B70" s="85" t="n">
        <v>12</v>
      </c>
      <c r="C70" s="86">
        <f>+VLOOKUP(B70,ARTICULOS!$D$10:$I$699,6)</f>
        <v/>
      </c>
      <c r="D70" s="278" t="inlineStr">
        <is>
          <t>Nilo Rustico</t>
        </is>
      </c>
      <c r="E70" s="75">
        <f>+C70&amp;F70</f>
        <v/>
      </c>
      <c r="F70" s="279" t="n">
        <v>5</v>
      </c>
      <c r="G70" s="280" t="inlineStr">
        <is>
          <t xml:space="preserve">Salvaje </t>
        </is>
      </c>
      <c r="H70" s="84" t="n">
        <v>17.35</v>
      </c>
      <c r="I70" s="84" t="n">
        <v>3.4</v>
      </c>
      <c r="J70" s="84" t="inlineStr">
        <is>
          <t>50%Lin./50%Pes.</t>
        </is>
      </c>
      <c r="K70" s="277" t="n">
        <v>2024</v>
      </c>
    </row>
    <row r="71">
      <c r="A71" s="84">
        <f>ROW()-6</f>
        <v/>
      </c>
      <c r="B71" s="85" t="n">
        <v>12</v>
      </c>
      <c r="C71" s="86">
        <f>+VLOOKUP(B71,ARTICULOS!$D$10:$I$699,6)</f>
        <v/>
      </c>
      <c r="D71" s="278" t="inlineStr">
        <is>
          <t>Nilo Rustico</t>
        </is>
      </c>
      <c r="E71" s="75">
        <f>+C71&amp;F71</f>
        <v/>
      </c>
      <c r="F71" s="279" t="n">
        <v>4</v>
      </c>
      <c r="G71" s="280" t="inlineStr">
        <is>
          <t>Caliza</t>
        </is>
      </c>
      <c r="H71" s="84" t="n">
        <v>17.35</v>
      </c>
      <c r="I71" s="84" t="n">
        <v>3.4</v>
      </c>
      <c r="J71" s="84" t="inlineStr">
        <is>
          <t>50%Lin./50%Pes.</t>
        </is>
      </c>
      <c r="K71" s="277" t="n">
        <v>2024</v>
      </c>
    </row>
    <row r="72">
      <c r="A72" s="84">
        <f>ROW()-6</f>
        <v/>
      </c>
      <c r="B72" s="85" t="n">
        <v>12</v>
      </c>
      <c r="C72" s="86">
        <f>+VLOOKUP(B72,ARTICULOS!$D$10:$I$699,6)</f>
        <v/>
      </c>
      <c r="D72" s="278" t="inlineStr">
        <is>
          <t>Nilo Rustico</t>
        </is>
      </c>
      <c r="E72" s="75">
        <f>+C72&amp;F72</f>
        <v/>
      </c>
      <c r="F72" s="279" t="n">
        <v>3</v>
      </c>
      <c r="G72" s="280" t="inlineStr">
        <is>
          <t>Nature</t>
        </is>
      </c>
      <c r="H72" s="84" t="n">
        <v>17.35</v>
      </c>
      <c r="I72" s="84" t="n">
        <v>3.4</v>
      </c>
      <c r="J72" s="84" t="inlineStr">
        <is>
          <t>50%Lin./50%Pes.</t>
        </is>
      </c>
      <c r="K72" s="277" t="n">
        <v>2024</v>
      </c>
    </row>
    <row r="73">
      <c r="A73" s="84">
        <f>ROW()-6</f>
        <v/>
      </c>
      <c r="B73" s="85" t="n">
        <v>12</v>
      </c>
      <c r="C73" s="86">
        <f>+VLOOKUP(B73,ARTICULOS!$D$10:$I$699,6)</f>
        <v/>
      </c>
      <c r="D73" s="278" t="inlineStr">
        <is>
          <t>Nilo Rustico</t>
        </is>
      </c>
      <c r="E73" s="75">
        <f>+C73&amp;F73</f>
        <v/>
      </c>
      <c r="F73" s="279" t="n">
        <v>2</v>
      </c>
      <c r="G73" s="280" t="inlineStr">
        <is>
          <t>Blanco Quimico</t>
        </is>
      </c>
      <c r="H73" s="84" t="n">
        <v>16.53</v>
      </c>
      <c r="I73" s="84" t="n">
        <v>3.4</v>
      </c>
      <c r="J73" s="84" t="inlineStr">
        <is>
          <t>50%Lin./50%Pes.</t>
        </is>
      </c>
      <c r="K73" s="277" t="n">
        <v>2024</v>
      </c>
    </row>
    <row r="74">
      <c r="A74" s="84">
        <f>ROW()-6</f>
        <v/>
      </c>
      <c r="B74" s="85" t="n">
        <v>12</v>
      </c>
      <c r="C74" s="86">
        <f>+VLOOKUP(B74,ARTICULOS!$D$10:$I$699,6)</f>
        <v/>
      </c>
      <c r="D74" s="278" t="inlineStr">
        <is>
          <t>Nilo Rustico</t>
        </is>
      </c>
      <c r="E74" s="75">
        <f>+C74&amp;F74</f>
        <v/>
      </c>
      <c r="F74" s="279" t="n">
        <v>1</v>
      </c>
      <c r="G74" s="280" t="inlineStr">
        <is>
          <t>Blanco</t>
        </is>
      </c>
      <c r="H74" s="84" t="n">
        <v>16.53</v>
      </c>
      <c r="I74" s="84" t="n">
        <v>3.4</v>
      </c>
      <c r="J74" s="84" t="inlineStr">
        <is>
          <t>50%Lin./50%Pes.</t>
        </is>
      </c>
      <c r="K74" s="277" t="n">
        <v>2024</v>
      </c>
    </row>
    <row r="75">
      <c r="A75" s="84">
        <f>ROW()-6</f>
        <v/>
      </c>
      <c r="B75" s="85" t="n">
        <v>13</v>
      </c>
      <c r="C75" s="86">
        <f>+VLOOKUP(B75,ARTICULOS!$D$10:$I$699,6)</f>
        <v/>
      </c>
      <c r="D75" s="212" t="inlineStr">
        <is>
          <t>Lino Grt</t>
        </is>
      </c>
      <c r="E75" s="75">
        <f>+C75&amp;F75</f>
        <v/>
      </c>
      <c r="F75" s="80" t="n">
        <v>1</v>
      </c>
      <c r="G75" s="81" t="inlineStr">
        <is>
          <t>Blanco</t>
        </is>
      </c>
      <c r="H75" s="78" t="n">
        <v>10.05</v>
      </c>
      <c r="I75" s="78" t="n">
        <v>3.4</v>
      </c>
      <c r="J75" s="84" t="inlineStr">
        <is>
          <t>40%Alg.10%Lin.50%Pol</t>
        </is>
      </c>
      <c r="K75" s="277" t="n">
        <v>2024</v>
      </c>
    </row>
    <row r="76">
      <c r="A76" s="84">
        <f>ROW()-6</f>
        <v/>
      </c>
      <c r="B76" s="85" t="n">
        <v>13</v>
      </c>
      <c r="C76" s="86">
        <f>+VLOOKUP(B76,ARTICULOS!$D$10:$I$699,6)</f>
        <v/>
      </c>
      <c r="D76" s="212" t="inlineStr">
        <is>
          <t>Lino Grt</t>
        </is>
      </c>
      <c r="E76" s="75">
        <f>+C76&amp;F76</f>
        <v/>
      </c>
      <c r="F76" s="80" t="n">
        <v>2</v>
      </c>
      <c r="G76" s="81" t="inlineStr">
        <is>
          <t>Nature</t>
        </is>
      </c>
      <c r="H76" s="78" t="n">
        <v>10.32</v>
      </c>
      <c r="I76" s="78" t="n">
        <v>3.4</v>
      </c>
      <c r="J76" s="84" t="inlineStr">
        <is>
          <t>40%Alg.10%Lin.50%Pol</t>
        </is>
      </c>
      <c r="K76" s="277" t="n">
        <v>2024</v>
      </c>
    </row>
    <row r="77">
      <c r="A77" s="84">
        <f>ROW()-6</f>
        <v/>
      </c>
      <c r="B77" s="85" t="n">
        <v>13</v>
      </c>
      <c r="C77" s="86">
        <f>+VLOOKUP(B77,ARTICULOS!$D$10:$I$699,6)</f>
        <v/>
      </c>
      <c r="D77" s="212" t="inlineStr">
        <is>
          <t>Lino Grt</t>
        </is>
      </c>
      <c r="E77" s="75">
        <f>+C77&amp;F77</f>
        <v/>
      </c>
      <c r="F77" s="80" t="n">
        <v>3</v>
      </c>
      <c r="G77" s="81" t="inlineStr">
        <is>
          <t>Gris Indo</t>
        </is>
      </c>
      <c r="H77" s="78" t="n">
        <v>11.17</v>
      </c>
      <c r="I77" s="78" t="n">
        <v>3.4</v>
      </c>
      <c r="J77" s="84" t="inlineStr">
        <is>
          <t>40%Alg.10%Lin.50%Pol</t>
        </is>
      </c>
      <c r="K77" s="277" t="n">
        <v>2024</v>
      </c>
    </row>
    <row r="78">
      <c r="A78" s="84">
        <f>ROW()-6</f>
        <v/>
      </c>
      <c r="B78" s="85" t="n">
        <v>13</v>
      </c>
      <c r="C78" s="86">
        <f>+VLOOKUP(B78,ARTICULOS!$D$10:$I$699,6)</f>
        <v/>
      </c>
      <c r="D78" s="212" t="inlineStr">
        <is>
          <t>Lino Grt</t>
        </is>
      </c>
      <c r="E78" s="75">
        <f>+C78&amp;F78</f>
        <v/>
      </c>
      <c r="F78" s="80" t="n">
        <v>4</v>
      </c>
      <c r="G78" s="81" t="inlineStr">
        <is>
          <t>Piedra</t>
        </is>
      </c>
      <c r="H78" s="78" t="n">
        <v>11.17</v>
      </c>
      <c r="I78" s="78" t="n">
        <v>3.4</v>
      </c>
      <c r="J78" s="84" t="inlineStr">
        <is>
          <t>40%Alg.10%Lin.50%Pol</t>
        </is>
      </c>
      <c r="K78" s="277" t="n">
        <v>2024</v>
      </c>
    </row>
    <row r="79">
      <c r="A79" s="84">
        <f>ROW()-6</f>
        <v/>
      </c>
      <c r="B79" s="85" t="n">
        <v>13</v>
      </c>
      <c r="C79" s="86">
        <f>+VLOOKUP(B79,ARTICULOS!$D$10:$I$699,6)</f>
        <v/>
      </c>
      <c r="D79" s="212" t="inlineStr">
        <is>
          <t>Lino Grt</t>
        </is>
      </c>
      <c r="E79" s="75">
        <f>+C79&amp;F79</f>
        <v/>
      </c>
      <c r="F79" s="80" t="n">
        <v>5</v>
      </c>
      <c r="G79" s="81" t="inlineStr">
        <is>
          <t>Chocolate</t>
        </is>
      </c>
      <c r="H79" s="78" t="n">
        <v>11.17</v>
      </c>
      <c r="I79" s="78" t="n">
        <v>3.4</v>
      </c>
      <c r="J79" s="84" t="inlineStr">
        <is>
          <t>40%Alg.10%Lin.50%Pol</t>
        </is>
      </c>
      <c r="K79" s="277" t="n">
        <v>2024</v>
      </c>
    </row>
    <row r="80">
      <c r="A80" s="84">
        <f>ROW()-6</f>
        <v/>
      </c>
      <c r="B80" s="85">
        <f>+MATCH(D80,ARTICULOS!$F$10:$F$699,0)</f>
        <v/>
      </c>
      <c r="C80" s="86">
        <f>+VLOOKUP(B80,ARTICULOS!$D$10:$I$699,6)</f>
        <v/>
      </c>
      <c r="D80" s="212" t="inlineStr">
        <is>
          <t>Saten Liso Nacional</t>
        </is>
      </c>
      <c r="E80" s="75">
        <f>+C80&amp;F80</f>
        <v/>
      </c>
      <c r="F80" s="80" t="n">
        <v>70</v>
      </c>
      <c r="G80" s="81" t="inlineStr">
        <is>
          <t>Azul Marino</t>
        </is>
      </c>
      <c r="H80" s="78" t="n">
        <v>9.699999999999999</v>
      </c>
      <c r="I80" s="78" t="n">
        <v>3.3</v>
      </c>
      <c r="J80" s="84" t="inlineStr">
        <is>
          <t>50% Alg./50%Pes.</t>
        </is>
      </c>
    </row>
    <row r="81">
      <c r="A81" s="84">
        <f>ROW()-6</f>
        <v/>
      </c>
      <c r="B81" s="85">
        <f>+MATCH(D81,ARTICULOS!$F$10:$F$699,0)</f>
        <v/>
      </c>
      <c r="C81" s="86">
        <f>+VLOOKUP(B81,ARTICULOS!$D$10:$I$699,6)</f>
        <v/>
      </c>
      <c r="D81" s="212" t="inlineStr">
        <is>
          <t>Saten Liso Poliester H</t>
        </is>
      </c>
      <c r="E81" s="75">
        <f>+C81&amp;F81</f>
        <v/>
      </c>
      <c r="F81" s="80" t="n">
        <v>19</v>
      </c>
      <c r="G81" s="81" t="inlineStr">
        <is>
          <t>Azul Marino</t>
        </is>
      </c>
      <c r="H81" s="78" t="n">
        <v>8.300000000000001</v>
      </c>
      <c r="I81" s="78" t="n">
        <v>3.3</v>
      </c>
      <c r="J81" s="78" t="inlineStr">
        <is>
          <t>100% Poliester</t>
        </is>
      </c>
    </row>
    <row r="82">
      <c r="A82" s="84">
        <f>ROW()-6</f>
        <v/>
      </c>
      <c r="B82" s="85">
        <f>+MATCH(D82,ARTICULOS!$F$10:$F$699,0)</f>
        <v/>
      </c>
      <c r="C82" s="86">
        <f>+VLOOKUP(B82,ARTICULOS!$D$10:$I$699,6)</f>
        <v/>
      </c>
      <c r="D82" s="212" t="inlineStr">
        <is>
          <t>Resite Antimanchas</t>
        </is>
      </c>
      <c r="E82" s="75">
        <f>+C82&amp;F82</f>
        <v/>
      </c>
      <c r="F82" s="80" t="n">
        <v>1</v>
      </c>
      <c r="G82" s="81" t="inlineStr">
        <is>
          <t>Blanco</t>
        </is>
      </c>
      <c r="H82" s="78" t="n">
        <v>5.99</v>
      </c>
      <c r="I82" s="78" t="n">
        <v>1.6</v>
      </c>
      <c r="J82" s="78" t="inlineStr">
        <is>
          <t>100% Poliester</t>
        </is>
      </c>
    </row>
    <row r="83">
      <c r="A83" s="84">
        <f>ROW()-6</f>
        <v/>
      </c>
      <c r="B83" s="85">
        <f>+MATCH(D83,ARTICULOS!$F$10:$F$699,0)</f>
        <v/>
      </c>
      <c r="C83" s="86">
        <f>+VLOOKUP(B83,ARTICULOS!$D$10:$I$699,6)</f>
        <v/>
      </c>
      <c r="D83" s="212" t="inlineStr">
        <is>
          <t>Resite Antimanchas</t>
        </is>
      </c>
      <c r="E83" s="75">
        <f>+C83&amp;F83</f>
        <v/>
      </c>
      <c r="F83" s="80" t="n">
        <v>7</v>
      </c>
      <c r="G83" s="81" t="inlineStr">
        <is>
          <t>Verde</t>
        </is>
      </c>
      <c r="H83" s="78" t="n">
        <v>5.99</v>
      </c>
      <c r="I83" s="78" t="n">
        <v>1.6</v>
      </c>
      <c r="J83" s="78" t="inlineStr">
        <is>
          <t>100% Poliester</t>
        </is>
      </c>
    </row>
    <row r="84">
      <c r="A84" s="84">
        <f>ROW()-6</f>
        <v/>
      </c>
      <c r="B84" s="85">
        <f>+MATCH(D84,ARTICULOS!$F$10:$F$699,0)</f>
        <v/>
      </c>
      <c r="C84" s="86">
        <f>+VLOOKUP(B84,ARTICULOS!$D$10:$I$699,6)</f>
        <v/>
      </c>
      <c r="D84" s="212" t="inlineStr">
        <is>
          <t>Saten Antimanchas</t>
        </is>
      </c>
      <c r="E84" s="75">
        <f>+C84&amp;F84</f>
        <v/>
      </c>
      <c r="F84" s="80" t="n">
        <v>1</v>
      </c>
      <c r="G84" s="81" t="inlineStr">
        <is>
          <t>Blanco</t>
        </is>
      </c>
      <c r="H84" s="78" t="n">
        <v>10.89</v>
      </c>
      <c r="I84" s="78" t="n">
        <v>3.25</v>
      </c>
      <c r="J84" s="78" t="inlineStr">
        <is>
          <t>100% Poliester</t>
        </is>
      </c>
    </row>
    <row r="85">
      <c r="A85" s="84">
        <f>ROW()-6</f>
        <v/>
      </c>
      <c r="B85" s="85">
        <f>+MATCH(D85,ARTICULOS!$F$10:$F$699,0)</f>
        <v/>
      </c>
      <c r="C85" s="86">
        <f>+VLOOKUP(B85,ARTICULOS!$D$10:$I$699,6)</f>
        <v/>
      </c>
      <c r="D85" s="212" t="inlineStr">
        <is>
          <t>Gouble M</t>
        </is>
      </c>
      <c r="E85" s="75">
        <f>+C85&amp;F85</f>
        <v/>
      </c>
      <c r="F85" s="80" t="n">
        <v>1</v>
      </c>
      <c r="G85" s="81" t="inlineStr">
        <is>
          <t>Color</t>
        </is>
      </c>
      <c r="H85" s="78" t="n">
        <v>8.449999999999999</v>
      </c>
      <c r="I85" s="78" t="n">
        <v>2.8</v>
      </c>
      <c r="J85" s="78" t="inlineStr">
        <is>
          <t>62%CO 38%PES</t>
        </is>
      </c>
    </row>
    <row r="86">
      <c r="A86" s="84">
        <f>ROW()-6</f>
        <v/>
      </c>
      <c r="B86" s="85">
        <f>+MATCH(D86,ARTICULOS!$F$10:$F$699,0)</f>
        <v/>
      </c>
      <c r="C86" s="86">
        <f>+VLOOKUP(B86,ARTICULOS!$D$10:$I$699,6)</f>
        <v/>
      </c>
      <c r="D86" s="212" t="inlineStr">
        <is>
          <t>Trivial</t>
        </is>
      </c>
      <c r="E86" s="75">
        <f>+C86&amp;F86</f>
        <v/>
      </c>
      <c r="F86" s="80" t="n">
        <v>1</v>
      </c>
      <c r="G86" s="81" t="inlineStr">
        <is>
          <t>Granate</t>
        </is>
      </c>
      <c r="H86" s="78" t="n">
        <v>8.699999999999999</v>
      </c>
      <c r="I86" s="78" t="n">
        <v>2.8</v>
      </c>
      <c r="J86" s="78" t="inlineStr">
        <is>
          <t>62%CO 38%PES</t>
        </is>
      </c>
    </row>
    <row r="87">
      <c r="A87" s="84">
        <f>ROW()-6</f>
        <v/>
      </c>
      <c r="B87" s="85">
        <f>+MATCH(D87,ARTICULOS!$F$10:$F$699,0)</f>
        <v/>
      </c>
      <c r="C87" s="86">
        <f>+VLOOKUP(B87,ARTICULOS!$D$10:$I$699,6)</f>
        <v/>
      </c>
      <c r="D87" s="114" t="inlineStr">
        <is>
          <t>Saten I 50/50</t>
        </is>
      </c>
      <c r="E87" s="75">
        <f>+C87&amp;F87</f>
        <v/>
      </c>
      <c r="F87" s="80" t="inlineStr">
        <is>
          <t>4P</t>
        </is>
      </c>
      <c r="G87" s="81" t="inlineStr">
        <is>
          <t>Beige</t>
        </is>
      </c>
      <c r="H87" s="78" t="n">
        <v>6.34</v>
      </c>
      <c r="I87" s="78" t="n">
        <v>3.2</v>
      </c>
      <c r="J87" s="218" t="inlineStr">
        <is>
          <t>50% Alg./50%Pes.</t>
        </is>
      </c>
    </row>
    <row r="88">
      <c r="A88" s="84">
        <f>ROW()-6</f>
        <v/>
      </c>
      <c r="B88" s="85">
        <f>+MATCH(D88,ARTICULOS!$F$10:$F$699,0)</f>
        <v/>
      </c>
      <c r="C88" s="86">
        <f>+VLOOKUP(B88,ARTICULOS!$D$10:$I$699,6)</f>
        <v/>
      </c>
      <c r="D88" s="114" t="inlineStr">
        <is>
          <t>Milano Pol.100</t>
        </is>
      </c>
      <c r="E88" s="75">
        <f>+C88&amp;F88</f>
        <v/>
      </c>
      <c r="F88" s="80" t="inlineStr">
        <is>
          <t>11P</t>
        </is>
      </c>
      <c r="G88" s="81" t="inlineStr">
        <is>
          <t>Beige</t>
        </is>
      </c>
      <c r="H88" s="78" t="n">
        <v>5.63</v>
      </c>
      <c r="I88" s="78" t="n">
        <v>3.2</v>
      </c>
      <c r="J88" s="78" t="inlineStr">
        <is>
          <t>100% Poliester</t>
        </is>
      </c>
    </row>
    <row r="89">
      <c r="A89" s="84">
        <f>ROW()-6</f>
        <v/>
      </c>
      <c r="B89" s="85">
        <f>+MATCH(D89,ARTICULOS!$F$10:$F$699,0)</f>
        <v/>
      </c>
      <c r="C89" s="86">
        <f>+VLOOKUP(B89,ARTICULOS!$D$10:$I$699,6)</f>
        <v/>
      </c>
      <c r="D89" s="65" t="inlineStr">
        <is>
          <t>Saten I 65/35</t>
        </is>
      </c>
      <c r="E89" s="75">
        <f>+C89&amp;F89</f>
        <v/>
      </c>
      <c r="F89" s="80" t="n">
        <v>4</v>
      </c>
      <c r="G89" s="81" t="inlineStr">
        <is>
          <t>Beige</t>
        </is>
      </c>
      <c r="H89" s="78" t="n">
        <v>5.9</v>
      </c>
      <c r="I89" s="78" t="n">
        <v>3.2</v>
      </c>
      <c r="J89" s="218" t="inlineStr">
        <is>
          <t>35% Alg./65%Pes.</t>
        </is>
      </c>
    </row>
    <row r="90">
      <c r="A90" s="84">
        <f>ROW()-6</f>
        <v/>
      </c>
      <c r="B90" s="85">
        <f>+MATCH(D90,ARTICULOS!$F$10:$F$699,0)</f>
        <v/>
      </c>
      <c r="C90" s="86">
        <f>+VLOOKUP(B90,ARTICULOS!$D$10:$I$699,6)</f>
        <v/>
      </c>
      <c r="D90" s="212" t="inlineStr">
        <is>
          <t>Loneta Prisma</t>
        </is>
      </c>
      <c r="E90" s="75">
        <f>+C90&amp;F90</f>
        <v/>
      </c>
      <c r="F90" s="80" t="n">
        <v>100</v>
      </c>
      <c r="G90" s="81" t="inlineStr">
        <is>
          <t>Negro</t>
        </is>
      </c>
      <c r="H90" s="78" t="n">
        <v>7.98</v>
      </c>
      <c r="I90" s="78" t="n">
        <v>2.8</v>
      </c>
      <c r="J90" s="218" t="inlineStr">
        <is>
          <t>50% Alg./50%Pes.</t>
        </is>
      </c>
    </row>
    <row r="91">
      <c r="A91" s="84">
        <f>ROW()-6</f>
        <v/>
      </c>
      <c r="B91" s="85">
        <f>+MATCH(D91,ARTICULOS!$F$10:$F$699,0)</f>
        <v/>
      </c>
      <c r="C91" s="86">
        <f>+VLOOKUP(B91,ARTICULOS!$D$10:$I$699,6)</f>
        <v/>
      </c>
      <c r="D91" s="212" t="inlineStr">
        <is>
          <t>LinoPoliester</t>
        </is>
      </c>
      <c r="E91" s="75">
        <f>+C91&amp;F91</f>
        <v/>
      </c>
      <c r="F91" s="80" t="n">
        <v>7</v>
      </c>
      <c r="G91" s="81" t="inlineStr">
        <is>
          <t>Granate</t>
        </is>
      </c>
      <c r="H91" s="78" t="n">
        <v>14.27</v>
      </c>
      <c r="I91" s="78" t="n">
        <v>3.3</v>
      </c>
      <c r="J91" s="78" t="n"/>
    </row>
    <row r="92">
      <c r="A92" s="84">
        <f>ROW()-6</f>
        <v/>
      </c>
      <c r="B92" s="85">
        <f>+MATCH(D92,ARTICULOS!$F$10:$F$699,0)</f>
        <v/>
      </c>
      <c r="C92" s="86">
        <f>+VLOOKUP(B92,ARTICULOS!$D$10:$I$699,6)</f>
        <v/>
      </c>
      <c r="D92" s="212" t="inlineStr">
        <is>
          <t>LinoPoliester</t>
        </is>
      </c>
      <c r="E92" s="75">
        <f>+C92&amp;F92</f>
        <v/>
      </c>
      <c r="F92" s="80" t="n">
        <v>13</v>
      </c>
      <c r="G92" s="81" t="inlineStr">
        <is>
          <t>Gris Perla</t>
        </is>
      </c>
      <c r="H92" s="78" t="n">
        <v>13.41</v>
      </c>
      <c r="I92" s="78" t="n">
        <v>3.3</v>
      </c>
      <c r="J92" s="78" t="n"/>
    </row>
    <row r="93">
      <c r="A93" s="84">
        <f>ROW()-6</f>
        <v/>
      </c>
      <c r="B93" s="85">
        <f>+MATCH(D93,ARTICULOS!$F$10:$F$699,0)</f>
        <v/>
      </c>
      <c r="C93" s="86">
        <f>+VLOOKUP(B93,ARTICULOS!$D$10:$I$699,6)</f>
        <v/>
      </c>
      <c r="D93" s="212" t="inlineStr">
        <is>
          <t>LinoPoliester</t>
        </is>
      </c>
      <c r="E93" s="75">
        <f>+C93&amp;F93</f>
        <v/>
      </c>
      <c r="F93" s="80" t="n">
        <v>17</v>
      </c>
      <c r="G93" s="81" t="inlineStr">
        <is>
          <t>Tostado</t>
        </is>
      </c>
      <c r="H93" s="78" t="n">
        <v>14.27</v>
      </c>
      <c r="I93" s="78" t="n">
        <v>3.3</v>
      </c>
      <c r="J93" s="78" t="n"/>
    </row>
    <row r="94">
      <c r="A94" s="84">
        <f>ROW()-6</f>
        <v/>
      </c>
      <c r="B94" s="85">
        <f>+MATCH(D94,ARTICULOS!$F$10:$F$699,0)</f>
        <v/>
      </c>
      <c r="C94" s="86">
        <f>+VLOOKUP(B94,ARTICULOS!$D$10:$I$699,6)</f>
        <v/>
      </c>
      <c r="D94" s="212" t="inlineStr">
        <is>
          <t>Saten Liso Nacional</t>
        </is>
      </c>
      <c r="E94" s="75">
        <f>+C94&amp;F94</f>
        <v/>
      </c>
      <c r="F94" s="80" t="n">
        <v>65</v>
      </c>
      <c r="G94" s="81" t="inlineStr">
        <is>
          <t>Gris</t>
        </is>
      </c>
      <c r="H94" s="78" t="n">
        <v>9.16</v>
      </c>
      <c r="I94" s="78" t="n">
        <v>3.3</v>
      </c>
      <c r="J94" s="218" t="inlineStr">
        <is>
          <t>50% Alg./50%Pes.</t>
        </is>
      </c>
    </row>
    <row r="95">
      <c r="A95" s="84">
        <f>ROW()-6</f>
        <v/>
      </c>
      <c r="B95" s="85">
        <f>+MATCH(D95,ARTICULOS!$F$10:$F$699,0)</f>
        <v/>
      </c>
      <c r="C95" s="86">
        <f>+VLOOKUP(B95,ARTICULOS!$D$10:$I$699,6)</f>
        <v/>
      </c>
      <c r="D95" s="212" t="inlineStr">
        <is>
          <t>LinoPoliester</t>
        </is>
      </c>
      <c r="E95" s="75">
        <f>+C95&amp;F95</f>
        <v/>
      </c>
      <c r="F95" s="80" t="n">
        <v>4</v>
      </c>
      <c r="G95" s="81" t="inlineStr">
        <is>
          <t>Gold</t>
        </is>
      </c>
      <c r="H95" s="78" t="n">
        <v>13.41</v>
      </c>
      <c r="I95" s="78" t="n">
        <v>3.3</v>
      </c>
      <c r="J95" s="78" t="n"/>
    </row>
    <row r="96">
      <c r="A96" s="84">
        <f>ROW()-6</f>
        <v/>
      </c>
      <c r="B96" s="85">
        <f>+MATCH(D96,ARTICULOS!$F$10:$F$699,0)</f>
        <v/>
      </c>
      <c r="C96" s="86">
        <f>+VLOOKUP(B96,ARTICULOS!$D$10:$I$699,6)</f>
        <v/>
      </c>
      <c r="D96" s="212" t="inlineStr">
        <is>
          <t>Tagore Pes100</t>
        </is>
      </c>
      <c r="E96" s="75">
        <f>+C96&amp;F96</f>
        <v/>
      </c>
      <c r="F96" s="80" t="n">
        <v>74</v>
      </c>
      <c r="G96" s="81" t="inlineStr">
        <is>
          <t>Frambuesa</t>
        </is>
      </c>
      <c r="H96" s="78" t="n">
        <v>7.67</v>
      </c>
      <c r="I96" s="78" t="n">
        <v>3.2</v>
      </c>
      <c r="J96" s="78" t="n"/>
    </row>
    <row r="97">
      <c r="A97" s="84">
        <f>ROW()-6</f>
        <v/>
      </c>
      <c r="B97" s="85">
        <f>+MATCH(D97,ARTICULOS!$F$10:$F$699,0)</f>
        <v/>
      </c>
      <c r="C97" s="86">
        <f>+VLOOKUP(B97,ARTICULOS!$D$10:$I$699,6)</f>
        <v/>
      </c>
      <c r="D97" s="212" t="inlineStr">
        <is>
          <t>LinoPoliester</t>
        </is>
      </c>
      <c r="E97" s="75">
        <f>+C97&amp;F97</f>
        <v/>
      </c>
      <c r="F97" s="80" t="n">
        <v>14</v>
      </c>
      <c r="G97" s="81" t="inlineStr">
        <is>
          <t>Beige</t>
        </is>
      </c>
      <c r="H97" s="78" t="n">
        <v>13.41</v>
      </c>
      <c r="I97" s="78" t="n">
        <v>3.3</v>
      </c>
      <c r="J97" s="78" t="n"/>
    </row>
    <row r="98">
      <c r="A98" s="84">
        <f>ROW()-6</f>
        <v/>
      </c>
      <c r="B98" s="85">
        <f>+MATCH(D98,ARTICULOS!$F$10:$F$699,0)</f>
        <v/>
      </c>
      <c r="C98" s="86">
        <f>+VLOOKUP(B98,ARTICULOS!$D$10:$I$699,6)</f>
        <v/>
      </c>
      <c r="D98" s="212" t="inlineStr">
        <is>
          <t>Bellini</t>
        </is>
      </c>
      <c r="E98" s="75">
        <f>+C98&amp;F98</f>
        <v/>
      </c>
      <c r="F98" s="80" t="n">
        <v>13</v>
      </c>
      <c r="G98" s="81" t="inlineStr">
        <is>
          <t>Negro</t>
        </is>
      </c>
      <c r="H98" s="78" t="n">
        <v>13.6</v>
      </c>
      <c r="I98" s="78" t="n">
        <v>2.8</v>
      </c>
      <c r="J98" s="78" t="inlineStr">
        <is>
          <t>100% Poliester</t>
        </is>
      </c>
    </row>
    <row r="99">
      <c r="A99" s="84">
        <f>ROW()-6</f>
        <v/>
      </c>
      <c r="B99" s="85">
        <f>+MATCH(D99,ARTICULOS!$F$10:$F$699,0)</f>
        <v/>
      </c>
      <c r="C99" s="86">
        <f>+VLOOKUP(B99,ARTICULOS!$D$10:$I$699,6)</f>
        <v/>
      </c>
      <c r="D99" s="212" t="inlineStr">
        <is>
          <t>Ninfa</t>
        </is>
      </c>
      <c r="E99" s="75">
        <f>+C99&amp;F99</f>
        <v/>
      </c>
      <c r="F99" s="80" t="n">
        <v>59</v>
      </c>
      <c r="G99" s="81" t="inlineStr">
        <is>
          <t>Mostaza</t>
        </is>
      </c>
      <c r="H99" s="78" t="n">
        <v>8.720000000000001</v>
      </c>
      <c r="I99" s="78" t="n">
        <v>2.8</v>
      </c>
      <c r="J99" s="78" t="inlineStr">
        <is>
          <t>100% Poliester</t>
        </is>
      </c>
    </row>
    <row r="100">
      <c r="A100" s="84">
        <f>ROW()-6</f>
        <v/>
      </c>
      <c r="B100" s="85">
        <f>+MATCH(D100,ARTICULOS!$F$10:$F$699,0)</f>
        <v/>
      </c>
      <c r="C100" s="86">
        <f>+VLOOKUP(B100,ARTICULOS!$D$10:$I$699,6)</f>
        <v/>
      </c>
      <c r="D100" s="212" t="inlineStr">
        <is>
          <t>Ninfa M</t>
        </is>
      </c>
      <c r="E100" s="75">
        <f>+C100&amp;F100</f>
        <v/>
      </c>
      <c r="F100" s="80" t="n">
        <v>59</v>
      </c>
      <c r="G100" s="81" t="inlineStr">
        <is>
          <t>Mostaza</t>
        </is>
      </c>
      <c r="H100" s="78" t="n">
        <v>13.07</v>
      </c>
      <c r="I100" s="78" t="n">
        <v>2.8</v>
      </c>
      <c r="J100" s="78" t="inlineStr">
        <is>
          <t>100% Poliester</t>
        </is>
      </c>
    </row>
    <row r="101">
      <c r="A101" s="84">
        <f>ROW()-6</f>
        <v/>
      </c>
      <c r="B101" s="85">
        <f>+MATCH(D101,ARTICULOS!$F$10:$F$699,0)</f>
        <v/>
      </c>
      <c r="C101" s="86">
        <f>+VLOOKUP(B101,ARTICULOS!$D$10:$I$699,6)</f>
        <v/>
      </c>
      <c r="D101" s="212" t="inlineStr">
        <is>
          <t>Santorini</t>
        </is>
      </c>
      <c r="E101" s="75">
        <f>+C101&amp;F101</f>
        <v/>
      </c>
      <c r="F101" s="80" t="n">
        <v>11</v>
      </c>
      <c r="G101" s="81" t="inlineStr">
        <is>
          <t>Marfil</t>
        </is>
      </c>
      <c r="H101" s="78" t="n">
        <v>12.8</v>
      </c>
      <c r="I101" s="78" t="n">
        <v>3.4</v>
      </c>
      <c r="J101" s="78" t="inlineStr">
        <is>
          <t>100% Poliester</t>
        </is>
      </c>
    </row>
    <row r="102">
      <c r="A102" s="84">
        <f>ROW()-6</f>
        <v/>
      </c>
      <c r="B102" s="85">
        <f>+MATCH(D102,ARTICULOS!$F$10:$F$699,0)</f>
        <v/>
      </c>
      <c r="C102" s="86">
        <f>+VLOOKUP(B102,ARTICULOS!$D$10:$I$699,6)</f>
        <v/>
      </c>
      <c r="D102" s="212" t="inlineStr">
        <is>
          <t>Santorini</t>
        </is>
      </c>
      <c r="E102" s="75">
        <f>+C102&amp;F102</f>
        <v/>
      </c>
      <c r="F102" s="80" t="n">
        <v>0</v>
      </c>
      <c r="G102" s="81" t="inlineStr">
        <is>
          <t>Negro</t>
        </is>
      </c>
      <c r="H102" s="78" t="n">
        <v>12.8</v>
      </c>
      <c r="I102" s="78" t="n">
        <v>3.4</v>
      </c>
      <c r="J102" s="78" t="inlineStr">
        <is>
          <t>100% Poliester</t>
        </is>
      </c>
    </row>
    <row r="103">
      <c r="A103" s="84">
        <f>ROW()-6</f>
        <v/>
      </c>
      <c r="B103" s="85">
        <f>+MATCH(D103,ARTICULOS!$F$10:$F$699,0)</f>
        <v/>
      </c>
      <c r="C103" s="86">
        <f>+VLOOKUP(B103,ARTICULOS!$D$10:$I$699,6)</f>
        <v/>
      </c>
      <c r="D103" s="212" t="inlineStr">
        <is>
          <t>Saten Algodon</t>
        </is>
      </c>
      <c r="E103" s="75">
        <f>+C103&amp;F103</f>
        <v/>
      </c>
      <c r="F103" s="80" t="n">
        <v>1</v>
      </c>
      <c r="G103" s="81" t="inlineStr">
        <is>
          <t>Blanco</t>
        </is>
      </c>
      <c r="H103" s="78" t="n">
        <v>8.119999999999999</v>
      </c>
      <c r="I103" s="78" t="n">
        <v>3.3</v>
      </c>
      <c r="J103" s="78" t="inlineStr">
        <is>
          <t>100% Algodón</t>
        </is>
      </c>
    </row>
    <row r="104">
      <c r="A104" s="84">
        <f>ROW()-6</f>
        <v/>
      </c>
      <c r="B104" s="85">
        <f>+MATCH(D104,ARTICULOS!$F$10:$F$699,0)</f>
        <v/>
      </c>
      <c r="C104" s="86">
        <f>+VLOOKUP(B104,ARTICULOS!$D$10:$I$699,6)</f>
        <v/>
      </c>
      <c r="D104" s="212" t="inlineStr">
        <is>
          <t>Saten Algodon</t>
        </is>
      </c>
      <c r="E104" s="75">
        <f>+C104&amp;F104</f>
        <v/>
      </c>
      <c r="F104" s="80" t="n">
        <v>2</v>
      </c>
      <c r="G104" s="81" t="inlineStr">
        <is>
          <t>Crudo</t>
        </is>
      </c>
      <c r="H104" s="78" t="n">
        <v>10.03</v>
      </c>
      <c r="I104" s="78" t="n">
        <v>3.3</v>
      </c>
      <c r="J104" s="78" t="inlineStr">
        <is>
          <t>100% Algodón</t>
        </is>
      </c>
    </row>
    <row r="105">
      <c r="A105" s="84">
        <f>ROW()-6</f>
        <v/>
      </c>
      <c r="B105" s="85">
        <f>+MATCH(D105,ARTICULOS!$F$10:$F$699,0)</f>
        <v/>
      </c>
      <c r="C105" s="86">
        <f>+VLOOKUP(B105,ARTICULOS!$D$10:$I$699,6)</f>
        <v/>
      </c>
      <c r="D105" s="212" t="inlineStr">
        <is>
          <t>Lido</t>
        </is>
      </c>
      <c r="E105" s="75">
        <f>+C105&amp;F105</f>
        <v/>
      </c>
      <c r="F105" s="80" t="n">
        <v>1</v>
      </c>
      <c r="G105" s="81" t="inlineStr">
        <is>
          <t>Crudo</t>
        </is>
      </c>
      <c r="H105" s="78" t="n">
        <v>13.3</v>
      </c>
      <c r="I105" s="78" t="n">
        <v>2.8</v>
      </c>
      <c r="J105" s="78" t="n"/>
    </row>
    <row r="106">
      <c r="A106" s="84">
        <f>ROW()-6</f>
        <v/>
      </c>
      <c r="B106" s="85">
        <f>+MATCH(D106,ARTICULOS!$F$10:$F$699,0)</f>
        <v/>
      </c>
      <c r="C106" s="86">
        <f>+VLOOKUP(B106,ARTICULOS!$D$10:$I$699,6)</f>
        <v/>
      </c>
      <c r="D106" s="212" t="inlineStr">
        <is>
          <t>Triunfo</t>
        </is>
      </c>
      <c r="E106" s="75">
        <f>+C106&amp;F106</f>
        <v/>
      </c>
      <c r="F106" s="80" t="n">
        <v>56</v>
      </c>
      <c r="G106" s="81" t="inlineStr">
        <is>
          <t>Avellana</t>
        </is>
      </c>
      <c r="H106" s="78" t="n">
        <v>12.73</v>
      </c>
      <c r="I106" s="78" t="n">
        <v>3.2</v>
      </c>
      <c r="J106" s="218" t="inlineStr">
        <is>
          <t>50% Alg./50%Pes.</t>
        </is>
      </c>
    </row>
    <row r="107">
      <c r="A107" s="84">
        <f>ROW()-6</f>
        <v/>
      </c>
      <c r="B107" s="85">
        <f>+MATCH(D107,ARTICULOS!$F$10:$F$699,0)</f>
        <v/>
      </c>
      <c r="C107" s="86">
        <f>+VLOOKUP(B107,ARTICULOS!$D$10:$I$699,6)</f>
        <v/>
      </c>
      <c r="D107" s="212" t="inlineStr">
        <is>
          <t>Nido</t>
        </is>
      </c>
      <c r="E107" s="75">
        <f>+C107&amp;F107</f>
        <v/>
      </c>
      <c r="F107" s="80" t="n">
        <v>1</v>
      </c>
      <c r="G107" s="81" t="inlineStr">
        <is>
          <t>Negro</t>
        </is>
      </c>
      <c r="H107" s="78" t="n">
        <v>9</v>
      </c>
      <c r="I107" s="78" t="n">
        <v>1.5</v>
      </c>
      <c r="J107" s="78" t="n"/>
    </row>
    <row r="108">
      <c r="A108" s="84">
        <f>ROW()-6</f>
        <v/>
      </c>
      <c r="B108" s="85">
        <f>+MATCH(D108,ARTICULOS!$F$10:$F$699,0)</f>
        <v/>
      </c>
      <c r="C108" s="86">
        <f>+VLOOKUP(B108,ARTICULOS!$D$10:$I$699,6)</f>
        <v/>
      </c>
      <c r="D108" s="212" t="inlineStr">
        <is>
          <t>Baroja</t>
        </is>
      </c>
      <c r="E108" s="75">
        <f>+C108&amp;F108</f>
        <v/>
      </c>
      <c r="F108" s="80" t="n">
        <v>1</v>
      </c>
      <c r="G108" s="81" t="inlineStr">
        <is>
          <t>Crudo</t>
        </is>
      </c>
      <c r="H108" s="78" t="n">
        <v>8.550000000000001</v>
      </c>
      <c r="I108" s="78" t="n">
        <v>1.4</v>
      </c>
      <c r="J108" s="78" t="n"/>
    </row>
    <row r="109">
      <c r="A109" s="84">
        <f>ROW()-6</f>
        <v/>
      </c>
      <c r="B109" s="85">
        <f>+MATCH(D109,ARTICULOS!$F$10:$F$699,0)</f>
        <v/>
      </c>
      <c r="C109" s="86">
        <f>+VLOOKUP(B109,ARTICULOS!$D$10:$I$699,6)</f>
        <v/>
      </c>
      <c r="D109" s="212" t="n"/>
      <c r="E109" s="75">
        <f>+C109&amp;F109</f>
        <v/>
      </c>
      <c r="F109" s="80" t="n"/>
      <c r="G109" s="81" t="n"/>
      <c r="H109" s="78" t="n"/>
      <c r="I109" s="78" t="n"/>
      <c r="J109" s="78" t="n"/>
    </row>
    <row r="110">
      <c r="A110" s="84">
        <f>ROW()-6</f>
        <v/>
      </c>
      <c r="B110" s="85">
        <f>+MATCH(D110,ARTICULOS!$F$10:$F$699,0)</f>
        <v/>
      </c>
      <c r="C110" s="86">
        <f>+VLOOKUP(B110,ARTICULOS!$D$10:$I$699,6)</f>
        <v/>
      </c>
      <c r="D110" s="212" t="n"/>
      <c r="E110" s="75">
        <f>+C110&amp;F110</f>
        <v/>
      </c>
      <c r="F110" s="80" t="n"/>
      <c r="G110" s="81" t="n"/>
      <c r="H110" s="78" t="n"/>
      <c r="I110" s="78" t="n"/>
      <c r="J110" s="78" t="n"/>
    </row>
    <row r="111">
      <c r="A111" s="84">
        <f>ROW()-6</f>
        <v/>
      </c>
      <c r="B111" s="85">
        <f>+MATCH(D111,ARTICULOS!$F$10:$F$699,0)</f>
        <v/>
      </c>
      <c r="C111" s="86">
        <f>+VLOOKUP(B111,ARTICULOS!$D$10:$I$699,6)</f>
        <v/>
      </c>
      <c r="D111" s="212" t="n"/>
      <c r="E111" s="75">
        <f>+C111&amp;F111</f>
        <v/>
      </c>
      <c r="F111" s="80" t="n"/>
      <c r="G111" s="81" t="n"/>
      <c r="H111" s="78" t="n"/>
      <c r="I111" s="78" t="n"/>
      <c r="J111" s="78" t="n"/>
    </row>
    <row r="112">
      <c r="A112" s="84">
        <f>ROW()-6</f>
        <v/>
      </c>
      <c r="B112" s="85">
        <f>+MATCH(D112,ARTICULOS!$F$10:$F$699,0)</f>
        <v/>
      </c>
      <c r="C112" s="86">
        <f>+VLOOKUP(B112,ARTICULOS!$D$10:$I$699,6)</f>
        <v/>
      </c>
      <c r="D112" s="212" t="n"/>
      <c r="E112" s="75">
        <f>+C112&amp;F112</f>
        <v/>
      </c>
      <c r="F112" s="80" t="n"/>
      <c r="G112" s="81" t="n"/>
      <c r="H112" s="78" t="n"/>
      <c r="I112" s="78" t="n"/>
      <c r="J112" s="78" t="n"/>
    </row>
    <row r="113">
      <c r="A113" s="84">
        <f>ROW()-6</f>
        <v/>
      </c>
      <c r="B113" s="85">
        <f>+MATCH(D113,ARTICULOS!$F$10:$F$699,0)</f>
        <v/>
      </c>
      <c r="C113" s="86">
        <f>+VLOOKUP(B113,ARTICULOS!$D$10:$I$699,6)</f>
        <v/>
      </c>
      <c r="D113" s="212" t="n"/>
      <c r="E113" s="75">
        <f>+C113&amp;F113</f>
        <v/>
      </c>
      <c r="F113" s="80" t="n"/>
      <c r="G113" s="81" t="n"/>
      <c r="H113" s="78" t="n"/>
      <c r="I113" s="78" t="n"/>
      <c r="J113" s="78" t="n"/>
    </row>
    <row r="114">
      <c r="A114" s="84">
        <f>ROW()-6</f>
        <v/>
      </c>
      <c r="B114" s="85">
        <f>+MATCH(D114,ARTICULOS!$F$10:$F$699,0)</f>
        <v/>
      </c>
      <c r="C114" s="86">
        <f>+VLOOKUP(B114,ARTICULOS!$D$10:$I$699,6)</f>
        <v/>
      </c>
      <c r="D114" s="212" t="n"/>
      <c r="E114" s="75">
        <f>+C114&amp;F114</f>
        <v/>
      </c>
      <c r="F114" s="80" t="n"/>
      <c r="G114" s="81" t="n"/>
      <c r="H114" s="78" t="n"/>
      <c r="I114" s="78" t="n"/>
      <c r="J114" s="78" t="n"/>
    </row>
    <row r="115">
      <c r="A115" s="84">
        <f>ROW()-6</f>
        <v/>
      </c>
      <c r="B115" s="85">
        <f>+MATCH(D115,ARTICULOS!$F$10:$F$699,0)</f>
        <v/>
      </c>
      <c r="C115" s="86">
        <f>+VLOOKUP(B115,ARTICULOS!$D$10:$I$699,6)</f>
        <v/>
      </c>
      <c r="D115" s="212" t="n"/>
      <c r="E115" s="75">
        <f>+C115&amp;F115</f>
        <v/>
      </c>
      <c r="F115" s="80" t="n"/>
      <c r="G115" s="81" t="n"/>
      <c r="H115" s="78" t="n"/>
      <c r="I115" s="78" t="n"/>
      <c r="J115" s="78" t="n"/>
    </row>
    <row r="116">
      <c r="A116" s="84">
        <f>ROW()-6</f>
        <v/>
      </c>
      <c r="B116" s="85">
        <f>+MATCH(D116,ARTICULOS!$F$10:$F$699,0)</f>
        <v/>
      </c>
      <c r="C116" s="86">
        <f>+VLOOKUP(B116,ARTICULOS!$D$10:$I$699,6)</f>
        <v/>
      </c>
      <c r="D116" s="212" t="n"/>
      <c r="E116" s="75">
        <f>+C116&amp;F116</f>
        <v/>
      </c>
      <c r="F116" s="80" t="n"/>
      <c r="G116" s="81" t="n"/>
      <c r="H116" s="78" t="n"/>
      <c r="I116" s="78" t="n"/>
      <c r="J116" s="78" t="n"/>
    </row>
    <row r="117">
      <c r="A117" s="84">
        <f>ROW()-6</f>
        <v/>
      </c>
      <c r="B117" s="85">
        <f>+MATCH(D117,ARTICULOS!$F$10:$F$699,0)</f>
        <v/>
      </c>
      <c r="C117" s="86">
        <f>+VLOOKUP(B117,ARTICULOS!$D$10:$I$699,6)</f>
        <v/>
      </c>
      <c r="D117" s="212" t="n"/>
      <c r="E117" s="75">
        <f>+C117&amp;F117</f>
        <v/>
      </c>
      <c r="F117" s="80" t="n"/>
      <c r="G117" s="81" t="n"/>
      <c r="H117" s="78" t="n"/>
      <c r="I117" s="78" t="n"/>
      <c r="J117" s="78" t="n"/>
    </row>
    <row r="118">
      <c r="A118" s="84">
        <f>ROW()-6</f>
        <v/>
      </c>
      <c r="B118" s="85">
        <f>+MATCH(D118,ARTICULOS!$F$10:$F$699,0)</f>
        <v/>
      </c>
      <c r="C118" s="86">
        <f>+VLOOKUP(B118,ARTICULOS!$D$10:$I$699,6)</f>
        <v/>
      </c>
      <c r="D118" s="212" t="n"/>
      <c r="E118" s="75">
        <f>+C118&amp;F118</f>
        <v/>
      </c>
      <c r="F118" s="80" t="n"/>
      <c r="G118" s="81" t="n"/>
      <c r="H118" s="78" t="n"/>
      <c r="I118" s="78" t="n"/>
      <c r="J118" s="78" t="n"/>
    </row>
    <row r="119">
      <c r="A119" s="84">
        <f>ROW()-6</f>
        <v/>
      </c>
      <c r="B119" s="85">
        <f>+MATCH(D119,ARTICULOS!$F$10:$F$699,0)</f>
        <v/>
      </c>
      <c r="C119" s="86">
        <f>+VLOOKUP(B119,ARTICULOS!$D$10:$I$699,6)</f>
        <v/>
      </c>
      <c r="D119" s="212" t="n"/>
      <c r="E119" s="75">
        <f>+C119&amp;F119</f>
        <v/>
      </c>
      <c r="F119" s="80" t="n"/>
      <c r="G119" s="81" t="n"/>
      <c r="H119" s="78" t="n"/>
      <c r="I119" s="78" t="n"/>
      <c r="J119" s="78" t="n"/>
    </row>
    <row r="120">
      <c r="A120" s="84">
        <f>ROW()-6</f>
        <v/>
      </c>
      <c r="B120" s="85">
        <f>+MATCH(D120,ARTICULOS!$F$10:$F$699,0)</f>
        <v/>
      </c>
      <c r="C120" s="86">
        <f>+VLOOKUP(B120,ARTICULOS!$D$10:$I$699,6)</f>
        <v/>
      </c>
      <c r="D120" s="212" t="n"/>
      <c r="E120" s="75">
        <f>+C120&amp;F120</f>
        <v/>
      </c>
      <c r="F120" s="80" t="n"/>
      <c r="G120" s="81" t="n"/>
      <c r="H120" s="78" t="n"/>
      <c r="I120" s="78" t="n"/>
      <c r="J120" s="78" t="n"/>
    </row>
    <row r="121">
      <c r="A121" s="84">
        <f>ROW()-6</f>
        <v/>
      </c>
      <c r="B121" s="85">
        <f>+MATCH(D121,ARTICULOS!$F$10:$F$699,0)</f>
        <v/>
      </c>
      <c r="C121" s="86">
        <f>+VLOOKUP(B121,ARTICULOS!$D$10:$I$699,6)</f>
        <v/>
      </c>
      <c r="D121" s="212" t="n"/>
      <c r="E121" s="75">
        <f>+C121&amp;F121</f>
        <v/>
      </c>
      <c r="F121" s="80" t="n"/>
      <c r="G121" s="81" t="n"/>
      <c r="H121" s="78" t="n"/>
      <c r="I121" s="78" t="n"/>
      <c r="J121" s="78" t="n"/>
    </row>
    <row r="122">
      <c r="A122" s="84">
        <f>ROW()-6</f>
        <v/>
      </c>
      <c r="B122" s="85">
        <f>+MATCH(D122,ARTICULOS!$F$10:$F$699,0)</f>
        <v/>
      </c>
      <c r="C122" s="86">
        <f>+VLOOKUP(B122,ARTICULOS!$D$10:$I$699,6)</f>
        <v/>
      </c>
      <c r="D122" s="212" t="n"/>
      <c r="E122" s="75">
        <f>+C122&amp;F122</f>
        <v/>
      </c>
      <c r="F122" s="80" t="n"/>
      <c r="G122" s="81" t="n"/>
      <c r="H122" s="78" t="n"/>
      <c r="I122" s="78" t="n"/>
      <c r="J122" s="78" t="n"/>
    </row>
    <row r="123">
      <c r="A123" s="84">
        <f>ROW()-6</f>
        <v/>
      </c>
      <c r="B123" s="85">
        <f>+MATCH(D123,ARTICULOS!$F$10:$F$699,0)</f>
        <v/>
      </c>
      <c r="C123" s="86">
        <f>+VLOOKUP(B123,ARTICULOS!$D$10:$I$699,6)</f>
        <v/>
      </c>
      <c r="D123" s="212" t="n"/>
      <c r="E123" s="75">
        <f>+C123&amp;F123</f>
        <v/>
      </c>
      <c r="F123" s="80" t="n"/>
      <c r="G123" s="81" t="n"/>
      <c r="H123" s="78" t="n"/>
      <c r="I123" s="78" t="n"/>
      <c r="J123" s="78" t="n"/>
    </row>
    <row r="124">
      <c r="A124" s="84">
        <f>ROW()-6</f>
        <v/>
      </c>
      <c r="B124" s="85">
        <f>+MATCH(D124,ARTICULOS!$F$10:$F$699,0)</f>
        <v/>
      </c>
      <c r="C124" s="86">
        <f>+VLOOKUP(B124,ARTICULOS!$D$10:$I$699,6)</f>
        <v/>
      </c>
      <c r="D124" s="212" t="n"/>
      <c r="E124" s="75">
        <f>+C124&amp;F124</f>
        <v/>
      </c>
      <c r="F124" s="80" t="n"/>
      <c r="G124" s="81" t="n"/>
      <c r="H124" s="78" t="n"/>
      <c r="I124" s="78" t="n"/>
      <c r="J124" s="78" t="n"/>
    </row>
    <row r="125">
      <c r="A125" s="84">
        <f>ROW()-6</f>
        <v/>
      </c>
      <c r="B125" s="85">
        <f>+MATCH(D125,ARTICULOS!$F$10:$F$699,0)</f>
        <v/>
      </c>
      <c r="C125" s="86">
        <f>+VLOOKUP(B125,ARTICULOS!$D$10:$I$699,6)</f>
        <v/>
      </c>
      <c r="D125" s="212" t="n"/>
      <c r="E125" s="75">
        <f>+C125&amp;F125</f>
        <v/>
      </c>
      <c r="F125" s="80" t="n"/>
      <c r="G125" s="81" t="n"/>
      <c r="H125" s="78" t="n"/>
      <c r="I125" s="78" t="n"/>
      <c r="J125" s="78" t="n"/>
    </row>
    <row r="126">
      <c r="A126" s="84">
        <f>ROW()-6</f>
        <v/>
      </c>
      <c r="B126" s="85">
        <f>+MATCH(D126,ARTICULOS!$F$10:$F$699,0)</f>
        <v/>
      </c>
      <c r="C126" s="86">
        <f>+VLOOKUP(B126,ARTICULOS!$D$10:$I$699,6)</f>
        <v/>
      </c>
      <c r="D126" s="212" t="n"/>
      <c r="E126" s="75">
        <f>+C126&amp;F126</f>
        <v/>
      </c>
      <c r="F126" s="80" t="n"/>
      <c r="G126" s="81" t="n"/>
      <c r="H126" s="78" t="n"/>
      <c r="I126" s="78" t="n"/>
      <c r="J126" s="78" t="n"/>
    </row>
    <row r="127">
      <c r="A127" s="84">
        <f>ROW()-6</f>
        <v/>
      </c>
      <c r="B127" s="85">
        <f>+MATCH(D127,ARTICULOS!$F$10:$F$699,0)</f>
        <v/>
      </c>
      <c r="C127" s="86">
        <f>+VLOOKUP(B127,ARTICULOS!$D$10:$I$699,6)</f>
        <v/>
      </c>
      <c r="D127" s="212" t="n"/>
      <c r="E127" s="75">
        <f>+C127&amp;F127</f>
        <v/>
      </c>
      <c r="F127" s="80" t="n"/>
      <c r="G127" s="81" t="n"/>
      <c r="H127" s="78" t="n"/>
      <c r="I127" s="78" t="n"/>
      <c r="J127" s="78" t="n"/>
    </row>
    <row r="128">
      <c r="A128" s="84">
        <f>ROW()-6</f>
        <v/>
      </c>
      <c r="B128" s="85">
        <f>+MATCH(D128,ARTICULOS!$F$10:$F$699,0)</f>
        <v/>
      </c>
      <c r="C128" s="86">
        <f>+VLOOKUP(B128,ARTICULOS!$D$10:$I$699,6)</f>
        <v/>
      </c>
      <c r="D128" s="212" t="n"/>
      <c r="E128" s="75">
        <f>+C128&amp;F128</f>
        <v/>
      </c>
      <c r="F128" s="80" t="n"/>
      <c r="G128" s="81" t="n"/>
      <c r="H128" s="78" t="n"/>
      <c r="I128" s="78" t="n"/>
      <c r="J128" s="78" t="n"/>
    </row>
    <row r="129">
      <c r="A129" s="84">
        <f>ROW()-6</f>
        <v/>
      </c>
      <c r="B129" s="85">
        <f>+MATCH(D129,ARTICULOS!$F$10:$F$699,0)</f>
        <v/>
      </c>
      <c r="C129" s="86">
        <f>+VLOOKUP(B129,ARTICULOS!$D$10:$I$699,6)</f>
        <v/>
      </c>
      <c r="D129" s="212" t="n"/>
      <c r="E129" s="75">
        <f>+C129&amp;F129</f>
        <v/>
      </c>
      <c r="F129" s="80" t="n"/>
      <c r="G129" s="81" t="n"/>
      <c r="H129" s="78" t="n"/>
      <c r="I129" s="78" t="n"/>
      <c r="J129" s="78" t="n"/>
    </row>
    <row r="130">
      <c r="A130" s="84">
        <f>ROW()-6</f>
        <v/>
      </c>
      <c r="B130" s="85">
        <f>+MATCH(D130,ARTICULOS!$F$10:$F$699,0)</f>
        <v/>
      </c>
      <c r="C130" s="86">
        <f>+VLOOKUP(B130,ARTICULOS!$D$10:$I$699,6)</f>
        <v/>
      </c>
      <c r="D130" s="212" t="n"/>
      <c r="E130" s="75">
        <f>+C130&amp;F130</f>
        <v/>
      </c>
      <c r="F130" s="80" t="n"/>
      <c r="G130" s="81" t="n"/>
      <c r="H130" s="78" t="n"/>
      <c r="I130" s="78" t="n"/>
      <c r="J130" s="78" t="n"/>
    </row>
    <row r="131">
      <c r="A131" s="84">
        <f>ROW()-6</f>
        <v/>
      </c>
      <c r="B131" s="85">
        <f>+MATCH(D131,ARTICULOS!$F$10:$F$699,0)</f>
        <v/>
      </c>
      <c r="C131" s="86">
        <f>+VLOOKUP(B131,ARTICULOS!$D$10:$I$699,6)</f>
        <v/>
      </c>
      <c r="D131" s="212" t="n"/>
      <c r="E131" s="75">
        <f>+C131&amp;F131</f>
        <v/>
      </c>
      <c r="F131" s="80" t="n"/>
      <c r="G131" s="81" t="n"/>
      <c r="H131" s="78" t="n"/>
      <c r="I131" s="78" t="n"/>
      <c r="J131" s="78" t="n"/>
    </row>
    <row r="132">
      <c r="A132" s="84">
        <f>ROW()-6</f>
        <v/>
      </c>
      <c r="B132" s="85">
        <f>+MATCH(D132,ARTICULOS!$F$10:$F$699,0)</f>
        <v/>
      </c>
      <c r="C132" s="86">
        <f>+VLOOKUP(B132,ARTICULOS!$D$10:$I$699,6)</f>
        <v/>
      </c>
      <c r="D132" s="212" t="n"/>
      <c r="E132" s="75">
        <f>+C132&amp;F132</f>
        <v/>
      </c>
      <c r="F132" s="80" t="n"/>
      <c r="G132" s="81" t="n"/>
      <c r="H132" s="78" t="n"/>
      <c r="I132" s="78" t="n"/>
      <c r="J132" s="78" t="n"/>
    </row>
    <row r="133">
      <c r="A133" s="84">
        <f>ROW()-6</f>
        <v/>
      </c>
      <c r="B133" s="85">
        <f>+MATCH(D133,ARTICULOS!$F$10:$F$699,0)</f>
        <v/>
      </c>
      <c r="C133" s="86">
        <f>+VLOOKUP(B133,ARTICULOS!$D$10:$I$699,6)</f>
        <v/>
      </c>
      <c r="D133" s="212" t="n"/>
      <c r="E133" s="75">
        <f>+C133&amp;F133</f>
        <v/>
      </c>
      <c r="F133" s="80" t="n"/>
      <c r="G133" s="81" t="n"/>
      <c r="H133" s="78" t="n"/>
      <c r="I133" s="78" t="n"/>
      <c r="J133" s="78" t="n"/>
    </row>
    <row r="134">
      <c r="A134" s="84">
        <f>ROW()-6</f>
        <v/>
      </c>
      <c r="B134" s="85">
        <f>+MATCH(D134,ARTICULOS!$F$10:$F$699,0)</f>
        <v/>
      </c>
      <c r="C134" s="86">
        <f>+VLOOKUP(B134,ARTICULOS!$D$10:$I$699,6)</f>
        <v/>
      </c>
      <c r="D134" s="212" t="n"/>
      <c r="E134" s="75">
        <f>+C134&amp;F134</f>
        <v/>
      </c>
      <c r="F134" s="80" t="n"/>
      <c r="G134" s="81" t="n"/>
      <c r="H134" s="78" t="n"/>
      <c r="I134" s="78" t="n"/>
      <c r="J134" s="78" t="n"/>
    </row>
    <row r="135">
      <c r="A135" s="84">
        <f>ROW()-6</f>
        <v/>
      </c>
      <c r="B135" s="85">
        <f>+MATCH(D135,ARTICULOS!$F$10:$F$699,0)</f>
        <v/>
      </c>
      <c r="C135" s="86">
        <f>+VLOOKUP(B135,ARTICULOS!$D$10:$I$699,6)</f>
        <v/>
      </c>
      <c r="D135" s="212" t="n"/>
      <c r="E135" s="75">
        <f>+C135&amp;F135</f>
        <v/>
      </c>
      <c r="F135" s="80" t="n"/>
      <c r="G135" s="81" t="n"/>
      <c r="H135" s="78" t="n"/>
      <c r="I135" s="78" t="n"/>
      <c r="J135" s="78" t="n"/>
    </row>
    <row r="136">
      <c r="A136" s="84">
        <f>ROW()-6</f>
        <v/>
      </c>
      <c r="B136" s="85">
        <f>+MATCH(D136,ARTICULOS!$F$10:$F$699,0)</f>
        <v/>
      </c>
      <c r="C136" s="86">
        <f>+VLOOKUP(B136,ARTICULOS!$D$10:$I$699,6)</f>
        <v/>
      </c>
      <c r="D136" s="212" t="n"/>
      <c r="E136" s="75">
        <f>+C136&amp;F136</f>
        <v/>
      </c>
      <c r="F136" s="80" t="n"/>
      <c r="G136" s="81" t="n"/>
      <c r="H136" s="78" t="n"/>
      <c r="I136" s="78" t="n"/>
      <c r="J136" s="78" t="n"/>
    </row>
    <row r="137">
      <c r="A137" s="84">
        <f>ROW()-6</f>
        <v/>
      </c>
      <c r="B137" s="85">
        <f>+MATCH(D137,ARTICULOS!$F$10:$F$699,0)</f>
        <v/>
      </c>
      <c r="C137" s="86">
        <f>+VLOOKUP(B137,ARTICULOS!$D$10:$I$699,6)</f>
        <v/>
      </c>
      <c r="D137" s="212" t="n"/>
      <c r="E137" s="75">
        <f>+C137&amp;F137</f>
        <v/>
      </c>
      <c r="F137" s="80" t="n"/>
      <c r="G137" s="81" t="n"/>
      <c r="H137" s="78" t="n"/>
      <c r="I137" s="78" t="n"/>
      <c r="J137" s="78" t="n"/>
    </row>
    <row r="138">
      <c r="A138" s="84">
        <f>ROW()-6</f>
        <v/>
      </c>
      <c r="B138" s="85">
        <f>+MATCH(D138,ARTICULOS!$F$10:$F$699,0)</f>
        <v/>
      </c>
      <c r="C138" s="86">
        <f>+VLOOKUP(B138,ARTICULOS!$D$10:$I$699,6)</f>
        <v/>
      </c>
      <c r="D138" s="212" t="n"/>
      <c r="E138" s="75">
        <f>+C138&amp;F138</f>
        <v/>
      </c>
      <c r="F138" s="80" t="n"/>
      <c r="G138" s="81" t="n"/>
      <c r="H138" s="78" t="n"/>
      <c r="I138" s="78" t="n"/>
      <c r="J138" s="78" t="n"/>
    </row>
    <row r="139">
      <c r="A139" s="84">
        <f>ROW()-6</f>
        <v/>
      </c>
      <c r="B139" s="85">
        <f>+MATCH(D139,ARTICULOS!$F$10:$F$699,0)</f>
        <v/>
      </c>
      <c r="C139" s="86">
        <f>+VLOOKUP(B139,ARTICULOS!$D$10:$I$699,6)</f>
        <v/>
      </c>
      <c r="D139" s="212" t="n"/>
      <c r="E139" s="75">
        <f>+C139&amp;F139</f>
        <v/>
      </c>
      <c r="F139" s="80" t="n"/>
      <c r="G139" s="81" t="n"/>
      <c r="H139" s="78" t="n"/>
      <c r="I139" s="78" t="n"/>
      <c r="J139" s="78" t="n"/>
    </row>
    <row r="140">
      <c r="A140" s="84">
        <f>ROW()-6</f>
        <v/>
      </c>
      <c r="B140" s="85">
        <f>+MATCH(D140,ARTICULOS!$F$10:$F$699,0)</f>
        <v/>
      </c>
      <c r="C140" s="86">
        <f>+VLOOKUP(B140,ARTICULOS!$D$10:$I$699,6)</f>
        <v/>
      </c>
      <c r="D140" s="212" t="n"/>
      <c r="E140" s="75">
        <f>+C140&amp;F140</f>
        <v/>
      </c>
      <c r="F140" s="80" t="n"/>
      <c r="G140" s="81" t="n"/>
      <c r="H140" s="78" t="n"/>
      <c r="I140" s="78" t="n"/>
      <c r="J140" s="78" t="n"/>
    </row>
    <row r="141">
      <c r="A141" s="84">
        <f>ROW()-6</f>
        <v/>
      </c>
      <c r="B141" s="85">
        <f>+MATCH(D141,ARTICULOS!$F$10:$F$699,0)</f>
        <v/>
      </c>
      <c r="C141" s="86">
        <f>+VLOOKUP(B141,ARTICULOS!$D$10:$I$699,6)</f>
        <v/>
      </c>
      <c r="D141" s="212" t="n"/>
      <c r="E141" s="75">
        <f>+C141&amp;F141</f>
        <v/>
      </c>
      <c r="F141" s="80" t="n"/>
      <c r="G141" s="81" t="n"/>
      <c r="H141" s="78" t="n"/>
      <c r="I141" s="78" t="n"/>
      <c r="J141" s="78" t="n"/>
    </row>
    <row r="142">
      <c r="A142" s="84">
        <f>ROW()-6</f>
        <v/>
      </c>
      <c r="B142" s="85">
        <f>+MATCH(D142,ARTICULOS!$F$10:$F$699,0)</f>
        <v/>
      </c>
      <c r="C142" s="86">
        <f>+VLOOKUP(B142,ARTICULOS!$D$10:$I$699,6)</f>
        <v/>
      </c>
      <c r="D142" s="212" t="n"/>
      <c r="E142" s="75">
        <f>+C142&amp;F142</f>
        <v/>
      </c>
      <c r="F142" s="80" t="n"/>
      <c r="G142" s="81" t="n"/>
      <c r="H142" s="78" t="n"/>
      <c r="I142" s="78" t="n"/>
      <c r="J142" s="78" t="n"/>
    </row>
    <row r="143">
      <c r="A143" s="84">
        <f>ROW()-6</f>
        <v/>
      </c>
      <c r="B143" s="85">
        <f>+MATCH(D143,ARTICULOS!$F$10:$F$699,0)</f>
        <v/>
      </c>
      <c r="C143" s="86">
        <f>+VLOOKUP(B143,ARTICULOS!$D$10:$I$699,6)</f>
        <v/>
      </c>
      <c r="D143" s="212" t="n"/>
      <c r="E143" s="75">
        <f>+C143&amp;F143</f>
        <v/>
      </c>
      <c r="F143" s="80" t="n"/>
      <c r="G143" s="81" t="n"/>
      <c r="H143" s="78" t="n"/>
      <c r="I143" s="78" t="n"/>
      <c r="J143" s="78" t="n"/>
    </row>
    <row r="144">
      <c r="A144" s="84">
        <f>ROW()-6</f>
        <v/>
      </c>
      <c r="B144" s="85">
        <f>+MATCH(D144,ARTICULOS!$F$10:$F$699,0)</f>
        <v/>
      </c>
      <c r="C144" s="86">
        <f>+VLOOKUP(B144,ARTICULOS!$D$10:$I$699,6)</f>
        <v/>
      </c>
      <c r="D144" s="212" t="n"/>
      <c r="E144" s="75">
        <f>+C144&amp;F144</f>
        <v/>
      </c>
      <c r="F144" s="80" t="n"/>
      <c r="G144" s="81" t="n"/>
      <c r="H144" s="78" t="n"/>
      <c r="I144" s="78" t="n"/>
      <c r="J144" s="78" t="n"/>
    </row>
    <row r="145">
      <c r="A145" s="84">
        <f>ROW()-6</f>
        <v/>
      </c>
      <c r="B145" s="85">
        <f>+MATCH(D145,ARTICULOS!$F$10:$F$699,0)</f>
        <v/>
      </c>
      <c r="C145" s="86">
        <f>+VLOOKUP(B145,ARTICULOS!$D$10:$I$699,6)</f>
        <v/>
      </c>
      <c r="D145" s="212" t="n"/>
      <c r="E145" s="75">
        <f>+C145&amp;F145</f>
        <v/>
      </c>
      <c r="F145" s="80" t="n"/>
      <c r="G145" s="81" t="n"/>
      <c r="H145" s="78" t="n"/>
      <c r="I145" s="78" t="n"/>
      <c r="J145" s="78" t="n"/>
    </row>
    <row r="146">
      <c r="A146" s="84">
        <f>ROW()-6</f>
        <v/>
      </c>
      <c r="B146" s="85">
        <f>+MATCH(D146,ARTICULOS!$F$10:$F$699,0)</f>
        <v/>
      </c>
      <c r="C146" s="86">
        <f>+VLOOKUP(B146,ARTICULOS!$D$10:$I$699,6)</f>
        <v/>
      </c>
      <c r="D146" s="212" t="n"/>
      <c r="E146" s="75">
        <f>+C146&amp;F146</f>
        <v/>
      </c>
      <c r="F146" s="80" t="n"/>
      <c r="G146" s="81" t="n"/>
      <c r="H146" s="78" t="n"/>
      <c r="I146" s="78" t="n"/>
      <c r="J146" s="78" t="n"/>
    </row>
    <row r="147">
      <c r="A147" s="84">
        <f>ROW()-6</f>
        <v/>
      </c>
      <c r="B147" s="85">
        <f>+MATCH(D147,ARTICULOS!$F$10:$F$699,0)</f>
        <v/>
      </c>
      <c r="C147" s="86">
        <f>+VLOOKUP(B147,ARTICULOS!$D$10:$I$699,6)</f>
        <v/>
      </c>
      <c r="D147" s="212" t="n"/>
      <c r="E147" s="75">
        <f>+C147&amp;F147</f>
        <v/>
      </c>
      <c r="F147" s="80" t="n"/>
      <c r="G147" s="81" t="n"/>
      <c r="H147" s="78" t="n"/>
      <c r="I147" s="78" t="n"/>
      <c r="J147" s="78" t="n"/>
    </row>
    <row r="148">
      <c r="A148" s="84">
        <f>ROW()-6</f>
        <v/>
      </c>
      <c r="B148" s="85">
        <f>+MATCH(D148,ARTICULOS!$F$10:$F$699,0)</f>
        <v/>
      </c>
      <c r="C148" s="86">
        <f>+VLOOKUP(B148,ARTICULOS!$D$10:$I$699,6)</f>
        <v/>
      </c>
      <c r="D148" s="212" t="n"/>
      <c r="E148" s="75">
        <f>+C148&amp;F148</f>
        <v/>
      </c>
      <c r="F148" s="80" t="n"/>
      <c r="G148" s="81" t="n"/>
      <c r="H148" s="78" t="n"/>
      <c r="I148" s="78" t="n"/>
      <c r="J148" s="78" t="n"/>
    </row>
    <row r="149">
      <c r="A149" s="84">
        <f>ROW()-6</f>
        <v/>
      </c>
      <c r="B149" s="85">
        <f>+MATCH(D149,ARTICULOS!$F$10:$F$699,0)</f>
        <v/>
      </c>
      <c r="C149" s="86">
        <f>+VLOOKUP(B149,ARTICULOS!$D$10:$I$699,6)</f>
        <v/>
      </c>
      <c r="D149" s="212" t="n"/>
      <c r="E149" s="75">
        <f>+C149&amp;F149</f>
        <v/>
      </c>
      <c r="F149" s="80" t="n"/>
      <c r="G149" s="81" t="n"/>
      <c r="H149" s="78" t="n"/>
      <c r="I149" s="78" t="n"/>
      <c r="J149" s="78" t="n"/>
    </row>
    <row r="150">
      <c r="A150" s="84">
        <f>ROW()-6</f>
        <v/>
      </c>
      <c r="B150" s="85">
        <f>+MATCH(D150,ARTICULOS!$F$10:$F$699,0)</f>
        <v/>
      </c>
      <c r="C150" s="86">
        <f>+VLOOKUP(B150,ARTICULOS!$D$10:$I$699,6)</f>
        <v/>
      </c>
      <c r="D150" s="212" t="n"/>
      <c r="E150" s="75">
        <f>+C150&amp;F150</f>
        <v/>
      </c>
      <c r="F150" s="80" t="n"/>
      <c r="G150" s="81" t="n"/>
      <c r="H150" s="78" t="n"/>
      <c r="I150" s="78" t="n"/>
      <c r="J150" s="78" t="n"/>
    </row>
    <row r="151">
      <c r="A151" s="84">
        <f>ROW()-6</f>
        <v/>
      </c>
      <c r="B151" s="85">
        <f>+MATCH(D151,ARTICULOS!$F$10:$F$699,0)</f>
        <v/>
      </c>
      <c r="C151" s="86">
        <f>+VLOOKUP(B151,ARTICULOS!$D$10:$I$699,6)</f>
        <v/>
      </c>
      <c r="D151" s="212" t="n"/>
      <c r="E151" s="75">
        <f>+C151&amp;F151</f>
        <v/>
      </c>
      <c r="F151" s="80" t="n"/>
      <c r="G151" s="81" t="n"/>
      <c r="H151" s="78" t="n"/>
      <c r="I151" s="78" t="n"/>
      <c r="J151" s="78" t="n"/>
    </row>
    <row r="152">
      <c r="A152" s="84">
        <f>ROW()-6</f>
        <v/>
      </c>
      <c r="B152" s="85">
        <f>+MATCH(D152,ARTICULOS!$F$10:$F$699,0)</f>
        <v/>
      </c>
      <c r="C152" s="86">
        <f>+VLOOKUP(B152,ARTICULOS!$D$10:$I$699,6)</f>
        <v/>
      </c>
      <c r="D152" s="212" t="n"/>
      <c r="E152" s="75">
        <f>+C152&amp;F152</f>
        <v/>
      </c>
      <c r="F152" s="80" t="n"/>
      <c r="G152" s="81" t="n"/>
      <c r="H152" s="78" t="n"/>
      <c r="I152" s="78" t="n"/>
      <c r="J152" s="78" t="n"/>
    </row>
    <row r="153">
      <c r="A153" s="84">
        <f>ROW()-6</f>
        <v/>
      </c>
      <c r="B153" s="85">
        <f>+MATCH(D153,ARTICULOS!$F$10:$F$699,0)</f>
        <v/>
      </c>
      <c r="C153" s="86">
        <f>+VLOOKUP(B153,ARTICULOS!$D$10:$I$699,6)</f>
        <v/>
      </c>
      <c r="D153" s="212" t="n"/>
      <c r="E153" s="75">
        <f>+C153&amp;F153</f>
        <v/>
      </c>
      <c r="F153" s="80" t="n"/>
      <c r="G153" s="81" t="n"/>
      <c r="H153" s="78" t="n"/>
      <c r="I153" s="78" t="n"/>
      <c r="J153" s="78" t="n"/>
    </row>
    <row r="154">
      <c r="A154" s="84">
        <f>ROW()-6</f>
        <v/>
      </c>
      <c r="B154" s="85">
        <f>+MATCH(D154,ARTICULOS!$F$10:$F$699,0)</f>
        <v/>
      </c>
      <c r="C154" s="86">
        <f>+VLOOKUP(B154,ARTICULOS!$D$10:$I$699,6)</f>
        <v/>
      </c>
      <c r="D154" s="212" t="n"/>
      <c r="E154" s="75">
        <f>+C154&amp;F154</f>
        <v/>
      </c>
      <c r="F154" s="80" t="n"/>
      <c r="G154" s="81" t="n"/>
      <c r="H154" s="78" t="n"/>
      <c r="I154" s="78" t="n"/>
      <c r="J154" s="78" t="n"/>
    </row>
    <row r="155">
      <c r="A155" s="84">
        <f>ROW()-6</f>
        <v/>
      </c>
      <c r="B155" s="85">
        <f>+MATCH(D155,ARTICULOS!$F$10:$F$699,0)</f>
        <v/>
      </c>
      <c r="C155" s="86">
        <f>+VLOOKUP(B155,ARTICULOS!$D$10:$I$699,6)</f>
        <v/>
      </c>
      <c r="D155" s="212" t="n"/>
      <c r="E155" s="75">
        <f>+C155&amp;F155</f>
        <v/>
      </c>
      <c r="F155" s="80" t="n"/>
      <c r="G155" s="81" t="n"/>
      <c r="H155" s="78" t="n"/>
      <c r="I155" s="78" t="n"/>
      <c r="J155" s="78" t="n"/>
    </row>
    <row r="156">
      <c r="A156" s="84">
        <f>ROW()-6</f>
        <v/>
      </c>
      <c r="B156" s="85">
        <f>+MATCH(D156,ARTICULOS!$F$10:$F$699,0)</f>
        <v/>
      </c>
      <c r="C156" s="86">
        <f>+VLOOKUP(B156,ARTICULOS!$D$10:$I$699,6)</f>
        <v/>
      </c>
      <c r="D156" s="212" t="n"/>
      <c r="E156" s="75">
        <f>+C156&amp;F156</f>
        <v/>
      </c>
      <c r="F156" s="80" t="n"/>
      <c r="G156" s="81" t="n"/>
      <c r="H156" s="78" t="n"/>
      <c r="I156" s="78" t="n"/>
      <c r="J156" s="78" t="n"/>
    </row>
    <row r="157">
      <c r="A157" s="84">
        <f>ROW()-6</f>
        <v/>
      </c>
      <c r="B157" s="85">
        <f>+MATCH(D157,ARTICULOS!$F$10:$F$699,0)</f>
        <v/>
      </c>
      <c r="C157" s="86">
        <f>+VLOOKUP(B157,ARTICULOS!$D$10:$I$699,6)</f>
        <v/>
      </c>
      <c r="D157" s="212" t="n"/>
      <c r="E157" s="75">
        <f>+C157&amp;F157</f>
        <v/>
      </c>
      <c r="F157" s="80" t="n"/>
      <c r="G157" s="81" t="n"/>
      <c r="H157" s="78" t="n"/>
      <c r="I157" s="78" t="n"/>
      <c r="J157" s="78" t="n"/>
    </row>
    <row r="158">
      <c r="A158" s="84">
        <f>ROW()-6</f>
        <v/>
      </c>
      <c r="B158" s="85">
        <f>+MATCH(D158,ARTICULOS!$F$10:$F$699,0)</f>
        <v/>
      </c>
      <c r="C158" s="86">
        <f>+VLOOKUP(B158,ARTICULOS!$D$10:$I$699,6)</f>
        <v/>
      </c>
      <c r="D158" s="212" t="n"/>
      <c r="E158" s="75">
        <f>+C158&amp;F158</f>
        <v/>
      </c>
      <c r="F158" s="80" t="n"/>
      <c r="G158" s="81" t="n"/>
      <c r="H158" s="78" t="n"/>
      <c r="I158" s="78" t="n"/>
      <c r="J158" s="78" t="n"/>
    </row>
    <row r="159">
      <c r="A159" s="84">
        <f>ROW()-6</f>
        <v/>
      </c>
      <c r="B159" s="85">
        <f>+MATCH(D159,ARTICULOS!$F$10:$F$699,0)</f>
        <v/>
      </c>
      <c r="C159" s="86">
        <f>+VLOOKUP(B159,ARTICULOS!$D$10:$I$699,6)</f>
        <v/>
      </c>
      <c r="D159" s="212" t="n"/>
      <c r="E159" s="75">
        <f>+C159&amp;F159</f>
        <v/>
      </c>
      <c r="F159" s="80" t="n"/>
      <c r="G159" s="81" t="n"/>
      <c r="H159" s="78" t="n"/>
      <c r="I159" s="78" t="n"/>
      <c r="J159" s="78" t="n"/>
    </row>
    <row r="160">
      <c r="A160" s="84">
        <f>ROW()-6</f>
        <v/>
      </c>
      <c r="B160" s="85">
        <f>+MATCH(D160,ARTICULOS!$F$10:$F$699,0)</f>
        <v/>
      </c>
      <c r="C160" s="86">
        <f>+VLOOKUP(B160,ARTICULOS!$D$10:$I$699,6)</f>
        <v/>
      </c>
      <c r="D160" s="212" t="n"/>
      <c r="E160" s="75">
        <f>+C160&amp;F160</f>
        <v/>
      </c>
      <c r="F160" s="80" t="n"/>
      <c r="G160" s="81" t="n"/>
      <c r="H160" s="78" t="n"/>
      <c r="I160" s="78" t="n"/>
      <c r="J160" s="78" t="n"/>
    </row>
    <row r="161">
      <c r="A161" s="84">
        <f>ROW()-6</f>
        <v/>
      </c>
      <c r="B161" s="85">
        <f>+MATCH(D161,ARTICULOS!$F$10:$F$699,0)</f>
        <v/>
      </c>
      <c r="C161" s="86">
        <f>+VLOOKUP(B161,ARTICULOS!$D$10:$I$699,6)</f>
        <v/>
      </c>
      <c r="D161" s="212" t="n"/>
      <c r="E161" s="75">
        <f>+C161&amp;F161</f>
        <v/>
      </c>
      <c r="F161" s="80" t="n"/>
      <c r="G161" s="81" t="n"/>
      <c r="H161" s="78" t="n"/>
      <c r="I161" s="78" t="n"/>
      <c r="J161" s="78" t="n"/>
    </row>
    <row r="162">
      <c r="A162" s="84">
        <f>ROW()-6</f>
        <v/>
      </c>
      <c r="B162" s="85">
        <f>+MATCH(D162,ARTICULOS!$F$10:$F$699,0)</f>
        <v/>
      </c>
      <c r="C162" s="86">
        <f>+VLOOKUP(B162,ARTICULOS!$D$10:$I$699,6)</f>
        <v/>
      </c>
      <c r="D162" s="212" t="n"/>
      <c r="E162" s="75">
        <f>+C162&amp;F162</f>
        <v/>
      </c>
      <c r="F162" s="80" t="n"/>
      <c r="G162" s="81" t="n"/>
      <c r="H162" s="78" t="n"/>
      <c r="I162" s="78" t="n"/>
      <c r="J162" s="78" t="n"/>
    </row>
    <row r="163">
      <c r="A163" s="84">
        <f>ROW()-6</f>
        <v/>
      </c>
      <c r="B163" s="85">
        <f>+MATCH(D163,ARTICULOS!$F$10:$F$699,0)</f>
        <v/>
      </c>
      <c r="C163" s="86">
        <f>+VLOOKUP(B163,ARTICULOS!$D$10:$I$699,6)</f>
        <v/>
      </c>
      <c r="D163" s="212" t="n"/>
      <c r="E163" s="75">
        <f>+C163&amp;F163</f>
        <v/>
      </c>
      <c r="F163" s="80" t="n"/>
      <c r="G163" s="81" t="n"/>
      <c r="H163" s="78" t="n"/>
      <c r="I163" s="78" t="n"/>
      <c r="J163" s="78" t="n"/>
    </row>
    <row r="164">
      <c r="A164" s="84">
        <f>ROW()-6</f>
        <v/>
      </c>
      <c r="B164" s="85">
        <f>+MATCH(D164,ARTICULOS!$F$10:$F$699,0)</f>
        <v/>
      </c>
      <c r="C164" s="86">
        <f>+VLOOKUP(B164,ARTICULOS!$D$10:$I$699,6)</f>
        <v/>
      </c>
      <c r="D164" s="212" t="n"/>
      <c r="E164" s="75">
        <f>+C164&amp;F164</f>
        <v/>
      </c>
      <c r="F164" s="80" t="n"/>
      <c r="G164" s="81" t="n"/>
      <c r="H164" s="78" t="n"/>
      <c r="I164" s="78" t="n"/>
      <c r="J164" s="78" t="n"/>
    </row>
    <row r="165">
      <c r="A165" s="84">
        <f>ROW()-6</f>
        <v/>
      </c>
      <c r="B165" s="85">
        <f>+MATCH(D165,ARTICULOS!$F$10:$F$699,0)</f>
        <v/>
      </c>
      <c r="C165" s="86">
        <f>+VLOOKUP(B165,ARTICULOS!$D$10:$I$699,6)</f>
        <v/>
      </c>
      <c r="D165" s="212" t="n"/>
      <c r="E165" s="75">
        <f>+C165&amp;F165</f>
        <v/>
      </c>
      <c r="F165" s="80" t="n"/>
      <c r="G165" s="81" t="n"/>
      <c r="H165" s="78" t="n"/>
      <c r="I165" s="78" t="n"/>
      <c r="J165" s="78" t="n"/>
    </row>
    <row r="166">
      <c r="A166" s="84">
        <f>ROW()-6</f>
        <v/>
      </c>
      <c r="B166" s="85">
        <f>+MATCH(D166,ARTICULOS!$F$10:$F$699,0)</f>
        <v/>
      </c>
      <c r="C166" s="86">
        <f>+VLOOKUP(B166,ARTICULOS!$D$10:$I$699,6)</f>
        <v/>
      </c>
      <c r="D166" s="212" t="n"/>
      <c r="E166" s="75">
        <f>+C166&amp;F166</f>
        <v/>
      </c>
      <c r="F166" s="80" t="n"/>
      <c r="G166" s="81" t="n"/>
      <c r="H166" s="78" t="n"/>
      <c r="I166" s="78" t="n"/>
      <c r="J166" s="78" t="n"/>
    </row>
    <row r="167">
      <c r="A167" s="84">
        <f>ROW()-6</f>
        <v/>
      </c>
      <c r="B167" s="85">
        <f>+MATCH(D167,ARTICULOS!$F$10:$F$699,0)</f>
        <v/>
      </c>
      <c r="C167" s="86">
        <f>+VLOOKUP(B167,ARTICULOS!$D$10:$I$699,6)</f>
        <v/>
      </c>
      <c r="D167" s="212" t="n"/>
      <c r="E167" s="75">
        <f>+C167&amp;F167</f>
        <v/>
      </c>
      <c r="F167" s="80" t="n"/>
      <c r="G167" s="81" t="n"/>
      <c r="H167" s="78" t="n"/>
      <c r="I167" s="78" t="n"/>
      <c r="J167" s="78" t="n"/>
    </row>
    <row r="168">
      <c r="A168" s="84">
        <f>ROW()-6</f>
        <v/>
      </c>
      <c r="B168" s="85">
        <f>+MATCH(D168,ARTICULOS!$F$10:$F$699,0)</f>
        <v/>
      </c>
      <c r="C168" s="86">
        <f>+VLOOKUP(B168,ARTICULOS!$D$10:$I$699,6)</f>
        <v/>
      </c>
      <c r="D168" s="212" t="n"/>
      <c r="E168" s="75">
        <f>+C168&amp;F168</f>
        <v/>
      </c>
      <c r="F168" s="80" t="n"/>
      <c r="G168" s="81" t="n"/>
      <c r="H168" s="78" t="n"/>
      <c r="I168" s="78" t="n"/>
      <c r="J168" s="78" t="n"/>
    </row>
    <row r="169">
      <c r="A169" s="84">
        <f>ROW()-6</f>
        <v/>
      </c>
      <c r="B169" s="85">
        <f>+MATCH(D169,ARTICULOS!$F$10:$F$699,0)</f>
        <v/>
      </c>
      <c r="C169" s="86">
        <f>+VLOOKUP(B169,ARTICULOS!$D$10:$I$699,6)</f>
        <v/>
      </c>
      <c r="D169" s="212" t="n"/>
      <c r="E169" s="75">
        <f>+C169&amp;F169</f>
        <v/>
      </c>
      <c r="F169" s="80" t="n"/>
      <c r="G169" s="81" t="n"/>
      <c r="H169" s="78" t="n"/>
      <c r="I169" s="78" t="n"/>
      <c r="J169" s="78" t="n"/>
    </row>
    <row r="170">
      <c r="A170" s="84">
        <f>ROW()-6</f>
        <v/>
      </c>
      <c r="B170" s="85">
        <f>+MATCH(D170,ARTICULOS!$F$10:$F$699,0)</f>
        <v/>
      </c>
      <c r="C170" s="86">
        <f>+VLOOKUP(B170,ARTICULOS!$D$10:$I$699,6)</f>
        <v/>
      </c>
      <c r="D170" s="212" t="n"/>
      <c r="E170" s="75">
        <f>+C170&amp;F170</f>
        <v/>
      </c>
      <c r="F170" s="80" t="n"/>
      <c r="G170" s="81" t="n"/>
      <c r="H170" s="78" t="n"/>
      <c r="I170" s="78" t="n"/>
      <c r="J170" s="78" t="n"/>
    </row>
    <row r="171">
      <c r="A171" s="84">
        <f>ROW()-6</f>
        <v/>
      </c>
      <c r="B171" s="85">
        <f>+MATCH(D171,ARTICULOS!$F$10:$F$699,0)</f>
        <v/>
      </c>
      <c r="C171" s="86">
        <f>+VLOOKUP(B171,ARTICULOS!$D$10:$I$699,6)</f>
        <v/>
      </c>
      <c r="D171" s="212" t="n"/>
      <c r="E171" s="75">
        <f>+C171&amp;F171</f>
        <v/>
      </c>
      <c r="F171" s="80" t="n"/>
      <c r="G171" s="81" t="n"/>
      <c r="H171" s="78" t="n"/>
      <c r="I171" s="78" t="n"/>
      <c r="J171" s="78" t="n"/>
    </row>
    <row r="172">
      <c r="A172" s="84">
        <f>ROW()-6</f>
        <v/>
      </c>
      <c r="B172" s="85">
        <f>+MATCH(D172,ARTICULOS!$F$10:$F$699,0)</f>
        <v/>
      </c>
      <c r="C172" s="86">
        <f>+VLOOKUP(B172,ARTICULOS!$D$10:$I$699,6)</f>
        <v/>
      </c>
      <c r="D172" s="212" t="n"/>
      <c r="E172" s="75">
        <f>+C172&amp;F172</f>
        <v/>
      </c>
      <c r="F172" s="80" t="n"/>
      <c r="G172" s="81" t="n"/>
      <c r="H172" s="78" t="n"/>
      <c r="I172" s="78" t="n"/>
      <c r="J172" s="78" t="n"/>
    </row>
    <row r="173">
      <c r="A173" s="84">
        <f>ROW()-6</f>
        <v/>
      </c>
      <c r="B173" s="85">
        <f>+MATCH(D173,ARTICULOS!$F$10:$F$699,0)</f>
        <v/>
      </c>
      <c r="C173" s="86">
        <f>+VLOOKUP(B173,ARTICULOS!$D$10:$I$699,6)</f>
        <v/>
      </c>
      <c r="D173" s="212" t="n"/>
      <c r="E173" s="75">
        <f>+C173&amp;F173</f>
        <v/>
      </c>
      <c r="F173" s="80" t="n"/>
      <c r="G173" s="81" t="n"/>
      <c r="H173" s="78" t="n"/>
      <c r="I173" s="78" t="n"/>
      <c r="J173" s="78" t="n"/>
    </row>
    <row r="174">
      <c r="A174" s="84">
        <f>ROW()-6</f>
        <v/>
      </c>
      <c r="B174" s="85">
        <f>+MATCH(D174,ARTICULOS!$F$10:$F$699,0)</f>
        <v/>
      </c>
      <c r="C174" s="86">
        <f>+VLOOKUP(B174,ARTICULOS!$D$10:$I$699,6)</f>
        <v/>
      </c>
      <c r="D174" s="212" t="n"/>
      <c r="E174" s="75">
        <f>+C174&amp;F174</f>
        <v/>
      </c>
      <c r="F174" s="80" t="n"/>
      <c r="G174" s="81" t="n"/>
      <c r="H174" s="78" t="n"/>
      <c r="I174" s="78" t="n"/>
      <c r="J174" s="78" t="n"/>
    </row>
    <row r="175">
      <c r="A175" s="84">
        <f>ROW()-6</f>
        <v/>
      </c>
      <c r="B175" s="85">
        <f>+MATCH(D175,ARTICULOS!$F$10:$F$699,0)</f>
        <v/>
      </c>
      <c r="C175" s="86">
        <f>+VLOOKUP(B175,ARTICULOS!$D$10:$I$699,6)</f>
        <v/>
      </c>
      <c r="D175" s="212" t="n"/>
      <c r="E175" s="75">
        <f>+C175&amp;F175</f>
        <v/>
      </c>
      <c r="F175" s="80" t="n"/>
      <c r="G175" s="81" t="n"/>
      <c r="H175" s="78" t="n"/>
      <c r="I175" s="78" t="n"/>
      <c r="J175" s="78" t="n"/>
    </row>
    <row r="176">
      <c r="A176" s="84">
        <f>ROW()-6</f>
        <v/>
      </c>
      <c r="B176" s="85">
        <f>+MATCH(D176,ARTICULOS!$F$10:$F$699,0)</f>
        <v/>
      </c>
      <c r="C176" s="86">
        <f>+VLOOKUP(B176,ARTICULOS!$D$10:$I$699,6)</f>
        <v/>
      </c>
      <c r="D176" s="212" t="n"/>
      <c r="E176" s="75">
        <f>+C176&amp;F176</f>
        <v/>
      </c>
      <c r="F176" s="80" t="n"/>
      <c r="G176" s="81" t="n"/>
      <c r="H176" s="78" t="n"/>
      <c r="I176" s="78" t="n"/>
      <c r="J176" s="78" t="n"/>
    </row>
    <row r="177">
      <c r="A177" s="84">
        <f>ROW()-6</f>
        <v/>
      </c>
      <c r="B177" s="85">
        <f>+MATCH(D177,ARTICULOS!$F$10:$F$699,0)</f>
        <v/>
      </c>
      <c r="C177" s="86">
        <f>+VLOOKUP(B177,ARTICULOS!$D$10:$I$699,6)</f>
        <v/>
      </c>
      <c r="D177" s="212" t="n"/>
      <c r="E177" s="75">
        <f>+C177&amp;F177</f>
        <v/>
      </c>
      <c r="F177" s="80" t="n"/>
      <c r="G177" s="81" t="n"/>
      <c r="H177" s="78" t="n"/>
      <c r="I177" s="78" t="n"/>
      <c r="J177" s="78" t="n"/>
    </row>
    <row r="178">
      <c r="A178" s="84">
        <f>ROW()-6</f>
        <v/>
      </c>
      <c r="B178" s="85">
        <f>+MATCH(D178,ARTICULOS!$F$10:$F$699,0)</f>
        <v/>
      </c>
      <c r="C178" s="86">
        <f>+VLOOKUP(B178,ARTICULOS!$D$10:$I$699,6)</f>
        <v/>
      </c>
      <c r="D178" s="212" t="n"/>
      <c r="E178" s="75">
        <f>+C178&amp;F178</f>
        <v/>
      </c>
      <c r="F178" s="80" t="n"/>
      <c r="G178" s="81" t="n"/>
      <c r="H178" s="78" t="n"/>
      <c r="I178" s="78" t="n"/>
      <c r="J178" s="78" t="n"/>
    </row>
    <row r="179">
      <c r="A179" s="84">
        <f>ROW()-6</f>
        <v/>
      </c>
      <c r="B179" s="85">
        <f>+MATCH(D179,ARTICULOS!$F$10:$F$699,0)</f>
        <v/>
      </c>
      <c r="C179" s="86">
        <f>+VLOOKUP(B179,ARTICULOS!$D$10:$I$699,6)</f>
        <v/>
      </c>
      <c r="D179" s="212" t="n"/>
      <c r="E179" s="75">
        <f>+C179&amp;F179</f>
        <v/>
      </c>
      <c r="F179" s="80" t="n"/>
      <c r="G179" s="81" t="n"/>
      <c r="H179" s="78" t="n"/>
      <c r="I179" s="78" t="n"/>
      <c r="J179" s="78" t="n"/>
    </row>
    <row r="180">
      <c r="A180" s="84">
        <f>ROW()-6</f>
        <v/>
      </c>
      <c r="B180" s="85">
        <f>+MATCH(D180,ARTICULOS!$F$10:$F$699,0)</f>
        <v/>
      </c>
      <c r="C180" s="86">
        <f>+VLOOKUP(B180,ARTICULOS!$D$10:$I$699,6)</f>
        <v/>
      </c>
      <c r="D180" s="212" t="n"/>
      <c r="E180" s="75">
        <f>+C180&amp;F180</f>
        <v/>
      </c>
      <c r="F180" s="80" t="n"/>
      <c r="G180" s="81" t="n"/>
      <c r="H180" s="78" t="n"/>
      <c r="I180" s="78" t="n"/>
      <c r="J180" s="78" t="n"/>
    </row>
    <row r="181">
      <c r="A181" s="84">
        <f>ROW()-6</f>
        <v/>
      </c>
      <c r="B181" s="85">
        <f>+MATCH(D181,ARTICULOS!$F$10:$F$699,0)</f>
        <v/>
      </c>
      <c r="C181" s="86">
        <f>+VLOOKUP(B181,ARTICULOS!$D$10:$I$699,6)</f>
        <v/>
      </c>
      <c r="D181" s="212" t="n"/>
      <c r="E181" s="75">
        <f>+C181&amp;F181</f>
        <v/>
      </c>
      <c r="F181" s="80" t="n"/>
      <c r="G181" s="81" t="n"/>
      <c r="H181" s="78" t="n"/>
      <c r="I181" s="78" t="n"/>
      <c r="J181" s="78" t="n"/>
    </row>
    <row r="182">
      <c r="A182" s="84">
        <f>ROW()-6</f>
        <v/>
      </c>
      <c r="B182" s="85">
        <f>+MATCH(D182,ARTICULOS!$F$10:$F$699,0)</f>
        <v/>
      </c>
      <c r="C182" s="86">
        <f>+VLOOKUP(B182,ARTICULOS!$D$10:$I$699,6)</f>
        <v/>
      </c>
      <c r="D182" s="212" t="n"/>
      <c r="E182" s="75">
        <f>+C182&amp;F182</f>
        <v/>
      </c>
      <c r="F182" s="80" t="n"/>
      <c r="G182" s="81" t="n"/>
      <c r="H182" s="78" t="n"/>
      <c r="I182" s="78" t="n"/>
      <c r="J182" s="78" t="n"/>
    </row>
    <row r="183">
      <c r="A183" s="84">
        <f>ROW()-6</f>
        <v/>
      </c>
      <c r="B183" s="85">
        <f>+MATCH(D183,ARTICULOS!$F$10:$F$699,0)</f>
        <v/>
      </c>
      <c r="C183" s="86">
        <f>+VLOOKUP(B183,ARTICULOS!$D$10:$I$699,6)</f>
        <v/>
      </c>
      <c r="D183" s="212" t="n"/>
      <c r="E183" s="75">
        <f>+C183&amp;F183</f>
        <v/>
      </c>
      <c r="F183" s="80" t="n"/>
      <c r="G183" s="81" t="n"/>
      <c r="H183" s="78" t="n"/>
      <c r="I183" s="78" t="n"/>
      <c r="J183" s="78" t="n"/>
    </row>
    <row r="184">
      <c r="A184" s="84">
        <f>ROW()-6</f>
        <v/>
      </c>
      <c r="B184" s="85">
        <f>+MATCH(D184,ARTICULOS!$F$10:$F$699,0)</f>
        <v/>
      </c>
      <c r="C184" s="86">
        <f>+VLOOKUP(B184,ARTICULOS!$D$10:$I$699,6)</f>
        <v/>
      </c>
      <c r="D184" s="212" t="n"/>
      <c r="E184" s="75">
        <f>+C184&amp;F184</f>
        <v/>
      </c>
      <c r="F184" s="80" t="n"/>
      <c r="G184" s="81" t="n"/>
      <c r="H184" s="78" t="n"/>
      <c r="I184" s="78" t="n"/>
      <c r="J184" s="78" t="n"/>
    </row>
    <row r="185">
      <c r="A185" s="84">
        <f>ROW()-6</f>
        <v/>
      </c>
      <c r="B185" s="85">
        <f>+MATCH(D185,ARTICULOS!$F$10:$F$699,0)</f>
        <v/>
      </c>
      <c r="C185" s="86">
        <f>+VLOOKUP(B185,ARTICULOS!$D$10:$I$699,6)</f>
        <v/>
      </c>
      <c r="D185" s="212" t="n"/>
      <c r="E185" s="75">
        <f>+C185&amp;F185</f>
        <v/>
      </c>
      <c r="F185" s="80" t="n"/>
      <c r="G185" s="81" t="n"/>
      <c r="H185" s="78" t="n"/>
      <c r="I185" s="78" t="n"/>
      <c r="J185" s="78" t="n"/>
    </row>
    <row r="186">
      <c r="A186" s="84">
        <f>ROW()-6</f>
        <v/>
      </c>
      <c r="B186" s="85">
        <f>+MATCH(D186,ARTICULOS!$F$10:$F$699,0)</f>
        <v/>
      </c>
      <c r="C186" s="86">
        <f>+VLOOKUP(B186,ARTICULOS!$D$10:$I$699,6)</f>
        <v/>
      </c>
      <c r="D186" s="212" t="n"/>
      <c r="E186" s="75">
        <f>+C186&amp;F186</f>
        <v/>
      </c>
      <c r="F186" s="80" t="n"/>
      <c r="G186" s="81" t="n"/>
      <c r="H186" s="78" t="n"/>
      <c r="I186" s="78" t="n"/>
      <c r="J186" s="78" t="n"/>
    </row>
    <row r="187">
      <c r="A187" s="84">
        <f>ROW()-6</f>
        <v/>
      </c>
      <c r="B187" s="85">
        <f>+MATCH(D187,ARTICULOS!$F$10:$F$699,0)</f>
        <v/>
      </c>
      <c r="C187" s="86">
        <f>+VLOOKUP(B187,ARTICULOS!$D$10:$I$699,6)</f>
        <v/>
      </c>
      <c r="D187" s="212" t="n"/>
      <c r="E187" s="75">
        <f>+C187&amp;F187</f>
        <v/>
      </c>
      <c r="F187" s="80" t="n"/>
      <c r="G187" s="81" t="n"/>
      <c r="H187" s="78" t="n"/>
      <c r="I187" s="78" t="n"/>
      <c r="J187" s="78" t="n"/>
    </row>
    <row r="188">
      <c r="A188" s="84">
        <f>ROW()-6</f>
        <v/>
      </c>
      <c r="B188" s="85">
        <f>+MATCH(D188,ARTICULOS!$F$10:$F$699,0)</f>
        <v/>
      </c>
      <c r="C188" s="86">
        <f>+VLOOKUP(B188,ARTICULOS!$D$10:$I$699,6)</f>
        <v/>
      </c>
      <c r="D188" s="212" t="n"/>
      <c r="E188" s="75">
        <f>+C188&amp;F188</f>
        <v/>
      </c>
      <c r="F188" s="80" t="n"/>
      <c r="G188" s="81" t="n"/>
      <c r="H188" s="78" t="n"/>
      <c r="I188" s="78" t="n"/>
      <c r="J188" s="78" t="n"/>
    </row>
    <row r="189">
      <c r="A189" s="84">
        <f>ROW()-6</f>
        <v/>
      </c>
      <c r="B189" s="85">
        <f>+MATCH(D189,ARTICULOS!$F$10:$F$699,0)</f>
        <v/>
      </c>
      <c r="C189" s="86">
        <f>+VLOOKUP(B189,ARTICULOS!$D$10:$I$699,6)</f>
        <v/>
      </c>
      <c r="D189" s="212" t="n"/>
      <c r="E189" s="75">
        <f>+C189&amp;F189</f>
        <v/>
      </c>
      <c r="F189" s="80" t="n"/>
      <c r="G189" s="81" t="n"/>
      <c r="H189" s="78" t="n"/>
      <c r="I189" s="78" t="n"/>
      <c r="J189" s="78" t="n"/>
    </row>
    <row r="190">
      <c r="A190" s="84">
        <f>ROW()-6</f>
        <v/>
      </c>
      <c r="B190" s="85">
        <f>+MATCH(D190,ARTICULOS!$F$10:$F$699,0)</f>
        <v/>
      </c>
      <c r="C190" s="86">
        <f>+VLOOKUP(B190,ARTICULOS!$D$10:$I$699,6)</f>
        <v/>
      </c>
      <c r="D190" s="212" t="n"/>
      <c r="E190" s="75">
        <f>+C190&amp;F190</f>
        <v/>
      </c>
      <c r="F190" s="80" t="n"/>
      <c r="G190" s="81" t="n"/>
      <c r="H190" s="78" t="n"/>
      <c r="I190" s="78" t="n"/>
      <c r="J190" s="78" t="n"/>
    </row>
    <row r="191">
      <c r="A191" s="84">
        <f>ROW()-6</f>
        <v/>
      </c>
      <c r="B191" s="85">
        <f>+MATCH(D191,ARTICULOS!$F$10:$F$699,0)</f>
        <v/>
      </c>
      <c r="C191" s="86">
        <f>+VLOOKUP(B191,ARTICULOS!$D$10:$I$699,6)</f>
        <v/>
      </c>
      <c r="D191" s="212" t="n"/>
      <c r="E191" s="75">
        <f>+C191&amp;F191</f>
        <v/>
      </c>
      <c r="F191" s="80" t="n"/>
      <c r="G191" s="81" t="n"/>
      <c r="H191" s="78" t="n"/>
      <c r="I191" s="78" t="n"/>
      <c r="J191" s="78" t="n"/>
    </row>
    <row r="192">
      <c r="A192" s="84">
        <f>ROW()-6</f>
        <v/>
      </c>
      <c r="B192" s="85">
        <f>+MATCH(D192,ARTICULOS!$F$10:$F$699,0)</f>
        <v/>
      </c>
      <c r="C192" s="86">
        <f>+VLOOKUP(B192,ARTICULOS!$D$10:$I$699,6)</f>
        <v/>
      </c>
      <c r="D192" s="212" t="n"/>
      <c r="E192" s="75">
        <f>+C192&amp;F192</f>
        <v/>
      </c>
      <c r="F192" s="80" t="n"/>
      <c r="G192" s="81" t="n"/>
      <c r="H192" s="78" t="n"/>
      <c r="I192" s="78" t="n"/>
      <c r="J192" s="78" t="n"/>
    </row>
    <row r="193">
      <c r="A193" s="84">
        <f>ROW()-6</f>
        <v/>
      </c>
      <c r="B193" s="85">
        <f>+MATCH(D193,ARTICULOS!$F$10:$F$699,0)</f>
        <v/>
      </c>
      <c r="C193" s="86">
        <f>+VLOOKUP(B193,ARTICULOS!$D$10:$I$699,6)</f>
        <v/>
      </c>
      <c r="D193" s="212" t="n"/>
      <c r="E193" s="75">
        <f>+C193&amp;F193</f>
        <v/>
      </c>
      <c r="F193" s="80" t="n"/>
      <c r="G193" s="81" t="n"/>
      <c r="H193" s="78" t="n"/>
      <c r="I193" s="78" t="n"/>
      <c r="J193" s="78" t="n"/>
    </row>
    <row r="194">
      <c r="A194" s="84">
        <f>ROW()-6</f>
        <v/>
      </c>
      <c r="B194" s="85">
        <f>+MATCH(D194,ARTICULOS!$F$10:$F$699,0)</f>
        <v/>
      </c>
      <c r="C194" s="86">
        <f>+VLOOKUP(B194,ARTICULOS!$D$10:$I$699,6)</f>
        <v/>
      </c>
      <c r="D194" s="212" t="n"/>
      <c r="E194" s="75">
        <f>+C194&amp;F194</f>
        <v/>
      </c>
      <c r="F194" s="80" t="n"/>
      <c r="G194" s="81" t="n"/>
      <c r="H194" s="78" t="n"/>
      <c r="I194" s="78" t="n"/>
      <c r="J194" s="78" t="n"/>
    </row>
    <row r="195">
      <c r="A195" s="84">
        <f>ROW()-6</f>
        <v/>
      </c>
      <c r="B195" s="85">
        <f>+MATCH(D195,ARTICULOS!$F$10:$F$699,0)</f>
        <v/>
      </c>
      <c r="C195" s="86">
        <f>+VLOOKUP(B195,ARTICULOS!$D$10:$I$699,6)</f>
        <v/>
      </c>
      <c r="D195" s="212" t="n"/>
      <c r="E195" s="75">
        <f>+C195&amp;F195</f>
        <v/>
      </c>
      <c r="F195" s="80" t="n"/>
      <c r="G195" s="81" t="n"/>
      <c r="H195" s="78" t="n"/>
      <c r="I195" s="78" t="n"/>
      <c r="J195" s="78" t="n"/>
    </row>
    <row r="196">
      <c r="A196" s="84">
        <f>ROW()-6</f>
        <v/>
      </c>
      <c r="B196" s="85">
        <f>+MATCH(D196,ARTICULOS!$F$10:$F$699,0)</f>
        <v/>
      </c>
      <c r="C196" s="86">
        <f>+VLOOKUP(B196,ARTICULOS!$D$10:$I$699,6)</f>
        <v/>
      </c>
      <c r="D196" s="212" t="n"/>
      <c r="E196" s="75">
        <f>+C196&amp;F196</f>
        <v/>
      </c>
      <c r="F196" s="80" t="n"/>
      <c r="G196" s="81" t="n"/>
      <c r="H196" s="78" t="n"/>
      <c r="I196" s="78" t="n"/>
      <c r="J196" s="78" t="n"/>
    </row>
    <row r="197">
      <c r="A197" s="84">
        <f>ROW()-6</f>
        <v/>
      </c>
      <c r="B197" s="85">
        <f>+MATCH(D197,ARTICULOS!$F$10:$F$699,0)</f>
        <v/>
      </c>
      <c r="C197" s="86">
        <f>+VLOOKUP(B197,ARTICULOS!$D$10:$I$699,6)</f>
        <v/>
      </c>
      <c r="D197" s="212" t="n"/>
      <c r="E197" s="75">
        <f>+C197&amp;F197</f>
        <v/>
      </c>
      <c r="F197" s="80" t="n"/>
      <c r="G197" s="81" t="n"/>
      <c r="H197" s="78" t="n"/>
      <c r="I197" s="78" t="n"/>
      <c r="J197" s="78" t="n"/>
    </row>
    <row r="198">
      <c r="A198" s="84">
        <f>ROW()-6</f>
        <v/>
      </c>
      <c r="B198" s="85">
        <f>+MATCH(D198,ARTICULOS!$F$10:$F$699,0)</f>
        <v/>
      </c>
      <c r="C198" s="86">
        <f>+VLOOKUP(B198,ARTICULOS!$D$10:$I$699,6)</f>
        <v/>
      </c>
      <c r="D198" s="212" t="n"/>
      <c r="E198" s="75">
        <f>+C198&amp;F198</f>
        <v/>
      </c>
      <c r="F198" s="80" t="n"/>
      <c r="G198" s="81" t="n"/>
      <c r="H198" s="78" t="n"/>
      <c r="I198" s="78" t="n"/>
      <c r="J198" s="78" t="n"/>
    </row>
    <row r="199">
      <c r="A199" s="84">
        <f>ROW()-6</f>
        <v/>
      </c>
      <c r="B199" s="85">
        <f>+MATCH(D199,ARTICULOS!$F$10:$F$699,0)</f>
        <v/>
      </c>
      <c r="C199" s="86">
        <f>+VLOOKUP(B199,ARTICULOS!$D$10:$I$699,6)</f>
        <v/>
      </c>
      <c r="D199" s="212" t="n"/>
      <c r="E199" s="75">
        <f>+C199&amp;F199</f>
        <v/>
      </c>
      <c r="F199" s="80" t="n"/>
      <c r="G199" s="81" t="n"/>
      <c r="H199" s="78" t="n"/>
      <c r="I199" s="78" t="n"/>
      <c r="J199" s="78" t="n"/>
    </row>
    <row r="200">
      <c r="A200" s="84">
        <f>ROW()-6</f>
        <v/>
      </c>
      <c r="B200" s="85">
        <f>+MATCH(D200,ARTICULOS!$F$10:$F$699,0)</f>
        <v/>
      </c>
      <c r="C200" s="86">
        <f>+VLOOKUP(B200,ARTICULOS!$D$10:$I$699,6)</f>
        <v/>
      </c>
      <c r="D200" s="212" t="n"/>
      <c r="E200" s="75">
        <f>+C200&amp;F200</f>
        <v/>
      </c>
      <c r="F200" s="80" t="n"/>
      <c r="G200" s="81" t="n"/>
      <c r="H200" s="78" t="n"/>
      <c r="I200" s="78" t="n"/>
      <c r="J200" s="78" t="n"/>
    </row>
    <row r="201">
      <c r="A201" s="84">
        <f>ROW()-6</f>
        <v/>
      </c>
      <c r="B201" s="85">
        <f>+MATCH(D201,ARTICULOS!$F$10:$F$699,0)</f>
        <v/>
      </c>
      <c r="C201" s="86">
        <f>+VLOOKUP(B201,ARTICULOS!$D$10:$I$699,6)</f>
        <v/>
      </c>
      <c r="D201" s="212" t="n"/>
      <c r="E201" s="75">
        <f>+C201&amp;F201</f>
        <v/>
      </c>
      <c r="F201" s="80" t="n"/>
      <c r="G201" s="81" t="n"/>
      <c r="H201" s="78" t="n"/>
      <c r="I201" s="78" t="n"/>
      <c r="J201" s="78" t="n"/>
    </row>
    <row r="202">
      <c r="A202" s="84">
        <f>ROW()-6</f>
        <v/>
      </c>
      <c r="B202" s="85">
        <f>+MATCH(D202,ARTICULOS!$F$10:$F$699,0)</f>
        <v/>
      </c>
      <c r="C202" s="86">
        <f>+VLOOKUP(B202,ARTICULOS!$D$10:$I$699,6)</f>
        <v/>
      </c>
      <c r="D202" s="212" t="n"/>
      <c r="E202" s="75">
        <f>+C202&amp;F202</f>
        <v/>
      </c>
      <c r="F202" s="80" t="n"/>
      <c r="G202" s="81" t="n"/>
      <c r="H202" s="78" t="n"/>
      <c r="I202" s="78" t="n"/>
      <c r="J202" s="78" t="n"/>
    </row>
    <row r="203">
      <c r="A203" s="84">
        <f>ROW()-6</f>
        <v/>
      </c>
      <c r="B203" s="85">
        <f>+MATCH(D203,ARTICULOS!$F$10:$F$699,0)</f>
        <v/>
      </c>
      <c r="C203" s="86">
        <f>+VLOOKUP(B203,ARTICULOS!$D$10:$I$699,6)</f>
        <v/>
      </c>
      <c r="D203" s="212" t="n"/>
      <c r="E203" s="75">
        <f>+C203&amp;F203</f>
        <v/>
      </c>
      <c r="F203" s="80" t="n"/>
      <c r="G203" s="81" t="n"/>
      <c r="H203" s="78" t="n"/>
      <c r="I203" s="78" t="n"/>
      <c r="J203" s="78" t="n"/>
    </row>
    <row r="204">
      <c r="A204" s="84">
        <f>ROW()-6</f>
        <v/>
      </c>
      <c r="B204" s="85">
        <f>+MATCH(D204,ARTICULOS!$F$10:$F$699,0)</f>
        <v/>
      </c>
      <c r="C204" s="86">
        <f>+VLOOKUP(B204,ARTICULOS!$D$10:$I$699,6)</f>
        <v/>
      </c>
      <c r="D204" s="212" t="n"/>
      <c r="E204" s="75">
        <f>+C204&amp;F204</f>
        <v/>
      </c>
      <c r="F204" s="80" t="n"/>
      <c r="G204" s="81" t="n"/>
      <c r="H204" s="78" t="n"/>
      <c r="I204" s="78" t="n"/>
      <c r="J204" s="78" t="n"/>
    </row>
    <row r="205">
      <c r="A205" s="84">
        <f>ROW()-6</f>
        <v/>
      </c>
      <c r="B205" s="85">
        <f>+MATCH(D205,ARTICULOS!$F$10:$F$699,0)</f>
        <v/>
      </c>
      <c r="C205" s="86">
        <f>+VLOOKUP(B205,ARTICULOS!$D$10:$I$699,6)</f>
        <v/>
      </c>
      <c r="D205" s="212" t="n"/>
      <c r="E205" s="75">
        <f>+C205&amp;F205</f>
        <v/>
      </c>
      <c r="F205" s="80" t="n"/>
      <c r="G205" s="81" t="n"/>
      <c r="H205" s="78" t="n"/>
      <c r="I205" s="78" t="n"/>
      <c r="J205" s="78" t="n"/>
    </row>
    <row r="206">
      <c r="A206" s="84">
        <f>ROW()-6</f>
        <v/>
      </c>
      <c r="B206" s="85">
        <f>+MATCH(D206,ARTICULOS!$F$10:$F$699,0)</f>
        <v/>
      </c>
      <c r="C206" s="86">
        <f>+VLOOKUP(B206,ARTICULOS!$D$10:$I$699,6)</f>
        <v/>
      </c>
      <c r="D206" s="212" t="n"/>
      <c r="E206" s="75">
        <f>+C206&amp;F206</f>
        <v/>
      </c>
      <c r="F206" s="80" t="n"/>
      <c r="G206" s="81" t="n"/>
      <c r="H206" s="78" t="n"/>
      <c r="I206" s="78" t="n"/>
      <c r="J206" s="78" t="n"/>
    </row>
    <row r="207">
      <c r="A207" s="84">
        <f>ROW()-6</f>
        <v/>
      </c>
      <c r="B207" s="85">
        <f>+MATCH(D207,ARTICULOS!$F$10:$F$699,0)</f>
        <v/>
      </c>
      <c r="C207" s="86">
        <f>+VLOOKUP(B207,ARTICULOS!$D$10:$I$699,6)</f>
        <v/>
      </c>
      <c r="D207" s="212" t="n"/>
      <c r="E207" s="75">
        <f>+C207&amp;F207</f>
        <v/>
      </c>
      <c r="F207" s="80" t="n"/>
      <c r="G207" s="81" t="n"/>
      <c r="H207" s="78" t="n"/>
      <c r="I207" s="78" t="n"/>
      <c r="J207" s="78" t="n"/>
    </row>
    <row r="208">
      <c r="A208" s="84">
        <f>ROW()-6</f>
        <v/>
      </c>
      <c r="B208" s="85">
        <f>+MATCH(D208,ARTICULOS!$F$10:$F$699,0)</f>
        <v/>
      </c>
      <c r="C208" s="86">
        <f>+VLOOKUP(B208,ARTICULOS!$D$10:$I$699,6)</f>
        <v/>
      </c>
      <c r="D208" s="212" t="n"/>
      <c r="E208" s="75">
        <f>+C208&amp;F208</f>
        <v/>
      </c>
      <c r="F208" s="80" t="n"/>
      <c r="G208" s="81" t="n"/>
      <c r="H208" s="78" t="n"/>
      <c r="I208" s="78" t="n"/>
      <c r="J208" s="78" t="n"/>
    </row>
    <row r="209">
      <c r="A209" s="84">
        <f>ROW()-6</f>
        <v/>
      </c>
      <c r="B209" s="85">
        <f>+MATCH(D209,ARTICULOS!$F$10:$F$699,0)</f>
        <v/>
      </c>
      <c r="C209" s="86">
        <f>+VLOOKUP(B209,ARTICULOS!$D$10:$I$699,6)</f>
        <v/>
      </c>
      <c r="D209" s="212" t="n"/>
      <c r="E209" s="75">
        <f>+C209&amp;F209</f>
        <v/>
      </c>
      <c r="F209" s="80" t="n"/>
      <c r="G209" s="81" t="n"/>
      <c r="H209" s="78" t="n"/>
      <c r="I209" s="78" t="n"/>
      <c r="J209" s="78" t="n"/>
    </row>
    <row r="210">
      <c r="A210" s="84">
        <f>ROW()-6</f>
        <v/>
      </c>
      <c r="B210" s="85">
        <f>+MATCH(D210,ARTICULOS!$F$10:$F$699,0)</f>
        <v/>
      </c>
      <c r="C210" s="86">
        <f>+VLOOKUP(B210,ARTICULOS!$D$10:$I$699,6)</f>
        <v/>
      </c>
      <c r="D210" s="212" t="n"/>
      <c r="E210" s="75">
        <f>+C210&amp;F210</f>
        <v/>
      </c>
      <c r="F210" s="80" t="n"/>
      <c r="G210" s="81" t="n"/>
      <c r="H210" s="78" t="n"/>
      <c r="I210" s="78" t="n"/>
      <c r="J210" s="78" t="n"/>
    </row>
    <row r="211">
      <c r="A211" s="84">
        <f>ROW()-6</f>
        <v/>
      </c>
      <c r="B211" s="85">
        <f>+MATCH(D211,ARTICULOS!$F$10:$F$699,0)</f>
        <v/>
      </c>
      <c r="C211" s="86">
        <f>+VLOOKUP(B211,ARTICULOS!$D$10:$I$699,6)</f>
        <v/>
      </c>
      <c r="D211" s="212" t="n"/>
      <c r="E211" s="75">
        <f>+C211&amp;F211</f>
        <v/>
      </c>
      <c r="F211" s="80" t="n"/>
      <c r="G211" s="81" t="n"/>
      <c r="H211" s="78" t="n"/>
      <c r="I211" s="78" t="n"/>
      <c r="J211" s="78" t="n"/>
    </row>
    <row r="212">
      <c r="A212" s="84">
        <f>ROW()-6</f>
        <v/>
      </c>
      <c r="B212" s="85">
        <f>+MATCH(D212,ARTICULOS!$F$10:$F$699,0)</f>
        <v/>
      </c>
      <c r="C212" s="86">
        <f>+VLOOKUP(B212,ARTICULOS!$D$10:$I$699,6)</f>
        <v/>
      </c>
      <c r="D212" s="212" t="n"/>
      <c r="E212" s="75">
        <f>+C212&amp;F212</f>
        <v/>
      </c>
      <c r="F212" s="80" t="n"/>
      <c r="G212" s="81" t="n"/>
      <c r="H212" s="78" t="n"/>
      <c r="I212" s="78" t="n"/>
      <c r="J212" s="78" t="n"/>
    </row>
    <row r="213">
      <c r="A213" s="84">
        <f>ROW()-6</f>
        <v/>
      </c>
      <c r="B213" s="85">
        <f>+MATCH(D213,ARTICULOS!$F$10:$F$699,0)</f>
        <v/>
      </c>
      <c r="C213" s="86">
        <f>+VLOOKUP(B213,ARTICULOS!$D$10:$I$699,6)</f>
        <v/>
      </c>
      <c r="D213" s="212" t="n"/>
      <c r="E213" s="75">
        <f>+C213&amp;F213</f>
        <v/>
      </c>
      <c r="F213" s="80" t="n"/>
      <c r="G213" s="81" t="n"/>
      <c r="H213" s="78" t="n"/>
      <c r="I213" s="78" t="n"/>
      <c r="J213" s="78" t="n"/>
    </row>
    <row r="214">
      <c r="A214" s="84">
        <f>ROW()-6</f>
        <v/>
      </c>
      <c r="B214" s="85">
        <f>+MATCH(D214,ARTICULOS!$F$10:$F$699,0)</f>
        <v/>
      </c>
      <c r="C214" s="86">
        <f>+VLOOKUP(B214,ARTICULOS!$D$10:$I$699,6)</f>
        <v/>
      </c>
      <c r="D214" s="212" t="n"/>
      <c r="E214" s="75">
        <f>+C214&amp;F214</f>
        <v/>
      </c>
      <c r="F214" s="80" t="n"/>
      <c r="G214" s="81" t="n"/>
      <c r="H214" s="78" t="n"/>
      <c r="I214" s="78" t="n"/>
      <c r="J214" s="78" t="n"/>
    </row>
    <row r="215">
      <c r="A215" s="84">
        <f>ROW()-6</f>
        <v/>
      </c>
      <c r="B215" s="85">
        <f>+MATCH(D215,ARTICULOS!$F$10:$F$699,0)</f>
        <v/>
      </c>
      <c r="C215" s="86">
        <f>+VLOOKUP(B215,ARTICULOS!$D$10:$I$699,6)</f>
        <v/>
      </c>
      <c r="D215" s="212" t="n"/>
      <c r="E215" s="75">
        <f>+C215&amp;F215</f>
        <v/>
      </c>
      <c r="F215" s="80" t="n"/>
      <c r="G215" s="81" t="n"/>
      <c r="H215" s="78" t="n"/>
      <c r="I215" s="78" t="n"/>
      <c r="J215" s="78" t="n"/>
    </row>
    <row r="216">
      <c r="A216" s="84">
        <f>ROW()-6</f>
        <v/>
      </c>
      <c r="B216" s="85">
        <f>+MATCH(D216,ARTICULOS!$F$10:$F$699,0)</f>
        <v/>
      </c>
      <c r="C216" s="86">
        <f>+VLOOKUP(B216,ARTICULOS!$D$10:$I$699,6)</f>
        <v/>
      </c>
      <c r="D216" s="212" t="n"/>
      <c r="E216" s="75">
        <f>+C216&amp;F216</f>
        <v/>
      </c>
      <c r="F216" s="80" t="n"/>
      <c r="G216" s="81" t="n"/>
      <c r="H216" s="78" t="n"/>
      <c r="I216" s="78" t="n"/>
      <c r="J216" s="78" t="n"/>
    </row>
    <row r="217">
      <c r="A217" s="84">
        <f>ROW()-6</f>
        <v/>
      </c>
      <c r="B217" s="85">
        <f>+MATCH(D217,ARTICULOS!$F$10:$F$699,0)</f>
        <v/>
      </c>
      <c r="C217" s="86">
        <f>+VLOOKUP(B217,ARTICULOS!$D$10:$I$699,6)</f>
        <v/>
      </c>
      <c r="D217" s="212" t="n"/>
      <c r="E217" s="75">
        <f>+C217&amp;F217</f>
        <v/>
      </c>
      <c r="F217" s="80" t="n"/>
      <c r="G217" s="81" t="n"/>
      <c r="H217" s="78" t="n"/>
      <c r="I217" s="78" t="n"/>
      <c r="J217" s="78" t="n"/>
    </row>
    <row r="218">
      <c r="A218" s="84">
        <f>ROW()-6</f>
        <v/>
      </c>
      <c r="B218" s="85">
        <f>+MATCH(D218,ARTICULOS!$F$10:$F$699,0)</f>
        <v/>
      </c>
      <c r="C218" s="86">
        <f>+VLOOKUP(B218,ARTICULOS!$D$10:$I$699,6)</f>
        <v/>
      </c>
      <c r="D218" s="212" t="n"/>
      <c r="E218" s="75">
        <f>+C218&amp;F218</f>
        <v/>
      </c>
      <c r="F218" s="80" t="n"/>
      <c r="G218" s="81" t="n"/>
      <c r="H218" s="78" t="n"/>
      <c r="I218" s="78" t="n"/>
      <c r="J218" s="78" t="n"/>
    </row>
    <row r="219">
      <c r="A219" s="84">
        <f>ROW()-6</f>
        <v/>
      </c>
      <c r="B219" s="85">
        <f>+MATCH(D219,ARTICULOS!$F$10:$F$699,0)</f>
        <v/>
      </c>
      <c r="C219" s="86">
        <f>+VLOOKUP(B219,ARTICULOS!$D$10:$I$699,6)</f>
        <v/>
      </c>
      <c r="D219" s="212" t="n"/>
      <c r="E219" s="75">
        <f>+C219&amp;F219</f>
        <v/>
      </c>
      <c r="F219" s="80" t="n"/>
      <c r="G219" s="81" t="n"/>
      <c r="H219" s="78" t="n"/>
      <c r="I219" s="78" t="n"/>
      <c r="J219" s="78" t="n"/>
    </row>
    <row r="220">
      <c r="A220" s="84">
        <f>ROW()-6</f>
        <v/>
      </c>
      <c r="B220" s="85">
        <f>+MATCH(D220,ARTICULOS!$F$10:$F$699,0)</f>
        <v/>
      </c>
      <c r="C220" s="86">
        <f>+VLOOKUP(B220,ARTICULOS!$D$10:$I$699,6)</f>
        <v/>
      </c>
      <c r="D220" s="212" t="n"/>
      <c r="E220" s="75">
        <f>+C220&amp;F220</f>
        <v/>
      </c>
      <c r="F220" s="80" t="n"/>
      <c r="G220" s="81" t="n"/>
      <c r="H220" s="78" t="n"/>
      <c r="I220" s="78" t="n"/>
      <c r="J220" s="78" t="n"/>
    </row>
    <row r="221">
      <c r="A221" s="84">
        <f>ROW()-6</f>
        <v/>
      </c>
      <c r="B221" s="85">
        <f>+MATCH(D221,ARTICULOS!$F$10:$F$699,0)</f>
        <v/>
      </c>
      <c r="C221" s="86">
        <f>+VLOOKUP(B221,ARTICULOS!$D$10:$I$699,6)</f>
        <v/>
      </c>
      <c r="D221" s="212" t="n"/>
      <c r="E221" s="75">
        <f>+C221&amp;F221</f>
        <v/>
      </c>
      <c r="F221" s="80" t="n"/>
      <c r="G221" s="81" t="n"/>
      <c r="H221" s="78" t="n"/>
      <c r="I221" s="78" t="n"/>
      <c r="J221" s="78" t="n"/>
    </row>
    <row r="222">
      <c r="A222" s="84">
        <f>ROW()-6</f>
        <v/>
      </c>
      <c r="B222" s="85">
        <f>+MATCH(D222,ARTICULOS!$F$10:$F$699,0)</f>
        <v/>
      </c>
      <c r="C222" s="86">
        <f>+VLOOKUP(B222,ARTICULOS!$D$10:$I$699,6)</f>
        <v/>
      </c>
      <c r="D222" s="212" t="n"/>
      <c r="E222" s="75">
        <f>+C222&amp;F222</f>
        <v/>
      </c>
      <c r="F222" s="80" t="n"/>
      <c r="G222" s="81" t="n"/>
      <c r="H222" s="78" t="n"/>
      <c r="I222" s="78" t="n"/>
      <c r="J222" s="78" t="n"/>
    </row>
    <row r="223">
      <c r="A223" s="84">
        <f>ROW()-6</f>
        <v/>
      </c>
      <c r="B223" s="85">
        <f>+MATCH(D223,ARTICULOS!$F$10:$F$699,0)</f>
        <v/>
      </c>
      <c r="C223" s="86">
        <f>+VLOOKUP(B223,ARTICULOS!$D$10:$I$699,6)</f>
        <v/>
      </c>
      <c r="D223" s="212" t="n"/>
      <c r="E223" s="75">
        <f>+C223&amp;F223</f>
        <v/>
      </c>
      <c r="F223" s="80" t="n"/>
      <c r="G223" s="81" t="n"/>
      <c r="H223" s="78" t="n"/>
      <c r="I223" s="78" t="n"/>
      <c r="J223" s="78" t="n"/>
    </row>
    <row r="224">
      <c r="A224" s="84">
        <f>ROW()-6</f>
        <v/>
      </c>
      <c r="B224" s="85">
        <f>+MATCH(D224,ARTICULOS!$F$10:$F$699,0)</f>
        <v/>
      </c>
      <c r="C224" s="86">
        <f>+VLOOKUP(B224,ARTICULOS!$D$10:$I$699,6)</f>
        <v/>
      </c>
      <c r="D224" s="212" t="n"/>
      <c r="E224" s="75">
        <f>+C224&amp;F224</f>
        <v/>
      </c>
      <c r="F224" s="80" t="n"/>
      <c r="G224" s="81" t="n"/>
      <c r="H224" s="78" t="n"/>
      <c r="I224" s="78" t="n"/>
      <c r="J224" s="78" t="n"/>
    </row>
    <row r="225">
      <c r="A225" s="84">
        <f>ROW()-6</f>
        <v/>
      </c>
      <c r="B225" s="85">
        <f>+MATCH(D225,ARTICULOS!$F$10:$F$699,0)</f>
        <v/>
      </c>
      <c r="C225" s="86">
        <f>+VLOOKUP(B225,ARTICULOS!$D$10:$I$699,6)</f>
        <v/>
      </c>
      <c r="D225" s="212" t="n"/>
      <c r="E225" s="75">
        <f>+C225&amp;F225</f>
        <v/>
      </c>
      <c r="F225" s="80" t="n"/>
      <c r="G225" s="81" t="n"/>
      <c r="H225" s="78" t="n"/>
      <c r="I225" s="78" t="n"/>
      <c r="J225" s="78" t="n"/>
    </row>
    <row r="226">
      <c r="A226" s="84">
        <f>ROW()-6</f>
        <v/>
      </c>
      <c r="B226" s="85">
        <f>+MATCH(D226,ARTICULOS!$F$10:$F$699,0)</f>
        <v/>
      </c>
      <c r="C226" s="86">
        <f>+VLOOKUP(B226,ARTICULOS!$D$10:$I$699,6)</f>
        <v/>
      </c>
      <c r="D226" s="212" t="n"/>
      <c r="E226" s="75">
        <f>+C226&amp;F226</f>
        <v/>
      </c>
      <c r="F226" s="80" t="n"/>
      <c r="G226" s="81" t="n"/>
      <c r="H226" s="78" t="n"/>
      <c r="I226" s="78" t="n"/>
      <c r="J226" s="78" t="n"/>
    </row>
    <row r="227">
      <c r="A227" s="84">
        <f>ROW()-6</f>
        <v/>
      </c>
      <c r="B227" s="85">
        <f>+MATCH(D227,ARTICULOS!$F$10:$F$699,0)</f>
        <v/>
      </c>
      <c r="C227" s="86">
        <f>+VLOOKUP(B227,ARTICULOS!$D$10:$I$699,6)</f>
        <v/>
      </c>
      <c r="D227" s="212" t="n"/>
      <c r="E227" s="75">
        <f>+C227&amp;F227</f>
        <v/>
      </c>
      <c r="F227" s="80" t="n"/>
      <c r="G227" s="81" t="n"/>
      <c r="H227" s="78" t="n"/>
      <c r="I227" s="78" t="n"/>
      <c r="J227" s="78" t="n"/>
    </row>
    <row r="228">
      <c r="A228" s="84">
        <f>ROW()-6</f>
        <v/>
      </c>
      <c r="B228" s="85">
        <f>+MATCH(D228,ARTICULOS!$F$10:$F$699,0)</f>
        <v/>
      </c>
      <c r="C228" s="86">
        <f>+VLOOKUP(B228,ARTICULOS!$D$10:$I$699,6)</f>
        <v/>
      </c>
      <c r="D228" s="212" t="n"/>
      <c r="E228" s="75">
        <f>+C228&amp;F228</f>
        <v/>
      </c>
      <c r="F228" s="80" t="n"/>
      <c r="G228" s="81" t="n"/>
      <c r="H228" s="78" t="n"/>
      <c r="I228" s="78" t="n"/>
      <c r="J228" s="78" t="n"/>
    </row>
    <row r="229">
      <c r="A229" s="84">
        <f>ROW()-6</f>
        <v/>
      </c>
      <c r="B229" s="85">
        <f>+MATCH(D229,ARTICULOS!$F$10:$F$699,0)</f>
        <v/>
      </c>
      <c r="C229" s="86">
        <f>+VLOOKUP(B229,ARTICULOS!$D$10:$I$699,6)</f>
        <v/>
      </c>
      <c r="D229" s="212" t="n"/>
      <c r="E229" s="75">
        <f>+C229&amp;F229</f>
        <v/>
      </c>
      <c r="F229" s="80" t="n"/>
      <c r="G229" s="81" t="n"/>
      <c r="H229" s="78" t="n"/>
      <c r="I229" s="78" t="n"/>
      <c r="J229" s="78" t="n"/>
    </row>
    <row r="230">
      <c r="A230" s="84">
        <f>ROW()-6</f>
        <v/>
      </c>
      <c r="B230" s="85">
        <f>+MATCH(D230,ARTICULOS!$F$10:$F$699,0)</f>
        <v/>
      </c>
      <c r="C230" s="86">
        <f>+VLOOKUP(B230,ARTICULOS!$D$10:$I$699,6)</f>
        <v/>
      </c>
      <c r="D230" s="212" t="n"/>
      <c r="E230" s="75">
        <f>+C230&amp;F230</f>
        <v/>
      </c>
      <c r="F230" s="80" t="n"/>
      <c r="G230" s="81" t="n"/>
      <c r="H230" s="78" t="n"/>
      <c r="I230" s="78" t="n"/>
      <c r="J230" s="78" t="n"/>
    </row>
    <row r="231">
      <c r="A231" s="84">
        <f>ROW()-6</f>
        <v/>
      </c>
      <c r="B231" s="85">
        <f>+MATCH(D231,ARTICULOS!$F$10:$F$699,0)</f>
        <v/>
      </c>
      <c r="C231" s="86">
        <f>+VLOOKUP(B231,ARTICULOS!$D$10:$I$699,6)</f>
        <v/>
      </c>
      <c r="D231" s="212" t="n"/>
      <c r="E231" s="75">
        <f>+C231&amp;F231</f>
        <v/>
      </c>
      <c r="F231" s="80" t="n"/>
      <c r="G231" s="81" t="n"/>
      <c r="H231" s="78" t="n"/>
      <c r="I231" s="78" t="n"/>
      <c r="J231" s="78" t="n"/>
    </row>
    <row r="232">
      <c r="A232" s="84">
        <f>ROW()-6</f>
        <v/>
      </c>
      <c r="B232" s="85">
        <f>+MATCH(D232,ARTICULOS!$F$10:$F$699,0)</f>
        <v/>
      </c>
      <c r="C232" s="86">
        <f>+VLOOKUP(B232,ARTICULOS!$D$10:$I$699,6)</f>
        <v/>
      </c>
      <c r="D232" s="212" t="n"/>
      <c r="E232" s="75">
        <f>+C232&amp;F232</f>
        <v/>
      </c>
      <c r="F232" s="80" t="n"/>
      <c r="G232" s="81" t="n"/>
      <c r="H232" s="78" t="n"/>
      <c r="I232" s="78" t="n"/>
      <c r="J232" s="78" t="n"/>
    </row>
    <row r="233">
      <c r="A233" s="84">
        <f>ROW()-6</f>
        <v/>
      </c>
      <c r="B233" s="85">
        <f>+MATCH(D233,ARTICULOS!$F$10:$F$699,0)</f>
        <v/>
      </c>
      <c r="C233" s="86">
        <f>+VLOOKUP(B233,ARTICULOS!$D$10:$I$699,6)</f>
        <v/>
      </c>
      <c r="D233" s="212" t="n"/>
      <c r="E233" s="75">
        <f>+C233&amp;F233</f>
        <v/>
      </c>
      <c r="F233" s="80" t="n"/>
      <c r="G233" s="81" t="n"/>
      <c r="H233" s="78" t="n"/>
      <c r="I233" s="78" t="n"/>
      <c r="J233" s="78" t="n"/>
    </row>
    <row r="234">
      <c r="A234" s="84">
        <f>ROW()-6</f>
        <v/>
      </c>
      <c r="B234" s="85">
        <f>+MATCH(D234,ARTICULOS!$F$10:$F$699,0)</f>
        <v/>
      </c>
      <c r="C234" s="86">
        <f>+VLOOKUP(B234,ARTICULOS!$D$10:$I$699,6)</f>
        <v/>
      </c>
      <c r="D234" s="212" t="n"/>
      <c r="E234" s="75">
        <f>+C234&amp;F234</f>
        <v/>
      </c>
      <c r="F234" s="80" t="n"/>
      <c r="G234" s="81" t="n"/>
      <c r="H234" s="78" t="n"/>
      <c r="I234" s="78" t="n"/>
      <c r="J234" s="78" t="n"/>
    </row>
    <row r="235">
      <c r="A235" s="84">
        <f>ROW()-6</f>
        <v/>
      </c>
      <c r="B235" s="85">
        <f>+MATCH(D235,ARTICULOS!$F$10:$F$699,0)</f>
        <v/>
      </c>
      <c r="C235" s="86">
        <f>+VLOOKUP(B235,ARTICULOS!$D$10:$I$699,6)</f>
        <v/>
      </c>
      <c r="D235" s="212" t="n"/>
      <c r="E235" s="75">
        <f>+C235&amp;F235</f>
        <v/>
      </c>
      <c r="F235" s="80" t="n"/>
      <c r="G235" s="81" t="n"/>
      <c r="H235" s="78" t="n"/>
      <c r="I235" s="78" t="n"/>
      <c r="J235" s="78" t="n"/>
    </row>
    <row r="236">
      <c r="A236" s="84">
        <f>ROW()-6</f>
        <v/>
      </c>
      <c r="B236" s="85">
        <f>+MATCH(D236,ARTICULOS!$F$10:$F$699,0)</f>
        <v/>
      </c>
      <c r="C236" s="86">
        <f>+VLOOKUP(B236,ARTICULOS!$D$10:$I$699,6)</f>
        <v/>
      </c>
      <c r="D236" s="212" t="n"/>
      <c r="E236" s="75">
        <f>+C236&amp;F236</f>
        <v/>
      </c>
      <c r="F236" s="80" t="n"/>
      <c r="G236" s="81" t="n"/>
      <c r="H236" s="78" t="n"/>
      <c r="I236" s="78" t="n"/>
      <c r="J236" s="78" t="n"/>
    </row>
    <row r="237">
      <c r="A237" s="84">
        <f>ROW()-6</f>
        <v/>
      </c>
      <c r="B237" s="85">
        <f>+MATCH(D237,ARTICULOS!$F$10:$F$699,0)</f>
        <v/>
      </c>
      <c r="C237" s="86">
        <f>+VLOOKUP(B237,ARTICULOS!$D$10:$I$699,6)</f>
        <v/>
      </c>
      <c r="D237" s="212" t="n"/>
      <c r="E237" s="75">
        <f>+C237&amp;F237</f>
        <v/>
      </c>
      <c r="F237" s="80" t="n"/>
      <c r="G237" s="81" t="n"/>
      <c r="H237" s="78" t="n"/>
      <c r="I237" s="78" t="n"/>
      <c r="J237" s="78" t="n"/>
    </row>
    <row r="238">
      <c r="A238" s="84">
        <f>ROW()-6</f>
        <v/>
      </c>
      <c r="B238" s="85">
        <f>+MATCH(D238,ARTICULOS!$F$10:$F$699,0)</f>
        <v/>
      </c>
      <c r="C238" s="86">
        <f>+VLOOKUP(B238,ARTICULOS!$D$10:$I$699,6)</f>
        <v/>
      </c>
      <c r="D238" s="212" t="n"/>
      <c r="E238" s="75">
        <f>+C238&amp;F238</f>
        <v/>
      </c>
      <c r="F238" s="80" t="n"/>
      <c r="G238" s="81" t="n"/>
      <c r="H238" s="78" t="n"/>
      <c r="I238" s="78" t="n"/>
      <c r="J238" s="78" t="n"/>
    </row>
    <row r="239">
      <c r="A239" s="84">
        <f>ROW()-6</f>
        <v/>
      </c>
      <c r="B239" s="85">
        <f>+MATCH(D239,ARTICULOS!$F$10:$F$699,0)</f>
        <v/>
      </c>
      <c r="C239" s="86">
        <f>+VLOOKUP(B239,ARTICULOS!$D$10:$I$699,6)</f>
        <v/>
      </c>
      <c r="D239" s="212" t="n"/>
      <c r="E239" s="75">
        <f>+C239&amp;F239</f>
        <v/>
      </c>
      <c r="F239" s="80" t="n"/>
      <c r="G239" s="81" t="n"/>
      <c r="H239" s="78" t="n"/>
      <c r="I239" s="78" t="n"/>
      <c r="J239" s="78" t="n"/>
    </row>
    <row r="240">
      <c r="A240" s="84">
        <f>ROW()-6</f>
        <v/>
      </c>
      <c r="B240" s="85">
        <f>+MATCH(D240,ARTICULOS!$F$10:$F$699,0)</f>
        <v/>
      </c>
      <c r="C240" s="86">
        <f>+VLOOKUP(B240,ARTICULOS!$D$10:$I$699,6)</f>
        <v/>
      </c>
      <c r="D240" s="212" t="n"/>
      <c r="E240" s="75">
        <f>+C240&amp;F240</f>
        <v/>
      </c>
      <c r="F240" s="80" t="n"/>
      <c r="G240" s="81" t="n"/>
      <c r="H240" s="78" t="n"/>
      <c r="I240" s="78" t="n"/>
      <c r="J240" s="78" t="n"/>
    </row>
    <row r="241">
      <c r="A241" s="84">
        <f>ROW()-6</f>
        <v/>
      </c>
      <c r="B241" s="85">
        <f>+MATCH(D241,ARTICULOS!$F$10:$F$699,0)</f>
        <v/>
      </c>
      <c r="C241" s="86">
        <f>+VLOOKUP(B241,ARTICULOS!$D$10:$I$699,6)</f>
        <v/>
      </c>
      <c r="D241" s="212" t="n"/>
      <c r="E241" s="75">
        <f>+C241&amp;F241</f>
        <v/>
      </c>
      <c r="F241" s="80" t="n"/>
      <c r="G241" s="81" t="n"/>
      <c r="H241" s="78" t="n"/>
      <c r="I241" s="78" t="n"/>
      <c r="J241" s="78" t="n"/>
    </row>
    <row r="242">
      <c r="A242" s="84">
        <f>ROW()-6</f>
        <v/>
      </c>
      <c r="B242" s="85">
        <f>+MATCH(D242,ARTICULOS!$F$10:$F$699,0)</f>
        <v/>
      </c>
      <c r="C242" s="86">
        <f>+VLOOKUP(B242,ARTICULOS!$D$10:$I$699,6)</f>
        <v/>
      </c>
      <c r="D242" s="212" t="n"/>
      <c r="E242" s="75">
        <f>+C242&amp;F242</f>
        <v/>
      </c>
      <c r="F242" s="80" t="n"/>
      <c r="G242" s="81" t="n"/>
      <c r="H242" s="78" t="n"/>
      <c r="I242" s="78" t="n"/>
      <c r="J242" s="78" t="n"/>
    </row>
    <row r="243">
      <c r="A243" s="84">
        <f>ROW()-6</f>
        <v/>
      </c>
      <c r="B243" s="85">
        <f>+MATCH(D243,ARTICULOS!$F$10:$F$699,0)</f>
        <v/>
      </c>
      <c r="C243" s="86">
        <f>+VLOOKUP(B243,ARTICULOS!$D$10:$I$699,6)</f>
        <v/>
      </c>
      <c r="D243" s="212" t="n"/>
      <c r="E243" s="75">
        <f>+C243&amp;F243</f>
        <v/>
      </c>
      <c r="F243" s="80" t="n"/>
      <c r="G243" s="81" t="n"/>
      <c r="H243" s="78" t="n"/>
      <c r="I243" s="78" t="n"/>
      <c r="J243" s="78" t="n"/>
    </row>
    <row r="244">
      <c r="A244" s="84">
        <f>ROW()-6</f>
        <v/>
      </c>
      <c r="B244" s="85">
        <f>+MATCH(D244,ARTICULOS!$F$10:$F$699,0)</f>
        <v/>
      </c>
      <c r="C244" s="86">
        <f>+VLOOKUP(B244,ARTICULOS!$D$10:$I$699,6)</f>
        <v/>
      </c>
      <c r="D244" s="212" t="n"/>
      <c r="E244" s="75">
        <f>+C244&amp;F244</f>
        <v/>
      </c>
      <c r="F244" s="80" t="n"/>
      <c r="G244" s="81" t="n"/>
      <c r="H244" s="78" t="n"/>
      <c r="I244" s="78" t="n"/>
      <c r="J244" s="78" t="n"/>
    </row>
    <row r="245">
      <c r="A245" s="84">
        <f>ROW()-6</f>
        <v/>
      </c>
      <c r="B245" s="85">
        <f>+MATCH(D245,ARTICULOS!$F$10:$F$699,0)</f>
        <v/>
      </c>
      <c r="C245" s="86">
        <f>+VLOOKUP(B245,ARTICULOS!$D$10:$I$699,6)</f>
        <v/>
      </c>
      <c r="D245" s="212" t="n"/>
      <c r="E245" s="75">
        <f>+C245&amp;F245</f>
        <v/>
      </c>
      <c r="F245" s="80" t="n"/>
      <c r="G245" s="81" t="n"/>
      <c r="H245" s="78" t="n"/>
      <c r="I245" s="78" t="n"/>
      <c r="J245" s="78" t="n"/>
    </row>
    <row r="246">
      <c r="A246" s="84">
        <f>ROW()-6</f>
        <v/>
      </c>
      <c r="B246" s="85">
        <f>+MATCH(D246,ARTICULOS!$F$10:$F$699,0)</f>
        <v/>
      </c>
      <c r="C246" s="86">
        <f>+VLOOKUP(B246,ARTICULOS!$D$10:$I$699,6)</f>
        <v/>
      </c>
      <c r="D246" s="212" t="n"/>
      <c r="E246" s="75">
        <f>+C246&amp;F246</f>
        <v/>
      </c>
      <c r="F246" s="80" t="n"/>
      <c r="G246" s="81" t="n"/>
      <c r="H246" s="78" t="n"/>
      <c r="I246" s="78" t="n"/>
      <c r="J246" s="78" t="n"/>
    </row>
    <row r="247">
      <c r="A247" s="84">
        <f>ROW()-6</f>
        <v/>
      </c>
      <c r="B247" s="85">
        <f>+MATCH(D247,ARTICULOS!$F$10:$F$699,0)</f>
        <v/>
      </c>
      <c r="C247" s="86">
        <f>+VLOOKUP(B247,ARTICULOS!$D$10:$I$699,6)</f>
        <v/>
      </c>
      <c r="D247" s="212" t="n"/>
      <c r="E247" s="75">
        <f>+C247&amp;F247</f>
        <v/>
      </c>
      <c r="F247" s="80" t="n"/>
      <c r="G247" s="81" t="n"/>
      <c r="H247" s="78" t="n"/>
      <c r="I247" s="78" t="n"/>
      <c r="J247" s="78" t="n"/>
    </row>
    <row r="248">
      <c r="A248" s="84">
        <f>ROW()-6</f>
        <v/>
      </c>
      <c r="B248" s="85">
        <f>+MATCH(D248,ARTICULOS!$F$10:$F$699,0)</f>
        <v/>
      </c>
      <c r="C248" s="86">
        <f>+VLOOKUP(B248,ARTICULOS!$D$10:$I$699,6)</f>
        <v/>
      </c>
      <c r="D248" s="212" t="n"/>
      <c r="E248" s="75">
        <f>+C248&amp;F248</f>
        <v/>
      </c>
      <c r="F248" s="80" t="n"/>
      <c r="G248" s="81" t="n"/>
      <c r="H248" s="78" t="n"/>
      <c r="I248" s="78" t="n"/>
      <c r="J248" s="78" t="n"/>
    </row>
    <row r="249">
      <c r="A249" s="84">
        <f>ROW()-6</f>
        <v/>
      </c>
      <c r="B249" s="85">
        <f>+MATCH(D249,ARTICULOS!$F$10:$F$699,0)</f>
        <v/>
      </c>
      <c r="C249" s="86">
        <f>+VLOOKUP(B249,ARTICULOS!$D$10:$I$699,6)</f>
        <v/>
      </c>
      <c r="D249" s="212" t="n"/>
      <c r="E249" s="75">
        <f>+C249&amp;F249</f>
        <v/>
      </c>
      <c r="F249" s="80" t="n"/>
      <c r="G249" s="81" t="n"/>
      <c r="H249" s="78" t="n"/>
      <c r="I249" s="78" t="n"/>
      <c r="J249" s="78" t="n"/>
    </row>
    <row r="250">
      <c r="A250" s="84">
        <f>ROW()-6</f>
        <v/>
      </c>
      <c r="B250" s="85">
        <f>+MATCH(D250,ARTICULOS!$F$10:$F$699,0)</f>
        <v/>
      </c>
      <c r="C250" s="86">
        <f>+VLOOKUP(B250,ARTICULOS!$D$10:$I$699,6)</f>
        <v/>
      </c>
      <c r="D250" s="212" t="n"/>
      <c r="E250" s="75">
        <f>+C250&amp;F250</f>
        <v/>
      </c>
      <c r="F250" s="80" t="n"/>
      <c r="G250" s="81" t="n"/>
      <c r="H250" s="78" t="n"/>
      <c r="I250" s="78" t="n"/>
      <c r="J250" s="78" t="n"/>
    </row>
    <row r="251">
      <c r="A251" s="84">
        <f>ROW()-6</f>
        <v/>
      </c>
      <c r="B251" s="85">
        <f>+MATCH(D251,ARTICULOS!$F$10:$F$699,0)</f>
        <v/>
      </c>
      <c r="C251" s="86">
        <f>+VLOOKUP(B251,ARTICULOS!$D$10:$I$699,6)</f>
        <v/>
      </c>
      <c r="D251" s="212" t="n"/>
      <c r="E251" s="75">
        <f>+C251&amp;F251</f>
        <v/>
      </c>
      <c r="F251" s="80" t="n"/>
      <c r="G251" s="81" t="n"/>
      <c r="H251" s="78" t="n"/>
      <c r="I251" s="78" t="n"/>
      <c r="J251" s="78" t="n"/>
    </row>
    <row r="252">
      <c r="A252" s="84">
        <f>ROW()-6</f>
        <v/>
      </c>
      <c r="B252" s="85">
        <f>+MATCH(D252,ARTICULOS!$F$10:$F$699,0)</f>
        <v/>
      </c>
      <c r="C252" s="86">
        <f>+VLOOKUP(B252,ARTICULOS!$D$10:$I$699,6)</f>
        <v/>
      </c>
      <c r="D252" s="212" t="n"/>
      <c r="E252" s="75">
        <f>+C252&amp;F252</f>
        <v/>
      </c>
      <c r="F252" s="80" t="n"/>
      <c r="G252" s="81" t="n"/>
      <c r="H252" s="78" t="n"/>
      <c r="I252" s="78" t="n"/>
      <c r="J252" s="78" t="n"/>
    </row>
    <row r="253">
      <c r="A253" s="84">
        <f>ROW()-6</f>
        <v/>
      </c>
      <c r="B253" s="85">
        <f>+MATCH(D253,ARTICULOS!$F$10:$F$699,0)</f>
        <v/>
      </c>
      <c r="C253" s="86">
        <f>+VLOOKUP(B253,ARTICULOS!$D$10:$I$699,6)</f>
        <v/>
      </c>
      <c r="D253" s="212" t="n"/>
      <c r="E253" s="75">
        <f>+C253&amp;F253</f>
        <v/>
      </c>
      <c r="F253" s="80" t="n"/>
      <c r="G253" s="81" t="n"/>
      <c r="H253" s="78" t="n"/>
      <c r="I253" s="78" t="n"/>
      <c r="J253" s="78" t="n"/>
    </row>
    <row r="254">
      <c r="A254" s="84">
        <f>ROW()-6</f>
        <v/>
      </c>
      <c r="B254" s="85">
        <f>+MATCH(D254,ARTICULOS!$F$10:$F$699,0)</f>
        <v/>
      </c>
      <c r="C254" s="86">
        <f>+VLOOKUP(B254,ARTICULOS!$D$10:$I$699,6)</f>
        <v/>
      </c>
      <c r="D254" s="212" t="n"/>
      <c r="E254" s="75">
        <f>+C254&amp;F254</f>
        <v/>
      </c>
      <c r="F254" s="80" t="n"/>
      <c r="G254" s="81" t="n"/>
      <c r="H254" s="78" t="n"/>
      <c r="I254" s="78" t="n"/>
      <c r="J254" s="78" t="n"/>
    </row>
    <row r="255">
      <c r="A255" s="84">
        <f>ROW()-6</f>
        <v/>
      </c>
      <c r="B255" s="85">
        <f>+MATCH(D255,ARTICULOS!$F$10:$F$699,0)</f>
        <v/>
      </c>
      <c r="C255" s="86">
        <f>+VLOOKUP(B255,ARTICULOS!$D$10:$I$699,6)</f>
        <v/>
      </c>
      <c r="D255" s="212" t="n"/>
      <c r="E255" s="75">
        <f>+C255&amp;F255</f>
        <v/>
      </c>
      <c r="F255" s="80" t="n"/>
      <c r="G255" s="81" t="n"/>
      <c r="H255" s="78" t="n"/>
      <c r="I255" s="78" t="n"/>
      <c r="J255" s="78" t="n"/>
    </row>
    <row r="256">
      <c r="A256" s="84">
        <f>ROW()-6</f>
        <v/>
      </c>
      <c r="B256" s="85">
        <f>+MATCH(D256,ARTICULOS!$F$10:$F$699,0)</f>
        <v/>
      </c>
      <c r="C256" s="86">
        <f>+VLOOKUP(B256,ARTICULOS!$D$10:$I$699,6)</f>
        <v/>
      </c>
      <c r="D256" s="212" t="n"/>
      <c r="E256" s="75">
        <f>+C256&amp;F256</f>
        <v/>
      </c>
      <c r="F256" s="80" t="n"/>
      <c r="G256" s="81" t="n"/>
      <c r="H256" s="78" t="n"/>
      <c r="I256" s="78" t="n"/>
      <c r="J256" s="78" t="n"/>
    </row>
    <row r="257">
      <c r="A257" s="84">
        <f>ROW()-6</f>
        <v/>
      </c>
      <c r="B257" s="85">
        <f>+MATCH(D257,ARTICULOS!$F$10:$F$699,0)</f>
        <v/>
      </c>
      <c r="C257" s="86">
        <f>+VLOOKUP(B257,ARTICULOS!$D$10:$I$699,6)</f>
        <v/>
      </c>
      <c r="D257" s="212" t="n"/>
      <c r="E257" s="75">
        <f>+C257&amp;F257</f>
        <v/>
      </c>
      <c r="F257" s="80" t="n"/>
      <c r="G257" s="81" t="n"/>
      <c r="H257" s="78" t="n"/>
      <c r="I257" s="78" t="n"/>
      <c r="J257" s="78" t="n"/>
    </row>
    <row r="258">
      <c r="A258" s="84">
        <f>ROW()-6</f>
        <v/>
      </c>
      <c r="B258" s="85">
        <f>+MATCH(D258,ARTICULOS!$F$10:$F$699,0)</f>
        <v/>
      </c>
      <c r="C258" s="86">
        <f>+VLOOKUP(B258,ARTICULOS!$D$10:$I$699,6)</f>
        <v/>
      </c>
      <c r="D258" s="212" t="n"/>
      <c r="E258" s="75">
        <f>+C258&amp;F258</f>
        <v/>
      </c>
      <c r="F258" s="80" t="n"/>
      <c r="G258" s="81" t="n"/>
      <c r="H258" s="78" t="n"/>
      <c r="I258" s="78" t="n"/>
      <c r="J258" s="78" t="n"/>
    </row>
    <row r="259">
      <c r="A259" s="84">
        <f>ROW()-6</f>
        <v/>
      </c>
      <c r="B259" s="85">
        <f>+MATCH(D259,ARTICULOS!$F$10:$F$699,0)</f>
        <v/>
      </c>
      <c r="C259" s="86">
        <f>+VLOOKUP(B259,ARTICULOS!$D$10:$I$699,6)</f>
        <v/>
      </c>
      <c r="D259" s="212" t="n"/>
      <c r="E259" s="75">
        <f>+C259&amp;F259</f>
        <v/>
      </c>
      <c r="F259" s="80" t="n"/>
      <c r="G259" s="81" t="n"/>
      <c r="H259" s="78" t="n"/>
      <c r="I259" s="78" t="n"/>
      <c r="J259" s="78" t="n"/>
    </row>
    <row r="260">
      <c r="A260" s="84">
        <f>ROW()-6</f>
        <v/>
      </c>
      <c r="B260" s="85">
        <f>+MATCH(D260,ARTICULOS!$F$10:$F$699,0)</f>
        <v/>
      </c>
      <c r="C260" s="86">
        <f>+VLOOKUP(B260,ARTICULOS!$D$10:$I$699,6)</f>
        <v/>
      </c>
      <c r="D260" s="212" t="n"/>
      <c r="E260" s="75">
        <f>+C260&amp;F260</f>
        <v/>
      </c>
      <c r="F260" s="80" t="n"/>
      <c r="G260" s="81" t="n"/>
      <c r="H260" s="78" t="n"/>
      <c r="I260" s="78" t="n"/>
      <c r="J260" s="78" t="n"/>
    </row>
    <row r="261">
      <c r="A261" s="84">
        <f>ROW()-6</f>
        <v/>
      </c>
      <c r="B261" s="85">
        <f>+MATCH(D261,ARTICULOS!$F$10:$F$699,0)</f>
        <v/>
      </c>
      <c r="C261" s="86">
        <f>+VLOOKUP(B261,ARTICULOS!$D$10:$I$699,6)</f>
        <v/>
      </c>
      <c r="D261" s="212" t="n"/>
      <c r="E261" s="75">
        <f>+C261&amp;F261</f>
        <v/>
      </c>
      <c r="F261" s="80" t="n"/>
      <c r="G261" s="81" t="n"/>
      <c r="H261" s="78" t="n"/>
      <c r="I261" s="78" t="n"/>
      <c r="J261" s="78" t="n"/>
    </row>
    <row r="262">
      <c r="A262" s="84">
        <f>ROW()-6</f>
        <v/>
      </c>
      <c r="B262" s="85">
        <f>+MATCH(D262,ARTICULOS!$F$10:$F$699,0)</f>
        <v/>
      </c>
      <c r="C262" s="86">
        <f>+VLOOKUP(B262,ARTICULOS!$D$10:$I$699,6)</f>
        <v/>
      </c>
      <c r="D262" s="212" t="n"/>
      <c r="E262" s="75">
        <f>+C262&amp;F262</f>
        <v/>
      </c>
      <c r="F262" s="80" t="n"/>
      <c r="G262" s="81" t="n"/>
      <c r="H262" s="78" t="n"/>
      <c r="I262" s="78" t="n"/>
      <c r="J262" s="78" t="n"/>
    </row>
    <row r="263">
      <c r="A263" s="84">
        <f>ROW()-6</f>
        <v/>
      </c>
      <c r="B263" s="85">
        <f>+MATCH(D263,ARTICULOS!$F$10:$F$699,0)</f>
        <v/>
      </c>
      <c r="C263" s="86">
        <f>+VLOOKUP(B263,ARTICULOS!$D$10:$I$699,6)</f>
        <v/>
      </c>
      <c r="D263" s="212" t="n"/>
      <c r="E263" s="75">
        <f>+C263&amp;F263</f>
        <v/>
      </c>
      <c r="F263" s="80" t="n"/>
      <c r="G263" s="81" t="n"/>
      <c r="H263" s="78" t="n"/>
      <c r="I263" s="78" t="n"/>
      <c r="J263" s="78" t="n"/>
    </row>
    <row r="264">
      <c r="A264" s="84">
        <f>ROW()-6</f>
        <v/>
      </c>
      <c r="B264" s="85">
        <f>+MATCH(D264,ARTICULOS!$F$10:$F$699,0)</f>
        <v/>
      </c>
      <c r="C264" s="86">
        <f>+VLOOKUP(B264,ARTICULOS!$D$10:$I$699,6)</f>
        <v/>
      </c>
      <c r="D264" s="212" t="n"/>
      <c r="E264" s="75">
        <f>+C264&amp;F264</f>
        <v/>
      </c>
      <c r="F264" s="80" t="n"/>
      <c r="G264" s="81" t="n"/>
      <c r="H264" s="78" t="n"/>
      <c r="I264" s="78" t="n"/>
      <c r="J264" s="78" t="n"/>
    </row>
    <row r="265">
      <c r="A265" s="84">
        <f>ROW()-6</f>
        <v/>
      </c>
      <c r="B265" s="85">
        <f>+MATCH(D265,ARTICULOS!$F$10:$F$699,0)</f>
        <v/>
      </c>
      <c r="C265" s="86">
        <f>+VLOOKUP(B265,ARTICULOS!$D$10:$I$699,6)</f>
        <v/>
      </c>
      <c r="D265" s="212" t="n"/>
      <c r="E265" s="75">
        <f>+C265&amp;F265</f>
        <v/>
      </c>
      <c r="F265" s="80" t="n"/>
      <c r="G265" s="81" t="n"/>
      <c r="H265" s="78" t="n"/>
      <c r="I265" s="78" t="n"/>
      <c r="J265" s="78" t="n"/>
    </row>
    <row r="266">
      <c r="A266" s="84">
        <f>ROW()-6</f>
        <v/>
      </c>
      <c r="B266" s="85">
        <f>+MATCH(D266,ARTICULOS!$F$10:$F$699,0)</f>
        <v/>
      </c>
      <c r="C266" s="86">
        <f>+VLOOKUP(B266,ARTICULOS!$D$10:$I$699,6)</f>
        <v/>
      </c>
      <c r="D266" s="212" t="n"/>
      <c r="E266" s="75">
        <f>+C266&amp;F266</f>
        <v/>
      </c>
      <c r="F266" s="80" t="n"/>
      <c r="G266" s="81" t="n"/>
      <c r="H266" s="78" t="n"/>
      <c r="I266" s="78" t="n"/>
      <c r="J266" s="78" t="n"/>
    </row>
    <row r="267">
      <c r="A267" s="84">
        <f>ROW()-6</f>
        <v/>
      </c>
      <c r="B267" s="85">
        <f>+MATCH(D267,ARTICULOS!$F$10:$F$699,0)</f>
        <v/>
      </c>
      <c r="C267" s="86">
        <f>+VLOOKUP(B267,ARTICULOS!$D$10:$I$699,6)</f>
        <v/>
      </c>
      <c r="D267" s="212" t="n"/>
      <c r="E267" s="75">
        <f>+C267&amp;F267</f>
        <v/>
      </c>
      <c r="F267" s="80" t="n"/>
      <c r="G267" s="81" t="n"/>
      <c r="H267" s="78" t="n"/>
      <c r="I267" s="78" t="n"/>
      <c r="J267" s="78" t="n"/>
    </row>
    <row r="268">
      <c r="A268" s="84">
        <f>ROW()-6</f>
        <v/>
      </c>
      <c r="B268" s="85">
        <f>+MATCH(D268,ARTICULOS!$F$10:$F$699,0)</f>
        <v/>
      </c>
      <c r="C268" s="86">
        <f>+VLOOKUP(B268,ARTICULOS!$D$10:$I$699,6)</f>
        <v/>
      </c>
      <c r="D268" s="212" t="n"/>
      <c r="E268" s="75">
        <f>+C268&amp;F268</f>
        <v/>
      </c>
      <c r="F268" s="80" t="n"/>
      <c r="G268" s="81" t="n"/>
      <c r="H268" s="78" t="n"/>
      <c r="I268" s="78" t="n"/>
      <c r="J268" s="78" t="n"/>
    </row>
    <row r="269">
      <c r="A269" s="84">
        <f>ROW()-6</f>
        <v/>
      </c>
      <c r="B269" s="85">
        <f>+MATCH(D269,ARTICULOS!$F$10:$F$699,0)</f>
        <v/>
      </c>
      <c r="C269" s="86">
        <f>+VLOOKUP(B269,ARTICULOS!$D$10:$I$699,6)</f>
        <v/>
      </c>
      <c r="D269" s="212" t="n"/>
      <c r="E269" s="75">
        <f>+C269&amp;F269</f>
        <v/>
      </c>
      <c r="F269" s="80" t="n"/>
      <c r="G269" s="81" t="n"/>
      <c r="H269" s="78" t="n"/>
      <c r="I269" s="78" t="n"/>
      <c r="J269" s="78" t="n"/>
    </row>
    <row r="270">
      <c r="A270" s="84">
        <f>ROW()-6</f>
        <v/>
      </c>
      <c r="B270" s="85">
        <f>+MATCH(D270,ARTICULOS!$F$10:$F$699,0)</f>
        <v/>
      </c>
      <c r="C270" s="86">
        <f>+VLOOKUP(B270,ARTICULOS!$D$10:$I$699,6)</f>
        <v/>
      </c>
      <c r="D270" s="212" t="n"/>
      <c r="E270" s="75">
        <f>+C270&amp;F270</f>
        <v/>
      </c>
      <c r="F270" s="80" t="n"/>
      <c r="G270" s="81" t="n"/>
      <c r="H270" s="78" t="n"/>
      <c r="I270" s="78" t="n"/>
      <c r="J270" s="78" t="n"/>
    </row>
    <row r="271">
      <c r="A271" s="84">
        <f>ROW()-6</f>
        <v/>
      </c>
      <c r="B271" s="85">
        <f>+MATCH(D271,ARTICULOS!$F$10:$F$699,0)</f>
        <v/>
      </c>
      <c r="C271" s="86">
        <f>+VLOOKUP(B271,ARTICULOS!$D$10:$I$699,6)</f>
        <v/>
      </c>
      <c r="D271" s="212" t="n"/>
      <c r="E271" s="75">
        <f>+C271&amp;F271</f>
        <v/>
      </c>
      <c r="F271" s="80" t="n"/>
      <c r="G271" s="81" t="n"/>
      <c r="H271" s="78" t="n"/>
      <c r="I271" s="78" t="n"/>
      <c r="J271" s="78" t="n"/>
    </row>
    <row r="272">
      <c r="A272" s="84">
        <f>ROW()-6</f>
        <v/>
      </c>
      <c r="B272" s="85">
        <f>+MATCH(D272,ARTICULOS!$F$10:$F$699,0)</f>
        <v/>
      </c>
      <c r="C272" s="86">
        <f>+VLOOKUP(B272,ARTICULOS!$D$10:$I$699,6)</f>
        <v/>
      </c>
      <c r="D272" s="212" t="n"/>
      <c r="E272" s="75">
        <f>+C272&amp;F272</f>
        <v/>
      </c>
      <c r="F272" s="80" t="n"/>
      <c r="G272" s="81" t="n"/>
      <c r="H272" s="78" t="n"/>
      <c r="I272" s="78" t="n"/>
      <c r="J272" s="78" t="n"/>
    </row>
    <row r="273">
      <c r="A273" s="84">
        <f>ROW()-6</f>
        <v/>
      </c>
      <c r="B273" s="85">
        <f>+MATCH(D273,ARTICULOS!$F$10:$F$699,0)</f>
        <v/>
      </c>
      <c r="C273" s="86">
        <f>+VLOOKUP(B273,ARTICULOS!$D$10:$I$699,6)</f>
        <v/>
      </c>
      <c r="D273" s="212" t="n"/>
      <c r="E273" s="75">
        <f>+C273&amp;F273</f>
        <v/>
      </c>
      <c r="F273" s="80" t="n"/>
      <c r="G273" s="81" t="n"/>
      <c r="H273" s="78" t="n"/>
      <c r="I273" s="78" t="n"/>
      <c r="J273" s="78" t="n"/>
    </row>
    <row r="274">
      <c r="A274" s="84">
        <f>ROW()-6</f>
        <v/>
      </c>
      <c r="B274" s="85">
        <f>+MATCH(D274,ARTICULOS!$F$10:$F$699,0)</f>
        <v/>
      </c>
      <c r="C274" s="86">
        <f>+VLOOKUP(B274,ARTICULOS!$D$10:$I$699,6)</f>
        <v/>
      </c>
      <c r="D274" s="212" t="n"/>
      <c r="E274" s="75">
        <f>+C274&amp;F274</f>
        <v/>
      </c>
      <c r="F274" s="80" t="n"/>
      <c r="G274" s="81" t="n"/>
      <c r="H274" s="78" t="n"/>
      <c r="I274" s="78" t="n"/>
      <c r="J274" s="78" t="n"/>
    </row>
    <row r="275">
      <c r="A275" s="84">
        <f>ROW()-6</f>
        <v/>
      </c>
      <c r="B275" s="85">
        <f>+MATCH(D275,ARTICULOS!$F$10:$F$699,0)</f>
        <v/>
      </c>
      <c r="C275" s="86">
        <f>+VLOOKUP(B275,ARTICULOS!$D$10:$I$699,6)</f>
        <v/>
      </c>
      <c r="D275" s="212" t="n"/>
      <c r="E275" s="75">
        <f>+C275&amp;F275</f>
        <v/>
      </c>
      <c r="F275" s="80" t="n"/>
      <c r="G275" s="81" t="n"/>
      <c r="H275" s="78" t="n"/>
      <c r="I275" s="78" t="n"/>
      <c r="J275" s="78" t="n"/>
    </row>
    <row r="276">
      <c r="A276" s="84">
        <f>ROW()-6</f>
        <v/>
      </c>
      <c r="B276" s="85">
        <f>+MATCH(D276,ARTICULOS!$F$10:$F$699,0)</f>
        <v/>
      </c>
      <c r="C276" s="86">
        <f>+VLOOKUP(B276,ARTICULOS!$D$10:$I$699,6)</f>
        <v/>
      </c>
      <c r="D276" s="212" t="n"/>
      <c r="E276" s="75">
        <f>+C276&amp;F276</f>
        <v/>
      </c>
      <c r="F276" s="80" t="n"/>
      <c r="G276" s="81" t="n"/>
      <c r="H276" s="78" t="n"/>
      <c r="I276" s="78" t="n"/>
      <c r="J276" s="78" t="n"/>
    </row>
    <row r="277">
      <c r="A277" s="84">
        <f>ROW()-6</f>
        <v/>
      </c>
      <c r="B277" s="85">
        <f>+MATCH(D277,ARTICULOS!$F$10:$F$699,0)</f>
        <v/>
      </c>
      <c r="C277" s="86">
        <f>+VLOOKUP(B277,ARTICULOS!$D$10:$I$699,6)</f>
        <v/>
      </c>
      <c r="D277" s="212" t="n"/>
      <c r="E277" s="75">
        <f>+C277&amp;F277</f>
        <v/>
      </c>
      <c r="F277" s="80" t="n"/>
      <c r="G277" s="81" t="n"/>
      <c r="H277" s="78" t="n"/>
      <c r="I277" s="78" t="n"/>
      <c r="J277" s="78" t="n"/>
    </row>
    <row r="278">
      <c r="A278" s="84">
        <f>ROW()-6</f>
        <v/>
      </c>
      <c r="B278" s="85">
        <f>+MATCH(D278,ARTICULOS!$F$10:$F$699,0)</f>
        <v/>
      </c>
      <c r="C278" s="86">
        <f>+VLOOKUP(B278,ARTICULOS!$D$10:$I$699,6)</f>
        <v/>
      </c>
      <c r="D278" s="212" t="n"/>
      <c r="E278" s="75">
        <f>+C278&amp;F278</f>
        <v/>
      </c>
      <c r="F278" s="80" t="n"/>
      <c r="G278" s="81" t="n"/>
      <c r="H278" s="78" t="n"/>
      <c r="I278" s="78" t="n"/>
      <c r="J278" s="78" t="n"/>
    </row>
    <row r="279">
      <c r="A279" s="84">
        <f>ROW()-6</f>
        <v/>
      </c>
      <c r="B279" s="85">
        <f>+MATCH(D279,ARTICULOS!$F$10:$F$699,0)</f>
        <v/>
      </c>
      <c r="C279" s="86">
        <f>+VLOOKUP(B279,ARTICULOS!$D$10:$I$699,6)</f>
        <v/>
      </c>
      <c r="D279" s="212" t="n"/>
      <c r="E279" s="75">
        <f>+C279&amp;F279</f>
        <v/>
      </c>
      <c r="F279" s="80" t="n"/>
      <c r="G279" s="81" t="n"/>
      <c r="H279" s="78" t="n"/>
      <c r="I279" s="78" t="n"/>
      <c r="J279" s="78" t="n"/>
    </row>
    <row r="280">
      <c r="A280" s="84">
        <f>ROW()-6</f>
        <v/>
      </c>
      <c r="B280" s="85">
        <f>+MATCH(D280,ARTICULOS!$F$10:$F$699,0)</f>
        <v/>
      </c>
      <c r="C280" s="86">
        <f>+VLOOKUP(B280,ARTICULOS!$D$10:$I$699,6)</f>
        <v/>
      </c>
      <c r="D280" s="212" t="n"/>
      <c r="E280" s="75">
        <f>+C280&amp;F280</f>
        <v/>
      </c>
      <c r="F280" s="80" t="n"/>
      <c r="G280" s="81" t="n"/>
      <c r="H280" s="78" t="n"/>
      <c r="I280" s="78" t="n"/>
      <c r="J280" s="78" t="n"/>
    </row>
    <row r="281">
      <c r="A281" s="84">
        <f>ROW()-6</f>
        <v/>
      </c>
      <c r="B281" s="85">
        <f>+MATCH(D281,ARTICULOS!$F$10:$F$699,0)</f>
        <v/>
      </c>
      <c r="C281" s="86">
        <f>+VLOOKUP(B281,ARTICULOS!$D$10:$I$699,6)</f>
        <v/>
      </c>
      <c r="D281" s="212" t="n"/>
      <c r="E281" s="75">
        <f>+C281&amp;F281</f>
        <v/>
      </c>
      <c r="F281" s="80" t="n"/>
      <c r="G281" s="81" t="n"/>
      <c r="H281" s="78" t="n"/>
      <c r="I281" s="78" t="n"/>
      <c r="J281" s="78" t="n"/>
    </row>
    <row r="282">
      <c r="A282" s="84">
        <f>ROW()-6</f>
        <v/>
      </c>
      <c r="B282" s="85">
        <f>+MATCH(D282,ARTICULOS!$F$10:$F$699,0)</f>
        <v/>
      </c>
      <c r="C282" s="86">
        <f>+VLOOKUP(B282,ARTICULOS!$D$10:$I$699,6)</f>
        <v/>
      </c>
      <c r="D282" s="212" t="n"/>
      <c r="E282" s="75">
        <f>+C282&amp;F282</f>
        <v/>
      </c>
      <c r="F282" s="80" t="n"/>
      <c r="G282" s="81" t="n"/>
      <c r="H282" s="78" t="n"/>
      <c r="I282" s="78" t="n"/>
      <c r="J282" s="78" t="n"/>
    </row>
    <row r="283">
      <c r="A283" s="84">
        <f>ROW()-6</f>
        <v/>
      </c>
      <c r="B283" s="85">
        <f>+MATCH(D283,ARTICULOS!$F$10:$F$699,0)</f>
        <v/>
      </c>
      <c r="C283" s="86">
        <f>+VLOOKUP(B283,ARTICULOS!$D$10:$I$699,6)</f>
        <v/>
      </c>
      <c r="D283" s="212" t="n"/>
      <c r="E283" s="75">
        <f>+C283&amp;F283</f>
        <v/>
      </c>
      <c r="F283" s="80" t="n"/>
      <c r="G283" s="81" t="n"/>
      <c r="H283" s="78" t="n"/>
      <c r="I283" s="78" t="n"/>
      <c r="J283" s="78" t="n"/>
    </row>
    <row r="284">
      <c r="A284" s="84">
        <f>ROW()-6</f>
        <v/>
      </c>
      <c r="B284" s="85">
        <f>+MATCH(D284,ARTICULOS!$F$10:$F$699,0)</f>
        <v/>
      </c>
      <c r="C284" s="86">
        <f>+VLOOKUP(B284,ARTICULOS!$D$10:$I$699,6)</f>
        <v/>
      </c>
      <c r="D284" s="212" t="n"/>
      <c r="E284" s="75">
        <f>+C284&amp;F284</f>
        <v/>
      </c>
      <c r="F284" s="80" t="n"/>
      <c r="G284" s="81" t="n"/>
      <c r="H284" s="78" t="n"/>
      <c r="I284" s="78" t="n"/>
      <c r="J284" s="78" t="n"/>
    </row>
    <row r="285">
      <c r="A285" s="84">
        <f>ROW()-6</f>
        <v/>
      </c>
      <c r="B285" s="85">
        <f>+MATCH(D285,ARTICULOS!$F$10:$F$699,0)</f>
        <v/>
      </c>
      <c r="C285" s="86">
        <f>+VLOOKUP(B285,ARTICULOS!$D$10:$I$699,6)</f>
        <v/>
      </c>
      <c r="D285" s="212" t="n"/>
      <c r="E285" s="75">
        <f>+C285&amp;F285</f>
        <v/>
      </c>
      <c r="F285" s="80" t="n"/>
      <c r="G285" s="81" t="n"/>
      <c r="H285" s="78" t="n"/>
      <c r="I285" s="78" t="n"/>
      <c r="J285" s="78" t="n"/>
    </row>
    <row r="286">
      <c r="A286" s="84">
        <f>ROW()-6</f>
        <v/>
      </c>
      <c r="B286" s="85">
        <f>+MATCH(D286,ARTICULOS!$F$10:$F$699,0)</f>
        <v/>
      </c>
      <c r="C286" s="86">
        <f>+VLOOKUP(B286,ARTICULOS!$D$10:$I$699,6)</f>
        <v/>
      </c>
      <c r="D286" s="212" t="n"/>
      <c r="E286" s="75">
        <f>+C286&amp;F286</f>
        <v/>
      </c>
      <c r="F286" s="80" t="n"/>
      <c r="G286" s="81" t="n"/>
      <c r="H286" s="78" t="n"/>
      <c r="I286" s="78" t="n"/>
      <c r="J286" s="78" t="n"/>
    </row>
    <row r="287">
      <c r="A287" s="84">
        <f>ROW()-6</f>
        <v/>
      </c>
      <c r="B287" s="85">
        <f>+MATCH(D287,ARTICULOS!$F$10:$F$699,0)</f>
        <v/>
      </c>
      <c r="C287" s="86">
        <f>+VLOOKUP(B287,ARTICULOS!$D$10:$I$699,6)</f>
        <v/>
      </c>
      <c r="D287" s="212" t="n"/>
      <c r="E287" s="75">
        <f>+C287&amp;F287</f>
        <v/>
      </c>
      <c r="F287" s="80" t="n"/>
      <c r="G287" s="81" t="n"/>
      <c r="H287" s="78" t="n"/>
      <c r="I287" s="78" t="n"/>
      <c r="J287" s="78" t="n"/>
    </row>
    <row r="288">
      <c r="A288" s="84">
        <f>ROW()-6</f>
        <v/>
      </c>
      <c r="B288" s="85">
        <f>+MATCH(D288,ARTICULOS!$F$10:$F$699,0)</f>
        <v/>
      </c>
      <c r="C288" s="86">
        <f>+VLOOKUP(B288,ARTICULOS!$D$10:$I$699,6)</f>
        <v/>
      </c>
      <c r="D288" s="212" t="n"/>
      <c r="E288" s="75">
        <f>+C288&amp;F288</f>
        <v/>
      </c>
      <c r="F288" s="80" t="n"/>
      <c r="G288" s="81" t="n"/>
      <c r="H288" s="78" t="n"/>
      <c r="I288" s="78" t="n"/>
      <c r="J288" s="78" t="n"/>
    </row>
    <row r="289">
      <c r="A289" s="84">
        <f>ROW()-6</f>
        <v/>
      </c>
      <c r="B289" s="85">
        <f>+MATCH(D289,ARTICULOS!$F$10:$F$699,0)</f>
        <v/>
      </c>
      <c r="C289" s="86">
        <f>+VLOOKUP(B289,ARTICULOS!$D$10:$I$699,6)</f>
        <v/>
      </c>
      <c r="D289" s="212" t="n"/>
      <c r="E289" s="75">
        <f>+C289&amp;F289</f>
        <v/>
      </c>
      <c r="F289" s="80" t="n"/>
      <c r="G289" s="81" t="n"/>
      <c r="H289" s="78" t="n"/>
      <c r="I289" s="78" t="n"/>
      <c r="J289" s="78" t="n"/>
    </row>
    <row r="290">
      <c r="A290" s="84">
        <f>ROW()-6</f>
        <v/>
      </c>
      <c r="B290" s="85">
        <f>+MATCH(D290,ARTICULOS!$F$10:$F$699,0)</f>
        <v/>
      </c>
      <c r="C290" s="86">
        <f>+VLOOKUP(B290,ARTICULOS!$D$10:$I$699,6)</f>
        <v/>
      </c>
      <c r="D290" s="212" t="n"/>
      <c r="E290" s="75">
        <f>+C290&amp;F290</f>
        <v/>
      </c>
      <c r="F290" s="80" t="n"/>
      <c r="G290" s="81" t="n"/>
      <c r="H290" s="78" t="n"/>
      <c r="I290" s="78" t="n"/>
      <c r="J290" s="78" t="n"/>
    </row>
    <row r="291">
      <c r="A291" s="84">
        <f>ROW()-6</f>
        <v/>
      </c>
      <c r="B291" s="85">
        <f>+MATCH(D291,ARTICULOS!$F$10:$F$699,0)</f>
        <v/>
      </c>
      <c r="C291" s="86">
        <f>+VLOOKUP(B291,ARTICULOS!$D$10:$I$699,6)</f>
        <v/>
      </c>
      <c r="D291" s="212" t="n"/>
      <c r="E291" s="75">
        <f>+C291&amp;F291</f>
        <v/>
      </c>
      <c r="F291" s="80" t="n"/>
      <c r="G291" s="81" t="n"/>
      <c r="H291" s="78" t="n"/>
      <c r="I291" s="78" t="n"/>
      <c r="J291" s="78" t="n"/>
    </row>
    <row r="292">
      <c r="A292" s="84">
        <f>ROW()-6</f>
        <v/>
      </c>
      <c r="B292" s="85">
        <f>+MATCH(D292,ARTICULOS!$F$10:$F$699,0)</f>
        <v/>
      </c>
      <c r="C292" s="86">
        <f>+VLOOKUP(B292,ARTICULOS!$D$10:$I$699,6)</f>
        <v/>
      </c>
      <c r="D292" s="212" t="n"/>
      <c r="E292" s="75">
        <f>+C292&amp;F292</f>
        <v/>
      </c>
      <c r="F292" s="80" t="n"/>
      <c r="G292" s="81" t="n"/>
      <c r="H292" s="78" t="n"/>
      <c r="I292" s="78" t="n"/>
      <c r="J292" s="78" t="n"/>
    </row>
    <row r="293">
      <c r="A293" s="84">
        <f>ROW()-6</f>
        <v/>
      </c>
      <c r="B293" s="85">
        <f>+MATCH(D293,ARTICULOS!$F$10:$F$699,0)</f>
        <v/>
      </c>
      <c r="C293" s="86">
        <f>+VLOOKUP(B293,ARTICULOS!$D$10:$I$699,6)</f>
        <v/>
      </c>
      <c r="D293" s="212" t="n"/>
      <c r="E293" s="75">
        <f>+C293&amp;F293</f>
        <v/>
      </c>
      <c r="F293" s="80" t="n"/>
      <c r="G293" s="81" t="n"/>
      <c r="H293" s="78" t="n"/>
      <c r="I293" s="78" t="n"/>
      <c r="J293" s="78" t="n"/>
    </row>
    <row r="294">
      <c r="A294" s="84">
        <f>ROW()-6</f>
        <v/>
      </c>
      <c r="B294" s="85">
        <f>+MATCH(D294,ARTICULOS!$F$10:$F$699,0)</f>
        <v/>
      </c>
      <c r="C294" s="86">
        <f>+VLOOKUP(B294,ARTICULOS!$D$10:$I$699,6)</f>
        <v/>
      </c>
      <c r="D294" s="212" t="n"/>
      <c r="E294" s="75">
        <f>+C294&amp;F294</f>
        <v/>
      </c>
      <c r="F294" s="80" t="n"/>
      <c r="G294" s="81" t="n"/>
      <c r="H294" s="78" t="n"/>
      <c r="I294" s="78" t="n"/>
      <c r="J294" s="78" t="n"/>
    </row>
    <row r="295">
      <c r="A295" s="84">
        <f>ROW()-6</f>
        <v/>
      </c>
      <c r="B295" s="85">
        <f>+MATCH(D295,ARTICULOS!$F$10:$F$699,0)</f>
        <v/>
      </c>
      <c r="C295" s="86">
        <f>+VLOOKUP(B295,ARTICULOS!$D$10:$I$699,6)</f>
        <v/>
      </c>
      <c r="D295" s="212" t="n"/>
      <c r="E295" s="75">
        <f>+C295&amp;F295</f>
        <v/>
      </c>
      <c r="F295" s="80" t="n"/>
      <c r="G295" s="81" t="n"/>
      <c r="H295" s="78" t="n"/>
      <c r="I295" s="78" t="n"/>
      <c r="J295" s="78" t="n"/>
    </row>
    <row r="296">
      <c r="A296" s="84">
        <f>ROW()-6</f>
        <v/>
      </c>
      <c r="B296" s="85">
        <f>+MATCH(D296,ARTICULOS!$F$10:$F$699,0)</f>
        <v/>
      </c>
      <c r="C296" s="86">
        <f>+VLOOKUP(B296,ARTICULOS!$D$10:$I$699,6)</f>
        <v/>
      </c>
      <c r="D296" s="212" t="n"/>
      <c r="E296" s="75">
        <f>+C296&amp;F296</f>
        <v/>
      </c>
      <c r="F296" s="80" t="n"/>
      <c r="G296" s="81" t="n"/>
      <c r="H296" s="78" t="n"/>
      <c r="I296" s="78" t="n"/>
      <c r="J296" s="78" t="n"/>
    </row>
    <row r="297">
      <c r="A297" s="84">
        <f>ROW()-6</f>
        <v/>
      </c>
      <c r="B297" s="85">
        <f>+MATCH(D297,ARTICULOS!$F$10:$F$699,0)</f>
        <v/>
      </c>
      <c r="C297" s="86">
        <f>+VLOOKUP(B297,ARTICULOS!$D$10:$I$699,6)</f>
        <v/>
      </c>
      <c r="D297" s="212" t="n"/>
      <c r="E297" s="75">
        <f>+C297&amp;F297</f>
        <v/>
      </c>
      <c r="F297" s="80" t="n"/>
      <c r="G297" s="81" t="n"/>
      <c r="H297" s="78" t="n"/>
      <c r="I297" s="78" t="n"/>
      <c r="J297" s="78" t="n"/>
    </row>
    <row r="298">
      <c r="A298" s="84">
        <f>ROW()-6</f>
        <v/>
      </c>
      <c r="B298" s="85">
        <f>+MATCH(D298,ARTICULOS!$F$10:$F$699,0)</f>
        <v/>
      </c>
      <c r="C298" s="86">
        <f>+VLOOKUP(B298,ARTICULOS!$D$10:$I$699,6)</f>
        <v/>
      </c>
      <c r="D298" s="212" t="n"/>
      <c r="E298" s="75">
        <f>+C298&amp;F298</f>
        <v/>
      </c>
      <c r="F298" s="80" t="n"/>
      <c r="G298" s="81" t="n"/>
      <c r="H298" s="78" t="n"/>
      <c r="I298" s="78" t="n"/>
      <c r="J298" s="78" t="n"/>
    </row>
    <row r="299">
      <c r="A299" s="84">
        <f>ROW()-6</f>
        <v/>
      </c>
      <c r="B299" s="85">
        <f>+MATCH(D299,ARTICULOS!$F$10:$F$699,0)</f>
        <v/>
      </c>
      <c r="C299" s="86">
        <f>+VLOOKUP(B299,ARTICULOS!$D$10:$I$699,6)</f>
        <v/>
      </c>
      <c r="D299" s="212" t="n"/>
      <c r="E299" s="75">
        <f>+C299&amp;F299</f>
        <v/>
      </c>
      <c r="F299" s="80" t="n"/>
      <c r="G299" s="81" t="n"/>
      <c r="H299" s="78" t="n"/>
      <c r="I299" s="78" t="n"/>
      <c r="J299" s="78" t="n"/>
    </row>
    <row r="300">
      <c r="A300" s="84">
        <f>ROW()-6</f>
        <v/>
      </c>
      <c r="B300" s="85">
        <f>+MATCH(D300,ARTICULOS!$F$10:$F$699,0)</f>
        <v/>
      </c>
      <c r="C300" s="86">
        <f>+VLOOKUP(B300,ARTICULOS!$D$10:$I$699,6)</f>
        <v/>
      </c>
      <c r="D300" s="212" t="n"/>
      <c r="E300" s="75">
        <f>+C300&amp;F300</f>
        <v/>
      </c>
      <c r="F300" s="80" t="n"/>
      <c r="G300" s="81" t="n"/>
      <c r="H300" s="78" t="n"/>
      <c r="I300" s="78" t="n"/>
      <c r="J300" s="78" t="n"/>
    </row>
    <row r="301">
      <c r="A301" s="84">
        <f>ROW()-6</f>
        <v/>
      </c>
      <c r="B301" s="85">
        <f>+MATCH(D301,ARTICULOS!$F$10:$F$699,0)</f>
        <v/>
      </c>
      <c r="C301" s="86">
        <f>+VLOOKUP(B301,ARTICULOS!$D$10:$I$699,6)</f>
        <v/>
      </c>
      <c r="D301" s="212" t="n"/>
      <c r="E301" s="75">
        <f>+C301&amp;F301</f>
        <v/>
      </c>
      <c r="F301" s="80" t="n"/>
      <c r="G301" s="81" t="n"/>
      <c r="H301" s="78" t="n"/>
      <c r="I301" s="78" t="n"/>
      <c r="J301" s="78" t="n"/>
    </row>
    <row r="302">
      <c r="A302" s="84">
        <f>ROW()-6</f>
        <v/>
      </c>
      <c r="B302" s="85">
        <f>+MATCH(D302,ARTICULOS!$F$10:$F$699,0)</f>
        <v/>
      </c>
      <c r="C302" s="86">
        <f>+VLOOKUP(B302,ARTICULOS!$D$10:$I$699,6)</f>
        <v/>
      </c>
      <c r="D302" s="212" t="n"/>
      <c r="E302" s="75">
        <f>+C302&amp;F302</f>
        <v/>
      </c>
      <c r="F302" s="80" t="n"/>
      <c r="G302" s="81" t="n"/>
      <c r="H302" s="78" t="n"/>
      <c r="I302" s="78" t="n"/>
      <c r="J302" s="78" t="n"/>
    </row>
    <row r="303">
      <c r="A303" s="84">
        <f>ROW()-6</f>
        <v/>
      </c>
      <c r="B303" s="85">
        <f>+MATCH(D303,ARTICULOS!$F$10:$F$699,0)</f>
        <v/>
      </c>
      <c r="C303" s="86">
        <f>+VLOOKUP(B303,ARTICULOS!$D$10:$I$699,6)</f>
        <v/>
      </c>
      <c r="D303" s="212" t="n"/>
      <c r="E303" s="75">
        <f>+C303&amp;F303</f>
        <v/>
      </c>
      <c r="F303" s="80" t="n"/>
      <c r="G303" s="81" t="n"/>
      <c r="H303" s="78" t="n"/>
      <c r="I303" s="78" t="n"/>
      <c r="J303" s="78" t="n"/>
    </row>
    <row r="304">
      <c r="A304" s="84">
        <f>ROW()-6</f>
        <v/>
      </c>
      <c r="B304" s="85">
        <f>+MATCH(D304,ARTICULOS!$F$10:$F$699,0)</f>
        <v/>
      </c>
      <c r="C304" s="86">
        <f>+VLOOKUP(B304,ARTICULOS!$D$10:$I$699,6)</f>
        <v/>
      </c>
      <c r="D304" s="212" t="n"/>
      <c r="E304" s="75">
        <f>+C304&amp;F304</f>
        <v/>
      </c>
      <c r="F304" s="80" t="n"/>
      <c r="G304" s="81" t="n"/>
      <c r="H304" s="78" t="n"/>
      <c r="I304" s="78" t="n"/>
      <c r="J304" s="78" t="n"/>
    </row>
    <row r="305">
      <c r="A305" s="84">
        <f>ROW()-6</f>
        <v/>
      </c>
      <c r="B305" s="85">
        <f>+MATCH(D305,ARTICULOS!$F$10:$F$699,0)</f>
        <v/>
      </c>
      <c r="C305" s="86">
        <f>+VLOOKUP(B305,ARTICULOS!$D$10:$I$699,6)</f>
        <v/>
      </c>
      <c r="D305" s="212" t="n"/>
      <c r="E305" s="75">
        <f>+C305&amp;F305</f>
        <v/>
      </c>
      <c r="F305" s="80" t="n"/>
      <c r="G305" s="81" t="n"/>
      <c r="H305" s="78" t="n"/>
      <c r="I305" s="78" t="n"/>
      <c r="J305" s="78" t="n"/>
    </row>
    <row r="306">
      <c r="A306" s="84">
        <f>ROW()-6</f>
        <v/>
      </c>
      <c r="B306" s="85">
        <f>+MATCH(D306,ARTICULOS!$F$10:$F$699,0)</f>
        <v/>
      </c>
      <c r="C306" s="86">
        <f>+VLOOKUP(B306,ARTICULOS!$D$10:$I$699,6)</f>
        <v/>
      </c>
      <c r="D306" s="212" t="n"/>
      <c r="E306" s="75">
        <f>+C306&amp;F306</f>
        <v/>
      </c>
      <c r="F306" s="80" t="n"/>
      <c r="G306" s="81" t="n"/>
      <c r="H306" s="78" t="n"/>
      <c r="I306" s="78" t="n"/>
      <c r="J306" s="78" t="n"/>
    </row>
    <row r="307">
      <c r="A307" s="84">
        <f>ROW()-6</f>
        <v/>
      </c>
      <c r="B307" s="85">
        <f>+MATCH(D307,ARTICULOS!$F$10:$F$699,0)</f>
        <v/>
      </c>
      <c r="C307" s="86">
        <f>+VLOOKUP(B307,ARTICULOS!$D$10:$I$699,6)</f>
        <v/>
      </c>
      <c r="D307" s="212" t="n"/>
      <c r="E307" s="75">
        <f>+C307&amp;F307</f>
        <v/>
      </c>
      <c r="F307" s="80" t="n"/>
      <c r="G307" s="81" t="n"/>
      <c r="H307" s="78" t="n"/>
      <c r="I307" s="78" t="n"/>
      <c r="J307" s="78" t="n"/>
    </row>
    <row r="308">
      <c r="A308" s="84">
        <f>ROW()-6</f>
        <v/>
      </c>
      <c r="B308" s="85">
        <f>+MATCH(D308,ARTICULOS!$F$10:$F$699,0)</f>
        <v/>
      </c>
      <c r="C308" s="86">
        <f>+VLOOKUP(B308,ARTICULOS!$D$10:$I$699,6)</f>
        <v/>
      </c>
      <c r="D308" s="212" t="n"/>
      <c r="E308" s="75">
        <f>+C308&amp;F308</f>
        <v/>
      </c>
      <c r="F308" s="80" t="n"/>
      <c r="G308" s="81" t="n"/>
      <c r="H308" s="78" t="n"/>
      <c r="I308" s="78" t="n"/>
      <c r="J308" s="78" t="n"/>
    </row>
    <row r="309">
      <c r="A309" s="84">
        <f>ROW()-6</f>
        <v/>
      </c>
      <c r="B309" s="85">
        <f>+MATCH(D309,ARTICULOS!$F$10:$F$699,0)</f>
        <v/>
      </c>
      <c r="C309" s="86">
        <f>+VLOOKUP(B309,ARTICULOS!$D$10:$I$699,6)</f>
        <v/>
      </c>
      <c r="D309" s="212" t="n"/>
      <c r="E309" s="75">
        <f>+C309&amp;F309</f>
        <v/>
      </c>
      <c r="F309" s="80" t="n"/>
      <c r="G309" s="81" t="n"/>
      <c r="H309" s="78" t="n"/>
      <c r="I309" s="78" t="n"/>
      <c r="J309" s="78" t="n"/>
    </row>
    <row r="310">
      <c r="A310" s="84">
        <f>ROW()-6</f>
        <v/>
      </c>
      <c r="B310" s="85">
        <f>+MATCH(D310,ARTICULOS!$F$10:$F$699,0)</f>
        <v/>
      </c>
      <c r="C310" s="86">
        <f>+VLOOKUP(B310,ARTICULOS!$D$10:$I$699,6)</f>
        <v/>
      </c>
      <c r="D310" s="212" t="n"/>
      <c r="E310" s="75">
        <f>+C310&amp;F310</f>
        <v/>
      </c>
      <c r="F310" s="80" t="n"/>
      <c r="G310" s="81" t="n"/>
      <c r="H310" s="78" t="n"/>
      <c r="I310" s="78" t="n"/>
      <c r="J310" s="78" t="n"/>
    </row>
    <row r="311">
      <c r="A311" s="84">
        <f>ROW()-6</f>
        <v/>
      </c>
      <c r="B311" s="85">
        <f>+MATCH(D311,ARTICULOS!$F$10:$F$699,0)</f>
        <v/>
      </c>
      <c r="C311" s="86">
        <f>+VLOOKUP(B311,ARTICULOS!$D$10:$I$699,6)</f>
        <v/>
      </c>
      <c r="D311" s="212" t="n"/>
      <c r="E311" s="75">
        <f>+C311&amp;F311</f>
        <v/>
      </c>
      <c r="F311" s="80" t="n"/>
      <c r="G311" s="81" t="n"/>
      <c r="H311" s="78" t="n"/>
      <c r="I311" s="78" t="n"/>
      <c r="J311" s="78" t="n"/>
    </row>
    <row r="312">
      <c r="A312" s="84">
        <f>ROW()-6</f>
        <v/>
      </c>
      <c r="B312" s="85">
        <f>+MATCH(D312,ARTICULOS!$F$10:$F$699,0)</f>
        <v/>
      </c>
      <c r="C312" s="86">
        <f>+VLOOKUP(B312,ARTICULOS!$D$10:$I$699,6)</f>
        <v/>
      </c>
      <c r="D312" s="212" t="n"/>
      <c r="E312" s="75">
        <f>+C312&amp;F312</f>
        <v/>
      </c>
      <c r="F312" s="80" t="n"/>
      <c r="G312" s="81" t="n"/>
      <c r="H312" s="78" t="n"/>
      <c r="I312" s="78" t="n"/>
      <c r="J312" s="78" t="n"/>
    </row>
    <row r="313">
      <c r="A313" s="84">
        <f>ROW()-6</f>
        <v/>
      </c>
      <c r="B313" s="85">
        <f>+MATCH(D313,ARTICULOS!$F$10:$F$699,0)</f>
        <v/>
      </c>
      <c r="C313" s="86">
        <f>+VLOOKUP(B313,ARTICULOS!$D$10:$I$699,6)</f>
        <v/>
      </c>
      <c r="D313" s="212" t="n"/>
      <c r="E313" s="75">
        <f>+C313&amp;F313</f>
        <v/>
      </c>
      <c r="F313" s="80" t="n"/>
      <c r="G313" s="81" t="n"/>
      <c r="H313" s="78" t="n"/>
      <c r="I313" s="78" t="n"/>
      <c r="J313" s="78" t="n"/>
    </row>
    <row r="314">
      <c r="A314" s="84">
        <f>ROW()-6</f>
        <v/>
      </c>
      <c r="B314" s="85">
        <f>+MATCH(D314,ARTICULOS!$F$10:$F$699,0)</f>
        <v/>
      </c>
      <c r="C314" s="86">
        <f>+VLOOKUP(B314,ARTICULOS!$D$10:$I$699,6)</f>
        <v/>
      </c>
      <c r="D314" s="212" t="n"/>
      <c r="E314" s="75">
        <f>+C314&amp;F314</f>
        <v/>
      </c>
      <c r="F314" s="80" t="n"/>
      <c r="G314" s="81" t="n"/>
      <c r="H314" s="78" t="n"/>
      <c r="I314" s="78" t="n"/>
      <c r="J314" s="78" t="n"/>
    </row>
    <row r="315">
      <c r="A315" s="84">
        <f>ROW()-6</f>
        <v/>
      </c>
      <c r="B315" s="85">
        <f>+MATCH(D315,ARTICULOS!$F$10:$F$699,0)</f>
        <v/>
      </c>
      <c r="C315" s="86">
        <f>+VLOOKUP(B315,ARTICULOS!$D$10:$I$699,6)</f>
        <v/>
      </c>
      <c r="D315" s="212" t="n"/>
      <c r="E315" s="75">
        <f>+C315&amp;F315</f>
        <v/>
      </c>
      <c r="F315" s="80" t="n"/>
      <c r="G315" s="81" t="n"/>
      <c r="H315" s="78" t="n"/>
      <c r="I315" s="78" t="n"/>
      <c r="J315" s="78" t="n"/>
    </row>
    <row r="316">
      <c r="A316" s="84">
        <f>ROW()-6</f>
        <v/>
      </c>
      <c r="B316" s="85">
        <f>+MATCH(D316,ARTICULOS!$F$10:$F$699,0)</f>
        <v/>
      </c>
      <c r="C316" s="86">
        <f>+VLOOKUP(B316,ARTICULOS!$D$10:$I$699,6)</f>
        <v/>
      </c>
      <c r="D316" s="212" t="n"/>
      <c r="E316" s="75">
        <f>+C316&amp;F316</f>
        <v/>
      </c>
      <c r="F316" s="80" t="n"/>
      <c r="G316" s="81" t="n"/>
      <c r="H316" s="78" t="n"/>
      <c r="I316" s="78" t="n"/>
      <c r="J316" s="78" t="n"/>
    </row>
    <row r="317">
      <c r="A317" s="84">
        <f>ROW()-6</f>
        <v/>
      </c>
      <c r="B317" s="85">
        <f>+MATCH(D317,ARTICULOS!$F$10:$F$699,0)</f>
        <v/>
      </c>
      <c r="C317" s="86">
        <f>+VLOOKUP(B317,ARTICULOS!$D$10:$I$699,6)</f>
        <v/>
      </c>
      <c r="D317" s="212" t="n"/>
      <c r="E317" s="75">
        <f>+C317&amp;F317</f>
        <v/>
      </c>
      <c r="F317" s="80" t="n"/>
      <c r="G317" s="81" t="n"/>
      <c r="H317" s="78" t="n"/>
      <c r="I317" s="78" t="n"/>
      <c r="J317" s="78" t="n"/>
    </row>
    <row r="318">
      <c r="A318" s="84">
        <f>ROW()-6</f>
        <v/>
      </c>
      <c r="B318" s="85">
        <f>+MATCH(D318,ARTICULOS!$F$10:$F$699,0)</f>
        <v/>
      </c>
      <c r="C318" s="86">
        <f>+VLOOKUP(B318,ARTICULOS!$D$10:$I$699,6)</f>
        <v/>
      </c>
      <c r="D318" s="212" t="n"/>
      <c r="E318" s="75">
        <f>+C318&amp;F318</f>
        <v/>
      </c>
      <c r="F318" s="80" t="n"/>
      <c r="G318" s="81" t="n"/>
      <c r="H318" s="78" t="n"/>
      <c r="I318" s="78" t="n"/>
      <c r="J318" s="78" t="n"/>
    </row>
    <row r="319">
      <c r="A319" s="84">
        <f>ROW()-6</f>
        <v/>
      </c>
      <c r="B319" s="85">
        <f>+MATCH(D319,ARTICULOS!$F$10:$F$699,0)</f>
        <v/>
      </c>
      <c r="C319" s="86">
        <f>+VLOOKUP(B319,ARTICULOS!$D$10:$I$699,6)</f>
        <v/>
      </c>
      <c r="D319" s="212" t="n"/>
      <c r="E319" s="75">
        <f>+C319&amp;F319</f>
        <v/>
      </c>
      <c r="F319" s="80" t="n"/>
      <c r="G319" s="81" t="n"/>
      <c r="H319" s="78" t="n"/>
      <c r="I319" s="78" t="n"/>
      <c r="J319" s="78" t="n"/>
    </row>
    <row r="320">
      <c r="A320" s="84">
        <f>ROW()-6</f>
        <v/>
      </c>
      <c r="B320" s="85">
        <f>+MATCH(D320,ARTICULOS!$F$10:$F$699,0)</f>
        <v/>
      </c>
      <c r="C320" s="86">
        <f>+VLOOKUP(B320,ARTICULOS!$D$10:$I$699,6)</f>
        <v/>
      </c>
      <c r="D320" s="212" t="n"/>
      <c r="E320" s="75">
        <f>+C320&amp;F320</f>
        <v/>
      </c>
      <c r="F320" s="80" t="n"/>
      <c r="G320" s="81" t="n"/>
      <c r="H320" s="78" t="n"/>
      <c r="I320" s="78" t="n"/>
      <c r="J320" s="78" t="n"/>
    </row>
    <row r="321">
      <c r="A321" s="84">
        <f>ROW()-6</f>
        <v/>
      </c>
      <c r="B321" s="85">
        <f>+MATCH(D321,ARTICULOS!$F$10:$F$699,0)</f>
        <v/>
      </c>
      <c r="C321" s="86">
        <f>+VLOOKUP(B321,ARTICULOS!$D$10:$I$699,6)</f>
        <v/>
      </c>
      <c r="D321" s="212" t="n"/>
      <c r="E321" s="75">
        <f>+C321&amp;F321</f>
        <v/>
      </c>
      <c r="F321" s="80" t="n"/>
      <c r="G321" s="81" t="n"/>
      <c r="H321" s="78" t="n"/>
      <c r="I321" s="78" t="n"/>
      <c r="J321" s="78" t="n"/>
    </row>
    <row r="322">
      <c r="A322" s="84">
        <f>ROW()-6</f>
        <v/>
      </c>
      <c r="B322" s="85">
        <f>+MATCH(D322,ARTICULOS!$F$10:$F$699,0)</f>
        <v/>
      </c>
      <c r="C322" s="86">
        <f>+VLOOKUP(B322,ARTICULOS!$D$10:$I$699,6)</f>
        <v/>
      </c>
      <c r="D322" s="212" t="n"/>
      <c r="E322" s="75">
        <f>+C322&amp;F322</f>
        <v/>
      </c>
      <c r="F322" s="80" t="n"/>
      <c r="G322" s="81" t="n"/>
      <c r="H322" s="78" t="n"/>
      <c r="I322" s="78" t="n"/>
      <c r="J322" s="78" t="n"/>
    </row>
    <row r="323">
      <c r="A323" s="84">
        <f>ROW()-6</f>
        <v/>
      </c>
      <c r="B323" s="85">
        <f>+MATCH(D323,ARTICULOS!$F$10:$F$699,0)</f>
        <v/>
      </c>
      <c r="C323" s="86">
        <f>+VLOOKUP(B323,ARTICULOS!$D$10:$I$699,6)</f>
        <v/>
      </c>
      <c r="D323" s="212" t="n"/>
      <c r="E323" s="75">
        <f>+C323&amp;F323</f>
        <v/>
      </c>
      <c r="F323" s="80" t="n"/>
      <c r="G323" s="81" t="n"/>
      <c r="H323" s="78" t="n"/>
      <c r="I323" s="78" t="n"/>
      <c r="J323" s="78" t="n"/>
    </row>
    <row r="324">
      <c r="A324" s="84">
        <f>ROW()-6</f>
        <v/>
      </c>
      <c r="B324" s="85">
        <f>+MATCH(D324,ARTICULOS!$F$10:$F$699,0)</f>
        <v/>
      </c>
      <c r="C324" s="86">
        <f>+VLOOKUP(B324,ARTICULOS!$D$10:$I$699,6)</f>
        <v/>
      </c>
      <c r="D324" s="212" t="n"/>
      <c r="E324" s="75">
        <f>+C324&amp;F324</f>
        <v/>
      </c>
      <c r="F324" s="80" t="n"/>
      <c r="G324" s="81" t="n"/>
      <c r="H324" s="78" t="n"/>
      <c r="I324" s="78" t="n"/>
      <c r="J324" s="78" t="n"/>
    </row>
    <row r="325">
      <c r="A325" s="84">
        <f>ROW()-6</f>
        <v/>
      </c>
      <c r="B325" s="85">
        <f>+MATCH(D325,ARTICULOS!$F$10:$F$699,0)</f>
        <v/>
      </c>
      <c r="C325" s="86">
        <f>+VLOOKUP(B325,ARTICULOS!$D$10:$I$699,6)</f>
        <v/>
      </c>
      <c r="D325" s="212" t="n"/>
      <c r="E325" s="75">
        <f>+C325&amp;F325</f>
        <v/>
      </c>
      <c r="F325" s="80" t="n"/>
      <c r="G325" s="81" t="n"/>
      <c r="H325" s="78" t="n"/>
      <c r="I325" s="78" t="n"/>
      <c r="J325" s="78" t="n"/>
    </row>
    <row r="326">
      <c r="A326" s="84">
        <f>ROW()-6</f>
        <v/>
      </c>
      <c r="B326" s="85">
        <f>+MATCH(D326,ARTICULOS!$F$10:$F$699,0)</f>
        <v/>
      </c>
      <c r="C326" s="86">
        <f>+VLOOKUP(B326,ARTICULOS!$D$10:$I$699,6)</f>
        <v/>
      </c>
      <c r="D326" s="212" t="n"/>
      <c r="E326" s="75">
        <f>+C326&amp;F326</f>
        <v/>
      </c>
      <c r="F326" s="80" t="n"/>
      <c r="G326" s="81" t="n"/>
      <c r="H326" s="78" t="n"/>
      <c r="I326" s="78" t="n"/>
      <c r="J326" s="78" t="n"/>
    </row>
    <row r="327">
      <c r="A327" s="84">
        <f>ROW()-6</f>
        <v/>
      </c>
      <c r="B327" s="85">
        <f>+MATCH(D327,ARTICULOS!$F$10:$F$699,0)</f>
        <v/>
      </c>
      <c r="C327" s="86">
        <f>+VLOOKUP(B327,ARTICULOS!$D$10:$I$699,6)</f>
        <v/>
      </c>
      <c r="D327" s="212" t="n"/>
      <c r="E327" s="75">
        <f>+C327&amp;F327</f>
        <v/>
      </c>
      <c r="F327" s="80" t="n"/>
      <c r="G327" s="81" t="n"/>
      <c r="H327" s="78" t="n"/>
      <c r="I327" s="78" t="n"/>
      <c r="J327" s="78" t="n"/>
    </row>
    <row r="328">
      <c r="A328" s="84">
        <f>ROW()-6</f>
        <v/>
      </c>
      <c r="B328" s="85">
        <f>+MATCH(D328,ARTICULOS!$F$10:$F$699,0)</f>
        <v/>
      </c>
      <c r="C328" s="86">
        <f>+VLOOKUP(B328,ARTICULOS!$D$10:$I$699,6)</f>
        <v/>
      </c>
      <c r="D328" s="212" t="n"/>
      <c r="E328" s="75">
        <f>+C328&amp;F328</f>
        <v/>
      </c>
      <c r="F328" s="80" t="n"/>
      <c r="G328" s="81" t="n"/>
      <c r="H328" s="78" t="n"/>
      <c r="I328" s="78" t="n"/>
      <c r="J328" s="78" t="n"/>
    </row>
    <row r="329">
      <c r="A329" s="84">
        <f>ROW()-6</f>
        <v/>
      </c>
      <c r="B329" s="85">
        <f>+MATCH(D329,ARTICULOS!$F$10:$F$699,0)</f>
        <v/>
      </c>
      <c r="C329" s="86">
        <f>+VLOOKUP(B329,ARTICULOS!$D$10:$I$699,6)</f>
        <v/>
      </c>
      <c r="D329" s="212" t="n"/>
      <c r="E329" s="75">
        <f>+C329&amp;F329</f>
        <v/>
      </c>
      <c r="F329" s="80" t="n"/>
      <c r="G329" s="81" t="n"/>
      <c r="H329" s="78" t="n"/>
      <c r="I329" s="78" t="n"/>
      <c r="J329" s="78" t="n"/>
    </row>
    <row r="330">
      <c r="A330" s="84">
        <f>ROW()-6</f>
        <v/>
      </c>
      <c r="B330" s="85">
        <f>+MATCH(D330,ARTICULOS!$F$10:$F$699,0)</f>
        <v/>
      </c>
      <c r="C330" s="86">
        <f>+VLOOKUP(B330,ARTICULOS!$D$10:$I$699,6)</f>
        <v/>
      </c>
      <c r="D330" s="212" t="n"/>
      <c r="E330" s="75">
        <f>+C330&amp;F330</f>
        <v/>
      </c>
      <c r="F330" s="80" t="n"/>
      <c r="G330" s="81" t="n"/>
      <c r="H330" s="78" t="n"/>
      <c r="I330" s="78" t="n"/>
      <c r="J330" s="78" t="n"/>
    </row>
    <row r="331">
      <c r="A331" s="84">
        <f>ROW()-6</f>
        <v/>
      </c>
      <c r="B331" s="85">
        <f>+MATCH(D331,ARTICULOS!$F$10:$F$699,0)</f>
        <v/>
      </c>
      <c r="C331" s="86">
        <f>+VLOOKUP(B331,ARTICULOS!$D$10:$I$699,6)</f>
        <v/>
      </c>
      <c r="D331" s="212" t="n"/>
      <c r="E331" s="75">
        <f>+C331&amp;F331</f>
        <v/>
      </c>
      <c r="F331" s="80" t="n"/>
      <c r="G331" s="81" t="n"/>
      <c r="H331" s="78" t="n"/>
      <c r="I331" s="78" t="n"/>
      <c r="J331" s="78" t="n"/>
    </row>
    <row r="332">
      <c r="A332" s="84">
        <f>ROW()-6</f>
        <v/>
      </c>
      <c r="B332" s="85">
        <f>+MATCH(D332,ARTICULOS!$F$10:$F$699,0)</f>
        <v/>
      </c>
      <c r="C332" s="86">
        <f>+VLOOKUP(B332,ARTICULOS!$D$10:$I$699,6)</f>
        <v/>
      </c>
      <c r="D332" s="212" t="n"/>
      <c r="E332" s="75">
        <f>+C332&amp;F332</f>
        <v/>
      </c>
      <c r="F332" s="80" t="n"/>
      <c r="G332" s="81" t="n"/>
      <c r="H332" s="78" t="n"/>
      <c r="I332" s="78" t="n"/>
      <c r="J332" s="78" t="n"/>
    </row>
    <row r="333">
      <c r="A333" s="84">
        <f>ROW()-6</f>
        <v/>
      </c>
      <c r="B333" s="85">
        <f>+MATCH(D333,ARTICULOS!$F$10:$F$699,0)</f>
        <v/>
      </c>
      <c r="C333" s="86">
        <f>+VLOOKUP(B333,ARTICULOS!$D$10:$I$699,6)</f>
        <v/>
      </c>
      <c r="D333" s="212" t="n"/>
      <c r="E333" s="75">
        <f>+C333&amp;F333</f>
        <v/>
      </c>
      <c r="F333" s="80" t="n"/>
      <c r="G333" s="81" t="n"/>
      <c r="H333" s="78" t="n"/>
      <c r="I333" s="78" t="n"/>
      <c r="J333" s="78" t="n"/>
    </row>
    <row r="334">
      <c r="A334" s="84">
        <f>ROW()-6</f>
        <v/>
      </c>
      <c r="B334" s="85">
        <f>+MATCH(D334,ARTICULOS!$F$10:$F$699,0)</f>
        <v/>
      </c>
      <c r="C334" s="86">
        <f>+VLOOKUP(B334,ARTICULOS!$D$10:$I$699,6)</f>
        <v/>
      </c>
      <c r="D334" s="212" t="n"/>
      <c r="E334" s="75">
        <f>+C334&amp;F334</f>
        <v/>
      </c>
      <c r="F334" s="80" t="n"/>
      <c r="G334" s="81" t="n"/>
      <c r="H334" s="78" t="n"/>
      <c r="I334" s="78" t="n"/>
      <c r="J334" s="78" t="n"/>
    </row>
    <row r="335">
      <c r="A335" s="84">
        <f>ROW()-6</f>
        <v/>
      </c>
      <c r="B335" s="85">
        <f>+MATCH(D335,ARTICULOS!$F$10:$F$699,0)</f>
        <v/>
      </c>
      <c r="C335" s="86">
        <f>+VLOOKUP(B335,ARTICULOS!$D$10:$I$699,6)</f>
        <v/>
      </c>
      <c r="D335" s="212" t="n"/>
      <c r="E335" s="75">
        <f>+C335&amp;F335</f>
        <v/>
      </c>
      <c r="F335" s="80" t="n"/>
      <c r="G335" s="81" t="n"/>
      <c r="H335" s="78" t="n"/>
      <c r="I335" s="78" t="n"/>
      <c r="J335" s="78" t="n"/>
    </row>
    <row r="336">
      <c r="A336" s="84">
        <f>ROW()-6</f>
        <v/>
      </c>
      <c r="B336" s="85">
        <f>+MATCH(D336,ARTICULOS!$F$10:$F$699,0)</f>
        <v/>
      </c>
      <c r="C336" s="86">
        <f>+VLOOKUP(B336,ARTICULOS!$D$10:$I$699,6)</f>
        <v/>
      </c>
      <c r="D336" s="212" t="n"/>
      <c r="E336" s="75">
        <f>+C336&amp;F336</f>
        <v/>
      </c>
      <c r="F336" s="80" t="n"/>
      <c r="G336" s="81" t="n"/>
      <c r="H336" s="78" t="n"/>
      <c r="I336" s="78" t="n"/>
      <c r="J336" s="78" t="n"/>
    </row>
    <row r="337">
      <c r="A337" s="84">
        <f>ROW()-6</f>
        <v/>
      </c>
      <c r="B337" s="85">
        <f>+MATCH(D337,ARTICULOS!$F$10:$F$699,0)</f>
        <v/>
      </c>
      <c r="C337" s="86">
        <f>+VLOOKUP(B337,ARTICULOS!$D$10:$I$699,6)</f>
        <v/>
      </c>
      <c r="D337" s="212" t="n"/>
      <c r="E337" s="75">
        <f>+C337&amp;F337</f>
        <v/>
      </c>
      <c r="F337" s="80" t="n"/>
      <c r="G337" s="81" t="n"/>
      <c r="H337" s="78" t="n"/>
      <c r="I337" s="78" t="n"/>
      <c r="J337" s="78" t="n"/>
    </row>
    <row r="338">
      <c r="A338" s="84">
        <f>ROW()-6</f>
        <v/>
      </c>
      <c r="B338" s="85">
        <f>+MATCH(D338,ARTICULOS!$F$10:$F$699,0)</f>
        <v/>
      </c>
      <c r="C338" s="86">
        <f>+VLOOKUP(B338,ARTICULOS!$D$10:$I$699,6)</f>
        <v/>
      </c>
      <c r="D338" s="212" t="n"/>
      <c r="E338" s="75">
        <f>+C338&amp;F338</f>
        <v/>
      </c>
      <c r="F338" s="80" t="n"/>
      <c r="G338" s="81" t="n"/>
      <c r="H338" s="78" t="n"/>
      <c r="I338" s="78" t="n"/>
      <c r="J338" s="78" t="n"/>
    </row>
    <row r="339">
      <c r="A339" s="84">
        <f>ROW()-6</f>
        <v/>
      </c>
      <c r="B339" s="85">
        <f>+MATCH(D339,ARTICULOS!$F$10:$F$699,0)</f>
        <v/>
      </c>
      <c r="C339" s="86">
        <f>+VLOOKUP(B339,ARTICULOS!$D$10:$I$699,6)</f>
        <v/>
      </c>
      <c r="D339" s="212" t="n"/>
      <c r="E339" s="75">
        <f>+C339&amp;F339</f>
        <v/>
      </c>
      <c r="F339" s="80" t="n"/>
      <c r="G339" s="81" t="n"/>
      <c r="H339" s="78" t="n"/>
      <c r="I339" s="78" t="n"/>
      <c r="J339" s="78" t="n"/>
    </row>
    <row r="340">
      <c r="A340" s="84">
        <f>ROW()-6</f>
        <v/>
      </c>
      <c r="B340" s="85">
        <f>+MATCH(D340,ARTICULOS!$F$10:$F$699,0)</f>
        <v/>
      </c>
      <c r="C340" s="86">
        <f>+VLOOKUP(B340,ARTICULOS!$D$10:$I$699,6)</f>
        <v/>
      </c>
      <c r="D340" s="212" t="n"/>
      <c r="E340" s="75">
        <f>+C340&amp;F340</f>
        <v/>
      </c>
      <c r="F340" s="80" t="n"/>
      <c r="G340" s="81" t="n"/>
      <c r="H340" s="78" t="n"/>
      <c r="I340" s="78" t="n"/>
      <c r="J340" s="78" t="n"/>
    </row>
    <row r="341">
      <c r="A341" s="84">
        <f>ROW()-6</f>
        <v/>
      </c>
      <c r="B341" s="85">
        <f>+MATCH(D341,ARTICULOS!$F$10:$F$699,0)</f>
        <v/>
      </c>
      <c r="C341" s="86">
        <f>+VLOOKUP(B341,ARTICULOS!$D$10:$I$699,6)</f>
        <v/>
      </c>
      <c r="D341" s="212" t="n"/>
      <c r="E341" s="75">
        <f>+C341&amp;F341</f>
        <v/>
      </c>
      <c r="F341" s="80" t="n"/>
      <c r="G341" s="81" t="n"/>
      <c r="H341" s="78" t="n"/>
      <c r="I341" s="78" t="n"/>
      <c r="J341" s="78" t="n"/>
    </row>
    <row r="342">
      <c r="A342" s="84">
        <f>ROW()-6</f>
        <v/>
      </c>
      <c r="B342" s="85">
        <f>+MATCH(D342,ARTICULOS!$F$10:$F$699,0)</f>
        <v/>
      </c>
      <c r="C342" s="86">
        <f>+VLOOKUP(B342,ARTICULOS!$D$10:$I$699,6)</f>
        <v/>
      </c>
      <c r="D342" s="212" t="n"/>
      <c r="E342" s="75">
        <f>+C342&amp;F342</f>
        <v/>
      </c>
      <c r="F342" s="80" t="n"/>
      <c r="G342" s="81" t="n"/>
      <c r="H342" s="78" t="n"/>
      <c r="I342" s="78" t="n"/>
      <c r="J342" s="78" t="n"/>
    </row>
    <row r="343">
      <c r="A343" s="84">
        <f>ROW()-6</f>
        <v/>
      </c>
      <c r="B343" s="85">
        <f>+MATCH(D343,ARTICULOS!$F$10:$F$699,0)</f>
        <v/>
      </c>
      <c r="C343" s="86">
        <f>+VLOOKUP(B343,ARTICULOS!$D$10:$I$699,6)</f>
        <v/>
      </c>
      <c r="D343" s="212" t="n"/>
      <c r="E343" s="75">
        <f>+C343&amp;F343</f>
        <v/>
      </c>
      <c r="F343" s="80" t="n"/>
      <c r="G343" s="81" t="n"/>
      <c r="H343" s="78" t="n"/>
      <c r="I343" s="78" t="n"/>
      <c r="J343" s="78" t="n"/>
    </row>
    <row r="344">
      <c r="A344" s="84">
        <f>ROW()-6</f>
        <v/>
      </c>
      <c r="B344" s="85">
        <f>+MATCH(D344,ARTICULOS!$F$10:$F$699,0)</f>
        <v/>
      </c>
      <c r="C344" s="86">
        <f>+VLOOKUP(B344,ARTICULOS!$D$10:$I$699,6)</f>
        <v/>
      </c>
      <c r="D344" s="212" t="n"/>
      <c r="E344" s="75">
        <f>+C344&amp;F344</f>
        <v/>
      </c>
      <c r="F344" s="80" t="n"/>
      <c r="G344" s="81" t="n"/>
      <c r="H344" s="78" t="n"/>
      <c r="I344" s="78" t="n"/>
      <c r="J344" s="78" t="n"/>
    </row>
    <row r="345">
      <c r="A345" s="84">
        <f>ROW()-6</f>
        <v/>
      </c>
      <c r="B345" s="85">
        <f>+MATCH(D345,ARTICULOS!$F$10:$F$699,0)</f>
        <v/>
      </c>
      <c r="C345" s="86">
        <f>+VLOOKUP(B345,ARTICULOS!$D$10:$I$699,6)</f>
        <v/>
      </c>
      <c r="D345" s="212" t="n"/>
      <c r="E345" s="75">
        <f>+C345&amp;F345</f>
        <v/>
      </c>
      <c r="F345" s="80" t="n"/>
      <c r="G345" s="81" t="n"/>
      <c r="H345" s="78" t="n"/>
      <c r="I345" s="78" t="n"/>
      <c r="J345" s="78" t="n"/>
    </row>
    <row r="346">
      <c r="A346" s="84">
        <f>ROW()-6</f>
        <v/>
      </c>
      <c r="B346" s="85">
        <f>+MATCH(D346,ARTICULOS!$F$10:$F$699,0)</f>
        <v/>
      </c>
      <c r="C346" s="86">
        <f>+VLOOKUP(B346,ARTICULOS!$D$10:$I$699,6)</f>
        <v/>
      </c>
      <c r="D346" s="212" t="n"/>
      <c r="E346" s="75">
        <f>+C346&amp;F346</f>
        <v/>
      </c>
      <c r="F346" s="80" t="n"/>
      <c r="G346" s="81" t="n"/>
      <c r="H346" s="78" t="n"/>
      <c r="I346" s="78" t="n"/>
      <c r="J346" s="78" t="n"/>
    </row>
    <row r="347">
      <c r="A347" s="84">
        <f>ROW()-6</f>
        <v/>
      </c>
      <c r="B347" s="85">
        <f>+MATCH(D347,ARTICULOS!$F$10:$F$699,0)</f>
        <v/>
      </c>
      <c r="C347" s="86">
        <f>+VLOOKUP(B347,ARTICULOS!$D$10:$I$699,6)</f>
        <v/>
      </c>
      <c r="D347" s="212" t="n"/>
      <c r="E347" s="75">
        <f>+C347&amp;F347</f>
        <v/>
      </c>
      <c r="F347" s="80" t="n"/>
      <c r="G347" s="81" t="n"/>
      <c r="H347" s="78" t="n"/>
      <c r="I347" s="78" t="n"/>
      <c r="J347" s="78" t="n"/>
    </row>
    <row r="348">
      <c r="A348" s="84">
        <f>ROW()-6</f>
        <v/>
      </c>
      <c r="B348" s="85">
        <f>+MATCH(D348,ARTICULOS!$F$10:$F$699,0)</f>
        <v/>
      </c>
      <c r="C348" s="86">
        <f>+VLOOKUP(B348,ARTICULOS!$D$10:$I$699,6)</f>
        <v/>
      </c>
      <c r="D348" s="212" t="n"/>
      <c r="E348" s="75">
        <f>+C348&amp;F348</f>
        <v/>
      </c>
      <c r="F348" s="80" t="n"/>
      <c r="G348" s="81" t="n"/>
      <c r="H348" s="78" t="n"/>
      <c r="I348" s="78" t="n"/>
      <c r="J348" s="78" t="n"/>
    </row>
    <row r="349">
      <c r="A349" s="84">
        <f>ROW()-6</f>
        <v/>
      </c>
      <c r="B349" s="85">
        <f>+MATCH(D349,ARTICULOS!$F$10:$F$699,0)</f>
        <v/>
      </c>
      <c r="C349" s="86">
        <f>+VLOOKUP(B349,ARTICULOS!$D$10:$I$699,6)</f>
        <v/>
      </c>
      <c r="D349" s="212" t="n"/>
      <c r="E349" s="75">
        <f>+C349&amp;F349</f>
        <v/>
      </c>
      <c r="F349" s="80" t="n"/>
      <c r="G349" s="81" t="n"/>
      <c r="H349" s="78" t="n"/>
      <c r="I349" s="78" t="n"/>
      <c r="J349" s="78" t="n"/>
    </row>
    <row r="350">
      <c r="A350" s="84">
        <f>ROW()-6</f>
        <v/>
      </c>
      <c r="B350" s="85">
        <f>+MATCH(D350,ARTICULOS!$F$10:$F$699,0)</f>
        <v/>
      </c>
      <c r="C350" s="86">
        <f>+VLOOKUP(B350,ARTICULOS!$D$10:$I$699,6)</f>
        <v/>
      </c>
      <c r="D350" s="212" t="n"/>
      <c r="E350" s="75">
        <f>+C350&amp;F350</f>
        <v/>
      </c>
      <c r="F350" s="80" t="n"/>
      <c r="G350" s="81" t="n"/>
      <c r="H350" s="78" t="n"/>
      <c r="I350" s="78" t="n"/>
      <c r="J350" s="78" t="n"/>
    </row>
    <row r="351">
      <c r="A351" s="84">
        <f>ROW()-6</f>
        <v/>
      </c>
      <c r="B351" s="85">
        <f>+MATCH(D351,ARTICULOS!$F$10:$F$699,0)</f>
        <v/>
      </c>
      <c r="C351" s="86">
        <f>+VLOOKUP(B351,ARTICULOS!$D$10:$I$699,6)</f>
        <v/>
      </c>
      <c r="D351" s="212" t="n"/>
      <c r="E351" s="75">
        <f>+C351&amp;F351</f>
        <v/>
      </c>
      <c r="F351" s="80" t="n"/>
      <c r="G351" s="81" t="n"/>
      <c r="H351" s="78" t="n"/>
      <c r="I351" s="78" t="n"/>
      <c r="J351" s="78" t="n"/>
    </row>
    <row r="352">
      <c r="A352" s="84">
        <f>ROW()-6</f>
        <v/>
      </c>
      <c r="B352" s="85">
        <f>+MATCH(D352,ARTICULOS!$F$10:$F$699,0)</f>
        <v/>
      </c>
      <c r="C352" s="86">
        <f>+VLOOKUP(B352,ARTICULOS!$D$10:$I$699,6)</f>
        <v/>
      </c>
      <c r="D352" s="212" t="n"/>
      <c r="E352" s="75">
        <f>+C352&amp;F352</f>
        <v/>
      </c>
      <c r="F352" s="80" t="n"/>
      <c r="G352" s="81" t="n"/>
      <c r="H352" s="78" t="n"/>
      <c r="I352" s="78" t="n"/>
      <c r="J352" s="78" t="n"/>
    </row>
    <row r="353">
      <c r="A353" s="84">
        <f>ROW()-6</f>
        <v/>
      </c>
      <c r="B353" s="85">
        <f>+MATCH(D353,ARTICULOS!$F$10:$F$699,0)</f>
        <v/>
      </c>
      <c r="C353" s="86">
        <f>+VLOOKUP(B353,ARTICULOS!$D$10:$I$699,6)</f>
        <v/>
      </c>
      <c r="D353" s="212" t="n"/>
      <c r="E353" s="75">
        <f>+C353&amp;F353</f>
        <v/>
      </c>
      <c r="F353" s="80" t="n"/>
      <c r="G353" s="81" t="n"/>
      <c r="H353" s="78" t="n"/>
      <c r="I353" s="78" t="n"/>
      <c r="J353" s="78" t="n"/>
    </row>
    <row r="354">
      <c r="A354" s="84">
        <f>ROW()-6</f>
        <v/>
      </c>
      <c r="B354" s="85">
        <f>+MATCH(D354,ARTICULOS!$F$10:$F$699,0)</f>
        <v/>
      </c>
      <c r="C354" s="86">
        <f>+VLOOKUP(B354,ARTICULOS!$D$10:$I$699,6)</f>
        <v/>
      </c>
      <c r="D354" s="212" t="n"/>
      <c r="E354" s="75">
        <f>+C354&amp;F354</f>
        <v/>
      </c>
      <c r="F354" s="80" t="n"/>
      <c r="G354" s="81" t="n"/>
      <c r="H354" s="78" t="n"/>
      <c r="I354" s="78" t="n"/>
      <c r="J354" s="78" t="n"/>
    </row>
    <row r="355">
      <c r="A355" s="84">
        <f>ROW()-6</f>
        <v/>
      </c>
      <c r="B355" s="85">
        <f>+MATCH(D355,ARTICULOS!$F$10:$F$699,0)</f>
        <v/>
      </c>
      <c r="C355" s="86">
        <f>+VLOOKUP(B355,ARTICULOS!$D$10:$I$699,6)</f>
        <v/>
      </c>
      <c r="D355" s="212" t="n"/>
      <c r="E355" s="75">
        <f>+C355&amp;F355</f>
        <v/>
      </c>
      <c r="F355" s="80" t="n"/>
      <c r="G355" s="81" t="n"/>
      <c r="H355" s="78" t="n"/>
      <c r="I355" s="78" t="n"/>
      <c r="J355" s="78" t="n"/>
    </row>
    <row r="356">
      <c r="A356" s="84">
        <f>ROW()-6</f>
        <v/>
      </c>
      <c r="B356" s="85">
        <f>+MATCH(D356,ARTICULOS!$F$10:$F$699,0)</f>
        <v/>
      </c>
      <c r="C356" s="86">
        <f>+VLOOKUP(B356,ARTICULOS!$D$10:$I$699,6)</f>
        <v/>
      </c>
      <c r="D356" s="212" t="n"/>
      <c r="E356" s="75">
        <f>+C356&amp;F356</f>
        <v/>
      </c>
      <c r="F356" s="80" t="n"/>
      <c r="G356" s="81" t="n"/>
      <c r="H356" s="78" t="n"/>
      <c r="I356" s="78" t="n"/>
      <c r="J356" s="78" t="n"/>
    </row>
    <row r="357">
      <c r="A357" s="84">
        <f>ROW()-6</f>
        <v/>
      </c>
      <c r="B357" s="85">
        <f>+MATCH(D357,ARTICULOS!$F$10:$F$699,0)</f>
        <v/>
      </c>
      <c r="C357" s="86">
        <f>+VLOOKUP(B357,ARTICULOS!$D$10:$I$699,6)</f>
        <v/>
      </c>
      <c r="D357" s="212" t="n"/>
      <c r="E357" s="75">
        <f>+C357&amp;F357</f>
        <v/>
      </c>
      <c r="F357" s="80" t="n"/>
      <c r="G357" s="81" t="n"/>
      <c r="H357" s="78" t="n"/>
      <c r="I357" s="78" t="n"/>
      <c r="J357" s="78" t="n"/>
    </row>
    <row r="358">
      <c r="A358" s="84">
        <f>ROW()-6</f>
        <v/>
      </c>
      <c r="B358" s="85">
        <f>+MATCH(D358,ARTICULOS!$F$10:$F$699,0)</f>
        <v/>
      </c>
      <c r="C358" s="86">
        <f>+VLOOKUP(B358,ARTICULOS!$D$10:$I$699,6)</f>
        <v/>
      </c>
      <c r="D358" s="212" t="n"/>
      <c r="E358" s="75">
        <f>+C358&amp;F358</f>
        <v/>
      </c>
      <c r="F358" s="80" t="n"/>
      <c r="G358" s="81" t="n"/>
      <c r="H358" s="78" t="n"/>
      <c r="I358" s="78" t="n"/>
      <c r="J358" s="78" t="n"/>
    </row>
    <row r="359">
      <c r="A359" s="84">
        <f>ROW()-6</f>
        <v/>
      </c>
      <c r="B359" s="85">
        <f>+MATCH(D359,ARTICULOS!$F$10:$F$699,0)</f>
        <v/>
      </c>
      <c r="C359" s="86">
        <f>+VLOOKUP(B359,ARTICULOS!$D$10:$I$699,6)</f>
        <v/>
      </c>
      <c r="D359" s="212" t="n"/>
      <c r="E359" s="75">
        <f>+C359&amp;F359</f>
        <v/>
      </c>
      <c r="F359" s="80" t="n"/>
      <c r="G359" s="81" t="n"/>
      <c r="H359" s="78" t="n"/>
      <c r="I359" s="78" t="n"/>
      <c r="J359" s="78" t="n"/>
    </row>
    <row r="360">
      <c r="A360" s="84">
        <f>ROW()-6</f>
        <v/>
      </c>
      <c r="B360" s="85">
        <f>+MATCH(D360,ARTICULOS!$F$10:$F$699,0)</f>
        <v/>
      </c>
      <c r="C360" s="86">
        <f>+VLOOKUP(B360,ARTICULOS!$D$10:$I$699,6)</f>
        <v/>
      </c>
      <c r="D360" s="212" t="n"/>
      <c r="E360" s="75">
        <f>+C360&amp;F360</f>
        <v/>
      </c>
      <c r="F360" s="80" t="n"/>
      <c r="G360" s="81" t="n"/>
      <c r="H360" s="78" t="n"/>
      <c r="I360" s="78" t="n"/>
      <c r="J360" s="78" t="n"/>
    </row>
    <row r="361">
      <c r="A361" s="84">
        <f>ROW()-6</f>
        <v/>
      </c>
      <c r="B361" s="85">
        <f>+MATCH(D361,ARTICULOS!$F$10:$F$699,0)</f>
        <v/>
      </c>
      <c r="C361" s="86">
        <f>+VLOOKUP(B361,ARTICULOS!$D$10:$I$699,6)</f>
        <v/>
      </c>
      <c r="D361" s="212" t="n"/>
      <c r="E361" s="75">
        <f>+C361&amp;F361</f>
        <v/>
      </c>
      <c r="F361" s="80" t="n"/>
      <c r="G361" s="81" t="n"/>
      <c r="H361" s="78" t="n"/>
      <c r="I361" s="78" t="n"/>
      <c r="J361" s="78" t="n"/>
    </row>
    <row r="362">
      <c r="A362" s="84">
        <f>ROW()-6</f>
        <v/>
      </c>
      <c r="B362" s="85">
        <f>+MATCH(D362,ARTICULOS!$F$10:$F$699,0)</f>
        <v/>
      </c>
      <c r="C362" s="86">
        <f>+VLOOKUP(B362,ARTICULOS!$D$10:$I$699,6)</f>
        <v/>
      </c>
      <c r="D362" s="212" t="n"/>
      <c r="E362" s="75">
        <f>+C362&amp;F362</f>
        <v/>
      </c>
      <c r="F362" s="80" t="n"/>
      <c r="G362" s="81" t="n"/>
      <c r="H362" s="78" t="n"/>
      <c r="I362" s="78" t="n"/>
      <c r="J362" s="78" t="n"/>
    </row>
    <row r="363">
      <c r="A363" s="84">
        <f>ROW()-6</f>
        <v/>
      </c>
      <c r="B363" s="85">
        <f>+MATCH(D363,ARTICULOS!$F$10:$F$699,0)</f>
        <v/>
      </c>
      <c r="C363" s="86">
        <f>+VLOOKUP(B363,ARTICULOS!$D$10:$I$699,6)</f>
        <v/>
      </c>
      <c r="D363" s="212" t="n"/>
      <c r="E363" s="75">
        <f>+C363&amp;F363</f>
        <v/>
      </c>
      <c r="F363" s="80" t="n"/>
      <c r="G363" s="81" t="n"/>
      <c r="H363" s="78" t="n"/>
      <c r="I363" s="78" t="n"/>
      <c r="J363" s="78" t="n"/>
    </row>
    <row r="364">
      <c r="A364" s="84">
        <f>ROW()-6</f>
        <v/>
      </c>
      <c r="B364" s="85">
        <f>+MATCH(D364,ARTICULOS!$F$10:$F$699,0)</f>
        <v/>
      </c>
      <c r="C364" s="86">
        <f>+VLOOKUP(B364,ARTICULOS!$D$10:$I$699,6)</f>
        <v/>
      </c>
      <c r="D364" s="212" t="n"/>
      <c r="E364" s="75">
        <f>+C364&amp;F364</f>
        <v/>
      </c>
      <c r="F364" s="80" t="n"/>
      <c r="G364" s="81" t="n"/>
      <c r="H364" s="78" t="n"/>
      <c r="I364" s="78" t="n"/>
      <c r="J364" s="78" t="n"/>
    </row>
    <row r="365">
      <c r="A365" s="84">
        <f>ROW()-6</f>
        <v/>
      </c>
      <c r="B365" s="85">
        <f>+MATCH(D365,ARTICULOS!$F$10:$F$699,0)</f>
        <v/>
      </c>
      <c r="C365" s="86">
        <f>+VLOOKUP(B365,ARTICULOS!$D$10:$I$699,6)</f>
        <v/>
      </c>
      <c r="D365" s="212" t="n"/>
      <c r="E365" s="75">
        <f>+C365&amp;F365</f>
        <v/>
      </c>
      <c r="F365" s="80" t="n"/>
      <c r="G365" s="81" t="n"/>
      <c r="H365" s="78" t="n"/>
      <c r="I365" s="78" t="n"/>
      <c r="J365" s="78" t="n"/>
    </row>
    <row r="366">
      <c r="A366" s="84">
        <f>ROW()-6</f>
        <v/>
      </c>
      <c r="B366" s="85">
        <f>+MATCH(D366,ARTICULOS!$F$10:$F$699,0)</f>
        <v/>
      </c>
      <c r="C366" s="86">
        <f>+VLOOKUP(B366,ARTICULOS!$D$10:$I$699,6)</f>
        <v/>
      </c>
      <c r="D366" s="212" t="n"/>
      <c r="E366" s="75">
        <f>+C366&amp;F366</f>
        <v/>
      </c>
      <c r="F366" s="80" t="n"/>
      <c r="G366" s="81" t="n"/>
      <c r="H366" s="78" t="n"/>
      <c r="I366" s="78" t="n"/>
      <c r="J366" s="78" t="n"/>
    </row>
    <row r="367">
      <c r="A367" s="84">
        <f>ROW()-6</f>
        <v/>
      </c>
      <c r="B367" s="85">
        <f>+MATCH(D367,ARTICULOS!$F$10:$F$699,0)</f>
        <v/>
      </c>
      <c r="C367" s="86">
        <f>+VLOOKUP(B367,ARTICULOS!$D$10:$I$699,6)</f>
        <v/>
      </c>
      <c r="D367" s="212" t="n"/>
      <c r="E367" s="75">
        <f>+C367&amp;F367</f>
        <v/>
      </c>
      <c r="F367" s="80" t="n"/>
      <c r="G367" s="81" t="n"/>
      <c r="H367" s="78" t="n"/>
      <c r="I367" s="78" t="n"/>
      <c r="J367" s="78" t="n"/>
    </row>
    <row r="368">
      <c r="A368" s="84">
        <f>ROW()-6</f>
        <v/>
      </c>
      <c r="B368" s="85">
        <f>+MATCH(D368,ARTICULOS!$F$10:$F$699,0)</f>
        <v/>
      </c>
      <c r="C368" s="86">
        <f>+VLOOKUP(B368,ARTICULOS!$D$10:$I$699,6)</f>
        <v/>
      </c>
      <c r="D368" s="212" t="n"/>
      <c r="E368" s="75">
        <f>+C368&amp;F368</f>
        <v/>
      </c>
      <c r="F368" s="80" t="n"/>
      <c r="G368" s="81" t="n"/>
      <c r="H368" s="78" t="n"/>
      <c r="I368" s="78" t="n"/>
      <c r="J368" s="78" t="n"/>
    </row>
    <row r="369">
      <c r="A369" s="84">
        <f>ROW()-6</f>
        <v/>
      </c>
      <c r="B369" s="85">
        <f>+MATCH(D369,ARTICULOS!$F$10:$F$699,0)</f>
        <v/>
      </c>
      <c r="C369" s="86">
        <f>+VLOOKUP(B369,ARTICULOS!$D$10:$I$699,6)</f>
        <v/>
      </c>
      <c r="D369" s="212" t="n"/>
      <c r="E369" s="75">
        <f>+C369&amp;F369</f>
        <v/>
      </c>
      <c r="F369" s="80" t="n"/>
      <c r="G369" s="81" t="n"/>
      <c r="H369" s="78" t="n"/>
      <c r="I369" s="78" t="n"/>
      <c r="J369" s="78" t="n"/>
    </row>
    <row r="370">
      <c r="A370" s="84">
        <f>ROW()-6</f>
        <v/>
      </c>
      <c r="B370" s="85">
        <f>+MATCH(D370,ARTICULOS!$F$10:$F$699,0)</f>
        <v/>
      </c>
      <c r="C370" s="86">
        <f>+VLOOKUP(B370,ARTICULOS!$D$10:$I$699,6)</f>
        <v/>
      </c>
      <c r="D370" s="212" t="n"/>
      <c r="E370" s="75">
        <f>+C370&amp;F370</f>
        <v/>
      </c>
      <c r="F370" s="80" t="n"/>
      <c r="G370" s="81" t="n"/>
      <c r="H370" s="78" t="n"/>
      <c r="I370" s="78" t="n"/>
      <c r="J370" s="78" t="n"/>
    </row>
    <row r="371">
      <c r="A371" s="84">
        <f>ROW()-6</f>
        <v/>
      </c>
      <c r="B371" s="85">
        <f>+MATCH(D371,ARTICULOS!$F$10:$F$699,0)</f>
        <v/>
      </c>
      <c r="C371" s="86">
        <f>+VLOOKUP(B371,ARTICULOS!$D$10:$I$699,6)</f>
        <v/>
      </c>
      <c r="D371" s="212" t="n"/>
      <c r="E371" s="75">
        <f>+C371&amp;F371</f>
        <v/>
      </c>
      <c r="F371" s="80" t="n"/>
      <c r="G371" s="81" t="n"/>
      <c r="H371" s="78" t="n"/>
      <c r="I371" s="78" t="n"/>
      <c r="J371" s="78" t="n"/>
    </row>
    <row r="372">
      <c r="A372" s="84">
        <f>ROW()-6</f>
        <v/>
      </c>
      <c r="B372" s="85">
        <f>+MATCH(D372,ARTICULOS!$F$10:$F$699,0)</f>
        <v/>
      </c>
      <c r="C372" s="86">
        <f>+VLOOKUP(B372,ARTICULOS!$D$10:$I$699,6)</f>
        <v/>
      </c>
      <c r="D372" s="212" t="n"/>
      <c r="E372" s="75">
        <f>+C372&amp;F372</f>
        <v/>
      </c>
      <c r="F372" s="80" t="n"/>
      <c r="G372" s="81" t="n"/>
      <c r="H372" s="78" t="n"/>
      <c r="I372" s="78" t="n"/>
      <c r="J372" s="78" t="n"/>
    </row>
    <row r="373">
      <c r="A373" s="84">
        <f>ROW()-6</f>
        <v/>
      </c>
      <c r="B373" s="85">
        <f>+MATCH(D373,ARTICULOS!$F$10:$F$699,0)</f>
        <v/>
      </c>
      <c r="C373" s="86">
        <f>+VLOOKUP(B373,ARTICULOS!$D$10:$I$699,6)</f>
        <v/>
      </c>
      <c r="D373" s="212" t="n"/>
      <c r="E373" s="75">
        <f>+C373&amp;F373</f>
        <v/>
      </c>
      <c r="F373" s="80" t="n"/>
      <c r="G373" s="81" t="n"/>
      <c r="H373" s="78" t="n"/>
      <c r="I373" s="78" t="n"/>
      <c r="J373" s="78" t="n"/>
    </row>
    <row r="374">
      <c r="A374" s="84">
        <f>ROW()-6</f>
        <v/>
      </c>
      <c r="B374" s="85">
        <f>+MATCH(D374,ARTICULOS!$F$10:$F$699,0)</f>
        <v/>
      </c>
      <c r="C374" s="86">
        <f>+VLOOKUP(B374,ARTICULOS!$D$10:$I$699,6)</f>
        <v/>
      </c>
      <c r="D374" s="212" t="n"/>
      <c r="E374" s="75">
        <f>+C374&amp;F374</f>
        <v/>
      </c>
      <c r="F374" s="80" t="n"/>
      <c r="G374" s="81" t="n"/>
      <c r="H374" s="78" t="n"/>
      <c r="I374" s="78" t="n"/>
      <c r="J374" s="78" t="n"/>
    </row>
    <row r="375">
      <c r="A375" s="84">
        <f>ROW()-6</f>
        <v/>
      </c>
      <c r="B375" s="85">
        <f>+MATCH(D375,ARTICULOS!$F$10:$F$699,0)</f>
        <v/>
      </c>
      <c r="C375" s="86">
        <f>+VLOOKUP(B375,ARTICULOS!$D$10:$I$699,6)</f>
        <v/>
      </c>
      <c r="D375" s="212" t="n"/>
      <c r="E375" s="75">
        <f>+C375&amp;F375</f>
        <v/>
      </c>
      <c r="F375" s="80" t="n"/>
      <c r="G375" s="81" t="n"/>
      <c r="H375" s="78" t="n"/>
      <c r="I375" s="78" t="n"/>
      <c r="J375" s="78" t="n"/>
    </row>
    <row r="376">
      <c r="A376" s="84">
        <f>ROW()-6</f>
        <v/>
      </c>
      <c r="B376" s="85">
        <f>+MATCH(D376,ARTICULOS!$F$10:$F$699,0)</f>
        <v/>
      </c>
      <c r="C376" s="86">
        <f>+VLOOKUP(B376,ARTICULOS!$D$10:$I$699,6)</f>
        <v/>
      </c>
      <c r="D376" s="212" t="n"/>
      <c r="E376" s="75">
        <f>+C376&amp;F376</f>
        <v/>
      </c>
      <c r="F376" s="80" t="n"/>
      <c r="G376" s="81" t="n"/>
      <c r="H376" s="78" t="n"/>
      <c r="I376" s="78" t="n"/>
      <c r="J376" s="78" t="n"/>
    </row>
    <row r="377">
      <c r="A377" s="84">
        <f>ROW()-6</f>
        <v/>
      </c>
      <c r="B377" s="85">
        <f>+MATCH(D377,ARTICULOS!$F$10:$F$699,0)</f>
        <v/>
      </c>
      <c r="C377" s="86">
        <f>+VLOOKUP(B377,ARTICULOS!$D$10:$I$699,6)</f>
        <v/>
      </c>
      <c r="D377" s="212" t="n"/>
      <c r="E377" s="75">
        <f>+C377&amp;F377</f>
        <v/>
      </c>
      <c r="F377" s="80" t="n"/>
      <c r="G377" s="81" t="n"/>
      <c r="H377" s="78" t="n"/>
      <c r="I377" s="78" t="n"/>
      <c r="J377" s="78" t="n"/>
    </row>
    <row r="378">
      <c r="A378" s="84">
        <f>ROW()-6</f>
        <v/>
      </c>
      <c r="B378" s="85">
        <f>+MATCH(D378,ARTICULOS!$F$10:$F$699,0)</f>
        <v/>
      </c>
      <c r="C378" s="86">
        <f>+VLOOKUP(B378,ARTICULOS!$D$10:$I$699,6)</f>
        <v/>
      </c>
      <c r="D378" s="212" t="n"/>
      <c r="E378" s="75">
        <f>+C378&amp;F378</f>
        <v/>
      </c>
      <c r="F378" s="80" t="n"/>
      <c r="G378" s="81" t="n"/>
      <c r="H378" s="78" t="n"/>
      <c r="I378" s="78" t="n"/>
      <c r="J378" s="78" t="n"/>
    </row>
    <row r="379">
      <c r="A379" s="84">
        <f>ROW()-6</f>
        <v/>
      </c>
      <c r="B379" s="85">
        <f>+MATCH(D379,ARTICULOS!$F$10:$F$699,0)</f>
        <v/>
      </c>
      <c r="C379" s="86">
        <f>+VLOOKUP(B379,ARTICULOS!$D$10:$I$699,6)</f>
        <v/>
      </c>
      <c r="D379" s="212" t="n"/>
      <c r="E379" s="75">
        <f>+C379&amp;F379</f>
        <v/>
      </c>
      <c r="F379" s="80" t="n"/>
      <c r="G379" s="81" t="n"/>
      <c r="H379" s="78" t="n"/>
      <c r="I379" s="78" t="n"/>
      <c r="J379" s="78" t="n"/>
    </row>
    <row r="380">
      <c r="A380" s="84">
        <f>ROW()-6</f>
        <v/>
      </c>
      <c r="B380" s="85">
        <f>+MATCH(D380,ARTICULOS!$F$10:$F$699,0)</f>
        <v/>
      </c>
      <c r="C380" s="86">
        <f>+VLOOKUP(B380,ARTICULOS!$D$10:$I$699,6)</f>
        <v/>
      </c>
      <c r="D380" s="212" t="n"/>
      <c r="E380" s="75">
        <f>+C380&amp;F380</f>
        <v/>
      </c>
      <c r="F380" s="80" t="n"/>
      <c r="G380" s="81" t="n"/>
      <c r="H380" s="78" t="n"/>
      <c r="I380" s="78" t="n"/>
      <c r="J380" s="78" t="n"/>
    </row>
    <row r="381">
      <c r="A381" s="84">
        <f>ROW()-6</f>
        <v/>
      </c>
      <c r="B381" s="85">
        <f>+MATCH(D381,ARTICULOS!$F$10:$F$699,0)</f>
        <v/>
      </c>
      <c r="C381" s="86">
        <f>+VLOOKUP(B381,ARTICULOS!$D$10:$I$699,6)</f>
        <v/>
      </c>
      <c r="D381" s="212" t="n"/>
      <c r="E381" s="75">
        <f>+C381&amp;F381</f>
        <v/>
      </c>
      <c r="F381" s="80" t="n"/>
      <c r="G381" s="81" t="n"/>
      <c r="H381" s="78" t="n"/>
      <c r="I381" s="78" t="n"/>
      <c r="J381" s="78" t="n"/>
    </row>
    <row r="382">
      <c r="A382" s="84">
        <f>ROW()-6</f>
        <v/>
      </c>
      <c r="B382" s="85">
        <f>+MATCH(D382,ARTICULOS!$F$10:$F$699,0)</f>
        <v/>
      </c>
      <c r="C382" s="86">
        <f>+VLOOKUP(B382,ARTICULOS!$D$10:$I$699,6)</f>
        <v/>
      </c>
      <c r="D382" s="212" t="n"/>
      <c r="E382" s="75">
        <f>+C382&amp;F382</f>
        <v/>
      </c>
      <c r="F382" s="80" t="n"/>
      <c r="G382" s="81" t="n"/>
      <c r="H382" s="78" t="n"/>
      <c r="I382" s="78" t="n"/>
      <c r="J382" s="78" t="n"/>
    </row>
    <row r="383">
      <c r="A383" s="84">
        <f>ROW()-6</f>
        <v/>
      </c>
      <c r="B383" s="85">
        <f>+MATCH(D383,ARTICULOS!$F$10:$F$699,0)</f>
        <v/>
      </c>
      <c r="C383" s="86">
        <f>+VLOOKUP(B383,ARTICULOS!$D$10:$I$699,6)</f>
        <v/>
      </c>
      <c r="D383" s="212" t="n"/>
      <c r="E383" s="75">
        <f>+C383&amp;F383</f>
        <v/>
      </c>
      <c r="F383" s="80" t="n"/>
      <c r="G383" s="81" t="n"/>
      <c r="H383" s="78" t="n"/>
      <c r="I383" s="78" t="n"/>
      <c r="J383" s="78" t="n"/>
    </row>
    <row r="384">
      <c r="A384" s="84">
        <f>ROW()-6</f>
        <v/>
      </c>
      <c r="B384" s="85">
        <f>+MATCH(D384,ARTICULOS!$F$10:$F$699,0)</f>
        <v/>
      </c>
      <c r="C384" s="86">
        <f>+VLOOKUP(B384,ARTICULOS!$D$10:$I$699,6)</f>
        <v/>
      </c>
      <c r="D384" s="212" t="n"/>
      <c r="E384" s="75">
        <f>+C384&amp;F384</f>
        <v/>
      </c>
      <c r="F384" s="80" t="n"/>
      <c r="G384" s="81" t="n"/>
      <c r="H384" s="78" t="n"/>
      <c r="I384" s="78" t="n"/>
      <c r="J384" s="78" t="n"/>
    </row>
    <row r="385">
      <c r="A385" s="84">
        <f>ROW()-6</f>
        <v/>
      </c>
      <c r="B385" s="85">
        <f>+MATCH(D385,ARTICULOS!$F$10:$F$699,0)</f>
        <v/>
      </c>
      <c r="C385" s="86">
        <f>+VLOOKUP(B385,ARTICULOS!$D$10:$I$699,6)</f>
        <v/>
      </c>
      <c r="D385" s="212" t="n"/>
      <c r="E385" s="75">
        <f>+C385&amp;F385</f>
        <v/>
      </c>
      <c r="F385" s="80" t="n"/>
      <c r="G385" s="81" t="n"/>
      <c r="H385" s="78" t="n"/>
      <c r="I385" s="78" t="n"/>
      <c r="J385" s="78" t="n"/>
    </row>
    <row r="386">
      <c r="A386" s="84">
        <f>ROW()-6</f>
        <v/>
      </c>
      <c r="B386" s="85">
        <f>+MATCH(D386,ARTICULOS!$F$10:$F$699,0)</f>
        <v/>
      </c>
      <c r="C386" s="86">
        <f>+VLOOKUP(B386,ARTICULOS!$D$10:$I$699,6)</f>
        <v/>
      </c>
      <c r="D386" s="212" t="n"/>
      <c r="E386" s="75">
        <f>+C386&amp;F386</f>
        <v/>
      </c>
      <c r="F386" s="80" t="n"/>
      <c r="G386" s="81" t="n"/>
      <c r="H386" s="78" t="n"/>
      <c r="I386" s="78" t="n"/>
      <c r="J386" s="78" t="n"/>
    </row>
    <row r="387">
      <c r="A387" s="84">
        <f>ROW()-6</f>
        <v/>
      </c>
      <c r="B387" s="85">
        <f>+MATCH(D387,ARTICULOS!$F$10:$F$699,0)</f>
        <v/>
      </c>
      <c r="C387" s="86">
        <f>+VLOOKUP(B387,ARTICULOS!$D$10:$I$699,6)</f>
        <v/>
      </c>
      <c r="D387" s="212" t="n"/>
      <c r="E387" s="75">
        <f>+C387&amp;F387</f>
        <v/>
      </c>
      <c r="F387" s="80" t="n"/>
      <c r="G387" s="81" t="n"/>
      <c r="H387" s="78" t="n"/>
      <c r="I387" s="78" t="n"/>
      <c r="J387" s="78" t="n"/>
    </row>
    <row r="388">
      <c r="A388" s="84">
        <f>ROW()-6</f>
        <v/>
      </c>
      <c r="B388" s="85">
        <f>+MATCH(D388,ARTICULOS!$F$10:$F$699,0)</f>
        <v/>
      </c>
      <c r="C388" s="86">
        <f>+VLOOKUP(B388,ARTICULOS!$D$10:$I$699,6)</f>
        <v/>
      </c>
      <c r="D388" s="212" t="n"/>
      <c r="E388" s="75">
        <f>+C388&amp;F388</f>
        <v/>
      </c>
      <c r="F388" s="80" t="n"/>
      <c r="G388" s="81" t="n"/>
      <c r="H388" s="78" t="n"/>
      <c r="I388" s="78" t="n"/>
      <c r="J388" s="78" t="n"/>
    </row>
    <row r="389">
      <c r="A389" s="84">
        <f>ROW()-6</f>
        <v/>
      </c>
      <c r="B389" s="85">
        <f>+MATCH(D389,ARTICULOS!$F$10:$F$699,0)</f>
        <v/>
      </c>
      <c r="C389" s="86">
        <f>+VLOOKUP(B389,ARTICULOS!$D$10:$I$699,6)</f>
        <v/>
      </c>
      <c r="D389" s="212" t="n"/>
      <c r="E389" s="75">
        <f>+C389&amp;F389</f>
        <v/>
      </c>
      <c r="F389" s="80" t="n"/>
      <c r="G389" s="81" t="n"/>
      <c r="H389" s="78" t="n"/>
      <c r="I389" s="78" t="n"/>
      <c r="J389" s="78" t="n"/>
    </row>
    <row r="390">
      <c r="A390" s="84">
        <f>ROW()-6</f>
        <v/>
      </c>
      <c r="B390" s="85">
        <f>+MATCH(D390,ARTICULOS!$F$10:$F$699,0)</f>
        <v/>
      </c>
      <c r="C390" s="86">
        <f>+VLOOKUP(B390,ARTICULOS!$D$10:$I$699,6)</f>
        <v/>
      </c>
      <c r="D390" s="212" t="n"/>
      <c r="E390" s="75">
        <f>+C390&amp;F390</f>
        <v/>
      </c>
      <c r="F390" s="80" t="n"/>
      <c r="G390" s="81" t="n"/>
      <c r="H390" s="78" t="n"/>
      <c r="I390" s="78" t="n"/>
      <c r="J390" s="78" t="n"/>
    </row>
    <row r="391">
      <c r="A391" s="84">
        <f>ROW()-6</f>
        <v/>
      </c>
      <c r="B391" s="85">
        <f>+MATCH(D391,ARTICULOS!$F$10:$F$699,0)</f>
        <v/>
      </c>
      <c r="C391" s="86">
        <f>+VLOOKUP(B391,ARTICULOS!$D$10:$I$699,6)</f>
        <v/>
      </c>
      <c r="D391" s="212" t="n"/>
      <c r="E391" s="75">
        <f>+C391&amp;F391</f>
        <v/>
      </c>
      <c r="F391" s="80" t="n"/>
      <c r="G391" s="81" t="n"/>
      <c r="H391" s="78" t="n"/>
      <c r="I391" s="78" t="n"/>
      <c r="J391" s="78" t="n"/>
    </row>
    <row r="392">
      <c r="A392" s="84">
        <f>ROW()-6</f>
        <v/>
      </c>
      <c r="B392" s="85">
        <f>+MATCH(D392,ARTICULOS!$F$10:$F$699,0)</f>
        <v/>
      </c>
      <c r="C392" s="86">
        <f>+VLOOKUP(B392,ARTICULOS!$D$10:$I$699,6)</f>
        <v/>
      </c>
      <c r="D392" s="212" t="n"/>
      <c r="E392" s="75">
        <f>+C392&amp;F392</f>
        <v/>
      </c>
      <c r="F392" s="80" t="n"/>
      <c r="G392" s="81" t="n"/>
      <c r="H392" s="78" t="n"/>
      <c r="I392" s="78" t="n"/>
      <c r="J392" s="78" t="n"/>
    </row>
    <row r="393">
      <c r="A393" s="84">
        <f>ROW()-6</f>
        <v/>
      </c>
      <c r="B393" s="85">
        <f>+MATCH(D393,ARTICULOS!$F$10:$F$699,0)</f>
        <v/>
      </c>
      <c r="C393" s="86">
        <f>+VLOOKUP(B393,ARTICULOS!$D$10:$I$699,6)</f>
        <v/>
      </c>
      <c r="D393" s="212" t="n"/>
      <c r="E393" s="75">
        <f>+C393&amp;F393</f>
        <v/>
      </c>
      <c r="F393" s="80" t="n"/>
      <c r="G393" s="81" t="n"/>
      <c r="H393" s="78" t="n"/>
      <c r="I393" s="78" t="n"/>
      <c r="J393" s="78" t="n"/>
    </row>
    <row r="394">
      <c r="A394" s="84">
        <f>ROW()-6</f>
        <v/>
      </c>
      <c r="B394" s="85">
        <f>+MATCH(D394,ARTICULOS!$F$10:$F$699,0)</f>
        <v/>
      </c>
      <c r="C394" s="86">
        <f>+VLOOKUP(B394,ARTICULOS!$D$10:$I$699,6)</f>
        <v/>
      </c>
      <c r="D394" s="212" t="n"/>
      <c r="E394" s="75">
        <f>+C394&amp;F394</f>
        <v/>
      </c>
      <c r="F394" s="80" t="n"/>
      <c r="G394" s="81" t="n"/>
      <c r="H394" s="78" t="n"/>
      <c r="I394" s="78" t="n"/>
      <c r="J394" s="78" t="n"/>
    </row>
    <row r="395">
      <c r="A395" s="84">
        <f>ROW()-6</f>
        <v/>
      </c>
      <c r="B395" s="85">
        <f>+MATCH(D395,ARTICULOS!$F$10:$F$699,0)</f>
        <v/>
      </c>
      <c r="C395" s="86">
        <f>+VLOOKUP(B395,ARTICULOS!$D$10:$I$699,6)</f>
        <v/>
      </c>
      <c r="D395" s="212" t="n"/>
      <c r="E395" s="75">
        <f>+C395&amp;F395</f>
        <v/>
      </c>
      <c r="F395" s="80" t="n"/>
      <c r="G395" s="81" t="n"/>
      <c r="H395" s="78" t="n"/>
      <c r="I395" s="78" t="n"/>
      <c r="J395" s="78" t="n"/>
    </row>
    <row r="396">
      <c r="A396" s="84">
        <f>ROW()-6</f>
        <v/>
      </c>
      <c r="B396" s="85">
        <f>+MATCH(D396,ARTICULOS!$F$10:$F$699,0)</f>
        <v/>
      </c>
      <c r="C396" s="86">
        <f>+VLOOKUP(B396,ARTICULOS!$D$10:$I$699,6)</f>
        <v/>
      </c>
      <c r="D396" s="212" t="n"/>
      <c r="E396" s="75">
        <f>+C396&amp;F396</f>
        <v/>
      </c>
      <c r="F396" s="80" t="n"/>
      <c r="G396" s="81" t="n"/>
      <c r="H396" s="78" t="n"/>
      <c r="I396" s="78" t="n"/>
      <c r="J396" s="78" t="n"/>
    </row>
    <row r="397">
      <c r="A397" s="84">
        <f>ROW()-6</f>
        <v/>
      </c>
      <c r="B397" s="85">
        <f>+MATCH(D397,ARTICULOS!$F$10:$F$699,0)</f>
        <v/>
      </c>
      <c r="C397" s="86">
        <f>+VLOOKUP(B397,ARTICULOS!$D$10:$I$699,6)</f>
        <v/>
      </c>
      <c r="D397" s="212" t="n"/>
      <c r="E397" s="75">
        <f>+C397&amp;F397</f>
        <v/>
      </c>
      <c r="F397" s="80" t="n"/>
      <c r="G397" s="81" t="n"/>
      <c r="H397" s="78" t="n"/>
      <c r="I397" s="78" t="n"/>
      <c r="J397" s="78" t="n"/>
    </row>
    <row r="398">
      <c r="A398" s="84">
        <f>ROW()-6</f>
        <v/>
      </c>
      <c r="B398" s="85">
        <f>+MATCH(D398,ARTICULOS!$F$10:$F$699,0)</f>
        <v/>
      </c>
      <c r="C398" s="86">
        <f>+VLOOKUP(B398,ARTICULOS!$D$10:$I$699,6)</f>
        <v/>
      </c>
      <c r="D398" s="212" t="n"/>
      <c r="E398" s="75">
        <f>+C398&amp;F398</f>
        <v/>
      </c>
      <c r="F398" s="80" t="n"/>
      <c r="G398" s="81" t="n"/>
      <c r="H398" s="78" t="n"/>
      <c r="I398" s="78" t="n"/>
      <c r="J398" s="78" t="n"/>
    </row>
    <row r="399">
      <c r="A399" s="84">
        <f>ROW()-6</f>
        <v/>
      </c>
      <c r="B399" s="85">
        <f>+MATCH(D399,ARTICULOS!$F$10:$F$699,0)</f>
        <v/>
      </c>
      <c r="C399" s="86">
        <f>+VLOOKUP(B399,ARTICULOS!$D$10:$I$699,6)</f>
        <v/>
      </c>
      <c r="D399" s="212" t="n"/>
      <c r="E399" s="75">
        <f>+C399&amp;F399</f>
        <v/>
      </c>
      <c r="F399" s="80" t="n"/>
      <c r="G399" s="81" t="n"/>
      <c r="H399" s="78" t="n"/>
      <c r="I399" s="78" t="n"/>
      <c r="J399" s="78" t="n"/>
    </row>
    <row r="400">
      <c r="A400" s="84">
        <f>ROW()-6</f>
        <v/>
      </c>
      <c r="B400" s="85">
        <f>+MATCH(D400,ARTICULOS!$F$10:$F$699,0)</f>
        <v/>
      </c>
      <c r="C400" s="86">
        <f>+VLOOKUP(B400,ARTICULOS!$D$10:$I$699,6)</f>
        <v/>
      </c>
      <c r="D400" s="212" t="n"/>
      <c r="E400" s="75">
        <f>+C400&amp;F400</f>
        <v/>
      </c>
      <c r="F400" s="80" t="n"/>
      <c r="G400" s="81" t="n"/>
      <c r="H400" s="78" t="n"/>
      <c r="I400" s="78" t="n"/>
      <c r="J400" s="78" t="n"/>
    </row>
    <row r="401">
      <c r="A401" s="84">
        <f>ROW()-6</f>
        <v/>
      </c>
      <c r="B401" s="85">
        <f>+MATCH(D401,ARTICULOS!$F$10:$F$699,0)</f>
        <v/>
      </c>
      <c r="C401" s="86">
        <f>+VLOOKUP(B401,ARTICULOS!$D$10:$I$699,6)</f>
        <v/>
      </c>
      <c r="D401" s="212" t="n"/>
      <c r="E401" s="75">
        <f>+C401&amp;F401</f>
        <v/>
      </c>
      <c r="F401" s="80" t="n"/>
      <c r="G401" s="81" t="n"/>
      <c r="H401" s="78" t="n"/>
      <c r="I401" s="78" t="n"/>
      <c r="J401" s="78" t="n"/>
    </row>
    <row r="402">
      <c r="A402" s="84">
        <f>ROW()-6</f>
        <v/>
      </c>
      <c r="B402" s="85">
        <f>+MATCH(D402,ARTICULOS!$F$10:$F$699,0)</f>
        <v/>
      </c>
      <c r="C402" s="86">
        <f>+VLOOKUP(B402,ARTICULOS!$D$10:$I$699,6)</f>
        <v/>
      </c>
      <c r="D402" s="212" t="n"/>
      <c r="E402" s="75">
        <f>+C402&amp;F402</f>
        <v/>
      </c>
      <c r="F402" s="80" t="n"/>
      <c r="G402" s="81" t="n"/>
      <c r="H402" s="78" t="n"/>
      <c r="I402" s="78" t="n"/>
      <c r="J402" s="78" t="n"/>
    </row>
    <row r="403">
      <c r="A403" s="84">
        <f>ROW()-6</f>
        <v/>
      </c>
      <c r="B403" s="85">
        <f>+MATCH(D403,ARTICULOS!$F$10:$F$699,0)</f>
        <v/>
      </c>
      <c r="C403" s="86">
        <f>+VLOOKUP(B403,ARTICULOS!$D$10:$I$699,6)</f>
        <v/>
      </c>
      <c r="D403" s="212" t="n"/>
      <c r="E403" s="75">
        <f>+C403&amp;F403</f>
        <v/>
      </c>
      <c r="F403" s="80" t="n"/>
      <c r="G403" s="81" t="n"/>
      <c r="H403" s="78" t="n"/>
      <c r="I403" s="78" t="n"/>
      <c r="J403" s="78" t="n"/>
    </row>
    <row r="404">
      <c r="A404" s="84">
        <f>ROW()-6</f>
        <v/>
      </c>
      <c r="B404" s="85">
        <f>+MATCH(D404,ARTICULOS!$F$10:$F$699,0)</f>
        <v/>
      </c>
      <c r="C404" s="86">
        <f>+VLOOKUP(B404,ARTICULOS!$D$10:$I$699,6)</f>
        <v/>
      </c>
      <c r="D404" s="212" t="n"/>
      <c r="E404" s="75">
        <f>+C404&amp;F404</f>
        <v/>
      </c>
      <c r="F404" s="80" t="n"/>
      <c r="G404" s="81" t="n"/>
      <c r="H404" s="78" t="n"/>
      <c r="I404" s="78" t="n"/>
      <c r="J404" s="78" t="n"/>
    </row>
    <row r="405">
      <c r="A405" s="84">
        <f>ROW()-6</f>
        <v/>
      </c>
      <c r="B405" s="85">
        <f>+MATCH(D405,ARTICULOS!$F$10:$F$699,0)</f>
        <v/>
      </c>
      <c r="C405" s="86">
        <f>+VLOOKUP(B405,ARTICULOS!$D$10:$I$699,6)</f>
        <v/>
      </c>
      <c r="D405" s="212" t="n"/>
      <c r="E405" s="75">
        <f>+C405&amp;F405</f>
        <v/>
      </c>
      <c r="F405" s="80" t="n"/>
      <c r="G405" s="81" t="n"/>
      <c r="H405" s="78" t="n"/>
      <c r="I405" s="78" t="n"/>
      <c r="J405" s="78" t="n"/>
    </row>
    <row r="406">
      <c r="A406" s="84">
        <f>ROW()-6</f>
        <v/>
      </c>
      <c r="B406" s="85">
        <f>+MATCH(D406,ARTICULOS!$F$10:$F$699,0)</f>
        <v/>
      </c>
      <c r="C406" s="86">
        <f>+VLOOKUP(B406,ARTICULOS!$D$10:$I$699,6)</f>
        <v/>
      </c>
      <c r="D406" s="212" t="n"/>
      <c r="E406" s="75">
        <f>+C406&amp;F406</f>
        <v/>
      </c>
      <c r="F406" s="80" t="n"/>
      <c r="G406" s="81" t="n"/>
      <c r="H406" s="78" t="n"/>
      <c r="I406" s="78" t="n"/>
      <c r="J406" s="78" t="n"/>
    </row>
    <row r="407">
      <c r="A407" s="84">
        <f>ROW()-6</f>
        <v/>
      </c>
      <c r="B407" s="85">
        <f>+MATCH(D407,ARTICULOS!$F$10:$F$699,0)</f>
        <v/>
      </c>
      <c r="C407" s="86">
        <f>+VLOOKUP(B407,ARTICULOS!$D$10:$I$699,6)</f>
        <v/>
      </c>
      <c r="D407" s="212" t="n"/>
      <c r="E407" s="75">
        <f>+C407&amp;F407</f>
        <v/>
      </c>
      <c r="F407" s="80" t="n"/>
      <c r="G407" s="81" t="n"/>
      <c r="H407" s="78" t="n"/>
      <c r="I407" s="78" t="n"/>
      <c r="J407" s="78" t="n"/>
    </row>
    <row r="408">
      <c r="A408" s="84">
        <f>ROW()-6</f>
        <v/>
      </c>
      <c r="B408" s="85">
        <f>+MATCH(D408,ARTICULOS!$F$10:$F$699,0)</f>
        <v/>
      </c>
      <c r="C408" s="86">
        <f>+VLOOKUP(B408,ARTICULOS!$D$10:$I$699,6)</f>
        <v/>
      </c>
      <c r="D408" s="212" t="n"/>
      <c r="E408" s="75">
        <f>+C408&amp;F408</f>
        <v/>
      </c>
      <c r="F408" s="80" t="n"/>
      <c r="G408" s="81" t="n"/>
      <c r="H408" s="78" t="n"/>
      <c r="I408" s="78" t="n"/>
      <c r="J408" s="78" t="n"/>
    </row>
    <row r="409">
      <c r="A409" s="84">
        <f>ROW()-6</f>
        <v/>
      </c>
      <c r="B409" s="85">
        <f>+MATCH(D409,ARTICULOS!$F$10:$F$699,0)</f>
        <v/>
      </c>
      <c r="C409" s="86">
        <f>+VLOOKUP(B409,ARTICULOS!$D$10:$I$699,6)</f>
        <v/>
      </c>
      <c r="D409" s="212" t="n"/>
      <c r="E409" s="75">
        <f>+C409&amp;F409</f>
        <v/>
      </c>
      <c r="F409" s="80" t="n"/>
      <c r="G409" s="81" t="n"/>
      <c r="H409" s="78" t="n"/>
      <c r="I409" s="78" t="n"/>
      <c r="J409" s="78" t="n"/>
    </row>
    <row r="410">
      <c r="A410" s="84">
        <f>ROW()-6</f>
        <v/>
      </c>
      <c r="B410" s="85">
        <f>+MATCH(D410,ARTICULOS!$F$10:$F$699,0)</f>
        <v/>
      </c>
      <c r="C410" s="86">
        <f>+VLOOKUP(B410,ARTICULOS!$D$10:$I$699,6)</f>
        <v/>
      </c>
      <c r="D410" s="212" t="n"/>
      <c r="E410" s="75">
        <f>+C410&amp;F410</f>
        <v/>
      </c>
      <c r="F410" s="80" t="n"/>
      <c r="G410" s="81" t="n"/>
      <c r="H410" s="78" t="n"/>
      <c r="I410" s="78" t="n"/>
      <c r="J410" s="78" t="n"/>
    </row>
    <row r="411">
      <c r="A411" s="84">
        <f>ROW()-6</f>
        <v/>
      </c>
      <c r="B411" s="85">
        <f>+MATCH(D411,ARTICULOS!$F$10:$F$699,0)</f>
        <v/>
      </c>
      <c r="C411" s="86">
        <f>+VLOOKUP(B411,ARTICULOS!$D$10:$I$699,6)</f>
        <v/>
      </c>
      <c r="D411" s="212" t="n"/>
      <c r="E411" s="75">
        <f>+C411&amp;F411</f>
        <v/>
      </c>
      <c r="F411" s="80" t="n"/>
      <c r="G411" s="81" t="n"/>
      <c r="H411" s="78" t="n"/>
      <c r="I411" s="78" t="n"/>
      <c r="J411" s="78" t="n"/>
    </row>
    <row r="412">
      <c r="A412" s="84">
        <f>ROW()-6</f>
        <v/>
      </c>
      <c r="B412" s="85">
        <f>+MATCH(D412,ARTICULOS!$F$10:$F$699,0)</f>
        <v/>
      </c>
      <c r="C412" s="86">
        <f>+VLOOKUP(B412,ARTICULOS!$D$10:$I$699,6)</f>
        <v/>
      </c>
      <c r="D412" s="212" t="n"/>
      <c r="E412" s="75">
        <f>+C412&amp;F412</f>
        <v/>
      </c>
      <c r="F412" s="80" t="n"/>
      <c r="G412" s="81" t="n"/>
      <c r="H412" s="78" t="n"/>
      <c r="I412" s="78" t="n"/>
      <c r="J412" s="78" t="n"/>
    </row>
    <row r="413">
      <c r="A413" s="84">
        <f>ROW()-6</f>
        <v/>
      </c>
      <c r="B413" s="85">
        <f>+MATCH(D413,ARTICULOS!$F$10:$F$699,0)</f>
        <v/>
      </c>
      <c r="C413" s="86">
        <f>+VLOOKUP(B413,ARTICULOS!$D$10:$I$699,6)</f>
        <v/>
      </c>
      <c r="D413" s="212" t="n"/>
      <c r="E413" s="75">
        <f>+C413&amp;F413</f>
        <v/>
      </c>
      <c r="F413" s="80" t="n"/>
      <c r="G413" s="81" t="n"/>
      <c r="H413" s="78" t="n"/>
      <c r="I413" s="78" t="n"/>
      <c r="J413" s="78" t="n"/>
    </row>
    <row r="414">
      <c r="A414" s="84">
        <f>ROW()-6</f>
        <v/>
      </c>
      <c r="B414" s="85">
        <f>+MATCH(D414,ARTICULOS!$F$10:$F$699,0)</f>
        <v/>
      </c>
      <c r="C414" s="86">
        <f>+VLOOKUP(B414,ARTICULOS!$D$10:$I$699,6)</f>
        <v/>
      </c>
      <c r="D414" s="212" t="n"/>
      <c r="E414" s="75">
        <f>+C414&amp;F414</f>
        <v/>
      </c>
      <c r="F414" s="80" t="n"/>
      <c r="G414" s="81" t="n"/>
      <c r="H414" s="78" t="n"/>
      <c r="I414" s="78" t="n"/>
      <c r="J414" s="78" t="n"/>
    </row>
    <row r="415">
      <c r="A415" s="84">
        <f>ROW()-6</f>
        <v/>
      </c>
      <c r="B415" s="85">
        <f>+MATCH(D415,ARTICULOS!$F$10:$F$699,0)</f>
        <v/>
      </c>
      <c r="C415" s="86">
        <f>+VLOOKUP(B415,ARTICULOS!$D$10:$I$699,6)</f>
        <v/>
      </c>
      <c r="D415" s="212" t="n"/>
      <c r="E415" s="75">
        <f>+C415&amp;F415</f>
        <v/>
      </c>
      <c r="F415" s="80" t="n"/>
      <c r="G415" s="81" t="n"/>
      <c r="H415" s="78" t="n"/>
      <c r="I415" s="78" t="n"/>
      <c r="J415" s="78" t="n"/>
    </row>
    <row r="416">
      <c r="A416" s="84">
        <f>ROW()-6</f>
        <v/>
      </c>
      <c r="B416" s="85">
        <f>+MATCH(D416,ARTICULOS!$F$10:$F$699,0)</f>
        <v/>
      </c>
      <c r="C416" s="86">
        <f>+VLOOKUP(B416,ARTICULOS!$D$10:$I$699,6)</f>
        <v/>
      </c>
      <c r="D416" s="212" t="n"/>
      <c r="E416" s="75">
        <f>+C416&amp;F416</f>
        <v/>
      </c>
      <c r="F416" s="80" t="n"/>
      <c r="G416" s="81" t="n"/>
      <c r="H416" s="78" t="n"/>
      <c r="I416" s="78" t="n"/>
      <c r="J416" s="78" t="n"/>
    </row>
    <row r="417">
      <c r="A417" s="84">
        <f>ROW()-6</f>
        <v/>
      </c>
      <c r="B417" s="85">
        <f>+MATCH(D417,ARTICULOS!$F$10:$F$699,0)</f>
        <v/>
      </c>
      <c r="C417" s="86">
        <f>+VLOOKUP(B417,ARTICULOS!$D$10:$I$699,6)</f>
        <v/>
      </c>
      <c r="D417" s="212" t="n"/>
      <c r="E417" s="75">
        <f>+C417&amp;F417</f>
        <v/>
      </c>
      <c r="F417" s="80" t="n"/>
      <c r="G417" s="81" t="n"/>
      <c r="H417" s="78" t="n"/>
      <c r="I417" s="78" t="n"/>
      <c r="J417" s="78" t="n"/>
    </row>
    <row r="418">
      <c r="A418" s="84">
        <f>ROW()-6</f>
        <v/>
      </c>
      <c r="B418" s="85">
        <f>+MATCH(D418,ARTICULOS!$F$10:$F$699,0)</f>
        <v/>
      </c>
      <c r="C418" s="86">
        <f>+VLOOKUP(B418,ARTICULOS!$D$10:$I$699,6)</f>
        <v/>
      </c>
      <c r="D418" s="212" t="n"/>
      <c r="E418" s="75">
        <f>+C418&amp;F418</f>
        <v/>
      </c>
      <c r="F418" s="80" t="n"/>
      <c r="G418" s="81" t="n"/>
      <c r="H418" s="78" t="n"/>
      <c r="I418" s="78" t="n"/>
      <c r="J418" s="78" t="n"/>
    </row>
    <row r="419">
      <c r="A419" s="84">
        <f>ROW()-6</f>
        <v/>
      </c>
      <c r="B419" s="85">
        <f>+MATCH(D419,ARTICULOS!$F$10:$F$699,0)</f>
        <v/>
      </c>
      <c r="C419" s="86">
        <f>+VLOOKUP(B419,ARTICULOS!$D$10:$I$699,6)</f>
        <v/>
      </c>
      <c r="D419" s="212" t="n"/>
      <c r="E419" s="75">
        <f>+C419&amp;F419</f>
        <v/>
      </c>
      <c r="F419" s="80" t="n"/>
      <c r="G419" s="81" t="n"/>
      <c r="H419" s="78" t="n"/>
      <c r="I419" s="78" t="n"/>
      <c r="J419" s="78" t="n"/>
    </row>
    <row r="420">
      <c r="A420" s="84">
        <f>ROW()-6</f>
        <v/>
      </c>
      <c r="B420" s="85">
        <f>+MATCH(D420,ARTICULOS!$F$10:$F$699,0)</f>
        <v/>
      </c>
      <c r="C420" s="86">
        <f>+VLOOKUP(B420,ARTICULOS!$D$10:$I$699,6)</f>
        <v/>
      </c>
      <c r="D420" s="212" t="n"/>
      <c r="E420" s="75">
        <f>+C420&amp;F420</f>
        <v/>
      </c>
      <c r="F420" s="80" t="n"/>
      <c r="G420" s="81" t="n"/>
      <c r="H420" s="78" t="n"/>
      <c r="I420" s="78" t="n"/>
      <c r="J420" s="78" t="n"/>
    </row>
    <row r="421">
      <c r="A421" s="84">
        <f>ROW()-6</f>
        <v/>
      </c>
      <c r="B421" s="85">
        <f>+MATCH(D421,ARTICULOS!$F$10:$F$699,0)</f>
        <v/>
      </c>
      <c r="C421" s="86">
        <f>+VLOOKUP(B421,ARTICULOS!$D$10:$I$699,6)</f>
        <v/>
      </c>
      <c r="D421" s="212" t="n"/>
      <c r="E421" s="75">
        <f>+C421&amp;F421</f>
        <v/>
      </c>
      <c r="F421" s="80" t="n"/>
      <c r="G421" s="81" t="n"/>
      <c r="H421" s="78" t="n"/>
      <c r="I421" s="78" t="n"/>
      <c r="J421" s="78" t="n"/>
    </row>
    <row r="422">
      <c r="A422" s="84">
        <f>ROW()-6</f>
        <v/>
      </c>
      <c r="B422" s="85">
        <f>+MATCH(D422,ARTICULOS!$F$10:$F$699,0)</f>
        <v/>
      </c>
      <c r="C422" s="86">
        <f>+VLOOKUP(B422,ARTICULOS!$D$10:$I$699,6)</f>
        <v/>
      </c>
      <c r="D422" s="212" t="n"/>
      <c r="E422" s="75">
        <f>+C422&amp;F422</f>
        <v/>
      </c>
      <c r="F422" s="80" t="n"/>
      <c r="G422" s="81" t="n"/>
      <c r="H422" s="78" t="n"/>
      <c r="I422" s="78" t="n"/>
      <c r="J422" s="78" t="n"/>
    </row>
    <row r="423">
      <c r="A423" s="84">
        <f>ROW()-6</f>
        <v/>
      </c>
      <c r="B423" s="85">
        <f>+MATCH(D423,ARTICULOS!$F$10:$F$699,0)</f>
        <v/>
      </c>
      <c r="C423" s="86">
        <f>+VLOOKUP(B423,ARTICULOS!$D$10:$I$699,6)</f>
        <v/>
      </c>
      <c r="D423" s="212" t="n"/>
      <c r="E423" s="75">
        <f>+C423&amp;F423</f>
        <v/>
      </c>
      <c r="F423" s="80" t="n"/>
      <c r="G423" s="81" t="n"/>
      <c r="H423" s="78" t="n"/>
      <c r="I423" s="78" t="n"/>
      <c r="J423" s="78" t="n"/>
    </row>
    <row r="424">
      <c r="A424" s="84">
        <f>ROW()-6</f>
        <v/>
      </c>
      <c r="B424" s="85">
        <f>+MATCH(D424,ARTICULOS!$F$10:$F$699,0)</f>
        <v/>
      </c>
      <c r="C424" s="86">
        <f>+VLOOKUP(B424,ARTICULOS!$D$10:$I$699,6)</f>
        <v/>
      </c>
      <c r="D424" s="212" t="n"/>
      <c r="E424" s="75">
        <f>+C424&amp;F424</f>
        <v/>
      </c>
      <c r="F424" s="80" t="n"/>
      <c r="G424" s="81" t="n"/>
      <c r="H424" s="78" t="n"/>
      <c r="I424" s="78" t="n"/>
      <c r="J424" s="78" t="n"/>
    </row>
    <row r="425">
      <c r="A425" s="84">
        <f>ROW()-6</f>
        <v/>
      </c>
      <c r="B425" s="85">
        <f>+MATCH(D425,ARTICULOS!$F$10:$F$699,0)</f>
        <v/>
      </c>
      <c r="C425" s="86">
        <f>+VLOOKUP(B425,ARTICULOS!$D$10:$I$699,6)</f>
        <v/>
      </c>
      <c r="D425" s="212" t="n"/>
      <c r="E425" s="75">
        <f>+C425&amp;F425</f>
        <v/>
      </c>
      <c r="F425" s="80" t="n"/>
      <c r="G425" s="81" t="n"/>
      <c r="H425" s="78" t="n"/>
      <c r="I425" s="78" t="n"/>
      <c r="J425" s="78" t="n"/>
    </row>
    <row r="426">
      <c r="A426" s="84">
        <f>ROW()-6</f>
        <v/>
      </c>
      <c r="B426" s="85">
        <f>+MATCH(D426,ARTICULOS!$F$10:$F$699,0)</f>
        <v/>
      </c>
      <c r="C426" s="86">
        <f>+VLOOKUP(B426,ARTICULOS!$D$10:$I$699,6)</f>
        <v/>
      </c>
      <c r="D426" s="212" t="n"/>
      <c r="E426" s="75">
        <f>+C426&amp;F426</f>
        <v/>
      </c>
      <c r="F426" s="80" t="n"/>
      <c r="G426" s="81" t="n"/>
      <c r="H426" s="78" t="n"/>
      <c r="I426" s="78" t="n"/>
      <c r="J426" s="78" t="n"/>
    </row>
    <row r="427">
      <c r="A427" s="84">
        <f>ROW()-6</f>
        <v/>
      </c>
      <c r="B427" s="85">
        <f>+MATCH(D427,ARTICULOS!$F$10:$F$699,0)</f>
        <v/>
      </c>
      <c r="C427" s="86">
        <f>+VLOOKUP(B427,ARTICULOS!$D$10:$I$699,6)</f>
        <v/>
      </c>
      <c r="D427" s="212" t="n"/>
      <c r="E427" s="75">
        <f>+C427&amp;F427</f>
        <v/>
      </c>
      <c r="F427" s="80" t="n"/>
      <c r="G427" s="81" t="n"/>
      <c r="H427" s="78" t="n"/>
      <c r="I427" s="78" t="n"/>
      <c r="J427" s="78" t="n"/>
    </row>
    <row r="428">
      <c r="A428" s="84">
        <f>ROW()-6</f>
        <v/>
      </c>
      <c r="B428" s="85">
        <f>+MATCH(D428,ARTICULOS!$F$10:$F$699,0)</f>
        <v/>
      </c>
      <c r="C428" s="86">
        <f>+VLOOKUP(B428,ARTICULOS!$D$10:$I$699,6)</f>
        <v/>
      </c>
      <c r="D428" s="212" t="n"/>
      <c r="E428" s="75">
        <f>+C428&amp;F428</f>
        <v/>
      </c>
      <c r="F428" s="80" t="n"/>
      <c r="G428" s="81" t="n"/>
      <c r="H428" s="78" t="n"/>
      <c r="I428" s="78" t="n"/>
      <c r="J428" s="78" t="n"/>
    </row>
    <row r="429">
      <c r="A429" s="84">
        <f>ROW()-6</f>
        <v/>
      </c>
      <c r="B429" s="85">
        <f>+MATCH(D429,ARTICULOS!$F$10:$F$699,0)</f>
        <v/>
      </c>
      <c r="C429" s="86">
        <f>+VLOOKUP(B429,ARTICULOS!$D$10:$I$699,6)</f>
        <v/>
      </c>
      <c r="D429" s="212" t="n"/>
      <c r="E429" s="75">
        <f>+C429&amp;F429</f>
        <v/>
      </c>
      <c r="F429" s="80" t="n"/>
      <c r="G429" s="81" t="n"/>
      <c r="H429" s="78" t="n"/>
      <c r="I429" s="78" t="n"/>
      <c r="J429" s="78" t="n"/>
    </row>
    <row r="430">
      <c r="A430" s="84">
        <f>ROW()-6</f>
        <v/>
      </c>
      <c r="B430" s="85">
        <f>+MATCH(D430,ARTICULOS!$F$10:$F$699,0)</f>
        <v/>
      </c>
      <c r="C430" s="86">
        <f>+VLOOKUP(B430,ARTICULOS!$D$10:$I$699,6)</f>
        <v/>
      </c>
      <c r="D430" s="212" t="n"/>
      <c r="E430" s="75">
        <f>+C430&amp;F430</f>
        <v/>
      </c>
      <c r="F430" s="80" t="n"/>
      <c r="G430" s="81" t="n"/>
      <c r="H430" s="78" t="n"/>
      <c r="I430" s="78" t="n"/>
      <c r="J430" s="78" t="n"/>
    </row>
    <row r="431">
      <c r="A431" s="84">
        <f>ROW()-6</f>
        <v/>
      </c>
      <c r="B431" s="85">
        <f>+MATCH(D431,ARTICULOS!$F$10:$F$699,0)</f>
        <v/>
      </c>
      <c r="C431" s="86">
        <f>+VLOOKUP(B431,ARTICULOS!$D$10:$I$699,6)</f>
        <v/>
      </c>
      <c r="D431" s="212" t="n"/>
      <c r="E431" s="75">
        <f>+C431&amp;F431</f>
        <v/>
      </c>
      <c r="F431" s="80" t="n"/>
      <c r="G431" s="81" t="n"/>
      <c r="H431" s="78" t="n"/>
      <c r="I431" s="78" t="n"/>
      <c r="J431" s="78" t="n"/>
    </row>
    <row r="432">
      <c r="A432" s="84">
        <f>ROW()-6</f>
        <v/>
      </c>
      <c r="B432" s="85">
        <f>+MATCH(D432,ARTICULOS!$F$10:$F$699,0)</f>
        <v/>
      </c>
      <c r="C432" s="86">
        <f>+VLOOKUP(B432,ARTICULOS!$D$10:$I$699,6)</f>
        <v/>
      </c>
      <c r="D432" s="212" t="n"/>
      <c r="E432" s="75">
        <f>+C432&amp;F432</f>
        <v/>
      </c>
      <c r="F432" s="80" t="n"/>
      <c r="G432" s="81" t="n"/>
      <c r="H432" s="78" t="n"/>
      <c r="I432" s="78" t="n"/>
      <c r="J432" s="78" t="n"/>
    </row>
    <row r="433">
      <c r="A433" s="84">
        <f>ROW()-6</f>
        <v/>
      </c>
      <c r="B433" s="85">
        <f>+MATCH(D433,ARTICULOS!$F$10:$F$699,0)</f>
        <v/>
      </c>
      <c r="C433" s="86">
        <f>+VLOOKUP(B433,ARTICULOS!$D$10:$I$699,6)</f>
        <v/>
      </c>
      <c r="D433" s="212" t="n"/>
      <c r="E433" s="75">
        <f>+C433&amp;F433</f>
        <v/>
      </c>
      <c r="F433" s="80" t="n"/>
      <c r="G433" s="81" t="n"/>
      <c r="H433" s="78" t="n"/>
      <c r="I433" s="78" t="n"/>
      <c r="J433" s="78" t="n"/>
    </row>
    <row r="434">
      <c r="A434" s="84">
        <f>ROW()-6</f>
        <v/>
      </c>
      <c r="B434" s="85">
        <f>+MATCH(D434,ARTICULOS!$F$10:$F$699,0)</f>
        <v/>
      </c>
      <c r="C434" s="86">
        <f>+VLOOKUP(B434,ARTICULOS!$D$10:$I$699,6)</f>
        <v/>
      </c>
      <c r="D434" s="212" t="n"/>
      <c r="E434" s="75">
        <f>+C434&amp;F434</f>
        <v/>
      </c>
      <c r="F434" s="80" t="n"/>
      <c r="G434" s="81" t="n"/>
      <c r="H434" s="78" t="n"/>
      <c r="I434" s="78" t="n"/>
      <c r="J434" s="78" t="n"/>
    </row>
    <row r="435">
      <c r="A435" s="84">
        <f>ROW()-6</f>
        <v/>
      </c>
      <c r="B435" s="85">
        <f>+MATCH(D435,ARTICULOS!$F$10:$F$699,0)</f>
        <v/>
      </c>
      <c r="C435" s="86">
        <f>+VLOOKUP(B435,ARTICULOS!$D$10:$I$699,6)</f>
        <v/>
      </c>
      <c r="D435" s="212" t="n"/>
      <c r="E435" s="75">
        <f>+C435&amp;F435</f>
        <v/>
      </c>
      <c r="F435" s="80" t="n"/>
      <c r="G435" s="81" t="n"/>
      <c r="H435" s="78" t="n"/>
      <c r="I435" s="78" t="n"/>
      <c r="J435" s="78" t="n"/>
    </row>
    <row r="436">
      <c r="A436" s="84">
        <f>ROW()-6</f>
        <v/>
      </c>
      <c r="B436" s="85">
        <f>+MATCH(D436,ARTICULOS!$F$10:$F$699,0)</f>
        <v/>
      </c>
      <c r="C436" s="86">
        <f>+VLOOKUP(B436,ARTICULOS!$D$10:$I$699,6)</f>
        <v/>
      </c>
      <c r="D436" s="212" t="n"/>
      <c r="E436" s="75">
        <f>+C436&amp;F436</f>
        <v/>
      </c>
      <c r="F436" s="80" t="n"/>
      <c r="G436" s="81" t="n"/>
      <c r="H436" s="78" t="n"/>
      <c r="I436" s="78" t="n"/>
      <c r="J436" s="78" t="n"/>
    </row>
    <row r="437">
      <c r="A437" s="84">
        <f>ROW()-6</f>
        <v/>
      </c>
      <c r="B437" s="85">
        <f>+MATCH(D437,ARTICULOS!$F$10:$F$699,0)</f>
        <v/>
      </c>
      <c r="C437" s="86">
        <f>+VLOOKUP(B437,ARTICULOS!$D$10:$I$699,6)</f>
        <v/>
      </c>
      <c r="D437" s="212" t="n"/>
      <c r="E437" s="75">
        <f>+C437&amp;F437</f>
        <v/>
      </c>
      <c r="F437" s="80" t="n"/>
      <c r="G437" s="81" t="n"/>
      <c r="H437" s="78" t="n"/>
      <c r="I437" s="78" t="n"/>
      <c r="J437" s="78" t="n"/>
    </row>
    <row r="438">
      <c r="A438" s="84">
        <f>ROW()-6</f>
        <v/>
      </c>
      <c r="B438" s="85">
        <f>+MATCH(D438,ARTICULOS!$F$10:$F$699,0)</f>
        <v/>
      </c>
      <c r="C438" s="86">
        <f>+VLOOKUP(B438,ARTICULOS!$D$10:$I$699,6)</f>
        <v/>
      </c>
      <c r="D438" s="212" t="n"/>
      <c r="E438" s="75">
        <f>+C438&amp;F438</f>
        <v/>
      </c>
      <c r="F438" s="80" t="n"/>
      <c r="G438" s="81" t="n"/>
      <c r="H438" s="78" t="n"/>
      <c r="I438" s="78" t="n"/>
      <c r="J438" s="78" t="n"/>
    </row>
    <row r="439">
      <c r="A439" s="84">
        <f>ROW()-6</f>
        <v/>
      </c>
      <c r="B439" s="85">
        <f>+MATCH(D439,ARTICULOS!$F$10:$F$699,0)</f>
        <v/>
      </c>
      <c r="C439" s="86">
        <f>+VLOOKUP(B439,ARTICULOS!$D$10:$I$699,6)</f>
        <v/>
      </c>
      <c r="D439" s="212" t="n"/>
      <c r="E439" s="75">
        <f>+C439&amp;F439</f>
        <v/>
      </c>
      <c r="F439" s="80" t="n"/>
      <c r="G439" s="81" t="n"/>
      <c r="H439" s="78" t="n"/>
      <c r="I439" s="78" t="n"/>
      <c r="J439" s="78" t="n"/>
    </row>
    <row r="440">
      <c r="A440" s="84">
        <f>ROW()-6</f>
        <v/>
      </c>
      <c r="B440" s="85">
        <f>+MATCH(D440,ARTICULOS!$F$10:$F$699,0)</f>
        <v/>
      </c>
      <c r="C440" s="86">
        <f>+VLOOKUP(B440,ARTICULOS!$D$10:$I$699,6)</f>
        <v/>
      </c>
      <c r="D440" s="212" t="n"/>
      <c r="E440" s="75">
        <f>+C440&amp;F440</f>
        <v/>
      </c>
      <c r="F440" s="80" t="n"/>
      <c r="G440" s="81" t="n"/>
      <c r="H440" s="78" t="n"/>
      <c r="I440" s="78" t="n"/>
      <c r="J440" s="78" t="n"/>
    </row>
    <row r="441">
      <c r="A441" s="84">
        <f>ROW()-6</f>
        <v/>
      </c>
      <c r="B441" s="85">
        <f>+MATCH(D441,ARTICULOS!$F$10:$F$699,0)</f>
        <v/>
      </c>
      <c r="C441" s="86">
        <f>+VLOOKUP(B441,ARTICULOS!$D$10:$I$699,6)</f>
        <v/>
      </c>
      <c r="D441" s="212" t="n"/>
      <c r="E441" s="75">
        <f>+C441&amp;F441</f>
        <v/>
      </c>
      <c r="F441" s="80" t="n"/>
      <c r="G441" s="81" t="n"/>
      <c r="H441" s="78" t="n"/>
      <c r="I441" s="78" t="n"/>
      <c r="J441" s="78" t="n"/>
    </row>
    <row r="442">
      <c r="A442" s="84">
        <f>ROW()-6</f>
        <v/>
      </c>
      <c r="B442" s="85">
        <f>+MATCH(D442,ARTICULOS!$F$10:$F$699,0)</f>
        <v/>
      </c>
      <c r="C442" s="86">
        <f>+VLOOKUP(B442,ARTICULOS!$D$10:$I$699,6)</f>
        <v/>
      </c>
      <c r="D442" s="212" t="n"/>
      <c r="E442" s="75">
        <f>+C442&amp;F442</f>
        <v/>
      </c>
      <c r="F442" s="80" t="n"/>
      <c r="G442" s="81" t="n"/>
      <c r="H442" s="78" t="n"/>
      <c r="I442" s="78" t="n"/>
      <c r="J442" s="78" t="n"/>
    </row>
    <row r="443">
      <c r="A443" s="84">
        <f>ROW()-6</f>
        <v/>
      </c>
      <c r="B443" s="85">
        <f>+MATCH(D443,ARTICULOS!$F$10:$F$699,0)</f>
        <v/>
      </c>
      <c r="C443" s="86">
        <f>+VLOOKUP(B443,ARTICULOS!$D$10:$I$699,6)</f>
        <v/>
      </c>
      <c r="D443" s="212" t="n"/>
      <c r="E443" s="75">
        <f>+C443&amp;F443</f>
        <v/>
      </c>
      <c r="F443" s="80" t="n"/>
      <c r="G443" s="81" t="n"/>
      <c r="H443" s="78" t="n"/>
      <c r="I443" s="78" t="n"/>
      <c r="J443" s="78" t="n"/>
    </row>
    <row r="444">
      <c r="A444" s="84">
        <f>ROW()-6</f>
        <v/>
      </c>
      <c r="B444" s="85">
        <f>+MATCH(D444,ARTICULOS!$F$10:$F$699,0)</f>
        <v/>
      </c>
      <c r="C444" s="86">
        <f>+VLOOKUP(B444,ARTICULOS!$D$10:$I$699,6)</f>
        <v/>
      </c>
      <c r="D444" s="212" t="n"/>
      <c r="E444" s="75">
        <f>+C444&amp;F444</f>
        <v/>
      </c>
      <c r="F444" s="80" t="n"/>
      <c r="G444" s="81" t="n"/>
      <c r="H444" s="78" t="n"/>
      <c r="I444" s="78" t="n"/>
      <c r="J444" s="78" t="n"/>
    </row>
    <row r="445">
      <c r="A445" s="84">
        <f>ROW()-6</f>
        <v/>
      </c>
      <c r="B445" s="85">
        <f>+MATCH(D445,ARTICULOS!$F$10:$F$699,0)</f>
        <v/>
      </c>
      <c r="C445" s="86">
        <f>+VLOOKUP(B445,ARTICULOS!$D$10:$I$699,6)</f>
        <v/>
      </c>
      <c r="D445" s="212" t="n"/>
      <c r="E445" s="75">
        <f>+C445&amp;F445</f>
        <v/>
      </c>
      <c r="F445" s="80" t="n"/>
      <c r="G445" s="81" t="n"/>
      <c r="H445" s="78" t="n"/>
      <c r="I445" s="78" t="n"/>
      <c r="J445" s="78" t="n"/>
    </row>
    <row r="446">
      <c r="A446" s="84">
        <f>ROW()-6</f>
        <v/>
      </c>
      <c r="B446" s="85">
        <f>+MATCH(D446,ARTICULOS!$F$10:$F$699,0)</f>
        <v/>
      </c>
      <c r="C446" s="86">
        <f>+VLOOKUP(B446,ARTICULOS!$D$10:$I$699,6)</f>
        <v/>
      </c>
      <c r="D446" s="212" t="n"/>
      <c r="E446" s="75">
        <f>+C446&amp;F446</f>
        <v/>
      </c>
      <c r="F446" s="80" t="n"/>
      <c r="G446" s="81" t="n"/>
      <c r="H446" s="78" t="n"/>
      <c r="I446" s="78" t="n"/>
      <c r="J446" s="78" t="n"/>
    </row>
    <row r="447">
      <c r="A447" s="84">
        <f>ROW()-6</f>
        <v/>
      </c>
      <c r="B447" s="85">
        <f>+MATCH(D447,ARTICULOS!$F$10:$F$699,0)</f>
        <v/>
      </c>
      <c r="C447" s="86">
        <f>+VLOOKUP(B447,ARTICULOS!$D$10:$I$699,6)</f>
        <v/>
      </c>
      <c r="D447" s="212" t="n"/>
      <c r="E447" s="75">
        <f>+C447&amp;F447</f>
        <v/>
      </c>
      <c r="F447" s="80" t="n"/>
      <c r="G447" s="81" t="n"/>
      <c r="H447" s="78" t="n"/>
      <c r="I447" s="78" t="n"/>
      <c r="J447" s="78" t="n"/>
    </row>
    <row r="448">
      <c r="A448" s="84">
        <f>ROW()-6</f>
        <v/>
      </c>
      <c r="B448" s="85">
        <f>+MATCH(D448,ARTICULOS!$F$10:$F$699,0)</f>
        <v/>
      </c>
      <c r="C448" s="86">
        <f>+VLOOKUP(B448,ARTICULOS!$D$10:$I$699,6)</f>
        <v/>
      </c>
      <c r="D448" s="212" t="n"/>
      <c r="E448" s="75">
        <f>+C448&amp;F448</f>
        <v/>
      </c>
      <c r="F448" s="80" t="n"/>
      <c r="G448" s="81" t="n"/>
      <c r="H448" s="78" t="n"/>
      <c r="I448" s="78" t="n"/>
      <c r="J448" s="78" t="n"/>
    </row>
    <row r="449">
      <c r="A449" s="84">
        <f>ROW()-6</f>
        <v/>
      </c>
      <c r="B449" s="85">
        <f>+MATCH(D449,ARTICULOS!$F$10:$F$699,0)</f>
        <v/>
      </c>
      <c r="C449" s="86">
        <f>+VLOOKUP(B449,ARTICULOS!$D$10:$I$699,6)</f>
        <v/>
      </c>
      <c r="D449" s="212" t="n"/>
      <c r="E449" s="75">
        <f>+C449&amp;F449</f>
        <v/>
      </c>
      <c r="F449" s="80" t="n"/>
      <c r="G449" s="81" t="n"/>
      <c r="H449" s="78" t="n"/>
      <c r="I449" s="78" t="n"/>
      <c r="J449" s="78" t="n"/>
    </row>
    <row r="450">
      <c r="A450" s="84">
        <f>ROW()-6</f>
        <v/>
      </c>
      <c r="B450" s="85">
        <f>+MATCH(D450,ARTICULOS!$F$10:$F$699,0)</f>
        <v/>
      </c>
      <c r="C450" s="86">
        <f>+VLOOKUP(B450,ARTICULOS!$D$10:$I$699,6)</f>
        <v/>
      </c>
      <c r="D450" s="212" t="n"/>
      <c r="E450" s="75">
        <f>+C450&amp;F450</f>
        <v/>
      </c>
      <c r="F450" s="80" t="n"/>
      <c r="G450" s="81" t="n"/>
      <c r="H450" s="78" t="n"/>
      <c r="I450" s="78" t="n"/>
      <c r="J450" s="78" t="n"/>
    </row>
    <row r="451">
      <c r="A451" s="84">
        <f>ROW()-6</f>
        <v/>
      </c>
      <c r="B451" s="85">
        <f>+MATCH(D451,ARTICULOS!$F$10:$F$699,0)</f>
        <v/>
      </c>
      <c r="C451" s="86">
        <f>+VLOOKUP(B451,ARTICULOS!$D$10:$I$699,6)</f>
        <v/>
      </c>
      <c r="D451" s="212" t="n"/>
      <c r="E451" s="75">
        <f>+C451&amp;F451</f>
        <v/>
      </c>
      <c r="F451" s="80" t="n"/>
      <c r="G451" s="81" t="n"/>
      <c r="H451" s="78" t="n"/>
      <c r="I451" s="78" t="n"/>
      <c r="J451" s="78" t="n"/>
    </row>
    <row r="452">
      <c r="A452" s="84">
        <f>ROW()-6</f>
        <v/>
      </c>
      <c r="B452" s="85">
        <f>+MATCH(D452,ARTICULOS!$F$10:$F$699,0)</f>
        <v/>
      </c>
      <c r="C452" s="86">
        <f>+VLOOKUP(B452,ARTICULOS!$D$10:$I$699,6)</f>
        <v/>
      </c>
      <c r="D452" s="212" t="n"/>
      <c r="E452" s="75">
        <f>+C452&amp;F452</f>
        <v/>
      </c>
      <c r="F452" s="80" t="n"/>
      <c r="G452" s="81" t="n"/>
      <c r="H452" s="78" t="n"/>
      <c r="I452" s="78" t="n"/>
      <c r="J452" s="78" t="n"/>
    </row>
    <row r="453">
      <c r="A453" s="84">
        <f>ROW()-6</f>
        <v/>
      </c>
      <c r="B453" s="85">
        <f>+MATCH(D453,ARTICULOS!$F$10:$F$699,0)</f>
        <v/>
      </c>
      <c r="C453" s="86">
        <f>+VLOOKUP(B453,ARTICULOS!$D$10:$I$699,6)</f>
        <v/>
      </c>
      <c r="D453" s="212" t="n"/>
      <c r="E453" s="75">
        <f>+C453&amp;F453</f>
        <v/>
      </c>
      <c r="F453" s="80" t="n"/>
      <c r="G453" s="81" t="n"/>
      <c r="H453" s="78" t="n"/>
      <c r="I453" s="78" t="n"/>
      <c r="J453" s="78" t="n"/>
    </row>
    <row r="454">
      <c r="A454" s="84">
        <f>ROW()-6</f>
        <v/>
      </c>
      <c r="B454" s="85">
        <f>+MATCH(D454,ARTICULOS!$F$10:$F$699,0)</f>
        <v/>
      </c>
      <c r="C454" s="86">
        <f>+VLOOKUP(B454,ARTICULOS!$D$10:$I$699,6)</f>
        <v/>
      </c>
      <c r="D454" s="212" t="n"/>
      <c r="E454" s="75">
        <f>+C454&amp;F454</f>
        <v/>
      </c>
      <c r="F454" s="80" t="n"/>
      <c r="G454" s="81" t="n"/>
      <c r="H454" s="78" t="n"/>
      <c r="I454" s="78" t="n"/>
      <c r="J454" s="78" t="n"/>
    </row>
    <row r="455">
      <c r="A455" s="84">
        <f>ROW()-6</f>
        <v/>
      </c>
      <c r="B455" s="85">
        <f>+MATCH(D455,ARTICULOS!$F$10:$F$699,0)</f>
        <v/>
      </c>
      <c r="C455" s="86">
        <f>+VLOOKUP(B455,ARTICULOS!$D$10:$I$699,6)</f>
        <v/>
      </c>
      <c r="D455" s="212" t="n"/>
      <c r="E455" s="75">
        <f>+C455&amp;F455</f>
        <v/>
      </c>
      <c r="F455" s="80" t="n"/>
      <c r="G455" s="81" t="n"/>
      <c r="H455" s="78" t="n"/>
      <c r="I455" s="78" t="n"/>
      <c r="J455" s="78" t="n"/>
    </row>
    <row r="456">
      <c r="A456" s="84">
        <f>ROW()-6</f>
        <v/>
      </c>
      <c r="B456" s="85">
        <f>+MATCH(D456,ARTICULOS!$F$10:$F$699,0)</f>
        <v/>
      </c>
      <c r="C456" s="86">
        <f>+VLOOKUP(B456,ARTICULOS!$D$10:$I$699,6)</f>
        <v/>
      </c>
      <c r="D456" s="212" t="n"/>
      <c r="E456" s="75">
        <f>+C456&amp;F456</f>
        <v/>
      </c>
      <c r="F456" s="80" t="n"/>
      <c r="G456" s="81" t="n"/>
      <c r="H456" s="78" t="n"/>
      <c r="I456" s="78" t="n"/>
      <c r="J456" s="78" t="n"/>
    </row>
    <row r="457">
      <c r="A457" s="84">
        <f>ROW()-6</f>
        <v/>
      </c>
      <c r="B457" s="85">
        <f>+MATCH(D457,ARTICULOS!$F$10:$F$699,0)</f>
        <v/>
      </c>
      <c r="C457" s="86">
        <f>+VLOOKUP(B457,ARTICULOS!$D$10:$I$699,6)</f>
        <v/>
      </c>
      <c r="D457" s="212" t="n"/>
      <c r="E457" s="75">
        <f>+C457&amp;F457</f>
        <v/>
      </c>
      <c r="F457" s="80" t="n"/>
      <c r="G457" s="81" t="n"/>
      <c r="H457" s="78" t="n"/>
      <c r="I457" s="78" t="n"/>
      <c r="J457" s="78" t="n"/>
    </row>
    <row r="458">
      <c r="A458" s="84">
        <f>ROW()-6</f>
        <v/>
      </c>
      <c r="B458" s="85">
        <f>+MATCH(D458,ARTICULOS!$F$10:$F$699,0)</f>
        <v/>
      </c>
      <c r="C458" s="86">
        <f>+VLOOKUP(B458,ARTICULOS!$D$10:$I$699,6)</f>
        <v/>
      </c>
      <c r="D458" s="212" t="n"/>
      <c r="E458" s="75">
        <f>+C458&amp;F458</f>
        <v/>
      </c>
      <c r="F458" s="80" t="n"/>
      <c r="G458" s="81" t="n"/>
      <c r="H458" s="78" t="n"/>
      <c r="I458" s="78" t="n"/>
      <c r="J458" s="78" t="n"/>
    </row>
    <row r="459">
      <c r="A459" s="84">
        <f>ROW()-6</f>
        <v/>
      </c>
      <c r="B459" s="85">
        <f>+MATCH(D459,ARTICULOS!$F$10:$F$699,0)</f>
        <v/>
      </c>
      <c r="C459" s="86">
        <f>+VLOOKUP(B459,ARTICULOS!$D$10:$I$699,6)</f>
        <v/>
      </c>
      <c r="D459" s="212" t="n"/>
      <c r="E459" s="75">
        <f>+C459&amp;F459</f>
        <v/>
      </c>
      <c r="F459" s="80" t="n"/>
      <c r="G459" s="81" t="n"/>
      <c r="H459" s="78" t="n"/>
      <c r="I459" s="78" t="n"/>
      <c r="J459" s="78" t="n"/>
    </row>
    <row r="460">
      <c r="A460" s="84">
        <f>ROW()-6</f>
        <v/>
      </c>
      <c r="B460" s="85">
        <f>+MATCH(D460,ARTICULOS!$F$10:$F$699,0)</f>
        <v/>
      </c>
      <c r="C460" s="86">
        <f>+VLOOKUP(B460,ARTICULOS!$D$10:$I$699,6)</f>
        <v/>
      </c>
      <c r="D460" s="212" t="n"/>
      <c r="E460" s="75">
        <f>+C460&amp;F460</f>
        <v/>
      </c>
      <c r="F460" s="80" t="n"/>
      <c r="G460" s="81" t="n"/>
      <c r="H460" s="78" t="n"/>
      <c r="I460" s="78" t="n"/>
      <c r="J460" s="78" t="n"/>
    </row>
    <row r="461">
      <c r="A461" s="84">
        <f>ROW()-6</f>
        <v/>
      </c>
      <c r="B461" s="85">
        <f>+MATCH(D461,ARTICULOS!$F$10:$F$699,0)</f>
        <v/>
      </c>
      <c r="C461" s="86">
        <f>+VLOOKUP(B461,ARTICULOS!$D$10:$I$699,6)</f>
        <v/>
      </c>
      <c r="D461" s="212" t="n"/>
      <c r="E461" s="75">
        <f>+C461&amp;F461</f>
        <v/>
      </c>
      <c r="F461" s="80" t="n"/>
      <c r="G461" s="81" t="n"/>
      <c r="H461" s="78" t="n"/>
      <c r="I461" s="78" t="n"/>
      <c r="J461" s="78" t="n"/>
    </row>
    <row r="462">
      <c r="A462" s="84">
        <f>ROW()-6</f>
        <v/>
      </c>
      <c r="B462" s="85">
        <f>+MATCH(D462,ARTICULOS!$F$10:$F$699,0)</f>
        <v/>
      </c>
      <c r="C462" s="86">
        <f>+VLOOKUP(B462,ARTICULOS!$D$10:$I$699,6)</f>
        <v/>
      </c>
      <c r="D462" s="212" t="n"/>
      <c r="E462" s="75">
        <f>+C462&amp;F462</f>
        <v/>
      </c>
      <c r="F462" s="80" t="n"/>
      <c r="G462" s="81" t="n"/>
      <c r="H462" s="78" t="n"/>
      <c r="I462" s="78" t="n"/>
      <c r="J462" s="78" t="n"/>
    </row>
    <row r="463">
      <c r="A463" s="84">
        <f>ROW()-6</f>
        <v/>
      </c>
      <c r="B463" s="85">
        <f>+MATCH(D463,ARTICULOS!$F$10:$F$699,0)</f>
        <v/>
      </c>
      <c r="C463" s="86">
        <f>+VLOOKUP(B463,ARTICULOS!$D$10:$I$699,6)</f>
        <v/>
      </c>
      <c r="D463" s="212" t="n"/>
      <c r="E463" s="75">
        <f>+C463&amp;F463</f>
        <v/>
      </c>
      <c r="F463" s="80" t="n"/>
      <c r="G463" s="81" t="n"/>
      <c r="H463" s="78" t="n"/>
      <c r="I463" s="78" t="n"/>
      <c r="J463" s="78" t="n"/>
    </row>
    <row r="464">
      <c r="A464" s="84">
        <f>ROW()-6</f>
        <v/>
      </c>
      <c r="B464" s="85">
        <f>+MATCH(D464,ARTICULOS!$F$10:$F$699,0)</f>
        <v/>
      </c>
      <c r="C464" s="86">
        <f>+VLOOKUP(B464,ARTICULOS!$D$10:$I$699,6)</f>
        <v/>
      </c>
      <c r="D464" s="212" t="n"/>
      <c r="E464" s="75">
        <f>+C464&amp;F464</f>
        <v/>
      </c>
      <c r="F464" s="80" t="n"/>
      <c r="G464" s="81" t="n"/>
      <c r="H464" s="78" t="n"/>
      <c r="I464" s="78" t="n"/>
      <c r="J464" s="78" t="n"/>
    </row>
    <row r="465">
      <c r="A465" s="84">
        <f>ROW()-6</f>
        <v/>
      </c>
      <c r="B465" s="85">
        <f>+MATCH(D465,ARTICULOS!$F$10:$F$699,0)</f>
        <v/>
      </c>
      <c r="C465" s="86">
        <f>+VLOOKUP(B465,ARTICULOS!$D$10:$I$699,6)</f>
        <v/>
      </c>
      <c r="D465" s="212" t="n"/>
      <c r="E465" s="75">
        <f>+C465&amp;F465</f>
        <v/>
      </c>
      <c r="F465" s="80" t="n"/>
      <c r="G465" s="81" t="n"/>
      <c r="H465" s="78" t="n"/>
      <c r="I465" s="78" t="n"/>
      <c r="J465" s="78" t="n"/>
    </row>
    <row r="466">
      <c r="A466" s="84">
        <f>ROW()-6</f>
        <v/>
      </c>
      <c r="B466" s="85">
        <f>+MATCH(D466,ARTICULOS!$F$10:$F$699,0)</f>
        <v/>
      </c>
      <c r="C466" s="86">
        <f>+VLOOKUP(B466,ARTICULOS!$D$10:$I$699,6)</f>
        <v/>
      </c>
      <c r="D466" s="212" t="n"/>
      <c r="E466" s="75">
        <f>+C466&amp;F466</f>
        <v/>
      </c>
      <c r="F466" s="80" t="n"/>
      <c r="G466" s="81" t="n"/>
      <c r="H466" s="78" t="n"/>
      <c r="I466" s="78" t="n"/>
      <c r="J466" s="78" t="n"/>
    </row>
    <row r="467">
      <c r="A467" s="84">
        <f>ROW()-6</f>
        <v/>
      </c>
      <c r="B467" s="85">
        <f>+MATCH(D467,ARTICULOS!$F$10:$F$699,0)</f>
        <v/>
      </c>
      <c r="C467" s="86">
        <f>+VLOOKUP(B467,ARTICULOS!$D$10:$I$699,6)</f>
        <v/>
      </c>
      <c r="D467" s="212" t="n"/>
      <c r="E467" s="75">
        <f>+C467&amp;F467</f>
        <v/>
      </c>
      <c r="F467" s="80" t="n"/>
      <c r="G467" s="81" t="n"/>
      <c r="H467" s="78" t="n"/>
      <c r="I467" s="78" t="n"/>
      <c r="J467" s="78" t="n"/>
    </row>
    <row r="468">
      <c r="A468" s="84">
        <f>ROW()-6</f>
        <v/>
      </c>
      <c r="B468" s="85">
        <f>+MATCH(D468,ARTICULOS!$F$10:$F$699,0)</f>
        <v/>
      </c>
      <c r="C468" s="86">
        <f>+VLOOKUP(B468,ARTICULOS!$D$10:$I$699,6)</f>
        <v/>
      </c>
      <c r="D468" s="212" t="n"/>
      <c r="E468" s="75">
        <f>+C468&amp;F468</f>
        <v/>
      </c>
      <c r="F468" s="80" t="n"/>
      <c r="G468" s="81" t="n"/>
      <c r="H468" s="78" t="n"/>
      <c r="I468" s="78" t="n"/>
      <c r="J468" s="78" t="n"/>
    </row>
    <row r="469">
      <c r="A469" s="84">
        <f>ROW()-6</f>
        <v/>
      </c>
      <c r="B469" s="85">
        <f>+MATCH(D469,ARTICULOS!$F$10:$F$699,0)</f>
        <v/>
      </c>
      <c r="C469" s="86">
        <f>+VLOOKUP(B469,ARTICULOS!$D$10:$I$699,6)</f>
        <v/>
      </c>
      <c r="D469" s="212" t="n"/>
      <c r="E469" s="75">
        <f>+C469&amp;F469</f>
        <v/>
      </c>
      <c r="F469" s="80" t="n"/>
      <c r="G469" s="81" t="n"/>
      <c r="H469" s="78" t="n"/>
      <c r="I469" s="78" t="n"/>
      <c r="J469" s="78" t="n"/>
    </row>
    <row r="470">
      <c r="A470" s="84">
        <f>ROW()-6</f>
        <v/>
      </c>
      <c r="B470" s="85">
        <f>+MATCH(D470,ARTICULOS!$F$10:$F$699,0)</f>
        <v/>
      </c>
      <c r="C470" s="86">
        <f>+VLOOKUP(B470,ARTICULOS!$D$10:$I$699,6)</f>
        <v/>
      </c>
      <c r="D470" s="212" t="n"/>
      <c r="E470" s="75">
        <f>+C470&amp;F470</f>
        <v/>
      </c>
      <c r="F470" s="80" t="n"/>
      <c r="G470" s="81" t="n"/>
      <c r="H470" s="78" t="n"/>
      <c r="I470" s="78" t="n"/>
      <c r="J470" s="78" t="n"/>
    </row>
    <row r="471">
      <c r="A471" s="84">
        <f>ROW()-6</f>
        <v/>
      </c>
      <c r="B471" s="85">
        <f>+MATCH(D471,ARTICULOS!$F$10:$F$699,0)</f>
        <v/>
      </c>
      <c r="C471" s="86">
        <f>+VLOOKUP(B471,ARTICULOS!$D$10:$I$699,6)</f>
        <v/>
      </c>
      <c r="D471" s="212" t="n"/>
      <c r="E471" s="75">
        <f>+C471&amp;F471</f>
        <v/>
      </c>
      <c r="F471" s="80" t="n"/>
      <c r="G471" s="81" t="n"/>
      <c r="H471" s="78" t="n"/>
      <c r="I471" s="78" t="n"/>
      <c r="J471" s="78" t="n"/>
    </row>
    <row r="472">
      <c r="A472" s="84">
        <f>ROW()-6</f>
        <v/>
      </c>
      <c r="B472" s="85">
        <f>+MATCH(D472,ARTICULOS!$F$10:$F$699,0)</f>
        <v/>
      </c>
      <c r="C472" s="86">
        <f>+VLOOKUP(B472,ARTICULOS!$D$10:$I$699,6)</f>
        <v/>
      </c>
      <c r="D472" s="212" t="n"/>
      <c r="E472" s="75">
        <f>+C472&amp;F472</f>
        <v/>
      </c>
      <c r="F472" s="80" t="n"/>
      <c r="G472" s="81" t="n"/>
      <c r="H472" s="78" t="n"/>
      <c r="I472" s="78" t="n"/>
      <c r="J472" s="78" t="n"/>
    </row>
    <row r="473">
      <c r="A473" s="84">
        <f>ROW()-6</f>
        <v/>
      </c>
      <c r="B473" s="85">
        <f>+MATCH(D473,ARTICULOS!$F$10:$F$699,0)</f>
        <v/>
      </c>
      <c r="C473" s="86">
        <f>+VLOOKUP(B473,ARTICULOS!$D$10:$I$699,6)</f>
        <v/>
      </c>
      <c r="D473" s="212" t="n"/>
      <c r="E473" s="75">
        <f>+C473&amp;F473</f>
        <v/>
      </c>
      <c r="F473" s="80" t="n"/>
      <c r="G473" s="81" t="n"/>
      <c r="H473" s="78" t="n"/>
      <c r="I473" s="78" t="n"/>
      <c r="J473" s="78" t="n"/>
    </row>
    <row r="474">
      <c r="A474" s="84">
        <f>ROW()-6</f>
        <v/>
      </c>
      <c r="B474" s="85">
        <f>+MATCH(D474,ARTICULOS!$F$10:$F$699,0)</f>
        <v/>
      </c>
      <c r="C474" s="86">
        <f>+VLOOKUP(B474,ARTICULOS!$D$10:$I$699,6)</f>
        <v/>
      </c>
      <c r="D474" s="212" t="n"/>
      <c r="E474" s="75">
        <f>+C474&amp;F474</f>
        <v/>
      </c>
      <c r="F474" s="80" t="n"/>
      <c r="G474" s="81" t="n"/>
      <c r="H474" s="78" t="n"/>
      <c r="I474" s="78" t="n"/>
      <c r="J474" s="78" t="n"/>
    </row>
    <row r="475">
      <c r="A475" s="84">
        <f>ROW()-6</f>
        <v/>
      </c>
      <c r="B475" s="85">
        <f>+MATCH(D475,ARTICULOS!$F$10:$F$699,0)</f>
        <v/>
      </c>
      <c r="C475" s="86">
        <f>+VLOOKUP(B475,ARTICULOS!$D$10:$I$699,6)</f>
        <v/>
      </c>
      <c r="D475" s="212" t="n"/>
      <c r="E475" s="75">
        <f>+C475&amp;F475</f>
        <v/>
      </c>
      <c r="F475" s="80" t="n"/>
      <c r="G475" s="81" t="n"/>
      <c r="H475" s="78" t="n"/>
      <c r="I475" s="78" t="n"/>
      <c r="J475" s="78" t="n"/>
    </row>
    <row r="476">
      <c r="A476" s="84">
        <f>ROW()-6</f>
        <v/>
      </c>
      <c r="B476" s="85">
        <f>+MATCH(D476,ARTICULOS!$F$10:$F$699,0)</f>
        <v/>
      </c>
      <c r="C476" s="86">
        <f>+VLOOKUP(B476,ARTICULOS!$D$10:$I$699,6)</f>
        <v/>
      </c>
      <c r="D476" s="212" t="n"/>
      <c r="E476" s="75">
        <f>+C476&amp;F476</f>
        <v/>
      </c>
      <c r="F476" s="80" t="n"/>
      <c r="G476" s="81" t="n"/>
      <c r="H476" s="78" t="n"/>
      <c r="I476" s="78" t="n"/>
      <c r="J476" s="78" t="n"/>
    </row>
    <row r="477">
      <c r="A477" s="84">
        <f>ROW()-6</f>
        <v/>
      </c>
      <c r="B477" s="85">
        <f>+MATCH(D477,ARTICULOS!$F$10:$F$699,0)</f>
        <v/>
      </c>
      <c r="C477" s="86">
        <f>+VLOOKUP(B477,ARTICULOS!$D$10:$I$699,6)</f>
        <v/>
      </c>
      <c r="D477" s="212" t="n"/>
      <c r="E477" s="75">
        <f>+C477&amp;F477</f>
        <v/>
      </c>
      <c r="F477" s="80" t="n"/>
      <c r="G477" s="81" t="n"/>
      <c r="H477" s="78" t="n"/>
      <c r="I477" s="78" t="n"/>
      <c r="J477" s="78" t="n"/>
    </row>
    <row r="478">
      <c r="A478" s="84">
        <f>ROW()-6</f>
        <v/>
      </c>
      <c r="B478" s="85">
        <f>+MATCH(D478,ARTICULOS!$F$10:$F$699,0)</f>
        <v/>
      </c>
      <c r="C478" s="86">
        <f>+VLOOKUP(B478,ARTICULOS!$D$10:$I$699,6)</f>
        <v/>
      </c>
      <c r="D478" s="212" t="n"/>
      <c r="E478" s="75">
        <f>+C478&amp;F478</f>
        <v/>
      </c>
      <c r="F478" s="80" t="n"/>
      <c r="G478" s="81" t="n"/>
      <c r="H478" s="78" t="n"/>
      <c r="I478" s="78" t="n"/>
      <c r="J478" s="78" t="n"/>
    </row>
    <row r="479">
      <c r="A479" s="84">
        <f>ROW()-6</f>
        <v/>
      </c>
      <c r="B479" s="85">
        <f>+MATCH(D479,ARTICULOS!$F$10:$F$699,0)</f>
        <v/>
      </c>
      <c r="C479" s="86">
        <f>+VLOOKUP(B479,ARTICULOS!$D$10:$I$699,6)</f>
        <v/>
      </c>
      <c r="D479" s="212" t="n"/>
      <c r="E479" s="75">
        <f>+C479&amp;F479</f>
        <v/>
      </c>
      <c r="F479" s="80" t="n"/>
      <c r="G479" s="81" t="n"/>
      <c r="H479" s="78" t="n"/>
      <c r="I479" s="78" t="n"/>
      <c r="J479" s="78" t="n"/>
    </row>
    <row r="480">
      <c r="A480" s="84">
        <f>ROW()-6</f>
        <v/>
      </c>
      <c r="B480" s="85">
        <f>+MATCH(D480,ARTICULOS!$F$10:$F$699,0)</f>
        <v/>
      </c>
      <c r="C480" s="86">
        <f>+VLOOKUP(B480,ARTICULOS!$D$10:$I$699,6)</f>
        <v/>
      </c>
      <c r="D480" s="212" t="n"/>
      <c r="E480" s="75">
        <f>+C480&amp;F480</f>
        <v/>
      </c>
      <c r="F480" s="80" t="n"/>
      <c r="G480" s="81" t="n"/>
      <c r="H480" s="78" t="n"/>
      <c r="I480" s="78" t="n"/>
      <c r="J480" s="78" t="n"/>
    </row>
    <row r="481">
      <c r="A481" s="84">
        <f>ROW()-6</f>
        <v/>
      </c>
      <c r="B481" s="85">
        <f>+MATCH(D481,ARTICULOS!$F$10:$F$699,0)</f>
        <v/>
      </c>
      <c r="C481" s="86">
        <f>+VLOOKUP(B481,ARTICULOS!$D$10:$I$699,6)</f>
        <v/>
      </c>
      <c r="D481" s="212" t="n"/>
      <c r="E481" s="75">
        <f>+C481&amp;F481</f>
        <v/>
      </c>
      <c r="F481" s="80" t="n"/>
      <c r="G481" s="81" t="n"/>
      <c r="H481" s="78" t="n"/>
      <c r="I481" s="78" t="n"/>
      <c r="J481" s="78" t="n"/>
    </row>
    <row r="482">
      <c r="A482" s="84">
        <f>ROW()-6</f>
        <v/>
      </c>
      <c r="B482" s="85">
        <f>+MATCH(D482,ARTICULOS!$F$10:$F$699,0)</f>
        <v/>
      </c>
      <c r="C482" s="86">
        <f>+VLOOKUP(B482,ARTICULOS!$D$10:$I$699,6)</f>
        <v/>
      </c>
      <c r="D482" s="212" t="n"/>
      <c r="E482" s="75">
        <f>+C482&amp;F482</f>
        <v/>
      </c>
      <c r="F482" s="80" t="n"/>
      <c r="G482" s="81" t="n"/>
      <c r="H482" s="78" t="n"/>
      <c r="I482" s="78" t="n"/>
      <c r="J482" s="78" t="n"/>
    </row>
    <row r="483">
      <c r="A483" s="84">
        <f>ROW()-6</f>
        <v/>
      </c>
      <c r="B483" s="85">
        <f>+MATCH(D483,ARTICULOS!$F$10:$F$699,0)</f>
        <v/>
      </c>
      <c r="C483" s="86">
        <f>+VLOOKUP(B483,ARTICULOS!$D$10:$I$699,6)</f>
        <v/>
      </c>
      <c r="D483" s="212" t="n"/>
      <c r="E483" s="75">
        <f>+C483&amp;F483</f>
        <v/>
      </c>
      <c r="F483" s="80" t="n"/>
      <c r="G483" s="81" t="n"/>
      <c r="H483" s="78" t="n"/>
      <c r="I483" s="78" t="n"/>
      <c r="J483" s="78" t="n"/>
    </row>
    <row r="484">
      <c r="A484" s="84">
        <f>ROW()-6</f>
        <v/>
      </c>
      <c r="B484" s="85">
        <f>+MATCH(D484,ARTICULOS!$F$10:$F$699,0)</f>
        <v/>
      </c>
      <c r="C484" s="86">
        <f>+VLOOKUP(B484,ARTICULOS!$D$10:$I$699,6)</f>
        <v/>
      </c>
      <c r="D484" s="212" t="n"/>
      <c r="E484" s="75">
        <f>+C484&amp;F484</f>
        <v/>
      </c>
      <c r="F484" s="80" t="n"/>
      <c r="G484" s="81" t="n"/>
      <c r="H484" s="78" t="n"/>
      <c r="I484" s="78" t="n"/>
      <c r="J484" s="78" t="n"/>
    </row>
    <row r="485">
      <c r="A485" s="84">
        <f>ROW()-6</f>
        <v/>
      </c>
      <c r="B485" s="85">
        <f>+MATCH(D485,ARTICULOS!$F$10:$F$699,0)</f>
        <v/>
      </c>
      <c r="C485" s="86">
        <f>+VLOOKUP(B485,ARTICULOS!$D$10:$I$699,6)</f>
        <v/>
      </c>
      <c r="D485" s="212" t="n"/>
      <c r="E485" s="75">
        <f>+C485&amp;F485</f>
        <v/>
      </c>
      <c r="F485" s="80" t="n"/>
      <c r="G485" s="81" t="n"/>
      <c r="H485" s="78" t="n"/>
      <c r="I485" s="78" t="n"/>
      <c r="J485" s="78" t="n"/>
    </row>
    <row r="486">
      <c r="A486" s="84">
        <f>ROW()-6</f>
        <v/>
      </c>
      <c r="B486" s="85">
        <f>+MATCH(D486,ARTICULOS!$F$10:$F$699,0)</f>
        <v/>
      </c>
      <c r="C486" s="86">
        <f>+VLOOKUP(B486,ARTICULOS!$D$10:$I$699,6)</f>
        <v/>
      </c>
      <c r="D486" s="212" t="n"/>
      <c r="E486" s="75">
        <f>+C486&amp;F486</f>
        <v/>
      </c>
      <c r="F486" s="80" t="n"/>
      <c r="G486" s="81" t="n"/>
      <c r="H486" s="78" t="n"/>
      <c r="I486" s="78" t="n"/>
      <c r="J486" s="78" t="n"/>
    </row>
    <row r="487">
      <c r="A487" s="84">
        <f>ROW()-6</f>
        <v/>
      </c>
      <c r="B487" s="85">
        <f>+MATCH(D487,ARTICULOS!$F$10:$F$699,0)</f>
        <v/>
      </c>
      <c r="C487" s="86">
        <f>+VLOOKUP(B487,ARTICULOS!$D$10:$I$699,6)</f>
        <v/>
      </c>
      <c r="D487" s="212" t="n"/>
      <c r="E487" s="75">
        <f>+C487&amp;F487</f>
        <v/>
      </c>
      <c r="F487" s="80" t="n"/>
      <c r="G487" s="81" t="n"/>
      <c r="H487" s="78" t="n"/>
      <c r="I487" s="78" t="n"/>
      <c r="J487" s="78" t="n"/>
    </row>
    <row r="488">
      <c r="A488" s="84">
        <f>ROW()-6</f>
        <v/>
      </c>
      <c r="B488" s="85">
        <f>+MATCH(D488,ARTICULOS!$F$10:$F$699,0)</f>
        <v/>
      </c>
      <c r="C488" s="86">
        <f>+VLOOKUP(B488,ARTICULOS!$D$10:$I$699,6)</f>
        <v/>
      </c>
      <c r="D488" s="212" t="n"/>
      <c r="E488" s="75">
        <f>+C488&amp;F488</f>
        <v/>
      </c>
      <c r="F488" s="80" t="n"/>
      <c r="G488" s="81" t="n"/>
      <c r="H488" s="78" t="n"/>
      <c r="I488" s="78" t="n"/>
      <c r="J488" s="78" t="n"/>
    </row>
    <row r="489">
      <c r="A489" s="84">
        <f>ROW()-6</f>
        <v/>
      </c>
      <c r="B489" s="85">
        <f>+MATCH(D489,ARTICULOS!$F$10:$F$699,0)</f>
        <v/>
      </c>
      <c r="C489" s="86">
        <f>+VLOOKUP(B489,ARTICULOS!$D$10:$I$699,6)</f>
        <v/>
      </c>
      <c r="D489" s="212" t="n"/>
      <c r="E489" s="75">
        <f>+C489&amp;F489</f>
        <v/>
      </c>
      <c r="F489" s="80" t="n"/>
      <c r="G489" s="81" t="n"/>
      <c r="H489" s="78" t="n"/>
      <c r="I489" s="78" t="n"/>
      <c r="J489" s="78" t="n"/>
    </row>
    <row r="490">
      <c r="A490" s="84">
        <f>ROW()-6</f>
        <v/>
      </c>
      <c r="B490" s="85">
        <f>+MATCH(D490,ARTICULOS!$F$10:$F$699,0)</f>
        <v/>
      </c>
      <c r="C490" s="86">
        <f>+VLOOKUP(B490,ARTICULOS!$D$10:$I$699,6)</f>
        <v/>
      </c>
      <c r="D490" s="212" t="n"/>
      <c r="E490" s="75">
        <f>+C490&amp;F490</f>
        <v/>
      </c>
      <c r="F490" s="80" t="n"/>
      <c r="G490" s="81" t="n"/>
      <c r="H490" s="78" t="n"/>
      <c r="I490" s="78" t="n"/>
      <c r="J490" s="78" t="n"/>
    </row>
    <row r="491">
      <c r="A491" s="84">
        <f>ROW()-6</f>
        <v/>
      </c>
      <c r="B491" s="85">
        <f>+MATCH(D491,ARTICULOS!$F$10:$F$699,0)</f>
        <v/>
      </c>
      <c r="C491" s="86">
        <f>+VLOOKUP(B491,ARTICULOS!$D$10:$I$699,6)</f>
        <v/>
      </c>
      <c r="D491" s="212" t="n"/>
      <c r="E491" s="75">
        <f>+C491&amp;F491</f>
        <v/>
      </c>
      <c r="F491" s="80" t="n"/>
      <c r="G491" s="81" t="n"/>
      <c r="H491" s="78" t="n"/>
      <c r="I491" s="78" t="n"/>
      <c r="J491" s="78" t="n"/>
    </row>
    <row r="492">
      <c r="A492" s="84">
        <f>ROW()-6</f>
        <v/>
      </c>
      <c r="B492" s="85">
        <f>+MATCH(D492,ARTICULOS!$F$10:$F$699,0)</f>
        <v/>
      </c>
      <c r="C492" s="86">
        <f>+VLOOKUP(B492,ARTICULOS!$D$10:$I$699,6)</f>
        <v/>
      </c>
      <c r="D492" s="212" t="n"/>
      <c r="E492" s="75">
        <f>+C492&amp;F492</f>
        <v/>
      </c>
      <c r="F492" s="80" t="n"/>
      <c r="G492" s="81" t="n"/>
      <c r="H492" s="78" t="n"/>
      <c r="I492" s="78" t="n"/>
      <c r="J492" s="78" t="n"/>
    </row>
    <row r="493">
      <c r="A493" s="84">
        <f>ROW()-6</f>
        <v/>
      </c>
      <c r="B493" s="85">
        <f>+MATCH(D493,ARTICULOS!$F$10:$F$699,0)</f>
        <v/>
      </c>
      <c r="C493" s="86">
        <f>+VLOOKUP(B493,ARTICULOS!$D$10:$I$699,6)</f>
        <v/>
      </c>
      <c r="D493" s="212" t="n"/>
      <c r="E493" s="75">
        <f>+C493&amp;F493</f>
        <v/>
      </c>
      <c r="F493" s="80" t="n"/>
      <c r="G493" s="81" t="n"/>
      <c r="H493" s="78" t="n"/>
      <c r="I493" s="78" t="n"/>
      <c r="J493" s="78" t="n"/>
    </row>
    <row r="494">
      <c r="A494" s="84">
        <f>ROW()-6</f>
        <v/>
      </c>
      <c r="B494" s="85">
        <f>+MATCH(D494,ARTICULOS!$F$10:$F$699,0)</f>
        <v/>
      </c>
      <c r="C494" s="86">
        <f>+VLOOKUP(B494,ARTICULOS!$D$10:$I$699,6)</f>
        <v/>
      </c>
      <c r="D494" s="212" t="n"/>
      <c r="E494" s="75">
        <f>+C494&amp;F494</f>
        <v/>
      </c>
      <c r="F494" s="80" t="n"/>
      <c r="G494" s="81" t="n"/>
      <c r="H494" s="78" t="n"/>
      <c r="I494" s="78" t="n"/>
      <c r="J494" s="78" t="n"/>
    </row>
    <row r="495">
      <c r="A495" s="84">
        <f>ROW()-6</f>
        <v/>
      </c>
      <c r="B495" s="85">
        <f>+MATCH(D495,ARTICULOS!$F$10:$F$699,0)</f>
        <v/>
      </c>
      <c r="C495" s="86">
        <f>+VLOOKUP(B495,ARTICULOS!$D$10:$I$699,6)</f>
        <v/>
      </c>
      <c r="D495" s="212" t="n"/>
      <c r="E495" s="75">
        <f>+C495&amp;F495</f>
        <v/>
      </c>
      <c r="F495" s="80" t="n"/>
      <c r="G495" s="81" t="n"/>
      <c r="H495" s="78" t="n"/>
      <c r="I495" s="78" t="n"/>
      <c r="J495" s="78" t="n"/>
    </row>
    <row r="496">
      <c r="A496" s="84">
        <f>ROW()-6</f>
        <v/>
      </c>
      <c r="B496" s="85">
        <f>+MATCH(D496,ARTICULOS!$F$10:$F$699,0)</f>
        <v/>
      </c>
      <c r="C496" s="86">
        <f>+VLOOKUP(B496,ARTICULOS!$D$10:$I$699,6)</f>
        <v/>
      </c>
      <c r="D496" s="212" t="n"/>
      <c r="E496" s="75">
        <f>+C496&amp;F496</f>
        <v/>
      </c>
      <c r="F496" s="80" t="n"/>
      <c r="G496" s="81" t="n"/>
      <c r="H496" s="78" t="n"/>
      <c r="I496" s="78" t="n"/>
      <c r="J496" s="78" t="n"/>
    </row>
    <row r="497">
      <c r="A497" s="84">
        <f>ROW()-6</f>
        <v/>
      </c>
      <c r="B497" s="85">
        <f>+MATCH(D497,ARTICULOS!$F$10:$F$699,0)</f>
        <v/>
      </c>
      <c r="C497" s="86">
        <f>+VLOOKUP(B497,ARTICULOS!$D$10:$I$699,6)</f>
        <v/>
      </c>
      <c r="D497" s="212" t="n"/>
      <c r="E497" s="75">
        <f>+C497&amp;F497</f>
        <v/>
      </c>
      <c r="F497" s="80" t="n"/>
      <c r="G497" s="81" t="n"/>
      <c r="H497" s="78" t="n"/>
      <c r="I497" s="78" t="n"/>
      <c r="J497" s="78" t="n"/>
    </row>
    <row r="498">
      <c r="A498" s="84">
        <f>ROW()-6</f>
        <v/>
      </c>
      <c r="B498" s="85">
        <f>+MATCH(D498,ARTICULOS!$F$10:$F$699,0)</f>
        <v/>
      </c>
      <c r="C498" s="86">
        <f>+VLOOKUP(B498,ARTICULOS!$D$10:$I$699,6)</f>
        <v/>
      </c>
      <c r="D498" s="212" t="n"/>
      <c r="E498" s="75">
        <f>+C498&amp;F498</f>
        <v/>
      </c>
      <c r="F498" s="80" t="n"/>
      <c r="G498" s="81" t="n"/>
      <c r="H498" s="78" t="n"/>
      <c r="I498" s="78" t="n"/>
      <c r="J498" s="78" t="n"/>
    </row>
    <row r="499">
      <c r="A499" s="84">
        <f>ROW()-6</f>
        <v/>
      </c>
      <c r="B499" s="85">
        <f>+MATCH(D499,ARTICULOS!$F$10:$F$699,0)</f>
        <v/>
      </c>
      <c r="C499" s="86">
        <f>+VLOOKUP(B499,ARTICULOS!$D$10:$I$699,6)</f>
        <v/>
      </c>
      <c r="D499" s="212" t="n"/>
      <c r="E499" s="75">
        <f>+C499&amp;F499</f>
        <v/>
      </c>
      <c r="F499" s="80" t="n"/>
      <c r="G499" s="81" t="n"/>
      <c r="H499" s="78" t="n"/>
      <c r="I499" s="78" t="n"/>
      <c r="J499" s="78" t="n"/>
    </row>
    <row r="500">
      <c r="A500" s="84">
        <f>ROW()-6</f>
        <v/>
      </c>
      <c r="B500" s="85">
        <f>+MATCH(D500,ARTICULOS!$F$10:$F$699,0)</f>
        <v/>
      </c>
      <c r="C500" s="86">
        <f>+VLOOKUP(B500,ARTICULOS!$D$10:$I$699,6)</f>
        <v/>
      </c>
      <c r="D500" s="212" t="n"/>
      <c r="E500" s="75">
        <f>+C500&amp;F500</f>
        <v/>
      </c>
      <c r="F500" s="80" t="n"/>
      <c r="G500" s="81" t="n"/>
      <c r="H500" s="78" t="n"/>
      <c r="I500" s="78" t="n"/>
      <c r="J500" s="78" t="n"/>
    </row>
    <row r="501">
      <c r="A501" s="84">
        <f>ROW()-6</f>
        <v/>
      </c>
      <c r="B501" s="85">
        <f>+MATCH(D501,ARTICULOS!$F$10:$F$699,0)</f>
        <v/>
      </c>
      <c r="C501" s="86">
        <f>+VLOOKUP(B501,ARTICULOS!$D$10:$I$699,6)</f>
        <v/>
      </c>
      <c r="D501" s="212" t="n"/>
      <c r="E501" s="75">
        <f>+C501&amp;F501</f>
        <v/>
      </c>
      <c r="F501" s="80" t="n"/>
      <c r="G501" s="81" t="n"/>
      <c r="H501" s="78" t="n"/>
      <c r="I501" s="78" t="n"/>
      <c r="J501" s="78" t="n"/>
    </row>
    <row r="502">
      <c r="A502" s="84">
        <f>ROW()-6</f>
        <v/>
      </c>
      <c r="B502" s="85">
        <f>+MATCH(D502,ARTICULOS!$F$10:$F$699,0)</f>
        <v/>
      </c>
      <c r="C502" s="86">
        <f>+VLOOKUP(B502,ARTICULOS!$D$10:$I$699,6)</f>
        <v/>
      </c>
      <c r="D502" s="212" t="n"/>
      <c r="E502" s="75">
        <f>+C502&amp;F502</f>
        <v/>
      </c>
      <c r="F502" s="80" t="n"/>
      <c r="G502" s="81" t="n"/>
      <c r="H502" s="78" t="n"/>
      <c r="I502" s="78" t="n"/>
      <c r="J502" s="78" t="n"/>
    </row>
    <row r="503">
      <c r="A503" s="84">
        <f>ROW()-6</f>
        <v/>
      </c>
      <c r="B503" s="85">
        <f>+MATCH(D503,ARTICULOS!$F$10:$F$699,0)</f>
        <v/>
      </c>
      <c r="C503" s="86">
        <f>+VLOOKUP(B503,ARTICULOS!$D$10:$I$699,6)</f>
        <v/>
      </c>
      <c r="D503" s="212" t="n"/>
      <c r="E503" s="75">
        <f>+C503&amp;F503</f>
        <v/>
      </c>
      <c r="F503" s="80" t="n"/>
      <c r="G503" s="81" t="n"/>
      <c r="H503" s="78" t="n"/>
      <c r="I503" s="78" t="n"/>
      <c r="J503" s="78" t="n"/>
    </row>
    <row r="504">
      <c r="A504" s="84">
        <f>ROW()-6</f>
        <v/>
      </c>
      <c r="B504" s="85">
        <f>+MATCH(D504,ARTICULOS!$F$10:$F$699,0)</f>
        <v/>
      </c>
      <c r="C504" s="86">
        <f>+VLOOKUP(B504,ARTICULOS!$D$10:$I$699,6)</f>
        <v/>
      </c>
      <c r="D504" s="212" t="n"/>
      <c r="E504" s="75">
        <f>+C504&amp;F504</f>
        <v/>
      </c>
      <c r="F504" s="80" t="n"/>
      <c r="G504" s="81" t="n"/>
      <c r="H504" s="78" t="n"/>
      <c r="I504" s="78" t="n"/>
      <c r="J504" s="78" t="n"/>
    </row>
    <row r="505">
      <c r="A505" s="84">
        <f>ROW()-6</f>
        <v/>
      </c>
      <c r="B505" s="85">
        <f>+MATCH(D505,ARTICULOS!$F$10:$F$699,0)</f>
        <v/>
      </c>
      <c r="C505" s="86">
        <f>+VLOOKUP(B505,ARTICULOS!$D$10:$I$699,6)</f>
        <v/>
      </c>
      <c r="D505" s="212" t="n"/>
      <c r="E505" s="75">
        <f>+C505&amp;F505</f>
        <v/>
      </c>
      <c r="F505" s="80" t="n"/>
      <c r="G505" s="81" t="n"/>
      <c r="H505" s="78" t="n"/>
      <c r="I505" s="78" t="n"/>
      <c r="J505" s="78" t="n"/>
    </row>
    <row r="506">
      <c r="A506" s="84">
        <f>ROW()-6</f>
        <v/>
      </c>
      <c r="B506" s="85">
        <f>+MATCH(D506,ARTICULOS!$F$10:$F$699,0)</f>
        <v/>
      </c>
      <c r="C506" s="86">
        <f>+VLOOKUP(B506,ARTICULOS!$D$10:$I$699,6)</f>
        <v/>
      </c>
      <c r="D506" s="212" t="n"/>
      <c r="E506" s="75">
        <f>+C506&amp;F506</f>
        <v/>
      </c>
      <c r="F506" s="80" t="n"/>
      <c r="G506" s="81" t="n"/>
      <c r="H506" s="78" t="n"/>
      <c r="I506" s="78" t="n"/>
      <c r="J506" s="78" t="n"/>
    </row>
    <row r="507">
      <c r="A507" s="84">
        <f>ROW()-6</f>
        <v/>
      </c>
      <c r="B507" s="85">
        <f>+MATCH(D507,ARTICULOS!$F$10:$F$699,0)</f>
        <v/>
      </c>
      <c r="C507" s="86">
        <f>+VLOOKUP(B507,ARTICULOS!$D$10:$I$699,6)</f>
        <v/>
      </c>
      <c r="D507" s="212" t="n"/>
      <c r="E507" s="75">
        <f>+C507&amp;F507</f>
        <v/>
      </c>
      <c r="F507" s="80" t="n"/>
      <c r="G507" s="81" t="n"/>
      <c r="H507" s="78" t="n"/>
      <c r="I507" s="78" t="n"/>
      <c r="J507" s="78" t="n"/>
    </row>
    <row r="508">
      <c r="A508" s="84">
        <f>ROW()-6</f>
        <v/>
      </c>
      <c r="B508" s="85">
        <f>+MATCH(D508,ARTICULOS!$F$10:$F$699,0)</f>
        <v/>
      </c>
      <c r="C508" s="86">
        <f>+VLOOKUP(B508,ARTICULOS!$D$10:$I$699,6)</f>
        <v/>
      </c>
      <c r="D508" s="212" t="n"/>
      <c r="E508" s="75">
        <f>+C508&amp;F508</f>
        <v/>
      </c>
      <c r="F508" s="80" t="n"/>
      <c r="G508" s="81" t="n"/>
      <c r="H508" s="78" t="n"/>
      <c r="I508" s="78" t="n"/>
      <c r="J508" s="78" t="n"/>
    </row>
    <row r="509">
      <c r="A509" s="84">
        <f>ROW()-6</f>
        <v/>
      </c>
      <c r="B509" s="85">
        <f>+MATCH(D509,ARTICULOS!$F$10:$F$699,0)</f>
        <v/>
      </c>
      <c r="C509" s="86">
        <f>+VLOOKUP(B509,ARTICULOS!$D$10:$I$699,6)</f>
        <v/>
      </c>
      <c r="D509" s="212" t="n"/>
      <c r="E509" s="75">
        <f>+C509&amp;F509</f>
        <v/>
      </c>
      <c r="F509" s="80" t="n"/>
      <c r="G509" s="81" t="n"/>
      <c r="H509" s="78" t="n"/>
      <c r="I509" s="78" t="n"/>
      <c r="J509" s="78" t="n"/>
    </row>
    <row r="510">
      <c r="A510" s="84">
        <f>ROW()-6</f>
        <v/>
      </c>
      <c r="B510" s="85">
        <f>+MATCH(D510,ARTICULOS!$F$10:$F$699,0)</f>
        <v/>
      </c>
      <c r="C510" s="86">
        <f>+VLOOKUP(B510,ARTICULOS!$D$10:$I$699,6)</f>
        <v/>
      </c>
      <c r="D510" s="212" t="n"/>
      <c r="E510" s="75">
        <f>+C510&amp;F510</f>
        <v/>
      </c>
      <c r="F510" s="80" t="n"/>
      <c r="G510" s="81" t="n"/>
      <c r="H510" s="78" t="n"/>
      <c r="I510" s="78" t="n"/>
      <c r="J510" s="78" t="n"/>
    </row>
    <row r="511">
      <c r="A511" s="84">
        <f>ROW()-6</f>
        <v/>
      </c>
      <c r="B511" s="85">
        <f>+MATCH(D511,ARTICULOS!$F$10:$F$699,0)</f>
        <v/>
      </c>
      <c r="C511" s="86">
        <f>+VLOOKUP(B511,ARTICULOS!$D$10:$I$699,6)</f>
        <v/>
      </c>
      <c r="D511" s="212" t="n"/>
      <c r="E511" s="75">
        <f>+C511&amp;F511</f>
        <v/>
      </c>
      <c r="F511" s="80" t="n"/>
      <c r="G511" s="81" t="n"/>
      <c r="H511" s="78" t="n"/>
      <c r="I511" s="78" t="n"/>
      <c r="J511" s="78" t="n"/>
    </row>
    <row r="512">
      <c r="A512" s="84">
        <f>ROW()-6</f>
        <v/>
      </c>
      <c r="B512" s="85">
        <f>+MATCH(D512,ARTICULOS!$F$10:$F$699,0)</f>
        <v/>
      </c>
      <c r="C512" s="86">
        <f>+VLOOKUP(B512,ARTICULOS!$D$10:$I$699,6)</f>
        <v/>
      </c>
      <c r="D512" s="212" t="n"/>
      <c r="E512" s="75">
        <f>+C512&amp;F512</f>
        <v/>
      </c>
      <c r="F512" s="80" t="n"/>
      <c r="G512" s="81" t="n"/>
      <c r="H512" s="78" t="n"/>
      <c r="I512" s="78" t="n"/>
      <c r="J512" s="78" t="n"/>
    </row>
    <row r="513">
      <c r="A513" s="84">
        <f>ROW()-6</f>
        <v/>
      </c>
      <c r="B513" s="85">
        <f>+MATCH(D513,ARTICULOS!$F$10:$F$699,0)</f>
        <v/>
      </c>
      <c r="C513" s="86">
        <f>+VLOOKUP(B513,ARTICULOS!$D$10:$I$699,6)</f>
        <v/>
      </c>
      <c r="D513" s="212" t="n"/>
      <c r="E513" s="75">
        <f>+C513&amp;F513</f>
        <v/>
      </c>
      <c r="F513" s="80" t="n"/>
      <c r="G513" s="81" t="n"/>
      <c r="H513" s="78" t="n"/>
      <c r="I513" s="78" t="n"/>
      <c r="J513" s="78" t="n"/>
    </row>
    <row r="514">
      <c r="A514" s="84">
        <f>ROW()-6</f>
        <v/>
      </c>
      <c r="B514" s="85">
        <f>+MATCH(D514,ARTICULOS!$F$10:$F$699,0)</f>
        <v/>
      </c>
      <c r="C514" s="86">
        <f>+VLOOKUP(B514,ARTICULOS!$D$10:$I$699,6)</f>
        <v/>
      </c>
      <c r="D514" s="212" t="n"/>
      <c r="E514" s="75">
        <f>+C514&amp;F514</f>
        <v/>
      </c>
      <c r="F514" s="80" t="n"/>
      <c r="G514" s="81" t="n"/>
      <c r="H514" s="78" t="n"/>
      <c r="I514" s="78" t="n"/>
      <c r="J514" s="78" t="n"/>
    </row>
    <row r="515">
      <c r="A515" s="84">
        <f>ROW()-6</f>
        <v/>
      </c>
      <c r="B515" s="85">
        <f>+MATCH(D515,ARTICULOS!$F$10:$F$699,0)</f>
        <v/>
      </c>
      <c r="C515" s="86">
        <f>+VLOOKUP(B515,ARTICULOS!$D$10:$I$699,6)</f>
        <v/>
      </c>
      <c r="D515" s="212" t="n"/>
      <c r="E515" s="75">
        <f>+C515&amp;F515</f>
        <v/>
      </c>
      <c r="F515" s="80" t="n"/>
      <c r="G515" s="81" t="n"/>
      <c r="H515" s="78" t="n"/>
      <c r="I515" s="78" t="n"/>
      <c r="J515" s="78" t="n"/>
    </row>
    <row r="516">
      <c r="A516" s="84">
        <f>ROW()-6</f>
        <v/>
      </c>
      <c r="B516" s="85">
        <f>+MATCH(D516,ARTICULOS!$F$10:$F$699,0)</f>
        <v/>
      </c>
      <c r="C516" s="86">
        <f>+VLOOKUP(B516,ARTICULOS!$D$10:$I$699,6)</f>
        <v/>
      </c>
      <c r="D516" s="212" t="n"/>
      <c r="E516" s="75">
        <f>+C516&amp;F516</f>
        <v/>
      </c>
      <c r="F516" s="80" t="n"/>
      <c r="G516" s="81" t="n"/>
      <c r="H516" s="78" t="n"/>
      <c r="I516" s="78" t="n"/>
      <c r="J516" s="78" t="n"/>
    </row>
    <row r="517">
      <c r="A517" s="84">
        <f>ROW()-6</f>
        <v/>
      </c>
      <c r="B517" s="85">
        <f>+MATCH(D517,ARTICULOS!$F$10:$F$699,0)</f>
        <v/>
      </c>
      <c r="C517" s="86">
        <f>+VLOOKUP(B517,ARTICULOS!$D$10:$I$699,6)</f>
        <v/>
      </c>
      <c r="D517" s="212" t="n"/>
      <c r="E517" s="75">
        <f>+C517&amp;F517</f>
        <v/>
      </c>
      <c r="F517" s="80" t="n"/>
      <c r="G517" s="81" t="n"/>
      <c r="H517" s="78" t="n"/>
      <c r="I517" s="78" t="n"/>
      <c r="J517" s="78" t="n"/>
    </row>
    <row r="518">
      <c r="A518" s="84">
        <f>ROW()-6</f>
        <v/>
      </c>
      <c r="B518" s="85">
        <f>+MATCH(D518,ARTICULOS!$F$10:$F$699,0)</f>
        <v/>
      </c>
      <c r="C518" s="86">
        <f>+VLOOKUP(B518,ARTICULOS!$D$10:$I$699,6)</f>
        <v/>
      </c>
      <c r="D518" s="212" t="n"/>
      <c r="E518" s="75">
        <f>+C518&amp;F518</f>
        <v/>
      </c>
      <c r="F518" s="80" t="n"/>
      <c r="G518" s="81" t="n"/>
      <c r="H518" s="78" t="n"/>
      <c r="I518" s="78" t="n"/>
      <c r="J518" s="78" t="n"/>
    </row>
    <row r="519">
      <c r="A519" s="84">
        <f>ROW()-6</f>
        <v/>
      </c>
      <c r="B519" s="85">
        <f>+MATCH(D519,ARTICULOS!$F$10:$F$699,0)</f>
        <v/>
      </c>
      <c r="C519" s="86">
        <f>+VLOOKUP(B519,ARTICULOS!$D$10:$I$699,6)</f>
        <v/>
      </c>
      <c r="D519" s="212" t="n"/>
      <c r="E519" s="75">
        <f>+C519&amp;F519</f>
        <v/>
      </c>
      <c r="F519" s="80" t="n"/>
      <c r="G519" s="81" t="n"/>
      <c r="H519" s="78" t="n"/>
      <c r="I519" s="78" t="n"/>
      <c r="J519" s="78" t="n"/>
    </row>
    <row r="520">
      <c r="A520" s="84">
        <f>ROW()-6</f>
        <v/>
      </c>
      <c r="B520" s="85">
        <f>+MATCH(D520,ARTICULOS!$F$10:$F$699,0)</f>
        <v/>
      </c>
      <c r="C520" s="86">
        <f>+VLOOKUP(B520,ARTICULOS!$D$10:$I$699,6)</f>
        <v/>
      </c>
      <c r="D520" s="212" t="n"/>
      <c r="E520" s="75">
        <f>+C520&amp;F520</f>
        <v/>
      </c>
      <c r="F520" s="80" t="n"/>
      <c r="G520" s="81" t="n"/>
      <c r="H520" s="78" t="n"/>
      <c r="I520" s="78" t="n"/>
      <c r="J520" s="78" t="n"/>
    </row>
    <row r="521">
      <c r="A521" s="84">
        <f>ROW()-6</f>
        <v/>
      </c>
      <c r="B521" s="85">
        <f>+MATCH(D521,ARTICULOS!$F$10:$F$699,0)</f>
        <v/>
      </c>
      <c r="C521" s="86">
        <f>+VLOOKUP(B521,ARTICULOS!$D$10:$I$699,6)</f>
        <v/>
      </c>
      <c r="D521" s="212" t="n"/>
      <c r="E521" s="75">
        <f>+C521&amp;F521</f>
        <v/>
      </c>
      <c r="F521" s="80" t="n"/>
      <c r="G521" s="81" t="n"/>
      <c r="H521" s="78" t="n"/>
      <c r="I521" s="78" t="n"/>
      <c r="J521" s="78" t="n"/>
    </row>
    <row r="522">
      <c r="A522" s="84">
        <f>ROW()-6</f>
        <v/>
      </c>
      <c r="B522" s="85">
        <f>+MATCH(D522,ARTICULOS!$F$10:$F$699,0)</f>
        <v/>
      </c>
      <c r="C522" s="86">
        <f>+VLOOKUP(B522,ARTICULOS!$D$10:$I$699,6)</f>
        <v/>
      </c>
      <c r="D522" s="212" t="n"/>
      <c r="E522" s="75">
        <f>+C522&amp;F522</f>
        <v/>
      </c>
      <c r="F522" s="80" t="n"/>
      <c r="G522" s="81" t="n"/>
      <c r="H522" s="78" t="n"/>
      <c r="I522" s="78" t="n"/>
      <c r="J522" s="78" t="n"/>
    </row>
    <row r="523">
      <c r="A523" s="84">
        <f>ROW()-6</f>
        <v/>
      </c>
      <c r="B523" s="85">
        <f>+MATCH(D523,ARTICULOS!$F$10:$F$699,0)</f>
        <v/>
      </c>
      <c r="C523" s="86">
        <f>+VLOOKUP(B523,ARTICULOS!$D$10:$I$699,6)</f>
        <v/>
      </c>
      <c r="D523" s="212" t="n"/>
      <c r="E523" s="75">
        <f>+C523&amp;F523</f>
        <v/>
      </c>
      <c r="F523" s="80" t="n"/>
      <c r="G523" s="81" t="n"/>
      <c r="H523" s="78" t="n"/>
      <c r="I523" s="78" t="n"/>
      <c r="J523" s="78" t="n"/>
    </row>
    <row r="524">
      <c r="A524" s="84">
        <f>ROW()-6</f>
        <v/>
      </c>
      <c r="B524" s="85">
        <f>+MATCH(D524,ARTICULOS!$F$10:$F$699,0)</f>
        <v/>
      </c>
      <c r="C524" s="86">
        <f>+VLOOKUP(B524,ARTICULOS!$D$10:$I$699,6)</f>
        <v/>
      </c>
      <c r="D524" s="212" t="n"/>
      <c r="E524" s="75">
        <f>+C524&amp;F524</f>
        <v/>
      </c>
      <c r="F524" s="80" t="n"/>
      <c r="G524" s="81" t="n"/>
      <c r="H524" s="78" t="n"/>
      <c r="I524" s="78" t="n"/>
      <c r="J524" s="78" t="n"/>
    </row>
    <row r="525">
      <c r="A525" s="84">
        <f>ROW()-6</f>
        <v/>
      </c>
      <c r="B525" s="85">
        <f>+MATCH(D525,ARTICULOS!$F$10:$F$699,0)</f>
        <v/>
      </c>
      <c r="C525" s="86">
        <f>+VLOOKUP(B525,ARTICULOS!$D$10:$I$699,6)</f>
        <v/>
      </c>
      <c r="D525" s="212" t="n"/>
      <c r="E525" s="75">
        <f>+C525&amp;F525</f>
        <v/>
      </c>
      <c r="F525" s="80" t="n"/>
      <c r="G525" s="81" t="n"/>
      <c r="H525" s="78" t="n"/>
      <c r="I525" s="78" t="n"/>
      <c r="J525" s="78" t="n"/>
    </row>
    <row r="526">
      <c r="A526" s="84">
        <f>ROW()-6</f>
        <v/>
      </c>
      <c r="B526" s="85">
        <f>+MATCH(D526,ARTICULOS!$F$10:$F$699,0)</f>
        <v/>
      </c>
      <c r="C526" s="86">
        <f>+VLOOKUP(B526,ARTICULOS!$D$10:$I$699,6)</f>
        <v/>
      </c>
      <c r="D526" s="212" t="n"/>
      <c r="E526" s="75">
        <f>+C526&amp;F526</f>
        <v/>
      </c>
      <c r="F526" s="80" t="n"/>
      <c r="G526" s="81" t="n"/>
      <c r="H526" s="78" t="n"/>
      <c r="I526" s="78" t="n"/>
      <c r="J526" s="78" t="n"/>
    </row>
    <row r="527">
      <c r="A527" s="84">
        <f>ROW()-6</f>
        <v/>
      </c>
      <c r="B527" s="85">
        <f>+MATCH(D527,ARTICULOS!$F$10:$F$699,0)</f>
        <v/>
      </c>
      <c r="C527" s="86">
        <f>+VLOOKUP(B527,ARTICULOS!$D$10:$I$699,6)</f>
        <v/>
      </c>
      <c r="D527" s="212" t="n"/>
      <c r="E527" s="75">
        <f>+C527&amp;F527</f>
        <v/>
      </c>
      <c r="F527" s="80" t="n"/>
      <c r="G527" s="81" t="n"/>
      <c r="H527" s="78" t="n"/>
      <c r="I527" s="78" t="n"/>
      <c r="J527" s="78" t="n"/>
    </row>
    <row r="528">
      <c r="A528" s="84">
        <f>ROW()-6</f>
        <v/>
      </c>
      <c r="B528" s="85">
        <f>+MATCH(D528,ARTICULOS!$F$10:$F$699,0)</f>
        <v/>
      </c>
      <c r="C528" s="86">
        <f>+VLOOKUP(B528,ARTICULOS!$D$10:$I$699,6)</f>
        <v/>
      </c>
      <c r="D528" s="212" t="n"/>
      <c r="E528" s="75">
        <f>+C528&amp;F528</f>
        <v/>
      </c>
      <c r="F528" s="80" t="n"/>
      <c r="G528" s="81" t="n"/>
      <c r="H528" s="78" t="n"/>
      <c r="I528" s="78" t="n"/>
      <c r="J528" s="78" t="n"/>
    </row>
    <row r="529">
      <c r="A529" s="84">
        <f>ROW()-6</f>
        <v/>
      </c>
      <c r="B529" s="85">
        <f>+MATCH(D529,ARTICULOS!$F$10:$F$699,0)</f>
        <v/>
      </c>
      <c r="C529" s="86">
        <f>+VLOOKUP(B529,ARTICULOS!$D$10:$I$699,6)</f>
        <v/>
      </c>
      <c r="D529" s="212" t="n"/>
      <c r="E529" s="75">
        <f>+C529&amp;F529</f>
        <v/>
      </c>
      <c r="F529" s="80" t="n"/>
      <c r="G529" s="81" t="n"/>
      <c r="H529" s="78" t="n"/>
      <c r="I529" s="78" t="n"/>
      <c r="J529" s="78" t="n"/>
    </row>
    <row r="530">
      <c r="A530" s="84">
        <f>ROW()-6</f>
        <v/>
      </c>
      <c r="B530" s="85">
        <f>+MATCH(D530,ARTICULOS!$F$10:$F$699,0)</f>
        <v/>
      </c>
      <c r="C530" s="86">
        <f>+VLOOKUP(B530,ARTICULOS!$D$10:$I$699,6)</f>
        <v/>
      </c>
      <c r="D530" s="212" t="n"/>
      <c r="E530" s="75">
        <f>+C530&amp;F530</f>
        <v/>
      </c>
      <c r="F530" s="80" t="n"/>
      <c r="G530" s="81" t="n"/>
      <c r="H530" s="78" t="n"/>
      <c r="I530" s="78" t="n"/>
      <c r="J530" s="78" t="n"/>
    </row>
    <row r="531">
      <c r="A531" s="84">
        <f>ROW()-6</f>
        <v/>
      </c>
      <c r="B531" s="85">
        <f>+MATCH(D531,ARTICULOS!$F$10:$F$699,0)</f>
        <v/>
      </c>
      <c r="C531" s="86">
        <f>+VLOOKUP(B531,ARTICULOS!$D$10:$I$699,6)</f>
        <v/>
      </c>
      <c r="D531" s="212" t="n"/>
      <c r="E531" s="75">
        <f>+C531&amp;F531</f>
        <v/>
      </c>
      <c r="F531" s="80" t="n"/>
      <c r="G531" s="81" t="n"/>
      <c r="H531" s="78" t="n"/>
      <c r="I531" s="78" t="n"/>
      <c r="J531" s="78" t="n"/>
    </row>
    <row r="532">
      <c r="A532" s="84">
        <f>ROW()-6</f>
        <v/>
      </c>
      <c r="B532" s="85">
        <f>+MATCH(D532,ARTICULOS!$F$10:$F$699,0)</f>
        <v/>
      </c>
      <c r="C532" s="86">
        <f>+VLOOKUP(B532,ARTICULOS!$D$10:$I$699,6)</f>
        <v/>
      </c>
      <c r="D532" s="212" t="n"/>
      <c r="E532" s="75">
        <f>+C532&amp;F532</f>
        <v/>
      </c>
      <c r="F532" s="80" t="n"/>
      <c r="G532" s="81" t="n"/>
      <c r="H532" s="78" t="n"/>
      <c r="I532" s="78" t="n"/>
      <c r="J532" s="78" t="n"/>
    </row>
    <row r="533">
      <c r="A533" s="84">
        <f>ROW()-6</f>
        <v/>
      </c>
      <c r="B533" s="85">
        <f>+MATCH(D533,ARTICULOS!$F$10:$F$699,0)</f>
        <v/>
      </c>
      <c r="C533" s="86">
        <f>+VLOOKUP(B533,ARTICULOS!$D$10:$I$699,6)</f>
        <v/>
      </c>
      <c r="D533" s="212" t="n"/>
      <c r="E533" s="75">
        <f>+C533&amp;F533</f>
        <v/>
      </c>
      <c r="F533" s="80" t="n"/>
      <c r="G533" s="81" t="n"/>
      <c r="H533" s="78" t="n"/>
      <c r="I533" s="78" t="n"/>
      <c r="J533" s="78" t="n"/>
    </row>
    <row r="534">
      <c r="A534" s="84">
        <f>ROW()-6</f>
        <v/>
      </c>
      <c r="B534" s="85">
        <f>+MATCH(D534,ARTICULOS!$F$10:$F$699,0)</f>
        <v/>
      </c>
      <c r="C534" s="86">
        <f>+VLOOKUP(B534,ARTICULOS!$D$10:$I$699,6)</f>
        <v/>
      </c>
      <c r="D534" s="212" t="n"/>
      <c r="E534" s="75">
        <f>+C534&amp;F534</f>
        <v/>
      </c>
      <c r="F534" s="80" t="n"/>
      <c r="G534" s="81" t="n"/>
      <c r="H534" s="78" t="n"/>
      <c r="I534" s="78" t="n"/>
      <c r="J534" s="78" t="n"/>
    </row>
    <row r="535">
      <c r="A535" s="84">
        <f>ROW()-6</f>
        <v/>
      </c>
      <c r="B535" s="85">
        <f>+MATCH(D535,ARTICULOS!$F$10:$F$699,0)</f>
        <v/>
      </c>
      <c r="C535" s="86">
        <f>+VLOOKUP(B535,ARTICULOS!$D$10:$I$699,6)</f>
        <v/>
      </c>
      <c r="D535" s="212" t="n"/>
      <c r="E535" s="75">
        <f>+C535&amp;F535</f>
        <v/>
      </c>
      <c r="F535" s="80" t="n"/>
      <c r="G535" s="81" t="n"/>
      <c r="H535" s="78" t="n"/>
      <c r="I535" s="78" t="n"/>
      <c r="J535" s="78" t="n"/>
    </row>
    <row r="536">
      <c r="A536" s="84">
        <f>ROW()-6</f>
        <v/>
      </c>
      <c r="B536" s="85">
        <f>+MATCH(D536,ARTICULOS!$F$10:$F$699,0)</f>
        <v/>
      </c>
      <c r="C536" s="86">
        <f>+VLOOKUP(B536,ARTICULOS!$D$10:$I$699,6)</f>
        <v/>
      </c>
      <c r="D536" s="212" t="n"/>
      <c r="E536" s="75">
        <f>+C536&amp;F536</f>
        <v/>
      </c>
      <c r="F536" s="80" t="n"/>
      <c r="G536" s="81" t="n"/>
      <c r="H536" s="78" t="n"/>
      <c r="I536" s="78" t="n"/>
      <c r="J536" s="78" t="n"/>
    </row>
    <row r="537">
      <c r="A537" s="84">
        <f>ROW()-6</f>
        <v/>
      </c>
      <c r="B537" s="85">
        <f>+MATCH(D537,ARTICULOS!$F$10:$F$699,0)</f>
        <v/>
      </c>
      <c r="C537" s="86">
        <f>+VLOOKUP(B537,ARTICULOS!$D$10:$I$699,6)</f>
        <v/>
      </c>
      <c r="D537" s="212" t="n"/>
      <c r="E537" s="75">
        <f>+C537&amp;F537</f>
        <v/>
      </c>
      <c r="F537" s="80" t="n"/>
      <c r="G537" s="81" t="n"/>
      <c r="H537" s="78" t="n"/>
      <c r="I537" s="78" t="n"/>
      <c r="J537" s="78" t="n"/>
    </row>
    <row r="538">
      <c r="A538" s="84">
        <f>ROW()-6</f>
        <v/>
      </c>
      <c r="B538" s="85">
        <f>+MATCH(D538,ARTICULOS!$F$10:$F$699,0)</f>
        <v/>
      </c>
      <c r="C538" s="86">
        <f>+VLOOKUP(B538,ARTICULOS!$D$10:$I$699,6)</f>
        <v/>
      </c>
      <c r="D538" s="212" t="n"/>
      <c r="E538" s="75">
        <f>+C538&amp;F538</f>
        <v/>
      </c>
      <c r="F538" s="80" t="n"/>
      <c r="G538" s="81" t="n"/>
      <c r="H538" s="78" t="n"/>
      <c r="I538" s="78" t="n"/>
      <c r="J538" s="78" t="n"/>
    </row>
    <row r="539">
      <c r="A539" s="84">
        <f>ROW()-6</f>
        <v/>
      </c>
      <c r="B539" s="85">
        <f>+MATCH(D539,ARTICULOS!$F$10:$F$699,0)</f>
        <v/>
      </c>
      <c r="C539" s="86">
        <f>+VLOOKUP(B539,ARTICULOS!$D$10:$I$699,6)</f>
        <v/>
      </c>
      <c r="D539" s="212" t="n"/>
      <c r="E539" s="75">
        <f>+C539&amp;F539</f>
        <v/>
      </c>
      <c r="F539" s="80" t="n"/>
      <c r="G539" s="81" t="n"/>
      <c r="H539" s="78" t="n"/>
      <c r="I539" s="78" t="n"/>
      <c r="J539" s="78" t="n"/>
    </row>
    <row r="540">
      <c r="A540" s="84">
        <f>ROW()-6</f>
        <v/>
      </c>
      <c r="B540" s="85">
        <f>+MATCH(D540,ARTICULOS!$F$10:$F$699,0)</f>
        <v/>
      </c>
      <c r="C540" s="86">
        <f>+VLOOKUP(B540,ARTICULOS!$D$10:$I$699,6)</f>
        <v/>
      </c>
      <c r="D540" s="212" t="n"/>
      <c r="E540" s="75">
        <f>+C540&amp;F540</f>
        <v/>
      </c>
      <c r="F540" s="80" t="n"/>
      <c r="G540" s="81" t="n"/>
      <c r="H540" s="78" t="n"/>
      <c r="I540" s="78" t="n"/>
      <c r="J540" s="78" t="n"/>
    </row>
    <row r="541">
      <c r="A541" s="84">
        <f>ROW()-6</f>
        <v/>
      </c>
      <c r="B541" s="85">
        <f>+MATCH(D541,ARTICULOS!$F$10:$F$699,0)</f>
        <v/>
      </c>
      <c r="C541" s="86">
        <f>+VLOOKUP(B541,ARTICULOS!$D$10:$I$699,6)</f>
        <v/>
      </c>
      <c r="D541" s="212" t="n"/>
      <c r="E541" s="75">
        <f>+C541&amp;F541</f>
        <v/>
      </c>
      <c r="F541" s="80" t="n"/>
      <c r="G541" s="81" t="n"/>
      <c r="H541" s="78" t="n"/>
      <c r="I541" s="78" t="n"/>
      <c r="J541" s="78" t="n"/>
    </row>
    <row r="542">
      <c r="A542" s="84">
        <f>ROW()-6</f>
        <v/>
      </c>
      <c r="B542" s="85">
        <f>+MATCH(D542,ARTICULOS!$F$10:$F$699,0)</f>
        <v/>
      </c>
      <c r="C542" s="86">
        <f>+VLOOKUP(B542,ARTICULOS!$D$10:$I$699,6)</f>
        <v/>
      </c>
      <c r="D542" s="212" t="n"/>
      <c r="E542" s="75">
        <f>+C542&amp;F542</f>
        <v/>
      </c>
      <c r="F542" s="80" t="n"/>
      <c r="G542" s="81" t="n"/>
      <c r="H542" s="78" t="n"/>
      <c r="I542" s="78" t="n"/>
      <c r="J542" s="78" t="n"/>
    </row>
    <row r="543">
      <c r="A543" s="84">
        <f>ROW()-6</f>
        <v/>
      </c>
      <c r="B543" s="85">
        <f>+MATCH(D543,ARTICULOS!$F$10:$F$699,0)</f>
        <v/>
      </c>
      <c r="C543" s="86">
        <f>+VLOOKUP(B543,ARTICULOS!$D$10:$I$699,6)</f>
        <v/>
      </c>
      <c r="D543" s="212" t="n"/>
      <c r="E543" s="75">
        <f>+C543&amp;F543</f>
        <v/>
      </c>
      <c r="F543" s="80" t="n"/>
      <c r="G543" s="81" t="n"/>
      <c r="H543" s="78" t="n"/>
      <c r="I543" s="78" t="n"/>
      <c r="J543" s="78" t="n"/>
    </row>
    <row r="544">
      <c r="A544" s="84">
        <f>ROW()-6</f>
        <v/>
      </c>
      <c r="B544" s="85">
        <f>+MATCH(D544,ARTICULOS!$F$10:$F$699,0)</f>
        <v/>
      </c>
      <c r="C544" s="86">
        <f>+VLOOKUP(B544,ARTICULOS!$D$10:$I$699,6)</f>
        <v/>
      </c>
      <c r="D544" s="212" t="n"/>
      <c r="E544" s="75">
        <f>+C544&amp;F544</f>
        <v/>
      </c>
      <c r="F544" s="80" t="n"/>
      <c r="G544" s="81" t="n"/>
      <c r="H544" s="78" t="n"/>
      <c r="I544" s="78" t="n"/>
      <c r="J544" s="78" t="n"/>
    </row>
    <row r="545">
      <c r="A545" s="84">
        <f>ROW()-6</f>
        <v/>
      </c>
      <c r="B545" s="85">
        <f>+MATCH(D545,ARTICULOS!$F$10:$F$699,0)</f>
        <v/>
      </c>
      <c r="C545" s="86">
        <f>+VLOOKUP(B545,ARTICULOS!$D$10:$I$699,6)</f>
        <v/>
      </c>
      <c r="D545" s="212" t="n"/>
      <c r="E545" s="75">
        <f>+C545&amp;F545</f>
        <v/>
      </c>
      <c r="F545" s="80" t="n"/>
      <c r="G545" s="81" t="n"/>
      <c r="H545" s="78" t="n"/>
      <c r="I545" s="78" t="n"/>
      <c r="J545" s="78" t="n"/>
    </row>
    <row r="546">
      <c r="A546" s="84">
        <f>ROW()-6</f>
        <v/>
      </c>
      <c r="B546" s="85">
        <f>+MATCH(D546,ARTICULOS!$F$10:$F$699,0)</f>
        <v/>
      </c>
      <c r="C546" s="86">
        <f>+VLOOKUP(B546,ARTICULOS!$D$10:$I$699,6)</f>
        <v/>
      </c>
      <c r="D546" s="212" t="n"/>
      <c r="E546" s="75">
        <f>+C546&amp;F546</f>
        <v/>
      </c>
      <c r="F546" s="80" t="n"/>
      <c r="G546" s="81" t="n"/>
      <c r="H546" s="78" t="n"/>
      <c r="I546" s="78" t="n"/>
      <c r="J546" s="78" t="n"/>
    </row>
    <row r="547">
      <c r="A547" s="84">
        <f>ROW()-6</f>
        <v/>
      </c>
      <c r="B547" s="85">
        <f>+MATCH(D547,ARTICULOS!$F$10:$F$699,0)</f>
        <v/>
      </c>
      <c r="C547" s="86">
        <f>+VLOOKUP(B547,ARTICULOS!$D$10:$I$699,6)</f>
        <v/>
      </c>
      <c r="D547" s="212" t="n"/>
      <c r="E547" s="75">
        <f>+C547&amp;F547</f>
        <v/>
      </c>
      <c r="F547" s="80" t="n"/>
      <c r="G547" s="81" t="n"/>
      <c r="H547" s="78" t="n"/>
      <c r="I547" s="78" t="n"/>
      <c r="J547" s="78" t="n"/>
    </row>
    <row r="548">
      <c r="A548" s="84">
        <f>ROW()-6</f>
        <v/>
      </c>
      <c r="B548" s="85">
        <f>+MATCH(D548,ARTICULOS!$F$10:$F$699,0)</f>
        <v/>
      </c>
      <c r="C548" s="86">
        <f>+VLOOKUP(B548,ARTICULOS!$D$10:$I$699,6)</f>
        <v/>
      </c>
      <c r="D548" s="212" t="n"/>
      <c r="E548" s="75">
        <f>+C548&amp;F548</f>
        <v/>
      </c>
      <c r="F548" s="80" t="n"/>
      <c r="G548" s="81" t="n"/>
      <c r="H548" s="78" t="n"/>
      <c r="I548" s="78" t="n"/>
      <c r="J548" s="78" t="n"/>
    </row>
    <row r="549">
      <c r="A549" s="84">
        <f>ROW()-6</f>
        <v/>
      </c>
      <c r="B549" s="85">
        <f>+MATCH(D549,ARTICULOS!$F$10:$F$699,0)</f>
        <v/>
      </c>
      <c r="C549" s="86">
        <f>+VLOOKUP(B549,ARTICULOS!$D$10:$I$699,6)</f>
        <v/>
      </c>
      <c r="D549" s="212" t="n"/>
      <c r="E549" s="75">
        <f>+C549&amp;F549</f>
        <v/>
      </c>
      <c r="F549" s="80" t="n"/>
      <c r="G549" s="81" t="n"/>
      <c r="H549" s="78" t="n"/>
      <c r="I549" s="78" t="n"/>
      <c r="J549" s="78" t="n"/>
    </row>
    <row r="550">
      <c r="A550" s="84">
        <f>ROW()-6</f>
        <v/>
      </c>
      <c r="B550" s="85">
        <f>+MATCH(D550,ARTICULOS!$F$10:$F$699,0)</f>
        <v/>
      </c>
      <c r="C550" s="86">
        <f>+VLOOKUP(B550,ARTICULOS!$D$10:$I$699,6)</f>
        <v/>
      </c>
      <c r="D550" s="212" t="n"/>
      <c r="E550" s="75">
        <f>+C550&amp;F550</f>
        <v/>
      </c>
      <c r="F550" s="80" t="n"/>
      <c r="G550" s="81" t="n"/>
      <c r="H550" s="78" t="n"/>
      <c r="I550" s="78" t="n"/>
      <c r="J550" s="78" t="n"/>
    </row>
    <row r="551">
      <c r="A551" s="84">
        <f>ROW()-6</f>
        <v/>
      </c>
      <c r="B551" s="85">
        <f>+MATCH(D551,ARTICULOS!$F$10:$F$699,0)</f>
        <v/>
      </c>
      <c r="C551" s="86">
        <f>+VLOOKUP(B551,ARTICULOS!$D$10:$I$699,6)</f>
        <v/>
      </c>
      <c r="D551" s="212" t="n"/>
      <c r="E551" s="75">
        <f>+C551&amp;F551</f>
        <v/>
      </c>
      <c r="F551" s="80" t="n"/>
      <c r="G551" s="81" t="n"/>
      <c r="H551" s="78" t="n"/>
      <c r="I551" s="78" t="n"/>
      <c r="J551" s="78" t="n"/>
    </row>
    <row r="552">
      <c r="A552" s="84">
        <f>ROW()-6</f>
        <v/>
      </c>
      <c r="B552" s="85">
        <f>+MATCH(D552,ARTICULOS!$F$10:$F$699,0)</f>
        <v/>
      </c>
      <c r="C552" s="86">
        <f>+VLOOKUP(B552,ARTICULOS!$D$10:$I$699,6)</f>
        <v/>
      </c>
      <c r="D552" s="212" t="n"/>
      <c r="E552" s="75">
        <f>+C552&amp;F552</f>
        <v/>
      </c>
      <c r="F552" s="80" t="n"/>
      <c r="G552" s="81" t="n"/>
      <c r="H552" s="78" t="n"/>
      <c r="I552" s="78" t="n"/>
      <c r="J552" s="78" t="n"/>
    </row>
    <row r="553">
      <c r="A553" s="84">
        <f>ROW()-6</f>
        <v/>
      </c>
      <c r="B553" s="85">
        <f>+MATCH(D553,ARTICULOS!$F$10:$F$699,0)</f>
        <v/>
      </c>
      <c r="C553" s="86">
        <f>+VLOOKUP(B553,ARTICULOS!$D$10:$I$699,6)</f>
        <v/>
      </c>
      <c r="D553" s="212" t="n"/>
      <c r="E553" s="75">
        <f>+C553&amp;F553</f>
        <v/>
      </c>
      <c r="F553" s="80" t="n"/>
      <c r="G553" s="81" t="n"/>
      <c r="H553" s="78" t="n"/>
      <c r="I553" s="78" t="n"/>
      <c r="J553" s="78" t="n"/>
    </row>
    <row r="554">
      <c r="A554" s="84">
        <f>ROW()-6</f>
        <v/>
      </c>
      <c r="B554" s="85">
        <f>+MATCH(D554,ARTICULOS!$F$10:$F$699,0)</f>
        <v/>
      </c>
      <c r="C554" s="86">
        <f>+VLOOKUP(B554,ARTICULOS!$D$10:$I$699,6)</f>
        <v/>
      </c>
      <c r="D554" s="212" t="n"/>
      <c r="E554" s="75">
        <f>+C554&amp;F554</f>
        <v/>
      </c>
      <c r="F554" s="80" t="n"/>
      <c r="G554" s="81" t="n"/>
      <c r="H554" s="78" t="n"/>
      <c r="I554" s="78" t="n"/>
      <c r="J554" s="78" t="n"/>
    </row>
    <row r="555">
      <c r="A555" s="84">
        <f>ROW()-6</f>
        <v/>
      </c>
      <c r="B555" s="85">
        <f>+MATCH(D555,ARTICULOS!$F$10:$F$699,0)</f>
        <v/>
      </c>
      <c r="C555" s="86">
        <f>+VLOOKUP(B555,ARTICULOS!$D$10:$I$699,6)</f>
        <v/>
      </c>
      <c r="D555" s="212" t="n"/>
      <c r="E555" s="75">
        <f>+C555&amp;F555</f>
        <v/>
      </c>
      <c r="F555" s="80" t="n"/>
      <c r="G555" s="81" t="n"/>
      <c r="H555" s="78" t="n"/>
      <c r="I555" s="78" t="n"/>
      <c r="J555" s="78" t="n"/>
    </row>
    <row r="556">
      <c r="A556" s="84">
        <f>ROW()-6</f>
        <v/>
      </c>
      <c r="B556" s="85">
        <f>+MATCH(D556,ARTICULOS!$F$10:$F$699,0)</f>
        <v/>
      </c>
      <c r="C556" s="86">
        <f>+VLOOKUP(B556,ARTICULOS!$D$10:$I$699,6)</f>
        <v/>
      </c>
      <c r="D556" s="212" t="n"/>
      <c r="E556" s="75">
        <f>+C556&amp;F556</f>
        <v/>
      </c>
      <c r="F556" s="80" t="n"/>
      <c r="G556" s="81" t="n"/>
      <c r="H556" s="78" t="n"/>
      <c r="I556" s="78" t="n"/>
      <c r="J556" s="78" t="n"/>
    </row>
    <row r="557">
      <c r="A557" s="84">
        <f>ROW()-6</f>
        <v/>
      </c>
      <c r="B557" s="85">
        <f>+MATCH(D557,ARTICULOS!$F$10:$F$699,0)</f>
        <v/>
      </c>
      <c r="C557" s="86">
        <f>+VLOOKUP(B557,ARTICULOS!$D$10:$I$699,6)</f>
        <v/>
      </c>
      <c r="D557" s="212" t="n"/>
      <c r="E557" s="75">
        <f>+C557&amp;F557</f>
        <v/>
      </c>
      <c r="F557" s="80" t="n"/>
      <c r="G557" s="81" t="n"/>
      <c r="H557" s="78" t="n"/>
      <c r="I557" s="78" t="n"/>
      <c r="J557" s="78" t="n"/>
    </row>
    <row r="558">
      <c r="A558" s="84">
        <f>ROW()-6</f>
        <v/>
      </c>
      <c r="B558" s="85">
        <f>+MATCH(D558,ARTICULOS!$F$10:$F$699,0)</f>
        <v/>
      </c>
      <c r="C558" s="86">
        <f>+VLOOKUP(B558,ARTICULOS!$D$10:$I$699,6)</f>
        <v/>
      </c>
      <c r="D558" s="212" t="n"/>
      <c r="E558" s="75">
        <f>+C558&amp;F558</f>
        <v/>
      </c>
      <c r="F558" s="80" t="n"/>
      <c r="G558" s="81" t="n"/>
      <c r="H558" s="78" t="n"/>
      <c r="I558" s="78" t="n"/>
      <c r="J558" s="78" t="n"/>
    </row>
    <row r="559">
      <c r="A559" s="84">
        <f>ROW()-6</f>
        <v/>
      </c>
      <c r="B559" s="85">
        <f>+MATCH(D559,ARTICULOS!$F$10:$F$699,0)</f>
        <v/>
      </c>
      <c r="C559" s="86">
        <f>+VLOOKUP(B559,ARTICULOS!$D$10:$I$699,6)</f>
        <v/>
      </c>
      <c r="D559" s="212" t="n"/>
      <c r="E559" s="75">
        <f>+C559&amp;F559</f>
        <v/>
      </c>
      <c r="F559" s="80" t="n"/>
      <c r="G559" s="81" t="n"/>
      <c r="H559" s="78" t="n"/>
      <c r="I559" s="78" t="n"/>
      <c r="J559" s="78" t="n"/>
    </row>
    <row r="560">
      <c r="A560" s="84">
        <f>ROW()-6</f>
        <v/>
      </c>
      <c r="B560" s="85">
        <f>+MATCH(D560,ARTICULOS!$F$10:$F$699,0)</f>
        <v/>
      </c>
      <c r="C560" s="86">
        <f>+VLOOKUP(B560,ARTICULOS!$D$10:$I$699,6)</f>
        <v/>
      </c>
      <c r="D560" s="212" t="n"/>
      <c r="E560" s="75">
        <f>+C560&amp;F560</f>
        <v/>
      </c>
      <c r="F560" s="80" t="n"/>
      <c r="G560" s="81" t="n"/>
      <c r="H560" s="78" t="n"/>
      <c r="I560" s="78" t="n"/>
      <c r="J560" s="78" t="n"/>
    </row>
    <row r="561">
      <c r="A561" s="84">
        <f>ROW()-6</f>
        <v/>
      </c>
      <c r="B561" s="85">
        <f>+MATCH(D561,ARTICULOS!$F$10:$F$699,0)</f>
        <v/>
      </c>
      <c r="C561" s="86">
        <f>+VLOOKUP(B561,ARTICULOS!$D$10:$I$699,6)</f>
        <v/>
      </c>
      <c r="D561" s="212" t="n"/>
      <c r="E561" s="75">
        <f>+C561&amp;F561</f>
        <v/>
      </c>
      <c r="F561" s="80" t="n"/>
      <c r="G561" s="81" t="n"/>
      <c r="H561" s="78" t="n"/>
      <c r="I561" s="78" t="n"/>
      <c r="J561" s="78" t="n"/>
    </row>
    <row r="562">
      <c r="A562" s="84">
        <f>ROW()-6</f>
        <v/>
      </c>
      <c r="B562" s="85">
        <f>+MATCH(D562,ARTICULOS!$F$10:$F$699,0)</f>
        <v/>
      </c>
      <c r="C562" s="86">
        <f>+VLOOKUP(B562,ARTICULOS!$D$10:$I$699,6)</f>
        <v/>
      </c>
      <c r="D562" s="212" t="n"/>
      <c r="E562" s="75">
        <f>+C562&amp;F562</f>
        <v/>
      </c>
      <c r="F562" s="80" t="n"/>
      <c r="G562" s="81" t="n"/>
      <c r="H562" s="78" t="n"/>
      <c r="I562" s="78" t="n"/>
      <c r="J562" s="78" t="n"/>
    </row>
    <row r="563">
      <c r="A563" s="84">
        <f>ROW()-6</f>
        <v/>
      </c>
      <c r="B563" s="85">
        <f>+MATCH(D563,ARTICULOS!$F$10:$F$699,0)</f>
        <v/>
      </c>
      <c r="C563" s="86">
        <f>+VLOOKUP(B563,ARTICULOS!$D$10:$I$699,6)</f>
        <v/>
      </c>
      <c r="D563" s="212" t="n"/>
      <c r="E563" s="75">
        <f>+C563&amp;F563</f>
        <v/>
      </c>
      <c r="F563" s="80" t="n"/>
      <c r="G563" s="81" t="n"/>
      <c r="H563" s="78" t="n"/>
      <c r="I563" s="78" t="n"/>
      <c r="J563" s="78" t="n"/>
    </row>
    <row r="564">
      <c r="A564" s="84">
        <f>ROW()-6</f>
        <v/>
      </c>
      <c r="B564" s="85">
        <f>+MATCH(D564,ARTICULOS!$F$10:$F$699,0)</f>
        <v/>
      </c>
      <c r="C564" s="86">
        <f>+VLOOKUP(B564,ARTICULOS!$D$10:$I$699,6)</f>
        <v/>
      </c>
      <c r="D564" s="212" t="n"/>
      <c r="E564" s="75">
        <f>+C564&amp;F564</f>
        <v/>
      </c>
      <c r="F564" s="80" t="n"/>
      <c r="G564" s="81" t="n"/>
      <c r="H564" s="78" t="n"/>
      <c r="I564" s="78" t="n"/>
      <c r="J564" s="78" t="n"/>
    </row>
    <row r="565">
      <c r="A565" s="84">
        <f>ROW()-6</f>
        <v/>
      </c>
      <c r="B565" s="85">
        <f>+MATCH(D565,ARTICULOS!$F$10:$F$699,0)</f>
        <v/>
      </c>
      <c r="C565" s="86">
        <f>+VLOOKUP(B565,ARTICULOS!$D$10:$I$699,6)</f>
        <v/>
      </c>
      <c r="D565" s="212" t="n"/>
      <c r="E565" s="75">
        <f>+C565&amp;F565</f>
        <v/>
      </c>
      <c r="F565" s="80" t="n"/>
      <c r="G565" s="81" t="n"/>
      <c r="H565" s="78" t="n"/>
      <c r="I565" s="78" t="n"/>
      <c r="J565" s="78" t="n"/>
    </row>
    <row r="566">
      <c r="A566" s="84">
        <f>ROW()-6</f>
        <v/>
      </c>
      <c r="B566" s="85">
        <f>+MATCH(D566,ARTICULOS!$F$10:$F$699,0)</f>
        <v/>
      </c>
      <c r="C566" s="86">
        <f>+VLOOKUP(B566,ARTICULOS!$D$10:$I$699,6)</f>
        <v/>
      </c>
      <c r="D566" s="212" t="n"/>
      <c r="E566" s="75">
        <f>+C566&amp;F566</f>
        <v/>
      </c>
      <c r="F566" s="80" t="n"/>
      <c r="G566" s="81" t="n"/>
      <c r="H566" s="78" t="n"/>
      <c r="I566" s="78" t="n"/>
      <c r="J566" s="78" t="n"/>
    </row>
    <row r="567">
      <c r="A567" s="84">
        <f>ROW()-6</f>
        <v/>
      </c>
      <c r="B567" s="85">
        <f>+MATCH(D567,ARTICULOS!$F$10:$F$699,0)</f>
        <v/>
      </c>
      <c r="C567" s="86">
        <f>+VLOOKUP(B567,ARTICULOS!$D$10:$I$699,6)</f>
        <v/>
      </c>
      <c r="D567" s="212" t="n"/>
      <c r="E567" s="75">
        <f>+C567&amp;F567</f>
        <v/>
      </c>
      <c r="F567" s="80" t="n"/>
      <c r="G567" s="81" t="n"/>
      <c r="H567" s="78" t="n"/>
      <c r="I567" s="78" t="n"/>
      <c r="J567" s="78" t="n"/>
    </row>
    <row r="568">
      <c r="A568" s="84">
        <f>ROW()-6</f>
        <v/>
      </c>
      <c r="B568" s="85">
        <f>+MATCH(D568,ARTICULOS!$F$10:$F$699,0)</f>
        <v/>
      </c>
      <c r="C568" s="86">
        <f>+VLOOKUP(B568,ARTICULOS!$D$10:$I$699,6)</f>
        <v/>
      </c>
      <c r="D568" s="212" t="n"/>
      <c r="E568" s="75">
        <f>+C568&amp;F568</f>
        <v/>
      </c>
      <c r="F568" s="80" t="n"/>
      <c r="G568" s="81" t="n"/>
      <c r="H568" s="78" t="n"/>
      <c r="I568" s="78" t="n"/>
      <c r="J568" s="78" t="n"/>
    </row>
    <row r="569">
      <c r="A569" s="84">
        <f>ROW()-6</f>
        <v/>
      </c>
      <c r="B569" s="85">
        <f>+MATCH(D569,ARTICULOS!$F$10:$F$699,0)</f>
        <v/>
      </c>
      <c r="C569" s="86">
        <f>+VLOOKUP(B569,ARTICULOS!$D$10:$I$699,6)</f>
        <v/>
      </c>
      <c r="D569" s="212" t="n"/>
      <c r="E569" s="75">
        <f>+C569&amp;F569</f>
        <v/>
      </c>
      <c r="F569" s="80" t="n"/>
      <c r="G569" s="81" t="n"/>
      <c r="H569" s="78" t="n"/>
      <c r="I569" s="78" t="n"/>
      <c r="J569" s="78" t="n"/>
    </row>
    <row r="570">
      <c r="A570" s="84">
        <f>ROW()-6</f>
        <v/>
      </c>
      <c r="B570" s="85">
        <f>+MATCH(D570,ARTICULOS!$F$10:$F$699,0)</f>
        <v/>
      </c>
      <c r="C570" s="86">
        <f>+VLOOKUP(B570,ARTICULOS!$D$10:$I$699,6)</f>
        <v/>
      </c>
      <c r="D570" s="212" t="n"/>
      <c r="E570" s="75">
        <f>+C570&amp;F570</f>
        <v/>
      </c>
      <c r="F570" s="80" t="n"/>
      <c r="G570" s="81" t="n"/>
      <c r="H570" s="78" t="n"/>
      <c r="I570" s="78" t="n"/>
      <c r="J570" s="78" t="n"/>
    </row>
    <row r="571">
      <c r="A571" s="84">
        <f>ROW()-6</f>
        <v/>
      </c>
      <c r="B571" s="85">
        <f>+MATCH(D571,ARTICULOS!$F$10:$F$699,0)</f>
        <v/>
      </c>
      <c r="C571" s="86">
        <f>+VLOOKUP(B571,ARTICULOS!$D$10:$I$699,6)</f>
        <v/>
      </c>
      <c r="D571" s="212" t="n"/>
      <c r="E571" s="75">
        <f>+C571&amp;F571</f>
        <v/>
      </c>
      <c r="F571" s="80" t="n"/>
      <c r="G571" s="81" t="n"/>
      <c r="H571" s="78" t="n"/>
      <c r="I571" s="78" t="n"/>
      <c r="J571" s="78" t="n"/>
    </row>
    <row r="572">
      <c r="A572" s="84">
        <f>ROW()-6</f>
        <v/>
      </c>
      <c r="B572" s="85">
        <f>+MATCH(D572,ARTICULOS!$F$10:$F$699,0)</f>
        <v/>
      </c>
      <c r="C572" s="86">
        <f>+VLOOKUP(B572,ARTICULOS!$D$10:$I$699,6)</f>
        <v/>
      </c>
      <c r="D572" s="212" t="n"/>
      <c r="E572" s="75">
        <f>+C572&amp;F572</f>
        <v/>
      </c>
      <c r="F572" s="80" t="n"/>
      <c r="G572" s="81" t="n"/>
      <c r="H572" s="78" t="n"/>
      <c r="I572" s="78" t="n"/>
      <c r="J572" s="78" t="n"/>
    </row>
    <row r="573">
      <c r="A573" s="84">
        <f>ROW()-6</f>
        <v/>
      </c>
      <c r="B573" s="85">
        <f>+MATCH(D573,ARTICULOS!$F$10:$F$699,0)</f>
        <v/>
      </c>
      <c r="C573" s="86">
        <f>+VLOOKUP(B573,ARTICULOS!$D$10:$I$699,6)</f>
        <v/>
      </c>
      <c r="D573" s="212" t="n"/>
      <c r="E573" s="75">
        <f>+C573&amp;F573</f>
        <v/>
      </c>
      <c r="F573" s="80" t="n"/>
      <c r="G573" s="81" t="n"/>
      <c r="H573" s="78" t="n"/>
      <c r="I573" s="78" t="n"/>
      <c r="J573" s="78" t="n"/>
    </row>
    <row r="574">
      <c r="A574" s="84">
        <f>ROW()-6</f>
        <v/>
      </c>
      <c r="B574" s="85">
        <f>+MATCH(D574,ARTICULOS!$F$10:$F$699,0)</f>
        <v/>
      </c>
      <c r="C574" s="86">
        <f>+VLOOKUP(B574,ARTICULOS!$D$10:$I$699,6)</f>
        <v/>
      </c>
      <c r="D574" s="212" t="n"/>
      <c r="E574" s="75">
        <f>+C574&amp;F574</f>
        <v/>
      </c>
      <c r="F574" s="80" t="n"/>
      <c r="G574" s="81" t="n"/>
      <c r="H574" s="78" t="n"/>
      <c r="I574" s="78" t="n"/>
      <c r="J574" s="78" t="n"/>
    </row>
    <row r="575">
      <c r="A575" s="84">
        <f>ROW()-6</f>
        <v/>
      </c>
      <c r="B575" s="85">
        <f>+MATCH(D575,ARTICULOS!$F$10:$F$699,0)</f>
        <v/>
      </c>
      <c r="C575" s="86">
        <f>+VLOOKUP(B575,ARTICULOS!$D$10:$I$699,6)</f>
        <v/>
      </c>
      <c r="D575" s="212" t="n"/>
      <c r="E575" s="75">
        <f>+C575&amp;F575</f>
        <v/>
      </c>
      <c r="F575" s="80" t="n"/>
      <c r="G575" s="81" t="n"/>
      <c r="H575" s="78" t="n"/>
      <c r="I575" s="78" t="n"/>
      <c r="J575" s="78" t="n"/>
    </row>
    <row r="576">
      <c r="A576" s="84">
        <f>ROW()-6</f>
        <v/>
      </c>
      <c r="B576" s="85">
        <f>+MATCH(D576,ARTICULOS!$F$10:$F$699,0)</f>
        <v/>
      </c>
      <c r="C576" s="86">
        <f>+VLOOKUP(B576,ARTICULOS!$D$10:$I$699,6)</f>
        <v/>
      </c>
      <c r="D576" s="212" t="n"/>
      <c r="E576" s="75">
        <f>+C576&amp;F576</f>
        <v/>
      </c>
      <c r="F576" s="80" t="n"/>
      <c r="G576" s="81" t="n"/>
      <c r="H576" s="78" t="n"/>
      <c r="I576" s="78" t="n"/>
      <c r="J576" s="78" t="n"/>
    </row>
    <row r="577">
      <c r="A577" s="84">
        <f>ROW()-6</f>
        <v/>
      </c>
      <c r="B577" s="85">
        <f>+MATCH(D577,ARTICULOS!$F$10:$F$699,0)</f>
        <v/>
      </c>
      <c r="C577" s="86">
        <f>+VLOOKUP(B577,ARTICULOS!$D$10:$I$699,6)</f>
        <v/>
      </c>
      <c r="D577" s="212" t="n"/>
      <c r="E577" s="75">
        <f>+C577&amp;F577</f>
        <v/>
      </c>
      <c r="F577" s="80" t="n"/>
      <c r="G577" s="81" t="n"/>
      <c r="H577" s="78" t="n"/>
      <c r="I577" s="78" t="n"/>
      <c r="J577" s="78" t="n"/>
    </row>
    <row r="578">
      <c r="A578" s="84">
        <f>ROW()-6</f>
        <v/>
      </c>
      <c r="B578" s="85">
        <f>+MATCH(D578,ARTICULOS!$F$10:$F$699,0)</f>
        <v/>
      </c>
      <c r="C578" s="86">
        <f>+VLOOKUP(B578,ARTICULOS!$D$10:$I$699,6)</f>
        <v/>
      </c>
      <c r="D578" s="212" t="n"/>
      <c r="E578" s="75">
        <f>+C578&amp;F578</f>
        <v/>
      </c>
      <c r="F578" s="80" t="n"/>
      <c r="G578" s="81" t="n"/>
      <c r="H578" s="78" t="n"/>
      <c r="I578" s="78" t="n"/>
      <c r="J578" s="78" t="n"/>
    </row>
    <row r="579">
      <c r="A579" s="84">
        <f>ROW()-6</f>
        <v/>
      </c>
      <c r="B579" s="85">
        <f>+MATCH(D579,ARTICULOS!$F$10:$F$699,0)</f>
        <v/>
      </c>
      <c r="C579" s="86">
        <f>+VLOOKUP(B579,ARTICULOS!$D$10:$I$699,6)</f>
        <v/>
      </c>
      <c r="D579" s="212" t="n"/>
      <c r="E579" s="75">
        <f>+C579&amp;F579</f>
        <v/>
      </c>
      <c r="F579" s="80" t="n"/>
      <c r="G579" s="81" t="n"/>
      <c r="H579" s="78" t="n"/>
      <c r="I579" s="78" t="n"/>
      <c r="J579" s="78" t="n"/>
    </row>
    <row r="580">
      <c r="A580" s="84">
        <f>ROW()-6</f>
        <v/>
      </c>
      <c r="B580" s="85">
        <f>+MATCH(D580,ARTICULOS!$F$10:$F$699,0)</f>
        <v/>
      </c>
      <c r="C580" s="86">
        <f>+VLOOKUP(B580,ARTICULOS!$D$10:$I$699,6)</f>
        <v/>
      </c>
      <c r="D580" s="212" t="n"/>
      <c r="E580" s="75">
        <f>+C580&amp;F580</f>
        <v/>
      </c>
      <c r="F580" s="80" t="n"/>
      <c r="G580" s="81" t="n"/>
      <c r="H580" s="78" t="n"/>
      <c r="I580" s="78" t="n"/>
      <c r="J580" s="78" t="n"/>
    </row>
    <row r="581">
      <c r="A581" s="84">
        <f>ROW()-6</f>
        <v/>
      </c>
      <c r="B581" s="85">
        <f>+MATCH(D581,ARTICULOS!$F$10:$F$699,0)</f>
        <v/>
      </c>
      <c r="C581" s="86">
        <f>+VLOOKUP(B581,ARTICULOS!$D$10:$I$699,6)</f>
        <v/>
      </c>
      <c r="D581" s="212" t="n"/>
      <c r="E581" s="75">
        <f>+C581&amp;F581</f>
        <v/>
      </c>
      <c r="F581" s="80" t="n"/>
      <c r="G581" s="81" t="n"/>
      <c r="H581" s="78" t="n"/>
      <c r="I581" s="78" t="n"/>
      <c r="J581" s="78" t="n"/>
    </row>
    <row r="582">
      <c r="A582" s="84">
        <f>ROW()-6</f>
        <v/>
      </c>
      <c r="B582" s="85">
        <f>+MATCH(D582,ARTICULOS!$F$10:$F$699,0)</f>
        <v/>
      </c>
      <c r="C582" s="86">
        <f>+VLOOKUP(B582,ARTICULOS!$D$10:$I$699,6)</f>
        <v/>
      </c>
      <c r="D582" s="212" t="n"/>
      <c r="E582" s="75">
        <f>+C582&amp;F582</f>
        <v/>
      </c>
      <c r="F582" s="80" t="n"/>
      <c r="G582" s="81" t="n"/>
      <c r="H582" s="78" t="n"/>
      <c r="I582" s="78" t="n"/>
      <c r="J582" s="78" t="n"/>
    </row>
    <row r="583">
      <c r="A583" s="84">
        <f>ROW()-6</f>
        <v/>
      </c>
      <c r="B583" s="85">
        <f>+MATCH(D583,ARTICULOS!$F$10:$F$699,0)</f>
        <v/>
      </c>
      <c r="C583" s="86">
        <f>+VLOOKUP(B583,ARTICULOS!$D$10:$I$699,6)</f>
        <v/>
      </c>
      <c r="D583" s="212" t="n"/>
      <c r="E583" s="75">
        <f>+C583&amp;F583</f>
        <v/>
      </c>
      <c r="F583" s="80" t="n"/>
      <c r="G583" s="81" t="n"/>
      <c r="H583" s="78" t="n"/>
      <c r="I583" s="78" t="n"/>
      <c r="J583" s="78" t="n"/>
    </row>
    <row r="584">
      <c r="A584" s="84">
        <f>ROW()-6</f>
        <v/>
      </c>
      <c r="B584" s="85">
        <f>+MATCH(D584,ARTICULOS!$F$10:$F$699,0)</f>
        <v/>
      </c>
      <c r="C584" s="86">
        <f>+VLOOKUP(B584,ARTICULOS!$D$10:$I$699,6)</f>
        <v/>
      </c>
      <c r="D584" s="212" t="n"/>
      <c r="E584" s="75">
        <f>+C584&amp;F584</f>
        <v/>
      </c>
      <c r="F584" s="80" t="n"/>
      <c r="G584" s="81" t="n"/>
      <c r="H584" s="78" t="n"/>
      <c r="I584" s="78" t="n"/>
      <c r="J584" s="78" t="n"/>
    </row>
    <row r="585">
      <c r="A585" s="84">
        <f>ROW()-6</f>
        <v/>
      </c>
      <c r="B585" s="85">
        <f>+MATCH(D585,ARTICULOS!$F$10:$F$699,0)</f>
        <v/>
      </c>
      <c r="C585" s="86">
        <f>+VLOOKUP(B585,ARTICULOS!$D$10:$I$699,6)</f>
        <v/>
      </c>
      <c r="D585" s="212" t="n"/>
      <c r="E585" s="75">
        <f>+C585&amp;F585</f>
        <v/>
      </c>
      <c r="F585" s="80" t="n"/>
      <c r="G585" s="81" t="n"/>
      <c r="H585" s="78" t="n"/>
      <c r="I585" s="78" t="n"/>
      <c r="J585" s="78" t="n"/>
    </row>
    <row r="586">
      <c r="A586" s="84">
        <f>ROW()-6</f>
        <v/>
      </c>
      <c r="B586" s="85">
        <f>+MATCH(D586,ARTICULOS!$F$10:$F$699,0)</f>
        <v/>
      </c>
      <c r="C586" s="86">
        <f>+VLOOKUP(B586,ARTICULOS!$D$10:$I$699,6)</f>
        <v/>
      </c>
      <c r="D586" s="212" t="n"/>
      <c r="E586" s="75">
        <f>+C586&amp;F586</f>
        <v/>
      </c>
      <c r="F586" s="80" t="n"/>
      <c r="G586" s="81" t="n"/>
      <c r="H586" s="78" t="n"/>
      <c r="I586" s="78" t="n"/>
      <c r="J586" s="78" t="n"/>
    </row>
    <row r="587">
      <c r="A587" s="84">
        <f>ROW()-6</f>
        <v/>
      </c>
      <c r="B587" s="85">
        <f>+MATCH(D587,ARTICULOS!$F$10:$F$699,0)</f>
        <v/>
      </c>
      <c r="C587" s="86">
        <f>+VLOOKUP(B587,ARTICULOS!$D$10:$I$699,6)</f>
        <v/>
      </c>
      <c r="D587" s="212" t="n"/>
      <c r="E587" s="75">
        <f>+C587&amp;F587</f>
        <v/>
      </c>
      <c r="F587" s="80" t="n"/>
      <c r="G587" s="81" t="n"/>
      <c r="H587" s="78" t="n"/>
      <c r="I587" s="78" t="n"/>
      <c r="J587" s="78" t="n"/>
    </row>
    <row r="588">
      <c r="A588" s="84">
        <f>ROW()-6</f>
        <v/>
      </c>
      <c r="B588" s="85">
        <f>+MATCH(D588,ARTICULOS!$F$10:$F$699,0)</f>
        <v/>
      </c>
      <c r="C588" s="86">
        <f>+VLOOKUP(B588,ARTICULOS!$D$10:$I$699,6)</f>
        <v/>
      </c>
      <c r="D588" s="212" t="n"/>
      <c r="E588" s="75">
        <f>+C588&amp;F588</f>
        <v/>
      </c>
      <c r="F588" s="80" t="n"/>
      <c r="G588" s="81" t="n"/>
      <c r="H588" s="78" t="n"/>
      <c r="I588" s="78" t="n"/>
      <c r="J588" s="78" t="n"/>
    </row>
    <row r="589">
      <c r="A589" s="84">
        <f>ROW()-6</f>
        <v/>
      </c>
      <c r="B589" s="85">
        <f>+MATCH(D589,ARTICULOS!$F$10:$F$699,0)</f>
        <v/>
      </c>
      <c r="C589" s="86">
        <f>+VLOOKUP(B589,ARTICULOS!$D$10:$I$699,6)</f>
        <v/>
      </c>
      <c r="D589" s="212" t="n"/>
      <c r="E589" s="75">
        <f>+C589&amp;F589</f>
        <v/>
      </c>
      <c r="F589" s="80" t="n"/>
      <c r="G589" s="81" t="n"/>
      <c r="H589" s="78" t="n"/>
      <c r="I589" s="78" t="n"/>
      <c r="J589" s="78" t="n"/>
    </row>
    <row r="590">
      <c r="A590" s="84">
        <f>ROW()-6</f>
        <v/>
      </c>
      <c r="B590" s="85">
        <f>+MATCH(D590,ARTICULOS!$F$10:$F$699,0)</f>
        <v/>
      </c>
      <c r="C590" s="86">
        <f>+VLOOKUP(B590,ARTICULOS!$D$10:$I$699,6)</f>
        <v/>
      </c>
      <c r="D590" s="212" t="n"/>
      <c r="E590" s="75">
        <f>+C590&amp;F590</f>
        <v/>
      </c>
      <c r="F590" s="80" t="n"/>
      <c r="G590" s="81" t="n"/>
      <c r="H590" s="78" t="n"/>
      <c r="I590" s="78" t="n"/>
      <c r="J590" s="78" t="n"/>
    </row>
    <row r="591">
      <c r="A591" s="84">
        <f>ROW()-6</f>
        <v/>
      </c>
      <c r="B591" s="85">
        <f>+MATCH(D591,ARTICULOS!$F$10:$F$699,0)</f>
        <v/>
      </c>
      <c r="C591" s="86">
        <f>+VLOOKUP(B591,ARTICULOS!$D$10:$I$699,6)</f>
        <v/>
      </c>
      <c r="D591" s="212" t="n"/>
      <c r="E591" s="75">
        <f>+C591&amp;F591</f>
        <v/>
      </c>
      <c r="F591" s="80" t="n"/>
      <c r="G591" s="81" t="n"/>
      <c r="H591" s="78" t="n"/>
      <c r="I591" s="78" t="n"/>
      <c r="J591" s="78" t="n"/>
    </row>
    <row r="592">
      <c r="A592" s="84">
        <f>ROW()-6</f>
        <v/>
      </c>
      <c r="B592" s="85">
        <f>+MATCH(D592,ARTICULOS!$F$10:$F$699,0)</f>
        <v/>
      </c>
      <c r="C592" s="86">
        <f>+VLOOKUP(B592,ARTICULOS!$D$10:$I$699,6)</f>
        <v/>
      </c>
      <c r="D592" s="212" t="n"/>
      <c r="E592" s="75">
        <f>+C592&amp;F592</f>
        <v/>
      </c>
      <c r="F592" s="80" t="n"/>
      <c r="G592" s="81" t="n"/>
      <c r="H592" s="78" t="n"/>
      <c r="I592" s="78" t="n"/>
      <c r="J592" s="78" t="n"/>
    </row>
    <row r="593">
      <c r="A593" s="84">
        <f>ROW()-6</f>
        <v/>
      </c>
      <c r="B593" s="85">
        <f>+MATCH(D593,ARTICULOS!$F$10:$F$699,0)</f>
        <v/>
      </c>
      <c r="C593" s="86">
        <f>+VLOOKUP(B593,ARTICULOS!$D$10:$I$699,6)</f>
        <v/>
      </c>
      <c r="D593" s="212" t="n"/>
      <c r="E593" s="75">
        <f>+C593&amp;F593</f>
        <v/>
      </c>
      <c r="F593" s="80" t="n"/>
      <c r="G593" s="81" t="n"/>
      <c r="H593" s="78" t="n"/>
      <c r="I593" s="78" t="n"/>
      <c r="J593" s="78" t="n"/>
    </row>
    <row r="594">
      <c r="A594" s="84">
        <f>ROW()-6</f>
        <v/>
      </c>
      <c r="B594" s="85">
        <f>+MATCH(D594,ARTICULOS!$F$10:$F$699,0)</f>
        <v/>
      </c>
      <c r="C594" s="86">
        <f>+VLOOKUP(B594,ARTICULOS!$D$10:$I$699,6)</f>
        <v/>
      </c>
      <c r="D594" s="212" t="n"/>
      <c r="E594" s="75">
        <f>+C594&amp;F594</f>
        <v/>
      </c>
      <c r="F594" s="80" t="n"/>
      <c r="G594" s="81" t="n"/>
      <c r="H594" s="78" t="n"/>
      <c r="I594" s="78" t="n"/>
      <c r="J594" s="78" t="n"/>
    </row>
    <row r="595">
      <c r="A595" s="84">
        <f>ROW()-6</f>
        <v/>
      </c>
      <c r="B595" s="85">
        <f>+MATCH(D595,ARTICULOS!$F$10:$F$699,0)</f>
        <v/>
      </c>
      <c r="C595" s="86">
        <f>+VLOOKUP(B595,ARTICULOS!$D$10:$I$699,6)</f>
        <v/>
      </c>
      <c r="D595" s="212" t="n"/>
      <c r="E595" s="75">
        <f>+C595&amp;F595</f>
        <v/>
      </c>
      <c r="F595" s="80" t="n"/>
      <c r="G595" s="81" t="n"/>
      <c r="H595" s="78" t="n"/>
      <c r="I595" s="78" t="n"/>
      <c r="J595" s="78" t="n"/>
    </row>
    <row r="596">
      <c r="A596" s="84">
        <f>ROW()-6</f>
        <v/>
      </c>
      <c r="B596" s="85">
        <f>+MATCH(D596,ARTICULOS!$F$10:$F$699,0)</f>
        <v/>
      </c>
      <c r="C596" s="86">
        <f>+VLOOKUP(B596,ARTICULOS!$D$10:$I$699,6)</f>
        <v/>
      </c>
      <c r="D596" s="212" t="n"/>
      <c r="E596" s="75">
        <f>+C596&amp;F596</f>
        <v/>
      </c>
      <c r="F596" s="80" t="n"/>
      <c r="G596" s="81" t="n"/>
      <c r="H596" s="78" t="n"/>
      <c r="I596" s="78" t="n"/>
      <c r="J596" s="78" t="n"/>
    </row>
    <row r="597">
      <c r="A597" s="84">
        <f>ROW()-6</f>
        <v/>
      </c>
      <c r="B597" s="85">
        <f>+MATCH(D597,ARTICULOS!$F$10:$F$699,0)</f>
        <v/>
      </c>
      <c r="C597" s="86">
        <f>+VLOOKUP(B597,ARTICULOS!$D$10:$I$699,6)</f>
        <v/>
      </c>
      <c r="D597" s="212" t="n"/>
      <c r="E597" s="75">
        <f>+C597&amp;F597</f>
        <v/>
      </c>
      <c r="F597" s="80" t="n"/>
      <c r="G597" s="81" t="n"/>
      <c r="H597" s="78" t="n"/>
      <c r="I597" s="78" t="n"/>
      <c r="J597" s="78" t="n"/>
    </row>
    <row r="598">
      <c r="A598" s="84">
        <f>ROW()-6</f>
        <v/>
      </c>
      <c r="B598" s="85">
        <f>+MATCH(D598,ARTICULOS!$F$10:$F$699,0)</f>
        <v/>
      </c>
      <c r="C598" s="86">
        <f>+VLOOKUP(B598,ARTICULOS!$D$10:$I$699,6)</f>
        <v/>
      </c>
      <c r="D598" s="212" t="n"/>
      <c r="E598" s="75">
        <f>+C598&amp;F598</f>
        <v/>
      </c>
      <c r="F598" s="80" t="n"/>
      <c r="G598" s="81" t="n"/>
      <c r="H598" s="78" t="n"/>
      <c r="I598" s="78" t="n"/>
      <c r="J598" s="78" t="n"/>
    </row>
    <row r="599">
      <c r="A599" s="84">
        <f>ROW()-6</f>
        <v/>
      </c>
      <c r="B599" s="85">
        <f>+MATCH(D599,ARTICULOS!$F$10:$F$699,0)</f>
        <v/>
      </c>
      <c r="C599" s="86">
        <f>+VLOOKUP(B599,ARTICULOS!$D$10:$I$699,6)</f>
        <v/>
      </c>
      <c r="D599" s="212" t="n"/>
      <c r="E599" s="75">
        <f>+C599&amp;F599</f>
        <v/>
      </c>
      <c r="F599" s="80" t="n"/>
      <c r="G599" s="81" t="n"/>
      <c r="H599" s="78" t="n"/>
      <c r="I599" s="78" t="n"/>
      <c r="J599" s="78" t="n"/>
    </row>
    <row r="600">
      <c r="A600" s="84">
        <f>ROW()-6</f>
        <v/>
      </c>
      <c r="B600" s="85">
        <f>+MATCH(D600,ARTICULOS!$F$10:$F$699,0)</f>
        <v/>
      </c>
      <c r="C600" s="86">
        <f>+VLOOKUP(B600,ARTICULOS!$D$10:$I$699,6)</f>
        <v/>
      </c>
      <c r="D600" s="212" t="n"/>
      <c r="E600" s="75">
        <f>+C600&amp;F600</f>
        <v/>
      </c>
      <c r="F600" s="80" t="n"/>
      <c r="G600" s="81" t="n"/>
      <c r="H600" s="78" t="n"/>
      <c r="I600" s="78" t="n"/>
      <c r="J600" s="78" t="n"/>
    </row>
    <row r="601">
      <c r="A601" s="84">
        <f>ROW()-6</f>
        <v/>
      </c>
      <c r="B601" s="85">
        <f>+MATCH(D601,ARTICULOS!$F$10:$F$699,0)</f>
        <v/>
      </c>
      <c r="C601" s="86">
        <f>+VLOOKUP(B601,ARTICULOS!$D$10:$I$699,6)</f>
        <v/>
      </c>
      <c r="D601" s="212" t="n"/>
      <c r="E601" s="75">
        <f>+C601&amp;F601</f>
        <v/>
      </c>
      <c r="F601" s="80" t="n"/>
      <c r="G601" s="81" t="n"/>
      <c r="H601" s="78" t="n"/>
      <c r="I601" s="78" t="n"/>
      <c r="J601" s="78" t="n"/>
    </row>
    <row r="602">
      <c r="A602" s="84">
        <f>ROW()-6</f>
        <v/>
      </c>
      <c r="B602" s="85">
        <f>+MATCH(D602,ARTICULOS!$F$10:$F$699,0)</f>
        <v/>
      </c>
      <c r="C602" s="86">
        <f>+VLOOKUP(B602,ARTICULOS!$D$10:$I$699,6)</f>
        <v/>
      </c>
      <c r="D602" s="212" t="n"/>
      <c r="E602" s="75">
        <f>+C602&amp;F602</f>
        <v/>
      </c>
      <c r="F602" s="80" t="n"/>
      <c r="G602" s="81" t="n"/>
      <c r="H602" s="78" t="n"/>
      <c r="I602" s="78" t="n"/>
      <c r="J602" s="78" t="n"/>
    </row>
    <row r="603">
      <c r="A603" s="84">
        <f>ROW()-6</f>
        <v/>
      </c>
      <c r="B603" s="85">
        <f>+MATCH(D603,ARTICULOS!$F$10:$F$699,0)</f>
        <v/>
      </c>
      <c r="C603" s="86">
        <f>+VLOOKUP(B603,ARTICULOS!$D$10:$I$699,6)</f>
        <v/>
      </c>
      <c r="D603" s="212" t="n"/>
      <c r="E603" s="75">
        <f>+C603&amp;F603</f>
        <v/>
      </c>
      <c r="F603" s="80" t="n"/>
      <c r="G603" s="81" t="n"/>
      <c r="H603" s="78" t="n"/>
      <c r="I603" s="78" t="n"/>
      <c r="J603" s="78" t="n"/>
    </row>
    <row r="604">
      <c r="A604" s="84">
        <f>ROW()-6</f>
        <v/>
      </c>
      <c r="B604" s="85">
        <f>+MATCH(D604,ARTICULOS!$F$10:$F$699,0)</f>
        <v/>
      </c>
      <c r="C604" s="86">
        <f>+VLOOKUP(B604,ARTICULOS!$D$10:$I$699,6)</f>
        <v/>
      </c>
      <c r="D604" s="212" t="n"/>
      <c r="E604" s="75">
        <f>+C604&amp;F604</f>
        <v/>
      </c>
      <c r="F604" s="80" t="n"/>
      <c r="G604" s="81" t="n"/>
      <c r="H604" s="78" t="n"/>
      <c r="I604" s="78" t="n"/>
      <c r="J604" s="78" t="n"/>
    </row>
    <row r="605">
      <c r="A605" s="84">
        <f>ROW()-6</f>
        <v/>
      </c>
      <c r="B605" s="85">
        <f>+MATCH(D605,ARTICULOS!$F$10:$F$699,0)</f>
        <v/>
      </c>
      <c r="C605" s="86">
        <f>+VLOOKUP(B605,ARTICULOS!$D$10:$I$699,6)</f>
        <v/>
      </c>
      <c r="D605" s="212" t="n"/>
      <c r="E605" s="75">
        <f>+C605&amp;F605</f>
        <v/>
      </c>
      <c r="F605" s="80" t="n"/>
      <c r="G605" s="81" t="n"/>
      <c r="H605" s="78" t="n"/>
      <c r="I605" s="78" t="n"/>
      <c r="J605" s="78" t="n"/>
    </row>
    <row r="606">
      <c r="A606" s="84">
        <f>ROW()-6</f>
        <v/>
      </c>
      <c r="B606" s="85">
        <f>+MATCH(D606,ARTICULOS!$F$10:$F$699,0)</f>
        <v/>
      </c>
      <c r="C606" s="86">
        <f>+VLOOKUP(B606,ARTICULOS!$D$10:$I$699,6)</f>
        <v/>
      </c>
      <c r="D606" s="212" t="n"/>
      <c r="E606" s="75">
        <f>+C606&amp;F606</f>
        <v/>
      </c>
      <c r="F606" s="80" t="n"/>
      <c r="G606" s="81" t="n"/>
      <c r="H606" s="78" t="n"/>
      <c r="I606" s="78" t="n"/>
      <c r="J606" s="78" t="n"/>
    </row>
    <row r="607">
      <c r="A607" s="84">
        <f>ROW()-6</f>
        <v/>
      </c>
      <c r="B607" s="85">
        <f>+MATCH(D607,ARTICULOS!$F$10:$F$699,0)</f>
        <v/>
      </c>
      <c r="C607" s="86">
        <f>+VLOOKUP(B607,ARTICULOS!$D$10:$I$699,6)</f>
        <v/>
      </c>
      <c r="D607" s="212" t="n"/>
      <c r="E607" s="75">
        <f>+C607&amp;F607</f>
        <v/>
      </c>
      <c r="F607" s="80" t="n"/>
      <c r="G607" s="81" t="n"/>
      <c r="H607" s="78" t="n"/>
      <c r="I607" s="78" t="n"/>
      <c r="J607" s="78" t="n"/>
    </row>
    <row r="608">
      <c r="A608" s="84">
        <f>ROW()-6</f>
        <v/>
      </c>
      <c r="B608" s="85">
        <f>+MATCH(D608,ARTICULOS!$F$10:$F$699,0)</f>
        <v/>
      </c>
      <c r="C608" s="86">
        <f>+VLOOKUP(B608,ARTICULOS!$D$10:$I$699,6)</f>
        <v/>
      </c>
      <c r="D608" s="212" t="n"/>
      <c r="E608" s="75">
        <f>+C608&amp;F608</f>
        <v/>
      </c>
      <c r="F608" s="80" t="n"/>
      <c r="G608" s="81" t="n"/>
      <c r="H608" s="78" t="n"/>
      <c r="I608" s="78" t="n"/>
      <c r="J608" s="78" t="n"/>
    </row>
    <row r="609">
      <c r="A609" s="84">
        <f>ROW()-6</f>
        <v/>
      </c>
      <c r="B609" s="85">
        <f>+MATCH(D609,ARTICULOS!$F$10:$F$699,0)</f>
        <v/>
      </c>
      <c r="C609" s="86">
        <f>+VLOOKUP(B609,ARTICULOS!$D$10:$I$699,6)</f>
        <v/>
      </c>
      <c r="D609" s="212" t="n"/>
      <c r="E609" s="75">
        <f>+C609&amp;F609</f>
        <v/>
      </c>
      <c r="F609" s="80" t="n"/>
      <c r="G609" s="81" t="n"/>
      <c r="H609" s="78" t="n"/>
      <c r="I609" s="78" t="n"/>
      <c r="J609" s="78" t="n"/>
    </row>
    <row r="610">
      <c r="A610" s="84">
        <f>ROW()-6</f>
        <v/>
      </c>
      <c r="B610" s="85">
        <f>+MATCH(D610,ARTICULOS!$F$10:$F$699,0)</f>
        <v/>
      </c>
      <c r="C610" s="86">
        <f>+VLOOKUP(B610,ARTICULOS!$D$10:$I$699,6)</f>
        <v/>
      </c>
      <c r="D610" s="212" t="n"/>
      <c r="E610" s="75">
        <f>+C610&amp;F610</f>
        <v/>
      </c>
      <c r="F610" s="80" t="n"/>
      <c r="G610" s="81" t="n"/>
      <c r="H610" s="78" t="n"/>
      <c r="I610" s="78" t="n"/>
      <c r="J610" s="78" t="n"/>
    </row>
    <row r="611">
      <c r="A611" s="84">
        <f>ROW()-6</f>
        <v/>
      </c>
      <c r="B611" s="85">
        <f>+MATCH(D611,ARTICULOS!$F$10:$F$699,0)</f>
        <v/>
      </c>
      <c r="C611" s="86">
        <f>+VLOOKUP(B611,ARTICULOS!$D$10:$I$699,6)</f>
        <v/>
      </c>
      <c r="D611" s="212" t="n"/>
      <c r="E611" s="75">
        <f>+C611&amp;F611</f>
        <v/>
      </c>
      <c r="F611" s="80" t="n"/>
      <c r="G611" s="81" t="n"/>
      <c r="H611" s="78" t="n"/>
      <c r="I611" s="78" t="n"/>
      <c r="J611" s="78" t="n"/>
    </row>
    <row r="612">
      <c r="A612" s="84">
        <f>ROW()-6</f>
        <v/>
      </c>
      <c r="B612" s="85">
        <f>+MATCH(D612,ARTICULOS!$F$10:$F$699,0)</f>
        <v/>
      </c>
      <c r="C612" s="86">
        <f>+VLOOKUP(B612,ARTICULOS!$D$10:$I$699,6)</f>
        <v/>
      </c>
      <c r="D612" s="212" t="n"/>
      <c r="E612" s="75">
        <f>+C612&amp;F612</f>
        <v/>
      </c>
      <c r="F612" s="80" t="n"/>
      <c r="G612" s="81" t="n"/>
      <c r="H612" s="78" t="n"/>
      <c r="I612" s="78" t="n"/>
      <c r="J612" s="78" t="n"/>
    </row>
    <row r="613">
      <c r="A613" s="84">
        <f>ROW()-6</f>
        <v/>
      </c>
      <c r="B613" s="85">
        <f>+MATCH(D613,ARTICULOS!$F$10:$F$699,0)</f>
        <v/>
      </c>
      <c r="C613" s="86">
        <f>+VLOOKUP(B613,ARTICULOS!$D$10:$I$699,6)</f>
        <v/>
      </c>
      <c r="D613" s="212" t="n"/>
      <c r="E613" s="75">
        <f>+C613&amp;F613</f>
        <v/>
      </c>
      <c r="F613" s="80" t="n"/>
      <c r="G613" s="81" t="n"/>
      <c r="H613" s="78" t="n"/>
      <c r="I613" s="78" t="n"/>
      <c r="J613" s="78" t="n"/>
    </row>
    <row r="614">
      <c r="A614" s="84">
        <f>ROW()-6</f>
        <v/>
      </c>
      <c r="B614" s="85">
        <f>+MATCH(D614,ARTICULOS!$F$10:$F$699,0)</f>
        <v/>
      </c>
      <c r="C614" s="86">
        <f>+VLOOKUP(B614,ARTICULOS!$D$10:$I$699,6)</f>
        <v/>
      </c>
      <c r="D614" s="212" t="n"/>
      <c r="E614" s="75">
        <f>+C614&amp;F614</f>
        <v/>
      </c>
      <c r="F614" s="80" t="n"/>
      <c r="G614" s="81" t="n"/>
      <c r="H614" s="78" t="n"/>
      <c r="I614" s="78" t="n"/>
      <c r="J614" s="78" t="n"/>
    </row>
    <row r="615">
      <c r="A615" s="84">
        <f>ROW()-6</f>
        <v/>
      </c>
      <c r="B615" s="85">
        <f>+MATCH(D615,ARTICULOS!$F$10:$F$699,0)</f>
        <v/>
      </c>
      <c r="C615" s="86">
        <f>+VLOOKUP(B615,ARTICULOS!$D$10:$I$699,6)</f>
        <v/>
      </c>
      <c r="D615" s="212" t="n"/>
      <c r="E615" s="75">
        <f>+C615&amp;F615</f>
        <v/>
      </c>
      <c r="F615" s="80" t="n"/>
      <c r="G615" s="81" t="n"/>
      <c r="H615" s="78" t="n"/>
      <c r="I615" s="78" t="n"/>
      <c r="J615" s="78" t="n"/>
    </row>
    <row r="616">
      <c r="A616" s="84">
        <f>ROW()-6</f>
        <v/>
      </c>
      <c r="B616" s="85">
        <f>+MATCH(D616,ARTICULOS!$F$10:$F$699,0)</f>
        <v/>
      </c>
      <c r="C616" s="86">
        <f>+VLOOKUP(B616,ARTICULOS!$D$10:$I$699,6)</f>
        <v/>
      </c>
      <c r="D616" s="212" t="n"/>
      <c r="E616" s="75">
        <f>+C616&amp;F616</f>
        <v/>
      </c>
      <c r="F616" s="80" t="n"/>
      <c r="G616" s="81" t="n"/>
      <c r="H616" s="78" t="n"/>
      <c r="I616" s="78" t="n"/>
      <c r="J616" s="78" t="n"/>
    </row>
    <row r="617">
      <c r="A617" s="84">
        <f>ROW()-6</f>
        <v/>
      </c>
      <c r="B617" s="85">
        <f>+MATCH(D617,ARTICULOS!$F$10:$F$699,0)</f>
        <v/>
      </c>
      <c r="C617" s="86">
        <f>+VLOOKUP(B617,ARTICULOS!$D$10:$I$699,6)</f>
        <v/>
      </c>
      <c r="D617" s="212" t="n"/>
      <c r="E617" s="75">
        <f>+C617&amp;F617</f>
        <v/>
      </c>
      <c r="F617" s="80" t="n"/>
      <c r="G617" s="81" t="n"/>
      <c r="H617" s="78" t="n"/>
      <c r="I617" s="78" t="n"/>
      <c r="J617" s="78" t="n"/>
    </row>
    <row r="618">
      <c r="A618" s="84">
        <f>ROW()-6</f>
        <v/>
      </c>
      <c r="B618" s="85">
        <f>+MATCH(D618,ARTICULOS!$F$10:$F$699,0)</f>
        <v/>
      </c>
      <c r="C618" s="86">
        <f>+VLOOKUP(B618,ARTICULOS!$D$10:$I$699,6)</f>
        <v/>
      </c>
      <c r="D618" s="212" t="n"/>
      <c r="E618" s="75">
        <f>+C618&amp;F618</f>
        <v/>
      </c>
      <c r="F618" s="80" t="n"/>
      <c r="G618" s="81" t="n"/>
      <c r="H618" s="78" t="n"/>
      <c r="I618" s="78" t="n"/>
      <c r="J618" s="78" t="n"/>
    </row>
    <row r="619">
      <c r="A619" s="84">
        <f>ROW()-6</f>
        <v/>
      </c>
      <c r="B619" s="85">
        <f>+MATCH(D619,ARTICULOS!$F$10:$F$699,0)</f>
        <v/>
      </c>
      <c r="C619" s="86">
        <f>+VLOOKUP(B619,ARTICULOS!$D$10:$I$699,6)</f>
        <v/>
      </c>
      <c r="D619" s="212" t="n"/>
      <c r="E619" s="75">
        <f>+C619&amp;F619</f>
        <v/>
      </c>
      <c r="F619" s="80" t="n"/>
      <c r="G619" s="81" t="n"/>
      <c r="H619" s="78" t="n"/>
      <c r="I619" s="78" t="n"/>
      <c r="J619" s="78" t="n"/>
    </row>
    <row r="620">
      <c r="A620" s="84">
        <f>ROW()-6</f>
        <v/>
      </c>
      <c r="B620" s="85">
        <f>+MATCH(D620,ARTICULOS!$F$10:$F$699,0)</f>
        <v/>
      </c>
      <c r="C620" s="86">
        <f>+VLOOKUP(B620,ARTICULOS!$D$10:$I$699,6)</f>
        <v/>
      </c>
      <c r="D620" s="212" t="n"/>
      <c r="E620" s="75">
        <f>+C620&amp;F620</f>
        <v/>
      </c>
      <c r="F620" s="80" t="n"/>
      <c r="G620" s="81" t="n"/>
      <c r="H620" s="78" t="n"/>
      <c r="I620" s="78" t="n"/>
      <c r="J620" s="78" t="n"/>
    </row>
    <row r="621">
      <c r="A621" s="84">
        <f>ROW()-6</f>
        <v/>
      </c>
      <c r="B621" s="85">
        <f>+MATCH(D621,ARTICULOS!$F$10:$F$699,0)</f>
        <v/>
      </c>
      <c r="C621" s="86">
        <f>+VLOOKUP(B621,ARTICULOS!$D$10:$I$699,6)</f>
        <v/>
      </c>
      <c r="D621" s="212" t="n"/>
      <c r="E621" s="75">
        <f>+C621&amp;F621</f>
        <v/>
      </c>
      <c r="F621" s="80" t="n"/>
      <c r="G621" s="81" t="n"/>
      <c r="H621" s="78" t="n"/>
      <c r="I621" s="78" t="n"/>
      <c r="J621" s="78" t="n"/>
    </row>
    <row r="622">
      <c r="A622" s="84">
        <f>ROW()-6</f>
        <v/>
      </c>
      <c r="B622" s="85">
        <f>+MATCH(D622,ARTICULOS!$F$10:$F$699,0)</f>
        <v/>
      </c>
      <c r="C622" s="86">
        <f>+VLOOKUP(B622,ARTICULOS!$D$10:$I$699,6)</f>
        <v/>
      </c>
      <c r="D622" s="212" t="n"/>
      <c r="E622" s="75">
        <f>+C622&amp;F622</f>
        <v/>
      </c>
      <c r="F622" s="80" t="n"/>
      <c r="G622" s="81" t="n"/>
      <c r="H622" s="78" t="n"/>
      <c r="I622" s="78" t="n"/>
      <c r="J622" s="78" t="n"/>
    </row>
    <row r="623">
      <c r="A623" s="84">
        <f>ROW()-6</f>
        <v/>
      </c>
      <c r="B623" s="85">
        <f>+MATCH(D623,ARTICULOS!$F$10:$F$699,0)</f>
        <v/>
      </c>
      <c r="C623" s="86">
        <f>+VLOOKUP(B623,ARTICULOS!$D$10:$I$699,6)</f>
        <v/>
      </c>
      <c r="D623" s="212" t="n"/>
      <c r="E623" s="75">
        <f>+C623&amp;F623</f>
        <v/>
      </c>
      <c r="F623" s="80" t="n"/>
      <c r="G623" s="81" t="n"/>
      <c r="H623" s="78" t="n"/>
      <c r="I623" s="78" t="n"/>
      <c r="J623" s="78" t="n"/>
    </row>
    <row r="624">
      <c r="A624" s="84">
        <f>ROW()-6</f>
        <v/>
      </c>
      <c r="B624" s="85">
        <f>+MATCH(D624,ARTICULOS!$F$10:$F$699,0)</f>
        <v/>
      </c>
      <c r="C624" s="86">
        <f>+VLOOKUP(B624,ARTICULOS!$D$10:$I$699,6)</f>
        <v/>
      </c>
      <c r="D624" s="212" t="n"/>
      <c r="E624" s="75">
        <f>+C624&amp;F624</f>
        <v/>
      </c>
      <c r="F624" s="80" t="n"/>
      <c r="G624" s="81" t="n"/>
      <c r="H624" s="78" t="n"/>
      <c r="I624" s="78" t="n"/>
      <c r="J624" s="78" t="n"/>
    </row>
    <row r="625">
      <c r="A625" s="84">
        <f>ROW()-6</f>
        <v/>
      </c>
      <c r="B625" s="85">
        <f>+MATCH(D625,ARTICULOS!$F$10:$F$699,0)</f>
        <v/>
      </c>
      <c r="C625" s="86">
        <f>+VLOOKUP(B625,ARTICULOS!$D$10:$I$699,6)</f>
        <v/>
      </c>
      <c r="D625" s="212" t="n"/>
      <c r="E625" s="75">
        <f>+C625&amp;F625</f>
        <v/>
      </c>
      <c r="F625" s="80" t="n"/>
      <c r="G625" s="81" t="n"/>
      <c r="H625" s="78" t="n"/>
      <c r="I625" s="78" t="n"/>
      <c r="J625" s="78" t="n"/>
    </row>
    <row r="626">
      <c r="A626" s="84">
        <f>ROW()-6</f>
        <v/>
      </c>
      <c r="B626" s="85">
        <f>+MATCH(D626,ARTICULOS!$F$10:$F$699,0)</f>
        <v/>
      </c>
      <c r="C626" s="86">
        <f>+VLOOKUP(B626,ARTICULOS!$D$10:$I$699,6)</f>
        <v/>
      </c>
      <c r="D626" s="212" t="n"/>
      <c r="E626" s="75">
        <f>+C626&amp;F626</f>
        <v/>
      </c>
      <c r="F626" s="80" t="n"/>
      <c r="G626" s="81" t="n"/>
      <c r="H626" s="78" t="n"/>
      <c r="I626" s="78" t="n"/>
      <c r="J626" s="78" t="n"/>
    </row>
    <row r="627">
      <c r="A627" s="84">
        <f>ROW()-6</f>
        <v/>
      </c>
      <c r="B627" s="85">
        <f>+MATCH(D627,ARTICULOS!$F$10:$F$699,0)</f>
        <v/>
      </c>
      <c r="C627" s="86">
        <f>+VLOOKUP(B627,ARTICULOS!$D$10:$I$699,6)</f>
        <v/>
      </c>
      <c r="D627" s="212" t="n"/>
      <c r="E627" s="75">
        <f>+C627&amp;F627</f>
        <v/>
      </c>
      <c r="F627" s="80" t="n"/>
      <c r="G627" s="81" t="n"/>
      <c r="H627" s="78" t="n"/>
      <c r="I627" s="78" t="n"/>
      <c r="J627" s="78" t="n"/>
    </row>
    <row r="628">
      <c r="A628" s="84">
        <f>ROW()-6</f>
        <v/>
      </c>
      <c r="B628" s="85">
        <f>+MATCH(D628,ARTICULOS!$F$10:$F$699,0)</f>
        <v/>
      </c>
      <c r="C628" s="86">
        <f>+VLOOKUP(B628,ARTICULOS!$D$10:$I$699,6)</f>
        <v/>
      </c>
      <c r="D628" s="212" t="n"/>
      <c r="E628" s="75">
        <f>+C628&amp;F628</f>
        <v/>
      </c>
      <c r="F628" s="80" t="n"/>
      <c r="G628" s="81" t="n"/>
      <c r="H628" s="78" t="n"/>
      <c r="I628" s="78" t="n"/>
      <c r="J628" s="78" t="n"/>
    </row>
    <row r="629">
      <c r="A629" s="84">
        <f>ROW()-6</f>
        <v/>
      </c>
      <c r="B629" s="85">
        <f>+MATCH(D629,ARTICULOS!$F$10:$F$699,0)</f>
        <v/>
      </c>
      <c r="C629" s="86">
        <f>+VLOOKUP(B629,ARTICULOS!$D$10:$I$699,6)</f>
        <v/>
      </c>
      <c r="D629" s="212" t="n"/>
      <c r="E629" s="75">
        <f>+C629&amp;F629</f>
        <v/>
      </c>
      <c r="F629" s="80" t="n"/>
      <c r="G629" s="81" t="n"/>
      <c r="H629" s="78" t="n"/>
      <c r="I629" s="78" t="n"/>
      <c r="J629" s="78" t="n"/>
    </row>
    <row r="630">
      <c r="A630" s="84">
        <f>ROW()-6</f>
        <v/>
      </c>
      <c r="B630" s="85">
        <f>+MATCH(D630,ARTICULOS!$F$10:$F$699,0)</f>
        <v/>
      </c>
      <c r="C630" s="86">
        <f>+VLOOKUP(B630,ARTICULOS!$D$10:$I$699,6)</f>
        <v/>
      </c>
      <c r="D630" s="212" t="n"/>
      <c r="E630" s="75">
        <f>+C630&amp;F630</f>
        <v/>
      </c>
      <c r="F630" s="80" t="n"/>
      <c r="G630" s="81" t="n"/>
      <c r="H630" s="78" t="n"/>
      <c r="I630" s="78" t="n"/>
      <c r="J630" s="78" t="n"/>
    </row>
    <row r="631">
      <c r="A631" s="84">
        <f>ROW()-6</f>
        <v/>
      </c>
      <c r="B631" s="85">
        <f>+MATCH(D631,ARTICULOS!$F$10:$F$699,0)</f>
        <v/>
      </c>
      <c r="C631" s="86">
        <f>+VLOOKUP(B631,ARTICULOS!$D$10:$I$699,6)</f>
        <v/>
      </c>
      <c r="D631" s="212" t="n"/>
      <c r="E631" s="75">
        <f>+C631&amp;F631</f>
        <v/>
      </c>
      <c r="F631" s="80" t="n"/>
      <c r="G631" s="81" t="n"/>
      <c r="H631" s="78" t="n"/>
      <c r="I631" s="78" t="n"/>
      <c r="J631" s="78" t="n"/>
    </row>
    <row r="632">
      <c r="A632" s="84">
        <f>ROW()-6</f>
        <v/>
      </c>
      <c r="B632" s="85">
        <f>+MATCH(D632,ARTICULOS!$F$10:$F$699,0)</f>
        <v/>
      </c>
      <c r="C632" s="86">
        <f>+VLOOKUP(B632,ARTICULOS!$D$10:$I$699,6)</f>
        <v/>
      </c>
      <c r="D632" s="212" t="n"/>
      <c r="E632" s="75">
        <f>+C632&amp;F632</f>
        <v/>
      </c>
      <c r="F632" s="80" t="n"/>
      <c r="G632" s="81" t="n"/>
      <c r="H632" s="78" t="n"/>
      <c r="I632" s="78" t="n"/>
      <c r="J632" s="78" t="n"/>
    </row>
    <row r="633">
      <c r="A633" s="84">
        <f>ROW()-6</f>
        <v/>
      </c>
      <c r="B633" s="85">
        <f>+MATCH(D633,ARTICULOS!$F$10:$F$699,0)</f>
        <v/>
      </c>
      <c r="C633" s="86">
        <f>+VLOOKUP(B633,ARTICULOS!$D$10:$I$699,6)</f>
        <v/>
      </c>
      <c r="D633" s="212" t="n"/>
      <c r="E633" s="75">
        <f>+C633&amp;F633</f>
        <v/>
      </c>
      <c r="F633" s="80" t="n"/>
      <c r="G633" s="81" t="n"/>
      <c r="H633" s="78" t="n"/>
      <c r="I633" s="78" t="n"/>
      <c r="J633" s="78" t="n"/>
    </row>
    <row r="634">
      <c r="A634" s="84">
        <f>ROW()-6</f>
        <v/>
      </c>
      <c r="B634" s="85">
        <f>+MATCH(D634,ARTICULOS!$F$10:$F$699,0)</f>
        <v/>
      </c>
      <c r="C634" s="86">
        <f>+VLOOKUP(B634,ARTICULOS!$D$10:$I$699,6)</f>
        <v/>
      </c>
      <c r="D634" s="212" t="n"/>
      <c r="E634" s="75">
        <f>+C634&amp;F634</f>
        <v/>
      </c>
      <c r="F634" s="80" t="n"/>
      <c r="G634" s="81" t="n"/>
      <c r="H634" s="78" t="n"/>
      <c r="I634" s="78" t="n"/>
      <c r="J634" s="78" t="n"/>
    </row>
    <row r="635">
      <c r="A635" s="84">
        <f>ROW()-6</f>
        <v/>
      </c>
      <c r="B635" s="85">
        <f>+MATCH(D635,ARTICULOS!$F$10:$F$699,0)</f>
        <v/>
      </c>
      <c r="C635" s="86">
        <f>+VLOOKUP(B635,ARTICULOS!$D$10:$I$699,6)</f>
        <v/>
      </c>
      <c r="D635" s="212" t="n"/>
      <c r="E635" s="75">
        <f>+C635&amp;F635</f>
        <v/>
      </c>
      <c r="F635" s="80" t="n"/>
      <c r="G635" s="81" t="n"/>
      <c r="H635" s="78" t="n"/>
      <c r="I635" s="78" t="n"/>
      <c r="J635" s="78" t="n"/>
    </row>
    <row r="636">
      <c r="A636" s="84">
        <f>ROW()-6</f>
        <v/>
      </c>
      <c r="B636" s="85">
        <f>+MATCH(D636,ARTICULOS!$F$10:$F$699,0)</f>
        <v/>
      </c>
      <c r="C636" s="86">
        <f>+VLOOKUP(B636,ARTICULOS!$D$10:$I$699,6)</f>
        <v/>
      </c>
      <c r="D636" s="212" t="n"/>
      <c r="E636" s="75">
        <f>+C636&amp;F636</f>
        <v/>
      </c>
      <c r="F636" s="80" t="n"/>
      <c r="G636" s="81" t="n"/>
      <c r="H636" s="78" t="n"/>
      <c r="I636" s="78" t="n"/>
      <c r="J636" s="78" t="n"/>
    </row>
    <row r="637">
      <c r="A637" s="84">
        <f>ROW()-6</f>
        <v/>
      </c>
      <c r="B637" s="85">
        <f>+MATCH(D637,ARTICULOS!$F$10:$F$699,0)</f>
        <v/>
      </c>
      <c r="C637" s="86">
        <f>+VLOOKUP(B637,ARTICULOS!$D$10:$I$699,6)</f>
        <v/>
      </c>
      <c r="D637" s="212" t="n"/>
      <c r="E637" s="75">
        <f>+C637&amp;F637</f>
        <v/>
      </c>
      <c r="F637" s="80" t="n"/>
      <c r="G637" s="81" t="n"/>
      <c r="H637" s="78" t="n"/>
      <c r="I637" s="78" t="n"/>
      <c r="J637" s="78" t="n"/>
    </row>
    <row r="638">
      <c r="A638" s="84">
        <f>ROW()-6</f>
        <v/>
      </c>
      <c r="B638" s="85">
        <f>+MATCH(D638,ARTICULOS!$F$10:$F$699,0)</f>
        <v/>
      </c>
      <c r="C638" s="86">
        <f>+VLOOKUP(B638,ARTICULOS!$D$10:$I$699,6)</f>
        <v/>
      </c>
      <c r="D638" s="212" t="n"/>
      <c r="E638" s="75">
        <f>+C638&amp;F638</f>
        <v/>
      </c>
      <c r="F638" s="80" t="n"/>
      <c r="G638" s="81" t="n"/>
      <c r="H638" s="78" t="n"/>
      <c r="I638" s="78" t="n"/>
      <c r="J638" s="78" t="n"/>
    </row>
    <row r="639">
      <c r="A639" s="84">
        <f>ROW()-6</f>
        <v/>
      </c>
      <c r="B639" s="85">
        <f>+MATCH(D639,ARTICULOS!$F$10:$F$699,0)</f>
        <v/>
      </c>
      <c r="C639" s="86">
        <f>+VLOOKUP(B639,ARTICULOS!$D$10:$I$699,6)</f>
        <v/>
      </c>
      <c r="D639" s="212" t="n"/>
      <c r="E639" s="75">
        <f>+C639&amp;F639</f>
        <v/>
      </c>
      <c r="F639" s="80" t="n"/>
      <c r="G639" s="81" t="n"/>
      <c r="H639" s="78" t="n"/>
      <c r="I639" s="78" t="n"/>
      <c r="J639" s="78" t="n"/>
    </row>
    <row r="640">
      <c r="A640" s="84">
        <f>ROW()-6</f>
        <v/>
      </c>
      <c r="B640" s="85">
        <f>+MATCH(D640,ARTICULOS!$F$10:$F$699,0)</f>
        <v/>
      </c>
      <c r="C640" s="86">
        <f>+VLOOKUP(B640,ARTICULOS!$D$10:$I$699,6)</f>
        <v/>
      </c>
      <c r="D640" s="212" t="n"/>
      <c r="E640" s="75">
        <f>+C640&amp;F640</f>
        <v/>
      </c>
      <c r="F640" s="80" t="n"/>
      <c r="G640" s="81" t="n"/>
      <c r="H640" s="78" t="n"/>
      <c r="I640" s="78" t="n"/>
      <c r="J640" s="78" t="n"/>
    </row>
    <row r="641">
      <c r="A641" s="84">
        <f>ROW()-6</f>
        <v/>
      </c>
      <c r="B641" s="85">
        <f>+MATCH(D641,ARTICULOS!$F$10:$F$699,0)</f>
        <v/>
      </c>
      <c r="C641" s="86">
        <f>+VLOOKUP(B641,ARTICULOS!$D$10:$I$699,6)</f>
        <v/>
      </c>
      <c r="D641" s="212" t="n"/>
      <c r="E641" s="75">
        <f>+C641&amp;F641</f>
        <v/>
      </c>
      <c r="F641" s="80" t="n"/>
      <c r="G641" s="81" t="n"/>
      <c r="H641" s="78" t="n"/>
      <c r="I641" s="78" t="n"/>
      <c r="J641" s="78" t="n"/>
    </row>
    <row r="642">
      <c r="A642" s="84">
        <f>ROW()-6</f>
        <v/>
      </c>
      <c r="B642" s="85">
        <f>+MATCH(D642,ARTICULOS!$F$10:$F$699,0)</f>
        <v/>
      </c>
      <c r="C642" s="86">
        <f>+VLOOKUP(B642,ARTICULOS!$D$10:$I$699,6)</f>
        <v/>
      </c>
      <c r="D642" s="212" t="n"/>
      <c r="E642" s="75">
        <f>+C642&amp;F642</f>
        <v/>
      </c>
      <c r="F642" s="80" t="n"/>
      <c r="G642" s="81" t="n"/>
      <c r="H642" s="78" t="n"/>
      <c r="I642" s="78" t="n"/>
      <c r="J642" s="78" t="n"/>
    </row>
    <row r="643">
      <c r="A643" s="84">
        <f>ROW()-6</f>
        <v/>
      </c>
      <c r="B643" s="85">
        <f>+MATCH(D643,ARTICULOS!$F$10:$F$699,0)</f>
        <v/>
      </c>
      <c r="C643" s="86">
        <f>+VLOOKUP(B643,ARTICULOS!$D$10:$I$699,6)</f>
        <v/>
      </c>
      <c r="D643" s="212" t="n"/>
      <c r="E643" s="75">
        <f>+C643&amp;F643</f>
        <v/>
      </c>
      <c r="F643" s="80" t="n"/>
      <c r="G643" s="81" t="n"/>
      <c r="H643" s="78" t="n"/>
      <c r="I643" s="78" t="n"/>
      <c r="J643" s="78" t="n"/>
    </row>
    <row r="644">
      <c r="A644" s="84">
        <f>ROW()-6</f>
        <v/>
      </c>
      <c r="B644" s="85">
        <f>+MATCH(D644,ARTICULOS!$F$10:$F$699,0)</f>
        <v/>
      </c>
      <c r="C644" s="86">
        <f>+VLOOKUP(B644,ARTICULOS!$D$10:$I$699,6)</f>
        <v/>
      </c>
      <c r="D644" s="212" t="n"/>
      <c r="E644" s="75">
        <f>+C644&amp;F644</f>
        <v/>
      </c>
      <c r="F644" s="80" t="n"/>
      <c r="G644" s="81" t="n"/>
      <c r="H644" s="78" t="n"/>
      <c r="I644" s="78" t="n"/>
      <c r="J644" s="78" t="n"/>
    </row>
    <row r="645">
      <c r="A645" s="84">
        <f>ROW()-6</f>
        <v/>
      </c>
      <c r="B645" s="85">
        <f>+MATCH(D645,ARTICULOS!$F$10:$F$699,0)</f>
        <v/>
      </c>
      <c r="C645" s="86">
        <f>+VLOOKUP(B645,ARTICULOS!$D$10:$I$699,6)</f>
        <v/>
      </c>
      <c r="D645" s="212" t="n"/>
      <c r="E645" s="75">
        <f>+C645&amp;F645</f>
        <v/>
      </c>
      <c r="F645" s="80" t="n"/>
      <c r="G645" s="81" t="n"/>
      <c r="H645" s="78" t="n"/>
      <c r="I645" s="78" t="n"/>
      <c r="J645" s="78" t="n"/>
    </row>
    <row r="646">
      <c r="A646" s="84">
        <f>ROW()-6</f>
        <v/>
      </c>
      <c r="B646" s="85">
        <f>+MATCH(D646,ARTICULOS!$F$10:$F$699,0)</f>
        <v/>
      </c>
      <c r="C646" s="86">
        <f>+VLOOKUP(B646,ARTICULOS!$D$10:$I$699,6)</f>
        <v/>
      </c>
      <c r="D646" s="212" t="n"/>
      <c r="E646" s="75">
        <f>+C646&amp;F646</f>
        <v/>
      </c>
      <c r="F646" s="80" t="n"/>
      <c r="G646" s="81" t="n"/>
      <c r="H646" s="78" t="n"/>
      <c r="I646" s="78" t="n"/>
      <c r="J646" s="78" t="n"/>
    </row>
    <row r="647">
      <c r="A647" s="84">
        <f>ROW()-6</f>
        <v/>
      </c>
      <c r="B647" s="85">
        <f>+MATCH(D647,ARTICULOS!$F$10:$F$699,0)</f>
        <v/>
      </c>
      <c r="C647" s="86">
        <f>+VLOOKUP(B647,ARTICULOS!$D$10:$I$699,6)</f>
        <v/>
      </c>
      <c r="D647" s="212" t="n"/>
      <c r="E647" s="75">
        <f>+C647&amp;F647</f>
        <v/>
      </c>
      <c r="F647" s="80" t="n"/>
      <c r="G647" s="81" t="n"/>
      <c r="H647" s="78" t="n"/>
      <c r="I647" s="78" t="n"/>
      <c r="J647" s="78" t="n"/>
    </row>
    <row r="648">
      <c r="A648" s="84">
        <f>ROW()-6</f>
        <v/>
      </c>
      <c r="B648" s="85">
        <f>+MATCH(D648,ARTICULOS!$F$10:$F$699,0)</f>
        <v/>
      </c>
      <c r="C648" s="86">
        <f>+VLOOKUP(B648,ARTICULOS!$D$10:$I$699,6)</f>
        <v/>
      </c>
      <c r="D648" s="212" t="n"/>
      <c r="E648" s="75">
        <f>+C648&amp;F648</f>
        <v/>
      </c>
      <c r="F648" s="80" t="n"/>
      <c r="G648" s="81" t="n"/>
      <c r="H648" s="78" t="n"/>
      <c r="I648" s="78" t="n"/>
      <c r="J648" s="78" t="n"/>
    </row>
    <row r="649">
      <c r="A649" s="84">
        <f>ROW()-6</f>
        <v/>
      </c>
      <c r="B649" s="85">
        <f>+MATCH(D649,ARTICULOS!$F$10:$F$699,0)</f>
        <v/>
      </c>
      <c r="C649" s="86">
        <f>+VLOOKUP(B649,ARTICULOS!$D$10:$I$699,6)</f>
        <v/>
      </c>
      <c r="D649" s="212" t="n"/>
      <c r="E649" s="75">
        <f>+C649&amp;F649</f>
        <v/>
      </c>
      <c r="F649" s="80" t="n"/>
      <c r="G649" s="81" t="n"/>
      <c r="H649" s="78" t="n"/>
      <c r="I649" s="78" t="n"/>
      <c r="J649" s="78" t="n"/>
    </row>
    <row r="650">
      <c r="A650" s="84">
        <f>ROW()-6</f>
        <v/>
      </c>
      <c r="B650" s="85">
        <f>+MATCH(D650,ARTICULOS!$F$10:$F$699,0)</f>
        <v/>
      </c>
      <c r="C650" s="86">
        <f>+VLOOKUP(B650,ARTICULOS!$D$10:$I$699,6)</f>
        <v/>
      </c>
      <c r="D650" s="212" t="n"/>
      <c r="E650" s="75">
        <f>+C650&amp;F650</f>
        <v/>
      </c>
      <c r="F650" s="80" t="n"/>
      <c r="G650" s="81" t="n"/>
      <c r="H650" s="78" t="n"/>
      <c r="I650" s="78" t="n"/>
      <c r="J650" s="78" t="n"/>
    </row>
    <row r="651">
      <c r="A651" s="84">
        <f>ROW()-6</f>
        <v/>
      </c>
      <c r="B651" s="85">
        <f>+MATCH(D651,ARTICULOS!$F$10:$F$699,0)</f>
        <v/>
      </c>
      <c r="C651" s="86">
        <f>+VLOOKUP(B651,ARTICULOS!$D$10:$I$699,6)</f>
        <v/>
      </c>
      <c r="D651" s="212" t="n"/>
      <c r="E651" s="75">
        <f>+C651&amp;F651</f>
        <v/>
      </c>
      <c r="F651" s="80" t="n"/>
      <c r="G651" s="81" t="n"/>
      <c r="H651" s="78" t="n"/>
      <c r="I651" s="78" t="n"/>
      <c r="J651" s="78" t="n"/>
    </row>
    <row r="652">
      <c r="A652" s="84">
        <f>ROW()-6</f>
        <v/>
      </c>
      <c r="B652" s="85">
        <f>+MATCH(D652,ARTICULOS!$F$10:$F$699,0)</f>
        <v/>
      </c>
      <c r="C652" s="86">
        <f>+VLOOKUP(B652,ARTICULOS!$D$10:$I$699,6)</f>
        <v/>
      </c>
      <c r="D652" s="212" t="n"/>
      <c r="E652" s="75">
        <f>+C652&amp;F652</f>
        <v/>
      </c>
      <c r="F652" s="80" t="n"/>
      <c r="G652" s="81" t="n"/>
      <c r="H652" s="78" t="n"/>
      <c r="I652" s="78" t="n"/>
      <c r="J652" s="78" t="n"/>
    </row>
    <row r="653">
      <c r="A653" s="84">
        <f>ROW()-6</f>
        <v/>
      </c>
      <c r="B653" s="85">
        <f>+MATCH(D653,ARTICULOS!$F$10:$F$699,0)</f>
        <v/>
      </c>
      <c r="C653" s="86">
        <f>+VLOOKUP(B653,ARTICULOS!$D$10:$I$699,6)</f>
        <v/>
      </c>
      <c r="D653" s="212" t="n"/>
      <c r="E653" s="75">
        <f>+C653&amp;F653</f>
        <v/>
      </c>
      <c r="F653" s="80" t="n"/>
      <c r="G653" s="81" t="n"/>
      <c r="H653" s="78" t="n"/>
      <c r="I653" s="78" t="n"/>
      <c r="J653" s="78" t="n"/>
    </row>
    <row r="654">
      <c r="A654" s="84">
        <f>ROW()-6</f>
        <v/>
      </c>
      <c r="B654" s="85">
        <f>+MATCH(D654,ARTICULOS!$F$10:$F$699,0)</f>
        <v/>
      </c>
      <c r="C654" s="86">
        <f>+VLOOKUP(B654,ARTICULOS!$D$10:$I$699,6)</f>
        <v/>
      </c>
      <c r="D654" s="212" t="n"/>
      <c r="E654" s="75">
        <f>+C654&amp;F654</f>
        <v/>
      </c>
      <c r="F654" s="80" t="n"/>
      <c r="G654" s="81" t="n"/>
      <c r="H654" s="78" t="n"/>
      <c r="I654" s="78" t="n"/>
      <c r="J654" s="78" t="n"/>
    </row>
    <row r="655">
      <c r="A655" s="84">
        <f>ROW()-6</f>
        <v/>
      </c>
      <c r="B655" s="85">
        <f>+MATCH(D655,ARTICULOS!$F$10:$F$699,0)</f>
        <v/>
      </c>
      <c r="C655" s="86">
        <f>+VLOOKUP(B655,ARTICULOS!$D$10:$I$699,6)</f>
        <v/>
      </c>
      <c r="D655" s="212" t="n"/>
      <c r="E655" s="75">
        <f>+C655&amp;F655</f>
        <v/>
      </c>
      <c r="F655" s="80" t="n"/>
      <c r="G655" s="81" t="n"/>
      <c r="H655" s="78" t="n"/>
      <c r="I655" s="78" t="n"/>
      <c r="J655" s="78" t="n"/>
    </row>
    <row r="656">
      <c r="A656" s="84">
        <f>ROW()-6</f>
        <v/>
      </c>
      <c r="B656" s="85">
        <f>+MATCH(D656,ARTICULOS!$F$10:$F$699,0)</f>
        <v/>
      </c>
      <c r="C656" s="86">
        <f>+VLOOKUP(B656,ARTICULOS!$D$10:$I$699,6)</f>
        <v/>
      </c>
      <c r="D656" s="212" t="n"/>
      <c r="E656" s="75">
        <f>+C656&amp;F656</f>
        <v/>
      </c>
      <c r="F656" s="80" t="n"/>
      <c r="G656" s="81" t="n"/>
      <c r="H656" s="78" t="n"/>
      <c r="I656" s="78" t="n"/>
      <c r="J656" s="78" t="n"/>
    </row>
    <row r="657">
      <c r="A657" s="84">
        <f>ROW()-6</f>
        <v/>
      </c>
      <c r="B657" s="85">
        <f>+MATCH(D657,ARTICULOS!$F$10:$F$699,0)</f>
        <v/>
      </c>
      <c r="C657" s="86">
        <f>+VLOOKUP(B657,ARTICULOS!$D$10:$I$699,6)</f>
        <v/>
      </c>
      <c r="D657" s="212" t="n"/>
      <c r="E657" s="75">
        <f>+C657&amp;F657</f>
        <v/>
      </c>
      <c r="F657" s="80" t="n"/>
      <c r="G657" s="81" t="n"/>
      <c r="H657" s="78" t="n"/>
      <c r="I657" s="78" t="n"/>
      <c r="J657" s="78" t="n"/>
    </row>
    <row r="658">
      <c r="A658" s="84">
        <f>ROW()-6</f>
        <v/>
      </c>
      <c r="B658" s="85">
        <f>+MATCH(D658,ARTICULOS!$F$10:$F$699,0)</f>
        <v/>
      </c>
      <c r="C658" s="86">
        <f>+VLOOKUP(B658,ARTICULOS!$D$10:$I$699,6)</f>
        <v/>
      </c>
      <c r="D658" s="212" t="n"/>
      <c r="E658" s="75">
        <f>+C658&amp;F658</f>
        <v/>
      </c>
      <c r="F658" s="80" t="n"/>
      <c r="G658" s="81" t="n"/>
      <c r="H658" s="78" t="n"/>
      <c r="I658" s="78" t="n"/>
      <c r="J658" s="78" t="n"/>
    </row>
    <row r="659">
      <c r="A659" s="84">
        <f>ROW()-6</f>
        <v/>
      </c>
      <c r="B659" s="85">
        <f>+MATCH(D659,ARTICULOS!$F$10:$F$699,0)</f>
        <v/>
      </c>
      <c r="C659" s="86">
        <f>+VLOOKUP(B659,ARTICULOS!$D$10:$I$699,6)</f>
        <v/>
      </c>
      <c r="D659" s="212" t="n"/>
      <c r="E659" s="75">
        <f>+C659&amp;F659</f>
        <v/>
      </c>
      <c r="F659" s="80" t="n"/>
      <c r="G659" s="81" t="n"/>
      <c r="H659" s="78" t="n"/>
      <c r="I659" s="78" t="n"/>
      <c r="J659" s="78" t="n"/>
    </row>
    <row r="660">
      <c r="A660" s="84">
        <f>ROW()-6</f>
        <v/>
      </c>
      <c r="B660" s="85">
        <f>+MATCH(D660,ARTICULOS!$F$10:$F$699,0)</f>
        <v/>
      </c>
      <c r="C660" s="86">
        <f>+VLOOKUP(B660,ARTICULOS!$D$10:$I$699,6)</f>
        <v/>
      </c>
      <c r="D660" s="212" t="n"/>
      <c r="E660" s="75">
        <f>+C660&amp;F660</f>
        <v/>
      </c>
      <c r="F660" s="80" t="n"/>
      <c r="G660" s="81" t="n"/>
      <c r="H660" s="78" t="n"/>
      <c r="I660" s="78" t="n"/>
      <c r="J660" s="78" t="n"/>
    </row>
    <row r="661">
      <c r="A661" s="84">
        <f>ROW()-6</f>
        <v/>
      </c>
      <c r="B661" s="85">
        <f>+MATCH(D661,ARTICULOS!$F$10:$F$699,0)</f>
        <v/>
      </c>
      <c r="C661" s="86">
        <f>+VLOOKUP(B661,ARTICULOS!$D$10:$I$699,6)</f>
        <v/>
      </c>
      <c r="D661" s="212" t="n"/>
      <c r="E661" s="75">
        <f>+C661&amp;F661</f>
        <v/>
      </c>
      <c r="F661" s="80" t="n"/>
      <c r="G661" s="81" t="n"/>
      <c r="H661" s="78" t="n"/>
      <c r="I661" s="78" t="n"/>
      <c r="J661" s="78" t="n"/>
    </row>
    <row r="662">
      <c r="A662" s="84">
        <f>ROW()-6</f>
        <v/>
      </c>
      <c r="B662" s="85">
        <f>+MATCH(D662,ARTICULOS!$F$10:$F$699,0)</f>
        <v/>
      </c>
      <c r="C662" s="86">
        <f>+VLOOKUP(B662,ARTICULOS!$D$10:$I$699,6)</f>
        <v/>
      </c>
      <c r="D662" s="212" t="n"/>
      <c r="E662" s="75">
        <f>+C662&amp;F662</f>
        <v/>
      </c>
      <c r="F662" s="80" t="n"/>
      <c r="G662" s="81" t="n"/>
      <c r="H662" s="78" t="n"/>
      <c r="I662" s="78" t="n"/>
      <c r="J662" s="78" t="n"/>
    </row>
    <row r="663">
      <c r="A663" s="84">
        <f>ROW()-6</f>
        <v/>
      </c>
      <c r="B663" s="85">
        <f>+MATCH(D663,ARTICULOS!$F$10:$F$699,0)</f>
        <v/>
      </c>
      <c r="C663" s="86">
        <f>+VLOOKUP(B663,ARTICULOS!$D$10:$I$699,6)</f>
        <v/>
      </c>
      <c r="D663" s="212" t="n"/>
      <c r="E663" s="75">
        <f>+C663&amp;F663</f>
        <v/>
      </c>
      <c r="F663" s="80" t="n"/>
      <c r="G663" s="81" t="n"/>
      <c r="H663" s="78" t="n"/>
      <c r="I663" s="78" t="n"/>
      <c r="J663" s="78" t="n"/>
    </row>
    <row r="664">
      <c r="A664" s="84">
        <f>ROW()-6</f>
        <v/>
      </c>
      <c r="B664" s="85">
        <f>+MATCH(D664,ARTICULOS!$F$10:$F$699,0)</f>
        <v/>
      </c>
      <c r="C664" s="86">
        <f>+VLOOKUP(B664,ARTICULOS!$D$10:$I$699,6)</f>
        <v/>
      </c>
      <c r="D664" s="212" t="n"/>
      <c r="E664" s="75">
        <f>+C664&amp;F664</f>
        <v/>
      </c>
      <c r="F664" s="80" t="n"/>
      <c r="G664" s="81" t="n"/>
      <c r="H664" s="78" t="n"/>
      <c r="I664" s="78" t="n"/>
      <c r="J664" s="78" t="n"/>
    </row>
    <row r="665">
      <c r="A665" s="84">
        <f>ROW()-6</f>
        <v/>
      </c>
      <c r="B665" s="85">
        <f>+MATCH(D665,ARTICULOS!$F$10:$F$699,0)</f>
        <v/>
      </c>
      <c r="C665" s="86">
        <f>+VLOOKUP(B665,ARTICULOS!$D$10:$I$699,6)</f>
        <v/>
      </c>
      <c r="D665" s="212" t="n"/>
      <c r="E665" s="75">
        <f>+C665&amp;F665</f>
        <v/>
      </c>
      <c r="F665" s="80" t="n"/>
      <c r="G665" s="81" t="n"/>
      <c r="H665" s="78" t="n"/>
      <c r="I665" s="78" t="n"/>
      <c r="J665" s="78" t="n"/>
    </row>
    <row r="666">
      <c r="A666" s="84">
        <f>ROW()-6</f>
        <v/>
      </c>
      <c r="B666" s="85">
        <f>+MATCH(D666,ARTICULOS!$F$10:$F$699,0)</f>
        <v/>
      </c>
      <c r="C666" s="86">
        <f>+VLOOKUP(B666,ARTICULOS!$D$10:$I$699,6)</f>
        <v/>
      </c>
      <c r="D666" s="212" t="n"/>
      <c r="E666" s="75">
        <f>+C666&amp;F666</f>
        <v/>
      </c>
      <c r="F666" s="80" t="n"/>
      <c r="G666" s="81" t="n"/>
      <c r="H666" s="78" t="n"/>
      <c r="I666" s="78" t="n"/>
      <c r="J666" s="78" t="n"/>
    </row>
    <row r="667">
      <c r="A667" s="84">
        <f>ROW()-6</f>
        <v/>
      </c>
      <c r="B667" s="85">
        <f>+MATCH(D667,ARTICULOS!$F$10:$F$699,0)</f>
        <v/>
      </c>
      <c r="C667" s="86">
        <f>+VLOOKUP(B667,ARTICULOS!$D$10:$I$699,6)</f>
        <v/>
      </c>
      <c r="D667" s="212" t="n"/>
      <c r="E667" s="75">
        <f>+C667&amp;F667</f>
        <v/>
      </c>
      <c r="F667" s="80" t="n"/>
      <c r="G667" s="81" t="n"/>
      <c r="H667" s="78" t="n"/>
      <c r="I667" s="78" t="n"/>
      <c r="J667" s="78" t="n"/>
    </row>
    <row r="668">
      <c r="A668" s="84">
        <f>ROW()-6</f>
        <v/>
      </c>
      <c r="B668" s="85">
        <f>+MATCH(D668,ARTICULOS!$F$10:$F$699,0)</f>
        <v/>
      </c>
      <c r="C668" s="86">
        <f>+VLOOKUP(B668,ARTICULOS!$D$10:$I$699,6)</f>
        <v/>
      </c>
      <c r="D668" s="212" t="n"/>
      <c r="E668" s="75">
        <f>+C668&amp;F668</f>
        <v/>
      </c>
      <c r="F668" s="80" t="n"/>
      <c r="G668" s="81" t="n"/>
      <c r="H668" s="78" t="n"/>
      <c r="I668" s="78" t="n"/>
      <c r="J668" s="78" t="n"/>
    </row>
    <row r="669">
      <c r="A669" s="84">
        <f>ROW()-6</f>
        <v/>
      </c>
      <c r="B669" s="85">
        <f>+MATCH(D669,ARTICULOS!$F$10:$F$699,0)</f>
        <v/>
      </c>
      <c r="C669" s="86">
        <f>+VLOOKUP(B669,ARTICULOS!$D$10:$I$699,6)</f>
        <v/>
      </c>
      <c r="D669" s="212" t="n"/>
      <c r="E669" s="75">
        <f>+C669&amp;F669</f>
        <v/>
      </c>
      <c r="F669" s="80" t="n"/>
      <c r="G669" s="81" t="n"/>
      <c r="H669" s="78" t="n"/>
      <c r="I669" s="78" t="n"/>
      <c r="J669" s="78" t="n"/>
    </row>
    <row r="670">
      <c r="A670" s="84">
        <f>ROW()-6</f>
        <v/>
      </c>
      <c r="B670" s="85">
        <f>+MATCH(D670,ARTICULOS!$F$10:$F$699,0)</f>
        <v/>
      </c>
      <c r="C670" s="86">
        <f>+VLOOKUP(B670,ARTICULOS!$D$10:$I$699,6)</f>
        <v/>
      </c>
      <c r="D670" s="212" t="n"/>
      <c r="E670" s="75">
        <f>+C670&amp;F670</f>
        <v/>
      </c>
      <c r="F670" s="80" t="n"/>
      <c r="G670" s="81" t="n"/>
      <c r="H670" s="78" t="n"/>
      <c r="I670" s="78" t="n"/>
      <c r="J670" s="78" t="n"/>
    </row>
    <row r="671">
      <c r="A671" s="84">
        <f>ROW()-6</f>
        <v/>
      </c>
      <c r="B671" s="85">
        <f>+MATCH(D671,ARTICULOS!$F$10:$F$699,0)</f>
        <v/>
      </c>
      <c r="C671" s="86">
        <f>+VLOOKUP(B671,ARTICULOS!$D$10:$I$699,6)</f>
        <v/>
      </c>
      <c r="D671" s="212" t="n"/>
      <c r="E671" s="75">
        <f>+C671&amp;F671</f>
        <v/>
      </c>
      <c r="F671" s="80" t="n"/>
      <c r="G671" s="81" t="n"/>
      <c r="H671" s="78" t="n"/>
      <c r="I671" s="78" t="n"/>
      <c r="J671" s="78" t="n"/>
    </row>
    <row r="672">
      <c r="A672" s="84">
        <f>ROW()-6</f>
        <v/>
      </c>
      <c r="B672" s="85">
        <f>+MATCH(D672,ARTICULOS!$F$10:$F$699,0)</f>
        <v/>
      </c>
      <c r="C672" s="86">
        <f>+VLOOKUP(B672,ARTICULOS!$D$10:$I$699,6)</f>
        <v/>
      </c>
      <c r="D672" s="212" t="n"/>
      <c r="E672" s="75">
        <f>+C672&amp;F672</f>
        <v/>
      </c>
      <c r="F672" s="80" t="n"/>
      <c r="G672" s="81" t="n"/>
      <c r="H672" s="78" t="n"/>
      <c r="I672" s="78" t="n"/>
      <c r="J672" s="78" t="n"/>
    </row>
    <row r="673">
      <c r="A673" s="84">
        <f>ROW()-6</f>
        <v/>
      </c>
      <c r="B673" s="85">
        <f>+MATCH(D673,ARTICULOS!$F$10:$F$699,0)</f>
        <v/>
      </c>
      <c r="C673" s="86">
        <f>+VLOOKUP(B673,ARTICULOS!$D$10:$I$699,6)</f>
        <v/>
      </c>
      <c r="D673" s="212" t="n"/>
      <c r="E673" s="75">
        <f>+C673&amp;F673</f>
        <v/>
      </c>
      <c r="F673" s="80" t="n"/>
      <c r="G673" s="81" t="n"/>
      <c r="H673" s="78" t="n"/>
      <c r="I673" s="78" t="n"/>
      <c r="J673" s="78" t="n"/>
    </row>
    <row r="674">
      <c r="A674" s="84">
        <f>ROW()-6</f>
        <v/>
      </c>
      <c r="B674" s="85">
        <f>+MATCH(D674,ARTICULOS!$F$10:$F$699,0)</f>
        <v/>
      </c>
      <c r="C674" s="86">
        <f>+VLOOKUP(B674,ARTICULOS!$D$10:$I$699,6)</f>
        <v/>
      </c>
      <c r="D674" s="212" t="n"/>
      <c r="E674" s="75">
        <f>+C674&amp;F674</f>
        <v/>
      </c>
      <c r="F674" s="80" t="n"/>
      <c r="G674" s="81" t="n"/>
      <c r="H674" s="78" t="n"/>
      <c r="I674" s="78" t="n"/>
      <c r="J674" s="78" t="n"/>
    </row>
    <row r="675">
      <c r="A675" s="84">
        <f>ROW()-6</f>
        <v/>
      </c>
      <c r="B675" s="85">
        <f>+MATCH(D675,ARTICULOS!$F$10:$F$699,0)</f>
        <v/>
      </c>
      <c r="C675" s="86">
        <f>+VLOOKUP(B675,ARTICULOS!$D$10:$I$699,6)</f>
        <v/>
      </c>
      <c r="D675" s="212" t="n"/>
      <c r="E675" s="75">
        <f>+C675&amp;F675</f>
        <v/>
      </c>
      <c r="F675" s="80" t="n"/>
      <c r="G675" s="81" t="n"/>
      <c r="H675" s="78" t="n"/>
      <c r="I675" s="78" t="n"/>
      <c r="J675" s="78" t="n"/>
    </row>
    <row r="676">
      <c r="A676" s="84">
        <f>ROW()-6</f>
        <v/>
      </c>
      <c r="B676" s="85">
        <f>+MATCH(D676,ARTICULOS!$F$10:$F$699,0)</f>
        <v/>
      </c>
      <c r="C676" s="86">
        <f>+VLOOKUP(B676,ARTICULOS!$D$10:$I$699,6)</f>
        <v/>
      </c>
      <c r="D676" s="212" t="n"/>
      <c r="E676" s="75">
        <f>+C676&amp;F676</f>
        <v/>
      </c>
      <c r="F676" s="80" t="n"/>
      <c r="G676" s="81" t="n"/>
      <c r="H676" s="78" t="n"/>
      <c r="I676" s="78" t="n"/>
      <c r="J676" s="78" t="n"/>
    </row>
    <row r="677">
      <c r="A677" s="84">
        <f>ROW()-6</f>
        <v/>
      </c>
      <c r="B677" s="85">
        <f>+MATCH(D677,ARTICULOS!$F$10:$F$699,0)</f>
        <v/>
      </c>
      <c r="C677" s="86">
        <f>+VLOOKUP(B677,ARTICULOS!$D$10:$I$699,6)</f>
        <v/>
      </c>
      <c r="D677" s="212" t="n"/>
      <c r="E677" s="75">
        <f>+C677&amp;F677</f>
        <v/>
      </c>
      <c r="F677" s="80" t="n"/>
      <c r="G677" s="81" t="n"/>
      <c r="H677" s="78" t="n"/>
      <c r="I677" s="78" t="n"/>
      <c r="J677" s="78" t="n"/>
    </row>
    <row r="678">
      <c r="A678" s="84">
        <f>ROW()-6</f>
        <v/>
      </c>
      <c r="B678" s="85">
        <f>+MATCH(D678,ARTICULOS!$F$10:$F$699,0)</f>
        <v/>
      </c>
      <c r="C678" s="86">
        <f>+VLOOKUP(B678,ARTICULOS!$D$10:$I$699,6)</f>
        <v/>
      </c>
      <c r="D678" s="212" t="n"/>
      <c r="E678" s="75">
        <f>+C678&amp;F678</f>
        <v/>
      </c>
      <c r="F678" s="80" t="n"/>
      <c r="G678" s="81" t="n"/>
      <c r="H678" s="78" t="n"/>
      <c r="I678" s="78" t="n"/>
      <c r="J678" s="78" t="n"/>
    </row>
    <row r="679">
      <c r="A679" s="84">
        <f>ROW()-6</f>
        <v/>
      </c>
      <c r="B679" s="85">
        <f>+MATCH(D679,ARTICULOS!$F$10:$F$699,0)</f>
        <v/>
      </c>
      <c r="C679" s="86">
        <f>+VLOOKUP(B679,ARTICULOS!$D$10:$I$699,6)</f>
        <v/>
      </c>
      <c r="D679" s="212" t="n"/>
      <c r="E679" s="75">
        <f>+C679&amp;F679</f>
        <v/>
      </c>
      <c r="F679" s="80" t="n"/>
      <c r="G679" s="81" t="n"/>
      <c r="H679" s="78" t="n"/>
      <c r="I679" s="78" t="n"/>
      <c r="J679" s="78" t="n"/>
    </row>
    <row r="680">
      <c r="A680" s="84">
        <f>ROW()-6</f>
        <v/>
      </c>
      <c r="B680" s="85">
        <f>+MATCH(D680,ARTICULOS!$F$10:$F$699,0)</f>
        <v/>
      </c>
      <c r="C680" s="86">
        <f>+VLOOKUP(B680,ARTICULOS!$D$10:$I$699,6)</f>
        <v/>
      </c>
      <c r="D680" s="212" t="n"/>
      <c r="E680" s="75">
        <f>+C680&amp;F680</f>
        <v/>
      </c>
      <c r="F680" s="80" t="n"/>
      <c r="G680" s="81" t="n"/>
      <c r="H680" s="78" t="n"/>
      <c r="I680" s="78" t="n"/>
      <c r="J680" s="78" t="n"/>
    </row>
    <row r="681">
      <c r="A681" s="84">
        <f>ROW()-6</f>
        <v/>
      </c>
      <c r="B681" s="85">
        <f>+MATCH(D681,ARTICULOS!$F$10:$F$699,0)</f>
        <v/>
      </c>
      <c r="C681" s="86">
        <f>+VLOOKUP(B681,ARTICULOS!$D$10:$I$699,6)</f>
        <v/>
      </c>
      <c r="D681" s="212" t="n"/>
      <c r="E681" s="75">
        <f>+C681&amp;F681</f>
        <v/>
      </c>
      <c r="F681" s="80" t="n"/>
      <c r="G681" s="81" t="n"/>
      <c r="H681" s="78" t="n"/>
      <c r="I681" s="78" t="n"/>
      <c r="J681" s="78" t="n"/>
    </row>
    <row r="682">
      <c r="A682" s="84">
        <f>ROW()-6</f>
        <v/>
      </c>
      <c r="B682" s="85">
        <f>+MATCH(D682,ARTICULOS!$F$10:$F$699,0)</f>
        <v/>
      </c>
      <c r="C682" s="86">
        <f>+VLOOKUP(B682,ARTICULOS!$D$10:$I$699,6)</f>
        <v/>
      </c>
      <c r="D682" s="212" t="n"/>
      <c r="E682" s="75">
        <f>+C682&amp;F682</f>
        <v/>
      </c>
      <c r="F682" s="80" t="n"/>
      <c r="G682" s="81" t="n"/>
      <c r="H682" s="78" t="n"/>
      <c r="I682" s="78" t="n"/>
      <c r="J682" s="78" t="n"/>
    </row>
    <row r="683">
      <c r="A683" s="84">
        <f>ROW()-6</f>
        <v/>
      </c>
      <c r="B683" s="85">
        <f>+MATCH(D683,ARTICULOS!$F$10:$F$699,0)</f>
        <v/>
      </c>
      <c r="C683" s="86">
        <f>+VLOOKUP(B683,ARTICULOS!$D$10:$I$699,6)</f>
        <v/>
      </c>
      <c r="D683" s="212" t="n"/>
      <c r="E683" s="75">
        <f>+C683&amp;F683</f>
        <v/>
      </c>
      <c r="F683" s="80" t="n"/>
      <c r="G683" s="81" t="n"/>
      <c r="H683" s="78" t="n"/>
      <c r="I683" s="78" t="n"/>
      <c r="J683" s="78" t="n"/>
    </row>
    <row r="684">
      <c r="A684" s="84">
        <f>ROW()-6</f>
        <v/>
      </c>
      <c r="B684" s="85">
        <f>+MATCH(D684,ARTICULOS!$F$10:$F$699,0)</f>
        <v/>
      </c>
      <c r="C684" s="86">
        <f>+VLOOKUP(B684,ARTICULOS!$D$10:$I$699,6)</f>
        <v/>
      </c>
      <c r="D684" s="212" t="n"/>
      <c r="E684" s="75">
        <f>+C684&amp;F684</f>
        <v/>
      </c>
      <c r="F684" s="80" t="n"/>
      <c r="G684" s="81" t="n"/>
      <c r="H684" s="78" t="n"/>
      <c r="I684" s="78" t="n"/>
      <c r="J684" s="78" t="n"/>
    </row>
    <row r="685">
      <c r="A685" s="84">
        <f>ROW()-6</f>
        <v/>
      </c>
      <c r="B685" s="85">
        <f>+MATCH(D685,ARTICULOS!$F$10:$F$699,0)</f>
        <v/>
      </c>
      <c r="C685" s="86">
        <f>+VLOOKUP(B685,ARTICULOS!$D$10:$I$699,6)</f>
        <v/>
      </c>
      <c r="D685" s="212" t="n"/>
      <c r="E685" s="75">
        <f>+C685&amp;F685</f>
        <v/>
      </c>
      <c r="F685" s="80" t="n"/>
      <c r="G685" s="81" t="n"/>
      <c r="H685" s="78" t="n"/>
      <c r="I685" s="78" t="n"/>
      <c r="J685" s="78" t="n"/>
    </row>
    <row r="686">
      <c r="A686" s="84">
        <f>ROW()-6</f>
        <v/>
      </c>
      <c r="B686" s="85">
        <f>+MATCH(D686,ARTICULOS!$F$10:$F$699,0)</f>
        <v/>
      </c>
      <c r="C686" s="86">
        <f>+VLOOKUP(B686,ARTICULOS!$D$10:$I$699,6)</f>
        <v/>
      </c>
      <c r="D686" s="212" t="n"/>
      <c r="E686" s="75">
        <f>+C686&amp;F686</f>
        <v/>
      </c>
      <c r="F686" s="80" t="n"/>
      <c r="G686" s="81" t="n"/>
      <c r="H686" s="78" t="n"/>
      <c r="I686" s="78" t="n"/>
      <c r="J686" s="78" t="n"/>
    </row>
    <row r="687">
      <c r="A687" s="84">
        <f>ROW()-6</f>
        <v/>
      </c>
      <c r="B687" s="85">
        <f>+MATCH(D687,ARTICULOS!$F$10:$F$699,0)</f>
        <v/>
      </c>
      <c r="C687" s="86">
        <f>+VLOOKUP(B687,ARTICULOS!$D$10:$I$699,6)</f>
        <v/>
      </c>
      <c r="D687" s="212" t="n"/>
      <c r="E687" s="75">
        <f>+C687&amp;F687</f>
        <v/>
      </c>
      <c r="F687" s="80" t="n"/>
      <c r="G687" s="81" t="n"/>
      <c r="H687" s="78" t="n"/>
      <c r="I687" s="78" t="n"/>
      <c r="J687" s="78" t="n"/>
    </row>
    <row r="688">
      <c r="A688" s="84">
        <f>ROW()-6</f>
        <v/>
      </c>
      <c r="B688" s="85">
        <f>+MATCH(D688,ARTICULOS!$F$10:$F$699,0)</f>
        <v/>
      </c>
      <c r="C688" s="86">
        <f>+VLOOKUP(B688,ARTICULOS!$D$10:$I$699,6)</f>
        <v/>
      </c>
      <c r="D688" s="212" t="n"/>
      <c r="E688" s="75">
        <f>+C688&amp;F688</f>
        <v/>
      </c>
      <c r="F688" s="80" t="n"/>
      <c r="G688" s="81" t="n"/>
      <c r="H688" s="78" t="n"/>
      <c r="I688" s="78" t="n"/>
      <c r="J688" s="78" t="n"/>
    </row>
    <row r="689">
      <c r="A689" s="84">
        <f>ROW()-6</f>
        <v/>
      </c>
      <c r="B689" s="85">
        <f>+MATCH(D689,ARTICULOS!$F$10:$F$699,0)</f>
        <v/>
      </c>
      <c r="C689" s="86">
        <f>+VLOOKUP(B689,ARTICULOS!$D$10:$I$699,6)</f>
        <v/>
      </c>
      <c r="D689" s="212" t="n"/>
      <c r="E689" s="75">
        <f>+C689&amp;F689</f>
        <v/>
      </c>
      <c r="F689" s="80" t="n"/>
      <c r="G689" s="81" t="n"/>
      <c r="H689" s="78" t="n"/>
      <c r="I689" s="78" t="n"/>
      <c r="J689" s="78" t="n"/>
    </row>
    <row r="690">
      <c r="A690" s="84">
        <f>ROW()-6</f>
        <v/>
      </c>
      <c r="B690" s="85">
        <f>+MATCH(D690,ARTICULOS!$F$10:$F$699,0)</f>
        <v/>
      </c>
      <c r="C690" s="86">
        <f>+VLOOKUP(B690,ARTICULOS!$D$10:$I$699,6)</f>
        <v/>
      </c>
      <c r="D690" s="212" t="n"/>
      <c r="E690" s="75">
        <f>+C690&amp;F690</f>
        <v/>
      </c>
      <c r="F690" s="80" t="n"/>
      <c r="G690" s="81" t="n"/>
      <c r="H690" s="78" t="n"/>
      <c r="I690" s="78" t="n"/>
      <c r="J690" s="78" t="n"/>
    </row>
    <row r="691">
      <c r="A691" s="84">
        <f>ROW()-6</f>
        <v/>
      </c>
      <c r="B691" s="85">
        <f>+MATCH(D691,ARTICULOS!$F$10:$F$699,0)</f>
        <v/>
      </c>
      <c r="C691" s="86">
        <f>+VLOOKUP(B691,ARTICULOS!$D$10:$I$699,6)</f>
        <v/>
      </c>
      <c r="D691" s="212" t="n"/>
      <c r="E691" s="75">
        <f>+C691&amp;F691</f>
        <v/>
      </c>
      <c r="F691" s="80" t="n"/>
      <c r="G691" s="81" t="n"/>
      <c r="H691" s="78" t="n"/>
      <c r="I691" s="78" t="n"/>
      <c r="J691" s="78" t="n"/>
    </row>
    <row r="692">
      <c r="A692" s="84">
        <f>ROW()-6</f>
        <v/>
      </c>
      <c r="B692" s="85">
        <f>+MATCH(D692,ARTICULOS!$F$10:$F$699,0)</f>
        <v/>
      </c>
      <c r="C692" s="86">
        <f>+VLOOKUP(B692,ARTICULOS!$D$10:$I$699,6)</f>
        <v/>
      </c>
      <c r="D692" s="212" t="n"/>
      <c r="E692" s="75">
        <f>+C692&amp;F692</f>
        <v/>
      </c>
      <c r="F692" s="80" t="n"/>
      <c r="G692" s="81" t="n"/>
      <c r="H692" s="78" t="n"/>
      <c r="I692" s="78" t="n"/>
      <c r="J692" s="78" t="n"/>
    </row>
    <row r="693">
      <c r="A693" s="84">
        <f>ROW()-6</f>
        <v/>
      </c>
      <c r="B693" s="85">
        <f>+MATCH(D693,ARTICULOS!$F$10:$F$699,0)</f>
        <v/>
      </c>
      <c r="C693" s="86">
        <f>+VLOOKUP(B693,ARTICULOS!$D$10:$I$699,6)</f>
        <v/>
      </c>
      <c r="D693" s="212" t="n"/>
      <c r="E693" s="75">
        <f>+C693&amp;F693</f>
        <v/>
      </c>
      <c r="F693" s="80" t="n"/>
      <c r="G693" s="81" t="n"/>
      <c r="H693" s="78" t="n"/>
      <c r="I693" s="78" t="n"/>
      <c r="J693" s="78" t="n"/>
    </row>
    <row r="694">
      <c r="A694" s="84">
        <f>ROW()-6</f>
        <v/>
      </c>
      <c r="B694" s="85">
        <f>+MATCH(D694,ARTICULOS!$F$10:$F$699,0)</f>
        <v/>
      </c>
      <c r="C694" s="86">
        <f>+VLOOKUP(B694,ARTICULOS!$D$10:$I$699,6)</f>
        <v/>
      </c>
      <c r="D694" s="212" t="n"/>
      <c r="E694" s="75">
        <f>+C694&amp;F694</f>
        <v/>
      </c>
      <c r="F694" s="80" t="n"/>
      <c r="G694" s="81" t="n"/>
      <c r="H694" s="78" t="n"/>
      <c r="I694" s="78" t="n"/>
      <c r="J694" s="78" t="n"/>
    </row>
    <row r="695">
      <c r="A695" s="84">
        <f>ROW()-6</f>
        <v/>
      </c>
      <c r="B695" s="85">
        <f>+MATCH(D695,ARTICULOS!$F$10:$F$699,0)</f>
        <v/>
      </c>
      <c r="C695" s="86">
        <f>+VLOOKUP(B695,ARTICULOS!$D$10:$I$699,6)</f>
        <v/>
      </c>
      <c r="D695" s="212" t="n"/>
      <c r="E695" s="75">
        <f>+C695&amp;F695</f>
        <v/>
      </c>
      <c r="F695" s="80" t="n"/>
      <c r="G695" s="81" t="n"/>
      <c r="H695" s="78" t="n"/>
      <c r="I695" s="78" t="n"/>
      <c r="J695" s="78" t="n"/>
    </row>
    <row r="696">
      <c r="A696" s="84">
        <f>ROW()-6</f>
        <v/>
      </c>
      <c r="B696" s="85">
        <f>+MATCH(D696,ARTICULOS!$F$10:$F$699,0)</f>
        <v/>
      </c>
      <c r="C696" s="86">
        <f>+VLOOKUP(B696,ARTICULOS!$D$10:$I$699,6)</f>
        <v/>
      </c>
      <c r="D696" s="212" t="n"/>
      <c r="E696" s="75">
        <f>+C696&amp;F696</f>
        <v/>
      </c>
      <c r="F696" s="80" t="n"/>
      <c r="G696" s="81" t="n"/>
      <c r="H696" s="78" t="n"/>
      <c r="I696" s="78" t="n"/>
      <c r="J696" s="78" t="n"/>
    </row>
    <row r="697">
      <c r="A697" s="84">
        <f>ROW()-6</f>
        <v/>
      </c>
      <c r="B697" s="85">
        <f>+MATCH(D697,ARTICULOS!$F$10:$F$699,0)</f>
        <v/>
      </c>
      <c r="C697" s="86">
        <f>+VLOOKUP(B697,ARTICULOS!$D$10:$I$699,6)</f>
        <v/>
      </c>
      <c r="D697" s="212" t="n"/>
      <c r="E697" s="75">
        <f>+C697&amp;F697</f>
        <v/>
      </c>
      <c r="F697" s="80" t="n"/>
      <c r="G697" s="81" t="n"/>
      <c r="H697" s="78" t="n"/>
      <c r="I697" s="78" t="n"/>
      <c r="J697" s="78" t="n"/>
    </row>
    <row r="698">
      <c r="A698" s="84">
        <f>ROW()-6</f>
        <v/>
      </c>
      <c r="B698" s="85">
        <f>+MATCH(D698,ARTICULOS!$F$10:$F$699,0)</f>
        <v/>
      </c>
      <c r="C698" s="86">
        <f>+VLOOKUP(B698,ARTICULOS!$D$10:$I$699,6)</f>
        <v/>
      </c>
      <c r="D698" s="212" t="n"/>
      <c r="E698" s="75">
        <f>+C698&amp;F698</f>
        <v/>
      </c>
      <c r="F698" s="80" t="n"/>
      <c r="G698" s="81" t="n"/>
      <c r="H698" s="78" t="n"/>
      <c r="I698" s="78" t="n"/>
      <c r="J698" s="78" t="n"/>
    </row>
    <row r="699">
      <c r="A699" s="84">
        <f>ROW()-6</f>
        <v/>
      </c>
      <c r="B699" s="85">
        <f>+MATCH(D699,ARTICULOS!$F$10:$F$699,0)</f>
        <v/>
      </c>
      <c r="C699" s="86">
        <f>+VLOOKUP(B699,ARTICULOS!$D$10:$I$699,6)</f>
        <v/>
      </c>
      <c r="D699" s="212" t="n"/>
      <c r="E699" s="75">
        <f>+C699&amp;F699</f>
        <v/>
      </c>
      <c r="F699" s="80" t="n"/>
      <c r="G699" s="81" t="n"/>
      <c r="H699" s="78" t="n"/>
      <c r="I699" s="78" t="n"/>
      <c r="J699" s="78" t="n"/>
    </row>
    <row r="700">
      <c r="A700" s="84">
        <f>ROW()-6</f>
        <v/>
      </c>
      <c r="B700" s="85">
        <f>+MATCH(D700,ARTICULOS!$F$10:$F$699,0)</f>
        <v/>
      </c>
      <c r="C700" s="86">
        <f>+VLOOKUP(B700,ARTICULOS!$D$10:$I$699,6)</f>
        <v/>
      </c>
      <c r="D700" s="212" t="n"/>
      <c r="E700" s="75">
        <f>+C700&amp;F700</f>
        <v/>
      </c>
      <c r="F700" s="80" t="n"/>
      <c r="G700" s="81" t="n"/>
      <c r="H700" s="78" t="n"/>
      <c r="I700" s="78" t="n"/>
      <c r="J700" s="78" t="n"/>
    </row>
    <row r="701">
      <c r="A701" s="84">
        <f>ROW()-6</f>
        <v/>
      </c>
      <c r="B701" s="85">
        <f>+MATCH(D701,ARTICULOS!$F$10:$F$699,0)</f>
        <v/>
      </c>
      <c r="C701" s="86">
        <f>+VLOOKUP(B701,ARTICULOS!$D$10:$I$699,6)</f>
        <v/>
      </c>
      <c r="D701" s="212" t="n"/>
      <c r="E701" s="75">
        <f>+C701&amp;F701</f>
        <v/>
      </c>
      <c r="F701" s="80" t="n"/>
      <c r="G701" s="81" t="n"/>
      <c r="H701" s="78" t="n"/>
      <c r="I701" s="78" t="n"/>
      <c r="J701" s="78" t="n"/>
    </row>
    <row r="702">
      <c r="A702" s="84">
        <f>ROW()-6</f>
        <v/>
      </c>
      <c r="B702" s="85">
        <f>+MATCH(D702,ARTICULOS!$F$10:$F$699,0)</f>
        <v/>
      </c>
      <c r="C702" s="86">
        <f>+VLOOKUP(B702,ARTICULOS!$D$10:$I$699,6)</f>
        <v/>
      </c>
      <c r="D702" s="212" t="n"/>
      <c r="E702" s="75">
        <f>+C702&amp;F702</f>
        <v/>
      </c>
      <c r="F702" s="80" t="n"/>
      <c r="G702" s="81" t="n"/>
      <c r="H702" s="78" t="n"/>
      <c r="I702" s="78" t="n"/>
      <c r="J702" s="78" t="n"/>
    </row>
    <row r="703">
      <c r="A703" s="84">
        <f>ROW()-6</f>
        <v/>
      </c>
      <c r="B703" s="85">
        <f>+MATCH(D703,ARTICULOS!$F$10:$F$699,0)</f>
        <v/>
      </c>
      <c r="C703" s="86">
        <f>+VLOOKUP(B703,ARTICULOS!$D$10:$I$699,6)</f>
        <v/>
      </c>
      <c r="D703" s="212" t="n"/>
      <c r="E703" s="75">
        <f>+C703&amp;F703</f>
        <v/>
      </c>
      <c r="F703" s="80" t="n"/>
      <c r="G703" s="81" t="n"/>
      <c r="H703" s="78" t="n"/>
      <c r="I703" s="78" t="n"/>
      <c r="J703" s="78" t="n"/>
    </row>
    <row r="704">
      <c r="A704" s="84">
        <f>ROW()-6</f>
        <v/>
      </c>
      <c r="B704" s="85">
        <f>+MATCH(D704,ARTICULOS!$F$10:$F$699,0)</f>
        <v/>
      </c>
      <c r="C704" s="86">
        <f>+VLOOKUP(B704,ARTICULOS!$D$10:$I$699,6)</f>
        <v/>
      </c>
      <c r="D704" s="212" t="n"/>
      <c r="E704" s="75">
        <f>+C704&amp;F704</f>
        <v/>
      </c>
      <c r="F704" s="80" t="n"/>
      <c r="G704" s="81" t="n"/>
      <c r="H704" s="78" t="n"/>
      <c r="I704" s="78" t="n"/>
      <c r="J704" s="78" t="n"/>
    </row>
    <row r="705">
      <c r="A705" s="84">
        <f>ROW()-6</f>
        <v/>
      </c>
      <c r="B705" s="85">
        <f>+MATCH(D705,ARTICULOS!$F$10:$F$699,0)</f>
        <v/>
      </c>
      <c r="C705" s="86">
        <f>+VLOOKUP(B705,ARTICULOS!$D$10:$I$699,6)</f>
        <v/>
      </c>
      <c r="D705" s="212" t="n"/>
      <c r="E705" s="75">
        <f>+C705&amp;F705</f>
        <v/>
      </c>
      <c r="F705" s="80" t="n"/>
      <c r="G705" s="81" t="n"/>
      <c r="H705" s="78" t="n"/>
      <c r="I705" s="78" t="n"/>
      <c r="J705" s="78" t="n"/>
    </row>
    <row r="706">
      <c r="A706" s="84">
        <f>ROW()-6</f>
        <v/>
      </c>
      <c r="B706" s="85">
        <f>+MATCH(D706,ARTICULOS!$F$10:$F$699,0)</f>
        <v/>
      </c>
      <c r="C706" s="86">
        <f>+VLOOKUP(B706,ARTICULOS!$D$10:$I$699,6)</f>
        <v/>
      </c>
      <c r="D706" s="212" t="n"/>
      <c r="E706" s="75">
        <f>+C706&amp;F706</f>
        <v/>
      </c>
      <c r="F706" s="80" t="n"/>
      <c r="G706" s="81" t="n"/>
      <c r="H706" s="78" t="n"/>
      <c r="I706" s="78" t="n"/>
      <c r="J706" s="78" t="n"/>
    </row>
    <row r="707">
      <c r="A707" s="84">
        <f>ROW()-6</f>
        <v/>
      </c>
      <c r="B707" s="85">
        <f>+MATCH(D707,ARTICULOS!$F$10:$F$699,0)</f>
        <v/>
      </c>
      <c r="C707" s="86">
        <f>+VLOOKUP(B707,ARTICULOS!$D$10:$I$699,6)</f>
        <v/>
      </c>
      <c r="D707" s="212" t="n"/>
      <c r="E707" s="75">
        <f>+C707&amp;F707</f>
        <v/>
      </c>
      <c r="F707" s="80" t="n"/>
      <c r="G707" s="81" t="n"/>
      <c r="H707" s="78" t="n"/>
      <c r="I707" s="78" t="n"/>
      <c r="J707" s="78" t="n"/>
    </row>
    <row r="708">
      <c r="A708" s="84">
        <f>ROW()-6</f>
        <v/>
      </c>
      <c r="B708" s="85">
        <f>+MATCH(D708,ARTICULOS!$F$10:$F$699,0)</f>
        <v/>
      </c>
      <c r="C708" s="86">
        <f>+VLOOKUP(B708,ARTICULOS!$D$10:$I$699,6)</f>
        <v/>
      </c>
      <c r="D708" s="212" t="n"/>
      <c r="E708" s="75">
        <f>+C708&amp;F708</f>
        <v/>
      </c>
      <c r="F708" s="80" t="n"/>
      <c r="G708" s="81" t="n"/>
      <c r="H708" s="78" t="n"/>
      <c r="I708" s="78" t="n"/>
      <c r="J708" s="78" t="n"/>
    </row>
    <row r="709">
      <c r="A709" s="84">
        <f>ROW()-6</f>
        <v/>
      </c>
      <c r="B709" s="85">
        <f>+MATCH(D709,ARTICULOS!$F$10:$F$699,0)</f>
        <v/>
      </c>
      <c r="C709" s="86">
        <f>+VLOOKUP(B709,ARTICULOS!$D$10:$I$699,6)</f>
        <v/>
      </c>
      <c r="D709" s="212" t="n"/>
      <c r="E709" s="75">
        <f>+C709&amp;F709</f>
        <v/>
      </c>
      <c r="F709" s="80" t="n"/>
      <c r="G709" s="81" t="n"/>
      <c r="H709" s="78" t="n"/>
      <c r="I709" s="78" t="n"/>
      <c r="J709" s="78" t="n"/>
    </row>
    <row r="710">
      <c r="A710" s="84">
        <f>ROW()-6</f>
        <v/>
      </c>
      <c r="B710" s="85">
        <f>+MATCH(D710,ARTICULOS!$F$10:$F$699,0)</f>
        <v/>
      </c>
      <c r="C710" s="86">
        <f>+VLOOKUP(B710,ARTICULOS!$D$10:$I$699,6)</f>
        <v/>
      </c>
      <c r="D710" s="212" t="n"/>
      <c r="E710" s="75">
        <f>+C710&amp;F710</f>
        <v/>
      </c>
      <c r="F710" s="80" t="n"/>
      <c r="G710" s="81" t="n"/>
      <c r="H710" s="78" t="n"/>
      <c r="I710" s="78" t="n"/>
      <c r="J710" s="78" t="n"/>
    </row>
    <row r="711">
      <c r="A711" s="84">
        <f>ROW()-6</f>
        <v/>
      </c>
      <c r="B711" s="85">
        <f>+MATCH(D711,ARTICULOS!$F$10:$F$699,0)</f>
        <v/>
      </c>
      <c r="C711" s="86">
        <f>+VLOOKUP(B711,ARTICULOS!$D$10:$I$699,6)</f>
        <v/>
      </c>
      <c r="D711" s="212" t="n"/>
      <c r="E711" s="75">
        <f>+C711&amp;F711</f>
        <v/>
      </c>
      <c r="F711" s="80" t="n"/>
      <c r="G711" s="81" t="n"/>
      <c r="H711" s="78" t="n"/>
      <c r="I711" s="78" t="n"/>
      <c r="J711" s="78" t="n"/>
    </row>
    <row r="712">
      <c r="A712" s="84">
        <f>ROW()-6</f>
        <v/>
      </c>
      <c r="B712" s="85">
        <f>+MATCH(D712,ARTICULOS!$F$10:$F$699,0)</f>
        <v/>
      </c>
      <c r="C712" s="86">
        <f>+VLOOKUP(B712,ARTICULOS!$D$10:$I$699,6)</f>
        <v/>
      </c>
      <c r="D712" s="212" t="n"/>
      <c r="E712" s="75">
        <f>+C712&amp;F712</f>
        <v/>
      </c>
      <c r="F712" s="80" t="n"/>
      <c r="G712" s="81" t="n"/>
      <c r="H712" s="78" t="n"/>
      <c r="I712" s="78" t="n"/>
      <c r="J712" s="78" t="n"/>
    </row>
    <row r="713">
      <c r="A713" s="84">
        <f>ROW()-6</f>
        <v/>
      </c>
      <c r="B713" s="85">
        <f>+MATCH(D713,ARTICULOS!$F$10:$F$699,0)</f>
        <v/>
      </c>
      <c r="C713" s="86">
        <f>+VLOOKUP(B713,ARTICULOS!$D$10:$I$699,6)</f>
        <v/>
      </c>
      <c r="D713" s="212" t="n"/>
      <c r="E713" s="75">
        <f>+C713&amp;F713</f>
        <v/>
      </c>
      <c r="F713" s="80" t="n"/>
      <c r="G713" s="81" t="n"/>
      <c r="H713" s="78" t="n"/>
      <c r="I713" s="78" t="n"/>
      <c r="J713" s="78" t="n"/>
    </row>
    <row r="714">
      <c r="A714" s="84">
        <f>ROW()-6</f>
        <v/>
      </c>
      <c r="B714" s="85">
        <f>+MATCH(D714,ARTICULOS!$F$10:$F$699,0)</f>
        <v/>
      </c>
      <c r="C714" s="86">
        <f>+VLOOKUP(B714,ARTICULOS!$D$10:$I$699,6)</f>
        <v/>
      </c>
      <c r="D714" s="212" t="n"/>
      <c r="E714" s="75">
        <f>+C714&amp;F714</f>
        <v/>
      </c>
      <c r="F714" s="80" t="n"/>
      <c r="G714" s="81" t="n"/>
      <c r="H714" s="78" t="n"/>
      <c r="I714" s="78" t="n"/>
      <c r="J714" s="78" t="n"/>
    </row>
    <row r="715">
      <c r="A715" s="84">
        <f>ROW()-6</f>
        <v/>
      </c>
      <c r="B715" s="85">
        <f>+MATCH(D715,ARTICULOS!$F$10:$F$699,0)</f>
        <v/>
      </c>
      <c r="C715" s="86">
        <f>+VLOOKUP(B715,ARTICULOS!$D$10:$I$699,6)</f>
        <v/>
      </c>
      <c r="D715" s="212" t="n"/>
      <c r="E715" s="75">
        <f>+C715&amp;F715</f>
        <v/>
      </c>
      <c r="F715" s="80" t="n"/>
      <c r="G715" s="81" t="n"/>
      <c r="H715" s="78" t="n"/>
      <c r="I715" s="78" t="n"/>
      <c r="J715" s="78" t="n"/>
    </row>
    <row r="716">
      <c r="A716" s="84">
        <f>ROW()-6</f>
        <v/>
      </c>
      <c r="B716" s="85">
        <f>+MATCH(D716,ARTICULOS!$F$10:$F$699,0)</f>
        <v/>
      </c>
      <c r="C716" s="86">
        <f>+VLOOKUP(B716,ARTICULOS!$D$10:$I$699,6)</f>
        <v/>
      </c>
      <c r="D716" s="212" t="n"/>
      <c r="E716" s="75">
        <f>+C716&amp;F716</f>
        <v/>
      </c>
      <c r="F716" s="80" t="n"/>
      <c r="G716" s="81" t="n"/>
      <c r="H716" s="78" t="n"/>
      <c r="I716" s="78" t="n"/>
      <c r="J716" s="78" t="n"/>
    </row>
    <row r="717">
      <c r="A717" s="84">
        <f>ROW()-6</f>
        <v/>
      </c>
      <c r="B717" s="85">
        <f>+MATCH(D717,ARTICULOS!$F$10:$F$699,0)</f>
        <v/>
      </c>
      <c r="C717" s="86">
        <f>+VLOOKUP(B717,ARTICULOS!$D$10:$I$699,6)</f>
        <v/>
      </c>
      <c r="D717" s="212" t="n"/>
      <c r="E717" s="75">
        <f>+C717&amp;F717</f>
        <v/>
      </c>
      <c r="F717" s="80" t="n"/>
      <c r="G717" s="81" t="n"/>
      <c r="H717" s="78" t="n"/>
      <c r="I717" s="78" t="n"/>
      <c r="J717" s="78" t="n"/>
    </row>
    <row r="718">
      <c r="A718" s="84">
        <f>ROW()-6</f>
        <v/>
      </c>
      <c r="B718" s="85">
        <f>+MATCH(D718,ARTICULOS!$F$10:$F$699,0)</f>
        <v/>
      </c>
      <c r="C718" s="86">
        <f>+VLOOKUP(B718,ARTICULOS!$D$10:$I$699,6)</f>
        <v/>
      </c>
      <c r="D718" s="212" t="n"/>
      <c r="E718" s="75">
        <f>+C718&amp;F718</f>
        <v/>
      </c>
      <c r="F718" s="80" t="n"/>
      <c r="G718" s="81" t="n"/>
      <c r="H718" s="78" t="n"/>
      <c r="I718" s="78" t="n"/>
      <c r="J718" s="78" t="n"/>
    </row>
    <row r="719">
      <c r="A719" s="84">
        <f>ROW()-6</f>
        <v/>
      </c>
      <c r="B719" s="85">
        <f>+MATCH(D719,ARTICULOS!$F$10:$F$699,0)</f>
        <v/>
      </c>
      <c r="C719" s="86">
        <f>+VLOOKUP(B719,ARTICULOS!$D$10:$I$699,6)</f>
        <v/>
      </c>
      <c r="D719" s="212" t="n"/>
      <c r="E719" s="75">
        <f>+C719&amp;F719</f>
        <v/>
      </c>
      <c r="F719" s="80" t="n"/>
      <c r="G719" s="81" t="n"/>
      <c r="H719" s="78" t="n"/>
      <c r="I719" s="78" t="n"/>
      <c r="J719" s="78" t="n"/>
    </row>
    <row r="720">
      <c r="A720" s="84">
        <f>ROW()-6</f>
        <v/>
      </c>
      <c r="B720" s="85">
        <f>+MATCH(D720,ARTICULOS!$F$10:$F$699,0)</f>
        <v/>
      </c>
      <c r="C720" s="86">
        <f>+VLOOKUP(B720,ARTICULOS!$D$10:$I$699,6)</f>
        <v/>
      </c>
      <c r="D720" s="212" t="n"/>
      <c r="E720" s="75">
        <f>+C720&amp;F720</f>
        <v/>
      </c>
      <c r="F720" s="80" t="n"/>
      <c r="G720" s="81" t="n"/>
      <c r="H720" s="78" t="n"/>
      <c r="I720" s="78" t="n"/>
      <c r="J720" s="78" t="n"/>
    </row>
    <row r="721">
      <c r="A721" s="84">
        <f>ROW()-6</f>
        <v/>
      </c>
      <c r="B721" s="85">
        <f>+MATCH(D721,ARTICULOS!$F$10:$F$699,0)</f>
        <v/>
      </c>
      <c r="C721" s="86">
        <f>+VLOOKUP(B721,ARTICULOS!$D$10:$I$699,6)</f>
        <v/>
      </c>
      <c r="D721" s="212" t="n"/>
      <c r="E721" s="75">
        <f>+C721&amp;F721</f>
        <v/>
      </c>
      <c r="F721" s="80" t="n"/>
      <c r="G721" s="81" t="n"/>
      <c r="H721" s="78" t="n"/>
      <c r="I721" s="78" t="n"/>
      <c r="J721" s="78" t="n"/>
    </row>
    <row r="722">
      <c r="A722" s="84">
        <f>ROW()-6</f>
        <v/>
      </c>
      <c r="B722" s="85">
        <f>+MATCH(D722,ARTICULOS!$F$10:$F$699,0)</f>
        <v/>
      </c>
      <c r="C722" s="86">
        <f>+VLOOKUP(B722,ARTICULOS!$D$10:$I$699,6)</f>
        <v/>
      </c>
      <c r="D722" s="212" t="n"/>
      <c r="E722" s="75">
        <f>+C722&amp;F722</f>
        <v/>
      </c>
      <c r="F722" s="80" t="n"/>
      <c r="G722" s="81" t="n"/>
      <c r="H722" s="78" t="n"/>
      <c r="I722" s="78" t="n"/>
      <c r="J722" s="78" t="n"/>
    </row>
    <row r="723">
      <c r="A723" s="84">
        <f>ROW()-6</f>
        <v/>
      </c>
      <c r="B723" s="85">
        <f>+MATCH(D723,ARTICULOS!$F$10:$F$699,0)</f>
        <v/>
      </c>
      <c r="C723" s="86">
        <f>+VLOOKUP(B723,ARTICULOS!$D$10:$I$699,6)</f>
        <v/>
      </c>
      <c r="D723" s="212" t="n"/>
      <c r="E723" s="75">
        <f>+C723&amp;F723</f>
        <v/>
      </c>
      <c r="F723" s="80" t="n"/>
      <c r="G723" s="81" t="n"/>
      <c r="H723" s="78" t="n"/>
      <c r="I723" s="78" t="n"/>
      <c r="J723" s="78" t="n"/>
    </row>
    <row r="724">
      <c r="A724" s="84">
        <f>ROW()-6</f>
        <v/>
      </c>
      <c r="B724" s="85">
        <f>+MATCH(D724,ARTICULOS!$F$10:$F$699,0)</f>
        <v/>
      </c>
      <c r="C724" s="86">
        <f>+VLOOKUP(B724,ARTICULOS!$D$10:$I$699,6)</f>
        <v/>
      </c>
      <c r="D724" s="212" t="n"/>
      <c r="E724" s="75">
        <f>+C724&amp;F724</f>
        <v/>
      </c>
      <c r="F724" s="80" t="n"/>
      <c r="G724" s="81" t="n"/>
      <c r="H724" s="78" t="n"/>
      <c r="I724" s="78" t="n"/>
      <c r="J724" s="78" t="n"/>
    </row>
    <row r="725">
      <c r="A725" s="84">
        <f>ROW()-6</f>
        <v/>
      </c>
      <c r="B725" s="85">
        <f>+MATCH(D725,ARTICULOS!$F$10:$F$699,0)</f>
        <v/>
      </c>
      <c r="C725" s="86">
        <f>+VLOOKUP(B725,ARTICULOS!$D$10:$I$699,6)</f>
        <v/>
      </c>
      <c r="D725" s="212" t="n"/>
      <c r="E725" s="75">
        <f>+C725&amp;F725</f>
        <v/>
      </c>
      <c r="F725" s="80" t="n"/>
      <c r="G725" s="81" t="n"/>
      <c r="H725" s="78" t="n"/>
      <c r="I725" s="78" t="n"/>
      <c r="J725" s="78" t="n"/>
    </row>
    <row r="726">
      <c r="A726" s="84">
        <f>ROW()-6</f>
        <v/>
      </c>
      <c r="B726" s="85">
        <f>+MATCH(D726,ARTICULOS!$F$10:$F$699,0)</f>
        <v/>
      </c>
      <c r="C726" s="86">
        <f>+VLOOKUP(B726,ARTICULOS!$D$10:$I$699,6)</f>
        <v/>
      </c>
      <c r="D726" s="212" t="n"/>
      <c r="E726" s="75">
        <f>+C726&amp;F726</f>
        <v/>
      </c>
      <c r="F726" s="80" t="n"/>
      <c r="G726" s="81" t="n"/>
      <c r="H726" s="78" t="n"/>
      <c r="I726" s="78" t="n"/>
      <c r="J726" s="78" t="n"/>
    </row>
    <row r="727">
      <c r="A727" s="84">
        <f>ROW()-6</f>
        <v/>
      </c>
      <c r="B727" s="85">
        <f>+MATCH(D727,ARTICULOS!$F$10:$F$699,0)</f>
        <v/>
      </c>
      <c r="C727" s="86">
        <f>+VLOOKUP(B727,ARTICULOS!$D$10:$I$699,6)</f>
        <v/>
      </c>
      <c r="D727" s="212" t="n"/>
      <c r="E727" s="75">
        <f>+C727&amp;F727</f>
        <v/>
      </c>
      <c r="F727" s="80" t="n"/>
      <c r="G727" s="81" t="n"/>
      <c r="H727" s="78" t="n"/>
      <c r="I727" s="78" t="n"/>
      <c r="J727" s="78" t="n"/>
    </row>
    <row r="728">
      <c r="A728" s="84">
        <f>ROW()-6</f>
        <v/>
      </c>
      <c r="B728" s="85">
        <f>+MATCH(D728,ARTICULOS!$F$10:$F$699,0)</f>
        <v/>
      </c>
      <c r="C728" s="86">
        <f>+VLOOKUP(B728,ARTICULOS!$D$10:$I$699,6)</f>
        <v/>
      </c>
      <c r="D728" s="212" t="n"/>
      <c r="E728" s="75">
        <f>+C728&amp;F728</f>
        <v/>
      </c>
      <c r="F728" s="80" t="n"/>
      <c r="G728" s="81" t="n"/>
      <c r="H728" s="78" t="n"/>
      <c r="I728" s="78" t="n"/>
      <c r="J728" s="78" t="n"/>
    </row>
    <row r="729">
      <c r="A729" s="84">
        <f>ROW()-6</f>
        <v/>
      </c>
      <c r="B729" s="85">
        <f>+MATCH(D729,ARTICULOS!$F$10:$F$699,0)</f>
        <v/>
      </c>
      <c r="C729" s="86">
        <f>+VLOOKUP(B729,ARTICULOS!$D$10:$I$699,6)</f>
        <v/>
      </c>
      <c r="D729" s="212" t="n"/>
      <c r="E729" s="75">
        <f>+C729&amp;F729</f>
        <v/>
      </c>
      <c r="F729" s="80" t="n"/>
      <c r="G729" s="81" t="n"/>
      <c r="H729" s="78" t="n"/>
      <c r="I729" s="78" t="n"/>
      <c r="J729" s="78" t="n"/>
    </row>
    <row r="730">
      <c r="A730" s="84">
        <f>ROW()-6</f>
        <v/>
      </c>
      <c r="B730" s="85">
        <f>+MATCH(D730,ARTICULOS!$F$10:$F$699,0)</f>
        <v/>
      </c>
      <c r="C730" s="86">
        <f>+VLOOKUP(B730,ARTICULOS!$D$10:$I$699,6)</f>
        <v/>
      </c>
      <c r="D730" s="212" t="n"/>
      <c r="E730" s="75">
        <f>+C730&amp;F730</f>
        <v/>
      </c>
      <c r="F730" s="80" t="n"/>
      <c r="G730" s="81" t="n"/>
      <c r="H730" s="78" t="n"/>
      <c r="I730" s="78" t="n"/>
      <c r="J730" s="78" t="n"/>
    </row>
    <row r="731">
      <c r="A731" s="84">
        <f>ROW()-6</f>
        <v/>
      </c>
      <c r="B731" s="85">
        <f>+MATCH(D731,ARTICULOS!$F$10:$F$699,0)</f>
        <v/>
      </c>
      <c r="C731" s="86">
        <f>+VLOOKUP(B731,ARTICULOS!$D$10:$I$699,6)</f>
        <v/>
      </c>
      <c r="D731" s="212" t="n"/>
      <c r="E731" s="75">
        <f>+C731&amp;F731</f>
        <v/>
      </c>
      <c r="F731" s="80" t="n"/>
      <c r="G731" s="81" t="n"/>
      <c r="H731" s="78" t="n"/>
      <c r="I731" s="78" t="n"/>
      <c r="J731" s="78" t="n"/>
    </row>
    <row r="732">
      <c r="A732" s="84">
        <f>ROW()-6</f>
        <v/>
      </c>
      <c r="B732" s="85">
        <f>+MATCH(D732,ARTICULOS!$F$10:$F$699,0)</f>
        <v/>
      </c>
      <c r="C732" s="86">
        <f>+VLOOKUP(B732,ARTICULOS!$D$10:$I$699,6)</f>
        <v/>
      </c>
      <c r="D732" s="212" t="n"/>
      <c r="E732" s="75">
        <f>+C732&amp;F732</f>
        <v/>
      </c>
      <c r="F732" s="80" t="n"/>
      <c r="G732" s="81" t="n"/>
      <c r="H732" s="78" t="n"/>
      <c r="I732" s="78" t="n"/>
      <c r="J732" s="78" t="n"/>
    </row>
    <row r="733">
      <c r="A733" s="84">
        <f>ROW()-6</f>
        <v/>
      </c>
      <c r="B733" s="85">
        <f>+MATCH(D733,ARTICULOS!$F$10:$F$699,0)</f>
        <v/>
      </c>
      <c r="C733" s="86">
        <f>+VLOOKUP(B733,ARTICULOS!$D$10:$I$699,6)</f>
        <v/>
      </c>
      <c r="D733" s="212" t="n"/>
      <c r="E733" s="75">
        <f>+C733&amp;F733</f>
        <v/>
      </c>
      <c r="F733" s="80" t="n"/>
      <c r="G733" s="81" t="n"/>
      <c r="H733" s="78" t="n"/>
      <c r="I733" s="78" t="n"/>
      <c r="J733" s="78" t="n"/>
    </row>
    <row r="734">
      <c r="A734" s="84">
        <f>ROW()-6</f>
        <v/>
      </c>
      <c r="B734" s="85">
        <f>+MATCH(D734,ARTICULOS!$F$10:$F$699,0)</f>
        <v/>
      </c>
      <c r="C734" s="86">
        <f>+VLOOKUP(B734,ARTICULOS!$D$10:$I$699,6)</f>
        <v/>
      </c>
      <c r="D734" s="212" t="n"/>
      <c r="E734" s="75">
        <f>+C734&amp;F734</f>
        <v/>
      </c>
      <c r="F734" s="80" t="n"/>
      <c r="G734" s="81" t="n"/>
      <c r="H734" s="78" t="n"/>
      <c r="I734" s="78" t="n"/>
      <c r="J734" s="78" t="n"/>
    </row>
    <row r="735">
      <c r="A735" s="84">
        <f>ROW()-6</f>
        <v/>
      </c>
      <c r="B735" s="85">
        <f>+MATCH(D735,ARTICULOS!$F$10:$F$699,0)</f>
        <v/>
      </c>
      <c r="C735" s="86">
        <f>+VLOOKUP(B735,ARTICULOS!$D$10:$I$699,6)</f>
        <v/>
      </c>
      <c r="D735" s="212" t="n"/>
      <c r="E735" s="75">
        <f>+C735&amp;F735</f>
        <v/>
      </c>
      <c r="F735" s="80" t="n"/>
      <c r="G735" s="81" t="n"/>
      <c r="H735" s="78" t="n"/>
      <c r="I735" s="78" t="n"/>
      <c r="J735" s="78" t="n"/>
    </row>
    <row r="736">
      <c r="A736" s="84">
        <f>ROW()-6</f>
        <v/>
      </c>
      <c r="B736" s="85">
        <f>+MATCH(D736,ARTICULOS!$F$10:$F$699,0)</f>
        <v/>
      </c>
      <c r="C736" s="86">
        <f>+VLOOKUP(B736,ARTICULOS!$D$10:$I$699,6)</f>
        <v/>
      </c>
      <c r="D736" s="212" t="n"/>
      <c r="E736" s="75">
        <f>+C736&amp;F736</f>
        <v/>
      </c>
      <c r="F736" s="80" t="n"/>
      <c r="G736" s="81" t="n"/>
      <c r="H736" s="78" t="n"/>
      <c r="I736" s="78" t="n"/>
      <c r="J736" s="78" t="n"/>
    </row>
    <row r="737">
      <c r="A737" s="84">
        <f>ROW()-6</f>
        <v/>
      </c>
      <c r="B737" s="85">
        <f>+MATCH(D737,ARTICULOS!$F$10:$F$699,0)</f>
        <v/>
      </c>
      <c r="C737" s="86">
        <f>+VLOOKUP(B737,ARTICULOS!$D$10:$I$699,6)</f>
        <v/>
      </c>
      <c r="D737" s="212" t="n"/>
      <c r="E737" s="75">
        <f>+C737&amp;F737</f>
        <v/>
      </c>
      <c r="F737" s="80" t="n"/>
      <c r="G737" s="81" t="n"/>
      <c r="H737" s="78" t="n"/>
      <c r="I737" s="78" t="n"/>
      <c r="J737" s="78" t="n"/>
    </row>
    <row r="738">
      <c r="A738" s="84">
        <f>ROW()-6</f>
        <v/>
      </c>
      <c r="B738" s="85">
        <f>+MATCH(D738,ARTICULOS!$F$10:$F$699,0)</f>
        <v/>
      </c>
      <c r="C738" s="86">
        <f>+VLOOKUP(B738,ARTICULOS!$D$10:$I$699,6)</f>
        <v/>
      </c>
      <c r="D738" s="212" t="n"/>
      <c r="E738" s="75">
        <f>+C738&amp;F738</f>
        <v/>
      </c>
      <c r="F738" s="80" t="n"/>
      <c r="G738" s="81" t="n"/>
      <c r="H738" s="78" t="n"/>
      <c r="I738" s="78" t="n"/>
      <c r="J738" s="78" t="n"/>
    </row>
    <row r="739">
      <c r="A739" s="84">
        <f>ROW()-6</f>
        <v/>
      </c>
      <c r="B739" s="85">
        <f>+MATCH(D739,ARTICULOS!$F$10:$F$699,0)</f>
        <v/>
      </c>
      <c r="C739" s="86">
        <f>+VLOOKUP(B739,ARTICULOS!$D$10:$I$699,6)</f>
        <v/>
      </c>
      <c r="D739" s="212" t="n"/>
      <c r="E739" s="75">
        <f>+C739&amp;F739</f>
        <v/>
      </c>
      <c r="F739" s="80" t="n"/>
      <c r="G739" s="81" t="n"/>
      <c r="H739" s="78" t="n"/>
      <c r="I739" s="78" t="n"/>
      <c r="J739" s="78" t="n"/>
    </row>
    <row r="740">
      <c r="A740" s="84">
        <f>ROW()-6</f>
        <v/>
      </c>
      <c r="B740" s="85">
        <f>+MATCH(D740,ARTICULOS!$F$10:$F$699,0)</f>
        <v/>
      </c>
      <c r="C740" s="86">
        <f>+VLOOKUP(B740,ARTICULOS!$D$10:$I$699,6)</f>
        <v/>
      </c>
      <c r="D740" s="212" t="n"/>
      <c r="E740" s="75">
        <f>+C740&amp;F740</f>
        <v/>
      </c>
      <c r="F740" s="80" t="n"/>
      <c r="G740" s="81" t="n"/>
      <c r="H740" s="78" t="n"/>
      <c r="I740" s="78" t="n"/>
      <c r="J740" s="78" t="n"/>
    </row>
    <row r="741">
      <c r="A741" s="84">
        <f>ROW()-6</f>
        <v/>
      </c>
      <c r="B741" s="85">
        <f>+MATCH(D741,ARTICULOS!$F$10:$F$699,0)</f>
        <v/>
      </c>
      <c r="C741" s="86">
        <f>+VLOOKUP(B741,ARTICULOS!$D$10:$I$699,6)</f>
        <v/>
      </c>
      <c r="D741" s="212" t="n"/>
      <c r="E741" s="75">
        <f>+C741&amp;F741</f>
        <v/>
      </c>
      <c r="F741" s="80" t="n"/>
      <c r="G741" s="81" t="n"/>
      <c r="H741" s="78" t="n"/>
      <c r="I741" s="78" t="n"/>
      <c r="J741" s="78" t="n"/>
    </row>
    <row r="742">
      <c r="A742" s="84">
        <f>ROW()-6</f>
        <v/>
      </c>
      <c r="B742" s="85">
        <f>+MATCH(D742,ARTICULOS!$F$10:$F$699,0)</f>
        <v/>
      </c>
      <c r="C742" s="86">
        <f>+VLOOKUP(B742,ARTICULOS!$D$10:$I$699,6)</f>
        <v/>
      </c>
      <c r="D742" s="212" t="n"/>
      <c r="E742" s="75">
        <f>+C742&amp;F742</f>
        <v/>
      </c>
      <c r="F742" s="80" t="n"/>
      <c r="G742" s="81" t="n"/>
      <c r="H742" s="78" t="n"/>
      <c r="I742" s="78" t="n"/>
      <c r="J742" s="78" t="n"/>
    </row>
    <row r="743">
      <c r="A743" s="84">
        <f>ROW()-6</f>
        <v/>
      </c>
      <c r="B743" s="85">
        <f>+MATCH(D743,ARTICULOS!$F$10:$F$699,0)</f>
        <v/>
      </c>
      <c r="C743" s="86">
        <f>+VLOOKUP(B743,ARTICULOS!$D$10:$I$699,6)</f>
        <v/>
      </c>
      <c r="D743" s="212" t="n"/>
      <c r="E743" s="75">
        <f>+C743&amp;F743</f>
        <v/>
      </c>
      <c r="F743" s="80" t="n"/>
      <c r="G743" s="81" t="n"/>
      <c r="H743" s="78" t="n"/>
      <c r="I743" s="78" t="n"/>
      <c r="J743" s="78" t="n"/>
    </row>
    <row r="744">
      <c r="A744" s="84">
        <f>ROW()-6</f>
        <v/>
      </c>
      <c r="B744" s="85">
        <f>+MATCH(D744,ARTICULOS!$F$10:$F$699,0)</f>
        <v/>
      </c>
      <c r="C744" s="86">
        <f>+VLOOKUP(B744,ARTICULOS!$D$10:$I$699,6)</f>
        <v/>
      </c>
      <c r="D744" s="212" t="n"/>
      <c r="E744" s="75">
        <f>+C744&amp;F744</f>
        <v/>
      </c>
      <c r="F744" s="80" t="n"/>
      <c r="G744" s="81" t="n"/>
      <c r="H744" s="78" t="n"/>
      <c r="I744" s="78" t="n"/>
      <c r="J744" s="78" t="n"/>
    </row>
    <row r="745">
      <c r="A745" s="84">
        <f>ROW()-6</f>
        <v/>
      </c>
      <c r="B745" s="85">
        <f>+MATCH(D745,ARTICULOS!$F$10:$F$699,0)</f>
        <v/>
      </c>
      <c r="C745" s="86">
        <f>+VLOOKUP(B745,ARTICULOS!$D$10:$I$699,6)</f>
        <v/>
      </c>
      <c r="D745" s="212" t="n"/>
      <c r="E745" s="75">
        <f>+C745&amp;F745</f>
        <v/>
      </c>
      <c r="F745" s="80" t="n"/>
      <c r="G745" s="81" t="n"/>
      <c r="H745" s="78" t="n"/>
      <c r="I745" s="78" t="n"/>
      <c r="J745" s="78" t="n"/>
    </row>
    <row r="746">
      <c r="A746" s="84">
        <f>ROW()-6</f>
        <v/>
      </c>
      <c r="B746" s="85">
        <f>+MATCH(D746,ARTICULOS!$F$10:$F$699,0)</f>
        <v/>
      </c>
      <c r="C746" s="86">
        <f>+VLOOKUP(B746,ARTICULOS!$D$10:$I$699,6)</f>
        <v/>
      </c>
      <c r="D746" s="212" t="n"/>
      <c r="E746" s="75">
        <f>+C746&amp;F746</f>
        <v/>
      </c>
      <c r="F746" s="80" t="n"/>
      <c r="G746" s="81" t="n"/>
      <c r="H746" s="78" t="n"/>
      <c r="I746" s="78" t="n"/>
      <c r="J746" s="78" t="n"/>
    </row>
    <row r="747">
      <c r="A747" s="84">
        <f>ROW()-6</f>
        <v/>
      </c>
      <c r="B747" s="85">
        <f>+MATCH(D747,ARTICULOS!$F$10:$F$699,0)</f>
        <v/>
      </c>
      <c r="C747" s="86">
        <f>+VLOOKUP(B747,ARTICULOS!$D$10:$I$699,6)</f>
        <v/>
      </c>
      <c r="D747" s="212" t="n"/>
      <c r="E747" s="75">
        <f>+C747&amp;F747</f>
        <v/>
      </c>
      <c r="F747" s="80" t="n"/>
      <c r="G747" s="81" t="n"/>
      <c r="H747" s="78" t="n"/>
      <c r="I747" s="78" t="n"/>
      <c r="J747" s="78" t="n"/>
    </row>
    <row r="748">
      <c r="A748" s="84">
        <f>ROW()-6</f>
        <v/>
      </c>
      <c r="B748" s="85">
        <f>+MATCH(D748,ARTICULOS!$F$10:$F$699,0)</f>
        <v/>
      </c>
      <c r="C748" s="86">
        <f>+VLOOKUP(B748,ARTICULOS!$D$10:$I$699,6)</f>
        <v/>
      </c>
      <c r="D748" s="212" t="n"/>
      <c r="E748" s="75">
        <f>+C748&amp;F748</f>
        <v/>
      </c>
      <c r="F748" s="80" t="n"/>
      <c r="G748" s="81" t="n"/>
      <c r="H748" s="78" t="n"/>
      <c r="I748" s="78" t="n"/>
      <c r="J748" s="78" t="n"/>
    </row>
    <row r="749">
      <c r="A749" s="84">
        <f>ROW()-6</f>
        <v/>
      </c>
      <c r="B749" s="85">
        <f>+MATCH(D749,ARTICULOS!$F$10:$F$699,0)</f>
        <v/>
      </c>
      <c r="C749" s="86">
        <f>+VLOOKUP(B749,ARTICULOS!$D$10:$I$699,6)</f>
        <v/>
      </c>
      <c r="D749" s="212" t="n"/>
      <c r="E749" s="75">
        <f>+C749&amp;F749</f>
        <v/>
      </c>
      <c r="F749" s="80" t="n"/>
      <c r="G749" s="81" t="n"/>
      <c r="H749" s="78" t="n"/>
      <c r="I749" s="78" t="n"/>
      <c r="J749" s="78" t="n"/>
    </row>
    <row r="750">
      <c r="A750" s="84">
        <f>ROW()-6</f>
        <v/>
      </c>
      <c r="B750" s="85">
        <f>+MATCH(D750,ARTICULOS!$F$10:$F$699,0)</f>
        <v/>
      </c>
      <c r="C750" s="86">
        <f>+VLOOKUP(B750,ARTICULOS!$D$10:$I$699,6)</f>
        <v/>
      </c>
      <c r="D750" s="212" t="n"/>
      <c r="E750" s="75">
        <f>+C750&amp;F750</f>
        <v/>
      </c>
      <c r="F750" s="80" t="n"/>
      <c r="G750" s="81" t="n"/>
      <c r="H750" s="78" t="n"/>
      <c r="I750" s="78" t="n"/>
      <c r="J750" s="78" t="n"/>
    </row>
    <row r="751">
      <c r="A751" s="84">
        <f>ROW()-6</f>
        <v/>
      </c>
      <c r="B751" s="85">
        <f>+MATCH(D751,ARTICULOS!$F$10:$F$699,0)</f>
        <v/>
      </c>
      <c r="C751" s="86">
        <f>+VLOOKUP(B751,ARTICULOS!$D$10:$I$699,6)</f>
        <v/>
      </c>
      <c r="D751" s="212" t="n"/>
      <c r="E751" s="75">
        <f>+C751&amp;F751</f>
        <v/>
      </c>
      <c r="F751" s="80" t="n"/>
      <c r="G751" s="81" t="n"/>
      <c r="H751" s="78" t="n"/>
      <c r="I751" s="78" t="n"/>
      <c r="J751" s="78" t="n"/>
    </row>
    <row r="752">
      <c r="A752" s="84">
        <f>ROW()-6</f>
        <v/>
      </c>
      <c r="B752" s="85">
        <f>+MATCH(D752,ARTICULOS!$F$10:$F$699,0)</f>
        <v/>
      </c>
      <c r="C752" s="86">
        <f>+VLOOKUP(B752,ARTICULOS!$D$10:$I$699,6)</f>
        <v/>
      </c>
      <c r="D752" s="212" t="n"/>
      <c r="E752" s="75">
        <f>+C752&amp;F752</f>
        <v/>
      </c>
      <c r="F752" s="80" t="n"/>
      <c r="G752" s="81" t="n"/>
      <c r="H752" s="78" t="n"/>
      <c r="I752" s="78" t="n"/>
      <c r="J752" s="78" t="n"/>
    </row>
    <row r="753">
      <c r="A753" s="84">
        <f>ROW()-6</f>
        <v/>
      </c>
      <c r="B753" s="85">
        <f>+MATCH(D753,ARTICULOS!$F$10:$F$699,0)</f>
        <v/>
      </c>
      <c r="C753" s="86">
        <f>+VLOOKUP(B753,ARTICULOS!$D$10:$I$699,6)</f>
        <v/>
      </c>
      <c r="D753" s="212" t="n"/>
      <c r="E753" s="75">
        <f>+C753&amp;F753</f>
        <v/>
      </c>
      <c r="F753" s="80" t="n"/>
      <c r="G753" s="81" t="n"/>
      <c r="H753" s="78" t="n"/>
      <c r="I753" s="78" t="n"/>
      <c r="J753" s="78" t="n"/>
    </row>
    <row r="754">
      <c r="A754" s="84">
        <f>ROW()-6</f>
        <v/>
      </c>
      <c r="B754" s="85">
        <f>+MATCH(D754,ARTICULOS!$F$10:$F$699,0)</f>
        <v/>
      </c>
      <c r="C754" s="86">
        <f>+VLOOKUP(B754,ARTICULOS!$D$10:$I$699,6)</f>
        <v/>
      </c>
      <c r="D754" s="212" t="n"/>
      <c r="E754" s="75">
        <f>+C754&amp;F754</f>
        <v/>
      </c>
      <c r="F754" s="80" t="n"/>
      <c r="G754" s="81" t="n"/>
      <c r="H754" s="78" t="n"/>
      <c r="I754" s="78" t="n"/>
      <c r="J754" s="78" t="n"/>
    </row>
    <row r="755">
      <c r="A755" s="84">
        <f>ROW()-6</f>
        <v/>
      </c>
      <c r="B755" s="85">
        <f>+MATCH(D755,ARTICULOS!$F$10:$F$699,0)</f>
        <v/>
      </c>
      <c r="C755" s="86">
        <f>+VLOOKUP(B755,ARTICULOS!$D$10:$I$699,6)</f>
        <v/>
      </c>
      <c r="D755" s="212" t="n"/>
      <c r="E755" s="75">
        <f>+C755&amp;F755</f>
        <v/>
      </c>
      <c r="F755" s="80" t="n"/>
      <c r="G755" s="81" t="n"/>
      <c r="H755" s="78" t="n"/>
      <c r="I755" s="78" t="n"/>
      <c r="J755" s="78" t="n"/>
    </row>
    <row r="756">
      <c r="A756" s="84">
        <f>ROW()-6</f>
        <v/>
      </c>
      <c r="B756" s="85">
        <f>+MATCH(D756,ARTICULOS!$F$10:$F$699,0)</f>
        <v/>
      </c>
      <c r="C756" s="86">
        <f>+VLOOKUP(B756,ARTICULOS!$D$10:$I$699,6)</f>
        <v/>
      </c>
      <c r="D756" s="212" t="n"/>
      <c r="E756" s="75">
        <f>+C756&amp;F756</f>
        <v/>
      </c>
      <c r="F756" s="80" t="n"/>
      <c r="G756" s="81" t="n"/>
      <c r="H756" s="78" t="n"/>
      <c r="I756" s="78" t="n"/>
      <c r="J756" s="78" t="n"/>
    </row>
    <row r="757">
      <c r="A757" s="84">
        <f>ROW()-6</f>
        <v/>
      </c>
      <c r="B757" s="85">
        <f>+MATCH(D757,ARTICULOS!$F$10:$F$699,0)</f>
        <v/>
      </c>
      <c r="C757" s="86">
        <f>+VLOOKUP(B757,ARTICULOS!$D$10:$I$699,6)</f>
        <v/>
      </c>
      <c r="D757" s="212" t="n"/>
      <c r="E757" s="75">
        <f>+C757&amp;F757</f>
        <v/>
      </c>
      <c r="F757" s="80" t="n"/>
      <c r="G757" s="81" t="n"/>
      <c r="H757" s="78" t="n"/>
      <c r="I757" s="78" t="n"/>
      <c r="J757" s="78" t="n"/>
    </row>
    <row r="758">
      <c r="A758" s="84">
        <f>ROW()-6</f>
        <v/>
      </c>
      <c r="B758" s="85">
        <f>+MATCH(D758,ARTICULOS!$F$10:$F$699,0)</f>
        <v/>
      </c>
      <c r="C758" s="86">
        <f>+VLOOKUP(B758,ARTICULOS!$D$10:$I$699,6)</f>
        <v/>
      </c>
      <c r="D758" s="212" t="n"/>
      <c r="E758" s="75">
        <f>+C758&amp;F758</f>
        <v/>
      </c>
      <c r="F758" s="80" t="n"/>
      <c r="G758" s="81" t="n"/>
      <c r="H758" s="78" t="n"/>
      <c r="I758" s="78" t="n"/>
      <c r="J758" s="78" t="n"/>
    </row>
    <row r="759">
      <c r="A759" s="84">
        <f>ROW()-6</f>
        <v/>
      </c>
      <c r="B759" s="85">
        <f>+MATCH(D759,ARTICULOS!$F$10:$F$699,0)</f>
        <v/>
      </c>
      <c r="C759" s="86">
        <f>+VLOOKUP(B759,ARTICULOS!$D$10:$I$699,6)</f>
        <v/>
      </c>
      <c r="D759" s="212" t="n"/>
      <c r="E759" s="75">
        <f>+C759&amp;F759</f>
        <v/>
      </c>
      <c r="F759" s="80" t="n"/>
      <c r="G759" s="81" t="n"/>
      <c r="H759" s="78" t="n"/>
      <c r="I759" s="78" t="n"/>
      <c r="J759" s="78" t="n"/>
    </row>
    <row r="760">
      <c r="A760" s="84">
        <f>ROW()-6</f>
        <v/>
      </c>
      <c r="B760" s="85">
        <f>+MATCH(D760,ARTICULOS!$F$10:$F$699,0)</f>
        <v/>
      </c>
      <c r="C760" s="86">
        <f>+VLOOKUP(B760,ARTICULOS!$D$10:$I$699,6)</f>
        <v/>
      </c>
      <c r="D760" s="212" t="n"/>
      <c r="E760" s="75">
        <f>+C760&amp;F760</f>
        <v/>
      </c>
      <c r="F760" s="80" t="n"/>
      <c r="G760" s="81" t="n"/>
      <c r="H760" s="78" t="n"/>
      <c r="I760" s="78" t="n"/>
      <c r="J760" s="78" t="n"/>
    </row>
    <row r="761">
      <c r="A761" s="84">
        <f>ROW()-6</f>
        <v/>
      </c>
      <c r="B761" s="85">
        <f>+MATCH(D761,ARTICULOS!$F$10:$F$699,0)</f>
        <v/>
      </c>
      <c r="C761" s="86">
        <f>+VLOOKUP(B761,ARTICULOS!$D$10:$I$699,6)</f>
        <v/>
      </c>
      <c r="D761" s="212" t="n"/>
      <c r="E761" s="75">
        <f>+C761&amp;F761</f>
        <v/>
      </c>
      <c r="F761" s="80" t="n"/>
      <c r="G761" s="81" t="n"/>
      <c r="H761" s="78" t="n"/>
      <c r="I761" s="78" t="n"/>
      <c r="J761" s="78" t="n"/>
    </row>
    <row r="762">
      <c r="A762" s="84">
        <f>ROW()-6</f>
        <v/>
      </c>
      <c r="B762" s="85">
        <f>+MATCH(D762,ARTICULOS!$F$10:$F$699,0)</f>
        <v/>
      </c>
      <c r="C762" s="86">
        <f>+VLOOKUP(B762,ARTICULOS!$D$10:$I$699,6)</f>
        <v/>
      </c>
      <c r="D762" s="212" t="n"/>
      <c r="E762" s="75">
        <f>+C762&amp;F762</f>
        <v/>
      </c>
      <c r="F762" s="80" t="n"/>
      <c r="G762" s="81" t="n"/>
      <c r="H762" s="78" t="n"/>
      <c r="I762" s="78" t="n"/>
      <c r="J762" s="78" t="n"/>
    </row>
    <row r="763">
      <c r="A763" s="84">
        <f>ROW()-6</f>
        <v/>
      </c>
      <c r="B763" s="85">
        <f>+MATCH(D763,ARTICULOS!$F$10:$F$699,0)</f>
        <v/>
      </c>
      <c r="C763" s="86">
        <f>+VLOOKUP(B763,ARTICULOS!$D$10:$I$699,6)</f>
        <v/>
      </c>
      <c r="D763" s="212" t="n"/>
      <c r="E763" s="75">
        <f>+C763&amp;F763</f>
        <v/>
      </c>
      <c r="F763" s="80" t="n"/>
      <c r="G763" s="81" t="n"/>
      <c r="H763" s="78" t="n"/>
      <c r="I763" s="78" t="n"/>
      <c r="J763" s="78" t="n"/>
    </row>
    <row r="764">
      <c r="A764" s="84">
        <f>ROW()-6</f>
        <v/>
      </c>
      <c r="B764" s="85">
        <f>+MATCH(D764,ARTICULOS!$F$10:$F$699,0)</f>
        <v/>
      </c>
      <c r="C764" s="86">
        <f>+VLOOKUP(B764,ARTICULOS!$D$10:$I$699,6)</f>
        <v/>
      </c>
      <c r="D764" s="212" t="n"/>
      <c r="E764" s="75">
        <f>+C764&amp;F764</f>
        <v/>
      </c>
      <c r="F764" s="80" t="n"/>
      <c r="G764" s="81" t="n"/>
      <c r="H764" s="78" t="n"/>
      <c r="I764" s="78" t="n"/>
      <c r="J764" s="78" t="n"/>
    </row>
    <row r="765">
      <c r="A765" s="84">
        <f>ROW()-6</f>
        <v/>
      </c>
      <c r="B765" s="85">
        <f>+MATCH(D765,ARTICULOS!$F$10:$F$699,0)</f>
        <v/>
      </c>
      <c r="C765" s="86">
        <f>+VLOOKUP(B765,ARTICULOS!$D$10:$I$699,6)</f>
        <v/>
      </c>
      <c r="D765" s="212" t="n"/>
      <c r="E765" s="75">
        <f>+C765&amp;F765</f>
        <v/>
      </c>
      <c r="F765" s="80" t="n"/>
      <c r="G765" s="81" t="n"/>
      <c r="H765" s="78" t="n"/>
      <c r="I765" s="78" t="n"/>
      <c r="J765" s="78" t="n"/>
    </row>
    <row r="766">
      <c r="A766" s="84">
        <f>ROW()-6</f>
        <v/>
      </c>
      <c r="B766" s="85">
        <f>+MATCH(D766,ARTICULOS!$F$10:$F$699,0)</f>
        <v/>
      </c>
      <c r="C766" s="86">
        <f>+VLOOKUP(B766,ARTICULOS!$D$10:$I$699,6)</f>
        <v/>
      </c>
      <c r="D766" s="212" t="n"/>
      <c r="E766" s="75">
        <f>+C766&amp;F766</f>
        <v/>
      </c>
      <c r="F766" s="80" t="n"/>
      <c r="G766" s="81" t="n"/>
      <c r="H766" s="78" t="n"/>
      <c r="I766" s="78" t="n"/>
      <c r="J766" s="78" t="n"/>
    </row>
    <row r="767">
      <c r="A767" s="84">
        <f>ROW()-6</f>
        <v/>
      </c>
      <c r="B767" s="85">
        <f>+MATCH(D767,ARTICULOS!$F$10:$F$699,0)</f>
        <v/>
      </c>
      <c r="C767" s="86">
        <f>+VLOOKUP(B767,ARTICULOS!$D$10:$I$699,6)</f>
        <v/>
      </c>
      <c r="D767" s="212" t="n"/>
      <c r="E767" s="75">
        <f>+C767&amp;F767</f>
        <v/>
      </c>
      <c r="F767" s="80" t="n"/>
      <c r="G767" s="81" t="n"/>
      <c r="H767" s="78" t="n"/>
      <c r="I767" s="78" t="n"/>
      <c r="J767" s="78" t="n"/>
    </row>
    <row r="768">
      <c r="A768" s="84">
        <f>ROW()-6</f>
        <v/>
      </c>
      <c r="B768" s="85">
        <f>+MATCH(D768,ARTICULOS!$F$10:$F$699,0)</f>
        <v/>
      </c>
      <c r="C768" s="86">
        <f>+VLOOKUP(B768,ARTICULOS!$D$10:$I$699,6)</f>
        <v/>
      </c>
      <c r="D768" s="212" t="n"/>
      <c r="E768" s="75">
        <f>+C768&amp;F768</f>
        <v/>
      </c>
      <c r="F768" s="80" t="n"/>
      <c r="G768" s="81" t="n"/>
      <c r="H768" s="78" t="n"/>
      <c r="I768" s="78" t="n"/>
      <c r="J768" s="78" t="n"/>
    </row>
    <row r="769">
      <c r="A769" s="84">
        <f>ROW()-6</f>
        <v/>
      </c>
      <c r="B769" s="85">
        <f>+MATCH(D769,ARTICULOS!$F$10:$F$699,0)</f>
        <v/>
      </c>
      <c r="C769" s="86">
        <f>+VLOOKUP(B769,ARTICULOS!$D$10:$I$699,6)</f>
        <v/>
      </c>
      <c r="D769" s="212" t="n"/>
      <c r="E769" s="75">
        <f>+C769&amp;F769</f>
        <v/>
      </c>
      <c r="F769" s="80" t="n"/>
      <c r="G769" s="81" t="n"/>
      <c r="H769" s="78" t="n"/>
      <c r="I769" s="78" t="n"/>
      <c r="J769" s="78" t="n"/>
    </row>
    <row r="770">
      <c r="A770" s="84">
        <f>ROW()-6</f>
        <v/>
      </c>
      <c r="B770" s="85">
        <f>+MATCH(D770,ARTICULOS!$F$10:$F$699,0)</f>
        <v/>
      </c>
      <c r="C770" s="86">
        <f>+VLOOKUP(B770,ARTICULOS!$D$10:$I$699,6)</f>
        <v/>
      </c>
      <c r="D770" s="212" t="n"/>
      <c r="E770" s="75">
        <f>+C770&amp;F770</f>
        <v/>
      </c>
      <c r="F770" s="80" t="n"/>
      <c r="G770" s="81" t="n"/>
      <c r="H770" s="78" t="n"/>
      <c r="I770" s="78" t="n"/>
      <c r="J770" s="78" t="n"/>
    </row>
    <row r="771">
      <c r="A771" s="84">
        <f>ROW()-6</f>
        <v/>
      </c>
      <c r="B771" s="85">
        <f>+MATCH(D771,ARTICULOS!$F$10:$F$699,0)</f>
        <v/>
      </c>
      <c r="C771" s="86">
        <f>+VLOOKUP(B771,ARTICULOS!$D$10:$I$699,6)</f>
        <v/>
      </c>
      <c r="D771" s="212" t="n"/>
      <c r="E771" s="75">
        <f>+C771&amp;F771</f>
        <v/>
      </c>
      <c r="F771" s="80" t="n"/>
      <c r="G771" s="81" t="n"/>
      <c r="H771" s="78" t="n"/>
      <c r="I771" s="78" t="n"/>
      <c r="J771" s="78" t="n"/>
    </row>
    <row r="772">
      <c r="A772" s="84">
        <f>ROW()-6</f>
        <v/>
      </c>
      <c r="B772" s="85">
        <f>+MATCH(D772,ARTICULOS!$F$10:$F$699,0)</f>
        <v/>
      </c>
      <c r="C772" s="86">
        <f>+VLOOKUP(B772,ARTICULOS!$D$10:$I$699,6)</f>
        <v/>
      </c>
      <c r="D772" s="212" t="n"/>
      <c r="E772" s="75">
        <f>+C772&amp;F772</f>
        <v/>
      </c>
      <c r="F772" s="80" t="n"/>
      <c r="G772" s="81" t="n"/>
      <c r="H772" s="78" t="n"/>
      <c r="I772" s="78" t="n"/>
      <c r="J772" s="78" t="n"/>
    </row>
    <row r="773">
      <c r="A773" s="84">
        <f>ROW()-6</f>
        <v/>
      </c>
      <c r="B773" s="85">
        <f>+MATCH(D773,ARTICULOS!$F$10:$F$699,0)</f>
        <v/>
      </c>
      <c r="C773" s="86">
        <f>+VLOOKUP(B773,ARTICULOS!$D$10:$I$699,6)</f>
        <v/>
      </c>
      <c r="D773" s="212" t="n"/>
      <c r="E773" s="75">
        <f>+C773&amp;F773</f>
        <v/>
      </c>
      <c r="F773" s="80" t="n"/>
      <c r="G773" s="81" t="n"/>
      <c r="H773" s="78" t="n"/>
      <c r="I773" s="78" t="n"/>
      <c r="J773" s="78" t="n"/>
    </row>
    <row r="774">
      <c r="A774" s="84">
        <f>ROW()-6</f>
        <v/>
      </c>
      <c r="B774" s="85">
        <f>+MATCH(D774,ARTICULOS!$F$10:$F$699,0)</f>
        <v/>
      </c>
      <c r="C774" s="86">
        <f>+VLOOKUP(B774,ARTICULOS!$D$10:$I$699,6)</f>
        <v/>
      </c>
      <c r="D774" s="212" t="n"/>
      <c r="E774" s="75">
        <f>+C774&amp;F774</f>
        <v/>
      </c>
      <c r="F774" s="80" t="n"/>
      <c r="G774" s="81" t="n"/>
      <c r="H774" s="78" t="n"/>
      <c r="I774" s="78" t="n"/>
      <c r="J774" s="78" t="n"/>
    </row>
    <row r="775">
      <c r="A775" s="84">
        <f>ROW()-6</f>
        <v/>
      </c>
      <c r="B775" s="85">
        <f>+MATCH(D775,ARTICULOS!$F$10:$F$699,0)</f>
        <v/>
      </c>
      <c r="C775" s="86">
        <f>+VLOOKUP(B775,ARTICULOS!$D$10:$I$699,6)</f>
        <v/>
      </c>
      <c r="D775" s="212" t="n"/>
      <c r="E775" s="75">
        <f>+C775&amp;F775</f>
        <v/>
      </c>
      <c r="F775" s="80" t="n"/>
      <c r="G775" s="81" t="n"/>
      <c r="H775" s="78" t="n"/>
      <c r="I775" s="78" t="n"/>
      <c r="J775" s="78" t="n"/>
    </row>
    <row r="776">
      <c r="A776" s="84">
        <f>ROW()-6</f>
        <v/>
      </c>
      <c r="B776" s="85">
        <f>+MATCH(D776,ARTICULOS!$F$10:$F$699,0)</f>
        <v/>
      </c>
      <c r="C776" s="86">
        <f>+VLOOKUP(B776,ARTICULOS!$D$10:$I$699,6)</f>
        <v/>
      </c>
      <c r="D776" s="212" t="n"/>
      <c r="E776" s="75">
        <f>+C776&amp;F776</f>
        <v/>
      </c>
      <c r="F776" s="80" t="n"/>
      <c r="G776" s="81" t="n"/>
      <c r="H776" s="78" t="n"/>
      <c r="I776" s="78" t="n"/>
      <c r="J776" s="78" t="n"/>
    </row>
    <row r="777">
      <c r="A777" s="84">
        <f>ROW()-6</f>
        <v/>
      </c>
      <c r="B777" s="85">
        <f>+MATCH(D777,ARTICULOS!$F$10:$F$699,0)</f>
        <v/>
      </c>
      <c r="C777" s="86">
        <f>+VLOOKUP(B777,ARTICULOS!$D$10:$I$699,6)</f>
        <v/>
      </c>
      <c r="D777" s="212" t="n"/>
      <c r="E777" s="75">
        <f>+C777&amp;F777</f>
        <v/>
      </c>
      <c r="F777" s="80" t="n"/>
      <c r="G777" s="81" t="n"/>
      <c r="H777" s="78" t="n"/>
      <c r="I777" s="78" t="n"/>
      <c r="J777" s="78" t="n"/>
    </row>
    <row r="778">
      <c r="A778" s="84">
        <f>ROW()-6</f>
        <v/>
      </c>
      <c r="B778" s="85">
        <f>+MATCH(D778,ARTICULOS!$F$10:$F$699,0)</f>
        <v/>
      </c>
      <c r="C778" s="86">
        <f>+VLOOKUP(B778,ARTICULOS!$D$10:$I$699,6)</f>
        <v/>
      </c>
      <c r="D778" s="212" t="n"/>
      <c r="E778" s="75">
        <f>+C778&amp;F778</f>
        <v/>
      </c>
      <c r="F778" s="80" t="n"/>
      <c r="G778" s="81" t="n"/>
      <c r="H778" s="78" t="n"/>
      <c r="I778" s="78" t="n"/>
      <c r="J778" s="78" t="n"/>
    </row>
    <row r="779">
      <c r="A779" s="84">
        <f>ROW()-6</f>
        <v/>
      </c>
      <c r="B779" s="85">
        <f>+MATCH(D779,ARTICULOS!$F$10:$F$699,0)</f>
        <v/>
      </c>
      <c r="C779" s="86">
        <f>+VLOOKUP(B779,ARTICULOS!$D$10:$I$699,6)</f>
        <v/>
      </c>
      <c r="D779" s="212" t="n"/>
      <c r="E779" s="75">
        <f>+C779&amp;F779</f>
        <v/>
      </c>
      <c r="F779" s="80" t="n"/>
      <c r="G779" s="81" t="n"/>
      <c r="H779" s="78" t="n"/>
      <c r="I779" s="78" t="n"/>
      <c r="J779" s="78" t="n"/>
    </row>
    <row r="780">
      <c r="A780" s="84">
        <f>ROW()-6</f>
        <v/>
      </c>
      <c r="B780" s="85">
        <f>+MATCH(D780,ARTICULOS!$F$10:$F$699,0)</f>
        <v/>
      </c>
      <c r="C780" s="86">
        <f>+VLOOKUP(B780,ARTICULOS!$D$10:$I$699,6)</f>
        <v/>
      </c>
      <c r="D780" s="212" t="n"/>
      <c r="E780" s="75">
        <f>+C780&amp;F780</f>
        <v/>
      </c>
      <c r="F780" s="80" t="n"/>
      <c r="G780" s="81" t="n"/>
      <c r="H780" s="78" t="n"/>
      <c r="I780" s="78" t="n"/>
      <c r="J780" s="78" t="n"/>
    </row>
    <row r="781">
      <c r="A781" s="84">
        <f>ROW()-6</f>
        <v/>
      </c>
      <c r="B781" s="85">
        <f>+MATCH(D781,ARTICULOS!$F$10:$F$699,0)</f>
        <v/>
      </c>
      <c r="C781" s="86">
        <f>+VLOOKUP(B781,ARTICULOS!$D$10:$I$699,6)</f>
        <v/>
      </c>
      <c r="D781" s="212" t="n"/>
      <c r="E781" s="75">
        <f>+C781&amp;F781</f>
        <v/>
      </c>
      <c r="F781" s="80" t="n"/>
      <c r="G781" s="81" t="n"/>
      <c r="H781" s="78" t="n"/>
      <c r="I781" s="78" t="n"/>
      <c r="J781" s="78" t="n"/>
    </row>
    <row r="782">
      <c r="A782" s="84">
        <f>ROW()-6</f>
        <v/>
      </c>
      <c r="B782" s="85">
        <f>+MATCH(D782,ARTICULOS!$F$10:$F$699,0)</f>
        <v/>
      </c>
      <c r="C782" s="86">
        <f>+VLOOKUP(B782,ARTICULOS!$D$10:$I$699,6)</f>
        <v/>
      </c>
      <c r="D782" s="212" t="n"/>
      <c r="E782" s="75">
        <f>+C782&amp;F782</f>
        <v/>
      </c>
      <c r="F782" s="80" t="n"/>
      <c r="G782" s="81" t="n"/>
      <c r="H782" s="78" t="n"/>
      <c r="I782" s="78" t="n"/>
      <c r="J782" s="78" t="n"/>
    </row>
    <row r="783">
      <c r="A783" s="84">
        <f>ROW()-6</f>
        <v/>
      </c>
      <c r="B783" s="85">
        <f>+MATCH(D783,ARTICULOS!$F$10:$F$699,0)</f>
        <v/>
      </c>
      <c r="C783" s="86">
        <f>+VLOOKUP(B783,ARTICULOS!$D$10:$I$699,6)</f>
        <v/>
      </c>
      <c r="D783" s="212" t="n"/>
      <c r="E783" s="75">
        <f>+C783&amp;F783</f>
        <v/>
      </c>
      <c r="F783" s="80" t="n"/>
      <c r="G783" s="81" t="n"/>
      <c r="H783" s="78" t="n"/>
      <c r="I783" s="78" t="n"/>
      <c r="J783" s="78" t="n"/>
    </row>
    <row r="784">
      <c r="A784" s="84">
        <f>ROW()-6</f>
        <v/>
      </c>
      <c r="B784" s="85">
        <f>+MATCH(D784,ARTICULOS!$F$10:$F$699,0)</f>
        <v/>
      </c>
      <c r="C784" s="86">
        <f>+VLOOKUP(B784,ARTICULOS!$D$10:$I$699,6)</f>
        <v/>
      </c>
      <c r="D784" s="212" t="n"/>
      <c r="E784" s="75">
        <f>+C784&amp;F784</f>
        <v/>
      </c>
      <c r="F784" s="80" t="n"/>
      <c r="G784" s="81" t="n"/>
      <c r="H784" s="78" t="n"/>
      <c r="I784" s="78" t="n"/>
      <c r="J784" s="78" t="n"/>
    </row>
    <row r="785">
      <c r="A785" s="84">
        <f>ROW()-6</f>
        <v/>
      </c>
      <c r="B785" s="85">
        <f>+MATCH(D785,ARTICULOS!$F$10:$F$699,0)</f>
        <v/>
      </c>
      <c r="C785" s="86">
        <f>+VLOOKUP(B785,ARTICULOS!$D$10:$I$699,6)</f>
        <v/>
      </c>
      <c r="D785" s="212" t="n"/>
      <c r="E785" s="75">
        <f>+C785&amp;F785</f>
        <v/>
      </c>
      <c r="F785" s="80" t="n"/>
      <c r="G785" s="81" t="n"/>
      <c r="H785" s="78" t="n"/>
      <c r="I785" s="78" t="n"/>
      <c r="J785" s="78" t="n"/>
    </row>
    <row r="786">
      <c r="A786" s="84">
        <f>ROW()-6</f>
        <v/>
      </c>
      <c r="B786" s="85">
        <f>+MATCH(D786,ARTICULOS!$F$10:$F$699,0)</f>
        <v/>
      </c>
      <c r="C786" s="86">
        <f>+VLOOKUP(B786,ARTICULOS!$D$10:$I$699,6)</f>
        <v/>
      </c>
      <c r="D786" s="212" t="n"/>
      <c r="E786" s="75">
        <f>+C786&amp;F786</f>
        <v/>
      </c>
      <c r="F786" s="80" t="n"/>
      <c r="G786" s="81" t="n"/>
      <c r="H786" s="78" t="n"/>
      <c r="I786" s="78" t="n"/>
      <c r="J786" s="78" t="n"/>
    </row>
    <row r="787">
      <c r="A787" s="84">
        <f>ROW()-6</f>
        <v/>
      </c>
      <c r="B787" s="85">
        <f>+MATCH(D787,ARTICULOS!$F$10:$F$699,0)</f>
        <v/>
      </c>
      <c r="C787" s="86">
        <f>+VLOOKUP(B787,ARTICULOS!$D$10:$I$699,6)</f>
        <v/>
      </c>
      <c r="D787" s="212" t="n"/>
      <c r="E787" s="75">
        <f>+C787&amp;F787</f>
        <v/>
      </c>
      <c r="F787" s="80" t="n"/>
      <c r="G787" s="81" t="n"/>
      <c r="H787" s="78" t="n"/>
      <c r="I787" s="78" t="n"/>
      <c r="J787" s="78" t="n"/>
    </row>
    <row r="788">
      <c r="A788" s="84">
        <f>ROW()-6</f>
        <v/>
      </c>
      <c r="B788" s="85">
        <f>+MATCH(D788,ARTICULOS!$F$10:$F$699,0)</f>
        <v/>
      </c>
      <c r="C788" s="86">
        <f>+VLOOKUP(B788,ARTICULOS!$D$10:$I$699,6)</f>
        <v/>
      </c>
      <c r="D788" s="212" t="n"/>
      <c r="E788" s="75">
        <f>+C788&amp;F788</f>
        <v/>
      </c>
      <c r="F788" s="80" t="n"/>
      <c r="G788" s="81" t="n"/>
      <c r="H788" s="78" t="n"/>
      <c r="I788" s="78" t="n"/>
      <c r="J788" s="78" t="n"/>
    </row>
    <row r="789">
      <c r="A789" s="84">
        <f>ROW()-6</f>
        <v/>
      </c>
      <c r="B789" s="85">
        <f>+MATCH(D789,ARTICULOS!$F$10:$F$699,0)</f>
        <v/>
      </c>
      <c r="C789" s="86">
        <f>+VLOOKUP(B789,ARTICULOS!$D$10:$I$699,6)</f>
        <v/>
      </c>
      <c r="D789" s="212" t="n"/>
      <c r="E789" s="75">
        <f>+C789&amp;F789</f>
        <v/>
      </c>
      <c r="F789" s="80" t="n"/>
      <c r="G789" s="81" t="n"/>
      <c r="H789" s="78" t="n"/>
      <c r="I789" s="78" t="n"/>
      <c r="J789" s="78" t="n"/>
    </row>
    <row r="790">
      <c r="A790" s="84">
        <f>ROW()-6</f>
        <v/>
      </c>
      <c r="B790" s="85">
        <f>+MATCH(D790,ARTICULOS!$F$10:$F$699,0)</f>
        <v/>
      </c>
      <c r="C790" s="86">
        <f>+VLOOKUP(B790,ARTICULOS!$D$10:$I$699,6)</f>
        <v/>
      </c>
      <c r="D790" s="212" t="n"/>
      <c r="E790" s="75">
        <f>+C790&amp;F790</f>
        <v/>
      </c>
      <c r="F790" s="80" t="n"/>
      <c r="G790" s="81" t="n"/>
      <c r="H790" s="78" t="n"/>
      <c r="I790" s="78" t="n"/>
      <c r="J790" s="78" t="n"/>
    </row>
    <row r="791">
      <c r="A791" s="84">
        <f>ROW()-6</f>
        <v/>
      </c>
      <c r="B791" s="85">
        <f>+MATCH(D791,ARTICULOS!$F$10:$F$699,0)</f>
        <v/>
      </c>
      <c r="C791" s="86">
        <f>+VLOOKUP(B791,ARTICULOS!$D$10:$I$699,6)</f>
        <v/>
      </c>
      <c r="D791" s="212" t="n"/>
      <c r="E791" s="75">
        <f>+C791&amp;F791</f>
        <v/>
      </c>
      <c r="F791" s="80" t="n"/>
      <c r="G791" s="81" t="n"/>
      <c r="H791" s="78" t="n"/>
      <c r="I791" s="78" t="n"/>
      <c r="J791" s="78" t="n"/>
    </row>
    <row r="792">
      <c r="A792" s="84">
        <f>ROW()-6</f>
        <v/>
      </c>
      <c r="B792" s="85">
        <f>+MATCH(D792,ARTICULOS!$F$10:$F$699,0)</f>
        <v/>
      </c>
      <c r="C792" s="86">
        <f>+VLOOKUP(B792,ARTICULOS!$D$10:$I$699,6)</f>
        <v/>
      </c>
      <c r="D792" s="212" t="n"/>
      <c r="E792" s="75">
        <f>+C792&amp;F792</f>
        <v/>
      </c>
      <c r="F792" s="80" t="n"/>
      <c r="G792" s="81" t="n"/>
      <c r="H792" s="78" t="n"/>
      <c r="I792" s="78" t="n"/>
      <c r="J792" s="78" t="n"/>
    </row>
    <row r="793">
      <c r="A793" s="84">
        <f>ROW()-6</f>
        <v/>
      </c>
      <c r="B793" s="85">
        <f>+MATCH(D793,ARTICULOS!$F$10:$F$699,0)</f>
        <v/>
      </c>
      <c r="C793" s="86">
        <f>+VLOOKUP(B793,ARTICULOS!$D$10:$I$699,6)</f>
        <v/>
      </c>
      <c r="D793" s="212" t="n"/>
      <c r="E793" s="75">
        <f>+C793&amp;F793</f>
        <v/>
      </c>
      <c r="F793" s="80" t="n"/>
      <c r="G793" s="81" t="n"/>
      <c r="H793" s="78" t="n"/>
      <c r="I793" s="78" t="n"/>
      <c r="J793" s="78" t="n"/>
    </row>
    <row r="794">
      <c r="A794" s="84">
        <f>ROW()-6</f>
        <v/>
      </c>
      <c r="B794" s="85">
        <f>+MATCH(D794,ARTICULOS!$F$10:$F$699,0)</f>
        <v/>
      </c>
      <c r="C794" s="86">
        <f>+VLOOKUP(B794,ARTICULOS!$D$10:$I$699,6)</f>
        <v/>
      </c>
      <c r="D794" s="212" t="n"/>
      <c r="E794" s="75">
        <f>+C794&amp;F794</f>
        <v/>
      </c>
      <c r="F794" s="80" t="n"/>
      <c r="G794" s="81" t="n"/>
      <c r="H794" s="78" t="n"/>
      <c r="I794" s="78" t="n"/>
      <c r="J794" s="78" t="n"/>
    </row>
    <row r="795">
      <c r="A795" s="84">
        <f>ROW()-6</f>
        <v/>
      </c>
      <c r="B795" s="85">
        <f>+MATCH(D795,ARTICULOS!$F$10:$F$699,0)</f>
        <v/>
      </c>
      <c r="C795" s="86">
        <f>+VLOOKUP(B795,ARTICULOS!$D$10:$I$699,6)</f>
        <v/>
      </c>
      <c r="D795" s="212" t="n"/>
      <c r="E795" s="75">
        <f>+C795&amp;F795</f>
        <v/>
      </c>
      <c r="F795" s="80" t="n"/>
      <c r="G795" s="81" t="n"/>
      <c r="H795" s="78" t="n"/>
      <c r="I795" s="78" t="n"/>
      <c r="J795" s="78" t="n"/>
    </row>
    <row r="796">
      <c r="A796" s="84">
        <f>ROW()-6</f>
        <v/>
      </c>
      <c r="B796" s="85">
        <f>+MATCH(D796,ARTICULOS!$F$10:$F$699,0)</f>
        <v/>
      </c>
      <c r="C796" s="86">
        <f>+VLOOKUP(B796,ARTICULOS!$D$10:$I$699,6)</f>
        <v/>
      </c>
      <c r="D796" s="212" t="n"/>
      <c r="E796" s="75">
        <f>+C796&amp;F796</f>
        <v/>
      </c>
      <c r="F796" s="80" t="n"/>
      <c r="G796" s="81" t="n"/>
      <c r="H796" s="78" t="n"/>
      <c r="I796" s="78" t="n"/>
      <c r="J796" s="78" t="n"/>
    </row>
    <row r="797">
      <c r="A797" s="84">
        <f>ROW()-6</f>
        <v/>
      </c>
      <c r="B797" s="85">
        <f>+MATCH(D797,ARTICULOS!$F$10:$F$699,0)</f>
        <v/>
      </c>
      <c r="C797" s="86">
        <f>+VLOOKUP(B797,ARTICULOS!$D$10:$I$699,6)</f>
        <v/>
      </c>
      <c r="D797" s="212" t="n"/>
      <c r="E797" s="75">
        <f>+C797&amp;F797</f>
        <v/>
      </c>
      <c r="F797" s="80" t="n"/>
      <c r="G797" s="81" t="n"/>
      <c r="H797" s="78" t="n"/>
      <c r="I797" s="78" t="n"/>
      <c r="J797" s="78" t="n"/>
    </row>
    <row r="798">
      <c r="A798" s="84">
        <f>ROW()-6</f>
        <v/>
      </c>
      <c r="B798" s="85">
        <f>+MATCH(D798,ARTICULOS!$F$10:$F$699,0)</f>
        <v/>
      </c>
      <c r="C798" s="86">
        <f>+VLOOKUP(B798,ARTICULOS!$D$10:$I$699,6)</f>
        <v/>
      </c>
      <c r="D798" s="212" t="n"/>
      <c r="E798" s="75">
        <f>+C798&amp;F798</f>
        <v/>
      </c>
      <c r="F798" s="80" t="n"/>
      <c r="G798" s="81" t="n"/>
      <c r="H798" s="78" t="n"/>
      <c r="I798" s="78" t="n"/>
      <c r="J798" s="78" t="n"/>
    </row>
    <row r="799">
      <c r="A799" s="84">
        <f>ROW()-6</f>
        <v/>
      </c>
      <c r="B799" s="85">
        <f>+MATCH(D799,ARTICULOS!$F$10:$F$699,0)</f>
        <v/>
      </c>
      <c r="C799" s="86">
        <f>+VLOOKUP(B799,ARTICULOS!$D$10:$I$699,6)</f>
        <v/>
      </c>
      <c r="D799" s="212" t="n"/>
      <c r="E799" s="75">
        <f>+C799&amp;F799</f>
        <v/>
      </c>
      <c r="F799" s="80" t="n"/>
      <c r="G799" s="81" t="n"/>
      <c r="H799" s="78" t="n"/>
      <c r="I799" s="78" t="n"/>
      <c r="J799" s="78" t="n"/>
    </row>
    <row r="800">
      <c r="A800" s="84">
        <f>ROW()-6</f>
        <v/>
      </c>
      <c r="B800" s="85">
        <f>+MATCH(D800,ARTICULOS!$F$10:$F$699,0)</f>
        <v/>
      </c>
      <c r="C800" s="86">
        <f>+VLOOKUP(B800,ARTICULOS!$D$10:$I$699,6)</f>
        <v/>
      </c>
      <c r="D800" s="212" t="n"/>
      <c r="E800" s="75">
        <f>+C800&amp;F800</f>
        <v/>
      </c>
      <c r="F800" s="80" t="n"/>
      <c r="G800" s="81" t="n"/>
      <c r="H800" s="78" t="n"/>
      <c r="I800" s="78" t="n"/>
      <c r="J800" s="78" t="n"/>
    </row>
    <row r="801">
      <c r="A801" s="84">
        <f>ROW()-6</f>
        <v/>
      </c>
      <c r="B801" s="85">
        <f>+MATCH(D801,ARTICULOS!$F$10:$F$699,0)</f>
        <v/>
      </c>
      <c r="C801" s="86">
        <f>+VLOOKUP(B801,ARTICULOS!$D$10:$I$699,6)</f>
        <v/>
      </c>
      <c r="D801" s="212" t="n"/>
      <c r="E801" s="75">
        <f>+C801&amp;F801</f>
        <v/>
      </c>
      <c r="F801" s="80" t="n"/>
      <c r="G801" s="81" t="n"/>
      <c r="H801" s="78" t="n"/>
      <c r="I801" s="78" t="n"/>
      <c r="J801" s="78" t="n"/>
    </row>
    <row r="802">
      <c r="A802" s="84">
        <f>ROW()-6</f>
        <v/>
      </c>
      <c r="B802" s="85">
        <f>+MATCH(D802,ARTICULOS!$F$10:$F$699,0)</f>
        <v/>
      </c>
      <c r="C802" s="86">
        <f>+VLOOKUP(B802,ARTICULOS!$D$10:$I$699,6)</f>
        <v/>
      </c>
      <c r="D802" s="212" t="n"/>
      <c r="E802" s="75">
        <f>+C802&amp;F802</f>
        <v/>
      </c>
      <c r="F802" s="80" t="n"/>
      <c r="G802" s="81" t="n"/>
      <c r="H802" s="78" t="n"/>
      <c r="I802" s="78" t="n"/>
      <c r="J802" s="78" t="n"/>
    </row>
    <row r="803">
      <c r="A803" s="84">
        <f>ROW()-6</f>
        <v/>
      </c>
      <c r="B803" s="85">
        <f>+MATCH(D803,ARTICULOS!$F$10:$F$699,0)</f>
        <v/>
      </c>
      <c r="C803" s="86">
        <f>+VLOOKUP(B803,ARTICULOS!$D$10:$I$699,6)</f>
        <v/>
      </c>
      <c r="D803" s="212" t="n"/>
      <c r="E803" s="75">
        <f>+C803&amp;F803</f>
        <v/>
      </c>
      <c r="F803" s="80" t="n"/>
      <c r="G803" s="81" t="n"/>
      <c r="H803" s="78" t="n"/>
      <c r="I803" s="78" t="n"/>
      <c r="J803" s="78" t="n"/>
    </row>
    <row r="804">
      <c r="A804" s="84">
        <f>ROW()-6</f>
        <v/>
      </c>
      <c r="B804" s="85">
        <f>+MATCH(D804,ARTICULOS!$F$10:$F$699,0)</f>
        <v/>
      </c>
      <c r="C804" s="86">
        <f>+VLOOKUP(B804,ARTICULOS!$D$10:$I$699,6)</f>
        <v/>
      </c>
      <c r="D804" s="212" t="n"/>
      <c r="E804" s="75">
        <f>+C804&amp;F804</f>
        <v/>
      </c>
      <c r="F804" s="80" t="n"/>
      <c r="G804" s="81" t="n"/>
      <c r="H804" s="78" t="n"/>
      <c r="I804" s="78" t="n"/>
      <c r="J804" s="78" t="n"/>
    </row>
    <row r="805">
      <c r="A805" s="84">
        <f>ROW()-6</f>
        <v/>
      </c>
      <c r="B805" s="85">
        <f>+MATCH(D805,ARTICULOS!$F$10:$F$699,0)</f>
        <v/>
      </c>
      <c r="C805" s="86">
        <f>+VLOOKUP(B805,ARTICULOS!$D$10:$I$699,6)</f>
        <v/>
      </c>
      <c r="D805" s="212" t="n"/>
      <c r="E805" s="75">
        <f>+C805&amp;F805</f>
        <v/>
      </c>
      <c r="F805" s="80" t="n"/>
      <c r="G805" s="81" t="n"/>
      <c r="H805" s="78" t="n"/>
      <c r="I805" s="78" t="n"/>
      <c r="J805" s="78" t="n"/>
    </row>
    <row r="806">
      <c r="A806" s="84">
        <f>ROW()-6</f>
        <v/>
      </c>
      <c r="B806" s="85">
        <f>+MATCH(D806,ARTICULOS!$F$10:$F$699,0)</f>
        <v/>
      </c>
      <c r="C806" s="86">
        <f>+VLOOKUP(B806,ARTICULOS!$D$10:$I$699,6)</f>
        <v/>
      </c>
      <c r="D806" s="212" t="n"/>
      <c r="E806" s="75">
        <f>+C806&amp;F806</f>
        <v/>
      </c>
      <c r="F806" s="80" t="n"/>
      <c r="G806" s="81" t="n"/>
      <c r="H806" s="78" t="n"/>
      <c r="I806" s="78" t="n"/>
      <c r="J806" s="78" t="n"/>
    </row>
    <row r="807">
      <c r="A807" s="84">
        <f>ROW()-6</f>
        <v/>
      </c>
      <c r="B807" s="85">
        <f>+MATCH(D807,ARTICULOS!$F$10:$F$699,0)</f>
        <v/>
      </c>
      <c r="C807" s="86">
        <f>+VLOOKUP(B807,ARTICULOS!$D$10:$I$699,6)</f>
        <v/>
      </c>
      <c r="D807" s="212" t="n"/>
      <c r="E807" s="75">
        <f>+C807&amp;F807</f>
        <v/>
      </c>
      <c r="F807" s="80" t="n"/>
      <c r="G807" s="81" t="n"/>
      <c r="H807" s="78" t="n"/>
      <c r="I807" s="78" t="n"/>
      <c r="J807" s="78" t="n"/>
    </row>
    <row r="808">
      <c r="A808" s="84">
        <f>ROW()-6</f>
        <v/>
      </c>
      <c r="B808" s="85">
        <f>+MATCH(D808,ARTICULOS!$F$10:$F$699,0)</f>
        <v/>
      </c>
      <c r="C808" s="86">
        <f>+VLOOKUP(B808,ARTICULOS!$D$10:$I$699,6)</f>
        <v/>
      </c>
      <c r="D808" s="212" t="n"/>
      <c r="E808" s="75">
        <f>+C808&amp;F808</f>
        <v/>
      </c>
      <c r="F808" s="80" t="n"/>
      <c r="G808" s="81" t="n"/>
      <c r="H808" s="78" t="n"/>
      <c r="I808" s="78" t="n"/>
      <c r="J808" s="78" t="n"/>
    </row>
    <row r="809">
      <c r="A809" s="84">
        <f>ROW()-6</f>
        <v/>
      </c>
      <c r="B809" s="85">
        <f>+MATCH(D809,ARTICULOS!$F$10:$F$699,0)</f>
        <v/>
      </c>
      <c r="C809" s="86">
        <f>+VLOOKUP(B809,ARTICULOS!$D$10:$I$699,6)</f>
        <v/>
      </c>
      <c r="D809" s="212" t="n"/>
      <c r="E809" s="75">
        <f>+C809&amp;F809</f>
        <v/>
      </c>
      <c r="F809" s="80" t="n"/>
      <c r="G809" s="81" t="n"/>
      <c r="H809" s="78" t="n"/>
      <c r="I809" s="78" t="n"/>
      <c r="J809" s="78" t="n"/>
    </row>
    <row r="810">
      <c r="A810" s="84">
        <f>ROW()-6</f>
        <v/>
      </c>
      <c r="B810" s="85">
        <f>+MATCH(D810,ARTICULOS!$F$10:$F$699,0)</f>
        <v/>
      </c>
      <c r="C810" s="86">
        <f>+VLOOKUP(B810,ARTICULOS!$D$10:$I$699,6)</f>
        <v/>
      </c>
      <c r="D810" s="212" t="n"/>
      <c r="E810" s="75">
        <f>+C810&amp;F810</f>
        <v/>
      </c>
      <c r="F810" s="80" t="n"/>
      <c r="G810" s="81" t="n"/>
      <c r="H810" s="78" t="n"/>
      <c r="I810" s="78" t="n"/>
      <c r="J810" s="78" t="n"/>
    </row>
    <row r="811">
      <c r="A811" s="84">
        <f>ROW()-6</f>
        <v/>
      </c>
      <c r="B811" s="85">
        <f>+MATCH(D811,ARTICULOS!$F$10:$F$699,0)</f>
        <v/>
      </c>
      <c r="C811" s="86">
        <f>+VLOOKUP(B811,ARTICULOS!$D$10:$I$699,6)</f>
        <v/>
      </c>
      <c r="D811" s="212" t="n"/>
      <c r="E811" s="75">
        <f>+C811&amp;F811</f>
        <v/>
      </c>
      <c r="F811" s="80" t="n"/>
      <c r="G811" s="81" t="n"/>
      <c r="H811" s="78" t="n"/>
      <c r="I811" s="78" t="n"/>
      <c r="J811" s="78" t="n"/>
    </row>
    <row r="812">
      <c r="A812" s="84">
        <f>ROW()-6</f>
        <v/>
      </c>
      <c r="B812" s="85">
        <f>+MATCH(D812,ARTICULOS!$F$10:$F$699,0)</f>
        <v/>
      </c>
      <c r="C812" s="86">
        <f>+VLOOKUP(B812,ARTICULOS!$D$10:$I$699,6)</f>
        <v/>
      </c>
      <c r="D812" s="212" t="n"/>
      <c r="E812" s="75">
        <f>+C812&amp;F812</f>
        <v/>
      </c>
      <c r="F812" s="80" t="n"/>
      <c r="G812" s="81" t="n"/>
      <c r="H812" s="78" t="n"/>
      <c r="I812" s="78" t="n"/>
      <c r="J812" s="78" t="n"/>
    </row>
    <row r="813">
      <c r="A813" s="84">
        <f>ROW()-6</f>
        <v/>
      </c>
      <c r="B813" s="85">
        <f>+MATCH(D813,ARTICULOS!$F$10:$F$699,0)</f>
        <v/>
      </c>
      <c r="C813" s="86">
        <f>+VLOOKUP(B813,ARTICULOS!$D$10:$I$699,6)</f>
        <v/>
      </c>
      <c r="D813" s="212" t="n"/>
      <c r="E813" s="75">
        <f>+C813&amp;F813</f>
        <v/>
      </c>
      <c r="F813" s="80" t="n"/>
      <c r="G813" s="81" t="n"/>
      <c r="H813" s="78" t="n"/>
      <c r="I813" s="78" t="n"/>
      <c r="J813" s="78" t="n"/>
    </row>
    <row r="814">
      <c r="A814" s="84">
        <f>ROW()-6</f>
        <v/>
      </c>
      <c r="B814" s="85">
        <f>+MATCH(D814,ARTICULOS!$F$10:$F$699,0)</f>
        <v/>
      </c>
      <c r="C814" s="86">
        <f>+VLOOKUP(B814,ARTICULOS!$D$10:$I$699,6)</f>
        <v/>
      </c>
      <c r="D814" s="212" t="n"/>
      <c r="E814" s="75">
        <f>+C814&amp;F814</f>
        <v/>
      </c>
      <c r="F814" s="80" t="n"/>
      <c r="G814" s="81" t="n"/>
      <c r="H814" s="78" t="n"/>
      <c r="I814" s="78" t="n"/>
      <c r="J814" s="78" t="n"/>
    </row>
    <row r="815">
      <c r="A815" s="84">
        <f>ROW()-6</f>
        <v/>
      </c>
      <c r="B815" s="85">
        <f>+MATCH(D815,ARTICULOS!$F$10:$F$699,0)</f>
        <v/>
      </c>
      <c r="C815" s="86">
        <f>+VLOOKUP(B815,ARTICULOS!$D$10:$I$699,6)</f>
        <v/>
      </c>
      <c r="D815" s="212" t="n"/>
      <c r="E815" s="75">
        <f>+C815&amp;F815</f>
        <v/>
      </c>
      <c r="F815" s="80" t="n"/>
      <c r="G815" s="81" t="n"/>
      <c r="H815" s="78" t="n"/>
      <c r="I815" s="78" t="n"/>
      <c r="J815" s="78" t="n"/>
    </row>
    <row r="816">
      <c r="A816" s="84">
        <f>ROW()-6</f>
        <v/>
      </c>
      <c r="B816" s="85">
        <f>+MATCH(D816,ARTICULOS!$F$10:$F$699,0)</f>
        <v/>
      </c>
      <c r="C816" s="86">
        <f>+VLOOKUP(B816,ARTICULOS!$D$10:$I$699,6)</f>
        <v/>
      </c>
      <c r="D816" s="212" t="n"/>
      <c r="E816" s="75">
        <f>+C816&amp;F816</f>
        <v/>
      </c>
      <c r="F816" s="80" t="n"/>
      <c r="G816" s="81" t="n"/>
      <c r="H816" s="78" t="n"/>
      <c r="I816" s="78" t="n"/>
      <c r="J816" s="78" t="n"/>
    </row>
    <row r="817">
      <c r="A817" s="84">
        <f>ROW()-6</f>
        <v/>
      </c>
      <c r="B817" s="85">
        <f>+MATCH(D817,ARTICULOS!$F$10:$F$699,0)</f>
        <v/>
      </c>
      <c r="C817" s="86">
        <f>+VLOOKUP(B817,ARTICULOS!$D$10:$I$699,6)</f>
        <v/>
      </c>
      <c r="D817" s="212" t="n"/>
      <c r="E817" s="75">
        <f>+C817&amp;F817</f>
        <v/>
      </c>
      <c r="F817" s="80" t="n"/>
      <c r="G817" s="81" t="n"/>
      <c r="H817" s="78" t="n"/>
      <c r="I817" s="78" t="n"/>
      <c r="J817" s="78" t="n"/>
    </row>
    <row r="818">
      <c r="A818" s="84">
        <f>ROW()-6</f>
        <v/>
      </c>
      <c r="B818" s="85">
        <f>+MATCH(D818,ARTICULOS!$F$10:$F$699,0)</f>
        <v/>
      </c>
      <c r="C818" s="86">
        <f>+VLOOKUP(B818,ARTICULOS!$D$10:$I$699,6)</f>
        <v/>
      </c>
      <c r="D818" s="212" t="n"/>
      <c r="E818" s="75">
        <f>+C818&amp;F818</f>
        <v/>
      </c>
      <c r="F818" s="80" t="n"/>
      <c r="G818" s="81" t="n"/>
      <c r="H818" s="78" t="n"/>
      <c r="I818" s="78" t="n"/>
      <c r="J818" s="78" t="n"/>
    </row>
    <row r="819">
      <c r="A819" s="84">
        <f>ROW()-6</f>
        <v/>
      </c>
      <c r="B819" s="85">
        <f>+MATCH(D819,ARTICULOS!$F$10:$F$699,0)</f>
        <v/>
      </c>
      <c r="C819" s="86">
        <f>+VLOOKUP(B819,ARTICULOS!$D$10:$I$699,6)</f>
        <v/>
      </c>
      <c r="D819" s="212" t="n"/>
      <c r="E819" s="75">
        <f>+C819&amp;F819</f>
        <v/>
      </c>
      <c r="F819" s="80" t="n"/>
      <c r="G819" s="81" t="n"/>
      <c r="H819" s="78" t="n"/>
      <c r="I819" s="78" t="n"/>
      <c r="J819" s="78" t="n"/>
    </row>
    <row r="820">
      <c r="A820" s="84">
        <f>ROW()-6</f>
        <v/>
      </c>
      <c r="B820" s="85">
        <f>+MATCH(D820,ARTICULOS!$F$10:$F$699,0)</f>
        <v/>
      </c>
      <c r="C820" s="86">
        <f>+VLOOKUP(B820,ARTICULOS!$D$10:$I$699,6)</f>
        <v/>
      </c>
      <c r="D820" s="212" t="n"/>
      <c r="E820" s="75">
        <f>+C820&amp;F820</f>
        <v/>
      </c>
      <c r="F820" s="80" t="n"/>
      <c r="G820" s="81" t="n"/>
      <c r="H820" s="78" t="n"/>
      <c r="I820" s="78" t="n"/>
      <c r="J820" s="78" t="n"/>
    </row>
    <row r="821">
      <c r="A821" s="84">
        <f>ROW()-6</f>
        <v/>
      </c>
      <c r="B821" s="85">
        <f>+MATCH(D821,ARTICULOS!$F$10:$F$699,0)</f>
        <v/>
      </c>
      <c r="C821" s="86">
        <f>+VLOOKUP(B821,ARTICULOS!$D$10:$I$699,6)</f>
        <v/>
      </c>
      <c r="D821" s="212" t="n"/>
      <c r="E821" s="75">
        <f>+C821&amp;F821</f>
        <v/>
      </c>
      <c r="F821" s="80" t="n"/>
      <c r="G821" s="81" t="n"/>
      <c r="H821" s="78" t="n"/>
      <c r="I821" s="78" t="n"/>
      <c r="J821" s="78" t="n"/>
    </row>
    <row r="822">
      <c r="A822" s="84">
        <f>ROW()-6</f>
        <v/>
      </c>
      <c r="B822" s="85">
        <f>+MATCH(D822,ARTICULOS!$F$10:$F$699,0)</f>
        <v/>
      </c>
      <c r="C822" s="86">
        <f>+VLOOKUP(B822,ARTICULOS!$D$10:$I$699,6)</f>
        <v/>
      </c>
      <c r="D822" s="212" t="n"/>
      <c r="E822" s="75">
        <f>+C822&amp;F822</f>
        <v/>
      </c>
      <c r="F822" s="80" t="n"/>
      <c r="G822" s="81" t="n"/>
      <c r="H822" s="78" t="n"/>
      <c r="I822" s="78" t="n"/>
      <c r="J822" s="78" t="n"/>
    </row>
    <row r="823">
      <c r="A823" s="84">
        <f>ROW()-6</f>
        <v/>
      </c>
      <c r="B823" s="85">
        <f>+MATCH(D823,ARTICULOS!$F$10:$F$699,0)</f>
        <v/>
      </c>
      <c r="C823" s="86">
        <f>+VLOOKUP(B823,ARTICULOS!$D$10:$I$699,6)</f>
        <v/>
      </c>
      <c r="D823" s="212" t="n"/>
      <c r="E823" s="75">
        <f>+C823&amp;F823</f>
        <v/>
      </c>
      <c r="F823" s="80" t="n"/>
      <c r="G823" s="81" t="n"/>
      <c r="H823" s="78" t="n"/>
      <c r="I823" s="78" t="n"/>
      <c r="J823" s="78" t="n"/>
    </row>
    <row r="824">
      <c r="A824" s="84">
        <f>ROW()-6</f>
        <v/>
      </c>
      <c r="B824" s="85">
        <f>+MATCH(D824,ARTICULOS!$F$10:$F$699,0)</f>
        <v/>
      </c>
      <c r="C824" s="86">
        <f>+VLOOKUP(B824,ARTICULOS!$D$10:$I$699,6)</f>
        <v/>
      </c>
      <c r="D824" s="212" t="n"/>
      <c r="E824" s="75">
        <f>+C824&amp;F824</f>
        <v/>
      </c>
      <c r="F824" s="80" t="n"/>
      <c r="G824" s="81" t="n"/>
      <c r="H824" s="78" t="n"/>
      <c r="I824" s="78" t="n"/>
      <c r="J824" s="78" t="n"/>
    </row>
    <row r="825">
      <c r="A825" s="84">
        <f>ROW()-6</f>
        <v/>
      </c>
      <c r="B825" s="85">
        <f>+MATCH(D825,ARTICULOS!$F$10:$F$699,0)</f>
        <v/>
      </c>
      <c r="C825" s="86">
        <f>+VLOOKUP(B825,ARTICULOS!$D$10:$I$699,6)</f>
        <v/>
      </c>
      <c r="D825" s="212" t="n"/>
      <c r="E825" s="75">
        <f>+C825&amp;F825</f>
        <v/>
      </c>
      <c r="F825" s="80" t="n"/>
      <c r="G825" s="81" t="n"/>
      <c r="H825" s="78" t="n"/>
      <c r="I825" s="78" t="n"/>
      <c r="J825" s="78" t="n"/>
    </row>
    <row r="826">
      <c r="A826" s="84">
        <f>ROW()-6</f>
        <v/>
      </c>
      <c r="B826" s="85">
        <f>+MATCH(D826,ARTICULOS!$F$10:$F$699,0)</f>
        <v/>
      </c>
      <c r="C826" s="86">
        <f>+VLOOKUP(B826,ARTICULOS!$D$10:$I$699,6)</f>
        <v/>
      </c>
      <c r="D826" s="212" t="n"/>
      <c r="E826" s="75">
        <f>+C826&amp;F826</f>
        <v/>
      </c>
      <c r="F826" s="80" t="n"/>
      <c r="G826" s="81" t="n"/>
      <c r="H826" s="78" t="n"/>
      <c r="I826" s="78" t="n"/>
      <c r="J826" s="78" t="n"/>
    </row>
    <row r="827">
      <c r="A827" s="84">
        <f>ROW()-6</f>
        <v/>
      </c>
      <c r="B827" s="85">
        <f>+MATCH(D827,ARTICULOS!$F$10:$F$699,0)</f>
        <v/>
      </c>
      <c r="C827" s="86">
        <f>+VLOOKUP(B827,ARTICULOS!$D$10:$I$699,6)</f>
        <v/>
      </c>
      <c r="D827" s="212" t="n"/>
      <c r="E827" s="75">
        <f>+C827&amp;F827</f>
        <v/>
      </c>
      <c r="F827" s="80" t="n"/>
      <c r="G827" s="81" t="n"/>
      <c r="H827" s="78" t="n"/>
      <c r="I827" s="78" t="n"/>
      <c r="J827" s="78" t="n"/>
    </row>
    <row r="828">
      <c r="A828" s="84">
        <f>ROW()-6</f>
        <v/>
      </c>
      <c r="B828" s="85">
        <f>+MATCH(D828,ARTICULOS!$F$10:$F$699,0)</f>
        <v/>
      </c>
      <c r="C828" s="86">
        <f>+VLOOKUP(B828,ARTICULOS!$D$10:$I$699,6)</f>
        <v/>
      </c>
      <c r="D828" s="212" t="n"/>
      <c r="E828" s="75">
        <f>+C828&amp;F828</f>
        <v/>
      </c>
      <c r="F828" s="80" t="n"/>
      <c r="G828" s="81" t="n"/>
      <c r="H828" s="78" t="n"/>
      <c r="I828" s="78" t="n"/>
      <c r="J828" s="78" t="n"/>
    </row>
    <row r="829">
      <c r="A829" s="84">
        <f>ROW()-6</f>
        <v/>
      </c>
      <c r="B829" s="85">
        <f>+MATCH(D829,ARTICULOS!$F$10:$F$699,0)</f>
        <v/>
      </c>
      <c r="C829" s="86">
        <f>+VLOOKUP(B829,ARTICULOS!$D$10:$I$699,6)</f>
        <v/>
      </c>
      <c r="D829" s="212" t="n"/>
      <c r="E829" s="75">
        <f>+C829&amp;F829</f>
        <v/>
      </c>
      <c r="F829" s="80" t="n"/>
      <c r="G829" s="81" t="n"/>
      <c r="H829" s="78" t="n"/>
      <c r="I829" s="78" t="n"/>
      <c r="J829" s="78" t="n"/>
    </row>
    <row r="830">
      <c r="A830" s="84">
        <f>ROW()-6</f>
        <v/>
      </c>
      <c r="B830" s="85">
        <f>+MATCH(D830,ARTICULOS!$F$10:$F$699,0)</f>
        <v/>
      </c>
      <c r="C830" s="86">
        <f>+VLOOKUP(B830,ARTICULOS!$D$10:$I$699,6)</f>
        <v/>
      </c>
      <c r="D830" s="212" t="n"/>
      <c r="E830" s="75">
        <f>+C830&amp;F830</f>
        <v/>
      </c>
      <c r="F830" s="80" t="n"/>
      <c r="G830" s="81" t="n"/>
      <c r="H830" s="78" t="n"/>
      <c r="I830" s="78" t="n"/>
      <c r="J830" s="78" t="n"/>
    </row>
    <row r="831">
      <c r="A831" s="84">
        <f>ROW()-6</f>
        <v/>
      </c>
      <c r="B831" s="85">
        <f>+MATCH(D831,ARTICULOS!$F$10:$F$699,0)</f>
        <v/>
      </c>
      <c r="C831" s="86">
        <f>+VLOOKUP(B831,ARTICULOS!$D$10:$I$699,6)</f>
        <v/>
      </c>
      <c r="D831" s="212" t="n"/>
      <c r="E831" s="75">
        <f>+C831&amp;F831</f>
        <v/>
      </c>
      <c r="F831" s="80" t="n"/>
      <c r="G831" s="81" t="n"/>
      <c r="H831" s="78" t="n"/>
      <c r="I831" s="78" t="n"/>
      <c r="J831" s="78" t="n"/>
    </row>
    <row r="832">
      <c r="A832" s="84">
        <f>ROW()-6</f>
        <v/>
      </c>
      <c r="B832" s="85">
        <f>+MATCH(D832,ARTICULOS!$F$10:$F$699,0)</f>
        <v/>
      </c>
      <c r="C832" s="86">
        <f>+VLOOKUP(B832,ARTICULOS!$D$10:$I$699,6)</f>
        <v/>
      </c>
      <c r="D832" s="212" t="n"/>
      <c r="E832" s="75">
        <f>+C832&amp;F832</f>
        <v/>
      </c>
      <c r="F832" s="80" t="n"/>
      <c r="G832" s="81" t="n"/>
      <c r="H832" s="78" t="n"/>
      <c r="I832" s="78" t="n"/>
      <c r="J832" s="78" t="n"/>
    </row>
    <row r="833">
      <c r="A833" s="84">
        <f>ROW()-6</f>
        <v/>
      </c>
      <c r="B833" s="85">
        <f>+MATCH(D833,ARTICULOS!$F$10:$F$699,0)</f>
        <v/>
      </c>
      <c r="C833" s="86">
        <f>+VLOOKUP(B833,ARTICULOS!$D$10:$I$699,6)</f>
        <v/>
      </c>
      <c r="D833" s="212" t="n"/>
      <c r="E833" s="75">
        <f>+C833&amp;F833</f>
        <v/>
      </c>
      <c r="F833" s="80" t="n"/>
      <c r="G833" s="81" t="n"/>
      <c r="H833" s="78" t="n"/>
      <c r="I833" s="78" t="n"/>
      <c r="J833" s="78" t="n"/>
    </row>
    <row r="834">
      <c r="A834" s="84">
        <f>ROW()-6</f>
        <v/>
      </c>
      <c r="B834" s="85">
        <f>+MATCH(D834,ARTICULOS!$F$10:$F$699,0)</f>
        <v/>
      </c>
      <c r="C834" s="86">
        <f>+VLOOKUP(B834,ARTICULOS!$D$10:$I$699,6)</f>
        <v/>
      </c>
      <c r="D834" s="212" t="n"/>
      <c r="E834" s="75">
        <f>+C834&amp;F834</f>
        <v/>
      </c>
      <c r="F834" s="80" t="n"/>
      <c r="G834" s="81" t="n"/>
      <c r="H834" s="78" t="n"/>
      <c r="I834" s="78" t="n"/>
      <c r="J834" s="78" t="n"/>
    </row>
    <row r="835">
      <c r="A835" s="84">
        <f>ROW()-6</f>
        <v/>
      </c>
      <c r="B835" s="85">
        <f>+MATCH(D835,ARTICULOS!$F$10:$F$699,0)</f>
        <v/>
      </c>
      <c r="C835" s="86">
        <f>+VLOOKUP(B835,ARTICULOS!$D$10:$I$699,6)</f>
        <v/>
      </c>
      <c r="D835" s="212" t="n"/>
      <c r="E835" s="75">
        <f>+C835&amp;F835</f>
        <v/>
      </c>
      <c r="F835" s="80" t="n"/>
      <c r="G835" s="81" t="n"/>
      <c r="H835" s="78" t="n"/>
      <c r="I835" s="78" t="n"/>
      <c r="J835" s="78" t="n"/>
    </row>
    <row r="836">
      <c r="A836" s="84">
        <f>ROW()-6</f>
        <v/>
      </c>
      <c r="B836" s="85">
        <f>+MATCH(D836,ARTICULOS!$F$10:$F$699,0)</f>
        <v/>
      </c>
      <c r="C836" s="86">
        <f>+VLOOKUP(B836,ARTICULOS!$D$10:$I$699,6)</f>
        <v/>
      </c>
      <c r="D836" s="212" t="n"/>
      <c r="E836" s="75">
        <f>+C836&amp;F836</f>
        <v/>
      </c>
      <c r="F836" s="80" t="n"/>
      <c r="G836" s="81" t="n"/>
      <c r="H836" s="78" t="n"/>
      <c r="I836" s="78" t="n"/>
      <c r="J836" s="78" t="n"/>
    </row>
    <row r="837">
      <c r="A837" s="84">
        <f>ROW()-6</f>
        <v/>
      </c>
      <c r="B837" s="85">
        <f>+MATCH(D837,ARTICULOS!$F$10:$F$699,0)</f>
        <v/>
      </c>
      <c r="C837" s="86">
        <f>+VLOOKUP(B837,ARTICULOS!$D$10:$I$699,6)</f>
        <v/>
      </c>
      <c r="D837" s="212" t="n"/>
      <c r="E837" s="75">
        <f>+C837&amp;F837</f>
        <v/>
      </c>
      <c r="F837" s="80" t="n"/>
      <c r="G837" s="81" t="n"/>
      <c r="H837" s="78" t="n"/>
      <c r="I837" s="78" t="n"/>
      <c r="J837" s="78" t="n"/>
    </row>
    <row r="838">
      <c r="A838" s="84">
        <f>ROW()-6</f>
        <v/>
      </c>
      <c r="B838" s="85">
        <f>+MATCH(D838,ARTICULOS!$F$10:$F$699,0)</f>
        <v/>
      </c>
      <c r="C838" s="86">
        <f>+VLOOKUP(B838,ARTICULOS!$D$10:$I$699,6)</f>
        <v/>
      </c>
      <c r="D838" s="212" t="n"/>
      <c r="E838" s="75">
        <f>+C838&amp;F838</f>
        <v/>
      </c>
      <c r="F838" s="80" t="n"/>
      <c r="G838" s="81" t="n"/>
      <c r="H838" s="78" t="n"/>
      <c r="I838" s="78" t="n"/>
      <c r="J838" s="78" t="n"/>
    </row>
    <row r="839">
      <c r="A839" s="84">
        <f>ROW()-6</f>
        <v/>
      </c>
      <c r="B839" s="85">
        <f>+MATCH(D839,ARTICULOS!$F$10:$F$699,0)</f>
        <v/>
      </c>
      <c r="C839" s="86">
        <f>+VLOOKUP(B839,ARTICULOS!$D$10:$I$699,6)</f>
        <v/>
      </c>
      <c r="D839" s="212" t="n"/>
      <c r="E839" s="75">
        <f>+C839&amp;F839</f>
        <v/>
      </c>
      <c r="F839" s="80" t="n"/>
      <c r="G839" s="81" t="n"/>
      <c r="H839" s="78" t="n"/>
      <c r="I839" s="78" t="n"/>
      <c r="J839" s="78" t="n"/>
    </row>
    <row r="840">
      <c r="A840" s="84">
        <f>ROW()-6</f>
        <v/>
      </c>
      <c r="B840" s="85">
        <f>+MATCH(D840,ARTICULOS!$F$10:$F$699,0)</f>
        <v/>
      </c>
      <c r="C840" s="86">
        <f>+VLOOKUP(B840,ARTICULOS!$D$10:$I$699,6)</f>
        <v/>
      </c>
      <c r="D840" s="212" t="n"/>
      <c r="E840" s="75">
        <f>+C840&amp;F840</f>
        <v/>
      </c>
      <c r="F840" s="80" t="n"/>
      <c r="G840" s="81" t="n"/>
      <c r="H840" s="78" t="n"/>
      <c r="I840" s="78" t="n"/>
      <c r="J840" s="78" t="n"/>
    </row>
    <row r="841">
      <c r="A841" s="84">
        <f>ROW()-6</f>
        <v/>
      </c>
      <c r="B841" s="85">
        <f>+MATCH(D841,ARTICULOS!$F$10:$F$699,0)</f>
        <v/>
      </c>
      <c r="C841" s="86">
        <f>+VLOOKUP(B841,ARTICULOS!$D$10:$I$699,6)</f>
        <v/>
      </c>
      <c r="D841" s="212" t="n"/>
      <c r="E841" s="75">
        <f>+C841&amp;F841</f>
        <v/>
      </c>
      <c r="F841" s="80" t="n"/>
      <c r="G841" s="81" t="n"/>
      <c r="H841" s="78" t="n"/>
      <c r="I841" s="78" t="n"/>
      <c r="J841" s="78" t="n"/>
    </row>
    <row r="842">
      <c r="A842" s="84">
        <f>ROW()-6</f>
        <v/>
      </c>
      <c r="B842" s="85">
        <f>+MATCH(D842,ARTICULOS!$F$10:$F$699,0)</f>
        <v/>
      </c>
      <c r="C842" s="86">
        <f>+VLOOKUP(B842,ARTICULOS!$D$10:$I$699,6)</f>
        <v/>
      </c>
      <c r="D842" s="212" t="n"/>
      <c r="E842" s="75">
        <f>+C842&amp;F842</f>
        <v/>
      </c>
      <c r="F842" s="80" t="n"/>
      <c r="G842" s="81" t="n"/>
      <c r="H842" s="78" t="n"/>
      <c r="I842" s="78" t="n"/>
      <c r="J842" s="78" t="n"/>
    </row>
    <row r="843">
      <c r="A843" s="84">
        <f>ROW()-6</f>
        <v/>
      </c>
      <c r="B843" s="85">
        <f>+MATCH(D843,ARTICULOS!$F$10:$F$699,0)</f>
        <v/>
      </c>
      <c r="C843" s="86">
        <f>+VLOOKUP(B843,ARTICULOS!$D$10:$I$699,6)</f>
        <v/>
      </c>
      <c r="D843" s="212" t="n"/>
      <c r="E843" s="75">
        <f>+C843&amp;F843</f>
        <v/>
      </c>
      <c r="F843" s="80" t="n"/>
      <c r="G843" s="81" t="n"/>
      <c r="H843" s="78" t="n"/>
      <c r="I843" s="78" t="n"/>
      <c r="J843" s="78" t="n"/>
    </row>
    <row r="844">
      <c r="A844" s="84">
        <f>ROW()-6</f>
        <v/>
      </c>
      <c r="B844" s="85">
        <f>+MATCH(D844,ARTICULOS!$F$10:$F$699,0)</f>
        <v/>
      </c>
      <c r="C844" s="86">
        <f>+VLOOKUP(B844,ARTICULOS!$D$10:$I$699,6)</f>
        <v/>
      </c>
      <c r="D844" s="212" t="n"/>
      <c r="E844" s="75">
        <f>+C844&amp;F844</f>
        <v/>
      </c>
      <c r="F844" s="80" t="n"/>
      <c r="G844" s="81" t="n"/>
      <c r="H844" s="78" t="n"/>
      <c r="I844" s="78" t="n"/>
      <c r="J844" s="78" t="n"/>
    </row>
    <row r="845">
      <c r="A845" s="84">
        <f>ROW()-6</f>
        <v/>
      </c>
      <c r="B845" s="85">
        <f>+MATCH(D845,ARTICULOS!$F$10:$F$699,0)</f>
        <v/>
      </c>
      <c r="C845" s="86">
        <f>+VLOOKUP(B845,ARTICULOS!$D$10:$I$699,6)</f>
        <v/>
      </c>
      <c r="D845" s="212" t="n"/>
      <c r="E845" s="75">
        <f>+C845&amp;F845</f>
        <v/>
      </c>
      <c r="F845" s="80" t="n"/>
      <c r="G845" s="81" t="n"/>
      <c r="H845" s="78" t="n"/>
      <c r="I845" s="78" t="n"/>
      <c r="J845" s="78" t="n"/>
    </row>
    <row r="846">
      <c r="A846" s="84">
        <f>ROW()-6</f>
        <v/>
      </c>
      <c r="B846" s="85">
        <f>+MATCH(D846,ARTICULOS!$F$10:$F$699,0)</f>
        <v/>
      </c>
      <c r="C846" s="86">
        <f>+VLOOKUP(B846,ARTICULOS!$D$10:$I$699,6)</f>
        <v/>
      </c>
      <c r="D846" s="212" t="n"/>
      <c r="E846" s="75">
        <f>+C846&amp;F846</f>
        <v/>
      </c>
      <c r="F846" s="80" t="n"/>
      <c r="G846" s="81" t="n"/>
      <c r="H846" s="78" t="n"/>
      <c r="I846" s="78" t="n"/>
      <c r="J846" s="78" t="n"/>
    </row>
    <row r="847">
      <c r="A847" s="84">
        <f>ROW()-6</f>
        <v/>
      </c>
      <c r="B847" s="85">
        <f>+MATCH(D847,ARTICULOS!$F$10:$F$699,0)</f>
        <v/>
      </c>
      <c r="C847" s="86">
        <f>+VLOOKUP(B847,ARTICULOS!$D$10:$I$699,6)</f>
        <v/>
      </c>
      <c r="D847" s="212" t="n"/>
      <c r="E847" s="75">
        <f>+C847&amp;F847</f>
        <v/>
      </c>
      <c r="F847" s="80" t="n"/>
      <c r="G847" s="81" t="n"/>
      <c r="H847" s="78" t="n"/>
      <c r="I847" s="78" t="n"/>
      <c r="J847" s="78" t="n"/>
    </row>
    <row r="848">
      <c r="A848" s="84">
        <f>ROW()-6</f>
        <v/>
      </c>
      <c r="B848" s="85">
        <f>+MATCH(D848,ARTICULOS!$F$10:$F$699,0)</f>
        <v/>
      </c>
      <c r="C848" s="86">
        <f>+VLOOKUP(B848,ARTICULOS!$D$10:$I$699,6)</f>
        <v/>
      </c>
      <c r="D848" s="212" t="n"/>
      <c r="E848" s="75">
        <f>+C848&amp;F848</f>
        <v/>
      </c>
      <c r="F848" s="80" t="n"/>
      <c r="G848" s="81" t="n"/>
      <c r="H848" s="78" t="n"/>
      <c r="I848" s="78" t="n"/>
      <c r="J848" s="78" t="n"/>
    </row>
    <row r="849">
      <c r="A849" s="84">
        <f>ROW()-6</f>
        <v/>
      </c>
      <c r="B849" s="85">
        <f>+MATCH(D849,ARTICULOS!$F$10:$F$699,0)</f>
        <v/>
      </c>
      <c r="C849" s="86">
        <f>+VLOOKUP(B849,ARTICULOS!$D$10:$I$699,6)</f>
        <v/>
      </c>
      <c r="D849" s="212" t="n"/>
      <c r="E849" s="75">
        <f>+C849&amp;F849</f>
        <v/>
      </c>
      <c r="F849" s="80" t="n"/>
      <c r="G849" s="81" t="n"/>
      <c r="H849" s="78" t="n"/>
      <c r="I849" s="78" t="n"/>
      <c r="J849" s="78" t="n"/>
    </row>
    <row r="850">
      <c r="A850" s="84">
        <f>ROW()-6</f>
        <v/>
      </c>
      <c r="B850" s="85">
        <f>+MATCH(D850,ARTICULOS!$F$10:$F$699,0)</f>
        <v/>
      </c>
      <c r="C850" s="86">
        <f>+VLOOKUP(B850,ARTICULOS!$D$10:$I$699,6)</f>
        <v/>
      </c>
      <c r="D850" s="212" t="n"/>
      <c r="E850" s="75">
        <f>+C850&amp;F850</f>
        <v/>
      </c>
      <c r="F850" s="80" t="n"/>
      <c r="G850" s="81" t="n"/>
      <c r="H850" s="78" t="n"/>
      <c r="I850" s="78" t="n"/>
      <c r="J850" s="78" t="n"/>
    </row>
    <row r="851">
      <c r="A851" s="84">
        <f>ROW()-6</f>
        <v/>
      </c>
      <c r="B851" s="85">
        <f>+MATCH(D851,ARTICULOS!$F$10:$F$699,0)</f>
        <v/>
      </c>
      <c r="C851" s="86">
        <f>+VLOOKUP(B851,ARTICULOS!$D$10:$I$699,6)</f>
        <v/>
      </c>
      <c r="D851" s="212" t="n"/>
      <c r="E851" s="75">
        <f>+C851&amp;F851</f>
        <v/>
      </c>
      <c r="F851" s="80" t="n"/>
      <c r="G851" s="81" t="n"/>
      <c r="H851" s="78" t="n"/>
      <c r="I851" s="78" t="n"/>
      <c r="J851" s="78" t="n"/>
    </row>
    <row r="852">
      <c r="A852" s="84">
        <f>ROW()-6</f>
        <v/>
      </c>
      <c r="B852" s="85">
        <f>+MATCH(D852,ARTICULOS!$F$10:$F$699,0)</f>
        <v/>
      </c>
      <c r="C852" s="86">
        <f>+VLOOKUP(B852,ARTICULOS!$D$10:$I$699,6)</f>
        <v/>
      </c>
      <c r="D852" s="212" t="n"/>
      <c r="E852" s="75">
        <f>+C852&amp;F852</f>
        <v/>
      </c>
      <c r="F852" s="80" t="n"/>
      <c r="G852" s="81" t="n"/>
      <c r="H852" s="78" t="n"/>
      <c r="I852" s="78" t="n"/>
      <c r="J852" s="78" t="n"/>
    </row>
    <row r="853">
      <c r="A853" s="84">
        <f>ROW()-6</f>
        <v/>
      </c>
      <c r="B853" s="85">
        <f>+MATCH(D853,ARTICULOS!$F$10:$F$699,0)</f>
        <v/>
      </c>
      <c r="C853" s="86">
        <f>+VLOOKUP(B853,ARTICULOS!$D$10:$I$699,6)</f>
        <v/>
      </c>
      <c r="D853" s="212" t="n"/>
      <c r="E853" s="75">
        <f>+C853&amp;F853</f>
        <v/>
      </c>
      <c r="F853" s="80" t="n"/>
      <c r="G853" s="81" t="n"/>
      <c r="H853" s="78" t="n"/>
      <c r="I853" s="78" t="n"/>
      <c r="J853" s="78" t="n"/>
    </row>
    <row r="854">
      <c r="A854" s="84">
        <f>ROW()-6</f>
        <v/>
      </c>
      <c r="B854" s="85">
        <f>+MATCH(D854,ARTICULOS!$F$10:$F$699,0)</f>
        <v/>
      </c>
      <c r="C854" s="86">
        <f>+VLOOKUP(B854,ARTICULOS!$D$10:$I$699,6)</f>
        <v/>
      </c>
      <c r="D854" s="212" t="n"/>
      <c r="E854" s="75">
        <f>+C854&amp;F854</f>
        <v/>
      </c>
      <c r="F854" s="80" t="n"/>
      <c r="G854" s="81" t="n"/>
      <c r="H854" s="78" t="n"/>
      <c r="I854" s="78" t="n"/>
      <c r="J854" s="78" t="n"/>
    </row>
    <row r="855">
      <c r="A855" s="84">
        <f>ROW()-6</f>
        <v/>
      </c>
      <c r="B855" s="85">
        <f>+MATCH(D855,ARTICULOS!$F$10:$F$699,0)</f>
        <v/>
      </c>
      <c r="C855" s="86">
        <f>+VLOOKUP(B855,ARTICULOS!$D$10:$I$699,6)</f>
        <v/>
      </c>
      <c r="D855" s="212" t="n"/>
      <c r="E855" s="75">
        <f>+C855&amp;F855</f>
        <v/>
      </c>
      <c r="F855" s="80" t="n"/>
      <c r="G855" s="81" t="n"/>
      <c r="H855" s="78" t="n"/>
      <c r="I855" s="78" t="n"/>
      <c r="J855" s="78" t="n"/>
    </row>
    <row r="856">
      <c r="A856" s="84">
        <f>ROW()-6</f>
        <v/>
      </c>
      <c r="B856" s="85">
        <f>+MATCH(D856,ARTICULOS!$F$10:$F$699,0)</f>
        <v/>
      </c>
      <c r="C856" s="86">
        <f>+VLOOKUP(B856,ARTICULOS!$D$10:$I$699,6)</f>
        <v/>
      </c>
      <c r="D856" s="212" t="n"/>
      <c r="E856" s="75">
        <f>+C856&amp;F856</f>
        <v/>
      </c>
      <c r="F856" s="80" t="n"/>
      <c r="G856" s="81" t="n"/>
      <c r="H856" s="78" t="n"/>
      <c r="I856" s="78" t="n"/>
      <c r="J856" s="78" t="n"/>
    </row>
    <row r="857">
      <c r="A857" s="84">
        <f>ROW()-6</f>
        <v/>
      </c>
      <c r="B857" s="85">
        <f>+MATCH(D857,ARTICULOS!$F$10:$F$699,0)</f>
        <v/>
      </c>
      <c r="C857" s="86">
        <f>+VLOOKUP(B857,ARTICULOS!$D$10:$I$699,6)</f>
        <v/>
      </c>
      <c r="D857" s="212" t="n"/>
      <c r="E857" s="75">
        <f>+C857&amp;F857</f>
        <v/>
      </c>
      <c r="F857" s="80" t="n"/>
      <c r="G857" s="81" t="n"/>
      <c r="H857" s="78" t="n"/>
      <c r="I857" s="78" t="n"/>
      <c r="J857" s="78" t="n"/>
    </row>
    <row r="858">
      <c r="A858" s="84">
        <f>ROW()-6</f>
        <v/>
      </c>
      <c r="B858" s="85">
        <f>+MATCH(D858,ARTICULOS!$F$10:$F$699,0)</f>
        <v/>
      </c>
      <c r="C858" s="86">
        <f>+VLOOKUP(B858,ARTICULOS!$D$10:$I$699,6)</f>
        <v/>
      </c>
      <c r="D858" s="212" t="n"/>
      <c r="E858" s="75">
        <f>+C858&amp;F858</f>
        <v/>
      </c>
      <c r="F858" s="80" t="n"/>
      <c r="G858" s="81" t="n"/>
      <c r="H858" s="78" t="n"/>
      <c r="I858" s="78" t="n"/>
      <c r="J858" s="78" t="n"/>
    </row>
    <row r="859">
      <c r="A859" s="84">
        <f>ROW()-6</f>
        <v/>
      </c>
      <c r="B859" s="85">
        <f>+MATCH(D859,ARTICULOS!$F$10:$F$699,0)</f>
        <v/>
      </c>
      <c r="C859" s="86">
        <f>+VLOOKUP(B859,ARTICULOS!$D$10:$I$699,6)</f>
        <v/>
      </c>
      <c r="D859" s="212" t="n"/>
      <c r="E859" s="75">
        <f>+C859&amp;F859</f>
        <v/>
      </c>
      <c r="F859" s="80" t="n"/>
      <c r="G859" s="81" t="n"/>
      <c r="H859" s="78" t="n"/>
      <c r="I859" s="78" t="n"/>
      <c r="J859" s="78" t="n"/>
    </row>
    <row r="860">
      <c r="A860" s="84">
        <f>ROW()-6</f>
        <v/>
      </c>
      <c r="B860" s="85">
        <f>+MATCH(D860,ARTICULOS!$F$10:$F$699,0)</f>
        <v/>
      </c>
      <c r="C860" s="86">
        <f>+VLOOKUP(B860,ARTICULOS!$D$10:$I$699,6)</f>
        <v/>
      </c>
      <c r="D860" s="212" t="n"/>
      <c r="E860" s="75">
        <f>+C860&amp;F860</f>
        <v/>
      </c>
      <c r="F860" s="80" t="n"/>
      <c r="G860" s="81" t="n"/>
      <c r="H860" s="78" t="n"/>
      <c r="I860" s="78" t="n"/>
      <c r="J860" s="78" t="n"/>
    </row>
    <row r="861">
      <c r="A861" s="84">
        <f>ROW()-6</f>
        <v/>
      </c>
      <c r="B861" s="85">
        <f>+MATCH(D861,ARTICULOS!$F$10:$F$699,0)</f>
        <v/>
      </c>
      <c r="C861" s="86">
        <f>+VLOOKUP(B861,ARTICULOS!$D$10:$I$699,6)</f>
        <v/>
      </c>
      <c r="D861" s="212" t="n"/>
      <c r="E861" s="75">
        <f>+C861&amp;F861</f>
        <v/>
      </c>
      <c r="F861" s="80" t="n"/>
      <c r="G861" s="81" t="n"/>
      <c r="H861" s="78" t="n"/>
      <c r="I861" s="78" t="n"/>
      <c r="J861" s="78" t="n"/>
    </row>
    <row r="862">
      <c r="A862" s="84">
        <f>ROW()-6</f>
        <v/>
      </c>
      <c r="B862" s="85">
        <f>+MATCH(D862,ARTICULOS!$F$10:$F$699,0)</f>
        <v/>
      </c>
      <c r="C862" s="86">
        <f>+VLOOKUP(B862,ARTICULOS!$D$10:$I$699,6)</f>
        <v/>
      </c>
      <c r="D862" s="212" t="n"/>
      <c r="E862" s="75">
        <f>+C862&amp;F862</f>
        <v/>
      </c>
      <c r="F862" s="80" t="n"/>
      <c r="G862" s="81" t="n"/>
      <c r="H862" s="78" t="n"/>
      <c r="I862" s="78" t="n"/>
      <c r="J862" s="78" t="n"/>
    </row>
    <row r="863">
      <c r="A863" s="84">
        <f>ROW()-6</f>
        <v/>
      </c>
      <c r="B863" s="85">
        <f>+MATCH(D863,ARTICULOS!$F$10:$F$699,0)</f>
        <v/>
      </c>
      <c r="C863" s="86">
        <f>+VLOOKUP(B863,ARTICULOS!$D$10:$I$699,6)</f>
        <v/>
      </c>
      <c r="D863" s="212" t="n"/>
      <c r="E863" s="75">
        <f>+C863&amp;F863</f>
        <v/>
      </c>
      <c r="F863" s="80" t="n"/>
      <c r="G863" s="81" t="n"/>
      <c r="H863" s="78" t="n"/>
      <c r="I863" s="78" t="n"/>
      <c r="J863" s="78" t="n"/>
    </row>
    <row r="864">
      <c r="A864" s="84">
        <f>ROW()-6</f>
        <v/>
      </c>
      <c r="B864" s="85">
        <f>+MATCH(D864,ARTICULOS!$F$10:$F$699,0)</f>
        <v/>
      </c>
      <c r="C864" s="86">
        <f>+VLOOKUP(B864,ARTICULOS!$D$10:$I$699,6)</f>
        <v/>
      </c>
      <c r="D864" s="212" t="n"/>
      <c r="E864" s="75">
        <f>+C864&amp;F864</f>
        <v/>
      </c>
      <c r="F864" s="80" t="n"/>
      <c r="G864" s="81" t="n"/>
      <c r="H864" s="78" t="n"/>
      <c r="I864" s="78" t="n"/>
      <c r="J864" s="78" t="n"/>
    </row>
    <row r="865">
      <c r="A865" s="84">
        <f>ROW()-6</f>
        <v/>
      </c>
      <c r="B865" s="85">
        <f>+MATCH(D865,ARTICULOS!$F$10:$F$699,0)</f>
        <v/>
      </c>
      <c r="C865" s="86">
        <f>+VLOOKUP(B865,ARTICULOS!$D$10:$I$699,6)</f>
        <v/>
      </c>
      <c r="D865" s="212" t="n"/>
      <c r="E865" s="75">
        <f>+C865&amp;F865</f>
        <v/>
      </c>
      <c r="F865" s="80" t="n"/>
      <c r="G865" s="81" t="n"/>
      <c r="H865" s="78" t="n"/>
      <c r="I865" s="78" t="n"/>
      <c r="J865" s="78" t="n"/>
    </row>
    <row r="866">
      <c r="A866" s="84">
        <f>ROW()-6</f>
        <v/>
      </c>
      <c r="B866" s="85">
        <f>+MATCH(D866,ARTICULOS!$F$10:$F$699,0)</f>
        <v/>
      </c>
      <c r="C866" s="86">
        <f>+VLOOKUP(B866,ARTICULOS!$D$10:$I$699,6)</f>
        <v/>
      </c>
      <c r="D866" s="212" t="n"/>
      <c r="E866" s="75">
        <f>+C866&amp;F866</f>
        <v/>
      </c>
      <c r="F866" s="80" t="n"/>
      <c r="G866" s="81" t="n"/>
      <c r="H866" s="78" t="n"/>
      <c r="I866" s="78" t="n"/>
      <c r="J866" s="78" t="n"/>
    </row>
    <row r="867">
      <c r="A867" s="84">
        <f>ROW()-6</f>
        <v/>
      </c>
      <c r="B867" s="85">
        <f>+MATCH(D867,ARTICULOS!$F$10:$F$699,0)</f>
        <v/>
      </c>
      <c r="C867" s="86">
        <f>+VLOOKUP(B867,ARTICULOS!$D$10:$I$699,6)</f>
        <v/>
      </c>
      <c r="D867" s="212" t="n"/>
      <c r="E867" s="75">
        <f>+C867&amp;F867</f>
        <v/>
      </c>
      <c r="F867" s="80" t="n"/>
      <c r="G867" s="81" t="n"/>
      <c r="H867" s="78" t="n"/>
      <c r="I867" s="78" t="n"/>
      <c r="J867" s="78" t="n"/>
    </row>
    <row r="868">
      <c r="A868" s="84">
        <f>ROW()-6</f>
        <v/>
      </c>
      <c r="B868" s="85">
        <f>+MATCH(D868,ARTICULOS!$F$10:$F$699,0)</f>
        <v/>
      </c>
      <c r="C868" s="86">
        <f>+VLOOKUP(B868,ARTICULOS!$D$10:$I$699,6)</f>
        <v/>
      </c>
      <c r="D868" s="212" t="n"/>
      <c r="E868" s="75">
        <f>+C868&amp;F868</f>
        <v/>
      </c>
      <c r="F868" s="80" t="n"/>
      <c r="G868" s="81" t="n"/>
      <c r="H868" s="78" t="n"/>
      <c r="I868" s="78" t="n"/>
      <c r="J868" s="78" t="n"/>
    </row>
    <row r="869">
      <c r="A869" s="84">
        <f>ROW()-6</f>
        <v/>
      </c>
      <c r="B869" s="85">
        <f>+MATCH(D869,ARTICULOS!$F$10:$F$699,0)</f>
        <v/>
      </c>
      <c r="C869" s="86">
        <f>+VLOOKUP(B869,ARTICULOS!$D$10:$I$699,6)</f>
        <v/>
      </c>
      <c r="D869" s="212" t="n"/>
      <c r="E869" s="75">
        <f>+C869&amp;F869</f>
        <v/>
      </c>
      <c r="F869" s="80" t="n"/>
      <c r="G869" s="81" t="n"/>
      <c r="H869" s="78" t="n"/>
      <c r="I869" s="78" t="n"/>
      <c r="J869" s="78" t="n"/>
    </row>
    <row r="870">
      <c r="A870" s="84">
        <f>ROW()-6</f>
        <v/>
      </c>
      <c r="B870" s="85">
        <f>+MATCH(D870,ARTICULOS!$F$10:$F$699,0)</f>
        <v/>
      </c>
      <c r="C870" s="86">
        <f>+VLOOKUP(B870,ARTICULOS!$D$10:$I$699,6)</f>
        <v/>
      </c>
      <c r="D870" s="212" t="n"/>
      <c r="E870" s="75">
        <f>+C870&amp;F870</f>
        <v/>
      </c>
      <c r="F870" s="80" t="n"/>
      <c r="G870" s="81" t="n"/>
      <c r="H870" s="78" t="n"/>
      <c r="I870" s="78" t="n"/>
      <c r="J870" s="78" t="n"/>
    </row>
    <row r="871">
      <c r="A871" s="84">
        <f>ROW()-6</f>
        <v/>
      </c>
      <c r="B871" s="85">
        <f>+MATCH(D871,ARTICULOS!$F$10:$F$699,0)</f>
        <v/>
      </c>
      <c r="C871" s="86">
        <f>+VLOOKUP(B871,ARTICULOS!$D$10:$I$699,6)</f>
        <v/>
      </c>
      <c r="D871" s="212" t="n"/>
      <c r="E871" s="75">
        <f>+C871&amp;F871</f>
        <v/>
      </c>
      <c r="F871" s="80" t="n"/>
      <c r="G871" s="81" t="n"/>
      <c r="H871" s="78" t="n"/>
      <c r="I871" s="78" t="n"/>
      <c r="J871" s="78" t="n"/>
    </row>
    <row r="872">
      <c r="A872" s="84">
        <f>ROW()-6</f>
        <v/>
      </c>
      <c r="B872" s="85">
        <f>+MATCH(D872,ARTICULOS!$F$10:$F$699,0)</f>
        <v/>
      </c>
      <c r="C872" s="86">
        <f>+VLOOKUP(B872,ARTICULOS!$D$10:$I$699,6)</f>
        <v/>
      </c>
      <c r="D872" s="212" t="n"/>
      <c r="E872" s="75">
        <f>+C872&amp;F872</f>
        <v/>
      </c>
      <c r="F872" s="80" t="n"/>
      <c r="G872" s="81" t="n"/>
      <c r="H872" s="78" t="n"/>
      <c r="I872" s="78" t="n"/>
      <c r="J872" s="78" t="n"/>
    </row>
    <row r="873">
      <c r="A873" s="84">
        <f>ROW()-6</f>
        <v/>
      </c>
      <c r="B873" s="85">
        <f>+MATCH(D873,ARTICULOS!$F$10:$F$699,0)</f>
        <v/>
      </c>
      <c r="C873" s="86">
        <f>+VLOOKUP(B873,ARTICULOS!$D$10:$I$699,6)</f>
        <v/>
      </c>
      <c r="D873" s="212" t="n"/>
      <c r="E873" s="75">
        <f>+C873&amp;F873</f>
        <v/>
      </c>
      <c r="F873" s="80" t="n"/>
      <c r="G873" s="81" t="n"/>
      <c r="H873" s="78" t="n"/>
      <c r="I873" s="78" t="n"/>
      <c r="J873" s="78" t="n"/>
    </row>
    <row r="874">
      <c r="A874" s="84">
        <f>ROW()-6</f>
        <v/>
      </c>
      <c r="B874" s="85">
        <f>+MATCH(D874,ARTICULOS!$F$10:$F$699,0)</f>
        <v/>
      </c>
      <c r="C874" s="86">
        <f>+VLOOKUP(B874,ARTICULOS!$D$10:$I$699,6)</f>
        <v/>
      </c>
      <c r="D874" s="212" t="n"/>
      <c r="E874" s="75">
        <f>+C874&amp;F874</f>
        <v/>
      </c>
      <c r="F874" s="80" t="n"/>
      <c r="G874" s="81" t="n"/>
      <c r="H874" s="78" t="n"/>
      <c r="I874" s="78" t="n"/>
      <c r="J874" s="78" t="n"/>
    </row>
    <row r="875">
      <c r="A875" s="84">
        <f>ROW()-6</f>
        <v/>
      </c>
      <c r="B875" s="85">
        <f>+MATCH(D875,ARTICULOS!$F$10:$F$699,0)</f>
        <v/>
      </c>
      <c r="C875" s="86">
        <f>+VLOOKUP(B875,ARTICULOS!$D$10:$I$699,6)</f>
        <v/>
      </c>
      <c r="D875" s="212" t="n"/>
      <c r="E875" s="75">
        <f>+C875&amp;F875</f>
        <v/>
      </c>
      <c r="F875" s="80" t="n"/>
      <c r="G875" s="81" t="n"/>
      <c r="H875" s="78" t="n"/>
      <c r="I875" s="78" t="n"/>
      <c r="J875" s="78" t="n"/>
    </row>
    <row r="876">
      <c r="A876" s="84">
        <f>ROW()-6</f>
        <v/>
      </c>
      <c r="B876" s="85">
        <f>+MATCH(D876,ARTICULOS!$F$10:$F$699,0)</f>
        <v/>
      </c>
      <c r="C876" s="86">
        <f>+VLOOKUP(B876,ARTICULOS!$D$10:$I$699,6)</f>
        <v/>
      </c>
      <c r="D876" s="212" t="n"/>
      <c r="E876" s="75">
        <f>+C876&amp;F876</f>
        <v/>
      </c>
      <c r="F876" s="80" t="n"/>
      <c r="G876" s="81" t="n"/>
      <c r="H876" s="78" t="n"/>
      <c r="I876" s="78" t="n"/>
      <c r="J876" s="78" t="n"/>
    </row>
    <row r="877">
      <c r="A877" s="84">
        <f>ROW()-6</f>
        <v/>
      </c>
      <c r="B877" s="85">
        <f>+MATCH(D877,ARTICULOS!$F$10:$F$699,0)</f>
        <v/>
      </c>
      <c r="C877" s="86">
        <f>+VLOOKUP(B877,ARTICULOS!$D$10:$I$699,6)</f>
        <v/>
      </c>
      <c r="D877" s="212" t="n"/>
      <c r="E877" s="75">
        <f>+C877&amp;F877</f>
        <v/>
      </c>
      <c r="F877" s="80" t="n"/>
      <c r="G877" s="81" t="n"/>
      <c r="H877" s="78" t="n"/>
      <c r="I877" s="78" t="n"/>
      <c r="J877" s="78" t="n"/>
    </row>
    <row r="878">
      <c r="A878" s="84">
        <f>ROW()-6</f>
        <v/>
      </c>
      <c r="B878" s="85">
        <f>+MATCH(D878,ARTICULOS!$F$10:$F$699,0)</f>
        <v/>
      </c>
      <c r="C878" s="86">
        <f>+VLOOKUP(B878,ARTICULOS!$D$10:$I$699,6)</f>
        <v/>
      </c>
      <c r="D878" s="212" t="n"/>
      <c r="E878" s="75">
        <f>+C878&amp;F878</f>
        <v/>
      </c>
      <c r="F878" s="80" t="n"/>
      <c r="G878" s="81" t="n"/>
      <c r="H878" s="78" t="n"/>
      <c r="I878" s="78" t="n"/>
      <c r="J878" s="78" t="n"/>
    </row>
    <row r="879">
      <c r="A879" s="84">
        <f>ROW()-6</f>
        <v/>
      </c>
      <c r="B879" s="85">
        <f>+MATCH(D879,ARTICULOS!$F$10:$F$699,0)</f>
        <v/>
      </c>
      <c r="C879" s="86">
        <f>+VLOOKUP(B879,ARTICULOS!$D$10:$I$699,6)</f>
        <v/>
      </c>
      <c r="D879" s="212" t="n"/>
      <c r="E879" s="75">
        <f>+C879&amp;F879</f>
        <v/>
      </c>
      <c r="F879" s="80" t="n"/>
      <c r="G879" s="81" t="n"/>
      <c r="H879" s="78" t="n"/>
      <c r="I879" s="78" t="n"/>
      <c r="J879" s="78" t="n"/>
    </row>
    <row r="880">
      <c r="A880" s="84">
        <f>ROW()-6</f>
        <v/>
      </c>
      <c r="B880" s="85">
        <f>+MATCH(D880,ARTICULOS!$F$10:$F$699,0)</f>
        <v/>
      </c>
      <c r="C880" s="86">
        <f>+VLOOKUP(B880,ARTICULOS!$D$10:$I$699,6)</f>
        <v/>
      </c>
      <c r="D880" s="212" t="n"/>
      <c r="E880" s="75">
        <f>+C880&amp;F880</f>
        <v/>
      </c>
      <c r="F880" s="80" t="n"/>
      <c r="G880" s="81" t="n"/>
      <c r="H880" s="78" t="n"/>
      <c r="I880" s="78" t="n"/>
      <c r="J880" s="78" t="n"/>
    </row>
    <row r="881">
      <c r="A881" s="84">
        <f>ROW()-6</f>
        <v/>
      </c>
      <c r="B881" s="85">
        <f>+MATCH(D881,ARTICULOS!$F$10:$F$699,0)</f>
        <v/>
      </c>
      <c r="C881" s="86">
        <f>+VLOOKUP(B881,ARTICULOS!$D$10:$I$699,6)</f>
        <v/>
      </c>
      <c r="D881" s="212" t="n"/>
      <c r="E881" s="75">
        <f>+C881&amp;F881</f>
        <v/>
      </c>
      <c r="F881" s="80" t="n"/>
      <c r="G881" s="81" t="n"/>
      <c r="H881" s="78" t="n"/>
      <c r="I881" s="78" t="n"/>
      <c r="J881" s="78" t="n"/>
    </row>
    <row r="882">
      <c r="A882" s="84">
        <f>ROW()-6</f>
        <v/>
      </c>
      <c r="B882" s="85">
        <f>+MATCH(D882,ARTICULOS!$F$10:$F$699,0)</f>
        <v/>
      </c>
      <c r="C882" s="86">
        <f>+VLOOKUP(B882,ARTICULOS!$D$10:$I$699,6)</f>
        <v/>
      </c>
      <c r="D882" s="212" t="n"/>
      <c r="E882" s="75">
        <f>+C882&amp;F882</f>
        <v/>
      </c>
      <c r="F882" s="80" t="n"/>
      <c r="G882" s="81" t="n"/>
      <c r="H882" s="78" t="n"/>
      <c r="I882" s="78" t="n"/>
      <c r="J882" s="78" t="n"/>
    </row>
    <row r="883">
      <c r="A883" s="84">
        <f>ROW()-6</f>
        <v/>
      </c>
      <c r="B883" s="85">
        <f>+MATCH(D883,ARTICULOS!$F$10:$F$699,0)</f>
        <v/>
      </c>
      <c r="C883" s="86">
        <f>+VLOOKUP(B883,ARTICULOS!$D$10:$I$699,6)</f>
        <v/>
      </c>
      <c r="D883" s="212" t="n"/>
      <c r="E883" s="75">
        <f>+C883&amp;F883</f>
        <v/>
      </c>
      <c r="F883" s="80" t="n"/>
      <c r="G883" s="81" t="n"/>
      <c r="H883" s="78" t="n"/>
      <c r="I883" s="78" t="n"/>
      <c r="J883" s="78" t="n"/>
    </row>
    <row r="884">
      <c r="A884" s="84">
        <f>ROW()-6</f>
        <v/>
      </c>
      <c r="B884" s="85">
        <f>+MATCH(D884,ARTICULOS!$F$10:$F$699,0)</f>
        <v/>
      </c>
      <c r="C884" s="86">
        <f>+VLOOKUP(B884,ARTICULOS!$D$10:$I$699,6)</f>
        <v/>
      </c>
      <c r="D884" s="212" t="n"/>
      <c r="E884" s="75">
        <f>+C884&amp;F884</f>
        <v/>
      </c>
      <c r="F884" s="80" t="n"/>
      <c r="G884" s="81" t="n"/>
      <c r="H884" s="78" t="n"/>
      <c r="I884" s="78" t="n"/>
      <c r="J884" s="78" t="n"/>
    </row>
    <row r="885">
      <c r="A885" s="84">
        <f>ROW()-6</f>
        <v/>
      </c>
      <c r="B885" s="85">
        <f>+MATCH(D885,ARTICULOS!$F$10:$F$699,0)</f>
        <v/>
      </c>
      <c r="C885" s="86">
        <f>+VLOOKUP(B885,ARTICULOS!$D$10:$I$699,6)</f>
        <v/>
      </c>
      <c r="D885" s="212" t="n"/>
      <c r="E885" s="75">
        <f>+C885&amp;F885</f>
        <v/>
      </c>
      <c r="F885" s="80" t="n"/>
      <c r="G885" s="81" t="n"/>
      <c r="H885" s="78" t="n"/>
      <c r="I885" s="78" t="n"/>
      <c r="J885" s="78" t="n"/>
    </row>
    <row r="886">
      <c r="A886" s="84">
        <f>ROW()-6</f>
        <v/>
      </c>
      <c r="B886" s="85">
        <f>+MATCH(D886,ARTICULOS!$F$10:$F$699,0)</f>
        <v/>
      </c>
      <c r="C886" s="86">
        <f>+VLOOKUP(B886,ARTICULOS!$D$10:$I$699,6)</f>
        <v/>
      </c>
      <c r="D886" s="212" t="n"/>
      <c r="E886" s="75">
        <f>+C886&amp;F886</f>
        <v/>
      </c>
      <c r="F886" s="80" t="n"/>
      <c r="G886" s="81" t="n"/>
      <c r="H886" s="78" t="n"/>
      <c r="I886" s="78" t="n"/>
      <c r="J886" s="78" t="n"/>
    </row>
    <row r="887">
      <c r="A887" s="84">
        <f>ROW()-6</f>
        <v/>
      </c>
      <c r="B887" s="85">
        <f>+MATCH(D887,ARTICULOS!$F$10:$F$699,0)</f>
        <v/>
      </c>
      <c r="C887" s="86">
        <f>+VLOOKUP(B887,ARTICULOS!$D$10:$I$699,6)</f>
        <v/>
      </c>
      <c r="D887" s="212" t="n"/>
      <c r="E887" s="75">
        <f>+C887&amp;F887</f>
        <v/>
      </c>
      <c r="F887" s="80" t="n"/>
      <c r="G887" s="81" t="n"/>
      <c r="H887" s="78" t="n"/>
      <c r="I887" s="78" t="n"/>
      <c r="J887" s="78" t="n"/>
    </row>
    <row r="888">
      <c r="A888" s="84">
        <f>ROW()-6</f>
        <v/>
      </c>
      <c r="B888" s="85">
        <f>+MATCH(D888,ARTICULOS!$F$10:$F$699,0)</f>
        <v/>
      </c>
      <c r="C888" s="86">
        <f>+VLOOKUP(B888,ARTICULOS!$D$10:$I$699,6)</f>
        <v/>
      </c>
      <c r="D888" s="212" t="n"/>
      <c r="E888" s="75">
        <f>+C888&amp;F888</f>
        <v/>
      </c>
      <c r="F888" s="80" t="n"/>
      <c r="G888" s="81" t="n"/>
      <c r="H888" s="78" t="n"/>
      <c r="I888" s="78" t="n"/>
      <c r="J888" s="78" t="n"/>
    </row>
    <row r="889">
      <c r="A889" s="84">
        <f>ROW()-6</f>
        <v/>
      </c>
      <c r="B889" s="85">
        <f>+MATCH(D889,ARTICULOS!$F$10:$F$699,0)</f>
        <v/>
      </c>
      <c r="C889" s="86">
        <f>+VLOOKUP(B889,ARTICULOS!$D$10:$I$699,6)</f>
        <v/>
      </c>
      <c r="D889" s="212" t="n"/>
      <c r="E889" s="75">
        <f>+C889&amp;F889</f>
        <v/>
      </c>
      <c r="F889" s="80" t="n"/>
      <c r="G889" s="81" t="n"/>
      <c r="H889" s="78" t="n"/>
      <c r="I889" s="78" t="n"/>
      <c r="J889" s="78" t="n"/>
    </row>
    <row r="890">
      <c r="A890" s="84">
        <f>ROW()-6</f>
        <v/>
      </c>
      <c r="B890" s="85">
        <f>+MATCH(D890,ARTICULOS!$F$10:$F$699,0)</f>
        <v/>
      </c>
      <c r="C890" s="86">
        <f>+VLOOKUP(B890,ARTICULOS!$D$10:$I$699,6)</f>
        <v/>
      </c>
      <c r="D890" s="212" t="n"/>
      <c r="E890" s="75">
        <f>+C890&amp;F890</f>
        <v/>
      </c>
      <c r="F890" s="80" t="n"/>
      <c r="G890" s="81" t="n"/>
      <c r="H890" s="78" t="n"/>
      <c r="I890" s="78" t="n"/>
      <c r="J890" s="78" t="n"/>
    </row>
    <row r="891">
      <c r="A891" s="84">
        <f>ROW()-6</f>
        <v/>
      </c>
      <c r="B891" s="85">
        <f>+MATCH(D891,ARTICULOS!$F$10:$F$699,0)</f>
        <v/>
      </c>
      <c r="C891" s="86">
        <f>+VLOOKUP(B891,ARTICULOS!$D$10:$I$699,6)</f>
        <v/>
      </c>
      <c r="D891" s="212" t="n"/>
      <c r="E891" s="75">
        <f>+C891&amp;F891</f>
        <v/>
      </c>
      <c r="F891" s="80" t="n"/>
      <c r="G891" s="81" t="n"/>
      <c r="H891" s="78" t="n"/>
      <c r="I891" s="78" t="n"/>
      <c r="J891" s="78" t="n"/>
    </row>
    <row r="892">
      <c r="A892" s="84">
        <f>ROW()-6</f>
        <v/>
      </c>
      <c r="B892" s="85">
        <f>+MATCH(D892,ARTICULOS!$F$10:$F$699,0)</f>
        <v/>
      </c>
      <c r="C892" s="86">
        <f>+VLOOKUP(B892,ARTICULOS!$D$10:$I$699,6)</f>
        <v/>
      </c>
      <c r="D892" s="212" t="n"/>
      <c r="E892" s="75">
        <f>+C892&amp;F892</f>
        <v/>
      </c>
      <c r="F892" s="80" t="n"/>
      <c r="G892" s="81" t="n"/>
      <c r="H892" s="78" t="n"/>
      <c r="I892" s="78" t="n"/>
      <c r="J892" s="78" t="n"/>
    </row>
    <row r="893">
      <c r="A893" s="84">
        <f>ROW()-6</f>
        <v/>
      </c>
      <c r="B893" s="85">
        <f>+MATCH(D893,ARTICULOS!$F$10:$F$699,0)</f>
        <v/>
      </c>
      <c r="C893" s="86">
        <f>+VLOOKUP(B893,ARTICULOS!$D$10:$I$699,6)</f>
        <v/>
      </c>
      <c r="D893" s="212" t="n"/>
      <c r="E893" s="75">
        <f>+C893&amp;F893</f>
        <v/>
      </c>
      <c r="F893" s="80" t="n"/>
      <c r="G893" s="81" t="n"/>
      <c r="H893" s="78" t="n"/>
      <c r="I893" s="78" t="n"/>
      <c r="J893" s="78" t="n"/>
    </row>
    <row r="894">
      <c r="A894" s="84">
        <f>ROW()-6</f>
        <v/>
      </c>
      <c r="B894" s="85">
        <f>+MATCH(D894,ARTICULOS!$F$10:$F$699,0)</f>
        <v/>
      </c>
      <c r="C894" s="86">
        <f>+VLOOKUP(B894,ARTICULOS!$D$10:$I$699,6)</f>
        <v/>
      </c>
      <c r="D894" s="212" t="n"/>
      <c r="E894" s="75">
        <f>+C894&amp;F894</f>
        <v/>
      </c>
      <c r="F894" s="80" t="n"/>
      <c r="G894" s="81" t="n"/>
      <c r="H894" s="78" t="n"/>
      <c r="I894" s="78" t="n"/>
      <c r="J894" s="78" t="n"/>
    </row>
    <row r="895">
      <c r="A895" s="84">
        <f>ROW()-6</f>
        <v/>
      </c>
      <c r="B895" s="85">
        <f>+MATCH(D895,ARTICULOS!$F$10:$F$699,0)</f>
        <v/>
      </c>
      <c r="C895" s="86">
        <f>+VLOOKUP(B895,ARTICULOS!$D$10:$I$699,6)</f>
        <v/>
      </c>
      <c r="D895" s="212" t="n"/>
      <c r="E895" s="75">
        <f>+C895&amp;F895</f>
        <v/>
      </c>
      <c r="F895" s="80" t="n"/>
      <c r="G895" s="81" t="n"/>
      <c r="H895" s="78" t="n"/>
      <c r="I895" s="78" t="n"/>
      <c r="J895" s="78" t="n"/>
    </row>
    <row r="896">
      <c r="A896" s="84">
        <f>ROW()-6</f>
        <v/>
      </c>
      <c r="B896" s="85">
        <f>+MATCH(D896,ARTICULOS!$F$10:$F$699,0)</f>
        <v/>
      </c>
      <c r="C896" s="86">
        <f>+VLOOKUP(B896,ARTICULOS!$D$10:$I$699,6)</f>
        <v/>
      </c>
      <c r="D896" s="212" t="n"/>
      <c r="E896" s="75">
        <f>+C896&amp;F896</f>
        <v/>
      </c>
      <c r="F896" s="80" t="n"/>
      <c r="G896" s="81" t="n"/>
      <c r="H896" s="78" t="n"/>
      <c r="I896" s="78" t="n"/>
      <c r="J896" s="78" t="n"/>
    </row>
    <row r="897">
      <c r="A897" s="84">
        <f>ROW()-6</f>
        <v/>
      </c>
      <c r="B897" s="85">
        <f>+MATCH(D897,ARTICULOS!$F$10:$F$699,0)</f>
        <v/>
      </c>
      <c r="C897" s="86">
        <f>+VLOOKUP(B897,ARTICULOS!$D$10:$I$699,6)</f>
        <v/>
      </c>
      <c r="D897" s="212" t="n"/>
      <c r="E897" s="75">
        <f>+C897&amp;F897</f>
        <v/>
      </c>
      <c r="F897" s="80" t="n"/>
      <c r="G897" s="81" t="n"/>
      <c r="H897" s="78" t="n"/>
      <c r="I897" s="78" t="n"/>
      <c r="J897" s="78" t="n"/>
    </row>
    <row r="898">
      <c r="A898" s="84">
        <f>ROW()-6</f>
        <v/>
      </c>
      <c r="B898" s="85">
        <f>+MATCH(D898,ARTICULOS!$F$10:$F$699,0)</f>
        <v/>
      </c>
      <c r="C898" s="86">
        <f>+VLOOKUP(B898,ARTICULOS!$D$10:$I$699,6)</f>
        <v/>
      </c>
      <c r="D898" s="212" t="n"/>
      <c r="E898" s="75">
        <f>+C898&amp;F898</f>
        <v/>
      </c>
      <c r="F898" s="80" t="n"/>
      <c r="G898" s="81" t="n"/>
      <c r="H898" s="78" t="n"/>
      <c r="I898" s="78" t="n"/>
      <c r="J898" s="78" t="n"/>
    </row>
    <row r="899">
      <c r="A899" s="84">
        <f>ROW()-6</f>
        <v/>
      </c>
      <c r="B899" s="85">
        <f>+MATCH(D899,ARTICULOS!$F$10:$F$699,0)</f>
        <v/>
      </c>
      <c r="C899" s="86">
        <f>+VLOOKUP(B899,ARTICULOS!$D$10:$I$699,6)</f>
        <v/>
      </c>
      <c r="D899" s="212" t="n"/>
      <c r="E899" s="75">
        <f>+C899&amp;F899</f>
        <v/>
      </c>
      <c r="F899" s="80" t="n"/>
      <c r="G899" s="81" t="n"/>
      <c r="H899" s="78" t="n"/>
      <c r="I899" s="78" t="n"/>
      <c r="J899" s="78" t="n"/>
    </row>
    <row r="900">
      <c r="A900" s="84">
        <f>ROW()-6</f>
        <v/>
      </c>
      <c r="B900" s="85">
        <f>+MATCH(D900,ARTICULOS!$F$10:$F$699,0)</f>
        <v/>
      </c>
      <c r="C900" s="86">
        <f>+VLOOKUP(B900,ARTICULOS!$D$10:$I$699,6)</f>
        <v/>
      </c>
      <c r="D900" s="212" t="n"/>
      <c r="E900" s="75">
        <f>+C900&amp;F900</f>
        <v/>
      </c>
      <c r="F900" s="80" t="n"/>
      <c r="G900" s="81" t="n"/>
      <c r="H900" s="78" t="n"/>
      <c r="I900" s="78" t="n"/>
      <c r="J900" s="78" t="n"/>
    </row>
    <row r="901">
      <c r="A901" s="84">
        <f>ROW()-6</f>
        <v/>
      </c>
      <c r="B901" s="85">
        <f>+MATCH(D901,ARTICULOS!$F$10:$F$699,0)</f>
        <v/>
      </c>
      <c r="C901" s="86">
        <f>+VLOOKUP(B901,ARTICULOS!$D$10:$I$699,6)</f>
        <v/>
      </c>
      <c r="D901" s="212" t="n"/>
      <c r="E901" s="75">
        <f>+C901&amp;F901</f>
        <v/>
      </c>
      <c r="F901" s="80" t="n"/>
      <c r="G901" s="81" t="n"/>
      <c r="H901" s="78" t="n"/>
      <c r="I901" s="78" t="n"/>
      <c r="J901" s="78" t="n"/>
    </row>
    <row r="902">
      <c r="A902" s="84">
        <f>ROW()-6</f>
        <v/>
      </c>
      <c r="B902" s="85">
        <f>+MATCH(D902,ARTICULOS!$F$10:$F$699,0)</f>
        <v/>
      </c>
      <c r="C902" s="86">
        <f>+VLOOKUP(B902,ARTICULOS!$D$10:$I$699,6)</f>
        <v/>
      </c>
      <c r="D902" s="212" t="n"/>
      <c r="E902" s="75">
        <f>+C902&amp;F902</f>
        <v/>
      </c>
      <c r="F902" s="80" t="n"/>
      <c r="G902" s="81" t="n"/>
      <c r="H902" s="78" t="n"/>
      <c r="I902" s="78" t="n"/>
      <c r="J902" s="78" t="n"/>
    </row>
    <row r="903">
      <c r="A903" s="84">
        <f>ROW()-6</f>
        <v/>
      </c>
      <c r="B903" s="85">
        <f>+MATCH(D903,ARTICULOS!$F$10:$F$699,0)</f>
        <v/>
      </c>
      <c r="C903" s="86">
        <f>+VLOOKUP(B903,ARTICULOS!$D$10:$I$699,6)</f>
        <v/>
      </c>
      <c r="D903" s="212" t="n"/>
      <c r="E903" s="75">
        <f>+C903&amp;F903</f>
        <v/>
      </c>
      <c r="F903" s="80" t="n"/>
      <c r="G903" s="81" t="n"/>
      <c r="H903" s="78" t="n"/>
      <c r="I903" s="78" t="n"/>
      <c r="J903" s="78" t="n"/>
    </row>
    <row r="904">
      <c r="A904" s="84">
        <f>ROW()-6</f>
        <v/>
      </c>
      <c r="B904" s="85">
        <f>+MATCH(D904,ARTICULOS!$F$10:$F$699,0)</f>
        <v/>
      </c>
      <c r="C904" s="86">
        <f>+VLOOKUP(B904,ARTICULOS!$D$10:$I$699,6)</f>
        <v/>
      </c>
      <c r="D904" s="212" t="n"/>
      <c r="E904" s="75">
        <f>+C904&amp;F904</f>
        <v/>
      </c>
      <c r="F904" s="80" t="n"/>
      <c r="G904" s="81" t="n"/>
      <c r="H904" s="78" t="n"/>
      <c r="I904" s="78" t="n"/>
      <c r="J904" s="78" t="n"/>
    </row>
    <row r="905">
      <c r="A905" s="84">
        <f>ROW()-6</f>
        <v/>
      </c>
      <c r="B905" s="85">
        <f>+MATCH(D905,ARTICULOS!$F$10:$F$699,0)</f>
        <v/>
      </c>
      <c r="C905" s="86">
        <f>+VLOOKUP(B905,ARTICULOS!$D$10:$I$699,6)</f>
        <v/>
      </c>
      <c r="D905" s="212" t="n"/>
      <c r="E905" s="75">
        <f>+C905&amp;F905</f>
        <v/>
      </c>
      <c r="F905" s="80" t="n"/>
      <c r="G905" s="81" t="n"/>
      <c r="H905" s="78" t="n"/>
      <c r="I905" s="78" t="n"/>
      <c r="J905" s="78" t="n"/>
    </row>
    <row r="906">
      <c r="A906" s="84">
        <f>ROW()-6</f>
        <v/>
      </c>
      <c r="B906" s="85">
        <f>+MATCH(D906,ARTICULOS!$F$10:$F$699,0)</f>
        <v/>
      </c>
      <c r="C906" s="86">
        <f>+VLOOKUP(B906,ARTICULOS!$D$10:$I$699,6)</f>
        <v/>
      </c>
      <c r="D906" s="212" t="n"/>
      <c r="E906" s="75">
        <f>+C906&amp;F906</f>
        <v/>
      </c>
      <c r="F906" s="80" t="n"/>
      <c r="G906" s="81" t="n"/>
      <c r="H906" s="78" t="n"/>
      <c r="I906" s="78" t="n"/>
      <c r="J906" s="78" t="n"/>
    </row>
    <row r="907">
      <c r="A907" s="84">
        <f>ROW()-6</f>
        <v/>
      </c>
      <c r="B907" s="85">
        <f>+MATCH(D907,ARTICULOS!$F$10:$F$699,0)</f>
        <v/>
      </c>
      <c r="C907" s="86">
        <f>+VLOOKUP(B907,ARTICULOS!$D$10:$I$699,6)</f>
        <v/>
      </c>
      <c r="D907" s="212" t="n"/>
      <c r="E907" s="75">
        <f>+C907&amp;F907</f>
        <v/>
      </c>
      <c r="F907" s="80" t="n"/>
      <c r="G907" s="81" t="n"/>
      <c r="H907" s="78" t="n"/>
      <c r="I907" s="78" t="n"/>
      <c r="J907" s="78" t="n"/>
    </row>
    <row r="908">
      <c r="A908" s="84">
        <f>ROW()-6</f>
        <v/>
      </c>
      <c r="B908" s="85">
        <f>+MATCH(D908,ARTICULOS!$F$10:$F$699,0)</f>
        <v/>
      </c>
      <c r="C908" s="86">
        <f>+VLOOKUP(B908,ARTICULOS!$D$10:$I$699,6)</f>
        <v/>
      </c>
      <c r="D908" s="212" t="n"/>
      <c r="E908" s="75">
        <f>+C908&amp;F908</f>
        <v/>
      </c>
      <c r="F908" s="80" t="n"/>
      <c r="G908" s="81" t="n"/>
      <c r="H908" s="78" t="n"/>
      <c r="I908" s="78" t="n"/>
      <c r="J908" s="78" t="n"/>
    </row>
    <row r="909">
      <c r="A909" s="84">
        <f>ROW()-6</f>
        <v/>
      </c>
      <c r="B909" s="85">
        <f>+MATCH(D909,ARTICULOS!$F$10:$F$699,0)</f>
        <v/>
      </c>
      <c r="C909" s="86">
        <f>+VLOOKUP(B909,ARTICULOS!$D$10:$I$699,6)</f>
        <v/>
      </c>
      <c r="D909" s="212" t="n"/>
      <c r="E909" s="75">
        <f>+C909&amp;F909</f>
        <v/>
      </c>
      <c r="F909" s="80" t="n"/>
      <c r="G909" s="81" t="n"/>
      <c r="H909" s="78" t="n"/>
      <c r="I909" s="78" t="n"/>
      <c r="J909" s="78" t="n"/>
    </row>
    <row r="910">
      <c r="A910" s="84">
        <f>ROW()-6</f>
        <v/>
      </c>
      <c r="B910" s="85">
        <f>+MATCH(D910,ARTICULOS!$F$10:$F$699,0)</f>
        <v/>
      </c>
      <c r="C910" s="86">
        <f>+VLOOKUP(B910,ARTICULOS!$D$10:$I$699,6)</f>
        <v/>
      </c>
      <c r="D910" s="212" t="n"/>
      <c r="E910" s="75">
        <f>+C910&amp;F910</f>
        <v/>
      </c>
      <c r="F910" s="80" t="n"/>
      <c r="G910" s="81" t="n"/>
      <c r="H910" s="78" t="n"/>
      <c r="I910" s="78" t="n"/>
      <c r="J910" s="78" t="n"/>
    </row>
    <row r="911">
      <c r="A911" s="84">
        <f>ROW()-6</f>
        <v/>
      </c>
      <c r="B911" s="85">
        <f>+MATCH(D911,ARTICULOS!$F$10:$F$699,0)</f>
        <v/>
      </c>
      <c r="C911" s="86">
        <f>+VLOOKUP(B911,ARTICULOS!$D$10:$I$699,6)</f>
        <v/>
      </c>
      <c r="D911" s="212" t="n"/>
      <c r="E911" s="75">
        <f>+C911&amp;F911</f>
        <v/>
      </c>
      <c r="F911" s="80" t="n"/>
      <c r="G911" s="81" t="n"/>
      <c r="H911" s="78" t="n"/>
      <c r="I911" s="78" t="n"/>
      <c r="J911" s="78" t="n"/>
    </row>
    <row r="912">
      <c r="A912" s="84">
        <f>ROW()-6</f>
        <v/>
      </c>
      <c r="B912" s="85">
        <f>+MATCH(D912,ARTICULOS!$F$10:$F$699,0)</f>
        <v/>
      </c>
      <c r="C912" s="86">
        <f>+VLOOKUP(B912,ARTICULOS!$D$10:$I$699,6)</f>
        <v/>
      </c>
      <c r="D912" s="212" t="n"/>
      <c r="E912" s="75">
        <f>+C912&amp;F912</f>
        <v/>
      </c>
      <c r="F912" s="80" t="n"/>
      <c r="G912" s="81" t="n"/>
      <c r="H912" s="78" t="n"/>
      <c r="I912" s="78" t="n"/>
      <c r="J912" s="78" t="n"/>
    </row>
    <row r="913">
      <c r="A913" s="84">
        <f>ROW()-6</f>
        <v/>
      </c>
      <c r="B913" s="85">
        <f>+MATCH(D913,ARTICULOS!$F$10:$F$699,0)</f>
        <v/>
      </c>
      <c r="C913" s="86">
        <f>+VLOOKUP(B913,ARTICULOS!$D$10:$I$699,6)</f>
        <v/>
      </c>
      <c r="D913" s="212" t="n"/>
      <c r="E913" s="75">
        <f>+C913&amp;F913</f>
        <v/>
      </c>
      <c r="F913" s="80" t="n"/>
      <c r="G913" s="81" t="n"/>
      <c r="H913" s="78" t="n"/>
      <c r="I913" s="78" t="n"/>
      <c r="J913" s="78" t="n"/>
    </row>
    <row r="914">
      <c r="A914" s="84">
        <f>ROW()-6</f>
        <v/>
      </c>
      <c r="B914" s="85">
        <f>+MATCH(D914,ARTICULOS!$F$10:$F$699,0)</f>
        <v/>
      </c>
      <c r="C914" s="86">
        <f>+VLOOKUP(B914,ARTICULOS!$D$10:$I$699,6)</f>
        <v/>
      </c>
      <c r="D914" s="212" t="n"/>
      <c r="E914" s="75">
        <f>+C914&amp;F914</f>
        <v/>
      </c>
      <c r="F914" s="80" t="n"/>
      <c r="G914" s="81" t="n"/>
      <c r="H914" s="78" t="n"/>
      <c r="I914" s="78" t="n"/>
      <c r="J914" s="78" t="n"/>
    </row>
    <row r="915">
      <c r="A915" s="84">
        <f>ROW()-6</f>
        <v/>
      </c>
      <c r="B915" s="85">
        <f>+MATCH(D915,ARTICULOS!$F$10:$F$699,0)</f>
        <v/>
      </c>
      <c r="C915" s="86">
        <f>+VLOOKUP(B915,ARTICULOS!$D$10:$I$699,6)</f>
        <v/>
      </c>
      <c r="D915" s="212" t="n"/>
      <c r="E915" s="75">
        <f>+C915&amp;F915</f>
        <v/>
      </c>
      <c r="F915" s="80" t="n"/>
      <c r="G915" s="81" t="n"/>
      <c r="H915" s="78" t="n"/>
      <c r="I915" s="78" t="n"/>
      <c r="J915" s="78" t="n"/>
    </row>
    <row r="916">
      <c r="A916" s="84">
        <f>ROW()-6</f>
        <v/>
      </c>
      <c r="B916" s="85">
        <f>+MATCH(D916,ARTICULOS!$F$10:$F$699,0)</f>
        <v/>
      </c>
      <c r="C916" s="86">
        <f>+VLOOKUP(B916,ARTICULOS!$D$10:$I$699,6)</f>
        <v/>
      </c>
      <c r="D916" s="212" t="n"/>
      <c r="E916" s="75">
        <f>+C916&amp;F916</f>
        <v/>
      </c>
      <c r="F916" s="80" t="n"/>
      <c r="G916" s="81" t="n"/>
      <c r="H916" s="78" t="n"/>
      <c r="I916" s="78" t="n"/>
      <c r="J916" s="78" t="n"/>
    </row>
    <row r="917">
      <c r="A917" s="84">
        <f>ROW()-6</f>
        <v/>
      </c>
      <c r="B917" s="85">
        <f>+MATCH(D917,ARTICULOS!$F$10:$F$699,0)</f>
        <v/>
      </c>
      <c r="C917" s="86">
        <f>+VLOOKUP(B917,ARTICULOS!$D$10:$I$699,6)</f>
        <v/>
      </c>
      <c r="D917" s="212" t="n"/>
      <c r="E917" s="75">
        <f>+C917&amp;F917</f>
        <v/>
      </c>
      <c r="F917" s="80" t="n"/>
      <c r="G917" s="81" t="n"/>
      <c r="H917" s="78" t="n"/>
      <c r="I917" s="78" t="n"/>
      <c r="J917" s="78" t="n"/>
    </row>
    <row r="918">
      <c r="A918" s="84">
        <f>ROW()-6</f>
        <v/>
      </c>
      <c r="B918" s="85">
        <f>+MATCH(D918,ARTICULOS!$F$10:$F$699,0)</f>
        <v/>
      </c>
      <c r="C918" s="86">
        <f>+VLOOKUP(B918,ARTICULOS!$D$10:$I$699,6)</f>
        <v/>
      </c>
      <c r="D918" s="212" t="n"/>
      <c r="E918" s="75">
        <f>+C918&amp;F918</f>
        <v/>
      </c>
      <c r="F918" s="80" t="n"/>
      <c r="G918" s="81" t="n"/>
      <c r="H918" s="78" t="n"/>
      <c r="I918" s="78" t="n"/>
      <c r="J918" s="78" t="n"/>
    </row>
    <row r="919">
      <c r="A919" s="84">
        <f>ROW()-6</f>
        <v/>
      </c>
      <c r="B919" s="85">
        <f>+MATCH(D919,ARTICULOS!$F$10:$F$699,0)</f>
        <v/>
      </c>
      <c r="C919" s="86">
        <f>+VLOOKUP(B919,ARTICULOS!$D$10:$I$699,6)</f>
        <v/>
      </c>
      <c r="D919" s="212" t="n"/>
      <c r="E919" s="75">
        <f>+C919&amp;F919</f>
        <v/>
      </c>
      <c r="F919" s="80" t="n"/>
      <c r="G919" s="81" t="n"/>
      <c r="H919" s="78" t="n"/>
      <c r="I919" s="78" t="n"/>
      <c r="J919" s="78" t="n"/>
    </row>
    <row r="920">
      <c r="A920" s="84">
        <f>ROW()-6</f>
        <v/>
      </c>
      <c r="B920" s="85">
        <f>+MATCH(D920,ARTICULOS!$F$10:$F$699,0)</f>
        <v/>
      </c>
      <c r="C920" s="86">
        <f>+VLOOKUP(B920,ARTICULOS!$D$10:$I$699,6)</f>
        <v/>
      </c>
      <c r="D920" s="212" t="n"/>
      <c r="E920" s="75">
        <f>+C920&amp;F920</f>
        <v/>
      </c>
      <c r="F920" s="80" t="n"/>
      <c r="G920" s="81" t="n"/>
      <c r="H920" s="78" t="n"/>
      <c r="I920" s="78" t="n"/>
      <c r="J920" s="78" t="n"/>
    </row>
    <row r="921">
      <c r="A921" s="84">
        <f>ROW()-6</f>
        <v/>
      </c>
      <c r="B921" s="85">
        <f>+MATCH(D921,ARTICULOS!$F$10:$F$699,0)</f>
        <v/>
      </c>
      <c r="C921" s="86">
        <f>+VLOOKUP(B921,ARTICULOS!$D$10:$I$699,6)</f>
        <v/>
      </c>
      <c r="D921" s="212" t="n"/>
      <c r="E921" s="75">
        <f>+C921&amp;F921</f>
        <v/>
      </c>
      <c r="F921" s="80" t="n"/>
      <c r="G921" s="81" t="n"/>
      <c r="H921" s="78" t="n"/>
      <c r="I921" s="78" t="n"/>
      <c r="J921" s="78" t="n"/>
    </row>
    <row r="922">
      <c r="A922" s="84">
        <f>ROW()-6</f>
        <v/>
      </c>
      <c r="B922" s="85">
        <f>+MATCH(D922,ARTICULOS!$F$10:$F$699,0)</f>
        <v/>
      </c>
      <c r="C922" s="86">
        <f>+VLOOKUP(B922,ARTICULOS!$D$10:$I$699,6)</f>
        <v/>
      </c>
      <c r="D922" s="212" t="n"/>
      <c r="E922" s="75">
        <f>+C922&amp;F922</f>
        <v/>
      </c>
      <c r="F922" s="80" t="n"/>
      <c r="G922" s="81" t="n"/>
      <c r="H922" s="78" t="n"/>
      <c r="I922" s="78" t="n"/>
      <c r="J922" s="78" t="n"/>
    </row>
    <row r="923">
      <c r="A923" s="84">
        <f>ROW()-6</f>
        <v/>
      </c>
      <c r="B923" s="85">
        <f>+MATCH(D923,ARTICULOS!$F$10:$F$699,0)</f>
        <v/>
      </c>
      <c r="C923" s="86">
        <f>+VLOOKUP(B923,ARTICULOS!$D$10:$I$699,6)</f>
        <v/>
      </c>
      <c r="D923" s="212" t="n"/>
      <c r="E923" s="75">
        <f>+C923&amp;F923</f>
        <v/>
      </c>
      <c r="F923" s="80" t="n"/>
      <c r="G923" s="81" t="n"/>
      <c r="H923" s="78" t="n"/>
      <c r="I923" s="78" t="n"/>
      <c r="J923" s="78" t="n"/>
    </row>
    <row r="924">
      <c r="A924" s="84">
        <f>ROW()-6</f>
        <v/>
      </c>
      <c r="B924" s="85">
        <f>+MATCH(D924,ARTICULOS!$F$10:$F$699,0)</f>
        <v/>
      </c>
      <c r="C924" s="86">
        <f>+VLOOKUP(B924,ARTICULOS!$D$10:$I$699,6)</f>
        <v/>
      </c>
      <c r="D924" s="212" t="n"/>
      <c r="E924" s="75">
        <f>+C924&amp;F924</f>
        <v/>
      </c>
      <c r="F924" s="80" t="n"/>
      <c r="G924" s="81" t="n"/>
      <c r="H924" s="78" t="n"/>
      <c r="I924" s="78" t="n"/>
      <c r="J924" s="78" t="n"/>
    </row>
    <row r="925">
      <c r="A925" s="84">
        <f>ROW()-6</f>
        <v/>
      </c>
      <c r="B925" s="85">
        <f>+MATCH(D925,ARTICULOS!$F$10:$F$699,0)</f>
        <v/>
      </c>
      <c r="C925" s="86">
        <f>+VLOOKUP(B925,ARTICULOS!$D$10:$I$699,6)</f>
        <v/>
      </c>
      <c r="D925" s="212" t="n"/>
      <c r="E925" s="75">
        <f>+C925&amp;F925</f>
        <v/>
      </c>
      <c r="F925" s="80" t="n"/>
      <c r="G925" s="81" t="n"/>
      <c r="H925" s="78" t="n"/>
      <c r="I925" s="78" t="n"/>
      <c r="J925" s="78" t="n"/>
    </row>
    <row r="926">
      <c r="A926" s="84">
        <f>ROW()-6</f>
        <v/>
      </c>
      <c r="B926" s="85">
        <f>+MATCH(D926,ARTICULOS!$F$10:$F$699,0)</f>
        <v/>
      </c>
      <c r="C926" s="86">
        <f>+VLOOKUP(B926,ARTICULOS!$D$10:$I$699,6)</f>
        <v/>
      </c>
      <c r="D926" s="212" t="n"/>
      <c r="E926" s="75">
        <f>+C926&amp;F926</f>
        <v/>
      </c>
      <c r="F926" s="80" t="n"/>
      <c r="G926" s="81" t="n"/>
      <c r="H926" s="78" t="n"/>
      <c r="I926" s="78" t="n"/>
      <c r="J926" s="78" t="n"/>
    </row>
    <row r="927">
      <c r="A927" s="84">
        <f>ROW()-6</f>
        <v/>
      </c>
      <c r="B927" s="85">
        <f>+MATCH(D927,ARTICULOS!$F$10:$F$699,0)</f>
        <v/>
      </c>
      <c r="C927" s="86">
        <f>+VLOOKUP(B927,ARTICULOS!$D$10:$I$699,6)</f>
        <v/>
      </c>
      <c r="D927" s="212" t="n"/>
      <c r="E927" s="75">
        <f>+C927&amp;F927</f>
        <v/>
      </c>
      <c r="F927" s="80" t="n"/>
      <c r="G927" s="81" t="n"/>
      <c r="H927" s="78" t="n"/>
      <c r="I927" s="78" t="n"/>
      <c r="J927" s="78" t="n"/>
    </row>
    <row r="928">
      <c r="A928" s="84">
        <f>ROW()-6</f>
        <v/>
      </c>
      <c r="B928" s="85">
        <f>+MATCH(D928,ARTICULOS!$F$10:$F$699,0)</f>
        <v/>
      </c>
      <c r="C928" s="86">
        <f>+VLOOKUP(B928,ARTICULOS!$D$10:$I$699,6)</f>
        <v/>
      </c>
      <c r="D928" s="212" t="n"/>
      <c r="E928" s="75">
        <f>+C928&amp;F928</f>
        <v/>
      </c>
      <c r="F928" s="80" t="n"/>
      <c r="G928" s="81" t="n"/>
      <c r="H928" s="78" t="n"/>
      <c r="I928" s="78" t="n"/>
      <c r="J928" s="78" t="n"/>
    </row>
    <row r="929">
      <c r="A929" s="84">
        <f>ROW()-6</f>
        <v/>
      </c>
      <c r="B929" s="85">
        <f>+MATCH(D929,ARTICULOS!$F$10:$F$699,0)</f>
        <v/>
      </c>
      <c r="C929" s="86">
        <f>+VLOOKUP(B929,ARTICULOS!$D$10:$I$699,6)</f>
        <v/>
      </c>
      <c r="D929" s="212" t="n"/>
      <c r="E929" s="75">
        <f>+C929&amp;F929</f>
        <v/>
      </c>
      <c r="F929" s="80" t="n"/>
      <c r="G929" s="81" t="n"/>
      <c r="H929" s="78" t="n"/>
      <c r="I929" s="78" t="n"/>
      <c r="J929" s="78" t="n"/>
    </row>
    <row r="930">
      <c r="A930" s="84">
        <f>ROW()-6</f>
        <v/>
      </c>
      <c r="B930" s="85">
        <f>+MATCH(D930,ARTICULOS!$F$10:$F$699,0)</f>
        <v/>
      </c>
      <c r="C930" s="86">
        <f>+VLOOKUP(B930,ARTICULOS!$D$10:$I$699,6)</f>
        <v/>
      </c>
      <c r="D930" s="212" t="n"/>
      <c r="E930" s="75">
        <f>+C930&amp;F930</f>
        <v/>
      </c>
      <c r="F930" s="80" t="n"/>
      <c r="G930" s="81" t="n"/>
      <c r="H930" s="78" t="n"/>
      <c r="I930" s="78" t="n"/>
      <c r="J930" s="78" t="n"/>
    </row>
    <row r="931">
      <c r="A931" s="84">
        <f>ROW()-6</f>
        <v/>
      </c>
      <c r="B931" s="85">
        <f>+MATCH(D931,ARTICULOS!$F$10:$F$699,0)</f>
        <v/>
      </c>
      <c r="C931" s="86">
        <f>+VLOOKUP(B931,ARTICULOS!$D$10:$I$699,6)</f>
        <v/>
      </c>
      <c r="D931" s="212" t="n"/>
      <c r="E931" s="75">
        <f>+C931&amp;F931</f>
        <v/>
      </c>
      <c r="F931" s="80" t="n"/>
      <c r="G931" s="81" t="n"/>
      <c r="H931" s="78" t="n"/>
      <c r="I931" s="78" t="n"/>
      <c r="J931" s="78" t="n"/>
    </row>
    <row r="932">
      <c r="A932" s="84">
        <f>ROW()-6</f>
        <v/>
      </c>
      <c r="B932" s="85">
        <f>+MATCH(D932,ARTICULOS!$F$10:$F$699,0)</f>
        <v/>
      </c>
      <c r="C932" s="86">
        <f>+VLOOKUP(B932,ARTICULOS!$D$10:$I$699,6)</f>
        <v/>
      </c>
      <c r="D932" s="212" t="n"/>
      <c r="E932" s="75">
        <f>+C932&amp;F932</f>
        <v/>
      </c>
      <c r="F932" s="80" t="n"/>
      <c r="G932" s="81" t="n"/>
      <c r="H932" s="78" t="n"/>
      <c r="I932" s="78" t="n"/>
      <c r="J932" s="78" t="n"/>
    </row>
    <row r="933">
      <c r="A933" s="84">
        <f>ROW()-6</f>
        <v/>
      </c>
      <c r="B933" s="85">
        <f>+MATCH(D933,ARTICULOS!$F$10:$F$699,0)</f>
        <v/>
      </c>
      <c r="C933" s="86">
        <f>+VLOOKUP(B933,ARTICULOS!$D$10:$I$699,6)</f>
        <v/>
      </c>
      <c r="D933" s="212" t="n"/>
      <c r="E933" s="75">
        <f>+C933&amp;F933</f>
        <v/>
      </c>
      <c r="F933" s="80" t="n"/>
      <c r="G933" s="81" t="n"/>
      <c r="H933" s="78" t="n"/>
      <c r="I933" s="78" t="n"/>
      <c r="J933" s="78" t="n"/>
    </row>
    <row r="934">
      <c r="A934" s="84">
        <f>ROW()-6</f>
        <v/>
      </c>
      <c r="B934" s="85">
        <f>+MATCH(D934,ARTICULOS!$F$10:$F$699,0)</f>
        <v/>
      </c>
      <c r="C934" s="86">
        <f>+VLOOKUP(B934,ARTICULOS!$D$10:$I$699,6)</f>
        <v/>
      </c>
      <c r="D934" s="212" t="n"/>
      <c r="E934" s="75">
        <f>+C934&amp;F934</f>
        <v/>
      </c>
      <c r="F934" s="80" t="n"/>
      <c r="G934" s="81" t="n"/>
      <c r="H934" s="78" t="n"/>
      <c r="I934" s="78" t="n"/>
      <c r="J934" s="78" t="n"/>
    </row>
    <row r="935">
      <c r="A935" s="84">
        <f>ROW()-6</f>
        <v/>
      </c>
      <c r="B935" s="85">
        <f>+MATCH(D935,ARTICULOS!$F$10:$F$699,0)</f>
        <v/>
      </c>
      <c r="C935" s="86">
        <f>+VLOOKUP(B935,ARTICULOS!$D$10:$I$699,6)</f>
        <v/>
      </c>
      <c r="D935" s="212" t="n"/>
      <c r="E935" s="75">
        <f>+C935&amp;F935</f>
        <v/>
      </c>
      <c r="F935" s="80" t="n"/>
      <c r="G935" s="81" t="n"/>
      <c r="H935" s="78" t="n"/>
      <c r="I935" s="78" t="n"/>
      <c r="J935" s="78" t="n"/>
    </row>
    <row r="936">
      <c r="A936" s="84">
        <f>ROW()-6</f>
        <v/>
      </c>
      <c r="B936" s="85">
        <f>+MATCH(D936,ARTICULOS!$F$10:$F$699,0)</f>
        <v/>
      </c>
      <c r="C936" s="86">
        <f>+VLOOKUP(B936,ARTICULOS!$D$10:$I$699,6)</f>
        <v/>
      </c>
      <c r="D936" s="212" t="n"/>
      <c r="E936" s="75">
        <f>+C936&amp;F936</f>
        <v/>
      </c>
      <c r="F936" s="80" t="n"/>
      <c r="G936" s="81" t="n"/>
      <c r="H936" s="78" t="n"/>
      <c r="I936" s="78" t="n"/>
      <c r="J936" s="78" t="n"/>
    </row>
    <row r="937">
      <c r="A937" s="84">
        <f>ROW()-6</f>
        <v/>
      </c>
      <c r="B937" s="85">
        <f>+MATCH(D937,ARTICULOS!$F$10:$F$699,0)</f>
        <v/>
      </c>
      <c r="C937" s="86">
        <f>+VLOOKUP(B937,ARTICULOS!$D$10:$I$699,6)</f>
        <v/>
      </c>
      <c r="D937" s="212" t="n"/>
      <c r="E937" s="75">
        <f>+C937&amp;F937</f>
        <v/>
      </c>
      <c r="F937" s="80" t="n"/>
      <c r="G937" s="81" t="n"/>
      <c r="H937" s="78" t="n"/>
      <c r="I937" s="78" t="n"/>
      <c r="J937" s="78" t="n"/>
    </row>
    <row r="938">
      <c r="A938" s="84">
        <f>ROW()-6</f>
        <v/>
      </c>
      <c r="B938" s="85">
        <f>+MATCH(D938,ARTICULOS!$F$10:$F$699,0)</f>
        <v/>
      </c>
      <c r="C938" s="86">
        <f>+VLOOKUP(B938,ARTICULOS!$D$10:$I$699,6)</f>
        <v/>
      </c>
      <c r="D938" s="212" t="n"/>
      <c r="E938" s="75">
        <f>+C938&amp;F938</f>
        <v/>
      </c>
      <c r="F938" s="80" t="n"/>
      <c r="G938" s="81" t="n"/>
      <c r="H938" s="78" t="n"/>
      <c r="I938" s="78" t="n"/>
      <c r="J938" s="78" t="n"/>
    </row>
    <row r="939">
      <c r="A939" s="84">
        <f>ROW()-6</f>
        <v/>
      </c>
      <c r="B939" s="85">
        <f>+MATCH(D939,ARTICULOS!$F$10:$F$699,0)</f>
        <v/>
      </c>
      <c r="C939" s="86">
        <f>+VLOOKUP(B939,ARTICULOS!$D$10:$I$699,6)</f>
        <v/>
      </c>
      <c r="D939" s="212" t="n"/>
      <c r="E939" s="75">
        <f>+C939&amp;F939</f>
        <v/>
      </c>
      <c r="F939" s="80" t="n"/>
      <c r="G939" s="81" t="n"/>
      <c r="H939" s="78" t="n"/>
      <c r="I939" s="78" t="n"/>
      <c r="J939" s="78" t="n"/>
    </row>
    <row r="940">
      <c r="A940" s="84">
        <f>ROW()-6</f>
        <v/>
      </c>
      <c r="B940" s="85">
        <f>+MATCH(D940,ARTICULOS!$F$10:$F$699,0)</f>
        <v/>
      </c>
      <c r="C940" s="86">
        <f>+VLOOKUP(B940,ARTICULOS!$D$10:$I$699,6)</f>
        <v/>
      </c>
      <c r="D940" s="212" t="n"/>
      <c r="E940" s="75">
        <f>+C940&amp;F940</f>
        <v/>
      </c>
      <c r="F940" s="80" t="n"/>
      <c r="G940" s="81" t="n"/>
      <c r="H940" s="78" t="n"/>
      <c r="I940" s="78" t="n"/>
      <c r="J940" s="78" t="n"/>
    </row>
    <row r="941">
      <c r="A941" s="84">
        <f>ROW()-6</f>
        <v/>
      </c>
      <c r="B941" s="85">
        <f>+MATCH(D941,ARTICULOS!$F$10:$F$699,0)</f>
        <v/>
      </c>
      <c r="C941" s="86">
        <f>+VLOOKUP(B941,ARTICULOS!$D$10:$I$699,6)</f>
        <v/>
      </c>
      <c r="D941" s="212" t="n"/>
      <c r="E941" s="75">
        <f>+C941&amp;F941</f>
        <v/>
      </c>
      <c r="F941" s="80" t="n"/>
      <c r="G941" s="81" t="n"/>
      <c r="H941" s="78" t="n"/>
      <c r="I941" s="78" t="n"/>
      <c r="J941" s="78" t="n"/>
    </row>
    <row r="942">
      <c r="A942" s="84">
        <f>ROW()-6</f>
        <v/>
      </c>
      <c r="B942" s="85">
        <f>+MATCH(D942,ARTICULOS!$F$10:$F$699,0)</f>
        <v/>
      </c>
      <c r="C942" s="86">
        <f>+VLOOKUP(B942,ARTICULOS!$D$10:$I$699,6)</f>
        <v/>
      </c>
      <c r="D942" s="212" t="n"/>
      <c r="E942" s="75">
        <f>+C942&amp;F942</f>
        <v/>
      </c>
      <c r="F942" s="80" t="n"/>
      <c r="G942" s="81" t="n"/>
      <c r="H942" s="78" t="n"/>
      <c r="I942" s="78" t="n"/>
      <c r="J942" s="78" t="n"/>
    </row>
    <row r="943">
      <c r="A943" s="84">
        <f>ROW()-6</f>
        <v/>
      </c>
      <c r="B943" s="85">
        <f>+MATCH(D943,ARTICULOS!$F$10:$F$699,0)</f>
        <v/>
      </c>
      <c r="C943" s="86">
        <f>+VLOOKUP(B943,ARTICULOS!$D$10:$I$699,6)</f>
        <v/>
      </c>
      <c r="D943" s="212" t="n"/>
      <c r="E943" s="75">
        <f>+C943&amp;F943</f>
        <v/>
      </c>
      <c r="F943" s="80" t="n"/>
      <c r="G943" s="81" t="n"/>
      <c r="H943" s="78" t="n"/>
      <c r="I943" s="78" t="n"/>
      <c r="J943" s="78" t="n"/>
    </row>
    <row r="944">
      <c r="A944" s="84">
        <f>ROW()-6</f>
        <v/>
      </c>
      <c r="B944" s="85">
        <f>+MATCH(D944,ARTICULOS!$F$10:$F$699,0)</f>
        <v/>
      </c>
      <c r="C944" s="86">
        <f>+VLOOKUP(B944,ARTICULOS!$D$10:$I$699,6)</f>
        <v/>
      </c>
      <c r="D944" s="212" t="n"/>
      <c r="E944" s="75">
        <f>+C944&amp;F944</f>
        <v/>
      </c>
      <c r="F944" s="80" t="n"/>
      <c r="G944" s="81" t="n"/>
      <c r="H944" s="78" t="n"/>
      <c r="I944" s="78" t="n"/>
      <c r="J944" s="78" t="n"/>
    </row>
    <row r="945">
      <c r="A945" s="84">
        <f>ROW()-6</f>
        <v/>
      </c>
      <c r="B945" s="85">
        <f>+MATCH(D945,ARTICULOS!$F$10:$F$699,0)</f>
        <v/>
      </c>
      <c r="C945" s="86">
        <f>+VLOOKUP(B945,ARTICULOS!$D$10:$I$699,6)</f>
        <v/>
      </c>
      <c r="D945" s="212" t="n"/>
      <c r="E945" s="75">
        <f>+C945&amp;F945</f>
        <v/>
      </c>
      <c r="F945" s="80" t="n"/>
      <c r="G945" s="81" t="n"/>
      <c r="H945" s="78" t="n"/>
      <c r="I945" s="78" t="n"/>
      <c r="J945" s="78" t="n"/>
    </row>
    <row r="946">
      <c r="A946" s="84">
        <f>ROW()-6</f>
        <v/>
      </c>
      <c r="B946" s="85">
        <f>+MATCH(D946,ARTICULOS!$F$10:$F$699,0)</f>
        <v/>
      </c>
      <c r="C946" s="86">
        <f>+VLOOKUP(B946,ARTICULOS!$D$10:$I$699,6)</f>
        <v/>
      </c>
      <c r="D946" s="212" t="n"/>
      <c r="E946" s="75">
        <f>+C946&amp;F946</f>
        <v/>
      </c>
      <c r="F946" s="80" t="n"/>
      <c r="G946" s="81" t="n"/>
      <c r="H946" s="78" t="n"/>
      <c r="I946" s="78" t="n"/>
      <c r="J946" s="78" t="n"/>
    </row>
    <row r="947">
      <c r="A947" s="84">
        <f>ROW()-6</f>
        <v/>
      </c>
      <c r="B947" s="85">
        <f>+MATCH(D947,ARTICULOS!$F$10:$F$699,0)</f>
        <v/>
      </c>
      <c r="C947" s="86">
        <f>+VLOOKUP(B947,ARTICULOS!$D$10:$I$699,6)</f>
        <v/>
      </c>
      <c r="D947" s="212" t="n"/>
      <c r="E947" s="75">
        <f>+C947&amp;F947</f>
        <v/>
      </c>
      <c r="F947" s="80" t="n"/>
      <c r="G947" s="81" t="n"/>
      <c r="H947" s="78" t="n"/>
      <c r="I947" s="78" t="n"/>
      <c r="J947" s="78" t="n"/>
    </row>
    <row r="948">
      <c r="A948" s="84">
        <f>ROW()-6</f>
        <v/>
      </c>
      <c r="B948" s="85">
        <f>+MATCH(D948,ARTICULOS!$F$10:$F$699,0)</f>
        <v/>
      </c>
      <c r="C948" s="86">
        <f>+VLOOKUP(B948,ARTICULOS!$D$10:$I$699,6)</f>
        <v/>
      </c>
      <c r="D948" s="212" t="n"/>
      <c r="E948" s="75">
        <f>+C948&amp;F948</f>
        <v/>
      </c>
      <c r="F948" s="80" t="n"/>
      <c r="G948" s="81" t="n"/>
      <c r="H948" s="78" t="n"/>
      <c r="I948" s="78" t="n"/>
      <c r="J948" s="78" t="n"/>
    </row>
    <row r="949">
      <c r="A949" s="84">
        <f>ROW()-6</f>
        <v/>
      </c>
      <c r="B949" s="85">
        <f>+MATCH(D949,ARTICULOS!$F$10:$F$699,0)</f>
        <v/>
      </c>
      <c r="C949" s="86">
        <f>+VLOOKUP(B949,ARTICULOS!$D$10:$I$699,6)</f>
        <v/>
      </c>
      <c r="D949" s="212" t="n"/>
      <c r="E949" s="75">
        <f>+C949&amp;F949</f>
        <v/>
      </c>
      <c r="F949" s="80" t="n"/>
      <c r="G949" s="81" t="n"/>
      <c r="H949" s="78" t="n"/>
      <c r="I949" s="78" t="n"/>
      <c r="J949" s="78" t="n"/>
    </row>
    <row r="950">
      <c r="A950" s="84">
        <f>ROW()-6</f>
        <v/>
      </c>
      <c r="B950" s="85">
        <f>+MATCH(D950,ARTICULOS!$F$10:$F$699,0)</f>
        <v/>
      </c>
      <c r="C950" s="86">
        <f>+VLOOKUP(B950,ARTICULOS!$D$10:$I$699,6)</f>
        <v/>
      </c>
      <c r="D950" s="212" t="n"/>
      <c r="E950" s="75">
        <f>+C950&amp;F950</f>
        <v/>
      </c>
      <c r="F950" s="80" t="n"/>
      <c r="G950" s="81" t="n"/>
      <c r="H950" s="78" t="n"/>
      <c r="I950" s="78" t="n"/>
      <c r="J950" s="78" t="n"/>
    </row>
    <row r="951">
      <c r="A951" s="84">
        <f>ROW()-6</f>
        <v/>
      </c>
      <c r="B951" s="85">
        <f>+MATCH(D951,ARTICULOS!$F$10:$F$699,0)</f>
        <v/>
      </c>
      <c r="C951" s="86">
        <f>+VLOOKUP(B951,ARTICULOS!$D$10:$I$699,6)</f>
        <v/>
      </c>
      <c r="D951" s="212" t="n"/>
      <c r="E951" s="75">
        <f>+C951&amp;F951</f>
        <v/>
      </c>
      <c r="F951" s="80" t="n"/>
      <c r="G951" s="81" t="n"/>
      <c r="H951" s="78" t="n"/>
      <c r="I951" s="78" t="n"/>
      <c r="J951" s="78" t="n"/>
    </row>
    <row r="952">
      <c r="A952" s="84">
        <f>ROW()-6</f>
        <v/>
      </c>
      <c r="B952" s="85">
        <f>+MATCH(D952,ARTICULOS!$F$10:$F$699,0)</f>
        <v/>
      </c>
      <c r="C952" s="86">
        <f>+VLOOKUP(B952,ARTICULOS!$D$10:$I$699,6)</f>
        <v/>
      </c>
      <c r="D952" s="212" t="n"/>
      <c r="E952" s="75">
        <f>+C952&amp;F952</f>
        <v/>
      </c>
      <c r="F952" s="80" t="n"/>
      <c r="G952" s="81" t="n"/>
      <c r="H952" s="78" t="n"/>
      <c r="I952" s="78" t="n"/>
      <c r="J952" s="78" t="n"/>
    </row>
    <row r="953">
      <c r="A953" s="84">
        <f>ROW()-6</f>
        <v/>
      </c>
      <c r="B953" s="85">
        <f>+MATCH(D953,ARTICULOS!$F$10:$F$699,0)</f>
        <v/>
      </c>
      <c r="C953" s="86">
        <f>+VLOOKUP(B953,ARTICULOS!$D$10:$I$699,6)</f>
        <v/>
      </c>
      <c r="D953" s="212" t="n"/>
      <c r="E953" s="75">
        <f>+C953&amp;F953</f>
        <v/>
      </c>
      <c r="F953" s="80" t="n"/>
      <c r="G953" s="81" t="n"/>
      <c r="H953" s="78" t="n"/>
      <c r="I953" s="78" t="n"/>
      <c r="J953" s="78" t="n"/>
    </row>
    <row r="954">
      <c r="A954" s="84">
        <f>ROW()-6</f>
        <v/>
      </c>
      <c r="B954" s="85">
        <f>+MATCH(D954,ARTICULOS!$F$10:$F$699,0)</f>
        <v/>
      </c>
      <c r="C954" s="86">
        <f>+VLOOKUP(B954,ARTICULOS!$D$10:$I$699,6)</f>
        <v/>
      </c>
      <c r="D954" s="212" t="n"/>
      <c r="E954" s="75">
        <f>+C954&amp;F954</f>
        <v/>
      </c>
      <c r="F954" s="80" t="n"/>
      <c r="G954" s="81" t="n"/>
      <c r="H954" s="78" t="n"/>
      <c r="I954" s="78" t="n"/>
      <c r="J954" s="78" t="n"/>
    </row>
    <row r="955">
      <c r="A955" s="84">
        <f>ROW()-6</f>
        <v/>
      </c>
      <c r="B955" s="85">
        <f>+MATCH(D955,ARTICULOS!$F$10:$F$699,0)</f>
        <v/>
      </c>
      <c r="C955" s="86">
        <f>+VLOOKUP(B955,ARTICULOS!$D$10:$I$699,6)</f>
        <v/>
      </c>
      <c r="D955" s="212" t="n"/>
      <c r="E955" s="75">
        <f>+C955&amp;F955</f>
        <v/>
      </c>
      <c r="F955" s="80" t="n"/>
      <c r="G955" s="81" t="n"/>
      <c r="H955" s="78" t="n"/>
      <c r="I955" s="78" t="n"/>
      <c r="J955" s="78" t="n"/>
    </row>
    <row r="956">
      <c r="A956" s="84">
        <f>ROW()-6</f>
        <v/>
      </c>
      <c r="B956" s="85">
        <f>+MATCH(D956,ARTICULOS!$F$10:$F$699,0)</f>
        <v/>
      </c>
      <c r="C956" s="86">
        <f>+VLOOKUP(B956,ARTICULOS!$D$10:$I$699,6)</f>
        <v/>
      </c>
      <c r="D956" s="212" t="n"/>
      <c r="E956" s="75">
        <f>+C956&amp;F956</f>
        <v/>
      </c>
      <c r="F956" s="80" t="n"/>
      <c r="G956" s="81" t="n"/>
      <c r="H956" s="78" t="n"/>
      <c r="I956" s="78" t="n"/>
      <c r="J956" s="78" t="n"/>
    </row>
    <row r="957">
      <c r="A957" s="84">
        <f>ROW()-6</f>
        <v/>
      </c>
      <c r="B957" s="85">
        <f>+MATCH(D957,ARTICULOS!$F$10:$F$699,0)</f>
        <v/>
      </c>
      <c r="C957" s="86">
        <f>+VLOOKUP(B957,ARTICULOS!$D$10:$I$699,6)</f>
        <v/>
      </c>
      <c r="D957" s="212" t="n"/>
      <c r="E957" s="75">
        <f>+C957&amp;F957</f>
        <v/>
      </c>
      <c r="F957" s="80" t="n"/>
      <c r="G957" s="81" t="n"/>
      <c r="H957" s="78" t="n"/>
      <c r="I957" s="78" t="n"/>
      <c r="J957" s="78" t="n"/>
    </row>
    <row r="958">
      <c r="A958" s="84">
        <f>ROW()-6</f>
        <v/>
      </c>
      <c r="B958" s="85">
        <f>+MATCH(D958,ARTICULOS!$F$10:$F$699,0)</f>
        <v/>
      </c>
      <c r="C958" s="86">
        <f>+VLOOKUP(B958,ARTICULOS!$D$10:$I$699,6)</f>
        <v/>
      </c>
      <c r="D958" s="212" t="n"/>
      <c r="E958" s="75">
        <f>+C958&amp;F958</f>
        <v/>
      </c>
      <c r="F958" s="80" t="n"/>
      <c r="G958" s="81" t="n"/>
      <c r="H958" s="78" t="n"/>
      <c r="I958" s="78" t="n"/>
      <c r="J958" s="78" t="n"/>
    </row>
    <row r="959">
      <c r="A959" s="84">
        <f>ROW()-6</f>
        <v/>
      </c>
      <c r="B959" s="85">
        <f>+MATCH(D959,ARTICULOS!$F$10:$F$699,0)</f>
        <v/>
      </c>
      <c r="C959" s="86">
        <f>+VLOOKUP(B959,ARTICULOS!$D$10:$I$699,6)</f>
        <v/>
      </c>
      <c r="D959" s="212" t="n"/>
      <c r="E959" s="75">
        <f>+C959&amp;F959</f>
        <v/>
      </c>
      <c r="F959" s="80" t="n"/>
      <c r="G959" s="81" t="n"/>
      <c r="H959" s="78" t="n"/>
      <c r="I959" s="78" t="n"/>
      <c r="J959" s="78" t="n"/>
    </row>
    <row r="960">
      <c r="A960" s="84">
        <f>ROW()-6</f>
        <v/>
      </c>
      <c r="B960" s="85">
        <f>+MATCH(D960,ARTICULOS!$F$10:$F$699,0)</f>
        <v/>
      </c>
      <c r="C960" s="86">
        <f>+VLOOKUP(B960,ARTICULOS!$D$10:$I$699,6)</f>
        <v/>
      </c>
      <c r="D960" s="212" t="n"/>
      <c r="E960" s="75">
        <f>+C960&amp;F960</f>
        <v/>
      </c>
      <c r="F960" s="80" t="n"/>
      <c r="G960" s="81" t="n"/>
      <c r="H960" s="78" t="n"/>
      <c r="I960" s="78" t="n"/>
      <c r="J960" s="78" t="n"/>
    </row>
    <row r="961">
      <c r="A961" s="84">
        <f>ROW()-6</f>
        <v/>
      </c>
      <c r="B961" s="85">
        <f>+MATCH(D961,ARTICULOS!$F$10:$F$699,0)</f>
        <v/>
      </c>
      <c r="C961" s="86">
        <f>+VLOOKUP(B961,ARTICULOS!$D$10:$I$699,6)</f>
        <v/>
      </c>
      <c r="D961" s="212" t="n"/>
      <c r="E961" s="75">
        <f>+C961&amp;F961</f>
        <v/>
      </c>
      <c r="F961" s="80" t="n"/>
      <c r="G961" s="81" t="n"/>
      <c r="H961" s="78" t="n"/>
      <c r="I961" s="78" t="n"/>
      <c r="J961" s="78" t="n"/>
    </row>
    <row r="962">
      <c r="A962" s="84">
        <f>ROW()-6</f>
        <v/>
      </c>
      <c r="B962" s="85">
        <f>+MATCH(D962,ARTICULOS!$F$10:$F$699,0)</f>
        <v/>
      </c>
      <c r="C962" s="86">
        <f>+VLOOKUP(B962,ARTICULOS!$D$10:$I$699,6)</f>
        <v/>
      </c>
      <c r="D962" s="212" t="n"/>
      <c r="E962" s="75">
        <f>+C962&amp;F962</f>
        <v/>
      </c>
      <c r="F962" s="80" t="n"/>
      <c r="G962" s="81" t="n"/>
      <c r="H962" s="78" t="n"/>
      <c r="I962" s="78" t="n"/>
      <c r="J962" s="78" t="n"/>
    </row>
    <row r="963">
      <c r="A963" s="84">
        <f>ROW()-6</f>
        <v/>
      </c>
      <c r="B963" s="85">
        <f>+MATCH(D963,ARTICULOS!$F$10:$F$699,0)</f>
        <v/>
      </c>
      <c r="C963" s="86">
        <f>+VLOOKUP(B963,ARTICULOS!$D$10:$I$699,6)</f>
        <v/>
      </c>
      <c r="D963" s="212" t="n"/>
      <c r="E963" s="75">
        <f>+C963&amp;F963</f>
        <v/>
      </c>
      <c r="F963" s="80" t="n"/>
      <c r="G963" s="81" t="n"/>
      <c r="H963" s="78" t="n"/>
      <c r="I963" s="78" t="n"/>
      <c r="J963" s="78" t="n"/>
    </row>
    <row r="964">
      <c r="A964" s="84">
        <f>ROW()-6</f>
        <v/>
      </c>
      <c r="B964" s="85">
        <f>+MATCH(D964,ARTICULOS!$F$10:$F$699,0)</f>
        <v/>
      </c>
      <c r="C964" s="86">
        <f>+VLOOKUP(B964,ARTICULOS!$D$10:$I$699,6)</f>
        <v/>
      </c>
      <c r="D964" s="212" t="n"/>
      <c r="E964" s="75">
        <f>+C964&amp;F964</f>
        <v/>
      </c>
      <c r="F964" s="80" t="n"/>
      <c r="G964" s="81" t="n"/>
      <c r="H964" s="78" t="n"/>
      <c r="I964" s="78" t="n"/>
      <c r="J964" s="78" t="n"/>
    </row>
    <row r="965">
      <c r="A965" s="84">
        <f>ROW()-6</f>
        <v/>
      </c>
      <c r="B965" s="85">
        <f>+MATCH(D965,ARTICULOS!$F$10:$F$699,0)</f>
        <v/>
      </c>
      <c r="C965" s="86">
        <f>+VLOOKUP(B965,ARTICULOS!$D$10:$I$699,6)</f>
        <v/>
      </c>
      <c r="D965" s="212" t="n"/>
      <c r="E965" s="75">
        <f>+C965&amp;F965</f>
        <v/>
      </c>
      <c r="F965" s="80" t="n"/>
      <c r="G965" s="81" t="n"/>
      <c r="H965" s="78" t="n"/>
      <c r="I965" s="78" t="n"/>
      <c r="J965" s="78" t="n"/>
    </row>
    <row r="966">
      <c r="A966" s="84">
        <f>ROW()-6</f>
        <v/>
      </c>
      <c r="B966" s="85">
        <f>+MATCH(D966,ARTICULOS!$F$10:$F$699,0)</f>
        <v/>
      </c>
      <c r="C966" s="86">
        <f>+VLOOKUP(B966,ARTICULOS!$D$10:$I$699,6)</f>
        <v/>
      </c>
      <c r="D966" s="212" t="n"/>
      <c r="E966" s="75">
        <f>+C966&amp;F966</f>
        <v/>
      </c>
      <c r="F966" s="80" t="n"/>
      <c r="G966" s="81" t="n"/>
      <c r="H966" s="78" t="n"/>
      <c r="I966" s="78" t="n"/>
      <c r="J966" s="78" t="n"/>
    </row>
    <row r="967">
      <c r="A967" s="84">
        <f>ROW()-6</f>
        <v/>
      </c>
      <c r="B967" s="85">
        <f>+MATCH(D967,ARTICULOS!$F$10:$F$699,0)</f>
        <v/>
      </c>
      <c r="C967" s="86">
        <f>+VLOOKUP(B967,ARTICULOS!$D$10:$I$699,6)</f>
        <v/>
      </c>
      <c r="D967" s="212" t="n"/>
      <c r="E967" s="75">
        <f>+C967&amp;F967</f>
        <v/>
      </c>
      <c r="F967" s="80" t="n"/>
      <c r="G967" s="81" t="n"/>
      <c r="H967" s="78" t="n"/>
      <c r="I967" s="78" t="n"/>
      <c r="J967" s="78" t="n"/>
    </row>
    <row r="968">
      <c r="A968" s="84">
        <f>ROW()-6</f>
        <v/>
      </c>
      <c r="B968" s="85">
        <f>+MATCH(D968,ARTICULOS!$F$10:$F$699,0)</f>
        <v/>
      </c>
      <c r="C968" s="86">
        <f>+VLOOKUP(B968,ARTICULOS!$D$10:$I$699,6)</f>
        <v/>
      </c>
      <c r="D968" s="212" t="n"/>
      <c r="E968" s="75">
        <f>+C968&amp;F968</f>
        <v/>
      </c>
      <c r="F968" s="80" t="n"/>
      <c r="G968" s="81" t="n"/>
      <c r="H968" s="78" t="n"/>
      <c r="I968" s="78" t="n"/>
      <c r="J968" s="78" t="n"/>
    </row>
    <row r="969">
      <c r="A969" s="84">
        <f>ROW()-6</f>
        <v/>
      </c>
      <c r="B969" s="85">
        <f>+MATCH(D969,ARTICULOS!$F$10:$F$699,0)</f>
        <v/>
      </c>
      <c r="C969" s="86">
        <f>+VLOOKUP(B969,ARTICULOS!$D$10:$I$699,6)</f>
        <v/>
      </c>
      <c r="D969" s="212" t="n"/>
      <c r="E969" s="75">
        <f>+C969&amp;F969</f>
        <v/>
      </c>
      <c r="F969" s="80" t="n"/>
      <c r="G969" s="81" t="n"/>
      <c r="H969" s="78" t="n"/>
      <c r="I969" s="78" t="n"/>
      <c r="J969" s="78" t="n"/>
    </row>
    <row r="970">
      <c r="A970" s="84">
        <f>ROW()-6</f>
        <v/>
      </c>
      <c r="B970" s="85">
        <f>+MATCH(D970,ARTICULOS!$F$10:$F$699,0)</f>
        <v/>
      </c>
      <c r="C970" s="86">
        <f>+VLOOKUP(B970,ARTICULOS!$D$10:$I$699,6)</f>
        <v/>
      </c>
      <c r="D970" s="212" t="n"/>
      <c r="E970" s="75">
        <f>+C970&amp;F970</f>
        <v/>
      </c>
      <c r="F970" s="80" t="n"/>
      <c r="G970" s="81" t="n"/>
      <c r="H970" s="78" t="n"/>
      <c r="I970" s="78" t="n"/>
      <c r="J970" s="78" t="n"/>
    </row>
    <row r="971">
      <c r="A971" s="84">
        <f>ROW()-6</f>
        <v/>
      </c>
      <c r="B971" s="85">
        <f>+MATCH(D971,ARTICULOS!$F$10:$F$699,0)</f>
        <v/>
      </c>
      <c r="C971" s="86">
        <f>+VLOOKUP(B971,ARTICULOS!$D$10:$I$699,6)</f>
        <v/>
      </c>
      <c r="D971" s="212" t="n"/>
      <c r="E971" s="75">
        <f>+C971&amp;F971</f>
        <v/>
      </c>
      <c r="F971" s="80" t="n"/>
      <c r="G971" s="81" t="n"/>
      <c r="H971" s="78" t="n"/>
      <c r="I971" s="78" t="n"/>
      <c r="J971" s="78" t="n"/>
    </row>
    <row r="972">
      <c r="A972" s="84">
        <f>ROW()-6</f>
        <v/>
      </c>
      <c r="B972" s="85">
        <f>+MATCH(D972,ARTICULOS!$F$10:$F$699,0)</f>
        <v/>
      </c>
      <c r="C972" s="86">
        <f>+VLOOKUP(B972,ARTICULOS!$D$10:$I$699,6)</f>
        <v/>
      </c>
      <c r="D972" s="212" t="n"/>
      <c r="E972" s="75">
        <f>+C972&amp;F972</f>
        <v/>
      </c>
      <c r="F972" s="80" t="n"/>
      <c r="G972" s="81" t="n"/>
      <c r="H972" s="78" t="n"/>
      <c r="I972" s="78" t="n"/>
      <c r="J972" s="78" t="n"/>
    </row>
    <row r="973">
      <c r="A973" s="84">
        <f>ROW()-6</f>
        <v/>
      </c>
      <c r="B973" s="85">
        <f>+MATCH(D973,ARTICULOS!$F$10:$F$699,0)</f>
        <v/>
      </c>
      <c r="C973" s="86">
        <f>+VLOOKUP(B973,ARTICULOS!$D$10:$I$699,6)</f>
        <v/>
      </c>
      <c r="D973" s="212" t="n"/>
      <c r="E973" s="75">
        <f>+C973&amp;F973</f>
        <v/>
      </c>
      <c r="F973" s="80" t="n"/>
      <c r="G973" s="81" t="n"/>
      <c r="H973" s="78" t="n"/>
      <c r="I973" s="78" t="n"/>
      <c r="J973" s="78" t="n"/>
    </row>
    <row r="974">
      <c r="A974" s="84">
        <f>ROW()-6</f>
        <v/>
      </c>
      <c r="B974" s="85">
        <f>+MATCH(D974,ARTICULOS!$F$10:$F$699,0)</f>
        <v/>
      </c>
      <c r="C974" s="86">
        <f>+VLOOKUP(B974,ARTICULOS!$D$10:$I$699,6)</f>
        <v/>
      </c>
      <c r="D974" s="212" t="n"/>
      <c r="E974" s="75">
        <f>+C974&amp;F974</f>
        <v/>
      </c>
      <c r="F974" s="80" t="n"/>
      <c r="G974" s="81" t="n"/>
      <c r="H974" s="78" t="n"/>
      <c r="I974" s="78" t="n"/>
      <c r="J974" s="78" t="n"/>
    </row>
    <row r="975">
      <c r="A975" s="84">
        <f>ROW()-6</f>
        <v/>
      </c>
      <c r="B975" s="85">
        <f>+MATCH(D975,ARTICULOS!$F$10:$F$699,0)</f>
        <v/>
      </c>
      <c r="C975" s="86">
        <f>+VLOOKUP(B975,ARTICULOS!$D$10:$I$699,6)</f>
        <v/>
      </c>
      <c r="D975" s="212" t="n"/>
      <c r="E975" s="75">
        <f>+C975&amp;F975</f>
        <v/>
      </c>
      <c r="F975" s="80" t="n"/>
      <c r="G975" s="81" t="n"/>
      <c r="H975" s="78" t="n"/>
      <c r="I975" s="78" t="n"/>
      <c r="J975" s="78" t="n"/>
    </row>
    <row r="976">
      <c r="A976" s="84">
        <f>ROW()-6</f>
        <v/>
      </c>
      <c r="B976" s="85">
        <f>+MATCH(D976,ARTICULOS!$F$10:$F$699,0)</f>
        <v/>
      </c>
      <c r="C976" s="86">
        <f>+VLOOKUP(B976,ARTICULOS!$D$10:$I$699,6)</f>
        <v/>
      </c>
      <c r="D976" s="212" t="n"/>
      <c r="E976" s="75">
        <f>+C976&amp;F976</f>
        <v/>
      </c>
      <c r="F976" s="80" t="n"/>
      <c r="G976" s="81" t="n"/>
      <c r="H976" s="78" t="n"/>
      <c r="I976" s="78" t="n"/>
      <c r="J976" s="78" t="n"/>
    </row>
    <row r="977">
      <c r="A977" s="84">
        <f>ROW()-6</f>
        <v/>
      </c>
      <c r="B977" s="85">
        <f>+MATCH(D977,ARTICULOS!$F$10:$F$699,0)</f>
        <v/>
      </c>
      <c r="C977" s="86">
        <f>+VLOOKUP(B977,ARTICULOS!$D$10:$I$699,6)</f>
        <v/>
      </c>
      <c r="D977" s="212" t="n"/>
      <c r="E977" s="75">
        <f>+C977&amp;F977</f>
        <v/>
      </c>
      <c r="F977" s="80" t="n"/>
      <c r="G977" s="81" t="n"/>
      <c r="H977" s="78" t="n"/>
      <c r="I977" s="78" t="n"/>
      <c r="J977" s="78" t="n"/>
    </row>
    <row r="978">
      <c r="A978" s="84">
        <f>ROW()-6</f>
        <v/>
      </c>
      <c r="B978" s="85">
        <f>+MATCH(D978,ARTICULOS!$F$10:$F$699,0)</f>
        <v/>
      </c>
      <c r="C978" s="86">
        <f>+VLOOKUP(B978,ARTICULOS!$D$10:$I$699,6)</f>
        <v/>
      </c>
      <c r="D978" s="212" t="n"/>
      <c r="E978" s="75">
        <f>+C978&amp;F978</f>
        <v/>
      </c>
      <c r="F978" s="80" t="n"/>
      <c r="G978" s="81" t="n"/>
      <c r="H978" s="78" t="n"/>
      <c r="I978" s="78" t="n"/>
      <c r="J978" s="78" t="n"/>
    </row>
    <row r="979">
      <c r="A979" s="84">
        <f>ROW()-6</f>
        <v/>
      </c>
      <c r="B979" s="85">
        <f>+MATCH(D979,ARTICULOS!$F$10:$F$699,0)</f>
        <v/>
      </c>
      <c r="C979" s="86">
        <f>+VLOOKUP(B979,ARTICULOS!$D$10:$I$699,6)</f>
        <v/>
      </c>
      <c r="D979" s="212" t="n"/>
      <c r="E979" s="75">
        <f>+C979&amp;F979</f>
        <v/>
      </c>
      <c r="F979" s="80" t="n"/>
      <c r="G979" s="81" t="n"/>
      <c r="H979" s="78" t="n"/>
      <c r="I979" s="78" t="n"/>
      <c r="J979" s="78" t="n"/>
    </row>
    <row r="980">
      <c r="A980" s="84">
        <f>ROW()-6</f>
        <v/>
      </c>
      <c r="B980" s="85">
        <f>+MATCH(D980,ARTICULOS!$F$10:$F$699,0)</f>
        <v/>
      </c>
      <c r="C980" s="86">
        <f>+VLOOKUP(B980,ARTICULOS!$D$10:$I$699,6)</f>
        <v/>
      </c>
      <c r="D980" s="212" t="n"/>
      <c r="E980" s="75">
        <f>+C980&amp;F980</f>
        <v/>
      </c>
      <c r="F980" s="80" t="n"/>
      <c r="G980" s="81" t="n"/>
      <c r="H980" s="78" t="n"/>
      <c r="I980" s="78" t="n"/>
      <c r="J980" s="78" t="n"/>
    </row>
    <row r="981">
      <c r="A981" s="84">
        <f>ROW()-6</f>
        <v/>
      </c>
      <c r="B981" s="85">
        <f>+MATCH(D981,ARTICULOS!$F$10:$F$699,0)</f>
        <v/>
      </c>
      <c r="C981" s="86">
        <f>+VLOOKUP(B981,ARTICULOS!$D$10:$I$699,6)</f>
        <v/>
      </c>
      <c r="D981" s="212" t="n"/>
      <c r="E981" s="75">
        <f>+C981&amp;F981</f>
        <v/>
      </c>
      <c r="F981" s="80" t="n"/>
      <c r="G981" s="81" t="n"/>
      <c r="H981" s="78" t="n"/>
      <c r="I981" s="78" t="n"/>
      <c r="J981" s="78" t="n"/>
    </row>
    <row r="982">
      <c r="A982" s="84">
        <f>ROW()-6</f>
        <v/>
      </c>
      <c r="B982" s="85">
        <f>+MATCH(D982,ARTICULOS!$F$10:$F$699,0)</f>
        <v/>
      </c>
      <c r="C982" s="86">
        <f>+VLOOKUP(B982,ARTICULOS!$D$10:$I$699,6)</f>
        <v/>
      </c>
      <c r="D982" s="212" t="n"/>
      <c r="E982" s="75">
        <f>+C982&amp;F982</f>
        <v/>
      </c>
      <c r="F982" s="80" t="n"/>
      <c r="G982" s="81" t="n"/>
      <c r="H982" s="78" t="n"/>
      <c r="I982" s="78" t="n"/>
      <c r="J982" s="78" t="n"/>
    </row>
    <row r="983">
      <c r="A983" s="84">
        <f>ROW()-6</f>
        <v/>
      </c>
      <c r="B983" s="85">
        <f>+MATCH(D983,ARTICULOS!$F$10:$F$699,0)</f>
        <v/>
      </c>
      <c r="C983" s="86">
        <f>+VLOOKUP(B983,ARTICULOS!$D$10:$I$699,6)</f>
        <v/>
      </c>
      <c r="D983" s="212" t="n"/>
      <c r="E983" s="75">
        <f>+C983&amp;F983</f>
        <v/>
      </c>
      <c r="F983" s="80" t="n"/>
      <c r="G983" s="81" t="n"/>
      <c r="H983" s="78" t="n"/>
      <c r="I983" s="78" t="n"/>
      <c r="J983" s="78" t="n"/>
    </row>
    <row r="984">
      <c r="A984" s="84">
        <f>ROW()-6</f>
        <v/>
      </c>
      <c r="B984" s="85">
        <f>+MATCH(D984,ARTICULOS!$F$10:$F$699,0)</f>
        <v/>
      </c>
      <c r="C984" s="86">
        <f>+VLOOKUP(B984,ARTICULOS!$D$10:$I$699,6)</f>
        <v/>
      </c>
      <c r="D984" s="212" t="n"/>
      <c r="E984" s="75">
        <f>+C984&amp;F984</f>
        <v/>
      </c>
      <c r="F984" s="80" t="n"/>
      <c r="G984" s="81" t="n"/>
      <c r="H984" s="78" t="n"/>
      <c r="I984" s="78" t="n"/>
      <c r="J984" s="78" t="n"/>
    </row>
    <row r="985">
      <c r="A985" s="84">
        <f>ROW()-6</f>
        <v/>
      </c>
      <c r="B985" s="85">
        <f>+MATCH(D985,ARTICULOS!$F$10:$F$699,0)</f>
        <v/>
      </c>
      <c r="C985" s="86">
        <f>+VLOOKUP(B985,ARTICULOS!$D$10:$I$699,6)</f>
        <v/>
      </c>
      <c r="D985" s="212" t="n"/>
      <c r="E985" s="75">
        <f>+C985&amp;F985</f>
        <v/>
      </c>
      <c r="F985" s="80" t="n"/>
      <c r="G985" s="81" t="n"/>
      <c r="H985" s="78" t="n"/>
      <c r="I985" s="78" t="n"/>
      <c r="J985" s="78" t="n"/>
    </row>
    <row r="986">
      <c r="A986" s="84">
        <f>ROW()-6</f>
        <v/>
      </c>
      <c r="B986" s="85">
        <f>+MATCH(D986,ARTICULOS!$F$10:$F$699,0)</f>
        <v/>
      </c>
      <c r="C986" s="86">
        <f>+VLOOKUP(B986,ARTICULOS!$D$10:$I$699,6)</f>
        <v/>
      </c>
      <c r="D986" s="212" t="n"/>
      <c r="E986" s="75">
        <f>+C986&amp;F986</f>
        <v/>
      </c>
      <c r="F986" s="80" t="n"/>
      <c r="G986" s="81" t="n"/>
      <c r="H986" s="78" t="n"/>
      <c r="I986" s="78" t="n"/>
      <c r="J986" s="78" t="n"/>
    </row>
    <row r="987">
      <c r="A987" s="84">
        <f>ROW()-6</f>
        <v/>
      </c>
      <c r="B987" s="85">
        <f>+MATCH(D987,ARTICULOS!$F$10:$F$699,0)</f>
        <v/>
      </c>
      <c r="C987" s="86">
        <f>+VLOOKUP(B987,ARTICULOS!$D$10:$I$699,6)</f>
        <v/>
      </c>
      <c r="D987" s="212" t="n"/>
      <c r="E987" s="75">
        <f>+C987&amp;F987</f>
        <v/>
      </c>
      <c r="F987" s="80" t="n"/>
      <c r="G987" s="81" t="n"/>
      <c r="H987" s="78" t="n"/>
      <c r="I987" s="78" t="n"/>
      <c r="J987" s="78" t="n"/>
    </row>
    <row r="988">
      <c r="A988" s="84">
        <f>ROW()-6</f>
        <v/>
      </c>
      <c r="B988" s="85">
        <f>+MATCH(D988,ARTICULOS!$F$10:$F$699,0)</f>
        <v/>
      </c>
      <c r="C988" s="86">
        <f>+VLOOKUP(B988,ARTICULOS!$D$10:$I$699,6)</f>
        <v/>
      </c>
      <c r="D988" s="212" t="n"/>
      <c r="E988" s="75">
        <f>+C988&amp;F988</f>
        <v/>
      </c>
      <c r="F988" s="80" t="n"/>
      <c r="G988" s="81" t="n"/>
      <c r="H988" s="78" t="n"/>
      <c r="I988" s="78" t="n"/>
      <c r="J988" s="78" t="n"/>
    </row>
    <row r="989">
      <c r="A989" s="84">
        <f>ROW()-6</f>
        <v/>
      </c>
      <c r="B989" s="85">
        <f>+MATCH(D989,ARTICULOS!$F$10:$F$699,0)</f>
        <v/>
      </c>
      <c r="C989" s="86">
        <f>+VLOOKUP(B989,ARTICULOS!$D$10:$I$699,6)</f>
        <v/>
      </c>
      <c r="D989" s="212" t="n"/>
      <c r="E989" s="75">
        <f>+C989&amp;F989</f>
        <v/>
      </c>
      <c r="F989" s="80" t="n"/>
      <c r="G989" s="81" t="n"/>
      <c r="H989" s="78" t="n"/>
      <c r="I989" s="78" t="n"/>
      <c r="J989" s="78" t="n"/>
    </row>
    <row r="990">
      <c r="A990" s="84">
        <f>ROW()-6</f>
        <v/>
      </c>
      <c r="B990" s="85">
        <f>+MATCH(D990,ARTICULOS!$F$10:$F$699,0)</f>
        <v/>
      </c>
      <c r="C990" s="86">
        <f>+VLOOKUP(B990,ARTICULOS!$D$10:$I$699,6)</f>
        <v/>
      </c>
      <c r="D990" s="212" t="n"/>
      <c r="E990" s="75">
        <f>+C990&amp;F990</f>
        <v/>
      </c>
      <c r="F990" s="80" t="n"/>
      <c r="G990" s="81" t="n"/>
      <c r="H990" s="78" t="n"/>
      <c r="I990" s="78" t="n"/>
      <c r="J990" s="78" t="n"/>
    </row>
    <row r="991">
      <c r="A991" s="84">
        <f>ROW()-6</f>
        <v/>
      </c>
      <c r="B991" s="85">
        <f>+MATCH(D991,ARTICULOS!$F$10:$F$699,0)</f>
        <v/>
      </c>
      <c r="C991" s="86">
        <f>+VLOOKUP(B991,ARTICULOS!$D$10:$I$699,6)</f>
        <v/>
      </c>
      <c r="D991" s="212" t="n"/>
      <c r="E991" s="75">
        <f>+C991&amp;F991</f>
        <v/>
      </c>
      <c r="F991" s="80" t="n"/>
      <c r="G991" s="81" t="n"/>
      <c r="H991" s="78" t="n"/>
      <c r="I991" s="78" t="n"/>
      <c r="J991" s="78" t="n"/>
    </row>
    <row r="992">
      <c r="A992" s="84">
        <f>ROW()-6</f>
        <v/>
      </c>
      <c r="B992" s="85">
        <f>+MATCH(D992,ARTICULOS!$F$10:$F$699,0)</f>
        <v/>
      </c>
      <c r="C992" s="86">
        <f>+VLOOKUP(B992,ARTICULOS!$D$10:$I$699,6)</f>
        <v/>
      </c>
      <c r="D992" s="212" t="n"/>
      <c r="E992" s="75">
        <f>+C992&amp;F992</f>
        <v/>
      </c>
      <c r="F992" s="80" t="n"/>
      <c r="G992" s="81" t="n"/>
      <c r="H992" s="78" t="n"/>
      <c r="I992" s="78" t="n"/>
      <c r="J992" s="78" t="n"/>
    </row>
    <row r="993">
      <c r="A993" s="84">
        <f>ROW()-6</f>
        <v/>
      </c>
      <c r="B993" s="85">
        <f>+MATCH(D993,ARTICULOS!$F$10:$F$699,0)</f>
        <v/>
      </c>
      <c r="C993" s="86">
        <f>+VLOOKUP(B993,ARTICULOS!$D$10:$I$699,6)</f>
        <v/>
      </c>
      <c r="D993" s="212" t="n"/>
      <c r="E993" s="75">
        <f>+C993&amp;F993</f>
        <v/>
      </c>
      <c r="F993" s="80" t="n"/>
      <c r="G993" s="81" t="n"/>
      <c r="H993" s="78" t="n"/>
      <c r="I993" s="78" t="n"/>
      <c r="J993" s="78" t="n"/>
    </row>
    <row r="994">
      <c r="A994" s="84">
        <f>ROW()-6</f>
        <v/>
      </c>
      <c r="B994" s="85">
        <f>+MATCH(D994,ARTICULOS!$F$10:$F$699,0)</f>
        <v/>
      </c>
      <c r="C994" s="86">
        <f>+VLOOKUP(B994,ARTICULOS!$D$10:$I$699,6)</f>
        <v/>
      </c>
      <c r="D994" s="212" t="n"/>
      <c r="E994" s="75">
        <f>+C994&amp;F994</f>
        <v/>
      </c>
      <c r="F994" s="80" t="n"/>
      <c r="G994" s="81" t="n"/>
      <c r="H994" s="78" t="n"/>
      <c r="I994" s="78" t="n"/>
      <c r="J994" s="78" t="n"/>
    </row>
    <row r="995">
      <c r="A995" s="84">
        <f>ROW()-6</f>
        <v/>
      </c>
      <c r="B995" s="85">
        <f>+MATCH(D995,ARTICULOS!$F$10:$F$699,0)</f>
        <v/>
      </c>
      <c r="C995" s="86">
        <f>+VLOOKUP(B995,ARTICULOS!$D$10:$I$699,6)</f>
        <v/>
      </c>
      <c r="D995" s="212" t="n"/>
      <c r="E995" s="75">
        <f>+C995&amp;F995</f>
        <v/>
      </c>
      <c r="F995" s="80" t="n"/>
      <c r="G995" s="81" t="n"/>
      <c r="H995" s="78" t="n"/>
      <c r="I995" s="78" t="n"/>
      <c r="J995" s="78" t="n"/>
    </row>
    <row r="996">
      <c r="A996" s="84">
        <f>ROW()-6</f>
        <v/>
      </c>
      <c r="B996" s="85">
        <f>+MATCH(D996,ARTICULOS!$F$10:$F$699,0)</f>
        <v/>
      </c>
      <c r="C996" s="86">
        <f>+VLOOKUP(B996,ARTICULOS!$D$10:$I$699,6)</f>
        <v/>
      </c>
      <c r="D996" s="212" t="n"/>
      <c r="E996" s="75">
        <f>+C996&amp;F996</f>
        <v/>
      </c>
      <c r="F996" s="80" t="n"/>
      <c r="G996" s="81" t="n"/>
      <c r="H996" s="78" t="n"/>
      <c r="I996" s="78" t="n"/>
      <c r="J996" s="78" t="n"/>
    </row>
    <row r="997">
      <c r="A997" s="84">
        <f>ROW()-6</f>
        <v/>
      </c>
      <c r="B997" s="85">
        <f>+MATCH(D997,ARTICULOS!$F$10:$F$699,0)</f>
        <v/>
      </c>
      <c r="C997" s="86">
        <f>+VLOOKUP(B997,ARTICULOS!$D$10:$I$699,6)</f>
        <v/>
      </c>
      <c r="D997" s="212" t="n"/>
      <c r="E997" s="75">
        <f>+C997&amp;F997</f>
        <v/>
      </c>
      <c r="F997" s="80" t="n"/>
      <c r="G997" s="81" t="n"/>
      <c r="H997" s="78" t="n"/>
      <c r="I997" s="78" t="n"/>
      <c r="J997" s="78" t="n"/>
    </row>
    <row r="998">
      <c r="A998" s="84">
        <f>ROW()-6</f>
        <v/>
      </c>
      <c r="B998" s="85">
        <f>+MATCH(D998,ARTICULOS!$F$10:$F$699,0)</f>
        <v/>
      </c>
      <c r="C998" s="86">
        <f>+VLOOKUP(B998,ARTICULOS!$D$10:$I$699,6)</f>
        <v/>
      </c>
      <c r="D998" s="212" t="n"/>
      <c r="E998" s="75">
        <f>+C998&amp;F998</f>
        <v/>
      </c>
      <c r="F998" s="80" t="n"/>
      <c r="G998" s="81" t="n"/>
      <c r="H998" s="78" t="n"/>
      <c r="I998" s="78" t="n"/>
      <c r="J998" s="78" t="n"/>
    </row>
    <row r="999">
      <c r="A999" s="84">
        <f>ROW()-6</f>
        <v/>
      </c>
      <c r="B999" s="85">
        <f>+MATCH(D999,ARTICULOS!$F$10:$F$699,0)</f>
        <v/>
      </c>
      <c r="C999" s="86">
        <f>+VLOOKUP(B999,ARTICULOS!$D$10:$I$699,6)</f>
        <v/>
      </c>
      <c r="D999" s="212" t="n"/>
      <c r="E999" s="75">
        <f>+C999&amp;F999</f>
        <v/>
      </c>
      <c r="F999" s="80" t="n"/>
      <c r="G999" s="81" t="n"/>
      <c r="H999" s="78" t="n"/>
      <c r="I999" s="78" t="n"/>
      <c r="J999" s="78" t="n"/>
    </row>
    <row r="1000">
      <c r="A1000" s="84">
        <f>ROW()-6</f>
        <v/>
      </c>
      <c r="B1000" s="85">
        <f>+MATCH(D1000,ARTICULOS!$F$10:$F$699,0)</f>
        <v/>
      </c>
      <c r="C1000" s="86">
        <f>+VLOOKUP(B1000,ARTICULOS!$D$10:$I$699,6)</f>
        <v/>
      </c>
      <c r="D1000" s="212" t="n"/>
      <c r="E1000" s="75">
        <f>+C1000&amp;F1000</f>
        <v/>
      </c>
      <c r="F1000" s="80" t="n"/>
      <c r="G1000" s="81" t="n"/>
      <c r="H1000" s="78" t="n"/>
      <c r="I1000" s="78" t="n"/>
      <c r="J1000" s="78" t="n"/>
    </row>
    <row r="1001">
      <c r="A1001" s="84">
        <f>ROW()-6</f>
        <v/>
      </c>
      <c r="B1001" s="85">
        <f>+MATCH(D1001,ARTICULOS!$F$10:$F$699,0)</f>
        <v/>
      </c>
      <c r="C1001" s="86">
        <f>+VLOOKUP(B1001,ARTICULOS!$D$10:$I$699,6)</f>
        <v/>
      </c>
      <c r="D1001" s="212" t="n"/>
      <c r="E1001" s="75">
        <f>+C1001&amp;F1001</f>
        <v/>
      </c>
      <c r="F1001" s="80" t="n"/>
      <c r="G1001" s="81" t="n"/>
      <c r="H1001" s="78" t="n"/>
      <c r="I1001" s="78" t="n"/>
      <c r="J1001" s="78" t="n"/>
    </row>
    <row r="1002">
      <c r="A1002" s="84">
        <f>ROW()-6</f>
        <v/>
      </c>
      <c r="B1002" s="85">
        <f>+MATCH(D1002,ARTICULOS!$F$10:$F$699,0)</f>
        <v/>
      </c>
      <c r="C1002" s="86">
        <f>+VLOOKUP(B1002,ARTICULOS!$D$10:$I$699,6)</f>
        <v/>
      </c>
      <c r="D1002" s="212" t="n"/>
      <c r="E1002" s="75">
        <f>+C1002&amp;F1002</f>
        <v/>
      </c>
      <c r="F1002" s="80" t="n"/>
      <c r="G1002" s="81" t="n"/>
      <c r="H1002" s="78" t="n"/>
      <c r="I1002" s="78" t="n"/>
      <c r="J1002" s="78" t="n"/>
    </row>
    <row r="1003">
      <c r="A1003" s="84">
        <f>ROW()-6</f>
        <v/>
      </c>
      <c r="B1003" s="85">
        <f>+MATCH(D1003,ARTICULOS!$F$10:$F$699,0)</f>
        <v/>
      </c>
      <c r="C1003" s="86">
        <f>+VLOOKUP(B1003,ARTICULOS!$D$10:$I$699,6)</f>
        <v/>
      </c>
      <c r="D1003" s="212" t="n"/>
      <c r="E1003" s="75">
        <f>+C1003&amp;F1003</f>
        <v/>
      </c>
      <c r="F1003" s="80" t="n"/>
      <c r="G1003" s="81" t="n"/>
      <c r="H1003" s="78" t="n"/>
      <c r="I1003" s="78" t="n"/>
      <c r="J1003" s="78" t="n"/>
    </row>
    <row r="1004">
      <c r="A1004" s="84">
        <f>ROW()-6</f>
        <v/>
      </c>
      <c r="B1004" s="85">
        <f>+MATCH(D1004,ARTICULOS!$F$10:$F$699,0)</f>
        <v/>
      </c>
      <c r="C1004" s="86">
        <f>+VLOOKUP(B1004,ARTICULOS!$D$10:$I$699,6)</f>
        <v/>
      </c>
      <c r="D1004" s="212" t="n"/>
      <c r="E1004" s="75">
        <f>+C1004&amp;F1004</f>
        <v/>
      </c>
      <c r="F1004" s="80" t="n"/>
      <c r="G1004" s="81" t="n"/>
      <c r="H1004" s="78" t="n"/>
      <c r="I1004" s="78" t="n"/>
      <c r="J1004" s="78" t="n"/>
    </row>
    <row r="1005">
      <c r="A1005" s="84">
        <f>ROW()-6</f>
        <v/>
      </c>
      <c r="B1005" s="85">
        <f>+MATCH(D1005,ARTICULOS!$F$10:$F$699,0)</f>
        <v/>
      </c>
      <c r="C1005" s="86">
        <f>+VLOOKUP(B1005,ARTICULOS!$D$10:$I$699,6)</f>
        <v/>
      </c>
      <c r="D1005" s="212" t="n"/>
      <c r="E1005" s="75">
        <f>+C1005&amp;F1005</f>
        <v/>
      </c>
      <c r="F1005" s="80" t="n"/>
      <c r="G1005" s="81" t="n"/>
      <c r="H1005" s="78" t="n"/>
      <c r="I1005" s="78" t="n"/>
      <c r="J1005" s="78" t="n"/>
    </row>
    <row r="1006">
      <c r="A1006" s="84">
        <f>ROW()-6</f>
        <v/>
      </c>
      <c r="B1006" s="85">
        <f>+MATCH(D1006,ARTICULOS!$F$10:$F$699,0)</f>
        <v/>
      </c>
      <c r="C1006" s="86">
        <f>+VLOOKUP(B1006,ARTICULOS!$D$10:$I$699,6)</f>
        <v/>
      </c>
      <c r="D1006" s="212" t="n"/>
      <c r="E1006" s="75">
        <f>+C1006&amp;F1006</f>
        <v/>
      </c>
      <c r="F1006" s="80" t="n"/>
      <c r="G1006" s="81" t="n"/>
      <c r="H1006" s="78" t="n"/>
      <c r="I1006" s="78" t="n"/>
      <c r="J1006" s="78" t="n"/>
    </row>
    <row r="1007">
      <c r="A1007" s="84">
        <f>ROW()-6</f>
        <v/>
      </c>
      <c r="B1007" s="85">
        <f>+MATCH(D1007,ARTICULOS!$F$10:$F$699,0)</f>
        <v/>
      </c>
      <c r="C1007" s="86">
        <f>+VLOOKUP(B1007,ARTICULOS!$D$10:$I$699,6)</f>
        <v/>
      </c>
      <c r="D1007" s="212" t="n"/>
      <c r="E1007" s="75">
        <f>+C1007&amp;F1007</f>
        <v/>
      </c>
      <c r="F1007" s="80" t="n"/>
      <c r="G1007" s="81" t="n"/>
      <c r="H1007" s="78" t="n"/>
      <c r="I1007" s="78" t="n"/>
      <c r="J1007" s="78" t="n"/>
    </row>
    <row r="1008">
      <c r="A1008" s="84">
        <f>ROW()-6</f>
        <v/>
      </c>
      <c r="B1008" s="85">
        <f>+MATCH(D1008,ARTICULOS!$F$10:$F$699,0)</f>
        <v/>
      </c>
      <c r="C1008" s="86">
        <f>+VLOOKUP(B1008,ARTICULOS!$D$10:$I$699,6)</f>
        <v/>
      </c>
      <c r="D1008" s="212" t="n"/>
      <c r="E1008" s="75">
        <f>+C1008&amp;F1008</f>
        <v/>
      </c>
      <c r="F1008" s="80" t="n"/>
      <c r="G1008" s="81" t="n"/>
      <c r="H1008" s="78" t="n"/>
      <c r="I1008" s="78" t="n"/>
      <c r="J1008" s="78" t="n"/>
    </row>
    <row r="1009">
      <c r="A1009" s="84">
        <f>ROW()-6</f>
        <v/>
      </c>
      <c r="B1009" s="85">
        <f>+MATCH(D1009,ARTICULOS!$F$10:$F$699,0)</f>
        <v/>
      </c>
      <c r="C1009" s="86">
        <f>+VLOOKUP(B1009,ARTICULOS!$D$10:$I$699,6)</f>
        <v/>
      </c>
      <c r="D1009" s="212" t="n"/>
      <c r="E1009" s="75">
        <f>+C1009&amp;F1009</f>
        <v/>
      </c>
      <c r="F1009" s="80" t="n"/>
      <c r="G1009" s="81" t="n"/>
      <c r="H1009" s="78" t="n"/>
      <c r="I1009" s="78" t="n"/>
      <c r="J1009" s="78" t="n"/>
    </row>
    <row r="1010">
      <c r="A1010" s="84">
        <f>ROW()-6</f>
        <v/>
      </c>
      <c r="B1010" s="85">
        <f>+MATCH(D1010,ARTICULOS!$F$10:$F$699,0)</f>
        <v/>
      </c>
      <c r="C1010" s="86">
        <f>+VLOOKUP(B1010,ARTICULOS!$D$10:$I$699,6)</f>
        <v/>
      </c>
      <c r="D1010" s="212" t="n"/>
      <c r="E1010" s="75">
        <f>+C1010&amp;F1010</f>
        <v/>
      </c>
      <c r="F1010" s="80" t="n"/>
      <c r="G1010" s="81" t="n"/>
      <c r="H1010" s="78" t="n"/>
      <c r="I1010" s="78" t="n"/>
      <c r="J1010" s="78" t="n"/>
    </row>
    <row r="1011">
      <c r="A1011" s="84">
        <f>ROW()-6</f>
        <v/>
      </c>
      <c r="B1011" s="85">
        <f>+MATCH(D1011,ARTICULOS!$F$10:$F$699,0)</f>
        <v/>
      </c>
      <c r="C1011" s="86">
        <f>+VLOOKUP(B1011,ARTICULOS!$D$10:$I$699,6)</f>
        <v/>
      </c>
      <c r="D1011" s="212" t="n"/>
      <c r="E1011" s="75">
        <f>+C1011&amp;F1011</f>
        <v/>
      </c>
      <c r="F1011" s="80" t="n"/>
      <c r="G1011" s="81" t="n"/>
      <c r="H1011" s="78" t="n"/>
      <c r="I1011" s="78" t="n"/>
      <c r="J1011" s="78" t="n"/>
    </row>
    <row r="1012">
      <c r="A1012" s="84">
        <f>ROW()-6</f>
        <v/>
      </c>
      <c r="B1012" s="85">
        <f>+MATCH(D1012,ARTICULOS!$F$10:$F$699,0)</f>
        <v/>
      </c>
      <c r="C1012" s="86">
        <f>+VLOOKUP(B1012,ARTICULOS!$D$10:$I$699,6)</f>
        <v/>
      </c>
      <c r="D1012" s="212" t="n"/>
      <c r="E1012" s="75">
        <f>+C1012&amp;F1012</f>
        <v/>
      </c>
      <c r="F1012" s="80" t="n"/>
      <c r="G1012" s="81" t="n"/>
      <c r="H1012" s="78" t="n"/>
      <c r="I1012" s="78" t="n"/>
      <c r="J1012" s="78" t="n"/>
    </row>
    <row r="1013">
      <c r="A1013" s="84">
        <f>ROW()-6</f>
        <v/>
      </c>
      <c r="B1013" s="85">
        <f>+MATCH(D1013,ARTICULOS!$F$10:$F$699,0)</f>
        <v/>
      </c>
      <c r="C1013" s="86">
        <f>+VLOOKUP(B1013,ARTICULOS!$D$10:$I$699,6)</f>
        <v/>
      </c>
      <c r="D1013" s="212" t="n"/>
      <c r="E1013" s="75">
        <f>+C1013&amp;F1013</f>
        <v/>
      </c>
      <c r="F1013" s="80" t="n"/>
      <c r="G1013" s="81" t="n"/>
      <c r="H1013" s="78" t="n"/>
      <c r="I1013" s="78" t="n"/>
      <c r="J1013" s="78" t="n"/>
    </row>
    <row r="1014">
      <c r="A1014" s="84">
        <f>ROW()-6</f>
        <v/>
      </c>
      <c r="B1014" s="85">
        <f>+MATCH(D1014,ARTICULOS!$F$10:$F$699,0)</f>
        <v/>
      </c>
      <c r="C1014" s="86">
        <f>+VLOOKUP(B1014,ARTICULOS!$D$10:$I$699,6)</f>
        <v/>
      </c>
      <c r="D1014" s="212" t="n"/>
      <c r="E1014" s="75">
        <f>+C1014&amp;F1014</f>
        <v/>
      </c>
      <c r="F1014" s="80" t="n"/>
      <c r="G1014" s="81" t="n"/>
      <c r="H1014" s="78" t="n"/>
      <c r="I1014" s="78" t="n"/>
      <c r="J1014" s="78" t="n"/>
    </row>
    <row r="1015">
      <c r="A1015" s="84">
        <f>ROW()-6</f>
        <v/>
      </c>
      <c r="B1015" s="85">
        <f>+MATCH(D1015,ARTICULOS!$F$10:$F$699,0)</f>
        <v/>
      </c>
      <c r="C1015" s="86">
        <f>+VLOOKUP(B1015,ARTICULOS!$D$10:$I$699,6)</f>
        <v/>
      </c>
      <c r="D1015" s="212" t="n"/>
      <c r="E1015" s="75">
        <f>+C1015&amp;F1015</f>
        <v/>
      </c>
      <c r="F1015" s="80" t="n"/>
      <c r="G1015" s="81" t="n"/>
      <c r="H1015" s="78" t="n"/>
      <c r="I1015" s="78" t="n"/>
      <c r="J1015" s="78" t="n"/>
    </row>
    <row r="1016">
      <c r="A1016" s="84">
        <f>ROW()-6</f>
        <v/>
      </c>
      <c r="B1016" s="85">
        <f>+MATCH(D1016,ARTICULOS!$F$10:$F$699,0)</f>
        <v/>
      </c>
      <c r="C1016" s="86">
        <f>+VLOOKUP(B1016,ARTICULOS!$D$10:$I$699,6)</f>
        <v/>
      </c>
      <c r="D1016" s="212" t="n"/>
      <c r="E1016" s="75">
        <f>+C1016&amp;F1016</f>
        <v/>
      </c>
      <c r="F1016" s="80" t="n"/>
      <c r="G1016" s="81" t="n"/>
      <c r="H1016" s="78" t="n"/>
      <c r="I1016" s="78" t="n"/>
      <c r="J1016" s="78" t="n"/>
    </row>
    <row r="1017">
      <c r="A1017" s="84">
        <f>ROW()-6</f>
        <v/>
      </c>
      <c r="B1017" s="85">
        <f>+MATCH(D1017,ARTICULOS!$F$10:$F$699,0)</f>
        <v/>
      </c>
      <c r="C1017" s="86">
        <f>+VLOOKUP(B1017,ARTICULOS!$D$10:$I$699,6)</f>
        <v/>
      </c>
      <c r="D1017" s="212" t="n"/>
      <c r="E1017" s="75">
        <f>+C1017&amp;F1017</f>
        <v/>
      </c>
      <c r="F1017" s="80" t="n"/>
      <c r="G1017" s="81" t="n"/>
      <c r="H1017" s="78" t="n"/>
      <c r="I1017" s="78" t="n"/>
      <c r="J1017" s="78" t="n"/>
    </row>
    <row r="1018">
      <c r="A1018" s="84">
        <f>ROW()-6</f>
        <v/>
      </c>
      <c r="B1018" s="85">
        <f>+MATCH(D1018,ARTICULOS!$F$10:$F$699,0)</f>
        <v/>
      </c>
      <c r="C1018" s="86">
        <f>+VLOOKUP(B1018,ARTICULOS!$D$10:$I$699,6)</f>
        <v/>
      </c>
      <c r="D1018" s="212" t="n"/>
      <c r="E1018" s="75">
        <f>+C1018&amp;F1018</f>
        <v/>
      </c>
      <c r="F1018" s="80" t="n"/>
      <c r="G1018" s="81" t="n"/>
      <c r="H1018" s="78" t="n"/>
      <c r="I1018" s="78" t="n"/>
      <c r="J1018" s="78" t="n"/>
    </row>
    <row r="1019">
      <c r="A1019" s="84">
        <f>ROW()-6</f>
        <v/>
      </c>
      <c r="B1019" s="85">
        <f>+MATCH(D1019,ARTICULOS!$F$10:$F$699,0)</f>
        <v/>
      </c>
      <c r="C1019" s="86">
        <f>+VLOOKUP(B1019,ARTICULOS!$D$10:$I$699,6)</f>
        <v/>
      </c>
      <c r="D1019" s="212" t="n"/>
      <c r="E1019" s="75">
        <f>+C1019&amp;F1019</f>
        <v/>
      </c>
      <c r="F1019" s="80" t="n"/>
      <c r="G1019" s="81" t="n"/>
      <c r="H1019" s="78" t="n"/>
      <c r="I1019" s="78" t="n"/>
      <c r="J1019" s="78" t="n"/>
    </row>
    <row r="1020">
      <c r="A1020" s="84">
        <f>ROW()-6</f>
        <v/>
      </c>
      <c r="B1020" s="85">
        <f>+MATCH(D1020,ARTICULOS!$F$10:$F$699,0)</f>
        <v/>
      </c>
      <c r="C1020" s="86">
        <f>+VLOOKUP(B1020,ARTICULOS!$D$10:$I$699,6)</f>
        <v/>
      </c>
      <c r="D1020" s="212" t="n"/>
      <c r="E1020" s="75">
        <f>+C1020&amp;F1020</f>
        <v/>
      </c>
      <c r="F1020" s="80" t="n"/>
      <c r="G1020" s="81" t="n"/>
      <c r="H1020" s="78" t="n"/>
      <c r="I1020" s="78" t="n"/>
      <c r="J1020" s="78" t="n"/>
    </row>
    <row r="1021">
      <c r="A1021" s="84">
        <f>ROW()-6</f>
        <v/>
      </c>
      <c r="B1021" s="85">
        <f>+MATCH(D1021,ARTICULOS!$F$10:$F$699,0)</f>
        <v/>
      </c>
      <c r="C1021" s="86">
        <f>+VLOOKUP(B1021,ARTICULOS!$D$10:$I$699,6)</f>
        <v/>
      </c>
      <c r="D1021" s="212" t="n"/>
      <c r="E1021" s="75">
        <f>+C1021&amp;F1021</f>
        <v/>
      </c>
      <c r="F1021" s="80" t="n"/>
      <c r="G1021" s="81" t="n"/>
      <c r="H1021" s="78" t="n"/>
      <c r="I1021" s="78" t="n"/>
      <c r="J1021" s="78" t="n"/>
    </row>
    <row r="1022">
      <c r="A1022" s="84">
        <f>ROW()-6</f>
        <v/>
      </c>
      <c r="B1022" s="85">
        <f>+MATCH(D1022,ARTICULOS!$F$10:$F$699,0)</f>
        <v/>
      </c>
      <c r="C1022" s="86">
        <f>+VLOOKUP(B1022,ARTICULOS!$D$10:$I$699,6)</f>
        <v/>
      </c>
      <c r="D1022" s="212" t="n"/>
      <c r="E1022" s="75">
        <f>+C1022&amp;F1022</f>
        <v/>
      </c>
      <c r="F1022" s="80" t="n"/>
      <c r="G1022" s="81" t="n"/>
      <c r="H1022" s="78" t="n"/>
      <c r="I1022" s="78" t="n"/>
      <c r="J1022" s="78" t="n"/>
    </row>
    <row r="1023">
      <c r="A1023" s="84">
        <f>ROW()-6</f>
        <v/>
      </c>
      <c r="B1023" s="85">
        <f>+MATCH(D1023,ARTICULOS!$F$10:$F$699,0)</f>
        <v/>
      </c>
      <c r="C1023" s="86">
        <f>+VLOOKUP(B1023,ARTICULOS!$D$10:$I$699,6)</f>
        <v/>
      </c>
      <c r="D1023" s="212" t="n"/>
      <c r="E1023" s="75">
        <f>+C1023&amp;F1023</f>
        <v/>
      </c>
      <c r="F1023" s="80" t="n"/>
      <c r="G1023" s="81" t="n"/>
      <c r="H1023" s="78" t="n"/>
      <c r="I1023" s="78" t="n"/>
      <c r="J1023" s="78" t="n"/>
    </row>
    <row r="1024">
      <c r="A1024" s="84">
        <f>ROW()-6</f>
        <v/>
      </c>
      <c r="B1024" s="85">
        <f>+MATCH(D1024,ARTICULOS!$F$10:$F$699,0)</f>
        <v/>
      </c>
      <c r="C1024" s="86">
        <f>+VLOOKUP(B1024,ARTICULOS!$D$10:$I$699,6)</f>
        <v/>
      </c>
      <c r="D1024" s="212" t="n"/>
      <c r="E1024" s="75">
        <f>+C1024&amp;F1024</f>
        <v/>
      </c>
      <c r="F1024" s="80" t="n"/>
      <c r="G1024" s="81" t="n"/>
      <c r="H1024" s="78" t="n"/>
      <c r="I1024" s="78" t="n"/>
      <c r="J1024" s="78" t="n"/>
    </row>
    <row r="1025">
      <c r="A1025" s="84">
        <f>ROW()-6</f>
        <v/>
      </c>
      <c r="B1025" s="85">
        <f>+MATCH(D1025,ARTICULOS!$F$10:$F$699,0)</f>
        <v/>
      </c>
      <c r="C1025" s="86">
        <f>+VLOOKUP(B1025,ARTICULOS!$D$10:$I$699,6)</f>
        <v/>
      </c>
      <c r="D1025" s="212" t="n"/>
      <c r="E1025" s="75">
        <f>+C1025&amp;F1025</f>
        <v/>
      </c>
      <c r="F1025" s="80" t="n"/>
      <c r="G1025" s="81" t="n"/>
      <c r="H1025" s="78" t="n"/>
      <c r="I1025" s="78" t="n"/>
      <c r="J1025" s="78" t="n"/>
    </row>
    <row r="1026">
      <c r="A1026" s="84">
        <f>ROW()-6</f>
        <v/>
      </c>
      <c r="B1026" s="85">
        <f>+MATCH(D1026,ARTICULOS!$F$10:$F$699,0)</f>
        <v/>
      </c>
      <c r="C1026" s="86">
        <f>+VLOOKUP(B1026,ARTICULOS!$D$10:$I$699,6)</f>
        <v/>
      </c>
      <c r="D1026" s="212" t="n"/>
      <c r="E1026" s="75">
        <f>+C1026&amp;F1026</f>
        <v/>
      </c>
      <c r="F1026" s="80" t="n"/>
      <c r="G1026" s="81" t="n"/>
      <c r="H1026" s="78" t="n"/>
      <c r="I1026" s="78" t="n"/>
      <c r="J1026" s="78" t="n"/>
    </row>
    <row r="1027">
      <c r="A1027" s="84">
        <f>ROW()-6</f>
        <v/>
      </c>
      <c r="B1027" s="85">
        <f>+MATCH(D1027,ARTICULOS!$F$10:$F$699,0)</f>
        <v/>
      </c>
      <c r="C1027" s="86">
        <f>+VLOOKUP(B1027,ARTICULOS!$D$10:$I$699,6)</f>
        <v/>
      </c>
      <c r="D1027" s="212" t="n"/>
      <c r="E1027" s="75">
        <f>+C1027&amp;F1027</f>
        <v/>
      </c>
      <c r="F1027" s="80" t="n"/>
      <c r="G1027" s="81" t="n"/>
      <c r="H1027" s="78" t="n"/>
      <c r="I1027" s="78" t="n"/>
      <c r="J1027" s="78" t="n"/>
    </row>
    <row r="1028">
      <c r="A1028" s="84">
        <f>ROW()-6</f>
        <v/>
      </c>
      <c r="B1028" s="85">
        <f>+MATCH(D1028,ARTICULOS!$F$10:$F$699,0)</f>
        <v/>
      </c>
      <c r="C1028" s="86">
        <f>+VLOOKUP(B1028,ARTICULOS!$D$10:$I$699,6)</f>
        <v/>
      </c>
      <c r="D1028" s="212" t="n"/>
      <c r="E1028" s="75">
        <f>+C1028&amp;F1028</f>
        <v/>
      </c>
      <c r="F1028" s="80" t="n"/>
      <c r="G1028" s="81" t="n"/>
      <c r="H1028" s="78" t="n"/>
      <c r="I1028" s="78" t="n"/>
      <c r="J1028" s="78" t="n"/>
    </row>
    <row r="1029">
      <c r="A1029" s="84">
        <f>ROW()-6</f>
        <v/>
      </c>
      <c r="B1029" s="85">
        <f>+MATCH(D1029,ARTICULOS!$F$10:$F$699,0)</f>
        <v/>
      </c>
      <c r="C1029" s="86">
        <f>+VLOOKUP(B1029,ARTICULOS!$D$10:$I$699,6)</f>
        <v/>
      </c>
      <c r="D1029" s="212" t="n"/>
      <c r="E1029" s="75">
        <f>+C1029&amp;F1029</f>
        <v/>
      </c>
      <c r="F1029" s="80" t="n"/>
      <c r="G1029" s="81" t="n"/>
      <c r="H1029" s="78" t="n"/>
      <c r="I1029" s="78" t="n"/>
      <c r="J1029" s="78" t="n"/>
    </row>
    <row r="1030">
      <c r="A1030" s="84">
        <f>ROW()-6</f>
        <v/>
      </c>
      <c r="B1030" s="85">
        <f>+MATCH(D1030,ARTICULOS!$F$10:$F$699,0)</f>
        <v/>
      </c>
      <c r="C1030" s="86">
        <f>+VLOOKUP(B1030,ARTICULOS!$D$10:$I$699,6)</f>
        <v/>
      </c>
      <c r="D1030" s="212" t="n"/>
      <c r="E1030" s="75">
        <f>+C1030&amp;F1030</f>
        <v/>
      </c>
      <c r="F1030" s="80" t="n"/>
      <c r="G1030" s="81" t="n"/>
      <c r="H1030" s="78" t="n"/>
      <c r="I1030" s="78" t="n"/>
      <c r="J1030" s="78" t="n"/>
    </row>
    <row r="1031">
      <c r="A1031" s="84">
        <f>ROW()-6</f>
        <v/>
      </c>
      <c r="B1031" s="85">
        <f>+MATCH(D1031,ARTICULOS!$F$10:$F$699,0)</f>
        <v/>
      </c>
      <c r="C1031" s="86">
        <f>+VLOOKUP(B1031,ARTICULOS!$D$10:$I$699,6)</f>
        <v/>
      </c>
      <c r="D1031" s="212" t="n"/>
      <c r="E1031" s="75">
        <f>+C1031&amp;F1031</f>
        <v/>
      </c>
      <c r="F1031" s="80" t="n"/>
      <c r="G1031" s="81" t="n"/>
      <c r="H1031" s="78" t="n"/>
      <c r="I1031" s="78" t="n"/>
      <c r="J1031" s="78" t="n"/>
    </row>
    <row r="1032">
      <c r="A1032" s="84">
        <f>ROW()-6</f>
        <v/>
      </c>
      <c r="B1032" s="85">
        <f>+MATCH(D1032,ARTICULOS!$F$10:$F$699,0)</f>
        <v/>
      </c>
      <c r="C1032" s="86">
        <f>+VLOOKUP(B1032,ARTICULOS!$D$10:$I$699,6)</f>
        <v/>
      </c>
      <c r="D1032" s="212" t="n"/>
      <c r="E1032" s="75">
        <f>+C1032&amp;F1032</f>
        <v/>
      </c>
      <c r="F1032" s="80" t="n"/>
      <c r="G1032" s="81" t="n"/>
      <c r="H1032" s="78" t="n"/>
      <c r="I1032" s="78" t="n"/>
      <c r="J1032" s="78" t="n"/>
    </row>
    <row r="1033">
      <c r="A1033" s="84">
        <f>ROW()-6</f>
        <v/>
      </c>
      <c r="B1033" s="85">
        <f>+MATCH(D1033,ARTICULOS!$F$10:$F$699,0)</f>
        <v/>
      </c>
      <c r="C1033" s="86">
        <f>+VLOOKUP(B1033,ARTICULOS!$D$10:$I$699,6)</f>
        <v/>
      </c>
      <c r="D1033" s="212" t="n"/>
      <c r="E1033" s="75">
        <f>+C1033&amp;F1033</f>
        <v/>
      </c>
      <c r="F1033" s="80" t="n"/>
      <c r="G1033" s="81" t="n"/>
      <c r="H1033" s="78" t="n"/>
      <c r="I1033" s="78" t="n"/>
      <c r="J1033" s="78" t="n"/>
    </row>
    <row r="1034">
      <c r="A1034" s="84">
        <f>ROW()-6</f>
        <v/>
      </c>
      <c r="B1034" s="85">
        <f>+MATCH(D1034,ARTICULOS!$F$10:$F$699,0)</f>
        <v/>
      </c>
      <c r="C1034" s="86">
        <f>+VLOOKUP(B1034,ARTICULOS!$D$10:$I$699,6)</f>
        <v/>
      </c>
      <c r="D1034" s="212" t="n"/>
      <c r="E1034" s="75">
        <f>+C1034&amp;F1034</f>
        <v/>
      </c>
      <c r="F1034" s="80" t="n"/>
      <c r="G1034" s="81" t="n"/>
      <c r="H1034" s="78" t="n"/>
      <c r="I1034" s="78" t="n"/>
      <c r="J1034" s="78" t="n"/>
    </row>
    <row r="1035">
      <c r="A1035" s="84">
        <f>ROW()-6</f>
        <v/>
      </c>
      <c r="B1035" s="85">
        <f>+MATCH(D1035,ARTICULOS!$F$10:$F$699,0)</f>
        <v/>
      </c>
      <c r="C1035" s="86">
        <f>+VLOOKUP(B1035,ARTICULOS!$D$10:$I$699,6)</f>
        <v/>
      </c>
      <c r="D1035" s="212" t="n"/>
      <c r="E1035" s="75">
        <f>+C1035&amp;F1035</f>
        <v/>
      </c>
      <c r="F1035" s="80" t="n"/>
      <c r="G1035" s="81" t="n"/>
      <c r="H1035" s="78" t="n"/>
      <c r="I1035" s="78" t="n"/>
      <c r="J1035" s="78" t="n"/>
    </row>
    <row r="1036">
      <c r="A1036" s="84">
        <f>ROW()-6</f>
        <v/>
      </c>
      <c r="B1036" s="85">
        <f>+MATCH(D1036,ARTICULOS!$F$10:$F$699,0)</f>
        <v/>
      </c>
      <c r="C1036" s="86">
        <f>+VLOOKUP(B1036,ARTICULOS!$D$10:$I$699,6)</f>
        <v/>
      </c>
      <c r="D1036" s="212" t="n"/>
      <c r="E1036" s="75">
        <f>+C1036&amp;F1036</f>
        <v/>
      </c>
      <c r="F1036" s="80" t="n"/>
      <c r="G1036" s="81" t="n"/>
      <c r="H1036" s="78" t="n"/>
      <c r="I1036" s="78" t="n"/>
      <c r="J1036" s="78" t="n"/>
    </row>
    <row r="1037">
      <c r="A1037" s="84">
        <f>ROW()-6</f>
        <v/>
      </c>
      <c r="B1037" s="85">
        <f>+MATCH(D1037,ARTICULOS!$F$10:$F$699,0)</f>
        <v/>
      </c>
      <c r="C1037" s="86">
        <f>+VLOOKUP(B1037,ARTICULOS!$D$10:$I$699,6)</f>
        <v/>
      </c>
      <c r="D1037" s="212" t="n"/>
      <c r="E1037" s="75">
        <f>+C1037&amp;F1037</f>
        <v/>
      </c>
      <c r="F1037" s="80" t="n"/>
      <c r="G1037" s="81" t="n"/>
      <c r="H1037" s="78" t="n"/>
      <c r="I1037" s="78" t="n"/>
      <c r="J1037" s="78" t="n"/>
    </row>
    <row r="1038">
      <c r="A1038" s="84">
        <f>ROW()-6</f>
        <v/>
      </c>
      <c r="B1038" s="85">
        <f>+MATCH(D1038,ARTICULOS!$F$10:$F$699,0)</f>
        <v/>
      </c>
      <c r="C1038" s="86">
        <f>+VLOOKUP(B1038,ARTICULOS!$D$10:$I$699,6)</f>
        <v/>
      </c>
      <c r="D1038" s="212" t="n"/>
      <c r="E1038" s="75">
        <f>+C1038&amp;F1038</f>
        <v/>
      </c>
      <c r="F1038" s="80" t="n"/>
      <c r="G1038" s="81" t="n"/>
      <c r="H1038" s="78" t="n"/>
      <c r="I1038" s="78" t="n"/>
      <c r="J1038" s="78" t="n"/>
    </row>
    <row r="1039">
      <c r="A1039" s="84">
        <f>ROW()-6</f>
        <v/>
      </c>
      <c r="B1039" s="85">
        <f>+MATCH(D1039,ARTICULOS!$F$10:$F$699,0)</f>
        <v/>
      </c>
      <c r="C1039" s="86">
        <f>+VLOOKUP(B1039,ARTICULOS!$D$10:$I$699,6)</f>
        <v/>
      </c>
      <c r="D1039" s="212" t="n"/>
      <c r="E1039" s="75">
        <f>+C1039&amp;F1039</f>
        <v/>
      </c>
      <c r="F1039" s="80" t="n"/>
      <c r="G1039" s="81" t="n"/>
      <c r="H1039" s="78" t="n"/>
      <c r="I1039" s="78" t="n"/>
      <c r="J1039" s="78" t="n"/>
    </row>
    <row r="1040">
      <c r="A1040" s="84">
        <f>ROW()-6</f>
        <v/>
      </c>
      <c r="B1040" s="85">
        <f>+MATCH(D1040,ARTICULOS!$F$10:$F$699,0)</f>
        <v/>
      </c>
      <c r="C1040" s="86">
        <f>+VLOOKUP(B1040,ARTICULOS!$D$10:$I$699,6)</f>
        <v/>
      </c>
      <c r="D1040" s="212" t="n"/>
      <c r="E1040" s="75">
        <f>+C1040&amp;F1040</f>
        <v/>
      </c>
      <c r="F1040" s="80" t="n"/>
      <c r="G1040" s="81" t="n"/>
      <c r="H1040" s="78" t="n"/>
      <c r="I1040" s="78" t="n"/>
      <c r="J1040" s="78" t="n"/>
    </row>
    <row r="1041">
      <c r="A1041" s="84">
        <f>ROW()-6</f>
        <v/>
      </c>
      <c r="B1041" s="85">
        <f>+MATCH(D1041,ARTICULOS!$F$10:$F$699,0)</f>
        <v/>
      </c>
      <c r="C1041" s="86">
        <f>+VLOOKUP(B1041,ARTICULOS!$D$10:$I$699,6)</f>
        <v/>
      </c>
      <c r="D1041" s="212" t="n"/>
      <c r="E1041" s="75">
        <f>+C1041&amp;F1041</f>
        <v/>
      </c>
      <c r="F1041" s="80" t="n"/>
      <c r="G1041" s="81" t="n"/>
      <c r="H1041" s="78" t="n"/>
      <c r="I1041" s="78" t="n"/>
      <c r="J1041" s="78" t="n"/>
    </row>
    <row r="1042">
      <c r="A1042" s="84">
        <f>ROW()-6</f>
        <v/>
      </c>
      <c r="B1042" s="85">
        <f>+MATCH(D1042,ARTICULOS!$F$10:$F$699,0)</f>
        <v/>
      </c>
      <c r="C1042" s="86">
        <f>+VLOOKUP(B1042,ARTICULOS!$D$10:$I$699,6)</f>
        <v/>
      </c>
      <c r="D1042" s="212" t="n"/>
      <c r="E1042" s="75">
        <f>+C1042&amp;F1042</f>
        <v/>
      </c>
      <c r="F1042" s="80" t="n"/>
      <c r="G1042" s="81" t="n"/>
      <c r="H1042" s="78" t="n"/>
      <c r="I1042" s="78" t="n"/>
      <c r="J1042" s="78" t="n"/>
    </row>
    <row r="1043">
      <c r="A1043" s="84">
        <f>ROW()-6</f>
        <v/>
      </c>
      <c r="B1043" s="85">
        <f>+MATCH(D1043,ARTICULOS!$F$10:$F$699,0)</f>
        <v/>
      </c>
      <c r="C1043" s="86">
        <f>+VLOOKUP(B1043,ARTICULOS!$D$10:$I$699,6)</f>
        <v/>
      </c>
      <c r="D1043" s="212" t="n"/>
      <c r="E1043" s="75">
        <f>+C1043&amp;F1043</f>
        <v/>
      </c>
      <c r="F1043" s="80" t="n"/>
      <c r="G1043" s="81" t="n"/>
      <c r="H1043" s="78" t="n"/>
      <c r="I1043" s="78" t="n"/>
      <c r="J1043" s="78" t="n"/>
    </row>
    <row r="1044">
      <c r="A1044" s="84">
        <f>ROW()-6</f>
        <v/>
      </c>
      <c r="B1044" s="85">
        <f>+MATCH(D1044,ARTICULOS!$F$10:$F$699,0)</f>
        <v/>
      </c>
      <c r="C1044" s="86">
        <f>+VLOOKUP(B1044,ARTICULOS!$D$10:$I$699,6)</f>
        <v/>
      </c>
      <c r="D1044" s="212" t="n"/>
      <c r="E1044" s="75">
        <f>+C1044&amp;F1044</f>
        <v/>
      </c>
      <c r="F1044" s="80" t="n"/>
      <c r="G1044" s="81" t="n"/>
      <c r="H1044" s="78" t="n"/>
      <c r="I1044" s="78" t="n"/>
      <c r="J1044" s="78" t="n"/>
    </row>
    <row r="1045">
      <c r="A1045" s="84">
        <f>ROW()-6</f>
        <v/>
      </c>
      <c r="B1045" s="85">
        <f>+MATCH(D1045,ARTICULOS!$F$10:$F$699,0)</f>
        <v/>
      </c>
      <c r="C1045" s="86">
        <f>+VLOOKUP(B1045,ARTICULOS!$D$10:$I$699,6)</f>
        <v/>
      </c>
      <c r="D1045" s="212" t="n"/>
      <c r="E1045" s="75">
        <f>+C1045&amp;F1045</f>
        <v/>
      </c>
      <c r="F1045" s="80" t="n"/>
      <c r="G1045" s="81" t="n"/>
      <c r="H1045" s="78" t="n"/>
      <c r="I1045" s="78" t="n"/>
      <c r="J1045" s="78" t="n"/>
    </row>
    <row r="1046">
      <c r="A1046" s="84">
        <f>ROW()-6</f>
        <v/>
      </c>
      <c r="B1046" s="85">
        <f>+MATCH(D1046,ARTICULOS!$F$10:$F$699,0)</f>
        <v/>
      </c>
      <c r="C1046" s="86">
        <f>+VLOOKUP(B1046,ARTICULOS!$D$10:$I$699,6)</f>
        <v/>
      </c>
      <c r="D1046" s="212" t="n"/>
      <c r="E1046" s="75">
        <f>+C1046&amp;F1046</f>
        <v/>
      </c>
      <c r="F1046" s="80" t="n"/>
      <c r="G1046" s="81" t="n"/>
      <c r="H1046" s="78" t="n"/>
      <c r="I1046" s="78" t="n"/>
      <c r="J1046" s="78" t="n"/>
    </row>
    <row r="1047">
      <c r="A1047" s="84">
        <f>ROW()-6</f>
        <v/>
      </c>
      <c r="B1047" s="85">
        <f>+MATCH(D1047,ARTICULOS!$F$10:$F$699,0)</f>
        <v/>
      </c>
      <c r="C1047" s="86">
        <f>+VLOOKUP(B1047,ARTICULOS!$D$10:$I$699,6)</f>
        <v/>
      </c>
      <c r="D1047" s="212" t="n"/>
      <c r="E1047" s="75">
        <f>+C1047&amp;F1047</f>
        <v/>
      </c>
      <c r="F1047" s="80" t="n"/>
      <c r="G1047" s="81" t="n"/>
      <c r="H1047" s="78" t="n"/>
      <c r="I1047" s="78" t="n"/>
      <c r="J1047" s="78" t="n"/>
    </row>
    <row r="1048">
      <c r="A1048" s="84">
        <f>ROW()-6</f>
        <v/>
      </c>
      <c r="B1048" s="85">
        <f>+MATCH(D1048,ARTICULOS!$F$10:$F$699,0)</f>
        <v/>
      </c>
      <c r="C1048" s="86">
        <f>+VLOOKUP(B1048,ARTICULOS!$D$10:$I$699,6)</f>
        <v/>
      </c>
      <c r="D1048" s="212" t="n"/>
      <c r="E1048" s="75">
        <f>+C1048&amp;F1048</f>
        <v/>
      </c>
      <c r="F1048" s="80" t="n"/>
      <c r="G1048" s="81" t="n"/>
      <c r="H1048" s="78" t="n"/>
      <c r="I1048" s="78" t="n"/>
      <c r="J1048" s="78" t="n"/>
    </row>
    <row r="1049">
      <c r="A1049" s="84">
        <f>ROW()-6</f>
        <v/>
      </c>
      <c r="B1049" s="85">
        <f>+MATCH(D1049,ARTICULOS!$F$10:$F$699,0)</f>
        <v/>
      </c>
      <c r="C1049" s="86">
        <f>+VLOOKUP(B1049,ARTICULOS!$D$10:$I$699,6)</f>
        <v/>
      </c>
      <c r="D1049" s="212" t="n"/>
      <c r="E1049" s="75">
        <f>+C1049&amp;F1049</f>
        <v/>
      </c>
      <c r="F1049" s="80" t="n"/>
      <c r="G1049" s="81" t="n"/>
      <c r="H1049" s="78" t="n"/>
      <c r="I1049" s="78" t="n"/>
      <c r="J1049" s="78" t="n"/>
    </row>
    <row r="1050">
      <c r="A1050" s="84">
        <f>ROW()-6</f>
        <v/>
      </c>
      <c r="B1050" s="85">
        <f>+MATCH(D1050,ARTICULOS!$F$10:$F$699,0)</f>
        <v/>
      </c>
      <c r="C1050" s="86">
        <f>+VLOOKUP(B1050,ARTICULOS!$D$10:$I$699,6)</f>
        <v/>
      </c>
      <c r="D1050" s="212" t="n"/>
      <c r="E1050" s="75">
        <f>+C1050&amp;F1050</f>
        <v/>
      </c>
      <c r="F1050" s="80" t="n"/>
      <c r="G1050" s="81" t="n"/>
      <c r="H1050" s="78" t="n"/>
      <c r="I1050" s="78" t="n"/>
      <c r="J1050" s="78" t="n"/>
    </row>
    <row r="1051">
      <c r="A1051" s="84">
        <f>ROW()-6</f>
        <v/>
      </c>
      <c r="B1051" s="85">
        <f>+MATCH(D1051,ARTICULOS!$F$10:$F$699,0)</f>
        <v/>
      </c>
      <c r="C1051" s="86">
        <f>+VLOOKUP(B1051,ARTICULOS!$D$10:$I$699,6)</f>
        <v/>
      </c>
      <c r="D1051" s="212" t="n"/>
      <c r="E1051" s="75">
        <f>+C1051&amp;F1051</f>
        <v/>
      </c>
      <c r="F1051" s="80" t="n"/>
      <c r="G1051" s="81" t="n"/>
      <c r="H1051" s="78" t="n"/>
      <c r="I1051" s="78" t="n"/>
      <c r="J1051" s="78" t="n"/>
    </row>
    <row r="1052">
      <c r="A1052" s="84">
        <f>ROW()-6</f>
        <v/>
      </c>
      <c r="B1052" s="85">
        <f>+MATCH(D1052,ARTICULOS!$F$10:$F$699,0)</f>
        <v/>
      </c>
      <c r="C1052" s="86">
        <f>+VLOOKUP(B1052,ARTICULOS!$D$10:$I$699,6)</f>
        <v/>
      </c>
      <c r="D1052" s="212" t="n"/>
      <c r="E1052" s="75">
        <f>+C1052&amp;F1052</f>
        <v/>
      </c>
      <c r="F1052" s="80" t="n"/>
      <c r="G1052" s="81" t="n"/>
      <c r="H1052" s="78" t="n"/>
      <c r="I1052" s="78" t="n"/>
      <c r="J1052" s="78" t="n"/>
    </row>
    <row r="1053">
      <c r="A1053" s="84">
        <f>ROW()-6</f>
        <v/>
      </c>
      <c r="B1053" s="85">
        <f>+MATCH(D1053,ARTICULOS!$F$10:$F$699,0)</f>
        <v/>
      </c>
      <c r="C1053" s="86">
        <f>+VLOOKUP(B1053,ARTICULOS!$D$10:$I$699,6)</f>
        <v/>
      </c>
      <c r="D1053" s="212" t="n"/>
      <c r="E1053" s="75">
        <f>+C1053&amp;F1053</f>
        <v/>
      </c>
      <c r="F1053" s="80" t="n"/>
      <c r="G1053" s="81" t="n"/>
      <c r="H1053" s="78" t="n"/>
      <c r="I1053" s="78" t="n"/>
      <c r="J1053" s="78" t="n"/>
    </row>
    <row r="1054">
      <c r="A1054" s="84">
        <f>ROW()-6</f>
        <v/>
      </c>
      <c r="B1054" s="85">
        <f>+MATCH(D1054,ARTICULOS!$F$10:$F$699,0)</f>
        <v/>
      </c>
      <c r="C1054" s="86">
        <f>+VLOOKUP(B1054,ARTICULOS!$D$10:$I$699,6)</f>
        <v/>
      </c>
      <c r="D1054" s="212" t="n"/>
      <c r="E1054" s="75">
        <f>+C1054&amp;F1054</f>
        <v/>
      </c>
      <c r="F1054" s="80" t="n"/>
      <c r="G1054" s="81" t="n"/>
      <c r="H1054" s="78" t="n"/>
      <c r="I1054" s="78" t="n"/>
      <c r="J1054" s="78" t="n"/>
    </row>
    <row r="1055">
      <c r="A1055" s="84">
        <f>ROW()-6</f>
        <v/>
      </c>
      <c r="B1055" s="85">
        <f>+MATCH(D1055,ARTICULOS!$F$10:$F$699,0)</f>
        <v/>
      </c>
      <c r="C1055" s="86">
        <f>+VLOOKUP(B1055,ARTICULOS!$D$10:$I$699,6)</f>
        <v/>
      </c>
      <c r="D1055" s="212" t="n"/>
      <c r="E1055" s="75">
        <f>+C1055&amp;F1055</f>
        <v/>
      </c>
      <c r="F1055" s="80" t="n"/>
      <c r="G1055" s="81" t="n"/>
      <c r="H1055" s="78" t="n"/>
      <c r="I1055" s="78" t="n"/>
      <c r="J1055" s="78" t="n"/>
    </row>
    <row r="1056">
      <c r="A1056" s="84">
        <f>ROW()-6</f>
        <v/>
      </c>
      <c r="B1056" s="85">
        <f>+MATCH(D1056,ARTICULOS!$F$10:$F$699,0)</f>
        <v/>
      </c>
      <c r="C1056" s="86">
        <f>+VLOOKUP(B1056,ARTICULOS!$D$10:$I$699,6)</f>
        <v/>
      </c>
      <c r="D1056" s="212" t="n"/>
      <c r="E1056" s="75">
        <f>+C1056&amp;F1056</f>
        <v/>
      </c>
      <c r="F1056" s="80" t="n"/>
      <c r="G1056" s="81" t="n"/>
      <c r="H1056" s="78" t="n"/>
      <c r="I1056" s="78" t="n"/>
      <c r="J1056" s="78" t="n"/>
    </row>
    <row r="1057">
      <c r="A1057" s="84">
        <f>ROW()-6</f>
        <v/>
      </c>
      <c r="B1057" s="85">
        <f>+MATCH(D1057,ARTICULOS!$F$10:$F$699,0)</f>
        <v/>
      </c>
      <c r="C1057" s="86">
        <f>+VLOOKUP(B1057,ARTICULOS!$D$10:$I$699,6)</f>
        <v/>
      </c>
      <c r="D1057" s="212" t="n"/>
      <c r="E1057" s="75">
        <f>+C1057&amp;F1057</f>
        <v/>
      </c>
      <c r="F1057" s="80" t="n"/>
      <c r="G1057" s="81" t="n"/>
      <c r="H1057" s="78" t="n"/>
      <c r="I1057" s="78" t="n"/>
      <c r="J1057" s="78" t="n"/>
    </row>
    <row r="1058">
      <c r="A1058" s="84">
        <f>ROW()-6</f>
        <v/>
      </c>
      <c r="B1058" s="85">
        <f>+MATCH(D1058,ARTICULOS!$F$10:$F$699,0)</f>
        <v/>
      </c>
      <c r="C1058" s="86">
        <f>+VLOOKUP(B1058,ARTICULOS!$D$10:$I$699,6)</f>
        <v/>
      </c>
      <c r="D1058" s="212" t="n"/>
      <c r="E1058" s="75">
        <f>+C1058&amp;F1058</f>
        <v/>
      </c>
      <c r="F1058" s="80" t="n"/>
      <c r="G1058" s="81" t="n"/>
      <c r="H1058" s="78" t="n"/>
      <c r="I1058" s="78" t="n"/>
      <c r="J1058" s="78" t="n"/>
    </row>
    <row r="1059">
      <c r="A1059" s="84">
        <f>ROW()-6</f>
        <v/>
      </c>
      <c r="B1059" s="85">
        <f>+MATCH(D1059,ARTICULOS!$F$10:$F$699,0)</f>
        <v/>
      </c>
      <c r="C1059" s="86">
        <f>+VLOOKUP(B1059,ARTICULOS!$D$10:$I$699,6)</f>
        <v/>
      </c>
      <c r="D1059" s="212" t="n"/>
      <c r="E1059" s="75">
        <f>+C1059&amp;F1059</f>
        <v/>
      </c>
      <c r="F1059" s="80" t="n"/>
      <c r="G1059" s="81" t="n"/>
      <c r="H1059" s="78" t="n"/>
      <c r="I1059" s="78" t="n"/>
      <c r="J1059" s="78" t="n"/>
    </row>
    <row r="1060">
      <c r="A1060" s="84">
        <f>ROW()-6</f>
        <v/>
      </c>
      <c r="B1060" s="85">
        <f>+MATCH(D1060,ARTICULOS!$F$10:$F$699,0)</f>
        <v/>
      </c>
      <c r="C1060" s="86">
        <f>+VLOOKUP(B1060,ARTICULOS!$D$10:$I$699,6)</f>
        <v/>
      </c>
      <c r="D1060" s="212" t="n"/>
      <c r="E1060" s="75">
        <f>+C1060&amp;F1060</f>
        <v/>
      </c>
      <c r="F1060" s="80" t="n"/>
      <c r="G1060" s="81" t="n"/>
      <c r="H1060" s="78" t="n"/>
      <c r="I1060" s="78" t="n"/>
      <c r="J1060" s="78" t="n"/>
    </row>
    <row r="1061">
      <c r="A1061" s="84">
        <f>ROW()-6</f>
        <v/>
      </c>
      <c r="B1061" s="85">
        <f>+MATCH(D1061,ARTICULOS!$F$10:$F$699,0)</f>
        <v/>
      </c>
      <c r="C1061" s="86">
        <f>+VLOOKUP(B1061,ARTICULOS!$D$10:$I$699,6)</f>
        <v/>
      </c>
      <c r="D1061" s="212" t="n"/>
      <c r="E1061" s="75">
        <f>+C1061&amp;F1061</f>
        <v/>
      </c>
      <c r="F1061" s="80" t="n"/>
      <c r="G1061" s="81" t="n"/>
      <c r="H1061" s="78" t="n"/>
      <c r="I1061" s="78" t="n"/>
      <c r="J1061" s="78" t="n"/>
    </row>
    <row r="1062">
      <c r="A1062" s="84">
        <f>ROW()-6</f>
        <v/>
      </c>
      <c r="B1062" s="85">
        <f>+MATCH(D1062,ARTICULOS!$F$10:$F$699,0)</f>
        <v/>
      </c>
      <c r="C1062" s="86">
        <f>+VLOOKUP(B1062,ARTICULOS!$D$10:$I$699,6)</f>
        <v/>
      </c>
      <c r="D1062" s="212" t="n"/>
      <c r="E1062" s="75">
        <f>+C1062&amp;F1062</f>
        <v/>
      </c>
      <c r="F1062" s="80" t="n"/>
      <c r="G1062" s="81" t="n"/>
      <c r="H1062" s="78" t="n"/>
      <c r="I1062" s="78" t="n"/>
      <c r="J1062" s="78" t="n"/>
    </row>
    <row r="1063">
      <c r="A1063" s="84">
        <f>ROW()-6</f>
        <v/>
      </c>
      <c r="B1063" s="85">
        <f>+MATCH(D1063,ARTICULOS!$F$10:$F$699,0)</f>
        <v/>
      </c>
      <c r="C1063" s="86">
        <f>+VLOOKUP(B1063,ARTICULOS!$D$10:$I$699,6)</f>
        <v/>
      </c>
      <c r="D1063" s="212" t="n"/>
      <c r="E1063" s="75">
        <f>+C1063&amp;F1063</f>
        <v/>
      </c>
      <c r="F1063" s="80" t="n"/>
      <c r="G1063" s="81" t="n"/>
      <c r="H1063" s="78" t="n"/>
      <c r="I1063" s="78" t="n"/>
      <c r="J1063" s="78" t="n"/>
    </row>
    <row r="1064">
      <c r="A1064" s="84">
        <f>ROW()-6</f>
        <v/>
      </c>
      <c r="B1064" s="85">
        <f>+MATCH(D1064,ARTICULOS!$F$10:$F$699,0)</f>
        <v/>
      </c>
      <c r="C1064" s="86">
        <f>+VLOOKUP(B1064,ARTICULOS!$D$10:$I$699,6)</f>
        <v/>
      </c>
      <c r="D1064" s="212" t="n"/>
      <c r="E1064" s="75">
        <f>+C1064&amp;F1064</f>
        <v/>
      </c>
      <c r="F1064" s="80" t="n"/>
      <c r="G1064" s="81" t="n"/>
      <c r="H1064" s="78" t="n"/>
      <c r="I1064" s="78" t="n"/>
      <c r="J1064" s="78" t="n"/>
    </row>
    <row r="1065">
      <c r="A1065" s="84">
        <f>ROW()-6</f>
        <v/>
      </c>
      <c r="B1065" s="85">
        <f>+MATCH(D1065,ARTICULOS!$F$10:$F$699,0)</f>
        <v/>
      </c>
      <c r="C1065" s="86">
        <f>+VLOOKUP(B1065,ARTICULOS!$D$10:$I$699,6)</f>
        <v/>
      </c>
      <c r="D1065" s="212" t="n"/>
      <c r="E1065" s="75">
        <f>+C1065&amp;F1065</f>
        <v/>
      </c>
      <c r="F1065" s="80" t="n"/>
      <c r="G1065" s="81" t="n"/>
      <c r="H1065" s="78" t="n"/>
      <c r="I1065" s="78" t="n"/>
      <c r="J1065" s="78" t="n"/>
    </row>
    <row r="1066">
      <c r="A1066" s="84">
        <f>ROW()-6</f>
        <v/>
      </c>
      <c r="B1066" s="85">
        <f>+MATCH(D1066,ARTICULOS!$F$10:$F$699,0)</f>
        <v/>
      </c>
      <c r="C1066" s="86">
        <f>+VLOOKUP(B1066,ARTICULOS!$D$10:$I$699,6)</f>
        <v/>
      </c>
      <c r="D1066" s="212" t="n"/>
      <c r="E1066" s="75">
        <f>+C1066&amp;F1066</f>
        <v/>
      </c>
      <c r="F1066" s="80" t="n"/>
      <c r="G1066" s="81" t="n"/>
      <c r="H1066" s="78" t="n"/>
      <c r="I1066" s="78" t="n"/>
      <c r="J1066" s="78" t="n"/>
    </row>
    <row r="1067">
      <c r="A1067" s="84">
        <f>ROW()-6</f>
        <v/>
      </c>
      <c r="B1067" s="85">
        <f>+MATCH(D1067,ARTICULOS!$F$10:$F$699,0)</f>
        <v/>
      </c>
      <c r="C1067" s="86">
        <f>+VLOOKUP(B1067,ARTICULOS!$D$10:$I$699,6)</f>
        <v/>
      </c>
      <c r="D1067" s="212" t="n"/>
      <c r="E1067" s="75">
        <f>+C1067&amp;F1067</f>
        <v/>
      </c>
      <c r="F1067" s="80" t="n"/>
      <c r="G1067" s="81" t="n"/>
      <c r="H1067" s="78" t="n"/>
      <c r="I1067" s="78" t="n"/>
      <c r="J1067" s="78" t="n"/>
    </row>
    <row r="1068">
      <c r="A1068" s="84">
        <f>ROW()-6</f>
        <v/>
      </c>
      <c r="B1068" s="85">
        <f>+MATCH(D1068,ARTICULOS!$F$10:$F$699,0)</f>
        <v/>
      </c>
      <c r="C1068" s="86">
        <f>+VLOOKUP(B1068,ARTICULOS!$D$10:$I$699,6)</f>
        <v/>
      </c>
      <c r="D1068" s="212" t="n"/>
      <c r="E1068" s="75">
        <f>+C1068&amp;F1068</f>
        <v/>
      </c>
      <c r="F1068" s="80" t="n"/>
      <c r="G1068" s="81" t="n"/>
      <c r="H1068" s="78" t="n"/>
      <c r="I1068" s="78" t="n"/>
      <c r="J1068" s="78" t="n"/>
    </row>
    <row r="1069">
      <c r="A1069" s="84">
        <f>ROW()-6</f>
        <v/>
      </c>
      <c r="B1069" s="85">
        <f>+MATCH(D1069,ARTICULOS!$F$10:$F$699,0)</f>
        <v/>
      </c>
      <c r="C1069" s="86">
        <f>+VLOOKUP(B1069,ARTICULOS!$D$10:$I$699,6)</f>
        <v/>
      </c>
      <c r="D1069" s="212" t="n"/>
      <c r="E1069" s="75">
        <f>+C1069&amp;F1069</f>
        <v/>
      </c>
      <c r="F1069" s="80" t="n"/>
      <c r="G1069" s="81" t="n"/>
      <c r="H1069" s="78" t="n"/>
      <c r="I1069" s="78" t="n"/>
      <c r="J1069" s="78" t="n"/>
    </row>
    <row r="1070">
      <c r="A1070" s="84">
        <f>ROW()-6</f>
        <v/>
      </c>
      <c r="B1070" s="85">
        <f>+MATCH(D1070,ARTICULOS!$F$10:$F$699,0)</f>
        <v/>
      </c>
      <c r="C1070" s="86">
        <f>+VLOOKUP(B1070,ARTICULOS!$D$10:$I$699,6)</f>
        <v/>
      </c>
      <c r="D1070" s="212" t="n"/>
      <c r="E1070" s="75">
        <f>+C1070&amp;F1070</f>
        <v/>
      </c>
      <c r="F1070" s="80" t="n"/>
      <c r="G1070" s="81" t="n"/>
      <c r="H1070" s="78" t="n"/>
      <c r="I1070" s="78" t="n"/>
      <c r="J1070" s="78" t="n"/>
    </row>
    <row r="1071">
      <c r="A1071" s="84">
        <f>ROW()-6</f>
        <v/>
      </c>
      <c r="B1071" s="85">
        <f>+MATCH(D1071,ARTICULOS!$F$10:$F$699,0)</f>
        <v/>
      </c>
      <c r="C1071" s="86">
        <f>+VLOOKUP(B1071,ARTICULOS!$D$10:$I$699,6)</f>
        <v/>
      </c>
      <c r="D1071" s="212" t="n"/>
      <c r="E1071" s="75">
        <f>+C1071&amp;F1071</f>
        <v/>
      </c>
      <c r="F1071" s="80" t="n"/>
      <c r="G1071" s="81" t="n"/>
      <c r="H1071" s="78" t="n"/>
      <c r="I1071" s="78" t="n"/>
      <c r="J1071" s="78" t="n"/>
    </row>
    <row r="1072">
      <c r="A1072" s="84">
        <f>ROW()-6</f>
        <v/>
      </c>
      <c r="B1072" s="85">
        <f>+MATCH(D1072,ARTICULOS!$F$10:$F$699,0)</f>
        <v/>
      </c>
      <c r="C1072" s="86">
        <f>+VLOOKUP(B1072,ARTICULOS!$D$10:$I$699,6)</f>
        <v/>
      </c>
      <c r="D1072" s="212" t="n"/>
      <c r="E1072" s="75">
        <f>+C1072&amp;F1072</f>
        <v/>
      </c>
      <c r="F1072" s="80" t="n"/>
      <c r="G1072" s="81" t="n"/>
      <c r="H1072" s="78" t="n"/>
      <c r="I1072" s="78" t="n"/>
      <c r="J1072" s="78" t="n"/>
    </row>
    <row r="1073">
      <c r="A1073" s="84">
        <f>ROW()-6</f>
        <v/>
      </c>
      <c r="B1073" s="85">
        <f>+MATCH(D1073,ARTICULOS!$F$10:$F$699,0)</f>
        <v/>
      </c>
      <c r="C1073" s="86">
        <f>+VLOOKUP(B1073,ARTICULOS!$D$10:$I$699,6)</f>
        <v/>
      </c>
      <c r="D1073" s="212" t="n"/>
      <c r="E1073" s="75">
        <f>+C1073&amp;F1073</f>
        <v/>
      </c>
      <c r="F1073" s="80" t="n"/>
      <c r="G1073" s="81" t="n"/>
      <c r="H1073" s="78" t="n"/>
      <c r="I1073" s="78" t="n"/>
      <c r="J1073" s="78" t="n"/>
    </row>
    <row r="1074">
      <c r="A1074" s="84">
        <f>ROW()-6</f>
        <v/>
      </c>
      <c r="B1074" s="85">
        <f>+MATCH(D1074,ARTICULOS!$F$10:$F$699,0)</f>
        <v/>
      </c>
      <c r="C1074" s="86">
        <f>+VLOOKUP(B1074,ARTICULOS!$D$10:$I$699,6)</f>
        <v/>
      </c>
      <c r="D1074" s="212" t="n"/>
      <c r="E1074" s="75">
        <f>+C1074&amp;F1074</f>
        <v/>
      </c>
      <c r="F1074" s="80" t="n"/>
      <c r="G1074" s="81" t="n"/>
      <c r="H1074" s="78" t="n"/>
      <c r="I1074" s="78" t="n"/>
      <c r="J1074" s="78" t="n"/>
    </row>
    <row r="1075">
      <c r="A1075" s="84">
        <f>ROW()-6</f>
        <v/>
      </c>
      <c r="B1075" s="85">
        <f>+MATCH(D1075,ARTICULOS!$F$10:$F$699,0)</f>
        <v/>
      </c>
      <c r="C1075" s="86">
        <f>+VLOOKUP(B1075,ARTICULOS!$D$10:$I$699,6)</f>
        <v/>
      </c>
      <c r="D1075" s="212" t="n"/>
      <c r="E1075" s="75">
        <f>+C1075&amp;F1075</f>
        <v/>
      </c>
      <c r="F1075" s="80" t="n"/>
      <c r="G1075" s="81" t="n"/>
      <c r="H1075" s="78" t="n"/>
      <c r="I1075" s="78" t="n"/>
      <c r="J1075" s="78" t="n"/>
    </row>
    <row r="1076">
      <c r="A1076" s="84">
        <f>ROW()-6</f>
        <v/>
      </c>
      <c r="B1076" s="85">
        <f>+MATCH(D1076,ARTICULOS!$F$10:$F$699,0)</f>
        <v/>
      </c>
      <c r="C1076" s="86">
        <f>+VLOOKUP(B1076,ARTICULOS!$D$10:$I$699,6)</f>
        <v/>
      </c>
      <c r="D1076" s="212" t="n"/>
      <c r="E1076" s="75">
        <f>+C1076&amp;F1076</f>
        <v/>
      </c>
      <c r="F1076" s="80" t="n"/>
      <c r="G1076" s="81" t="n"/>
      <c r="H1076" s="78" t="n"/>
      <c r="I1076" s="78" t="n"/>
      <c r="J1076" s="78" t="n"/>
    </row>
    <row r="1077">
      <c r="A1077" s="84">
        <f>ROW()-6</f>
        <v/>
      </c>
      <c r="B1077" s="85">
        <f>+MATCH(D1077,ARTICULOS!$F$10:$F$699,0)</f>
        <v/>
      </c>
      <c r="C1077" s="86">
        <f>+VLOOKUP(B1077,ARTICULOS!$D$10:$I$699,6)</f>
        <v/>
      </c>
      <c r="D1077" s="212" t="n"/>
      <c r="E1077" s="75">
        <f>+C1077&amp;F1077</f>
        <v/>
      </c>
      <c r="F1077" s="80" t="n"/>
      <c r="G1077" s="81" t="n"/>
      <c r="H1077" s="78" t="n"/>
      <c r="I1077" s="78" t="n"/>
      <c r="J1077" s="78" t="n"/>
    </row>
    <row r="1078">
      <c r="A1078" s="84">
        <f>ROW()-6</f>
        <v/>
      </c>
      <c r="B1078" s="85">
        <f>+MATCH(D1078,ARTICULOS!$F$10:$F$699,0)</f>
        <v/>
      </c>
      <c r="C1078" s="86">
        <f>+VLOOKUP(B1078,ARTICULOS!$D$10:$I$699,6)</f>
        <v/>
      </c>
      <c r="D1078" s="212" t="n"/>
      <c r="E1078" s="75">
        <f>+C1078&amp;F1078</f>
        <v/>
      </c>
      <c r="F1078" s="80" t="n"/>
      <c r="G1078" s="81" t="n"/>
      <c r="H1078" s="78" t="n"/>
      <c r="I1078" s="78" t="n"/>
      <c r="J1078" s="78" t="n"/>
    </row>
    <row r="1079">
      <c r="A1079" s="84">
        <f>ROW()-6</f>
        <v/>
      </c>
      <c r="B1079" s="85">
        <f>+MATCH(D1079,ARTICULOS!$F$10:$F$699,0)</f>
        <v/>
      </c>
      <c r="C1079" s="86">
        <f>+VLOOKUP(B1079,ARTICULOS!$D$10:$I$699,6)</f>
        <v/>
      </c>
      <c r="D1079" s="212" t="n"/>
      <c r="E1079" s="75">
        <f>+C1079&amp;F1079</f>
        <v/>
      </c>
      <c r="F1079" s="80" t="n"/>
      <c r="G1079" s="81" t="n"/>
      <c r="H1079" s="78" t="n"/>
      <c r="I1079" s="78" t="n"/>
      <c r="J1079" s="78" t="n"/>
    </row>
    <row r="1080">
      <c r="A1080" s="84">
        <f>ROW()-6</f>
        <v/>
      </c>
      <c r="B1080" s="85">
        <f>+MATCH(D1080,ARTICULOS!$F$10:$F$699,0)</f>
        <v/>
      </c>
      <c r="C1080" s="86">
        <f>+VLOOKUP(B1080,ARTICULOS!$D$10:$I$699,6)</f>
        <v/>
      </c>
      <c r="D1080" s="212" t="n"/>
      <c r="E1080" s="75">
        <f>+C1080&amp;F1080</f>
        <v/>
      </c>
      <c r="F1080" s="80" t="n"/>
      <c r="G1080" s="81" t="n"/>
      <c r="H1080" s="78" t="n"/>
      <c r="I1080" s="78" t="n"/>
      <c r="J1080" s="78" t="n"/>
    </row>
    <row r="1081">
      <c r="A1081" s="84">
        <f>ROW()-6</f>
        <v/>
      </c>
      <c r="B1081" s="85">
        <f>+MATCH(D1081,ARTICULOS!$F$10:$F$699,0)</f>
        <v/>
      </c>
      <c r="C1081" s="86">
        <f>+VLOOKUP(B1081,ARTICULOS!$D$10:$I$699,6)</f>
        <v/>
      </c>
      <c r="D1081" s="212" t="n"/>
      <c r="E1081" s="75">
        <f>+C1081&amp;F1081</f>
        <v/>
      </c>
      <c r="F1081" s="80" t="n"/>
      <c r="G1081" s="81" t="n"/>
      <c r="H1081" s="78" t="n"/>
      <c r="I1081" s="78" t="n"/>
      <c r="J1081" s="78" t="n"/>
    </row>
    <row r="1082">
      <c r="A1082" s="84">
        <f>ROW()-6</f>
        <v/>
      </c>
      <c r="B1082" s="85">
        <f>+MATCH(D1082,ARTICULOS!$F$10:$F$699,0)</f>
        <v/>
      </c>
      <c r="C1082" s="86">
        <f>+VLOOKUP(B1082,ARTICULOS!$D$10:$I$699,6)</f>
        <v/>
      </c>
      <c r="D1082" s="212" t="n"/>
      <c r="E1082" s="75">
        <f>+C1082&amp;F1082</f>
        <v/>
      </c>
      <c r="F1082" s="80" t="n"/>
      <c r="G1082" s="81" t="n"/>
      <c r="H1082" s="78" t="n"/>
      <c r="I1082" s="78" t="n"/>
      <c r="J1082" s="78" t="n"/>
    </row>
    <row r="1083">
      <c r="A1083" s="84">
        <f>ROW()-6</f>
        <v/>
      </c>
      <c r="B1083" s="85">
        <f>+MATCH(D1083,ARTICULOS!$F$10:$F$699,0)</f>
        <v/>
      </c>
      <c r="C1083" s="86">
        <f>+VLOOKUP(B1083,ARTICULOS!$D$10:$I$699,6)</f>
        <v/>
      </c>
      <c r="D1083" s="212" t="n"/>
      <c r="E1083" s="75">
        <f>+C1083&amp;F1083</f>
        <v/>
      </c>
      <c r="F1083" s="80" t="n"/>
      <c r="G1083" s="81" t="n"/>
      <c r="H1083" s="78" t="n"/>
      <c r="I1083" s="78" t="n"/>
      <c r="J1083" s="78" t="n"/>
    </row>
    <row r="1084">
      <c r="A1084" s="84">
        <f>ROW()-6</f>
        <v/>
      </c>
      <c r="B1084" s="85">
        <f>+MATCH(D1084,ARTICULOS!$F$10:$F$699,0)</f>
        <v/>
      </c>
      <c r="C1084" s="86">
        <f>+VLOOKUP(B1084,ARTICULOS!$D$10:$I$699,6)</f>
        <v/>
      </c>
      <c r="D1084" s="212" t="n"/>
      <c r="E1084" s="75">
        <f>+C1084&amp;F1084</f>
        <v/>
      </c>
      <c r="F1084" s="80" t="n"/>
      <c r="G1084" s="81" t="n"/>
      <c r="H1084" s="78" t="n"/>
      <c r="I1084" s="78" t="n"/>
      <c r="J1084" s="78" t="n"/>
    </row>
    <row r="1085">
      <c r="A1085" s="84">
        <f>ROW()-6</f>
        <v/>
      </c>
      <c r="B1085" s="85">
        <f>+MATCH(D1085,ARTICULOS!$F$10:$F$699,0)</f>
        <v/>
      </c>
      <c r="C1085" s="86">
        <f>+VLOOKUP(B1085,ARTICULOS!$D$10:$I$699,6)</f>
        <v/>
      </c>
      <c r="D1085" s="212" t="n"/>
      <c r="E1085" s="75">
        <f>+C1085&amp;F1085</f>
        <v/>
      </c>
      <c r="F1085" s="80" t="n"/>
      <c r="G1085" s="81" t="n"/>
      <c r="H1085" s="78" t="n"/>
      <c r="I1085" s="78" t="n"/>
      <c r="J1085" s="78" t="n"/>
    </row>
    <row r="1086">
      <c r="A1086" s="84">
        <f>ROW()-6</f>
        <v/>
      </c>
      <c r="B1086" s="85">
        <f>+MATCH(D1086,ARTICULOS!$F$10:$F$699,0)</f>
        <v/>
      </c>
      <c r="C1086" s="86">
        <f>+VLOOKUP(B1086,ARTICULOS!$D$10:$I$699,6)</f>
        <v/>
      </c>
      <c r="D1086" s="212" t="n"/>
      <c r="E1086" s="75">
        <f>+C1086&amp;F1086</f>
        <v/>
      </c>
      <c r="F1086" s="80" t="n"/>
      <c r="G1086" s="81" t="n"/>
      <c r="H1086" s="78" t="n"/>
      <c r="I1086" s="78" t="n"/>
      <c r="J1086" s="78" t="n"/>
    </row>
    <row r="1087">
      <c r="A1087" s="84">
        <f>ROW()-6</f>
        <v/>
      </c>
      <c r="B1087" s="85">
        <f>+MATCH(D1087,ARTICULOS!$F$10:$F$699,0)</f>
        <v/>
      </c>
      <c r="C1087" s="86">
        <f>+VLOOKUP(B1087,ARTICULOS!$D$10:$I$699,6)</f>
        <v/>
      </c>
      <c r="D1087" s="212" t="n"/>
      <c r="E1087" s="75">
        <f>+C1087&amp;F1087</f>
        <v/>
      </c>
      <c r="F1087" s="80" t="n"/>
      <c r="G1087" s="81" t="n"/>
      <c r="H1087" s="78" t="n"/>
      <c r="I1087" s="78" t="n"/>
      <c r="J1087" s="78" t="n"/>
    </row>
    <row r="1088">
      <c r="A1088" s="84">
        <f>ROW()-6</f>
        <v/>
      </c>
      <c r="B1088" s="85">
        <f>+MATCH(D1088,ARTICULOS!$F$10:$F$699,0)</f>
        <v/>
      </c>
      <c r="C1088" s="86">
        <f>+VLOOKUP(B1088,ARTICULOS!$D$10:$I$699,6)</f>
        <v/>
      </c>
      <c r="D1088" s="212" t="n"/>
      <c r="E1088" s="75">
        <f>+C1088&amp;F1088</f>
        <v/>
      </c>
      <c r="F1088" s="80" t="n"/>
      <c r="G1088" s="81" t="n"/>
      <c r="H1088" s="78" t="n"/>
      <c r="I1088" s="78" t="n"/>
      <c r="J1088" s="78" t="n"/>
    </row>
    <row r="1089">
      <c r="A1089" s="84">
        <f>ROW()-6</f>
        <v/>
      </c>
      <c r="B1089" s="85">
        <f>+MATCH(D1089,ARTICULOS!$F$10:$F$699,0)</f>
        <v/>
      </c>
      <c r="C1089" s="86">
        <f>+VLOOKUP(B1089,ARTICULOS!$D$10:$I$699,6)</f>
        <v/>
      </c>
      <c r="D1089" s="212" t="n"/>
      <c r="E1089" s="75">
        <f>+C1089&amp;F1089</f>
        <v/>
      </c>
      <c r="F1089" s="80" t="n"/>
      <c r="G1089" s="81" t="n"/>
      <c r="H1089" s="78" t="n"/>
      <c r="I1089" s="78" t="n"/>
      <c r="J1089" s="78" t="n"/>
    </row>
    <row r="1090">
      <c r="A1090" s="84">
        <f>ROW()-6</f>
        <v/>
      </c>
      <c r="B1090" s="85">
        <f>+MATCH(D1090,ARTICULOS!$F$10:$F$699,0)</f>
        <v/>
      </c>
      <c r="C1090" s="86">
        <f>+VLOOKUP(B1090,ARTICULOS!$D$10:$I$699,6)</f>
        <v/>
      </c>
      <c r="D1090" s="212" t="n"/>
      <c r="E1090" s="75">
        <f>+C1090&amp;F1090</f>
        <v/>
      </c>
      <c r="F1090" s="80" t="n"/>
      <c r="G1090" s="81" t="n"/>
      <c r="H1090" s="78" t="n"/>
      <c r="I1090" s="78" t="n"/>
      <c r="J1090" s="78" t="n"/>
    </row>
    <row r="1091">
      <c r="A1091" s="84">
        <f>ROW()-6</f>
        <v/>
      </c>
      <c r="B1091" s="85">
        <f>+MATCH(D1091,ARTICULOS!$F$10:$F$699,0)</f>
        <v/>
      </c>
      <c r="C1091" s="86">
        <f>+VLOOKUP(B1091,ARTICULOS!$D$10:$I$699,6)</f>
        <v/>
      </c>
      <c r="D1091" s="212" t="n"/>
      <c r="E1091" s="75">
        <f>+C1091&amp;F1091</f>
        <v/>
      </c>
      <c r="F1091" s="80" t="n"/>
      <c r="G1091" s="81" t="n"/>
      <c r="H1091" s="78" t="n"/>
      <c r="I1091" s="78" t="n"/>
      <c r="J1091" s="78" t="n"/>
    </row>
    <row r="1092">
      <c r="A1092" s="84">
        <f>ROW()-6</f>
        <v/>
      </c>
      <c r="B1092" s="85">
        <f>+MATCH(D1092,ARTICULOS!$F$10:$F$699,0)</f>
        <v/>
      </c>
      <c r="C1092" s="86">
        <f>+VLOOKUP(B1092,ARTICULOS!$D$10:$I$699,6)</f>
        <v/>
      </c>
      <c r="D1092" s="212" t="n"/>
      <c r="E1092" s="75">
        <f>+C1092&amp;F1092</f>
        <v/>
      </c>
      <c r="F1092" s="80" t="n"/>
      <c r="G1092" s="81" t="n"/>
      <c r="H1092" s="78" t="n"/>
      <c r="I1092" s="78" t="n"/>
      <c r="J1092" s="78" t="n"/>
    </row>
    <row r="1093">
      <c r="A1093" s="84">
        <f>ROW()-6</f>
        <v/>
      </c>
      <c r="B1093" s="85">
        <f>+MATCH(D1093,ARTICULOS!$F$10:$F$699,0)</f>
        <v/>
      </c>
      <c r="C1093" s="86">
        <f>+VLOOKUP(B1093,ARTICULOS!$D$10:$I$699,6)</f>
        <v/>
      </c>
      <c r="D1093" s="212" t="n"/>
      <c r="E1093" s="75">
        <f>+C1093&amp;F1093</f>
        <v/>
      </c>
      <c r="F1093" s="80" t="n"/>
      <c r="G1093" s="81" t="n"/>
      <c r="H1093" s="78" t="n"/>
      <c r="I1093" s="78" t="n"/>
      <c r="J1093" s="78" t="n"/>
    </row>
    <row r="1094">
      <c r="A1094" s="84">
        <f>ROW()-6</f>
        <v/>
      </c>
      <c r="B1094" s="85">
        <f>+MATCH(D1094,ARTICULOS!$F$10:$F$699,0)</f>
        <v/>
      </c>
      <c r="C1094" s="86">
        <f>+VLOOKUP(B1094,ARTICULOS!$D$10:$I$699,6)</f>
        <v/>
      </c>
      <c r="D1094" s="212" t="n"/>
      <c r="E1094" s="75">
        <f>+C1094&amp;F1094</f>
        <v/>
      </c>
      <c r="F1094" s="80" t="n"/>
      <c r="G1094" s="81" t="n"/>
      <c r="H1094" s="78" t="n"/>
      <c r="I1094" s="78" t="n"/>
      <c r="J1094" s="78" t="n"/>
    </row>
    <row r="1095">
      <c r="A1095" s="84">
        <f>ROW()-6</f>
        <v/>
      </c>
      <c r="B1095" s="85">
        <f>+MATCH(D1095,ARTICULOS!$F$10:$F$699,0)</f>
        <v/>
      </c>
      <c r="C1095" s="86">
        <f>+VLOOKUP(B1095,ARTICULOS!$D$10:$I$699,6)</f>
        <v/>
      </c>
      <c r="D1095" s="212" t="n"/>
      <c r="E1095" s="75">
        <f>+C1095&amp;F1095</f>
        <v/>
      </c>
      <c r="F1095" s="80" t="n"/>
      <c r="G1095" s="81" t="n"/>
      <c r="H1095" s="78" t="n"/>
      <c r="I1095" s="78" t="n"/>
      <c r="J1095" s="78" t="n"/>
    </row>
    <row r="1096">
      <c r="A1096" s="84">
        <f>ROW()-6</f>
        <v/>
      </c>
      <c r="B1096" s="85">
        <f>+MATCH(D1096,ARTICULOS!$F$10:$F$699,0)</f>
        <v/>
      </c>
      <c r="C1096" s="86">
        <f>+VLOOKUP(B1096,ARTICULOS!$D$10:$I$699,6)</f>
        <v/>
      </c>
      <c r="D1096" s="212" t="n"/>
      <c r="E1096" s="75">
        <f>+C1096&amp;F1096</f>
        <v/>
      </c>
      <c r="F1096" s="80" t="n"/>
      <c r="G1096" s="81" t="n"/>
      <c r="H1096" s="78" t="n"/>
      <c r="I1096" s="78" t="n"/>
      <c r="J1096" s="78" t="n"/>
    </row>
    <row r="1097">
      <c r="A1097" s="84">
        <f>ROW()-6</f>
        <v/>
      </c>
      <c r="B1097" s="85">
        <f>+MATCH(D1097,ARTICULOS!$F$10:$F$699,0)</f>
        <v/>
      </c>
      <c r="C1097" s="86">
        <f>+VLOOKUP(B1097,ARTICULOS!$D$10:$I$699,6)</f>
        <v/>
      </c>
      <c r="D1097" s="212" t="n"/>
      <c r="E1097" s="75">
        <f>+C1097&amp;F1097</f>
        <v/>
      </c>
      <c r="F1097" s="80" t="n"/>
      <c r="G1097" s="81" t="n"/>
      <c r="H1097" s="78" t="n"/>
      <c r="I1097" s="78" t="n"/>
      <c r="J1097" s="78" t="n"/>
    </row>
    <row r="1098">
      <c r="A1098" s="84">
        <f>ROW()-6</f>
        <v/>
      </c>
      <c r="B1098" s="85">
        <f>+MATCH(D1098,ARTICULOS!$F$10:$F$699,0)</f>
        <v/>
      </c>
      <c r="C1098" s="86">
        <f>+VLOOKUP(B1098,ARTICULOS!$D$10:$I$699,6)</f>
        <v/>
      </c>
      <c r="D1098" s="212" t="n"/>
      <c r="E1098" s="75">
        <f>+C1098&amp;F1098</f>
        <v/>
      </c>
      <c r="F1098" s="80" t="n"/>
      <c r="G1098" s="81" t="n"/>
      <c r="H1098" s="78" t="n"/>
      <c r="I1098" s="78" t="n"/>
      <c r="J1098" s="78" t="n"/>
    </row>
    <row r="1099">
      <c r="A1099" s="84">
        <f>ROW()-6</f>
        <v/>
      </c>
      <c r="B1099" s="85">
        <f>+MATCH(D1099,ARTICULOS!$F$10:$F$699,0)</f>
        <v/>
      </c>
      <c r="C1099" s="86">
        <f>+VLOOKUP(B1099,ARTICULOS!$D$10:$I$699,6)</f>
        <v/>
      </c>
      <c r="D1099" s="212" t="n"/>
      <c r="E1099" s="75">
        <f>+C1099&amp;F1099</f>
        <v/>
      </c>
      <c r="F1099" s="80" t="n"/>
      <c r="G1099" s="81" t="n"/>
      <c r="H1099" s="78" t="n"/>
      <c r="I1099" s="78" t="n"/>
      <c r="J1099" s="78" t="n"/>
    </row>
    <row r="1100">
      <c r="A1100" s="84">
        <f>ROW()-6</f>
        <v/>
      </c>
      <c r="B1100" s="85">
        <f>+MATCH(D1100,ARTICULOS!$F$10:$F$699,0)</f>
        <v/>
      </c>
      <c r="C1100" s="86">
        <f>+VLOOKUP(B1100,ARTICULOS!$D$10:$I$699,6)</f>
        <v/>
      </c>
      <c r="D1100" s="212" t="n"/>
      <c r="E1100" s="75">
        <f>+C1100&amp;F1100</f>
        <v/>
      </c>
      <c r="F1100" s="80" t="n"/>
      <c r="G1100" s="81" t="n"/>
      <c r="H1100" s="78" t="n"/>
      <c r="I1100" s="78" t="n"/>
      <c r="J1100" s="78" t="n"/>
    </row>
    <row r="1101">
      <c r="A1101" s="84">
        <f>ROW()-6</f>
        <v/>
      </c>
      <c r="B1101" s="85">
        <f>+MATCH(D1101,ARTICULOS!$F$10:$F$699,0)</f>
        <v/>
      </c>
      <c r="C1101" s="86">
        <f>+VLOOKUP(B1101,ARTICULOS!$D$10:$I$699,6)</f>
        <v/>
      </c>
      <c r="D1101" s="212" t="n"/>
      <c r="E1101" s="75">
        <f>+C1101&amp;F1101</f>
        <v/>
      </c>
      <c r="F1101" s="80" t="n"/>
      <c r="G1101" s="81" t="n"/>
      <c r="H1101" s="78" t="n"/>
      <c r="I1101" s="78" t="n"/>
      <c r="J1101" s="78" t="n"/>
    </row>
    <row r="1102">
      <c r="A1102" s="84">
        <f>ROW()-6</f>
        <v/>
      </c>
      <c r="B1102" s="85">
        <f>+MATCH(D1102,ARTICULOS!$F$10:$F$699,0)</f>
        <v/>
      </c>
      <c r="C1102" s="86">
        <f>+VLOOKUP(B1102,ARTICULOS!$D$10:$I$699,6)</f>
        <v/>
      </c>
      <c r="D1102" s="212" t="n"/>
      <c r="E1102" s="75">
        <f>+C1102&amp;F1102</f>
        <v/>
      </c>
      <c r="F1102" s="80" t="n"/>
      <c r="G1102" s="81" t="n"/>
      <c r="H1102" s="78" t="n"/>
      <c r="I1102" s="78" t="n"/>
      <c r="J1102" s="78" t="n"/>
    </row>
    <row r="1103">
      <c r="A1103" s="84">
        <f>ROW()-6</f>
        <v/>
      </c>
      <c r="B1103" s="85">
        <f>+MATCH(D1103,ARTICULOS!$F$10:$F$699,0)</f>
        <v/>
      </c>
      <c r="C1103" s="86">
        <f>+VLOOKUP(B1103,ARTICULOS!$D$10:$I$699,6)</f>
        <v/>
      </c>
      <c r="D1103" s="212" t="n"/>
      <c r="E1103" s="75">
        <f>+C1103&amp;F1103</f>
        <v/>
      </c>
      <c r="F1103" s="80" t="n"/>
      <c r="G1103" s="81" t="n"/>
      <c r="H1103" s="78" t="n"/>
      <c r="I1103" s="78" t="n"/>
      <c r="J1103" s="78" t="n"/>
    </row>
    <row r="1104">
      <c r="A1104" s="84">
        <f>ROW()-6</f>
        <v/>
      </c>
      <c r="B1104" s="85">
        <f>+MATCH(D1104,ARTICULOS!$F$10:$F$699,0)</f>
        <v/>
      </c>
      <c r="C1104" s="86">
        <f>+VLOOKUP(B1104,ARTICULOS!$D$10:$I$699,6)</f>
        <v/>
      </c>
      <c r="D1104" s="212" t="n"/>
      <c r="E1104" s="75">
        <f>+C1104&amp;F1104</f>
        <v/>
      </c>
      <c r="F1104" s="80" t="n"/>
      <c r="G1104" s="81" t="n"/>
      <c r="H1104" s="78" t="n"/>
      <c r="I1104" s="78" t="n"/>
      <c r="J1104" s="78" t="n"/>
    </row>
    <row r="1105">
      <c r="A1105" s="84">
        <f>ROW()-6</f>
        <v/>
      </c>
      <c r="B1105" s="85">
        <f>+MATCH(D1105,ARTICULOS!$F$10:$F$699,0)</f>
        <v/>
      </c>
      <c r="C1105" s="86">
        <f>+VLOOKUP(B1105,ARTICULOS!$D$10:$I$699,6)</f>
        <v/>
      </c>
      <c r="D1105" s="212" t="n"/>
      <c r="E1105" s="75">
        <f>+C1105&amp;F1105</f>
        <v/>
      </c>
      <c r="F1105" s="80" t="n"/>
      <c r="G1105" s="81" t="n"/>
      <c r="H1105" s="78" t="n"/>
      <c r="I1105" s="78" t="n"/>
      <c r="J1105" s="78" t="n"/>
    </row>
    <row r="1106">
      <c r="A1106" s="84">
        <f>ROW()-6</f>
        <v/>
      </c>
      <c r="B1106" s="85">
        <f>+MATCH(D1106,ARTICULOS!$F$10:$F$699,0)</f>
        <v/>
      </c>
      <c r="C1106" s="86">
        <f>+VLOOKUP(B1106,ARTICULOS!$D$10:$I$699,6)</f>
        <v/>
      </c>
      <c r="D1106" s="212" t="n"/>
      <c r="E1106" s="75">
        <f>+C1106&amp;F1106</f>
        <v/>
      </c>
      <c r="F1106" s="80" t="n"/>
      <c r="G1106" s="81" t="n"/>
      <c r="H1106" s="78" t="n"/>
      <c r="I1106" s="78" t="n"/>
      <c r="J1106" s="78" t="n"/>
    </row>
    <row r="1107">
      <c r="A1107" s="84">
        <f>ROW()-6</f>
        <v/>
      </c>
      <c r="B1107" s="85">
        <f>+MATCH(D1107,ARTICULOS!$F$10:$F$699,0)</f>
        <v/>
      </c>
      <c r="C1107" s="86">
        <f>+VLOOKUP(B1107,ARTICULOS!$D$10:$I$699,6)</f>
        <v/>
      </c>
      <c r="D1107" s="212" t="n"/>
      <c r="E1107" s="75">
        <f>+C1107&amp;F1107</f>
        <v/>
      </c>
      <c r="F1107" s="80" t="n"/>
      <c r="G1107" s="81" t="n"/>
      <c r="H1107" s="78" t="n"/>
      <c r="I1107" s="78" t="n"/>
      <c r="J1107" s="78" t="n"/>
    </row>
    <row r="1108">
      <c r="A1108" s="84">
        <f>ROW()-6</f>
        <v/>
      </c>
      <c r="B1108" s="85">
        <f>+MATCH(D1108,ARTICULOS!$F$10:$F$699,0)</f>
        <v/>
      </c>
      <c r="C1108" s="86">
        <f>+VLOOKUP(B1108,ARTICULOS!$D$10:$I$699,6)</f>
        <v/>
      </c>
      <c r="D1108" s="212" t="n"/>
      <c r="E1108" s="75">
        <f>+C1108&amp;F1108</f>
        <v/>
      </c>
      <c r="F1108" s="80" t="n"/>
      <c r="G1108" s="81" t="n"/>
      <c r="H1108" s="78" t="n"/>
      <c r="I1108" s="78" t="n"/>
      <c r="J1108" s="78" t="n"/>
    </row>
    <row r="1109">
      <c r="A1109" s="84">
        <f>ROW()-6</f>
        <v/>
      </c>
      <c r="B1109" s="85">
        <f>+MATCH(D1109,ARTICULOS!$F$10:$F$699,0)</f>
        <v/>
      </c>
      <c r="C1109" s="86">
        <f>+VLOOKUP(B1109,ARTICULOS!$D$10:$I$699,6)</f>
        <v/>
      </c>
      <c r="D1109" s="212" t="n"/>
      <c r="E1109" s="75">
        <f>+C1109&amp;F1109</f>
        <v/>
      </c>
      <c r="F1109" s="80" t="n"/>
      <c r="G1109" s="81" t="n"/>
      <c r="H1109" s="78" t="n"/>
      <c r="I1109" s="78" t="n"/>
      <c r="J1109" s="78" t="n"/>
    </row>
    <row r="1110">
      <c r="A1110" s="84">
        <f>ROW()-6</f>
        <v/>
      </c>
      <c r="B1110" s="85">
        <f>+MATCH(D1110,ARTICULOS!$F$10:$F$699,0)</f>
        <v/>
      </c>
      <c r="C1110" s="86">
        <f>+VLOOKUP(B1110,ARTICULOS!$D$10:$I$699,6)</f>
        <v/>
      </c>
      <c r="D1110" s="212" t="n"/>
      <c r="E1110" s="75">
        <f>+C1110&amp;F1110</f>
        <v/>
      </c>
      <c r="F1110" s="80" t="n"/>
      <c r="G1110" s="81" t="n"/>
      <c r="H1110" s="78" t="n"/>
      <c r="I1110" s="78" t="n"/>
      <c r="J1110" s="78" t="n"/>
    </row>
    <row r="1111">
      <c r="A1111" s="84">
        <f>ROW()-6</f>
        <v/>
      </c>
      <c r="B1111" s="85">
        <f>+MATCH(D1111,ARTICULOS!$F$10:$F$699,0)</f>
        <v/>
      </c>
      <c r="C1111" s="86">
        <f>+VLOOKUP(B1111,ARTICULOS!$D$10:$I$699,6)</f>
        <v/>
      </c>
      <c r="D1111" s="212" t="n"/>
      <c r="E1111" s="75">
        <f>+C1111&amp;F1111</f>
        <v/>
      </c>
      <c r="F1111" s="80" t="n"/>
      <c r="G1111" s="81" t="n"/>
      <c r="H1111" s="78" t="n"/>
      <c r="I1111" s="78" t="n"/>
      <c r="J1111" s="78" t="n"/>
    </row>
    <row r="1112">
      <c r="A1112" s="84">
        <f>ROW()-6</f>
        <v/>
      </c>
      <c r="B1112" s="85">
        <f>+MATCH(D1112,ARTICULOS!$F$10:$F$699,0)</f>
        <v/>
      </c>
      <c r="C1112" s="86">
        <f>+VLOOKUP(B1112,ARTICULOS!$D$10:$I$699,6)</f>
        <v/>
      </c>
      <c r="D1112" s="212" t="n"/>
      <c r="E1112" s="75">
        <f>+C1112&amp;F1112</f>
        <v/>
      </c>
      <c r="F1112" s="80" t="n"/>
      <c r="G1112" s="81" t="n"/>
      <c r="H1112" s="78" t="n"/>
      <c r="I1112" s="78" t="n"/>
      <c r="J1112" s="78" t="n"/>
    </row>
    <row r="1113">
      <c r="A1113" s="84">
        <f>ROW()-6</f>
        <v/>
      </c>
      <c r="B1113" s="85">
        <f>+MATCH(D1113,ARTICULOS!$F$10:$F$699,0)</f>
        <v/>
      </c>
      <c r="C1113" s="86">
        <f>+VLOOKUP(B1113,ARTICULOS!$D$10:$I$699,6)</f>
        <v/>
      </c>
      <c r="D1113" s="212" t="n"/>
      <c r="E1113" s="75">
        <f>+C1113&amp;F1113</f>
        <v/>
      </c>
      <c r="F1113" s="80" t="n"/>
      <c r="G1113" s="81" t="n"/>
      <c r="H1113" s="78" t="n"/>
      <c r="I1113" s="78" t="n"/>
      <c r="J1113" s="78" t="n"/>
    </row>
    <row r="1114">
      <c r="A1114" s="84">
        <f>ROW()-6</f>
        <v/>
      </c>
      <c r="B1114" s="85">
        <f>+MATCH(D1114,ARTICULOS!$F$10:$F$699,0)</f>
        <v/>
      </c>
      <c r="C1114" s="86">
        <f>+VLOOKUP(B1114,ARTICULOS!$D$10:$I$699,6)</f>
        <v/>
      </c>
      <c r="D1114" s="212" t="n"/>
      <c r="E1114" s="75">
        <f>+C1114&amp;F1114</f>
        <v/>
      </c>
      <c r="F1114" s="80" t="n"/>
      <c r="G1114" s="81" t="n"/>
      <c r="H1114" s="78" t="n"/>
      <c r="I1114" s="78" t="n"/>
      <c r="J1114" s="78" t="n"/>
    </row>
    <row r="1115">
      <c r="A1115" s="84">
        <f>ROW()-6</f>
        <v/>
      </c>
      <c r="B1115" s="85">
        <f>+MATCH(D1115,ARTICULOS!$F$10:$F$699,0)</f>
        <v/>
      </c>
      <c r="C1115" s="86">
        <f>+VLOOKUP(B1115,ARTICULOS!$D$10:$I$699,6)</f>
        <v/>
      </c>
      <c r="D1115" s="212" t="n"/>
      <c r="E1115" s="75">
        <f>+C1115&amp;F1115</f>
        <v/>
      </c>
      <c r="F1115" s="80" t="n"/>
      <c r="G1115" s="81" t="n"/>
      <c r="H1115" s="78" t="n"/>
      <c r="I1115" s="78" t="n"/>
      <c r="J1115" s="78" t="n"/>
    </row>
    <row r="1116">
      <c r="A1116" s="84">
        <f>ROW()-6</f>
        <v/>
      </c>
      <c r="B1116" s="85">
        <f>+MATCH(D1116,ARTICULOS!$F$10:$F$699,0)</f>
        <v/>
      </c>
      <c r="C1116" s="86">
        <f>+VLOOKUP(B1116,ARTICULOS!$D$10:$I$699,6)</f>
        <v/>
      </c>
      <c r="D1116" s="212" t="n"/>
      <c r="E1116" s="75">
        <f>+C1116&amp;F1116</f>
        <v/>
      </c>
      <c r="F1116" s="80" t="n"/>
      <c r="G1116" s="81" t="n"/>
      <c r="H1116" s="78" t="n"/>
      <c r="I1116" s="78" t="n"/>
      <c r="J1116" s="78" t="n"/>
    </row>
    <row r="1117">
      <c r="A1117" s="84">
        <f>ROW()-6</f>
        <v/>
      </c>
      <c r="B1117" s="85">
        <f>+MATCH(D1117,ARTICULOS!$F$10:$F$699,0)</f>
        <v/>
      </c>
      <c r="C1117" s="86">
        <f>+VLOOKUP(B1117,ARTICULOS!$D$10:$I$699,6)</f>
        <v/>
      </c>
      <c r="D1117" s="212" t="n"/>
      <c r="E1117" s="75">
        <f>+C1117&amp;F1117</f>
        <v/>
      </c>
      <c r="F1117" s="80" t="n"/>
      <c r="G1117" s="81" t="n"/>
      <c r="H1117" s="78" t="n"/>
      <c r="I1117" s="78" t="n"/>
      <c r="J1117" s="78" t="n"/>
    </row>
    <row r="1118">
      <c r="A1118" s="84">
        <f>ROW()-6</f>
        <v/>
      </c>
      <c r="B1118" s="85">
        <f>+MATCH(D1118,ARTICULOS!$F$10:$F$699,0)</f>
        <v/>
      </c>
      <c r="C1118" s="86">
        <f>+VLOOKUP(B1118,ARTICULOS!$D$10:$I$699,6)</f>
        <v/>
      </c>
      <c r="D1118" s="212" t="n"/>
      <c r="E1118" s="75">
        <f>+C1118&amp;F1118</f>
        <v/>
      </c>
      <c r="F1118" s="80" t="n"/>
      <c r="G1118" s="81" t="n"/>
      <c r="H1118" s="78" t="n"/>
      <c r="I1118" s="78" t="n"/>
      <c r="J1118" s="78" t="n"/>
    </row>
    <row r="1119">
      <c r="A1119" s="84">
        <f>ROW()-6</f>
        <v/>
      </c>
      <c r="B1119" s="85">
        <f>+MATCH(D1119,ARTICULOS!$F$10:$F$699,0)</f>
        <v/>
      </c>
      <c r="C1119" s="86">
        <f>+VLOOKUP(B1119,ARTICULOS!$D$10:$I$699,6)</f>
        <v/>
      </c>
      <c r="D1119" s="212" t="n"/>
      <c r="E1119" s="75">
        <f>+C1119&amp;F1119</f>
        <v/>
      </c>
      <c r="F1119" s="80" t="n"/>
      <c r="G1119" s="81" t="n"/>
      <c r="H1119" s="78" t="n"/>
      <c r="I1119" s="78" t="n"/>
      <c r="J1119" s="78" t="n"/>
    </row>
    <row r="1120">
      <c r="A1120" s="84">
        <f>ROW()-6</f>
        <v/>
      </c>
      <c r="B1120" s="85">
        <f>+MATCH(D1120,ARTICULOS!$F$10:$F$699,0)</f>
        <v/>
      </c>
      <c r="C1120" s="86">
        <f>+VLOOKUP(B1120,ARTICULOS!$D$10:$I$699,6)</f>
        <v/>
      </c>
      <c r="D1120" s="212" t="n"/>
      <c r="E1120" s="75">
        <f>+C1120&amp;F1120</f>
        <v/>
      </c>
      <c r="F1120" s="80" t="n"/>
      <c r="G1120" s="81" t="n"/>
      <c r="H1120" s="78" t="n"/>
      <c r="I1120" s="78" t="n"/>
      <c r="J1120" s="78" t="n"/>
    </row>
    <row r="1121">
      <c r="A1121" s="84">
        <f>ROW()-6</f>
        <v/>
      </c>
      <c r="B1121" s="85">
        <f>+MATCH(D1121,ARTICULOS!$F$10:$F$699,0)</f>
        <v/>
      </c>
      <c r="C1121" s="86">
        <f>+VLOOKUP(B1121,ARTICULOS!$D$10:$I$699,6)</f>
        <v/>
      </c>
      <c r="D1121" s="212" t="n"/>
      <c r="E1121" s="75">
        <f>+C1121&amp;F1121</f>
        <v/>
      </c>
      <c r="F1121" s="80" t="n"/>
      <c r="G1121" s="81" t="n"/>
      <c r="H1121" s="78" t="n"/>
      <c r="I1121" s="78" t="n"/>
      <c r="J1121" s="78" t="n"/>
    </row>
    <row r="1122">
      <c r="A1122" s="84">
        <f>ROW()-6</f>
        <v/>
      </c>
      <c r="B1122" s="85">
        <f>+MATCH(D1122,ARTICULOS!$F$10:$F$699,0)</f>
        <v/>
      </c>
      <c r="C1122" s="86">
        <f>+VLOOKUP(B1122,ARTICULOS!$D$10:$I$699,6)</f>
        <v/>
      </c>
      <c r="D1122" s="212" t="n"/>
      <c r="E1122" s="75">
        <f>+C1122&amp;F1122</f>
        <v/>
      </c>
      <c r="F1122" s="80" t="n"/>
      <c r="G1122" s="81" t="n"/>
      <c r="H1122" s="78" t="n"/>
      <c r="I1122" s="78" t="n"/>
      <c r="J1122" s="78" t="n"/>
    </row>
    <row r="1123">
      <c r="A1123" s="84">
        <f>ROW()-6</f>
        <v/>
      </c>
      <c r="B1123" s="85">
        <f>+MATCH(D1123,ARTICULOS!$F$10:$F$699,0)</f>
        <v/>
      </c>
      <c r="C1123" s="86">
        <f>+VLOOKUP(B1123,ARTICULOS!$D$10:$I$699,6)</f>
        <v/>
      </c>
      <c r="D1123" s="212" t="n"/>
      <c r="E1123" s="75">
        <f>+C1123&amp;F1123</f>
        <v/>
      </c>
      <c r="F1123" s="80" t="n"/>
      <c r="G1123" s="81" t="n"/>
      <c r="H1123" s="78" t="n"/>
      <c r="I1123" s="78" t="n"/>
      <c r="J1123" s="78" t="n"/>
    </row>
    <row r="1124">
      <c r="A1124" s="84">
        <f>ROW()-6</f>
        <v/>
      </c>
      <c r="B1124" s="85">
        <f>+MATCH(D1124,ARTICULOS!$F$10:$F$699,0)</f>
        <v/>
      </c>
      <c r="C1124" s="86">
        <f>+VLOOKUP(B1124,ARTICULOS!$D$10:$I$699,6)</f>
        <v/>
      </c>
      <c r="D1124" s="212" t="n"/>
      <c r="E1124" s="75">
        <f>+C1124&amp;F1124</f>
        <v/>
      </c>
      <c r="F1124" s="80" t="n"/>
      <c r="G1124" s="81" t="n"/>
      <c r="H1124" s="78" t="n"/>
      <c r="I1124" s="78" t="n"/>
      <c r="J1124" s="78" t="n"/>
    </row>
    <row r="1125">
      <c r="A1125" s="84">
        <f>ROW()-6</f>
        <v/>
      </c>
      <c r="B1125" s="85">
        <f>+MATCH(D1125,ARTICULOS!$F$10:$F$699,0)</f>
        <v/>
      </c>
      <c r="C1125" s="86">
        <f>+VLOOKUP(B1125,ARTICULOS!$D$10:$I$699,6)</f>
        <v/>
      </c>
      <c r="D1125" s="212" t="n"/>
      <c r="E1125" s="75">
        <f>+C1125&amp;F1125</f>
        <v/>
      </c>
      <c r="F1125" s="80" t="n"/>
      <c r="G1125" s="81" t="n"/>
      <c r="H1125" s="78" t="n"/>
      <c r="I1125" s="78" t="n"/>
      <c r="J1125" s="78" t="n"/>
    </row>
    <row r="1126">
      <c r="A1126" s="84">
        <f>ROW()-6</f>
        <v/>
      </c>
      <c r="B1126" s="85">
        <f>+MATCH(D1126,ARTICULOS!$F$10:$F$699,0)</f>
        <v/>
      </c>
      <c r="C1126" s="86">
        <f>+VLOOKUP(B1126,ARTICULOS!$D$10:$I$699,6)</f>
        <v/>
      </c>
      <c r="D1126" s="212" t="n"/>
      <c r="E1126" s="75">
        <f>+C1126&amp;F1126</f>
        <v/>
      </c>
      <c r="F1126" s="80" t="n"/>
      <c r="G1126" s="81" t="n"/>
      <c r="H1126" s="78" t="n"/>
      <c r="I1126" s="78" t="n"/>
      <c r="J1126" s="78" t="n"/>
    </row>
    <row r="1127">
      <c r="A1127" s="84">
        <f>ROW()-6</f>
        <v/>
      </c>
      <c r="B1127" s="85">
        <f>+MATCH(D1127,ARTICULOS!$F$10:$F$699,0)</f>
        <v/>
      </c>
      <c r="C1127" s="86">
        <f>+VLOOKUP(B1127,ARTICULOS!$D$10:$I$699,6)</f>
        <v/>
      </c>
      <c r="D1127" s="212" t="n"/>
      <c r="E1127" s="75">
        <f>+C1127&amp;F1127</f>
        <v/>
      </c>
      <c r="F1127" s="80" t="n"/>
      <c r="G1127" s="81" t="n"/>
      <c r="H1127" s="78" t="n"/>
      <c r="I1127" s="78" t="n"/>
      <c r="J1127" s="78" t="n"/>
    </row>
    <row r="1128">
      <c r="A1128" s="84">
        <f>ROW()-6</f>
        <v/>
      </c>
      <c r="B1128" s="85">
        <f>+MATCH(D1128,ARTICULOS!$F$10:$F$699,0)</f>
        <v/>
      </c>
      <c r="C1128" s="86">
        <f>+VLOOKUP(B1128,ARTICULOS!$D$10:$I$699,6)</f>
        <v/>
      </c>
      <c r="D1128" s="212" t="n"/>
      <c r="E1128" s="75">
        <f>+C1128&amp;F1128</f>
        <v/>
      </c>
      <c r="F1128" s="80" t="n"/>
      <c r="G1128" s="81" t="n"/>
      <c r="H1128" s="78" t="n"/>
      <c r="I1128" s="78" t="n"/>
      <c r="J1128" s="78" t="n"/>
    </row>
    <row r="1129">
      <c r="A1129" s="84">
        <f>ROW()-6</f>
        <v/>
      </c>
      <c r="B1129" s="85">
        <f>+MATCH(D1129,ARTICULOS!$F$10:$F$699,0)</f>
        <v/>
      </c>
      <c r="C1129" s="86">
        <f>+VLOOKUP(B1129,ARTICULOS!$D$10:$I$699,6)</f>
        <v/>
      </c>
      <c r="D1129" s="212" t="n"/>
      <c r="E1129" s="75">
        <f>+C1129&amp;F1129</f>
        <v/>
      </c>
      <c r="F1129" s="80" t="n"/>
      <c r="G1129" s="81" t="n"/>
      <c r="H1129" s="78" t="n"/>
      <c r="I1129" s="78" t="n"/>
      <c r="J1129" s="78" t="n"/>
    </row>
    <row r="1130">
      <c r="A1130" s="84">
        <f>ROW()-6</f>
        <v/>
      </c>
      <c r="B1130" s="85">
        <f>+MATCH(D1130,ARTICULOS!$F$10:$F$699,0)</f>
        <v/>
      </c>
      <c r="C1130" s="86">
        <f>+VLOOKUP(B1130,ARTICULOS!$D$10:$I$699,6)</f>
        <v/>
      </c>
      <c r="D1130" s="212" t="n"/>
      <c r="E1130" s="75">
        <f>+C1130&amp;F1130</f>
        <v/>
      </c>
      <c r="F1130" s="80" t="n"/>
      <c r="G1130" s="81" t="n"/>
      <c r="H1130" s="78" t="n"/>
      <c r="I1130" s="78" t="n"/>
      <c r="J1130" s="78" t="n"/>
    </row>
    <row r="1131">
      <c r="A1131" s="84">
        <f>ROW()-6</f>
        <v/>
      </c>
      <c r="B1131" s="85">
        <f>+MATCH(D1131,ARTICULOS!$F$10:$F$699,0)</f>
        <v/>
      </c>
      <c r="C1131" s="86">
        <f>+VLOOKUP(B1131,ARTICULOS!$D$10:$I$699,6)</f>
        <v/>
      </c>
      <c r="D1131" s="212" t="n"/>
      <c r="E1131" s="75">
        <f>+C1131&amp;F1131</f>
        <v/>
      </c>
      <c r="F1131" s="80" t="n"/>
      <c r="G1131" s="81" t="n"/>
      <c r="H1131" s="78" t="n"/>
      <c r="I1131" s="78" t="n"/>
      <c r="J1131" s="78" t="n"/>
    </row>
    <row r="1132">
      <c r="A1132" s="84">
        <f>ROW()-6</f>
        <v/>
      </c>
      <c r="B1132" s="85">
        <f>+MATCH(D1132,ARTICULOS!$F$10:$F$699,0)</f>
        <v/>
      </c>
      <c r="C1132" s="86">
        <f>+VLOOKUP(B1132,ARTICULOS!$D$10:$I$699,6)</f>
        <v/>
      </c>
      <c r="D1132" s="212" t="n"/>
      <c r="E1132" s="75">
        <f>+C1132&amp;F1132</f>
        <v/>
      </c>
      <c r="F1132" s="80" t="n"/>
      <c r="G1132" s="81" t="n"/>
      <c r="H1132" s="78" t="n"/>
      <c r="I1132" s="78" t="n"/>
      <c r="J1132" s="78" t="n"/>
    </row>
    <row r="1133">
      <c r="A1133" s="84">
        <f>ROW()-6</f>
        <v/>
      </c>
      <c r="B1133" s="85">
        <f>+MATCH(D1133,ARTICULOS!$F$10:$F$699,0)</f>
        <v/>
      </c>
      <c r="C1133" s="86">
        <f>+VLOOKUP(B1133,ARTICULOS!$D$10:$I$699,6)</f>
        <v/>
      </c>
      <c r="D1133" s="212" t="n"/>
      <c r="E1133" s="75">
        <f>+C1133&amp;F1133</f>
        <v/>
      </c>
      <c r="F1133" s="80" t="n"/>
      <c r="G1133" s="81" t="n"/>
      <c r="H1133" s="78" t="n"/>
      <c r="I1133" s="78" t="n"/>
      <c r="J1133" s="78" t="n"/>
    </row>
    <row r="1134">
      <c r="A1134" s="84">
        <f>ROW()-6</f>
        <v/>
      </c>
      <c r="B1134" s="85">
        <f>+MATCH(D1134,ARTICULOS!$F$10:$F$699,0)</f>
        <v/>
      </c>
      <c r="C1134" s="86">
        <f>+VLOOKUP(B1134,ARTICULOS!$D$10:$I$699,6)</f>
        <v/>
      </c>
      <c r="D1134" s="212" t="n"/>
      <c r="E1134" s="75">
        <f>+C1134&amp;F1134</f>
        <v/>
      </c>
      <c r="F1134" s="80" t="n"/>
      <c r="G1134" s="81" t="n"/>
      <c r="H1134" s="78" t="n"/>
      <c r="I1134" s="78" t="n"/>
      <c r="J1134" s="78" t="n"/>
    </row>
    <row r="1135">
      <c r="A1135" s="84">
        <f>ROW()-6</f>
        <v/>
      </c>
      <c r="B1135" s="85">
        <f>+MATCH(D1135,ARTICULOS!$F$10:$F$699,0)</f>
        <v/>
      </c>
      <c r="C1135" s="86">
        <f>+VLOOKUP(B1135,ARTICULOS!$D$10:$I$699,6)</f>
        <v/>
      </c>
      <c r="D1135" s="212" t="n"/>
      <c r="E1135" s="75">
        <f>+C1135&amp;F1135</f>
        <v/>
      </c>
      <c r="F1135" s="80" t="n"/>
      <c r="G1135" s="81" t="n"/>
      <c r="H1135" s="78" t="n"/>
      <c r="I1135" s="78" t="n"/>
      <c r="J1135" s="78" t="n"/>
    </row>
    <row r="1136">
      <c r="A1136" s="84">
        <f>ROW()-6</f>
        <v/>
      </c>
      <c r="B1136" s="85">
        <f>+MATCH(D1136,ARTICULOS!$F$10:$F$699,0)</f>
        <v/>
      </c>
      <c r="C1136" s="86">
        <f>+VLOOKUP(B1136,ARTICULOS!$D$10:$I$699,6)</f>
        <v/>
      </c>
      <c r="D1136" s="212" t="n"/>
      <c r="E1136" s="75">
        <f>+C1136&amp;F1136</f>
        <v/>
      </c>
      <c r="F1136" s="80" t="n"/>
      <c r="G1136" s="81" t="n"/>
      <c r="H1136" s="78" t="n"/>
      <c r="I1136" s="78" t="n"/>
      <c r="J1136" s="78" t="n"/>
    </row>
    <row r="1137">
      <c r="A1137" s="84">
        <f>ROW()-6</f>
        <v/>
      </c>
      <c r="B1137" s="85">
        <f>+MATCH(D1137,ARTICULOS!$F$10:$F$699,0)</f>
        <v/>
      </c>
      <c r="C1137" s="86">
        <f>+VLOOKUP(B1137,ARTICULOS!$D$10:$I$699,6)</f>
        <v/>
      </c>
      <c r="D1137" s="212" t="n"/>
      <c r="E1137" s="75">
        <f>+C1137&amp;F1137</f>
        <v/>
      </c>
      <c r="F1137" s="80" t="n"/>
      <c r="G1137" s="81" t="n"/>
      <c r="H1137" s="78" t="n"/>
      <c r="I1137" s="78" t="n"/>
      <c r="J1137" s="78" t="n"/>
    </row>
    <row r="1138">
      <c r="A1138" s="84">
        <f>ROW()-6</f>
        <v/>
      </c>
      <c r="B1138" s="85">
        <f>+MATCH(D1138,ARTICULOS!$F$10:$F$699,0)</f>
        <v/>
      </c>
      <c r="C1138" s="86">
        <f>+VLOOKUP(B1138,ARTICULOS!$D$10:$I$699,6)</f>
        <v/>
      </c>
      <c r="D1138" s="212" t="n"/>
      <c r="E1138" s="75">
        <f>+C1138&amp;F1138</f>
        <v/>
      </c>
      <c r="F1138" s="80" t="n"/>
      <c r="G1138" s="81" t="n"/>
      <c r="H1138" s="78" t="n"/>
      <c r="I1138" s="78" t="n"/>
      <c r="J1138" s="78" t="n"/>
    </row>
    <row r="1139">
      <c r="A1139" s="84">
        <f>ROW()-6</f>
        <v/>
      </c>
      <c r="B1139" s="85">
        <f>+MATCH(D1139,ARTICULOS!$F$10:$F$699,0)</f>
        <v/>
      </c>
      <c r="C1139" s="86">
        <f>+VLOOKUP(B1139,ARTICULOS!$D$10:$I$699,6)</f>
        <v/>
      </c>
      <c r="D1139" s="212" t="n"/>
      <c r="E1139" s="75">
        <f>+C1139&amp;F1139</f>
        <v/>
      </c>
      <c r="F1139" s="80" t="n"/>
      <c r="G1139" s="81" t="n"/>
      <c r="H1139" s="78" t="n"/>
      <c r="I1139" s="78" t="n"/>
      <c r="J1139" s="78" t="n"/>
    </row>
    <row r="1140">
      <c r="A1140" s="84">
        <f>ROW()-6</f>
        <v/>
      </c>
      <c r="B1140" s="85">
        <f>+MATCH(D1140,ARTICULOS!$F$10:$F$699,0)</f>
        <v/>
      </c>
      <c r="C1140" s="86">
        <f>+VLOOKUP(B1140,ARTICULOS!$D$10:$I$699,6)</f>
        <v/>
      </c>
      <c r="D1140" s="212" t="n"/>
      <c r="E1140" s="75">
        <f>+C1140&amp;F1140</f>
        <v/>
      </c>
      <c r="F1140" s="80" t="n"/>
      <c r="G1140" s="81" t="n"/>
      <c r="H1140" s="78" t="n"/>
      <c r="I1140" s="78" t="n"/>
      <c r="J1140" s="78" t="n"/>
    </row>
    <row r="1141">
      <c r="A1141" s="84">
        <f>ROW()-6</f>
        <v/>
      </c>
      <c r="B1141" s="85">
        <f>+MATCH(D1141,ARTICULOS!$F$10:$F$699,0)</f>
        <v/>
      </c>
      <c r="C1141" s="86">
        <f>+VLOOKUP(B1141,ARTICULOS!$D$10:$I$699,6)</f>
        <v/>
      </c>
      <c r="D1141" s="212" t="n"/>
      <c r="E1141" s="75">
        <f>+C1141&amp;F1141</f>
        <v/>
      </c>
      <c r="F1141" s="80" t="n"/>
      <c r="G1141" s="81" t="n"/>
      <c r="H1141" s="78" t="n"/>
      <c r="I1141" s="78" t="n"/>
      <c r="J1141" s="78" t="n"/>
    </row>
    <row r="1142">
      <c r="A1142" s="84">
        <f>ROW()-6</f>
        <v/>
      </c>
      <c r="B1142" s="85">
        <f>+MATCH(D1142,ARTICULOS!$F$10:$F$699,0)</f>
        <v/>
      </c>
      <c r="C1142" s="86">
        <f>+VLOOKUP(B1142,ARTICULOS!$D$10:$I$699,6)</f>
        <v/>
      </c>
      <c r="D1142" s="212" t="n"/>
      <c r="E1142" s="75">
        <f>+C1142&amp;F1142</f>
        <v/>
      </c>
      <c r="F1142" s="80" t="n"/>
      <c r="G1142" s="81" t="n"/>
      <c r="H1142" s="78" t="n"/>
      <c r="I1142" s="78" t="n"/>
      <c r="J1142" s="78" t="n"/>
    </row>
    <row r="1143">
      <c r="A1143" s="84">
        <f>ROW()-6</f>
        <v/>
      </c>
      <c r="B1143" s="85">
        <f>+MATCH(D1143,ARTICULOS!$F$10:$F$699,0)</f>
        <v/>
      </c>
      <c r="C1143" s="86">
        <f>+VLOOKUP(B1143,ARTICULOS!$D$10:$I$699,6)</f>
        <v/>
      </c>
      <c r="D1143" s="212" t="n"/>
      <c r="E1143" s="75">
        <f>+C1143&amp;F1143</f>
        <v/>
      </c>
      <c r="F1143" s="80" t="n"/>
      <c r="G1143" s="81" t="n"/>
      <c r="H1143" s="78" t="n"/>
      <c r="I1143" s="78" t="n"/>
      <c r="J1143" s="78" t="n"/>
    </row>
    <row r="1144">
      <c r="A1144" s="84">
        <f>ROW()-6</f>
        <v/>
      </c>
      <c r="B1144" s="85">
        <f>+MATCH(D1144,ARTICULOS!$F$10:$F$699,0)</f>
        <v/>
      </c>
      <c r="C1144" s="86">
        <f>+VLOOKUP(B1144,ARTICULOS!$D$10:$I$699,6)</f>
        <v/>
      </c>
      <c r="D1144" s="212" t="n"/>
      <c r="E1144" s="75">
        <f>+C1144&amp;F1144</f>
        <v/>
      </c>
      <c r="F1144" s="80" t="n"/>
      <c r="G1144" s="81" t="n"/>
      <c r="H1144" s="78" t="n"/>
      <c r="I1144" s="78" t="n"/>
      <c r="J1144" s="78" t="n"/>
    </row>
    <row r="1145">
      <c r="A1145" s="84">
        <f>ROW()-6</f>
        <v/>
      </c>
      <c r="B1145" s="85">
        <f>+MATCH(D1145,ARTICULOS!$F$10:$F$699,0)</f>
        <v/>
      </c>
      <c r="C1145" s="86">
        <f>+VLOOKUP(B1145,ARTICULOS!$D$10:$I$699,6)</f>
        <v/>
      </c>
      <c r="D1145" s="212" t="n"/>
      <c r="E1145" s="75">
        <f>+C1145&amp;F1145</f>
        <v/>
      </c>
      <c r="F1145" s="80" t="n"/>
      <c r="G1145" s="81" t="n"/>
      <c r="H1145" s="78" t="n"/>
      <c r="I1145" s="78" t="n"/>
      <c r="J1145" s="78" t="n"/>
    </row>
    <row r="1146">
      <c r="A1146" s="84">
        <f>ROW()-6</f>
        <v/>
      </c>
      <c r="B1146" s="85">
        <f>+MATCH(D1146,ARTICULOS!$F$10:$F$699,0)</f>
        <v/>
      </c>
      <c r="C1146" s="86">
        <f>+VLOOKUP(B1146,ARTICULOS!$D$10:$I$699,6)</f>
        <v/>
      </c>
      <c r="D1146" s="212" t="n"/>
      <c r="E1146" s="75">
        <f>+C1146&amp;F1146</f>
        <v/>
      </c>
      <c r="F1146" s="80" t="n"/>
      <c r="G1146" s="81" t="n"/>
      <c r="H1146" s="78" t="n"/>
      <c r="I1146" s="78" t="n"/>
      <c r="J1146" s="78" t="n"/>
    </row>
    <row r="1147">
      <c r="A1147" s="84">
        <f>ROW()-6</f>
        <v/>
      </c>
      <c r="B1147" s="85">
        <f>+MATCH(D1147,ARTICULOS!$F$10:$F$699,0)</f>
        <v/>
      </c>
      <c r="C1147" s="86">
        <f>+VLOOKUP(B1147,ARTICULOS!$D$10:$I$699,6)</f>
        <v/>
      </c>
      <c r="D1147" s="212" t="n"/>
      <c r="E1147" s="75">
        <f>+C1147&amp;F1147</f>
        <v/>
      </c>
      <c r="F1147" s="80" t="n"/>
      <c r="G1147" s="81" t="n"/>
      <c r="H1147" s="78" t="n"/>
      <c r="I1147" s="78" t="n"/>
      <c r="J1147" s="78" t="n"/>
    </row>
    <row r="1148">
      <c r="A1148" s="84">
        <f>ROW()-6</f>
        <v/>
      </c>
      <c r="B1148" s="85">
        <f>+MATCH(D1148,ARTICULOS!$F$10:$F$699,0)</f>
        <v/>
      </c>
      <c r="C1148" s="86">
        <f>+VLOOKUP(B1148,ARTICULOS!$D$10:$I$699,6)</f>
        <v/>
      </c>
      <c r="D1148" s="212" t="n"/>
      <c r="E1148" s="75">
        <f>+C1148&amp;F1148</f>
        <v/>
      </c>
      <c r="F1148" s="80" t="n"/>
      <c r="G1148" s="81" t="n"/>
      <c r="H1148" s="78" t="n"/>
      <c r="I1148" s="78" t="n"/>
      <c r="J1148" s="78" t="n"/>
    </row>
    <row r="1149">
      <c r="A1149" s="84">
        <f>ROW()-6</f>
        <v/>
      </c>
      <c r="B1149" s="85">
        <f>+MATCH(D1149,ARTICULOS!$F$10:$F$699,0)</f>
        <v/>
      </c>
      <c r="C1149" s="86">
        <f>+VLOOKUP(B1149,ARTICULOS!$D$10:$I$699,6)</f>
        <v/>
      </c>
      <c r="D1149" s="212" t="n"/>
      <c r="E1149" s="75">
        <f>+C1149&amp;F1149</f>
        <v/>
      </c>
      <c r="F1149" s="80" t="n"/>
      <c r="G1149" s="81" t="n"/>
      <c r="H1149" s="78" t="n"/>
      <c r="I1149" s="78" t="n"/>
      <c r="J1149" s="78" t="n"/>
    </row>
    <row r="1150">
      <c r="A1150" s="84">
        <f>ROW()-6</f>
        <v/>
      </c>
      <c r="B1150" s="85">
        <f>+MATCH(D1150,ARTICULOS!$F$10:$F$699,0)</f>
        <v/>
      </c>
      <c r="C1150" s="86">
        <f>+VLOOKUP(B1150,ARTICULOS!$D$10:$I$699,6)</f>
        <v/>
      </c>
      <c r="D1150" s="212" t="n"/>
      <c r="E1150" s="75">
        <f>+C1150&amp;F1150</f>
        <v/>
      </c>
      <c r="F1150" s="80" t="n"/>
      <c r="G1150" s="81" t="n"/>
      <c r="H1150" s="78" t="n"/>
      <c r="I1150" s="78" t="n"/>
      <c r="J1150" s="78" t="n"/>
    </row>
    <row r="1151">
      <c r="A1151" s="84">
        <f>ROW()-6</f>
        <v/>
      </c>
      <c r="B1151" s="85">
        <f>+MATCH(D1151,ARTICULOS!$F$10:$F$699,0)</f>
        <v/>
      </c>
      <c r="C1151" s="86">
        <f>+VLOOKUP(B1151,ARTICULOS!$D$10:$I$699,6)</f>
        <v/>
      </c>
      <c r="D1151" s="212" t="n"/>
      <c r="E1151" s="75">
        <f>+C1151&amp;F1151</f>
        <v/>
      </c>
      <c r="F1151" s="80" t="n"/>
      <c r="G1151" s="81" t="n"/>
      <c r="H1151" s="78" t="n"/>
      <c r="I1151" s="78" t="n"/>
      <c r="J1151" s="78" t="n"/>
    </row>
    <row r="1152">
      <c r="A1152" s="84">
        <f>ROW()-6</f>
        <v/>
      </c>
      <c r="B1152" s="85">
        <f>+MATCH(D1152,ARTICULOS!$F$10:$F$699,0)</f>
        <v/>
      </c>
      <c r="C1152" s="86">
        <f>+VLOOKUP(B1152,ARTICULOS!$D$10:$I$699,6)</f>
        <v/>
      </c>
      <c r="D1152" s="212" t="n"/>
      <c r="E1152" s="75">
        <f>+C1152&amp;F1152</f>
        <v/>
      </c>
      <c r="F1152" s="80" t="n"/>
      <c r="G1152" s="81" t="n"/>
      <c r="H1152" s="78" t="n"/>
      <c r="I1152" s="78" t="n"/>
      <c r="J1152" s="78" t="n"/>
    </row>
    <row r="1153">
      <c r="A1153" s="84">
        <f>ROW()-6</f>
        <v/>
      </c>
      <c r="B1153" s="85">
        <f>+MATCH(D1153,ARTICULOS!$F$10:$F$699,0)</f>
        <v/>
      </c>
      <c r="C1153" s="86">
        <f>+VLOOKUP(B1153,ARTICULOS!$D$10:$I$699,6)</f>
        <v/>
      </c>
      <c r="D1153" s="212" t="n"/>
      <c r="E1153" s="75">
        <f>+C1153&amp;F1153</f>
        <v/>
      </c>
      <c r="F1153" s="80" t="n"/>
      <c r="G1153" s="81" t="n"/>
      <c r="H1153" s="78" t="n"/>
      <c r="I1153" s="78" t="n"/>
      <c r="J1153" s="78" t="n"/>
    </row>
    <row r="1154">
      <c r="A1154" s="84">
        <f>ROW()-6</f>
        <v/>
      </c>
      <c r="B1154" s="85">
        <f>+MATCH(D1154,ARTICULOS!$F$10:$F$699,0)</f>
        <v/>
      </c>
      <c r="C1154" s="86">
        <f>+VLOOKUP(B1154,ARTICULOS!$D$10:$I$699,6)</f>
        <v/>
      </c>
      <c r="D1154" s="212" t="n"/>
      <c r="E1154" s="75">
        <f>+C1154&amp;F1154</f>
        <v/>
      </c>
      <c r="F1154" s="80" t="n"/>
      <c r="G1154" s="81" t="n"/>
      <c r="H1154" s="78" t="n"/>
      <c r="I1154" s="78" t="n"/>
      <c r="J1154" s="78" t="n"/>
    </row>
    <row r="1155">
      <c r="A1155" s="84">
        <f>ROW()-6</f>
        <v/>
      </c>
      <c r="B1155" s="85">
        <f>+MATCH(D1155,ARTICULOS!$F$10:$F$699,0)</f>
        <v/>
      </c>
      <c r="C1155" s="86">
        <f>+VLOOKUP(B1155,ARTICULOS!$D$10:$I$699,6)</f>
        <v/>
      </c>
      <c r="D1155" s="212" t="n"/>
      <c r="E1155" s="75">
        <f>+C1155&amp;F1155</f>
        <v/>
      </c>
      <c r="F1155" s="80" t="n"/>
      <c r="G1155" s="81" t="n"/>
      <c r="H1155" s="78" t="n"/>
      <c r="I1155" s="78" t="n"/>
      <c r="J1155" s="78" t="n"/>
    </row>
    <row r="1156">
      <c r="A1156" s="84">
        <f>ROW()-6</f>
        <v/>
      </c>
      <c r="B1156" s="85">
        <f>+MATCH(D1156,ARTICULOS!$F$10:$F$699,0)</f>
        <v/>
      </c>
      <c r="C1156" s="86">
        <f>+VLOOKUP(B1156,ARTICULOS!$D$10:$I$699,6)</f>
        <v/>
      </c>
      <c r="D1156" s="212" t="n"/>
      <c r="E1156" s="75">
        <f>+C1156&amp;F1156</f>
        <v/>
      </c>
      <c r="F1156" s="80" t="n"/>
      <c r="G1156" s="81" t="n"/>
      <c r="H1156" s="78" t="n"/>
      <c r="I1156" s="78" t="n"/>
      <c r="J1156" s="78" t="n"/>
    </row>
    <row r="1157">
      <c r="A1157" s="84">
        <f>ROW()-6</f>
        <v/>
      </c>
      <c r="B1157" s="85">
        <f>+MATCH(D1157,ARTICULOS!$F$10:$F$699,0)</f>
        <v/>
      </c>
      <c r="C1157" s="86">
        <f>+VLOOKUP(B1157,ARTICULOS!$D$10:$I$699,6)</f>
        <v/>
      </c>
      <c r="D1157" s="212" t="n"/>
      <c r="E1157" s="75">
        <f>+C1157&amp;F1157</f>
        <v/>
      </c>
      <c r="F1157" s="80" t="n"/>
      <c r="G1157" s="81" t="n"/>
      <c r="H1157" s="78" t="n"/>
      <c r="I1157" s="78" t="n"/>
      <c r="J1157" s="78" t="n"/>
    </row>
    <row r="1158">
      <c r="A1158" s="84">
        <f>ROW()-6</f>
        <v/>
      </c>
      <c r="B1158" s="85">
        <f>+MATCH(D1158,ARTICULOS!$F$10:$F$699,0)</f>
        <v/>
      </c>
      <c r="C1158" s="86">
        <f>+VLOOKUP(B1158,ARTICULOS!$D$10:$I$699,6)</f>
        <v/>
      </c>
      <c r="D1158" s="212" t="n"/>
      <c r="E1158" s="75">
        <f>+C1158&amp;F1158</f>
        <v/>
      </c>
      <c r="F1158" s="80" t="n"/>
      <c r="G1158" s="81" t="n"/>
      <c r="H1158" s="78" t="n"/>
      <c r="I1158" s="78" t="n"/>
      <c r="J1158" s="78" t="n"/>
    </row>
    <row r="1159">
      <c r="A1159" s="84">
        <f>ROW()-6</f>
        <v/>
      </c>
      <c r="B1159" s="85">
        <f>+MATCH(D1159,ARTICULOS!$F$10:$F$699,0)</f>
        <v/>
      </c>
      <c r="C1159" s="86">
        <f>+VLOOKUP(B1159,ARTICULOS!$D$10:$I$699,6)</f>
        <v/>
      </c>
      <c r="D1159" s="212" t="n"/>
      <c r="E1159" s="75">
        <f>+C1159&amp;F1159</f>
        <v/>
      </c>
      <c r="F1159" s="80" t="n"/>
      <c r="G1159" s="81" t="n"/>
      <c r="H1159" s="78" t="n"/>
      <c r="I1159" s="78" t="n"/>
      <c r="J1159" s="78" t="n"/>
    </row>
    <row r="1160">
      <c r="A1160" s="84">
        <f>ROW()-6</f>
        <v/>
      </c>
      <c r="B1160" s="85">
        <f>+MATCH(D1160,ARTICULOS!$F$10:$F$699,0)</f>
        <v/>
      </c>
      <c r="C1160" s="86">
        <f>+VLOOKUP(B1160,ARTICULOS!$D$10:$I$699,6)</f>
        <v/>
      </c>
      <c r="D1160" s="212" t="n"/>
      <c r="E1160" s="75">
        <f>+C1160&amp;F1160</f>
        <v/>
      </c>
      <c r="F1160" s="80" t="n"/>
      <c r="G1160" s="81" t="n"/>
      <c r="H1160" s="78" t="n"/>
      <c r="I1160" s="78" t="n"/>
      <c r="J1160" s="78" t="n"/>
    </row>
    <row r="1161">
      <c r="A1161" s="84">
        <f>ROW()-6</f>
        <v/>
      </c>
      <c r="B1161" s="85">
        <f>+MATCH(D1161,ARTICULOS!$F$10:$F$699,0)</f>
        <v/>
      </c>
      <c r="C1161" s="86">
        <f>+VLOOKUP(B1161,ARTICULOS!$D$10:$I$699,6)</f>
        <v/>
      </c>
      <c r="D1161" s="212" t="n"/>
      <c r="E1161" s="75">
        <f>+C1161&amp;F1161</f>
        <v/>
      </c>
      <c r="F1161" s="80" t="n"/>
      <c r="G1161" s="81" t="n"/>
      <c r="H1161" s="78" t="n"/>
      <c r="I1161" s="78" t="n"/>
      <c r="J1161" s="78" t="n"/>
    </row>
    <row r="1162">
      <c r="A1162" s="84">
        <f>ROW()-6</f>
        <v/>
      </c>
      <c r="B1162" s="85">
        <f>+MATCH(D1162,ARTICULOS!$F$10:$F$699,0)</f>
        <v/>
      </c>
      <c r="C1162" s="86">
        <f>+VLOOKUP(B1162,ARTICULOS!$D$10:$I$699,6)</f>
        <v/>
      </c>
      <c r="D1162" s="212" t="n"/>
      <c r="E1162" s="75">
        <f>+C1162&amp;F1162</f>
        <v/>
      </c>
      <c r="F1162" s="80" t="n"/>
      <c r="G1162" s="81" t="n"/>
      <c r="H1162" s="78" t="n"/>
      <c r="I1162" s="78" t="n"/>
      <c r="J1162" s="78" t="n"/>
    </row>
    <row r="1163">
      <c r="A1163" s="84">
        <f>ROW()-6</f>
        <v/>
      </c>
      <c r="B1163" s="85">
        <f>+MATCH(D1163,ARTICULOS!$F$10:$F$699,0)</f>
        <v/>
      </c>
      <c r="C1163" s="86">
        <f>+VLOOKUP(B1163,ARTICULOS!$D$10:$I$699,6)</f>
        <v/>
      </c>
      <c r="D1163" s="212" t="n"/>
      <c r="E1163" s="75">
        <f>+C1163&amp;F1163</f>
        <v/>
      </c>
      <c r="F1163" s="80" t="n"/>
      <c r="G1163" s="81" t="n"/>
      <c r="H1163" s="78" t="n"/>
      <c r="I1163" s="78" t="n"/>
      <c r="J1163" s="78" t="n"/>
    </row>
    <row r="1164">
      <c r="A1164" s="84">
        <f>ROW()-6</f>
        <v/>
      </c>
      <c r="B1164" s="85">
        <f>+MATCH(D1164,ARTICULOS!$F$10:$F$699,0)</f>
        <v/>
      </c>
      <c r="C1164" s="86">
        <f>+VLOOKUP(B1164,ARTICULOS!$D$10:$I$699,6)</f>
        <v/>
      </c>
      <c r="D1164" s="212" t="n"/>
      <c r="E1164" s="75">
        <f>+C1164&amp;F1164</f>
        <v/>
      </c>
      <c r="F1164" s="80" t="n"/>
      <c r="G1164" s="81" t="n"/>
      <c r="H1164" s="78" t="n"/>
      <c r="I1164" s="78" t="n"/>
      <c r="J1164" s="78" t="n"/>
    </row>
    <row r="1165">
      <c r="A1165" s="84">
        <f>ROW()-6</f>
        <v/>
      </c>
      <c r="B1165" s="85">
        <f>+MATCH(D1165,ARTICULOS!$F$10:$F$699,0)</f>
        <v/>
      </c>
      <c r="C1165" s="86">
        <f>+VLOOKUP(B1165,ARTICULOS!$D$10:$I$699,6)</f>
        <v/>
      </c>
      <c r="D1165" s="212" t="n"/>
      <c r="E1165" s="75">
        <f>+C1165&amp;F1165</f>
        <v/>
      </c>
      <c r="F1165" s="80" t="n"/>
      <c r="G1165" s="81" t="n"/>
      <c r="H1165" s="78" t="n"/>
      <c r="I1165" s="78" t="n"/>
      <c r="J1165" s="78" t="n"/>
    </row>
    <row r="1166">
      <c r="A1166" s="84">
        <f>ROW()-6</f>
        <v/>
      </c>
      <c r="B1166" s="85">
        <f>+MATCH(D1166,ARTICULOS!$F$10:$F$699,0)</f>
        <v/>
      </c>
      <c r="C1166" s="86">
        <f>+VLOOKUP(B1166,ARTICULOS!$D$10:$I$699,6)</f>
        <v/>
      </c>
      <c r="D1166" s="212" t="n"/>
      <c r="E1166" s="75">
        <f>+C1166&amp;F1166</f>
        <v/>
      </c>
      <c r="F1166" s="80" t="n"/>
      <c r="G1166" s="81" t="n"/>
      <c r="H1166" s="78" t="n"/>
      <c r="I1166" s="78" t="n"/>
      <c r="J1166" s="78" t="n"/>
    </row>
    <row r="1167">
      <c r="A1167" s="84">
        <f>ROW()-6</f>
        <v/>
      </c>
      <c r="B1167" s="85">
        <f>+MATCH(D1167,ARTICULOS!$F$10:$F$699,0)</f>
        <v/>
      </c>
      <c r="C1167" s="86">
        <f>+VLOOKUP(B1167,ARTICULOS!$D$10:$I$699,6)</f>
        <v/>
      </c>
      <c r="D1167" s="212" t="n"/>
      <c r="E1167" s="75">
        <f>+C1167&amp;F1167</f>
        <v/>
      </c>
      <c r="F1167" s="80" t="n"/>
      <c r="G1167" s="81" t="n"/>
      <c r="H1167" s="78" t="n"/>
      <c r="I1167" s="78" t="n"/>
      <c r="J1167" s="78" t="n"/>
    </row>
    <row r="1168">
      <c r="A1168" s="84">
        <f>ROW()-6</f>
        <v/>
      </c>
      <c r="B1168" s="85">
        <f>+MATCH(D1168,ARTICULOS!$F$10:$F$699,0)</f>
        <v/>
      </c>
      <c r="C1168" s="86">
        <f>+VLOOKUP(B1168,ARTICULOS!$D$10:$I$699,6)</f>
        <v/>
      </c>
      <c r="D1168" s="212" t="n"/>
      <c r="E1168" s="75">
        <f>+C1168&amp;F1168</f>
        <v/>
      </c>
      <c r="F1168" s="80" t="n"/>
      <c r="G1168" s="81" t="n"/>
      <c r="H1168" s="78" t="n"/>
      <c r="I1168" s="78" t="n"/>
      <c r="J1168" s="78" t="n"/>
    </row>
    <row r="1169">
      <c r="A1169" s="84">
        <f>ROW()-6</f>
        <v/>
      </c>
      <c r="B1169" s="85">
        <f>+MATCH(D1169,ARTICULOS!$F$10:$F$699,0)</f>
        <v/>
      </c>
      <c r="C1169" s="86">
        <f>+VLOOKUP(B1169,ARTICULOS!$D$10:$I$699,6)</f>
        <v/>
      </c>
      <c r="D1169" s="212" t="n"/>
      <c r="E1169" s="75">
        <f>+C1169&amp;F1169</f>
        <v/>
      </c>
      <c r="F1169" s="80" t="n"/>
      <c r="G1169" s="81" t="n"/>
      <c r="H1169" s="78" t="n"/>
      <c r="I1169" s="78" t="n"/>
      <c r="J1169" s="78" t="n"/>
    </row>
    <row r="1170">
      <c r="A1170" s="84">
        <f>ROW()-6</f>
        <v/>
      </c>
      <c r="B1170" s="85">
        <f>+MATCH(D1170,ARTICULOS!$F$10:$F$699,0)</f>
        <v/>
      </c>
      <c r="C1170" s="86">
        <f>+VLOOKUP(B1170,ARTICULOS!$D$10:$I$699,6)</f>
        <v/>
      </c>
      <c r="D1170" s="212" t="n"/>
      <c r="E1170" s="75">
        <f>+C1170&amp;F1170</f>
        <v/>
      </c>
      <c r="F1170" s="80" t="n"/>
      <c r="G1170" s="81" t="n"/>
      <c r="H1170" s="78" t="n"/>
      <c r="I1170" s="78" t="n"/>
      <c r="J1170" s="78" t="n"/>
    </row>
    <row r="1171">
      <c r="A1171" s="84">
        <f>ROW()-6</f>
        <v/>
      </c>
      <c r="B1171" s="85">
        <f>+MATCH(D1171,ARTICULOS!$F$10:$F$699,0)</f>
        <v/>
      </c>
      <c r="C1171" s="86">
        <f>+VLOOKUP(B1171,ARTICULOS!$D$10:$I$699,6)</f>
        <v/>
      </c>
      <c r="D1171" s="212" t="n"/>
      <c r="E1171" s="75">
        <f>+C1171&amp;F1171</f>
        <v/>
      </c>
      <c r="F1171" s="80" t="n"/>
      <c r="G1171" s="81" t="n"/>
      <c r="H1171" s="78" t="n"/>
      <c r="I1171" s="78" t="n"/>
      <c r="J1171" s="78" t="n"/>
    </row>
    <row r="1172">
      <c r="A1172" s="84">
        <f>ROW()-6</f>
        <v/>
      </c>
      <c r="B1172" s="85">
        <f>+MATCH(D1172,ARTICULOS!$F$10:$F$699,0)</f>
        <v/>
      </c>
      <c r="C1172" s="86">
        <f>+VLOOKUP(B1172,ARTICULOS!$D$10:$I$699,6)</f>
        <v/>
      </c>
      <c r="D1172" s="212" t="n"/>
      <c r="E1172" s="75">
        <f>+C1172&amp;F1172</f>
        <v/>
      </c>
      <c r="F1172" s="80" t="n"/>
      <c r="G1172" s="81" t="n"/>
      <c r="H1172" s="78" t="n"/>
      <c r="I1172" s="78" t="n"/>
      <c r="J1172" s="78" t="n"/>
    </row>
    <row r="1173">
      <c r="A1173" s="84">
        <f>ROW()-6</f>
        <v/>
      </c>
      <c r="B1173" s="85">
        <f>+MATCH(D1173,ARTICULOS!$F$10:$F$699,0)</f>
        <v/>
      </c>
      <c r="C1173" s="86">
        <f>+VLOOKUP(B1173,ARTICULOS!$D$10:$I$699,6)</f>
        <v/>
      </c>
      <c r="D1173" s="212" t="n"/>
      <c r="E1173" s="75">
        <f>+C1173&amp;F1173</f>
        <v/>
      </c>
      <c r="F1173" s="80" t="n"/>
      <c r="G1173" s="81" t="n"/>
      <c r="H1173" s="78" t="n"/>
      <c r="I1173" s="78" t="n"/>
      <c r="J1173" s="78" t="n"/>
    </row>
    <row r="1174">
      <c r="A1174" s="84">
        <f>ROW()-6</f>
        <v/>
      </c>
      <c r="B1174" s="85">
        <f>+MATCH(D1174,ARTICULOS!$F$10:$F$699,0)</f>
        <v/>
      </c>
      <c r="C1174" s="86">
        <f>+VLOOKUP(B1174,ARTICULOS!$D$10:$I$699,6)</f>
        <v/>
      </c>
      <c r="D1174" s="212" t="n"/>
      <c r="E1174" s="75">
        <f>+C1174&amp;F1174</f>
        <v/>
      </c>
      <c r="F1174" s="80" t="n"/>
      <c r="G1174" s="81" t="n"/>
      <c r="H1174" s="78" t="n"/>
      <c r="I1174" s="78" t="n"/>
      <c r="J1174" s="78" t="n"/>
    </row>
    <row r="1175">
      <c r="A1175" s="84">
        <f>ROW()-6</f>
        <v/>
      </c>
      <c r="B1175" s="85">
        <f>+MATCH(D1175,ARTICULOS!$F$10:$F$699,0)</f>
        <v/>
      </c>
      <c r="C1175" s="86">
        <f>+VLOOKUP(B1175,ARTICULOS!$D$10:$I$699,6)</f>
        <v/>
      </c>
      <c r="D1175" s="212" t="n"/>
      <c r="E1175" s="75">
        <f>+C1175&amp;F1175</f>
        <v/>
      </c>
      <c r="F1175" s="80" t="n"/>
      <c r="G1175" s="81" t="n"/>
      <c r="H1175" s="78" t="n"/>
      <c r="I1175" s="78" t="n"/>
      <c r="J1175" s="78" t="n"/>
    </row>
    <row r="1176">
      <c r="A1176" s="84">
        <f>ROW()-6</f>
        <v/>
      </c>
      <c r="B1176" s="85">
        <f>+MATCH(D1176,ARTICULOS!$F$10:$F$699,0)</f>
        <v/>
      </c>
      <c r="C1176" s="86">
        <f>+VLOOKUP(B1176,ARTICULOS!$D$10:$I$699,6)</f>
        <v/>
      </c>
      <c r="D1176" s="212" t="n"/>
      <c r="E1176" s="75">
        <f>+C1176&amp;F1176</f>
        <v/>
      </c>
      <c r="F1176" s="80" t="n"/>
      <c r="G1176" s="81" t="n"/>
      <c r="H1176" s="78" t="n"/>
      <c r="I1176" s="78" t="n"/>
      <c r="J1176" s="78" t="n"/>
    </row>
    <row r="1177">
      <c r="A1177" s="84">
        <f>ROW()-6</f>
        <v/>
      </c>
      <c r="B1177" s="85">
        <f>+MATCH(D1177,ARTICULOS!$F$10:$F$699,0)</f>
        <v/>
      </c>
      <c r="C1177" s="86">
        <f>+VLOOKUP(B1177,ARTICULOS!$D$10:$I$699,6)</f>
        <v/>
      </c>
      <c r="D1177" s="212" t="n"/>
      <c r="E1177" s="75">
        <f>+C1177&amp;F1177</f>
        <v/>
      </c>
      <c r="F1177" s="80" t="n"/>
      <c r="G1177" s="81" t="n"/>
      <c r="H1177" s="78" t="n"/>
      <c r="I1177" s="78" t="n"/>
      <c r="J1177" s="78" t="n"/>
    </row>
    <row r="1178">
      <c r="A1178" s="84">
        <f>ROW()-6</f>
        <v/>
      </c>
      <c r="B1178" s="85">
        <f>+MATCH(D1178,ARTICULOS!$F$10:$F$699,0)</f>
        <v/>
      </c>
      <c r="C1178" s="86">
        <f>+VLOOKUP(B1178,ARTICULOS!$D$10:$I$699,6)</f>
        <v/>
      </c>
      <c r="D1178" s="212" t="n"/>
      <c r="E1178" s="75">
        <f>+C1178&amp;F1178</f>
        <v/>
      </c>
      <c r="F1178" s="80" t="n"/>
      <c r="G1178" s="81" t="n"/>
      <c r="H1178" s="78" t="n"/>
      <c r="I1178" s="78" t="n"/>
      <c r="J1178" s="78" t="n"/>
    </row>
    <row r="1179">
      <c r="A1179" s="84">
        <f>ROW()-6</f>
        <v/>
      </c>
      <c r="B1179" s="85">
        <f>+MATCH(D1179,ARTICULOS!$F$10:$F$699,0)</f>
        <v/>
      </c>
      <c r="C1179" s="86">
        <f>+VLOOKUP(B1179,ARTICULOS!$D$10:$I$699,6)</f>
        <v/>
      </c>
      <c r="D1179" s="212" t="n"/>
      <c r="E1179" s="75">
        <f>+C1179&amp;F1179</f>
        <v/>
      </c>
      <c r="F1179" s="80" t="n"/>
      <c r="G1179" s="81" t="n"/>
      <c r="H1179" s="78" t="n"/>
      <c r="I1179" s="78" t="n"/>
      <c r="J1179" s="78" t="n"/>
    </row>
    <row r="1180">
      <c r="A1180" s="84">
        <f>ROW()-6</f>
        <v/>
      </c>
      <c r="B1180" s="85">
        <f>+MATCH(D1180,ARTICULOS!$F$10:$F$699,0)</f>
        <v/>
      </c>
      <c r="C1180" s="86">
        <f>+VLOOKUP(B1180,ARTICULOS!$D$10:$I$699,6)</f>
        <v/>
      </c>
      <c r="D1180" s="212" t="n"/>
      <c r="E1180" s="75">
        <f>+C1180&amp;F1180</f>
        <v/>
      </c>
      <c r="F1180" s="80" t="n"/>
      <c r="G1180" s="81" t="n"/>
      <c r="H1180" s="78" t="n"/>
      <c r="I1180" s="78" t="n"/>
      <c r="J1180" s="78" t="n"/>
    </row>
    <row r="1181">
      <c r="A1181" s="84">
        <f>ROW()-6</f>
        <v/>
      </c>
      <c r="B1181" s="85">
        <f>+MATCH(D1181,ARTICULOS!$F$10:$F$699,0)</f>
        <v/>
      </c>
      <c r="C1181" s="86">
        <f>+VLOOKUP(B1181,ARTICULOS!$D$10:$I$699,6)</f>
        <v/>
      </c>
      <c r="D1181" s="212" t="n"/>
      <c r="E1181" s="75">
        <f>+C1181&amp;F1181</f>
        <v/>
      </c>
      <c r="F1181" s="80" t="n"/>
      <c r="G1181" s="81" t="n"/>
      <c r="H1181" s="78" t="n"/>
      <c r="I1181" s="78" t="n"/>
      <c r="J1181" s="78" t="n"/>
    </row>
    <row r="1182">
      <c r="A1182" s="84">
        <f>ROW()-6</f>
        <v/>
      </c>
      <c r="B1182" s="85">
        <f>+MATCH(D1182,ARTICULOS!$F$10:$F$699,0)</f>
        <v/>
      </c>
      <c r="C1182" s="86">
        <f>+VLOOKUP(B1182,ARTICULOS!$D$10:$I$699,6)</f>
        <v/>
      </c>
      <c r="D1182" s="212" t="n"/>
      <c r="E1182" s="75">
        <f>+C1182&amp;F1182</f>
        <v/>
      </c>
      <c r="F1182" s="80" t="n"/>
      <c r="G1182" s="81" t="n"/>
      <c r="H1182" s="78" t="n"/>
      <c r="I1182" s="78" t="n"/>
      <c r="J1182" s="78" t="n"/>
    </row>
    <row r="1183">
      <c r="A1183" s="84">
        <f>ROW()-6</f>
        <v/>
      </c>
      <c r="B1183" s="85">
        <f>+MATCH(D1183,ARTICULOS!$F$10:$F$699,0)</f>
        <v/>
      </c>
      <c r="C1183" s="86">
        <f>+VLOOKUP(B1183,ARTICULOS!$D$10:$I$699,6)</f>
        <v/>
      </c>
      <c r="D1183" s="212" t="n"/>
      <c r="E1183" s="75">
        <f>+C1183&amp;F1183</f>
        <v/>
      </c>
      <c r="F1183" s="80" t="n"/>
      <c r="G1183" s="81" t="n"/>
      <c r="H1183" s="78" t="n"/>
      <c r="I1183" s="78" t="n"/>
      <c r="J1183" s="78" t="n"/>
    </row>
    <row r="1184">
      <c r="A1184" s="84">
        <f>ROW()-6</f>
        <v/>
      </c>
      <c r="B1184" s="85">
        <f>+MATCH(D1184,ARTICULOS!$F$10:$F$699,0)</f>
        <v/>
      </c>
      <c r="C1184" s="86">
        <f>+VLOOKUP(B1184,ARTICULOS!$D$10:$I$699,6)</f>
        <v/>
      </c>
      <c r="D1184" s="212" t="n"/>
      <c r="E1184" s="75">
        <f>+C1184&amp;F1184</f>
        <v/>
      </c>
      <c r="F1184" s="80" t="n"/>
      <c r="G1184" s="81" t="n"/>
      <c r="H1184" s="78" t="n"/>
      <c r="I1184" s="78" t="n"/>
      <c r="J1184" s="78" t="n"/>
    </row>
    <row r="1185">
      <c r="A1185" s="84">
        <f>ROW()-6</f>
        <v/>
      </c>
      <c r="B1185" s="85">
        <f>+MATCH(D1185,ARTICULOS!$F$10:$F$699,0)</f>
        <v/>
      </c>
      <c r="C1185" s="86">
        <f>+VLOOKUP(B1185,ARTICULOS!$D$10:$I$699,6)</f>
        <v/>
      </c>
      <c r="D1185" s="212" t="n"/>
      <c r="E1185" s="75">
        <f>+C1185&amp;F1185</f>
        <v/>
      </c>
      <c r="F1185" s="80" t="n"/>
      <c r="G1185" s="81" t="n"/>
      <c r="H1185" s="78" t="n"/>
      <c r="I1185" s="78" t="n"/>
      <c r="J1185" s="78" t="n"/>
    </row>
    <row r="1186">
      <c r="A1186" s="84">
        <f>ROW()-6</f>
        <v/>
      </c>
      <c r="B1186" s="85">
        <f>+MATCH(D1186,ARTICULOS!$F$10:$F$699,0)</f>
        <v/>
      </c>
      <c r="C1186" s="86">
        <f>+VLOOKUP(B1186,ARTICULOS!$D$10:$I$699,6)</f>
        <v/>
      </c>
      <c r="D1186" s="212" t="n"/>
      <c r="E1186" s="75">
        <f>+C1186&amp;F1186</f>
        <v/>
      </c>
      <c r="F1186" s="80" t="n"/>
      <c r="G1186" s="81" t="n"/>
      <c r="H1186" s="78" t="n"/>
      <c r="I1186" s="78" t="n"/>
      <c r="J1186" s="78" t="n"/>
    </row>
    <row r="1187">
      <c r="A1187" s="84">
        <f>ROW()-6</f>
        <v/>
      </c>
      <c r="B1187" s="85">
        <f>+MATCH(D1187,ARTICULOS!$F$10:$F$699,0)</f>
        <v/>
      </c>
      <c r="C1187" s="86">
        <f>+VLOOKUP(B1187,ARTICULOS!$D$10:$I$699,6)</f>
        <v/>
      </c>
      <c r="D1187" s="212" t="n"/>
      <c r="E1187" s="75">
        <f>+C1187&amp;F1187</f>
        <v/>
      </c>
      <c r="F1187" s="80" t="n"/>
      <c r="G1187" s="81" t="n"/>
      <c r="H1187" s="78" t="n"/>
      <c r="I1187" s="78" t="n"/>
      <c r="J1187" s="78" t="n"/>
    </row>
    <row r="1188">
      <c r="A1188" s="84">
        <f>ROW()-6</f>
        <v/>
      </c>
      <c r="B1188" s="85">
        <f>+MATCH(D1188,ARTICULOS!$F$10:$F$699,0)</f>
        <v/>
      </c>
      <c r="C1188" s="86">
        <f>+VLOOKUP(B1188,ARTICULOS!$D$10:$I$699,6)</f>
        <v/>
      </c>
      <c r="D1188" s="212" t="n"/>
      <c r="E1188" s="75">
        <f>+C1188&amp;F1188</f>
        <v/>
      </c>
      <c r="F1188" s="80" t="n"/>
      <c r="G1188" s="81" t="n"/>
      <c r="H1188" s="78" t="n"/>
      <c r="I1188" s="78" t="n"/>
      <c r="J1188" s="78" t="n"/>
    </row>
    <row r="1189">
      <c r="A1189" s="84">
        <f>ROW()-6</f>
        <v/>
      </c>
      <c r="B1189" s="85">
        <f>+MATCH(D1189,ARTICULOS!$F$10:$F$699,0)</f>
        <v/>
      </c>
      <c r="C1189" s="86">
        <f>+VLOOKUP(B1189,ARTICULOS!$D$10:$I$699,6)</f>
        <v/>
      </c>
      <c r="D1189" s="212" t="n"/>
      <c r="E1189" s="75">
        <f>+C1189&amp;F1189</f>
        <v/>
      </c>
      <c r="F1189" s="80" t="n"/>
      <c r="G1189" s="81" t="n"/>
      <c r="H1189" s="78" t="n"/>
      <c r="I1189" s="78" t="n"/>
      <c r="J1189" s="78" t="n"/>
    </row>
    <row r="1190">
      <c r="A1190" s="84">
        <f>ROW()-6</f>
        <v/>
      </c>
      <c r="B1190" s="85">
        <f>+MATCH(D1190,ARTICULOS!$F$10:$F$699,0)</f>
        <v/>
      </c>
      <c r="C1190" s="86">
        <f>+VLOOKUP(B1190,ARTICULOS!$D$10:$I$699,6)</f>
        <v/>
      </c>
      <c r="D1190" s="212" t="n"/>
      <c r="E1190" s="75">
        <f>+C1190&amp;F1190</f>
        <v/>
      </c>
      <c r="F1190" s="80" t="n"/>
      <c r="G1190" s="81" t="n"/>
      <c r="H1190" s="78" t="n"/>
      <c r="I1190" s="78" t="n"/>
      <c r="J1190" s="78" t="n"/>
    </row>
    <row r="1191">
      <c r="A1191" s="84">
        <f>ROW()-6</f>
        <v/>
      </c>
      <c r="B1191" s="85">
        <f>+MATCH(D1191,ARTICULOS!$F$10:$F$699,0)</f>
        <v/>
      </c>
      <c r="C1191" s="86">
        <f>+VLOOKUP(B1191,ARTICULOS!$D$10:$I$699,6)</f>
        <v/>
      </c>
      <c r="D1191" s="212" t="n"/>
      <c r="E1191" s="75">
        <f>+C1191&amp;F1191</f>
        <v/>
      </c>
      <c r="F1191" s="80" t="n"/>
      <c r="G1191" s="81" t="n"/>
      <c r="H1191" s="78" t="n"/>
      <c r="I1191" s="78" t="n"/>
      <c r="J1191" s="78" t="n"/>
    </row>
    <row r="1192">
      <c r="A1192" s="84">
        <f>ROW()-6</f>
        <v/>
      </c>
      <c r="B1192" s="85">
        <f>+MATCH(D1192,ARTICULOS!$F$10:$F$699,0)</f>
        <v/>
      </c>
      <c r="C1192" s="86">
        <f>+VLOOKUP(B1192,ARTICULOS!$D$10:$I$699,6)</f>
        <v/>
      </c>
      <c r="D1192" s="212" t="n"/>
      <c r="E1192" s="75">
        <f>+C1192&amp;F1192</f>
        <v/>
      </c>
      <c r="F1192" s="80" t="n"/>
      <c r="G1192" s="81" t="n"/>
      <c r="H1192" s="78" t="n"/>
      <c r="I1192" s="78" t="n"/>
      <c r="J1192" s="78" t="n"/>
    </row>
    <row r="1193">
      <c r="A1193" s="84">
        <f>ROW()-6</f>
        <v/>
      </c>
      <c r="B1193" s="85">
        <f>+MATCH(D1193,ARTICULOS!$F$10:$F$699,0)</f>
        <v/>
      </c>
      <c r="C1193" s="86">
        <f>+VLOOKUP(B1193,ARTICULOS!$D$10:$I$699,6)</f>
        <v/>
      </c>
      <c r="D1193" s="212" t="n"/>
      <c r="E1193" s="75">
        <f>+C1193&amp;F1193</f>
        <v/>
      </c>
      <c r="F1193" s="80" t="n"/>
      <c r="G1193" s="81" t="n"/>
      <c r="H1193" s="78" t="n"/>
      <c r="I1193" s="78" t="n"/>
      <c r="J1193" s="78" t="n"/>
    </row>
    <row r="1194">
      <c r="A1194" s="84">
        <f>ROW()-6</f>
        <v/>
      </c>
      <c r="B1194" s="85">
        <f>+MATCH(D1194,ARTICULOS!$F$10:$F$699,0)</f>
        <v/>
      </c>
      <c r="C1194" s="86">
        <f>+VLOOKUP(B1194,ARTICULOS!$D$10:$I$699,6)</f>
        <v/>
      </c>
      <c r="D1194" s="212" t="n"/>
      <c r="E1194" s="75">
        <f>+C1194&amp;F1194</f>
        <v/>
      </c>
      <c r="F1194" s="80" t="n"/>
      <c r="G1194" s="81" t="n"/>
      <c r="H1194" s="78" t="n"/>
      <c r="I1194" s="78" t="n"/>
      <c r="J1194" s="78" t="n"/>
    </row>
    <row r="1195">
      <c r="A1195" s="84">
        <f>ROW()-6</f>
        <v/>
      </c>
      <c r="B1195" s="85">
        <f>+MATCH(D1195,ARTICULOS!$F$10:$F$699,0)</f>
        <v/>
      </c>
      <c r="C1195" s="86">
        <f>+VLOOKUP(B1195,ARTICULOS!$D$10:$I$699,6)</f>
        <v/>
      </c>
      <c r="D1195" s="212" t="n"/>
      <c r="E1195" s="75">
        <f>+C1195&amp;F1195</f>
        <v/>
      </c>
      <c r="F1195" s="80" t="n"/>
      <c r="G1195" s="81" t="n"/>
      <c r="H1195" s="78" t="n"/>
      <c r="I1195" s="78" t="n"/>
      <c r="J1195" s="78" t="n"/>
    </row>
    <row r="1196">
      <c r="A1196" s="84">
        <f>ROW()-6</f>
        <v/>
      </c>
      <c r="B1196" s="85">
        <f>+MATCH(D1196,ARTICULOS!$F$10:$F$699,0)</f>
        <v/>
      </c>
      <c r="C1196" s="86">
        <f>+VLOOKUP(B1196,ARTICULOS!$D$10:$I$699,6)</f>
        <v/>
      </c>
      <c r="D1196" s="212" t="n"/>
      <c r="E1196" s="75">
        <f>+C1196&amp;F1196</f>
        <v/>
      </c>
      <c r="F1196" s="80" t="n"/>
      <c r="G1196" s="81" t="n"/>
      <c r="H1196" s="78" t="n"/>
      <c r="I1196" s="78" t="n"/>
      <c r="J1196" s="78" t="n"/>
    </row>
    <row r="1197">
      <c r="A1197" s="84">
        <f>ROW()-6</f>
        <v/>
      </c>
      <c r="B1197" s="85">
        <f>+MATCH(D1197,ARTICULOS!$F$10:$F$699,0)</f>
        <v/>
      </c>
      <c r="C1197" s="86">
        <f>+VLOOKUP(B1197,ARTICULOS!$D$10:$I$699,6)</f>
        <v/>
      </c>
      <c r="D1197" s="212" t="n"/>
      <c r="E1197" s="75">
        <f>+C1197&amp;F1197</f>
        <v/>
      </c>
      <c r="F1197" s="80" t="n"/>
      <c r="G1197" s="81" t="n"/>
      <c r="H1197" s="78" t="n"/>
      <c r="I1197" s="78" t="n"/>
      <c r="J1197" s="78" t="n"/>
    </row>
    <row r="1198">
      <c r="A1198" s="84">
        <f>ROW()-6</f>
        <v/>
      </c>
      <c r="B1198" s="85">
        <f>+MATCH(D1198,ARTICULOS!$F$10:$F$699,0)</f>
        <v/>
      </c>
      <c r="C1198" s="86">
        <f>+VLOOKUP(B1198,ARTICULOS!$D$10:$I$699,6)</f>
        <v/>
      </c>
      <c r="D1198" s="212" t="n"/>
      <c r="E1198" s="75">
        <f>+C1198&amp;F1198</f>
        <v/>
      </c>
      <c r="F1198" s="80" t="n"/>
      <c r="G1198" s="81" t="n"/>
      <c r="H1198" s="78" t="n"/>
      <c r="I1198" s="78" t="n"/>
      <c r="J1198" s="78" t="n"/>
    </row>
    <row r="1199">
      <c r="A1199" s="84">
        <f>ROW()-6</f>
        <v/>
      </c>
      <c r="B1199" s="85">
        <f>+MATCH(D1199,ARTICULOS!$F$10:$F$699,0)</f>
        <v/>
      </c>
      <c r="C1199" s="86">
        <f>+VLOOKUP(B1199,ARTICULOS!$D$10:$I$699,6)</f>
        <v/>
      </c>
      <c r="D1199" s="212" t="n"/>
      <c r="E1199" s="75">
        <f>+C1199&amp;F1199</f>
        <v/>
      </c>
      <c r="F1199" s="80" t="n"/>
      <c r="G1199" s="81" t="n"/>
      <c r="H1199" s="78" t="n"/>
      <c r="I1199" s="78" t="n"/>
      <c r="J1199" s="78" t="n"/>
    </row>
    <row r="1200">
      <c r="A1200" s="84">
        <f>ROW()-6</f>
        <v/>
      </c>
      <c r="B1200" s="85">
        <f>+MATCH(D1200,ARTICULOS!$F$10:$F$699,0)</f>
        <v/>
      </c>
      <c r="C1200" s="86">
        <f>+VLOOKUP(B1200,ARTICULOS!$D$10:$I$699,6)</f>
        <v/>
      </c>
      <c r="D1200" s="212" t="n"/>
      <c r="E1200" s="75">
        <f>+C1200&amp;F1200</f>
        <v/>
      </c>
      <c r="F1200" s="80" t="n"/>
      <c r="G1200" s="81" t="n"/>
      <c r="H1200" s="78" t="n"/>
      <c r="I1200" s="78" t="n"/>
      <c r="J1200" s="78" t="n"/>
    </row>
    <row r="1201">
      <c r="A1201" s="84">
        <f>ROW()-6</f>
        <v/>
      </c>
      <c r="B1201" s="85">
        <f>+MATCH(D1201,ARTICULOS!$F$10:$F$699,0)</f>
        <v/>
      </c>
      <c r="C1201" s="86">
        <f>+VLOOKUP(B1201,ARTICULOS!$D$10:$I$699,6)</f>
        <v/>
      </c>
      <c r="D1201" s="212" t="n"/>
      <c r="E1201" s="75">
        <f>+C1201&amp;F1201</f>
        <v/>
      </c>
      <c r="F1201" s="80" t="n"/>
      <c r="G1201" s="81" t="n"/>
      <c r="H1201" s="78" t="n"/>
      <c r="I1201" s="78" t="n"/>
      <c r="J1201" s="78" t="n"/>
    </row>
    <row r="1202">
      <c r="A1202" s="84">
        <f>ROW()-6</f>
        <v/>
      </c>
      <c r="B1202" s="85">
        <f>+MATCH(D1202,ARTICULOS!$F$10:$F$699,0)</f>
        <v/>
      </c>
      <c r="C1202" s="86">
        <f>+VLOOKUP(B1202,ARTICULOS!$D$10:$I$699,6)</f>
        <v/>
      </c>
      <c r="D1202" s="212" t="n"/>
      <c r="E1202" s="75">
        <f>+C1202&amp;F1202</f>
        <v/>
      </c>
      <c r="F1202" s="80" t="n"/>
      <c r="G1202" s="81" t="n"/>
      <c r="H1202" s="78" t="n"/>
      <c r="I1202" s="78" t="n"/>
      <c r="J1202" s="78" t="n"/>
    </row>
    <row r="1203">
      <c r="A1203" s="84">
        <f>ROW()-6</f>
        <v/>
      </c>
      <c r="B1203" s="85">
        <f>+MATCH(D1203,ARTICULOS!$F$10:$F$699,0)</f>
        <v/>
      </c>
      <c r="C1203" s="86">
        <f>+VLOOKUP(B1203,ARTICULOS!$D$10:$I$699,6)</f>
        <v/>
      </c>
      <c r="D1203" s="212" t="n"/>
      <c r="E1203" s="75">
        <f>+C1203&amp;F1203</f>
        <v/>
      </c>
      <c r="F1203" s="80" t="n"/>
      <c r="G1203" s="81" t="n"/>
      <c r="H1203" s="78" t="n"/>
      <c r="I1203" s="78" t="n"/>
      <c r="J1203" s="78" t="n"/>
    </row>
    <row r="1204">
      <c r="A1204" s="84">
        <f>ROW()-6</f>
        <v/>
      </c>
      <c r="B1204" s="85">
        <f>+MATCH(D1204,ARTICULOS!$F$10:$F$699,0)</f>
        <v/>
      </c>
      <c r="C1204" s="86">
        <f>+VLOOKUP(B1204,ARTICULOS!$D$10:$I$699,6)</f>
        <v/>
      </c>
      <c r="D1204" s="212" t="n"/>
      <c r="E1204" s="75">
        <f>+C1204&amp;F1204</f>
        <v/>
      </c>
      <c r="F1204" s="80" t="n"/>
      <c r="G1204" s="81" t="n"/>
      <c r="H1204" s="78" t="n"/>
      <c r="I1204" s="78" t="n"/>
      <c r="J1204" s="78" t="n"/>
    </row>
    <row r="1205">
      <c r="A1205" s="84">
        <f>ROW()-6</f>
        <v/>
      </c>
      <c r="B1205" s="85">
        <f>+MATCH(D1205,ARTICULOS!$F$10:$F$699,0)</f>
        <v/>
      </c>
      <c r="C1205" s="86">
        <f>+VLOOKUP(B1205,ARTICULOS!$D$10:$I$699,6)</f>
        <v/>
      </c>
      <c r="D1205" s="212" t="n"/>
      <c r="E1205" s="75">
        <f>+C1205&amp;F1205</f>
        <v/>
      </c>
      <c r="F1205" s="80" t="n"/>
      <c r="G1205" s="81" t="n"/>
      <c r="H1205" s="78" t="n"/>
      <c r="I1205" s="78" t="n"/>
      <c r="J1205" s="78" t="n"/>
    </row>
    <row r="1206">
      <c r="A1206" s="84">
        <f>ROW()-6</f>
        <v/>
      </c>
      <c r="B1206" s="85">
        <f>+MATCH(D1206,ARTICULOS!$F$10:$F$699,0)</f>
        <v/>
      </c>
      <c r="C1206" s="86">
        <f>+VLOOKUP(B1206,ARTICULOS!$D$10:$I$699,6)</f>
        <v/>
      </c>
      <c r="D1206" s="212" t="n"/>
      <c r="E1206" s="75">
        <f>+C1206&amp;F1206</f>
        <v/>
      </c>
      <c r="F1206" s="80" t="n"/>
      <c r="G1206" s="81" t="n"/>
      <c r="H1206" s="78" t="n"/>
      <c r="I1206" s="78" t="n"/>
      <c r="J1206" s="78" t="n"/>
    </row>
    <row r="1207">
      <c r="A1207" s="84">
        <f>ROW()-6</f>
        <v/>
      </c>
      <c r="B1207" s="85">
        <f>+MATCH(D1207,ARTICULOS!$F$10:$F$699,0)</f>
        <v/>
      </c>
      <c r="C1207" s="86">
        <f>+VLOOKUP(B1207,ARTICULOS!$D$10:$I$699,6)</f>
        <v/>
      </c>
      <c r="D1207" s="212" t="n"/>
      <c r="E1207" s="75">
        <f>+C1207&amp;F1207</f>
        <v/>
      </c>
      <c r="F1207" s="80" t="n"/>
      <c r="G1207" s="81" t="n"/>
      <c r="H1207" s="78" t="n"/>
      <c r="I1207" s="78" t="n"/>
      <c r="J1207" s="78" t="n"/>
    </row>
    <row r="1208">
      <c r="A1208" s="84">
        <f>ROW()-6</f>
        <v/>
      </c>
      <c r="B1208" s="85">
        <f>+MATCH(D1208,ARTICULOS!$F$10:$F$699,0)</f>
        <v/>
      </c>
      <c r="C1208" s="86">
        <f>+VLOOKUP(B1208,ARTICULOS!$D$10:$I$699,6)</f>
        <v/>
      </c>
      <c r="D1208" s="212" t="n"/>
      <c r="E1208" s="75">
        <f>+C1208&amp;F1208</f>
        <v/>
      </c>
      <c r="F1208" s="80" t="n"/>
      <c r="G1208" s="81" t="n"/>
      <c r="H1208" s="78" t="n"/>
      <c r="I1208" s="78" t="n"/>
      <c r="J1208" s="78" t="n"/>
    </row>
    <row r="1209">
      <c r="A1209" s="84">
        <f>ROW()-6</f>
        <v/>
      </c>
      <c r="B1209" s="85">
        <f>+MATCH(D1209,ARTICULOS!$F$10:$F$699,0)</f>
        <v/>
      </c>
      <c r="C1209" s="86">
        <f>+VLOOKUP(B1209,ARTICULOS!$D$10:$I$699,6)</f>
        <v/>
      </c>
      <c r="D1209" s="212" t="n"/>
      <c r="E1209" s="75">
        <f>+C1209&amp;F1209</f>
        <v/>
      </c>
      <c r="F1209" s="80" t="n"/>
      <c r="G1209" s="81" t="n"/>
      <c r="H1209" s="78" t="n"/>
      <c r="I1209" s="78" t="n"/>
      <c r="J1209" s="78" t="n"/>
    </row>
    <row r="1210">
      <c r="A1210" s="84">
        <f>ROW()-6</f>
        <v/>
      </c>
      <c r="B1210" s="85">
        <f>+MATCH(D1210,ARTICULOS!$F$10:$F$699,0)</f>
        <v/>
      </c>
      <c r="C1210" s="86">
        <f>+VLOOKUP(B1210,ARTICULOS!$D$10:$I$699,6)</f>
        <v/>
      </c>
      <c r="D1210" s="212" t="n"/>
      <c r="E1210" s="75">
        <f>+C1210&amp;F1210</f>
        <v/>
      </c>
      <c r="F1210" s="80" t="n"/>
      <c r="G1210" s="81" t="n"/>
      <c r="H1210" s="78" t="n"/>
      <c r="I1210" s="78" t="n"/>
      <c r="J1210" s="78" t="n"/>
    </row>
    <row r="1211">
      <c r="A1211" s="84">
        <f>ROW()-6</f>
        <v/>
      </c>
      <c r="B1211" s="85">
        <f>+MATCH(D1211,ARTICULOS!$F$10:$F$699,0)</f>
        <v/>
      </c>
      <c r="C1211" s="86">
        <f>+VLOOKUP(B1211,ARTICULOS!$D$10:$I$699,6)</f>
        <v/>
      </c>
      <c r="D1211" s="212" t="n"/>
      <c r="E1211" s="75">
        <f>+C1211&amp;F1211</f>
        <v/>
      </c>
      <c r="F1211" s="80" t="n"/>
      <c r="G1211" s="81" t="n"/>
      <c r="H1211" s="78" t="n"/>
      <c r="I1211" s="78" t="n"/>
      <c r="J1211" s="78" t="n"/>
    </row>
    <row r="1212">
      <c r="A1212" s="84">
        <f>ROW()-6</f>
        <v/>
      </c>
      <c r="B1212" s="85">
        <f>+MATCH(D1212,ARTICULOS!$F$10:$F$699,0)</f>
        <v/>
      </c>
      <c r="C1212" s="86">
        <f>+VLOOKUP(B1212,ARTICULOS!$D$10:$I$699,6)</f>
        <v/>
      </c>
      <c r="D1212" s="212" t="n"/>
      <c r="E1212" s="75">
        <f>+C1212&amp;F1212</f>
        <v/>
      </c>
      <c r="F1212" s="80" t="n"/>
      <c r="G1212" s="81" t="n"/>
      <c r="H1212" s="78" t="n"/>
      <c r="I1212" s="78" t="n"/>
      <c r="J1212" s="78" t="n"/>
    </row>
    <row r="1213">
      <c r="A1213" s="84">
        <f>ROW()-6</f>
        <v/>
      </c>
      <c r="B1213" s="85">
        <f>+MATCH(D1213,ARTICULOS!$F$10:$F$699,0)</f>
        <v/>
      </c>
      <c r="C1213" s="86">
        <f>+VLOOKUP(B1213,ARTICULOS!$D$10:$I$699,6)</f>
        <v/>
      </c>
      <c r="D1213" s="212" t="n"/>
      <c r="E1213" s="75">
        <f>+C1213&amp;F1213</f>
        <v/>
      </c>
      <c r="F1213" s="80" t="n"/>
      <c r="G1213" s="81" t="n"/>
      <c r="H1213" s="78" t="n"/>
      <c r="I1213" s="78" t="n"/>
      <c r="J1213" s="78" t="n"/>
    </row>
    <row r="1214">
      <c r="A1214" s="84">
        <f>ROW()-6</f>
        <v/>
      </c>
      <c r="B1214" s="85">
        <f>+MATCH(D1214,ARTICULOS!$F$10:$F$699,0)</f>
        <v/>
      </c>
      <c r="C1214" s="86">
        <f>+VLOOKUP(B1214,ARTICULOS!$D$10:$I$699,6)</f>
        <v/>
      </c>
      <c r="D1214" s="212" t="n"/>
      <c r="E1214" s="75">
        <f>+C1214&amp;F1214</f>
        <v/>
      </c>
      <c r="F1214" s="80" t="n"/>
      <c r="G1214" s="81" t="n"/>
      <c r="H1214" s="78" t="n"/>
      <c r="I1214" s="78" t="n"/>
      <c r="J1214" s="78" t="n"/>
    </row>
    <row r="1215">
      <c r="A1215" s="84">
        <f>ROW()-6</f>
        <v/>
      </c>
      <c r="B1215" s="85">
        <f>+MATCH(D1215,ARTICULOS!$F$10:$F$699,0)</f>
        <v/>
      </c>
      <c r="C1215" s="86">
        <f>+VLOOKUP(B1215,ARTICULOS!$D$10:$I$699,6)</f>
        <v/>
      </c>
      <c r="D1215" s="212" t="n"/>
      <c r="E1215" s="75">
        <f>+C1215&amp;F1215</f>
        <v/>
      </c>
      <c r="F1215" s="80" t="n"/>
      <c r="G1215" s="81" t="n"/>
      <c r="H1215" s="78" t="n"/>
      <c r="I1215" s="78" t="n"/>
      <c r="J1215" s="78" t="n"/>
    </row>
    <row r="1216">
      <c r="A1216" s="84">
        <f>ROW()-6</f>
        <v/>
      </c>
      <c r="B1216" s="85">
        <f>+MATCH(D1216,ARTICULOS!$F$10:$F$699,0)</f>
        <v/>
      </c>
      <c r="C1216" s="86">
        <f>+VLOOKUP(B1216,ARTICULOS!$D$10:$I$699,6)</f>
        <v/>
      </c>
      <c r="D1216" s="212" t="n"/>
      <c r="E1216" s="75">
        <f>+C1216&amp;F1216</f>
        <v/>
      </c>
      <c r="F1216" s="80" t="n"/>
      <c r="G1216" s="81" t="n"/>
      <c r="H1216" s="78" t="n"/>
      <c r="I1216" s="78" t="n"/>
      <c r="J1216" s="78" t="n"/>
    </row>
    <row r="1217">
      <c r="A1217" s="84">
        <f>ROW()-6</f>
        <v/>
      </c>
      <c r="B1217" s="85">
        <f>+MATCH(D1217,ARTICULOS!$F$10:$F$699,0)</f>
        <v/>
      </c>
      <c r="C1217" s="86">
        <f>+VLOOKUP(B1217,ARTICULOS!$D$10:$I$699,6)</f>
        <v/>
      </c>
      <c r="D1217" s="212" t="n"/>
      <c r="E1217" s="75">
        <f>+C1217&amp;F1217</f>
        <v/>
      </c>
      <c r="F1217" s="80" t="n"/>
      <c r="G1217" s="81" t="n"/>
      <c r="H1217" s="78" t="n"/>
      <c r="I1217" s="78" t="n"/>
      <c r="J1217" s="78" t="n"/>
    </row>
    <row r="1218">
      <c r="A1218" s="84">
        <f>ROW()-6</f>
        <v/>
      </c>
      <c r="B1218" s="85">
        <f>+MATCH(D1218,ARTICULOS!$F$10:$F$699,0)</f>
        <v/>
      </c>
      <c r="C1218" s="86">
        <f>+VLOOKUP(B1218,ARTICULOS!$D$10:$I$699,6)</f>
        <v/>
      </c>
      <c r="D1218" s="212" t="n"/>
      <c r="E1218" s="75">
        <f>+C1218&amp;F1218</f>
        <v/>
      </c>
      <c r="F1218" s="80" t="n"/>
      <c r="G1218" s="81" t="n"/>
      <c r="H1218" s="78" t="n"/>
      <c r="I1218" s="78" t="n"/>
      <c r="J1218" s="78" t="n"/>
    </row>
    <row r="1219">
      <c r="A1219" s="84">
        <f>ROW()-6</f>
        <v/>
      </c>
      <c r="B1219" s="85">
        <f>+MATCH(D1219,ARTICULOS!$F$10:$F$699,0)</f>
        <v/>
      </c>
      <c r="C1219" s="86">
        <f>+VLOOKUP(B1219,ARTICULOS!$D$10:$I$699,6)</f>
        <v/>
      </c>
      <c r="D1219" s="212" t="n"/>
      <c r="E1219" s="75">
        <f>+C1219&amp;F1219</f>
        <v/>
      </c>
      <c r="F1219" s="80" t="n"/>
      <c r="G1219" s="81" t="n"/>
      <c r="H1219" s="78" t="n"/>
      <c r="I1219" s="78" t="n"/>
      <c r="J1219" s="78" t="n"/>
    </row>
    <row r="1220">
      <c r="A1220" s="84">
        <f>ROW()-6</f>
        <v/>
      </c>
      <c r="B1220" s="85">
        <f>+MATCH(D1220,ARTICULOS!$F$10:$F$699,0)</f>
        <v/>
      </c>
      <c r="C1220" s="86">
        <f>+VLOOKUP(B1220,ARTICULOS!$D$10:$I$699,6)</f>
        <v/>
      </c>
      <c r="D1220" s="212" t="n"/>
      <c r="E1220" s="75">
        <f>+C1220&amp;F1220</f>
        <v/>
      </c>
      <c r="F1220" s="80" t="n"/>
      <c r="G1220" s="81" t="n"/>
      <c r="H1220" s="78" t="n"/>
      <c r="I1220" s="78" t="n"/>
      <c r="J1220" s="78" t="n"/>
    </row>
    <row r="1221">
      <c r="A1221" s="84">
        <f>ROW()-6</f>
        <v/>
      </c>
      <c r="B1221" s="85">
        <f>+MATCH(D1221,ARTICULOS!$F$10:$F$699,0)</f>
        <v/>
      </c>
      <c r="C1221" s="86">
        <f>+VLOOKUP(B1221,ARTICULOS!$D$10:$I$699,6)</f>
        <v/>
      </c>
      <c r="D1221" s="212" t="n"/>
      <c r="E1221" s="75">
        <f>+C1221&amp;F1221</f>
        <v/>
      </c>
      <c r="F1221" s="80" t="n"/>
      <c r="G1221" s="81" t="n"/>
      <c r="H1221" s="78" t="n"/>
      <c r="I1221" s="78" t="n"/>
      <c r="J1221" s="78" t="n"/>
    </row>
    <row r="1222">
      <c r="A1222" s="84">
        <f>ROW()-6</f>
        <v/>
      </c>
      <c r="B1222" s="85">
        <f>+MATCH(D1222,ARTICULOS!$F$10:$F$699,0)</f>
        <v/>
      </c>
      <c r="C1222" s="86">
        <f>+VLOOKUP(B1222,ARTICULOS!$D$10:$I$699,6)</f>
        <v/>
      </c>
      <c r="D1222" s="212" t="n"/>
      <c r="E1222" s="75">
        <f>+C1222&amp;F1222</f>
        <v/>
      </c>
      <c r="F1222" s="80" t="n"/>
      <c r="G1222" s="81" t="n"/>
      <c r="H1222" s="78" t="n"/>
      <c r="I1222" s="78" t="n"/>
      <c r="J1222" s="78" t="n"/>
    </row>
    <row r="1223">
      <c r="A1223" s="84">
        <f>ROW()-6</f>
        <v/>
      </c>
      <c r="B1223" s="85">
        <f>+MATCH(D1223,ARTICULOS!$F$10:$F$699,0)</f>
        <v/>
      </c>
      <c r="C1223" s="86">
        <f>+VLOOKUP(B1223,ARTICULOS!$D$10:$I$699,6)</f>
        <v/>
      </c>
      <c r="D1223" s="212" t="n"/>
      <c r="E1223" s="75">
        <f>+C1223&amp;F1223</f>
        <v/>
      </c>
      <c r="F1223" s="80" t="n"/>
      <c r="G1223" s="81" t="n"/>
      <c r="H1223" s="78" t="n"/>
      <c r="I1223" s="78" t="n"/>
      <c r="J1223" s="78" t="n"/>
    </row>
    <row r="1224">
      <c r="A1224" s="84">
        <f>ROW()-6</f>
        <v/>
      </c>
      <c r="B1224" s="85">
        <f>+MATCH(D1224,ARTICULOS!$F$10:$F$699,0)</f>
        <v/>
      </c>
      <c r="C1224" s="86">
        <f>+VLOOKUP(B1224,ARTICULOS!$D$10:$I$699,6)</f>
        <v/>
      </c>
      <c r="D1224" s="212" t="n"/>
      <c r="E1224" s="75">
        <f>+C1224&amp;F1224</f>
        <v/>
      </c>
      <c r="F1224" s="80" t="n"/>
      <c r="G1224" s="81" t="n"/>
      <c r="H1224" s="78" t="n"/>
      <c r="I1224" s="78" t="n"/>
      <c r="J1224" s="78" t="n"/>
    </row>
    <row r="1225">
      <c r="A1225" s="84">
        <f>ROW()-6</f>
        <v/>
      </c>
      <c r="B1225" s="85">
        <f>+MATCH(D1225,ARTICULOS!$F$10:$F$699,0)</f>
        <v/>
      </c>
      <c r="C1225" s="86">
        <f>+VLOOKUP(B1225,ARTICULOS!$D$10:$I$699,6)</f>
        <v/>
      </c>
      <c r="D1225" s="212" t="n"/>
      <c r="E1225" s="75">
        <f>+C1225&amp;F1225</f>
        <v/>
      </c>
      <c r="F1225" s="80" t="n"/>
      <c r="G1225" s="81" t="n"/>
      <c r="H1225" s="78" t="n"/>
      <c r="I1225" s="78" t="n"/>
      <c r="J1225" s="78" t="n"/>
    </row>
    <row r="1226">
      <c r="A1226" s="84">
        <f>ROW()-6</f>
        <v/>
      </c>
      <c r="B1226" s="85">
        <f>+MATCH(D1226,ARTICULOS!$F$10:$F$699,0)</f>
        <v/>
      </c>
      <c r="C1226" s="86">
        <f>+VLOOKUP(B1226,ARTICULOS!$D$10:$I$699,6)</f>
        <v/>
      </c>
      <c r="D1226" s="212" t="n"/>
      <c r="E1226" s="75">
        <f>+C1226&amp;F1226</f>
        <v/>
      </c>
      <c r="F1226" s="80" t="n"/>
      <c r="G1226" s="81" t="n"/>
      <c r="H1226" s="78" t="n"/>
      <c r="I1226" s="78" t="n"/>
      <c r="J1226" s="78" t="n"/>
    </row>
    <row r="1227">
      <c r="A1227" s="84">
        <f>ROW()-6</f>
        <v/>
      </c>
      <c r="B1227" s="85">
        <f>+MATCH(D1227,ARTICULOS!$F$10:$F$699,0)</f>
        <v/>
      </c>
      <c r="C1227" s="86">
        <f>+VLOOKUP(B1227,ARTICULOS!$D$10:$I$699,6)</f>
        <v/>
      </c>
      <c r="D1227" s="212" t="n"/>
      <c r="E1227" s="75">
        <f>+C1227&amp;F1227</f>
        <v/>
      </c>
      <c r="F1227" s="80" t="n"/>
      <c r="G1227" s="81" t="n"/>
      <c r="H1227" s="78" t="n"/>
      <c r="I1227" s="78" t="n"/>
      <c r="J1227" s="78" t="n"/>
    </row>
    <row r="1228">
      <c r="A1228" s="84">
        <f>ROW()-6</f>
        <v/>
      </c>
      <c r="B1228" s="85">
        <f>+MATCH(D1228,ARTICULOS!$F$10:$F$699,0)</f>
        <v/>
      </c>
      <c r="C1228" s="86">
        <f>+VLOOKUP(B1228,ARTICULOS!$D$10:$I$699,6)</f>
        <v/>
      </c>
      <c r="D1228" s="212" t="n"/>
      <c r="E1228" s="75">
        <f>+C1228&amp;F1228</f>
        <v/>
      </c>
      <c r="F1228" s="80" t="n"/>
      <c r="G1228" s="81" t="n"/>
      <c r="H1228" s="78" t="n"/>
      <c r="I1228" s="78" t="n"/>
      <c r="J1228" s="78" t="n"/>
    </row>
    <row r="1229">
      <c r="A1229" s="84">
        <f>ROW()-6</f>
        <v/>
      </c>
      <c r="B1229" s="85">
        <f>+MATCH(D1229,ARTICULOS!$F$10:$F$699,0)</f>
        <v/>
      </c>
      <c r="C1229" s="86">
        <f>+VLOOKUP(B1229,ARTICULOS!$D$10:$I$699,6)</f>
        <v/>
      </c>
      <c r="D1229" s="212" t="n"/>
      <c r="E1229" s="75">
        <f>+C1229&amp;F1229</f>
        <v/>
      </c>
      <c r="F1229" s="80" t="n"/>
      <c r="G1229" s="81" t="n"/>
      <c r="H1229" s="78" t="n"/>
      <c r="I1229" s="78" t="n"/>
      <c r="J1229" s="78" t="n"/>
    </row>
    <row r="1230">
      <c r="A1230" s="84">
        <f>ROW()-6</f>
        <v/>
      </c>
      <c r="B1230" s="85">
        <f>+MATCH(D1230,ARTICULOS!$F$10:$F$699,0)</f>
        <v/>
      </c>
      <c r="C1230" s="86">
        <f>+VLOOKUP(B1230,ARTICULOS!$D$10:$I$699,6)</f>
        <v/>
      </c>
      <c r="D1230" s="212" t="n"/>
      <c r="E1230" s="75">
        <f>+C1230&amp;F1230</f>
        <v/>
      </c>
      <c r="F1230" s="80" t="n"/>
      <c r="G1230" s="81" t="n"/>
      <c r="H1230" s="78" t="n"/>
      <c r="I1230" s="78" t="n"/>
      <c r="J1230" s="78" t="n"/>
    </row>
    <row r="1231">
      <c r="A1231" s="84">
        <f>ROW()-6</f>
        <v/>
      </c>
      <c r="B1231" s="85">
        <f>+MATCH(D1231,ARTICULOS!$F$10:$F$699,0)</f>
        <v/>
      </c>
      <c r="C1231" s="86">
        <f>+VLOOKUP(B1231,ARTICULOS!$D$10:$I$699,6)</f>
        <v/>
      </c>
      <c r="D1231" s="212" t="n"/>
      <c r="E1231" s="75">
        <f>+C1231&amp;F1231</f>
        <v/>
      </c>
      <c r="F1231" s="80" t="n"/>
      <c r="G1231" s="81" t="n"/>
      <c r="H1231" s="78" t="n"/>
      <c r="I1231" s="78" t="n"/>
      <c r="J1231" s="78" t="n"/>
    </row>
    <row r="1232">
      <c r="A1232" s="84">
        <f>ROW()-6</f>
        <v/>
      </c>
      <c r="B1232" s="85">
        <f>+MATCH(D1232,ARTICULOS!$F$10:$F$699,0)</f>
        <v/>
      </c>
      <c r="C1232" s="86">
        <f>+VLOOKUP(B1232,ARTICULOS!$D$10:$I$699,6)</f>
        <v/>
      </c>
      <c r="D1232" s="212" t="n"/>
      <c r="E1232" s="75">
        <f>+C1232&amp;F1232</f>
        <v/>
      </c>
      <c r="F1232" s="80" t="n"/>
      <c r="G1232" s="81" t="n"/>
      <c r="H1232" s="78" t="n"/>
      <c r="I1232" s="78" t="n"/>
      <c r="J1232" s="78" t="n"/>
    </row>
    <row r="1233">
      <c r="A1233" s="84">
        <f>ROW()-6</f>
        <v/>
      </c>
      <c r="B1233" s="85">
        <f>+MATCH(D1233,ARTICULOS!$F$10:$F$699,0)</f>
        <v/>
      </c>
      <c r="C1233" s="86">
        <f>+VLOOKUP(B1233,ARTICULOS!$D$10:$I$699,6)</f>
        <v/>
      </c>
      <c r="D1233" s="212" t="n"/>
      <c r="E1233" s="75">
        <f>+C1233&amp;F1233</f>
        <v/>
      </c>
      <c r="F1233" s="80" t="n"/>
      <c r="G1233" s="81" t="n"/>
      <c r="H1233" s="78" t="n"/>
      <c r="I1233" s="78" t="n"/>
      <c r="J1233" s="78" t="n"/>
    </row>
    <row r="1234">
      <c r="A1234" s="84">
        <f>ROW()-6</f>
        <v/>
      </c>
      <c r="B1234" s="85">
        <f>+MATCH(D1234,ARTICULOS!$F$10:$F$699,0)</f>
        <v/>
      </c>
      <c r="C1234" s="86">
        <f>+VLOOKUP(B1234,ARTICULOS!$D$10:$I$699,6)</f>
        <v/>
      </c>
      <c r="D1234" s="212" t="n"/>
      <c r="E1234" s="75">
        <f>+C1234&amp;F1234</f>
        <v/>
      </c>
      <c r="F1234" s="80" t="n"/>
      <c r="G1234" s="81" t="n"/>
      <c r="H1234" s="78" t="n"/>
      <c r="I1234" s="78" t="n"/>
      <c r="J1234" s="78" t="n"/>
    </row>
    <row r="1235">
      <c r="A1235" s="84">
        <f>ROW()-6</f>
        <v/>
      </c>
      <c r="B1235" s="85">
        <f>+MATCH(D1235,ARTICULOS!$F$10:$F$699,0)</f>
        <v/>
      </c>
      <c r="C1235" s="86">
        <f>+VLOOKUP(B1235,ARTICULOS!$D$10:$I$699,6)</f>
        <v/>
      </c>
      <c r="D1235" s="212" t="n"/>
      <c r="E1235" s="75">
        <f>+C1235&amp;F1235</f>
        <v/>
      </c>
      <c r="F1235" s="80" t="n"/>
      <c r="G1235" s="81" t="n"/>
      <c r="H1235" s="78" t="n"/>
      <c r="I1235" s="78" t="n"/>
      <c r="J1235" s="78" t="n"/>
    </row>
    <row r="1236">
      <c r="A1236" s="84">
        <f>ROW()-6</f>
        <v/>
      </c>
      <c r="B1236" s="85">
        <f>+MATCH(D1236,ARTICULOS!$F$10:$F$699,0)</f>
        <v/>
      </c>
      <c r="C1236" s="86">
        <f>+VLOOKUP(B1236,ARTICULOS!$D$10:$I$699,6)</f>
        <v/>
      </c>
      <c r="D1236" s="212" t="n"/>
      <c r="E1236" s="75">
        <f>+C1236&amp;F1236</f>
        <v/>
      </c>
      <c r="F1236" s="80" t="n"/>
      <c r="G1236" s="81" t="n"/>
      <c r="H1236" s="78" t="n"/>
      <c r="I1236" s="78" t="n"/>
      <c r="J1236" s="78" t="n"/>
    </row>
    <row r="1237">
      <c r="A1237" s="84">
        <f>ROW()-6</f>
        <v/>
      </c>
      <c r="B1237" s="85">
        <f>+MATCH(D1237,ARTICULOS!$F$10:$F$699,0)</f>
        <v/>
      </c>
      <c r="C1237" s="86">
        <f>+VLOOKUP(B1237,ARTICULOS!$D$10:$I$699,6)</f>
        <v/>
      </c>
      <c r="D1237" s="212" t="n"/>
      <c r="E1237" s="75">
        <f>+C1237&amp;F1237</f>
        <v/>
      </c>
      <c r="F1237" s="80" t="n"/>
      <c r="G1237" s="81" t="n"/>
      <c r="H1237" s="78" t="n"/>
      <c r="I1237" s="78" t="n"/>
      <c r="J1237" s="78" t="n"/>
    </row>
    <row r="1238">
      <c r="A1238" s="84">
        <f>ROW()-6</f>
        <v/>
      </c>
      <c r="B1238" s="85">
        <f>+MATCH(D1238,ARTICULOS!$F$10:$F$699,0)</f>
        <v/>
      </c>
      <c r="C1238" s="86">
        <f>+VLOOKUP(B1238,ARTICULOS!$D$10:$I$699,6)</f>
        <v/>
      </c>
      <c r="D1238" s="212" t="n"/>
      <c r="E1238" s="75">
        <f>+C1238&amp;F1238</f>
        <v/>
      </c>
      <c r="F1238" s="80" t="n"/>
      <c r="G1238" s="81" t="n"/>
      <c r="H1238" s="78" t="n"/>
      <c r="I1238" s="78" t="n"/>
      <c r="J1238" s="78" t="n"/>
    </row>
    <row r="1239">
      <c r="A1239" s="84">
        <f>ROW()-6</f>
        <v/>
      </c>
      <c r="B1239" s="85">
        <f>+MATCH(D1239,ARTICULOS!$F$10:$F$699,0)</f>
        <v/>
      </c>
      <c r="C1239" s="86">
        <f>+VLOOKUP(B1239,ARTICULOS!$D$10:$I$699,6)</f>
        <v/>
      </c>
      <c r="D1239" s="212" t="n"/>
      <c r="E1239" s="75">
        <f>+C1239&amp;F1239</f>
        <v/>
      </c>
      <c r="F1239" s="80" t="n"/>
      <c r="G1239" s="81" t="n"/>
      <c r="H1239" s="78" t="n"/>
      <c r="I1239" s="78" t="n"/>
      <c r="J1239" s="78" t="n"/>
    </row>
    <row r="1240">
      <c r="A1240" s="84">
        <f>ROW()-6</f>
        <v/>
      </c>
      <c r="B1240" s="85">
        <f>+MATCH(D1240,ARTICULOS!$F$10:$F$699,0)</f>
        <v/>
      </c>
      <c r="C1240" s="86">
        <f>+VLOOKUP(B1240,ARTICULOS!$D$10:$I$699,6)</f>
        <v/>
      </c>
      <c r="D1240" s="212" t="n"/>
      <c r="E1240" s="75">
        <f>+C1240&amp;F1240</f>
        <v/>
      </c>
      <c r="F1240" s="80" t="n"/>
      <c r="G1240" s="81" t="n"/>
      <c r="H1240" s="78" t="n"/>
      <c r="I1240" s="78" t="n"/>
      <c r="J1240" s="78" t="n"/>
    </row>
    <row r="1241">
      <c r="A1241" s="84">
        <f>ROW()-6</f>
        <v/>
      </c>
      <c r="B1241" s="85">
        <f>+MATCH(D1241,ARTICULOS!$F$10:$F$699,0)</f>
        <v/>
      </c>
      <c r="C1241" s="86">
        <f>+VLOOKUP(B1241,ARTICULOS!$D$10:$I$699,6)</f>
        <v/>
      </c>
      <c r="D1241" s="212" t="n"/>
      <c r="E1241" s="75">
        <f>+C1241&amp;F1241</f>
        <v/>
      </c>
      <c r="F1241" s="80" t="n"/>
      <c r="G1241" s="81" t="n"/>
      <c r="H1241" s="78" t="n"/>
      <c r="I1241" s="78" t="n"/>
      <c r="J1241" s="78" t="n"/>
    </row>
    <row r="1242">
      <c r="A1242" s="84">
        <f>ROW()-6</f>
        <v/>
      </c>
      <c r="B1242" s="85">
        <f>+MATCH(D1242,ARTICULOS!$F$10:$F$699,0)</f>
        <v/>
      </c>
      <c r="C1242" s="86">
        <f>+VLOOKUP(B1242,ARTICULOS!$D$10:$I$699,6)</f>
        <v/>
      </c>
      <c r="D1242" s="212" t="n"/>
      <c r="E1242" s="75">
        <f>+C1242&amp;F1242</f>
        <v/>
      </c>
      <c r="F1242" s="80" t="n"/>
      <c r="G1242" s="81" t="n"/>
      <c r="H1242" s="78" t="n"/>
      <c r="I1242" s="78" t="n"/>
      <c r="J1242" s="78" t="n"/>
    </row>
    <row r="1243">
      <c r="A1243" s="84">
        <f>ROW()-6</f>
        <v/>
      </c>
      <c r="B1243" s="85">
        <f>+MATCH(D1243,ARTICULOS!$F$10:$F$699,0)</f>
        <v/>
      </c>
      <c r="C1243" s="86">
        <f>+VLOOKUP(B1243,ARTICULOS!$D$10:$I$699,6)</f>
        <v/>
      </c>
      <c r="D1243" s="212" t="n"/>
      <c r="E1243" s="75">
        <f>+C1243&amp;F1243</f>
        <v/>
      </c>
      <c r="F1243" s="80" t="n"/>
      <c r="G1243" s="81" t="n"/>
      <c r="H1243" s="78" t="n"/>
      <c r="I1243" s="78" t="n"/>
      <c r="J1243" s="78" t="n"/>
    </row>
    <row r="1244">
      <c r="A1244" s="84">
        <f>ROW()-6</f>
        <v/>
      </c>
      <c r="B1244" s="85">
        <f>+MATCH(D1244,ARTICULOS!$F$10:$F$699,0)</f>
        <v/>
      </c>
      <c r="C1244" s="86">
        <f>+VLOOKUP(B1244,ARTICULOS!$D$10:$I$699,6)</f>
        <v/>
      </c>
      <c r="D1244" s="212" t="n"/>
      <c r="E1244" s="75">
        <f>+C1244&amp;F1244</f>
        <v/>
      </c>
      <c r="F1244" s="80" t="n"/>
      <c r="G1244" s="81" t="n"/>
      <c r="H1244" s="78" t="n"/>
      <c r="I1244" s="78" t="n"/>
      <c r="J1244" s="78" t="n"/>
    </row>
    <row r="1245">
      <c r="A1245" s="84">
        <f>ROW()-6</f>
        <v/>
      </c>
      <c r="B1245" s="85">
        <f>+MATCH(D1245,ARTICULOS!$F$10:$F$699,0)</f>
        <v/>
      </c>
      <c r="C1245" s="86">
        <f>+VLOOKUP(B1245,ARTICULOS!$D$10:$I$699,6)</f>
        <v/>
      </c>
      <c r="D1245" s="212" t="n"/>
      <c r="E1245" s="75">
        <f>+C1245&amp;F1245</f>
        <v/>
      </c>
      <c r="F1245" s="80" t="n"/>
      <c r="G1245" s="81" t="n"/>
      <c r="H1245" s="78" t="n"/>
      <c r="I1245" s="78" t="n"/>
      <c r="J1245" s="78" t="n"/>
    </row>
    <row r="1246">
      <c r="A1246" s="84">
        <f>ROW()-6</f>
        <v/>
      </c>
      <c r="B1246" s="85">
        <f>+MATCH(D1246,ARTICULOS!$F$10:$F$699,0)</f>
        <v/>
      </c>
      <c r="C1246" s="86">
        <f>+VLOOKUP(B1246,ARTICULOS!$D$10:$I$699,6)</f>
        <v/>
      </c>
      <c r="D1246" s="212" t="n"/>
      <c r="E1246" s="75">
        <f>+C1246&amp;F1246</f>
        <v/>
      </c>
      <c r="F1246" s="80" t="n"/>
      <c r="G1246" s="81" t="n"/>
      <c r="H1246" s="78" t="n"/>
      <c r="I1246" s="78" t="n"/>
      <c r="J1246" s="78" t="n"/>
    </row>
    <row r="1247">
      <c r="A1247" s="84">
        <f>ROW()-6</f>
        <v/>
      </c>
      <c r="B1247" s="85">
        <f>+MATCH(D1247,ARTICULOS!$F$10:$F$699,0)</f>
        <v/>
      </c>
      <c r="C1247" s="86">
        <f>+VLOOKUP(B1247,ARTICULOS!$D$10:$I$699,6)</f>
        <v/>
      </c>
      <c r="D1247" s="212" t="n"/>
      <c r="E1247" s="75">
        <f>+C1247&amp;F1247</f>
        <v/>
      </c>
      <c r="F1247" s="80" t="n"/>
      <c r="G1247" s="81" t="n"/>
      <c r="H1247" s="78" t="n"/>
      <c r="I1247" s="78" t="n"/>
      <c r="J1247" s="78" t="n"/>
    </row>
    <row r="1248">
      <c r="A1248" s="84">
        <f>ROW()-6</f>
        <v/>
      </c>
      <c r="B1248" s="85">
        <f>+MATCH(D1248,ARTICULOS!$F$10:$F$699,0)</f>
        <v/>
      </c>
      <c r="C1248" s="86">
        <f>+VLOOKUP(B1248,ARTICULOS!$D$10:$I$699,6)</f>
        <v/>
      </c>
      <c r="D1248" s="212" t="n"/>
      <c r="E1248" s="75">
        <f>+C1248&amp;F1248</f>
        <v/>
      </c>
      <c r="F1248" s="80" t="n"/>
      <c r="G1248" s="81" t="n"/>
      <c r="H1248" s="78" t="n"/>
      <c r="I1248" s="78" t="n"/>
      <c r="J1248" s="78" t="n"/>
    </row>
    <row r="1249">
      <c r="A1249" s="84">
        <f>ROW()-6</f>
        <v/>
      </c>
      <c r="B1249" s="85">
        <f>+MATCH(D1249,ARTICULOS!$F$10:$F$699,0)</f>
        <v/>
      </c>
      <c r="C1249" s="86">
        <f>+VLOOKUP(B1249,ARTICULOS!$D$10:$I$699,6)</f>
        <v/>
      </c>
      <c r="D1249" s="212" t="n"/>
      <c r="E1249" s="75">
        <f>+C1249&amp;F1249</f>
        <v/>
      </c>
      <c r="F1249" s="80" t="n"/>
      <c r="G1249" s="81" t="n"/>
      <c r="H1249" s="78" t="n"/>
      <c r="I1249" s="78" t="n"/>
      <c r="J1249" s="78" t="n"/>
    </row>
    <row r="1250">
      <c r="A1250" s="84">
        <f>ROW()-6</f>
        <v/>
      </c>
      <c r="B1250" s="85">
        <f>+MATCH(D1250,ARTICULOS!$F$10:$F$699,0)</f>
        <v/>
      </c>
      <c r="C1250" s="86">
        <f>+VLOOKUP(B1250,ARTICULOS!$D$10:$I$699,6)</f>
        <v/>
      </c>
      <c r="D1250" s="212" t="n"/>
      <c r="E1250" s="75">
        <f>+C1250&amp;F1250</f>
        <v/>
      </c>
      <c r="F1250" s="80" t="n"/>
      <c r="G1250" s="81" t="n"/>
      <c r="H1250" s="78" t="n"/>
      <c r="I1250" s="78" t="n"/>
      <c r="J1250" s="78" t="n"/>
    </row>
    <row r="1251">
      <c r="A1251" s="84">
        <f>ROW()-6</f>
        <v/>
      </c>
      <c r="B1251" s="85">
        <f>+MATCH(D1251,ARTICULOS!$F$10:$F$699,0)</f>
        <v/>
      </c>
      <c r="C1251" s="86">
        <f>+VLOOKUP(B1251,ARTICULOS!$D$10:$I$699,6)</f>
        <v/>
      </c>
      <c r="D1251" s="212" t="n"/>
      <c r="E1251" s="75">
        <f>+C1251&amp;F1251</f>
        <v/>
      </c>
      <c r="F1251" s="80" t="n"/>
      <c r="G1251" s="81" t="n"/>
      <c r="H1251" s="78" t="n"/>
      <c r="I1251" s="78" t="n"/>
      <c r="J1251" s="78" t="n"/>
    </row>
    <row r="1252">
      <c r="A1252" s="84">
        <f>ROW()-6</f>
        <v/>
      </c>
      <c r="B1252" s="85">
        <f>+MATCH(D1252,ARTICULOS!$F$10:$F$699,0)</f>
        <v/>
      </c>
      <c r="C1252" s="86">
        <f>+VLOOKUP(B1252,ARTICULOS!$D$10:$I$699,6)</f>
        <v/>
      </c>
      <c r="D1252" s="212" t="n"/>
      <c r="E1252" s="75">
        <f>+C1252&amp;F1252</f>
        <v/>
      </c>
      <c r="F1252" s="80" t="n"/>
      <c r="G1252" s="81" t="n"/>
      <c r="H1252" s="78" t="n"/>
      <c r="I1252" s="78" t="n"/>
      <c r="J1252" s="78" t="n"/>
    </row>
    <row r="1253">
      <c r="A1253" s="84">
        <f>ROW()-6</f>
        <v/>
      </c>
      <c r="B1253" s="85">
        <f>+MATCH(D1253,ARTICULOS!$F$10:$F$699,0)</f>
        <v/>
      </c>
      <c r="C1253" s="86">
        <f>+VLOOKUP(B1253,ARTICULOS!$D$10:$I$699,6)</f>
        <v/>
      </c>
      <c r="D1253" s="212" t="n"/>
      <c r="E1253" s="75">
        <f>+C1253&amp;F1253</f>
        <v/>
      </c>
      <c r="F1253" s="80" t="n"/>
      <c r="G1253" s="81" t="n"/>
      <c r="H1253" s="78" t="n"/>
      <c r="I1253" s="78" t="n"/>
      <c r="J1253" s="78" t="n"/>
    </row>
    <row r="1254">
      <c r="A1254" s="84">
        <f>ROW()-6</f>
        <v/>
      </c>
      <c r="B1254" s="85">
        <f>+MATCH(D1254,ARTICULOS!$F$10:$F$699,0)</f>
        <v/>
      </c>
      <c r="C1254" s="86">
        <f>+VLOOKUP(B1254,ARTICULOS!$D$10:$I$699,6)</f>
        <v/>
      </c>
      <c r="D1254" s="212" t="n"/>
      <c r="E1254" s="75">
        <f>+C1254&amp;F1254</f>
        <v/>
      </c>
      <c r="F1254" s="80" t="n"/>
      <c r="G1254" s="81" t="n"/>
      <c r="H1254" s="78" t="n"/>
      <c r="I1254" s="78" t="n"/>
      <c r="J1254" s="78" t="n"/>
    </row>
    <row r="1255">
      <c r="A1255" s="84">
        <f>ROW()-6</f>
        <v/>
      </c>
      <c r="B1255" s="85">
        <f>+MATCH(D1255,ARTICULOS!$F$10:$F$699,0)</f>
        <v/>
      </c>
      <c r="C1255" s="86">
        <f>+VLOOKUP(B1255,ARTICULOS!$D$10:$I$699,6)</f>
        <v/>
      </c>
      <c r="D1255" s="212" t="n"/>
      <c r="E1255" s="75">
        <f>+C1255&amp;F1255</f>
        <v/>
      </c>
      <c r="F1255" s="80" t="n"/>
      <c r="G1255" s="81" t="n"/>
      <c r="H1255" s="78" t="n"/>
      <c r="I1255" s="78" t="n"/>
      <c r="J1255" s="78" t="n"/>
    </row>
    <row r="1256">
      <c r="A1256" s="84">
        <f>ROW()-6</f>
        <v/>
      </c>
      <c r="B1256" s="85">
        <f>+MATCH(D1256,ARTICULOS!$F$10:$F$699,0)</f>
        <v/>
      </c>
      <c r="C1256" s="86">
        <f>+VLOOKUP(B1256,ARTICULOS!$D$10:$I$699,6)</f>
        <v/>
      </c>
      <c r="D1256" s="212" t="n"/>
      <c r="E1256" s="75">
        <f>+C1256&amp;F1256</f>
        <v/>
      </c>
      <c r="F1256" s="80" t="n"/>
      <c r="G1256" s="81" t="n"/>
      <c r="H1256" s="78" t="n"/>
      <c r="I1256" s="78" t="n"/>
      <c r="J1256" s="78" t="n"/>
    </row>
    <row r="1257">
      <c r="A1257" s="84">
        <f>ROW()-6</f>
        <v/>
      </c>
      <c r="B1257" s="85">
        <f>+MATCH(D1257,ARTICULOS!$F$10:$F$699,0)</f>
        <v/>
      </c>
      <c r="C1257" s="86">
        <f>+VLOOKUP(B1257,ARTICULOS!$D$10:$I$699,6)</f>
        <v/>
      </c>
      <c r="D1257" s="212" t="n"/>
      <c r="E1257" s="75">
        <f>+C1257&amp;F1257</f>
        <v/>
      </c>
      <c r="F1257" s="80" t="n"/>
      <c r="G1257" s="81" t="n"/>
      <c r="H1257" s="78" t="n"/>
      <c r="I1257" s="78" t="n"/>
      <c r="J1257" s="78" t="n"/>
    </row>
    <row r="1258">
      <c r="A1258" s="84">
        <f>ROW()-6</f>
        <v/>
      </c>
      <c r="B1258" s="85">
        <f>+MATCH(D1258,ARTICULOS!$F$10:$F$699,0)</f>
        <v/>
      </c>
      <c r="C1258" s="86">
        <f>+VLOOKUP(B1258,ARTICULOS!$D$10:$I$699,6)</f>
        <v/>
      </c>
      <c r="D1258" s="212" t="n"/>
      <c r="E1258" s="75">
        <f>+C1258&amp;F1258</f>
        <v/>
      </c>
      <c r="F1258" s="80" t="n"/>
      <c r="G1258" s="81" t="n"/>
      <c r="H1258" s="78" t="n"/>
      <c r="I1258" s="78" t="n"/>
      <c r="J1258" s="78" t="n"/>
    </row>
    <row r="1259">
      <c r="A1259" s="84">
        <f>ROW()-6</f>
        <v/>
      </c>
      <c r="B1259" s="85">
        <f>+MATCH(D1259,ARTICULOS!$F$10:$F$699,0)</f>
        <v/>
      </c>
      <c r="C1259" s="86">
        <f>+VLOOKUP(B1259,ARTICULOS!$D$10:$I$699,6)</f>
        <v/>
      </c>
      <c r="D1259" s="212" t="n"/>
      <c r="E1259" s="75">
        <f>+C1259&amp;F1259</f>
        <v/>
      </c>
      <c r="F1259" s="80" t="n"/>
      <c r="G1259" s="81" t="n"/>
      <c r="H1259" s="78" t="n"/>
      <c r="I1259" s="78" t="n"/>
      <c r="J1259" s="78" t="n"/>
    </row>
    <row r="1260">
      <c r="A1260" s="84">
        <f>ROW()-6</f>
        <v/>
      </c>
      <c r="B1260" s="85">
        <f>+MATCH(D1260,ARTICULOS!$F$10:$F$699,0)</f>
        <v/>
      </c>
      <c r="C1260" s="86">
        <f>+VLOOKUP(B1260,ARTICULOS!$D$10:$I$699,6)</f>
        <v/>
      </c>
      <c r="D1260" s="212" t="n"/>
      <c r="E1260" s="75">
        <f>+C1260&amp;F1260</f>
        <v/>
      </c>
      <c r="F1260" s="80" t="n"/>
      <c r="G1260" s="81" t="n"/>
      <c r="H1260" s="78" t="n"/>
      <c r="I1260" s="78" t="n"/>
      <c r="J1260" s="78" t="n"/>
    </row>
    <row r="1261">
      <c r="A1261" s="84">
        <f>ROW()-6</f>
        <v/>
      </c>
      <c r="B1261" s="85">
        <f>+MATCH(D1261,ARTICULOS!$F$10:$F$699,0)</f>
        <v/>
      </c>
      <c r="C1261" s="86">
        <f>+VLOOKUP(B1261,ARTICULOS!$D$10:$I$699,6)</f>
        <v/>
      </c>
      <c r="D1261" s="212" t="n"/>
      <c r="E1261" s="75">
        <f>+C1261&amp;F1261</f>
        <v/>
      </c>
      <c r="F1261" s="80" t="n"/>
      <c r="G1261" s="81" t="n"/>
      <c r="H1261" s="78" t="n"/>
      <c r="I1261" s="78" t="n"/>
      <c r="J1261" s="78" t="n"/>
    </row>
    <row r="1262">
      <c r="A1262" s="84">
        <f>ROW()-6</f>
        <v/>
      </c>
      <c r="B1262" s="85">
        <f>+MATCH(D1262,ARTICULOS!$F$10:$F$699,0)</f>
        <v/>
      </c>
      <c r="C1262" s="86">
        <f>+VLOOKUP(B1262,ARTICULOS!$D$10:$I$699,6)</f>
        <v/>
      </c>
      <c r="D1262" s="212" t="n"/>
      <c r="E1262" s="75">
        <f>+C1262&amp;F1262</f>
        <v/>
      </c>
      <c r="F1262" s="80" t="n"/>
      <c r="G1262" s="81" t="n"/>
      <c r="H1262" s="78" t="n"/>
      <c r="I1262" s="78" t="n"/>
      <c r="J1262" s="78" t="n"/>
    </row>
    <row r="1263">
      <c r="A1263" s="84">
        <f>ROW()-6</f>
        <v/>
      </c>
      <c r="B1263" s="85">
        <f>+MATCH(D1263,ARTICULOS!$F$10:$F$699,0)</f>
        <v/>
      </c>
      <c r="C1263" s="86">
        <f>+VLOOKUP(B1263,ARTICULOS!$D$10:$I$699,6)</f>
        <v/>
      </c>
      <c r="D1263" s="212" t="n"/>
      <c r="E1263" s="75">
        <f>+C1263&amp;F1263</f>
        <v/>
      </c>
      <c r="F1263" s="80" t="n"/>
      <c r="G1263" s="81" t="n"/>
      <c r="H1263" s="78" t="n"/>
      <c r="I1263" s="78" t="n"/>
      <c r="J1263" s="78" t="n"/>
    </row>
    <row r="1264">
      <c r="A1264" s="84">
        <f>ROW()-6</f>
        <v/>
      </c>
      <c r="B1264" s="85">
        <f>+MATCH(D1264,ARTICULOS!$F$10:$F$699,0)</f>
        <v/>
      </c>
      <c r="C1264" s="86">
        <f>+VLOOKUP(B1264,ARTICULOS!$D$10:$I$699,6)</f>
        <v/>
      </c>
      <c r="D1264" s="212" t="n"/>
      <c r="E1264" s="75">
        <f>+C1264&amp;F1264</f>
        <v/>
      </c>
      <c r="F1264" s="80" t="n"/>
      <c r="G1264" s="81" t="n"/>
      <c r="H1264" s="78" t="n"/>
      <c r="I1264" s="78" t="n"/>
      <c r="J1264" s="78" t="n"/>
    </row>
    <row r="1265">
      <c r="A1265" s="84">
        <f>ROW()-6</f>
        <v/>
      </c>
      <c r="B1265" s="85">
        <f>+MATCH(D1265,ARTICULOS!$F$10:$F$699,0)</f>
        <v/>
      </c>
      <c r="C1265" s="86">
        <f>+VLOOKUP(B1265,ARTICULOS!$D$10:$I$699,6)</f>
        <v/>
      </c>
      <c r="D1265" s="212" t="n"/>
      <c r="E1265" s="75">
        <f>+C1265&amp;F1265</f>
        <v/>
      </c>
      <c r="F1265" s="80" t="n"/>
      <c r="G1265" s="81" t="n"/>
      <c r="H1265" s="78" t="n"/>
      <c r="I1265" s="78" t="n"/>
      <c r="J1265" s="78" t="n"/>
    </row>
    <row r="1266">
      <c r="A1266" s="84">
        <f>ROW()-6</f>
        <v/>
      </c>
      <c r="B1266" s="85">
        <f>+MATCH(D1266,ARTICULOS!$F$10:$F$699,0)</f>
        <v/>
      </c>
      <c r="C1266" s="86">
        <f>+VLOOKUP(B1266,ARTICULOS!$D$10:$I$699,6)</f>
        <v/>
      </c>
      <c r="D1266" s="212" t="n"/>
      <c r="E1266" s="75">
        <f>+C1266&amp;F1266</f>
        <v/>
      </c>
      <c r="F1266" s="80" t="n"/>
      <c r="G1266" s="81" t="n"/>
      <c r="H1266" s="78" t="n"/>
      <c r="I1266" s="78" t="n"/>
      <c r="J1266" s="78" t="n"/>
    </row>
    <row r="1267">
      <c r="A1267" s="84">
        <f>ROW()-6</f>
        <v/>
      </c>
      <c r="B1267" s="85">
        <f>+MATCH(D1267,ARTICULOS!$F$10:$F$699,0)</f>
        <v/>
      </c>
      <c r="C1267" s="86">
        <f>+VLOOKUP(B1267,ARTICULOS!$D$10:$I$699,6)</f>
        <v/>
      </c>
      <c r="D1267" s="212" t="n"/>
      <c r="E1267" s="75">
        <f>+C1267&amp;F1267</f>
        <v/>
      </c>
      <c r="F1267" s="80" t="n"/>
      <c r="G1267" s="81" t="n"/>
      <c r="H1267" s="78" t="n"/>
      <c r="I1267" s="78" t="n"/>
      <c r="J1267" s="78" t="n"/>
    </row>
    <row r="1268">
      <c r="A1268" s="84">
        <f>ROW()-6</f>
        <v/>
      </c>
      <c r="B1268" s="85">
        <f>+MATCH(D1268,ARTICULOS!$F$10:$F$699,0)</f>
        <v/>
      </c>
      <c r="C1268" s="86">
        <f>+VLOOKUP(B1268,ARTICULOS!$D$10:$I$699,6)</f>
        <v/>
      </c>
      <c r="D1268" s="212" t="n"/>
      <c r="E1268" s="75">
        <f>+C1268&amp;F1268</f>
        <v/>
      </c>
      <c r="F1268" s="80" t="n"/>
      <c r="G1268" s="81" t="n"/>
      <c r="H1268" s="78" t="n"/>
      <c r="I1268" s="78" t="n"/>
      <c r="J1268" s="78" t="n"/>
    </row>
    <row r="1269">
      <c r="A1269" s="84">
        <f>ROW()-6</f>
        <v/>
      </c>
      <c r="B1269" s="85">
        <f>+MATCH(D1269,ARTICULOS!$F$10:$F$699,0)</f>
        <v/>
      </c>
      <c r="C1269" s="86">
        <f>+VLOOKUP(B1269,ARTICULOS!$D$10:$I$699,6)</f>
        <v/>
      </c>
      <c r="D1269" s="212" t="n"/>
      <c r="E1269" s="75">
        <f>+C1269&amp;F1269</f>
        <v/>
      </c>
      <c r="F1269" s="80" t="n"/>
      <c r="G1269" s="81" t="n"/>
      <c r="H1269" s="78" t="n"/>
      <c r="I1269" s="78" t="n"/>
      <c r="J1269" s="78" t="n"/>
    </row>
    <row r="1270">
      <c r="A1270" s="84">
        <f>ROW()-6</f>
        <v/>
      </c>
      <c r="B1270" s="85">
        <f>+MATCH(D1270,ARTICULOS!$F$10:$F$699,0)</f>
        <v/>
      </c>
      <c r="C1270" s="86">
        <f>+VLOOKUP(B1270,ARTICULOS!$D$10:$I$699,6)</f>
        <v/>
      </c>
      <c r="D1270" s="212" t="n"/>
      <c r="E1270" s="75">
        <f>+C1270&amp;F1270</f>
        <v/>
      </c>
      <c r="F1270" s="80" t="n"/>
      <c r="G1270" s="81" t="n"/>
      <c r="H1270" s="78" t="n"/>
      <c r="I1270" s="78" t="n"/>
      <c r="J1270" s="78" t="n"/>
    </row>
    <row r="1271">
      <c r="A1271" s="84">
        <f>ROW()-6</f>
        <v/>
      </c>
      <c r="B1271" s="85">
        <f>+MATCH(D1271,ARTICULOS!$F$10:$F$699,0)</f>
        <v/>
      </c>
      <c r="C1271" s="86">
        <f>+VLOOKUP(B1271,ARTICULOS!$D$10:$I$699,6)</f>
        <v/>
      </c>
      <c r="D1271" s="212" t="n"/>
      <c r="E1271" s="75">
        <f>+C1271&amp;F1271</f>
        <v/>
      </c>
      <c r="F1271" s="80" t="n"/>
      <c r="G1271" s="81" t="n"/>
      <c r="H1271" s="78" t="n"/>
      <c r="I1271" s="78" t="n"/>
      <c r="J1271" s="78" t="n"/>
    </row>
    <row r="1272">
      <c r="A1272" s="84">
        <f>ROW()-6</f>
        <v/>
      </c>
      <c r="B1272" s="85">
        <f>+MATCH(D1272,ARTICULOS!$F$10:$F$699,0)</f>
        <v/>
      </c>
      <c r="C1272" s="86">
        <f>+VLOOKUP(B1272,ARTICULOS!$D$10:$I$699,6)</f>
        <v/>
      </c>
      <c r="D1272" s="212" t="n"/>
      <c r="E1272" s="75">
        <f>+C1272&amp;F1272</f>
        <v/>
      </c>
      <c r="F1272" s="80" t="n"/>
      <c r="G1272" s="81" t="n"/>
      <c r="H1272" s="78" t="n"/>
      <c r="I1272" s="78" t="n"/>
      <c r="J1272" s="78" t="n"/>
    </row>
    <row r="1273">
      <c r="A1273" s="84">
        <f>ROW()-6</f>
        <v/>
      </c>
      <c r="B1273" s="85">
        <f>+MATCH(D1273,ARTICULOS!$F$10:$F$699,0)</f>
        <v/>
      </c>
      <c r="C1273" s="86">
        <f>+VLOOKUP(B1273,ARTICULOS!$D$10:$I$699,6)</f>
        <v/>
      </c>
      <c r="D1273" s="212" t="n"/>
      <c r="E1273" s="75">
        <f>+C1273&amp;F1273</f>
        <v/>
      </c>
      <c r="F1273" s="80" t="n"/>
      <c r="G1273" s="81" t="n"/>
      <c r="H1273" s="78" t="n"/>
      <c r="I1273" s="78" t="n"/>
      <c r="J1273" s="78" t="n"/>
    </row>
    <row r="1274">
      <c r="A1274" s="84">
        <f>ROW()-6</f>
        <v/>
      </c>
      <c r="B1274" s="85">
        <f>+MATCH(D1274,ARTICULOS!$F$10:$F$699,0)</f>
        <v/>
      </c>
      <c r="C1274" s="86">
        <f>+VLOOKUP(B1274,ARTICULOS!$D$10:$I$699,6)</f>
        <v/>
      </c>
      <c r="D1274" s="212" t="n"/>
      <c r="E1274" s="75">
        <f>+C1274&amp;F1274</f>
        <v/>
      </c>
      <c r="F1274" s="80" t="n"/>
      <c r="G1274" s="81" t="n"/>
      <c r="H1274" s="78" t="n"/>
      <c r="I1274" s="78" t="n"/>
      <c r="J1274" s="78" t="n"/>
    </row>
    <row r="1275">
      <c r="A1275" s="84">
        <f>ROW()-6</f>
        <v/>
      </c>
      <c r="B1275" s="85">
        <f>+MATCH(D1275,ARTICULOS!$F$10:$F$699,0)</f>
        <v/>
      </c>
      <c r="C1275" s="86">
        <f>+VLOOKUP(B1275,ARTICULOS!$D$10:$I$699,6)</f>
        <v/>
      </c>
      <c r="D1275" s="212" t="n"/>
      <c r="E1275" s="75">
        <f>+C1275&amp;F1275</f>
        <v/>
      </c>
      <c r="F1275" s="80" t="n"/>
      <c r="G1275" s="81" t="n"/>
      <c r="H1275" s="78" t="n"/>
      <c r="I1275" s="78" t="n"/>
      <c r="J1275" s="78" t="n"/>
    </row>
    <row r="1276">
      <c r="A1276" s="84">
        <f>ROW()-6</f>
        <v/>
      </c>
      <c r="B1276" s="85">
        <f>+MATCH(D1276,ARTICULOS!$F$10:$F$699,0)</f>
        <v/>
      </c>
      <c r="C1276" s="86">
        <f>+VLOOKUP(B1276,ARTICULOS!$D$10:$I$699,6)</f>
        <v/>
      </c>
      <c r="D1276" s="212" t="n"/>
      <c r="E1276" s="75">
        <f>+C1276&amp;F1276</f>
        <v/>
      </c>
      <c r="F1276" s="80" t="n"/>
      <c r="G1276" s="81" t="n"/>
      <c r="H1276" s="78" t="n"/>
      <c r="I1276" s="78" t="n"/>
      <c r="J1276" s="78" t="n"/>
    </row>
    <row r="1277">
      <c r="A1277" s="84">
        <f>ROW()-6</f>
        <v/>
      </c>
      <c r="B1277" s="85">
        <f>+MATCH(D1277,ARTICULOS!$F$10:$F$699,0)</f>
        <v/>
      </c>
      <c r="C1277" s="86">
        <f>+VLOOKUP(B1277,ARTICULOS!$D$10:$I$699,6)</f>
        <v/>
      </c>
      <c r="D1277" s="212" t="n"/>
      <c r="E1277" s="75">
        <f>+C1277&amp;F1277</f>
        <v/>
      </c>
      <c r="F1277" s="80" t="n"/>
      <c r="G1277" s="81" t="n"/>
      <c r="H1277" s="78" t="n"/>
      <c r="I1277" s="78" t="n"/>
      <c r="J1277" s="78" t="n"/>
    </row>
    <row r="1278">
      <c r="A1278" s="84">
        <f>ROW()-6</f>
        <v/>
      </c>
      <c r="B1278" s="85">
        <f>+MATCH(D1278,ARTICULOS!$F$10:$F$699,0)</f>
        <v/>
      </c>
      <c r="C1278" s="86">
        <f>+VLOOKUP(B1278,ARTICULOS!$D$10:$I$699,6)</f>
        <v/>
      </c>
      <c r="D1278" s="212" t="n"/>
      <c r="E1278" s="75">
        <f>+C1278&amp;F1278</f>
        <v/>
      </c>
      <c r="F1278" s="80" t="n"/>
      <c r="G1278" s="81" t="n"/>
      <c r="H1278" s="78" t="n"/>
      <c r="I1278" s="78" t="n"/>
      <c r="J1278" s="78" t="n"/>
    </row>
    <row r="1279">
      <c r="A1279" s="84">
        <f>ROW()-6</f>
        <v/>
      </c>
      <c r="B1279" s="85">
        <f>+MATCH(D1279,ARTICULOS!$F$10:$F$699,0)</f>
        <v/>
      </c>
      <c r="C1279" s="86">
        <f>+VLOOKUP(B1279,ARTICULOS!$D$10:$I$699,6)</f>
        <v/>
      </c>
      <c r="D1279" s="212" t="n"/>
      <c r="E1279" s="75">
        <f>+C1279&amp;F1279</f>
        <v/>
      </c>
      <c r="F1279" s="80" t="n"/>
      <c r="G1279" s="81" t="n"/>
      <c r="H1279" s="78" t="n"/>
      <c r="I1279" s="78" t="n"/>
      <c r="J1279" s="78" t="n"/>
    </row>
    <row r="1280">
      <c r="A1280" s="84">
        <f>ROW()-6</f>
        <v/>
      </c>
      <c r="B1280" s="85">
        <f>+MATCH(D1280,ARTICULOS!$F$10:$F$699,0)</f>
        <v/>
      </c>
      <c r="C1280" s="86">
        <f>+VLOOKUP(B1280,ARTICULOS!$D$10:$I$699,6)</f>
        <v/>
      </c>
      <c r="D1280" s="212" t="n"/>
      <c r="E1280" s="75">
        <f>+C1280&amp;F1280</f>
        <v/>
      </c>
      <c r="F1280" s="80" t="n"/>
      <c r="G1280" s="81" t="n"/>
      <c r="H1280" s="78" t="n"/>
      <c r="I1280" s="78" t="n"/>
      <c r="J1280" s="78" t="n"/>
    </row>
    <row r="1281">
      <c r="A1281" s="84">
        <f>ROW()-6</f>
        <v/>
      </c>
      <c r="B1281" s="85">
        <f>+MATCH(D1281,ARTICULOS!$F$10:$F$699,0)</f>
        <v/>
      </c>
      <c r="C1281" s="86">
        <f>+VLOOKUP(B1281,ARTICULOS!$D$10:$I$699,6)</f>
        <v/>
      </c>
      <c r="D1281" s="212" t="n"/>
      <c r="E1281" s="75">
        <f>+C1281&amp;F1281</f>
        <v/>
      </c>
      <c r="F1281" s="80" t="n"/>
      <c r="G1281" s="81" t="n"/>
      <c r="H1281" s="78" t="n"/>
      <c r="I1281" s="78" t="n"/>
      <c r="J1281" s="78" t="n"/>
    </row>
    <row r="1282">
      <c r="A1282" s="84">
        <f>ROW()-6</f>
        <v/>
      </c>
      <c r="B1282" s="85">
        <f>+MATCH(D1282,ARTICULOS!$F$10:$F$699,0)</f>
        <v/>
      </c>
      <c r="C1282" s="86">
        <f>+VLOOKUP(B1282,ARTICULOS!$D$10:$I$699,6)</f>
        <v/>
      </c>
      <c r="D1282" s="212" t="n"/>
      <c r="E1282" s="75">
        <f>+C1282&amp;F1282</f>
        <v/>
      </c>
      <c r="F1282" s="80" t="n"/>
      <c r="G1282" s="81" t="n"/>
      <c r="H1282" s="78" t="n"/>
      <c r="I1282" s="78" t="n"/>
      <c r="J1282" s="78" t="n"/>
    </row>
    <row r="1283">
      <c r="A1283" s="84">
        <f>ROW()-6</f>
        <v/>
      </c>
      <c r="B1283" s="85">
        <f>+MATCH(D1283,ARTICULOS!$F$10:$F$699,0)</f>
        <v/>
      </c>
      <c r="C1283" s="86">
        <f>+VLOOKUP(B1283,ARTICULOS!$D$10:$I$699,6)</f>
        <v/>
      </c>
      <c r="D1283" s="212" t="n"/>
      <c r="E1283" s="75">
        <f>+C1283&amp;F1283</f>
        <v/>
      </c>
      <c r="F1283" s="80" t="n"/>
      <c r="G1283" s="81" t="n"/>
      <c r="H1283" s="78" t="n"/>
      <c r="I1283" s="78" t="n"/>
      <c r="J1283" s="78" t="n"/>
    </row>
    <row r="1284">
      <c r="A1284" s="84">
        <f>ROW()-6</f>
        <v/>
      </c>
      <c r="B1284" s="85">
        <f>+MATCH(D1284,ARTICULOS!$F$10:$F$699,0)</f>
        <v/>
      </c>
      <c r="C1284" s="86">
        <f>+VLOOKUP(B1284,ARTICULOS!$D$10:$I$699,6)</f>
        <v/>
      </c>
      <c r="D1284" s="212" t="n"/>
      <c r="E1284" s="75">
        <f>+C1284&amp;F1284</f>
        <v/>
      </c>
      <c r="F1284" s="80" t="n"/>
      <c r="G1284" s="81" t="n"/>
      <c r="H1284" s="78" t="n"/>
      <c r="I1284" s="78" t="n"/>
      <c r="J1284" s="78" t="n"/>
    </row>
    <row r="1285">
      <c r="A1285" s="84">
        <f>ROW()-6</f>
        <v/>
      </c>
      <c r="B1285" s="85">
        <f>+MATCH(D1285,ARTICULOS!$F$10:$F$699,0)</f>
        <v/>
      </c>
      <c r="C1285" s="86">
        <f>+VLOOKUP(B1285,ARTICULOS!$D$10:$I$699,6)</f>
        <v/>
      </c>
      <c r="D1285" s="212" t="n"/>
      <c r="E1285" s="75">
        <f>+C1285&amp;F1285</f>
        <v/>
      </c>
      <c r="F1285" s="80" t="n"/>
      <c r="G1285" s="81" t="n"/>
      <c r="H1285" s="78" t="n"/>
      <c r="I1285" s="78" t="n"/>
      <c r="J1285" s="78" t="n"/>
    </row>
    <row r="1286">
      <c r="A1286" s="84">
        <f>ROW()-6</f>
        <v/>
      </c>
      <c r="B1286" s="85">
        <f>+MATCH(D1286,ARTICULOS!$F$10:$F$699,0)</f>
        <v/>
      </c>
      <c r="C1286" s="86">
        <f>+VLOOKUP(B1286,ARTICULOS!$D$10:$I$699,6)</f>
        <v/>
      </c>
      <c r="D1286" s="212" t="n"/>
      <c r="E1286" s="75">
        <f>+C1286&amp;F1286</f>
        <v/>
      </c>
      <c r="F1286" s="80" t="n"/>
      <c r="G1286" s="81" t="n"/>
      <c r="H1286" s="78" t="n"/>
      <c r="I1286" s="78" t="n"/>
      <c r="J1286" s="78" t="n"/>
    </row>
    <row r="1287">
      <c r="A1287" s="84">
        <f>ROW()-6</f>
        <v/>
      </c>
      <c r="B1287" s="85">
        <f>+MATCH(D1287,ARTICULOS!$F$10:$F$699,0)</f>
        <v/>
      </c>
      <c r="C1287" s="86">
        <f>+VLOOKUP(B1287,ARTICULOS!$D$10:$I$699,6)</f>
        <v/>
      </c>
      <c r="D1287" s="212" t="n"/>
      <c r="E1287" s="75">
        <f>+C1287&amp;F1287</f>
        <v/>
      </c>
      <c r="F1287" s="80" t="n"/>
      <c r="G1287" s="81" t="n"/>
      <c r="H1287" s="78" t="n"/>
      <c r="I1287" s="78" t="n"/>
      <c r="J1287" s="78" t="n"/>
    </row>
    <row r="1288">
      <c r="A1288" s="84">
        <f>ROW()-6</f>
        <v/>
      </c>
      <c r="B1288" s="85">
        <f>+MATCH(D1288,ARTICULOS!$F$10:$F$699,0)</f>
        <v/>
      </c>
      <c r="C1288" s="86">
        <f>+VLOOKUP(B1288,ARTICULOS!$D$10:$I$699,6)</f>
        <v/>
      </c>
      <c r="D1288" s="212" t="n"/>
      <c r="E1288" s="75">
        <f>+C1288&amp;F1288</f>
        <v/>
      </c>
      <c r="F1288" s="80" t="n"/>
      <c r="G1288" s="81" t="n"/>
      <c r="H1288" s="78" t="n"/>
      <c r="I1288" s="78" t="n"/>
      <c r="J1288" s="78" t="n"/>
    </row>
    <row r="1289">
      <c r="A1289" s="84">
        <f>ROW()-6</f>
        <v/>
      </c>
      <c r="B1289" s="85">
        <f>+MATCH(D1289,ARTICULOS!$F$10:$F$699,0)</f>
        <v/>
      </c>
      <c r="C1289" s="86">
        <f>+VLOOKUP(B1289,ARTICULOS!$D$10:$I$699,6)</f>
        <v/>
      </c>
      <c r="D1289" s="212" t="n"/>
      <c r="E1289" s="75">
        <f>+C1289&amp;F1289</f>
        <v/>
      </c>
      <c r="F1289" s="80" t="n"/>
      <c r="G1289" s="81" t="n"/>
      <c r="H1289" s="78" t="n"/>
      <c r="I1289" s="78" t="n"/>
      <c r="J1289" s="78" t="n"/>
    </row>
    <row r="1290">
      <c r="A1290" s="84">
        <f>ROW()-6</f>
        <v/>
      </c>
      <c r="B1290" s="85">
        <f>+MATCH(D1290,ARTICULOS!$F$10:$F$699,0)</f>
        <v/>
      </c>
      <c r="C1290" s="86">
        <f>+VLOOKUP(B1290,ARTICULOS!$D$10:$I$699,6)</f>
        <v/>
      </c>
      <c r="D1290" s="212" t="n"/>
      <c r="E1290" s="75">
        <f>+C1290&amp;F1290</f>
        <v/>
      </c>
      <c r="F1290" s="80" t="n"/>
      <c r="G1290" s="81" t="n"/>
      <c r="H1290" s="78" t="n"/>
      <c r="I1290" s="78" t="n"/>
      <c r="J1290" s="78" t="n"/>
    </row>
    <row r="1291">
      <c r="A1291" s="84">
        <f>ROW()-6</f>
        <v/>
      </c>
      <c r="B1291" s="85">
        <f>+MATCH(D1291,ARTICULOS!$F$10:$F$699,0)</f>
        <v/>
      </c>
      <c r="C1291" s="86">
        <f>+VLOOKUP(B1291,ARTICULOS!$D$10:$I$699,6)</f>
        <v/>
      </c>
      <c r="D1291" s="212" t="n"/>
      <c r="E1291" s="75">
        <f>+C1291&amp;F1291</f>
        <v/>
      </c>
      <c r="F1291" s="80" t="n"/>
      <c r="G1291" s="81" t="n"/>
      <c r="H1291" s="78" t="n"/>
      <c r="I1291" s="78" t="n"/>
      <c r="J1291" s="78" t="n"/>
    </row>
    <row r="1292">
      <c r="A1292" s="84">
        <f>ROW()-6</f>
        <v/>
      </c>
      <c r="B1292" s="85">
        <f>+MATCH(D1292,ARTICULOS!$F$10:$F$699,0)</f>
        <v/>
      </c>
      <c r="C1292" s="86">
        <f>+VLOOKUP(B1292,ARTICULOS!$D$10:$I$699,6)</f>
        <v/>
      </c>
      <c r="D1292" s="212" t="n"/>
      <c r="E1292" s="75">
        <f>+C1292&amp;F1292</f>
        <v/>
      </c>
      <c r="F1292" s="80" t="n"/>
      <c r="G1292" s="81" t="n"/>
      <c r="H1292" s="78" t="n"/>
      <c r="I1292" s="78" t="n"/>
      <c r="J1292" s="78" t="n"/>
    </row>
    <row r="1293">
      <c r="A1293" s="84">
        <f>ROW()-6</f>
        <v/>
      </c>
      <c r="B1293" s="85">
        <f>+MATCH(D1293,ARTICULOS!$F$10:$F$699,0)</f>
        <v/>
      </c>
      <c r="C1293" s="86">
        <f>+VLOOKUP(B1293,ARTICULOS!$D$10:$I$699,6)</f>
        <v/>
      </c>
      <c r="D1293" s="212" t="n"/>
      <c r="E1293" s="75">
        <f>+C1293&amp;F1293</f>
        <v/>
      </c>
      <c r="F1293" s="80" t="n"/>
      <c r="G1293" s="81" t="n"/>
      <c r="H1293" s="78" t="n"/>
      <c r="I1293" s="78" t="n"/>
      <c r="J1293" s="78" t="n"/>
    </row>
    <row r="1294">
      <c r="A1294" s="84">
        <f>ROW()-6</f>
        <v/>
      </c>
      <c r="B1294" s="85">
        <f>+MATCH(D1294,ARTICULOS!$F$10:$F$699,0)</f>
        <v/>
      </c>
      <c r="C1294" s="86">
        <f>+VLOOKUP(B1294,ARTICULOS!$D$10:$I$699,6)</f>
        <v/>
      </c>
      <c r="D1294" s="212" t="n"/>
      <c r="E1294" s="75">
        <f>+C1294&amp;F1294</f>
        <v/>
      </c>
      <c r="F1294" s="80" t="n"/>
      <c r="G1294" s="81" t="n"/>
      <c r="H1294" s="78" t="n"/>
      <c r="I1294" s="78" t="n"/>
      <c r="J1294" s="78" t="n"/>
    </row>
    <row r="1295">
      <c r="A1295" s="84">
        <f>ROW()-6</f>
        <v/>
      </c>
      <c r="B1295" s="85">
        <f>+MATCH(D1295,ARTICULOS!$F$10:$F$699,0)</f>
        <v/>
      </c>
      <c r="C1295" s="86">
        <f>+VLOOKUP(B1295,ARTICULOS!$D$10:$I$699,6)</f>
        <v/>
      </c>
      <c r="D1295" s="212" t="n"/>
      <c r="E1295" s="75">
        <f>+C1295&amp;F1295</f>
        <v/>
      </c>
      <c r="F1295" s="80" t="n"/>
      <c r="G1295" s="81" t="n"/>
      <c r="H1295" s="78" t="n"/>
      <c r="I1295" s="78" t="n"/>
      <c r="J1295" s="78" t="n"/>
    </row>
    <row r="1296">
      <c r="A1296" s="84">
        <f>ROW()-6</f>
        <v/>
      </c>
      <c r="B1296" s="85">
        <f>+MATCH(D1296,ARTICULOS!$F$10:$F$699,0)</f>
        <v/>
      </c>
      <c r="C1296" s="86">
        <f>+VLOOKUP(B1296,ARTICULOS!$D$10:$I$699,6)</f>
        <v/>
      </c>
      <c r="D1296" s="212" t="n"/>
      <c r="E1296" s="75">
        <f>+C1296&amp;F1296</f>
        <v/>
      </c>
      <c r="F1296" s="80" t="n"/>
      <c r="G1296" s="81" t="n"/>
      <c r="H1296" s="78" t="n"/>
      <c r="I1296" s="78" t="n"/>
      <c r="J1296" s="78" t="n"/>
    </row>
    <row r="1297">
      <c r="A1297" s="84">
        <f>ROW()-6</f>
        <v/>
      </c>
      <c r="B1297" s="85">
        <f>+MATCH(D1297,ARTICULOS!$F$10:$F$699,0)</f>
        <v/>
      </c>
      <c r="C1297" s="86">
        <f>+VLOOKUP(B1297,ARTICULOS!$D$10:$I$699,6)</f>
        <v/>
      </c>
      <c r="D1297" s="212" t="n"/>
      <c r="E1297" s="75">
        <f>+C1297&amp;F1297</f>
        <v/>
      </c>
      <c r="F1297" s="80" t="n"/>
      <c r="G1297" s="81" t="n"/>
      <c r="H1297" s="78" t="n"/>
      <c r="I1297" s="78" t="n"/>
      <c r="J1297" s="78" t="n"/>
    </row>
    <row r="1298">
      <c r="A1298" s="84">
        <f>ROW()-6</f>
        <v/>
      </c>
      <c r="B1298" s="85">
        <f>+MATCH(D1298,ARTICULOS!$F$10:$F$699,0)</f>
        <v/>
      </c>
      <c r="C1298" s="86">
        <f>+VLOOKUP(B1298,ARTICULOS!$D$10:$I$699,6)</f>
        <v/>
      </c>
      <c r="D1298" s="212" t="n"/>
      <c r="E1298" s="75">
        <f>+C1298&amp;F1298</f>
        <v/>
      </c>
      <c r="F1298" s="80" t="n"/>
      <c r="G1298" s="81" t="n"/>
      <c r="H1298" s="78" t="n"/>
      <c r="I1298" s="78" t="n"/>
      <c r="J1298" s="78" t="n"/>
    </row>
    <row r="1299">
      <c r="A1299" s="84">
        <f>ROW()-6</f>
        <v/>
      </c>
      <c r="B1299" s="85">
        <f>+MATCH(D1299,ARTICULOS!$F$10:$F$699,0)</f>
        <v/>
      </c>
      <c r="C1299" s="86">
        <f>+VLOOKUP(B1299,ARTICULOS!$D$10:$I$699,6)</f>
        <v/>
      </c>
      <c r="D1299" s="212" t="n"/>
      <c r="E1299" s="75">
        <f>+C1299&amp;F1299</f>
        <v/>
      </c>
      <c r="F1299" s="80" t="n"/>
      <c r="G1299" s="81" t="n"/>
      <c r="H1299" s="78" t="n"/>
      <c r="I1299" s="78" t="n"/>
      <c r="J1299" s="78" t="n"/>
    </row>
    <row r="1300">
      <c r="A1300" s="84">
        <f>ROW()-6</f>
        <v/>
      </c>
      <c r="B1300" s="85">
        <f>+MATCH(D1300,ARTICULOS!$F$10:$F$699,0)</f>
        <v/>
      </c>
      <c r="C1300" s="86">
        <f>+VLOOKUP(B1300,ARTICULOS!$D$10:$I$699,6)</f>
        <v/>
      </c>
      <c r="D1300" s="212" t="n"/>
      <c r="E1300" s="75">
        <f>+C1300&amp;F1300</f>
        <v/>
      </c>
      <c r="F1300" s="80" t="n"/>
      <c r="G1300" s="81" t="n"/>
      <c r="H1300" s="78" t="n"/>
      <c r="I1300" s="78" t="n"/>
      <c r="J1300" s="78" t="n"/>
    </row>
    <row r="1301">
      <c r="A1301" s="84">
        <f>ROW()-6</f>
        <v/>
      </c>
      <c r="B1301" s="85">
        <f>+MATCH(D1301,ARTICULOS!$F$10:$F$699,0)</f>
        <v/>
      </c>
      <c r="C1301" s="86">
        <f>+VLOOKUP(B1301,ARTICULOS!$D$10:$I$699,6)</f>
        <v/>
      </c>
      <c r="D1301" s="212" t="n"/>
      <c r="E1301" s="75">
        <f>+C1301&amp;F1301</f>
        <v/>
      </c>
      <c r="F1301" s="80" t="n"/>
      <c r="G1301" s="81" t="n"/>
      <c r="H1301" s="78" t="n"/>
      <c r="I1301" s="78" t="n"/>
      <c r="J1301" s="78" t="n"/>
    </row>
    <row r="1302">
      <c r="A1302" s="84">
        <f>ROW()-6</f>
        <v/>
      </c>
      <c r="B1302" s="85">
        <f>+MATCH(D1302,ARTICULOS!$F$10:$F$699,0)</f>
        <v/>
      </c>
      <c r="C1302" s="86">
        <f>+VLOOKUP(B1302,ARTICULOS!$D$10:$I$699,6)</f>
        <v/>
      </c>
      <c r="D1302" s="212" t="n"/>
      <c r="E1302" s="75">
        <f>+C1302&amp;F1302</f>
        <v/>
      </c>
      <c r="F1302" s="80" t="n"/>
      <c r="G1302" s="81" t="n"/>
      <c r="H1302" s="78" t="n"/>
      <c r="I1302" s="78" t="n"/>
      <c r="J1302" s="78" t="n"/>
    </row>
    <row r="1303">
      <c r="A1303" s="84">
        <f>ROW()-6</f>
        <v/>
      </c>
      <c r="B1303" s="85">
        <f>+MATCH(D1303,ARTICULOS!$F$10:$F$699,0)</f>
        <v/>
      </c>
      <c r="C1303" s="86">
        <f>+VLOOKUP(B1303,ARTICULOS!$D$10:$I$699,6)</f>
        <v/>
      </c>
      <c r="D1303" s="212" t="n"/>
      <c r="E1303" s="75">
        <f>+C1303&amp;F1303</f>
        <v/>
      </c>
      <c r="F1303" s="80" t="n"/>
      <c r="G1303" s="81" t="n"/>
      <c r="H1303" s="78" t="n"/>
      <c r="I1303" s="78" t="n"/>
      <c r="J1303" s="78" t="n"/>
    </row>
    <row r="1304">
      <c r="A1304" s="84">
        <f>ROW()-6</f>
        <v/>
      </c>
      <c r="B1304" s="85">
        <f>+MATCH(D1304,ARTICULOS!$F$10:$F$699,0)</f>
        <v/>
      </c>
      <c r="C1304" s="86">
        <f>+VLOOKUP(B1304,ARTICULOS!$D$10:$I$699,6)</f>
        <v/>
      </c>
      <c r="D1304" s="212" t="n"/>
      <c r="E1304" s="75">
        <f>+C1304&amp;F1304</f>
        <v/>
      </c>
      <c r="F1304" s="80" t="n"/>
      <c r="G1304" s="81" t="n"/>
      <c r="H1304" s="78" t="n"/>
      <c r="I1304" s="78" t="n"/>
      <c r="J1304" s="78" t="n"/>
    </row>
    <row r="1305">
      <c r="A1305" s="84">
        <f>ROW()-6</f>
        <v/>
      </c>
      <c r="B1305" s="85">
        <f>+MATCH(D1305,ARTICULOS!$F$10:$F$699,0)</f>
        <v/>
      </c>
      <c r="C1305" s="86">
        <f>+VLOOKUP(B1305,ARTICULOS!$D$10:$I$699,6)</f>
        <v/>
      </c>
      <c r="D1305" s="212" t="n"/>
      <c r="E1305" s="75">
        <f>+C1305&amp;F1305</f>
        <v/>
      </c>
      <c r="F1305" s="80" t="n"/>
      <c r="G1305" s="81" t="n"/>
      <c r="H1305" s="78" t="n"/>
      <c r="I1305" s="78" t="n"/>
      <c r="J1305" s="78" t="n"/>
    </row>
    <row r="1306">
      <c r="A1306" s="84">
        <f>ROW()-6</f>
        <v/>
      </c>
      <c r="B1306" s="85">
        <f>+MATCH(D1306,ARTICULOS!$F$10:$F$699,0)</f>
        <v/>
      </c>
      <c r="C1306" s="86">
        <f>+VLOOKUP(B1306,ARTICULOS!$D$10:$I$699,6)</f>
        <v/>
      </c>
      <c r="D1306" s="212" t="n"/>
      <c r="E1306" s="75">
        <f>+C1306&amp;F1306</f>
        <v/>
      </c>
      <c r="F1306" s="80" t="n"/>
      <c r="G1306" s="81" t="n"/>
      <c r="H1306" s="78" t="n"/>
      <c r="I1306" s="78" t="n"/>
      <c r="J1306" s="78" t="n"/>
    </row>
    <row r="1307">
      <c r="A1307" s="84">
        <f>ROW()-6</f>
        <v/>
      </c>
      <c r="B1307" s="85">
        <f>+MATCH(D1307,ARTICULOS!$F$10:$F$699,0)</f>
        <v/>
      </c>
      <c r="C1307" s="86">
        <f>+VLOOKUP(B1307,ARTICULOS!$D$10:$I$699,6)</f>
        <v/>
      </c>
      <c r="D1307" s="212" t="n"/>
      <c r="E1307" s="75">
        <f>+C1307&amp;F1307</f>
        <v/>
      </c>
      <c r="F1307" s="80" t="n"/>
      <c r="G1307" s="81" t="n"/>
      <c r="H1307" s="78" t="n"/>
      <c r="I1307" s="78" t="n"/>
      <c r="J1307" s="78" t="n"/>
    </row>
    <row r="1308">
      <c r="A1308" s="84">
        <f>ROW()-6</f>
        <v/>
      </c>
      <c r="B1308" s="85">
        <f>+MATCH(D1308,ARTICULOS!$F$10:$F$699,0)</f>
        <v/>
      </c>
      <c r="C1308" s="86">
        <f>+VLOOKUP(B1308,ARTICULOS!$D$10:$I$699,6)</f>
        <v/>
      </c>
      <c r="D1308" s="212" t="n"/>
      <c r="E1308" s="75">
        <f>+C1308&amp;F1308</f>
        <v/>
      </c>
      <c r="F1308" s="80" t="n"/>
      <c r="G1308" s="81" t="n"/>
      <c r="H1308" s="78" t="n"/>
      <c r="I1308" s="78" t="n"/>
      <c r="J1308" s="78" t="n"/>
    </row>
    <row r="1309">
      <c r="A1309" s="84">
        <f>ROW()-6</f>
        <v/>
      </c>
      <c r="B1309" s="85">
        <f>+MATCH(D1309,ARTICULOS!$F$10:$F$699,0)</f>
        <v/>
      </c>
      <c r="C1309" s="86">
        <f>+VLOOKUP(B1309,ARTICULOS!$D$10:$I$699,6)</f>
        <v/>
      </c>
      <c r="D1309" s="212" t="n"/>
      <c r="E1309" s="75">
        <f>+C1309&amp;F1309</f>
        <v/>
      </c>
      <c r="F1309" s="80" t="n"/>
      <c r="G1309" s="81" t="n"/>
      <c r="H1309" s="78" t="n"/>
      <c r="I1309" s="78" t="n"/>
      <c r="J1309" s="78" t="n"/>
    </row>
    <row r="1310">
      <c r="A1310" s="84">
        <f>ROW()-6</f>
        <v/>
      </c>
      <c r="B1310" s="85">
        <f>+MATCH(D1310,ARTICULOS!$F$10:$F$699,0)</f>
        <v/>
      </c>
      <c r="C1310" s="86">
        <f>+VLOOKUP(B1310,ARTICULOS!$D$10:$I$699,6)</f>
        <v/>
      </c>
      <c r="D1310" s="212" t="n"/>
      <c r="E1310" s="75">
        <f>+C1310&amp;F1310</f>
        <v/>
      </c>
      <c r="F1310" s="80" t="n"/>
      <c r="G1310" s="81" t="n"/>
      <c r="H1310" s="78" t="n"/>
      <c r="I1310" s="78" t="n"/>
      <c r="J1310" s="78" t="n"/>
    </row>
    <row r="1311">
      <c r="A1311" s="84">
        <f>ROW()-6</f>
        <v/>
      </c>
      <c r="B1311" s="85">
        <f>+MATCH(D1311,ARTICULOS!$F$10:$F$699,0)</f>
        <v/>
      </c>
      <c r="C1311" s="86">
        <f>+VLOOKUP(B1311,ARTICULOS!$D$10:$I$699,6)</f>
        <v/>
      </c>
      <c r="D1311" s="212" t="n"/>
      <c r="E1311" s="75">
        <f>+C1311&amp;F1311</f>
        <v/>
      </c>
      <c r="F1311" s="80" t="n"/>
      <c r="G1311" s="81" t="n"/>
      <c r="H1311" s="78" t="n"/>
      <c r="I1311" s="78" t="n"/>
      <c r="J1311" s="78" t="n"/>
    </row>
    <row r="1312">
      <c r="A1312" s="84">
        <f>ROW()-6</f>
        <v/>
      </c>
      <c r="B1312" s="85">
        <f>+MATCH(D1312,ARTICULOS!$F$10:$F$699,0)</f>
        <v/>
      </c>
      <c r="C1312" s="86">
        <f>+VLOOKUP(B1312,ARTICULOS!$D$10:$I$699,6)</f>
        <v/>
      </c>
      <c r="D1312" s="212" t="n"/>
      <c r="E1312" s="75">
        <f>+C1312&amp;F1312</f>
        <v/>
      </c>
      <c r="F1312" s="80" t="n"/>
      <c r="G1312" s="81" t="n"/>
      <c r="H1312" s="78" t="n"/>
      <c r="I1312" s="78" t="n"/>
      <c r="J1312" s="78" t="n"/>
    </row>
    <row r="1313">
      <c r="A1313" s="84">
        <f>ROW()-6</f>
        <v/>
      </c>
      <c r="B1313" s="85">
        <f>+MATCH(D1313,ARTICULOS!$F$10:$F$699,0)</f>
        <v/>
      </c>
      <c r="C1313" s="86">
        <f>+VLOOKUP(B1313,ARTICULOS!$D$10:$I$699,6)</f>
        <v/>
      </c>
      <c r="D1313" s="212" t="n"/>
      <c r="E1313" s="75">
        <f>+C1313&amp;F1313</f>
        <v/>
      </c>
      <c r="F1313" s="80" t="n"/>
      <c r="G1313" s="81" t="n"/>
      <c r="H1313" s="78" t="n"/>
      <c r="I1313" s="78" t="n"/>
      <c r="J1313" s="78" t="n"/>
    </row>
    <row r="1314">
      <c r="A1314" s="84">
        <f>ROW()-6</f>
        <v/>
      </c>
      <c r="B1314" s="85">
        <f>+MATCH(D1314,ARTICULOS!$F$10:$F$699,0)</f>
        <v/>
      </c>
      <c r="C1314" s="86">
        <f>+VLOOKUP(B1314,ARTICULOS!$D$10:$I$699,6)</f>
        <v/>
      </c>
      <c r="D1314" s="212" t="n"/>
      <c r="E1314" s="75">
        <f>+C1314&amp;F1314</f>
        <v/>
      </c>
      <c r="F1314" s="80" t="n"/>
      <c r="G1314" s="81" t="n"/>
      <c r="H1314" s="78" t="n"/>
      <c r="I1314" s="78" t="n"/>
      <c r="J1314" s="78" t="n"/>
    </row>
    <row r="1315">
      <c r="A1315" s="84">
        <f>ROW()-6</f>
        <v/>
      </c>
      <c r="B1315" s="85">
        <f>+MATCH(D1315,ARTICULOS!$F$10:$F$699,0)</f>
        <v/>
      </c>
      <c r="C1315" s="86">
        <f>+VLOOKUP(B1315,ARTICULOS!$D$10:$I$699,6)</f>
        <v/>
      </c>
      <c r="D1315" s="212" t="n"/>
      <c r="E1315" s="75">
        <f>+C1315&amp;F1315</f>
        <v/>
      </c>
      <c r="F1315" s="80" t="n"/>
      <c r="G1315" s="81" t="n"/>
      <c r="H1315" s="78" t="n"/>
      <c r="I1315" s="78" t="n"/>
      <c r="J1315" s="78" t="n"/>
    </row>
    <row r="1316">
      <c r="A1316" s="84">
        <f>ROW()-6</f>
        <v/>
      </c>
      <c r="B1316" s="85">
        <f>+MATCH(D1316,ARTICULOS!$F$10:$F$699,0)</f>
        <v/>
      </c>
      <c r="C1316" s="86">
        <f>+VLOOKUP(B1316,ARTICULOS!$D$10:$I$699,6)</f>
        <v/>
      </c>
      <c r="D1316" s="212" t="n"/>
      <c r="E1316" s="75">
        <f>+C1316&amp;F1316</f>
        <v/>
      </c>
      <c r="F1316" s="80" t="n"/>
      <c r="G1316" s="81" t="n"/>
      <c r="H1316" s="78" t="n"/>
      <c r="I1316" s="78" t="n"/>
      <c r="J1316" s="78" t="n"/>
    </row>
    <row r="1317">
      <c r="A1317" s="84">
        <f>ROW()-6</f>
        <v/>
      </c>
      <c r="B1317" s="85">
        <f>+MATCH(D1317,ARTICULOS!$F$10:$F$699,0)</f>
        <v/>
      </c>
      <c r="C1317" s="86">
        <f>+VLOOKUP(B1317,ARTICULOS!$D$10:$I$699,6)</f>
        <v/>
      </c>
      <c r="D1317" s="212" t="n"/>
      <c r="E1317" s="75">
        <f>+C1317&amp;F1317</f>
        <v/>
      </c>
      <c r="F1317" s="80" t="n"/>
      <c r="G1317" s="81" t="n"/>
      <c r="H1317" s="78" t="n"/>
      <c r="I1317" s="78" t="n"/>
      <c r="J1317" s="78" t="n"/>
    </row>
    <row r="1318">
      <c r="A1318" s="84">
        <f>ROW()-6</f>
        <v/>
      </c>
      <c r="B1318" s="85">
        <f>+MATCH(D1318,ARTICULOS!$F$10:$F$699,0)</f>
        <v/>
      </c>
      <c r="C1318" s="86">
        <f>+VLOOKUP(B1318,ARTICULOS!$D$10:$I$699,6)</f>
        <v/>
      </c>
      <c r="D1318" s="212" t="n"/>
      <c r="E1318" s="75">
        <f>+C1318&amp;F1318</f>
        <v/>
      </c>
      <c r="F1318" s="80" t="n"/>
      <c r="G1318" s="81" t="n"/>
      <c r="H1318" s="78" t="n"/>
      <c r="I1318" s="78" t="n"/>
      <c r="J1318" s="78" t="n"/>
    </row>
    <row r="1319">
      <c r="A1319" s="84">
        <f>ROW()-6</f>
        <v/>
      </c>
      <c r="B1319" s="85">
        <f>+MATCH(D1319,ARTICULOS!$F$10:$F$699,0)</f>
        <v/>
      </c>
      <c r="C1319" s="86">
        <f>+VLOOKUP(B1319,ARTICULOS!$D$10:$I$699,6)</f>
        <v/>
      </c>
      <c r="D1319" s="212" t="n"/>
      <c r="E1319" s="75">
        <f>+C1319&amp;F1319</f>
        <v/>
      </c>
      <c r="F1319" s="80" t="n"/>
      <c r="G1319" s="81" t="n"/>
      <c r="H1319" s="78" t="n"/>
      <c r="I1319" s="78" t="n"/>
      <c r="J1319" s="78" t="n"/>
    </row>
    <row r="1320">
      <c r="A1320" s="84">
        <f>ROW()-6</f>
        <v/>
      </c>
      <c r="B1320" s="85">
        <f>+MATCH(D1320,ARTICULOS!$F$10:$F$699,0)</f>
        <v/>
      </c>
      <c r="C1320" s="86">
        <f>+VLOOKUP(B1320,ARTICULOS!$D$10:$I$699,6)</f>
        <v/>
      </c>
      <c r="D1320" s="212" t="n"/>
      <c r="E1320" s="75">
        <f>+C1320&amp;F1320</f>
        <v/>
      </c>
      <c r="F1320" s="80" t="n"/>
      <c r="G1320" s="81" t="n"/>
      <c r="H1320" s="78" t="n"/>
      <c r="I1320" s="78" t="n"/>
      <c r="J1320" s="78" t="n"/>
    </row>
    <row r="1321">
      <c r="A1321" s="84">
        <f>ROW()-6</f>
        <v/>
      </c>
      <c r="B1321" s="85">
        <f>+MATCH(D1321,ARTICULOS!$F$10:$F$699,0)</f>
        <v/>
      </c>
      <c r="C1321" s="86">
        <f>+VLOOKUP(B1321,ARTICULOS!$D$10:$I$699,6)</f>
        <v/>
      </c>
      <c r="D1321" s="212" t="n"/>
      <c r="E1321" s="75">
        <f>+C1321&amp;F1321</f>
        <v/>
      </c>
      <c r="F1321" s="80" t="n"/>
      <c r="G1321" s="81" t="n"/>
      <c r="H1321" s="78" t="n"/>
      <c r="I1321" s="78" t="n"/>
      <c r="J1321" s="78" t="n"/>
    </row>
    <row r="1322">
      <c r="A1322" s="84">
        <f>ROW()-6</f>
        <v/>
      </c>
      <c r="B1322" s="85">
        <f>+MATCH(D1322,ARTICULOS!$F$10:$F$699,0)</f>
        <v/>
      </c>
      <c r="C1322" s="86">
        <f>+VLOOKUP(B1322,ARTICULOS!$D$10:$I$699,6)</f>
        <v/>
      </c>
      <c r="D1322" s="212" t="n"/>
      <c r="E1322" s="75">
        <f>+C1322&amp;F1322</f>
        <v/>
      </c>
      <c r="F1322" s="80" t="n"/>
      <c r="G1322" s="81" t="n"/>
      <c r="H1322" s="78" t="n"/>
      <c r="I1322" s="78" t="n"/>
      <c r="J1322" s="78" t="n"/>
    </row>
    <row r="1323">
      <c r="A1323" s="84">
        <f>ROW()-6</f>
        <v/>
      </c>
      <c r="B1323" s="85">
        <f>+MATCH(D1323,ARTICULOS!$F$10:$F$699,0)</f>
        <v/>
      </c>
      <c r="C1323" s="86">
        <f>+VLOOKUP(B1323,ARTICULOS!$D$10:$I$699,6)</f>
        <v/>
      </c>
      <c r="D1323" s="212" t="n"/>
      <c r="E1323" s="75">
        <f>+C1323&amp;F1323</f>
        <v/>
      </c>
      <c r="F1323" s="80" t="n"/>
      <c r="G1323" s="81" t="n"/>
      <c r="H1323" s="78" t="n"/>
      <c r="I1323" s="78" t="n"/>
      <c r="J1323" s="78" t="n"/>
    </row>
    <row r="1324">
      <c r="A1324" s="84">
        <f>ROW()-6</f>
        <v/>
      </c>
      <c r="B1324" s="85">
        <f>+MATCH(D1324,ARTICULOS!$F$10:$F$699,0)</f>
        <v/>
      </c>
      <c r="C1324" s="86">
        <f>+VLOOKUP(B1324,ARTICULOS!$D$10:$I$699,6)</f>
        <v/>
      </c>
      <c r="D1324" s="212" t="n"/>
      <c r="E1324" s="75">
        <f>+C1324&amp;F1324</f>
        <v/>
      </c>
      <c r="F1324" s="80" t="n"/>
      <c r="G1324" s="81" t="n"/>
      <c r="H1324" s="78" t="n"/>
      <c r="I1324" s="78" t="n"/>
      <c r="J1324" s="78" t="n"/>
    </row>
    <row r="1325">
      <c r="A1325" s="84">
        <f>ROW()-6</f>
        <v/>
      </c>
      <c r="B1325" s="85">
        <f>+MATCH(D1325,ARTICULOS!$F$10:$F$699,0)</f>
        <v/>
      </c>
      <c r="C1325" s="86">
        <f>+VLOOKUP(B1325,ARTICULOS!$D$10:$I$699,6)</f>
        <v/>
      </c>
      <c r="D1325" s="212" t="n"/>
      <c r="E1325" s="75">
        <f>+C1325&amp;F1325</f>
        <v/>
      </c>
      <c r="F1325" s="80" t="n"/>
      <c r="G1325" s="81" t="n"/>
      <c r="H1325" s="78" t="n"/>
      <c r="I1325" s="78" t="n"/>
      <c r="J1325" s="78" t="n"/>
    </row>
    <row r="1326">
      <c r="A1326" s="84">
        <f>ROW()-6</f>
        <v/>
      </c>
      <c r="B1326" s="85">
        <f>+MATCH(D1326,ARTICULOS!$F$10:$F$699,0)</f>
        <v/>
      </c>
      <c r="C1326" s="86">
        <f>+VLOOKUP(B1326,ARTICULOS!$D$10:$I$699,6)</f>
        <v/>
      </c>
      <c r="D1326" s="212" t="n"/>
      <c r="E1326" s="75">
        <f>+C1326&amp;F1326</f>
        <v/>
      </c>
      <c r="F1326" s="80" t="n"/>
      <c r="G1326" s="81" t="n"/>
      <c r="H1326" s="78" t="n"/>
      <c r="I1326" s="78" t="n"/>
      <c r="J1326" s="78" t="n"/>
    </row>
    <row r="1327">
      <c r="A1327" s="84">
        <f>ROW()-6</f>
        <v/>
      </c>
      <c r="B1327" s="85">
        <f>+MATCH(D1327,ARTICULOS!$F$10:$F$699,0)</f>
        <v/>
      </c>
      <c r="C1327" s="86">
        <f>+VLOOKUP(B1327,ARTICULOS!$D$10:$I$699,6)</f>
        <v/>
      </c>
      <c r="D1327" s="212" t="n"/>
      <c r="E1327" s="75">
        <f>+C1327&amp;F1327</f>
        <v/>
      </c>
      <c r="F1327" s="80" t="n"/>
      <c r="G1327" s="81" t="n"/>
      <c r="H1327" s="78" t="n"/>
      <c r="I1327" s="78" t="n"/>
      <c r="J1327" s="78" t="n"/>
    </row>
    <row r="1328">
      <c r="A1328" s="84">
        <f>ROW()-6</f>
        <v/>
      </c>
      <c r="B1328" s="85">
        <f>+MATCH(D1328,ARTICULOS!$F$10:$F$699,0)</f>
        <v/>
      </c>
      <c r="C1328" s="86">
        <f>+VLOOKUP(B1328,ARTICULOS!$D$10:$I$699,6)</f>
        <v/>
      </c>
      <c r="D1328" s="212" t="n"/>
      <c r="E1328" s="75">
        <f>+C1328&amp;F1328</f>
        <v/>
      </c>
      <c r="F1328" s="80" t="n"/>
      <c r="G1328" s="81" t="n"/>
      <c r="H1328" s="78" t="n"/>
      <c r="I1328" s="78" t="n"/>
      <c r="J1328" s="78" t="n"/>
    </row>
    <row r="1329">
      <c r="A1329" s="84">
        <f>ROW()-6</f>
        <v/>
      </c>
      <c r="B1329" s="85">
        <f>+MATCH(D1329,ARTICULOS!$F$10:$F$699,0)</f>
        <v/>
      </c>
      <c r="C1329" s="86">
        <f>+VLOOKUP(B1329,ARTICULOS!$D$10:$I$699,6)</f>
        <v/>
      </c>
      <c r="D1329" s="212" t="n"/>
      <c r="E1329" s="75">
        <f>+C1329&amp;F1329</f>
        <v/>
      </c>
      <c r="F1329" s="80" t="n"/>
      <c r="G1329" s="81" t="n"/>
      <c r="H1329" s="78" t="n"/>
      <c r="I1329" s="78" t="n"/>
      <c r="J1329" s="78" t="n"/>
    </row>
    <row r="1330">
      <c r="A1330" s="84">
        <f>ROW()-6</f>
        <v/>
      </c>
      <c r="B1330" s="85">
        <f>+MATCH(D1330,ARTICULOS!$F$10:$F$699,0)</f>
        <v/>
      </c>
      <c r="C1330" s="86">
        <f>+VLOOKUP(B1330,ARTICULOS!$D$10:$I$699,6)</f>
        <v/>
      </c>
      <c r="D1330" s="212" t="n"/>
      <c r="E1330" s="75">
        <f>+C1330&amp;F1330</f>
        <v/>
      </c>
      <c r="F1330" s="80" t="n"/>
      <c r="G1330" s="81" t="n"/>
      <c r="H1330" s="78" t="n"/>
      <c r="I1330" s="78" t="n"/>
      <c r="J1330" s="78" t="n"/>
    </row>
    <row r="1331">
      <c r="A1331" s="84">
        <f>ROW()-6</f>
        <v/>
      </c>
      <c r="B1331" s="85">
        <f>+MATCH(D1331,ARTICULOS!$F$10:$F$699,0)</f>
        <v/>
      </c>
      <c r="C1331" s="86">
        <f>+VLOOKUP(B1331,ARTICULOS!$D$10:$I$699,6)</f>
        <v/>
      </c>
      <c r="D1331" s="212" t="n"/>
      <c r="E1331" s="75">
        <f>+C1331&amp;F1331</f>
        <v/>
      </c>
      <c r="F1331" s="80" t="n"/>
      <c r="G1331" s="81" t="n"/>
      <c r="H1331" s="78" t="n"/>
      <c r="I1331" s="78" t="n"/>
      <c r="J1331" s="78" t="n"/>
    </row>
    <row r="1332">
      <c r="A1332" s="84">
        <f>ROW()-6</f>
        <v/>
      </c>
      <c r="B1332" s="85">
        <f>+MATCH(D1332,ARTICULOS!$F$10:$F$699,0)</f>
        <v/>
      </c>
      <c r="C1332" s="86">
        <f>+VLOOKUP(B1332,ARTICULOS!$D$10:$I$699,6)</f>
        <v/>
      </c>
      <c r="D1332" s="212" t="n"/>
      <c r="E1332" s="75">
        <f>+C1332&amp;F1332</f>
        <v/>
      </c>
      <c r="F1332" s="80" t="n"/>
      <c r="G1332" s="81" t="n"/>
      <c r="H1332" s="78" t="n"/>
      <c r="I1332" s="78" t="n"/>
      <c r="J1332" s="78" t="n"/>
    </row>
    <row r="1333">
      <c r="A1333" s="84">
        <f>ROW()-6</f>
        <v/>
      </c>
      <c r="B1333" s="85">
        <f>+MATCH(D1333,ARTICULOS!$F$10:$F$699,0)</f>
        <v/>
      </c>
      <c r="C1333" s="86">
        <f>+VLOOKUP(B1333,ARTICULOS!$D$10:$I$699,6)</f>
        <v/>
      </c>
      <c r="D1333" s="212" t="n"/>
      <c r="E1333" s="75">
        <f>+C1333&amp;F1333</f>
        <v/>
      </c>
      <c r="F1333" s="80" t="n"/>
      <c r="G1333" s="81" t="n"/>
      <c r="H1333" s="78" t="n"/>
      <c r="I1333" s="78" t="n"/>
      <c r="J1333" s="78" t="n"/>
    </row>
    <row r="1334">
      <c r="A1334" s="84">
        <f>ROW()-6</f>
        <v/>
      </c>
      <c r="B1334" s="85">
        <f>+MATCH(D1334,ARTICULOS!$F$10:$F$699,0)</f>
        <v/>
      </c>
      <c r="C1334" s="86">
        <f>+VLOOKUP(B1334,ARTICULOS!$D$10:$I$699,6)</f>
        <v/>
      </c>
      <c r="D1334" s="212" t="n"/>
      <c r="E1334" s="75">
        <f>+C1334&amp;F1334</f>
        <v/>
      </c>
      <c r="F1334" s="80" t="n"/>
      <c r="G1334" s="81" t="n"/>
      <c r="H1334" s="78" t="n"/>
      <c r="I1334" s="78" t="n"/>
      <c r="J1334" s="78" t="n"/>
    </row>
    <row r="1335">
      <c r="A1335" s="84">
        <f>ROW()-6</f>
        <v/>
      </c>
      <c r="B1335" s="85">
        <f>+MATCH(D1335,ARTICULOS!$F$10:$F$699,0)</f>
        <v/>
      </c>
      <c r="C1335" s="86">
        <f>+VLOOKUP(B1335,ARTICULOS!$D$10:$I$699,6)</f>
        <v/>
      </c>
      <c r="D1335" s="212" t="n"/>
      <c r="E1335" s="75">
        <f>+C1335&amp;F1335</f>
        <v/>
      </c>
      <c r="F1335" s="80" t="n"/>
      <c r="G1335" s="81" t="n"/>
      <c r="H1335" s="78" t="n"/>
      <c r="I1335" s="78" t="n"/>
      <c r="J1335" s="78" t="n"/>
    </row>
    <row r="1336">
      <c r="A1336" s="84">
        <f>ROW()-6</f>
        <v/>
      </c>
      <c r="B1336" s="85">
        <f>+MATCH(D1336,ARTICULOS!$F$10:$F$699,0)</f>
        <v/>
      </c>
      <c r="C1336" s="86">
        <f>+VLOOKUP(B1336,ARTICULOS!$D$10:$I$699,6)</f>
        <v/>
      </c>
      <c r="D1336" s="212" t="n"/>
      <c r="E1336" s="75">
        <f>+C1336&amp;F1336</f>
        <v/>
      </c>
      <c r="F1336" s="80" t="n"/>
      <c r="G1336" s="81" t="n"/>
      <c r="H1336" s="78" t="n"/>
      <c r="I1336" s="78" t="n"/>
      <c r="J1336" s="78" t="n"/>
    </row>
    <row r="1337">
      <c r="A1337" s="84">
        <f>ROW()-6</f>
        <v/>
      </c>
      <c r="B1337" s="85">
        <f>+MATCH(D1337,ARTICULOS!$F$10:$F$699,0)</f>
        <v/>
      </c>
      <c r="C1337" s="86">
        <f>+VLOOKUP(B1337,ARTICULOS!$D$10:$I$699,6)</f>
        <v/>
      </c>
      <c r="D1337" s="212" t="n"/>
      <c r="E1337" s="75">
        <f>+C1337&amp;F1337</f>
        <v/>
      </c>
      <c r="F1337" s="80" t="n"/>
      <c r="G1337" s="81" t="n"/>
      <c r="H1337" s="78" t="n"/>
      <c r="I1337" s="78" t="n"/>
      <c r="J1337" s="78" t="n"/>
    </row>
    <row r="1338">
      <c r="A1338" s="84">
        <f>ROW()-6</f>
        <v/>
      </c>
      <c r="B1338" s="85">
        <f>+MATCH(D1338,ARTICULOS!$F$10:$F$699,0)</f>
        <v/>
      </c>
      <c r="C1338" s="86">
        <f>+VLOOKUP(B1338,ARTICULOS!$D$10:$I$699,6)</f>
        <v/>
      </c>
      <c r="D1338" s="212" t="n"/>
      <c r="E1338" s="75">
        <f>+C1338&amp;F1338</f>
        <v/>
      </c>
      <c r="F1338" s="80" t="n"/>
      <c r="G1338" s="81" t="n"/>
      <c r="H1338" s="78" t="n"/>
      <c r="I1338" s="78" t="n"/>
      <c r="J1338" s="78" t="n"/>
    </row>
    <row r="1339">
      <c r="A1339" s="84">
        <f>ROW()-6</f>
        <v/>
      </c>
      <c r="B1339" s="85">
        <f>+MATCH(D1339,ARTICULOS!$F$10:$F$699,0)</f>
        <v/>
      </c>
      <c r="C1339" s="86">
        <f>+VLOOKUP(B1339,ARTICULOS!$D$10:$I$699,6)</f>
        <v/>
      </c>
      <c r="D1339" s="212" t="n"/>
      <c r="E1339" s="75">
        <f>+C1339&amp;F1339</f>
        <v/>
      </c>
      <c r="F1339" s="80" t="n"/>
      <c r="G1339" s="81" t="n"/>
      <c r="H1339" s="78" t="n"/>
      <c r="I1339" s="78" t="n"/>
      <c r="J1339" s="78" t="n"/>
    </row>
    <row r="1340">
      <c r="A1340" s="84">
        <f>ROW()-6</f>
        <v/>
      </c>
      <c r="B1340" s="85">
        <f>+MATCH(D1340,ARTICULOS!$F$10:$F$699,0)</f>
        <v/>
      </c>
      <c r="C1340" s="86">
        <f>+VLOOKUP(B1340,ARTICULOS!$D$10:$I$699,6)</f>
        <v/>
      </c>
      <c r="D1340" s="212" t="n"/>
      <c r="E1340" s="75">
        <f>+C1340&amp;F1340</f>
        <v/>
      </c>
      <c r="F1340" s="80" t="n"/>
      <c r="G1340" s="81" t="n"/>
      <c r="H1340" s="78" t="n"/>
      <c r="I1340" s="78" t="n"/>
      <c r="J1340" s="78" t="n"/>
    </row>
    <row r="1341">
      <c r="A1341" s="84">
        <f>ROW()-6</f>
        <v/>
      </c>
      <c r="B1341" s="85">
        <f>+MATCH(D1341,ARTICULOS!$F$10:$F$699,0)</f>
        <v/>
      </c>
      <c r="C1341" s="86">
        <f>+VLOOKUP(B1341,ARTICULOS!$D$10:$I$699,6)</f>
        <v/>
      </c>
      <c r="D1341" s="212" t="n"/>
      <c r="E1341" s="75">
        <f>+C1341&amp;F1341</f>
        <v/>
      </c>
      <c r="F1341" s="80" t="n"/>
      <c r="G1341" s="81" t="n"/>
      <c r="H1341" s="78" t="n"/>
      <c r="I1341" s="78" t="n"/>
      <c r="J1341" s="78" t="n"/>
    </row>
    <row r="1342">
      <c r="A1342" s="84">
        <f>ROW()-6</f>
        <v/>
      </c>
      <c r="B1342" s="85">
        <f>+MATCH(D1342,ARTICULOS!$F$10:$F$699,0)</f>
        <v/>
      </c>
      <c r="C1342" s="86">
        <f>+VLOOKUP(B1342,ARTICULOS!$D$10:$I$699,6)</f>
        <v/>
      </c>
      <c r="D1342" s="212" t="n"/>
      <c r="E1342" s="75">
        <f>+C1342&amp;F1342</f>
        <v/>
      </c>
      <c r="F1342" s="80" t="n"/>
      <c r="G1342" s="81" t="n"/>
      <c r="H1342" s="78" t="n"/>
      <c r="I1342" s="78" t="n"/>
      <c r="J1342" s="78" t="n"/>
    </row>
    <row r="1343">
      <c r="A1343" s="84">
        <f>ROW()-6</f>
        <v/>
      </c>
      <c r="B1343" s="85">
        <f>+MATCH(D1343,ARTICULOS!$F$10:$F$699,0)</f>
        <v/>
      </c>
      <c r="C1343" s="86">
        <f>+VLOOKUP(B1343,ARTICULOS!$D$10:$I$699,6)</f>
        <v/>
      </c>
      <c r="D1343" s="212" t="n"/>
      <c r="E1343" s="75">
        <f>+C1343&amp;F1343</f>
        <v/>
      </c>
      <c r="F1343" s="80" t="n"/>
      <c r="G1343" s="81" t="n"/>
      <c r="H1343" s="78" t="n"/>
      <c r="I1343" s="78" t="n"/>
      <c r="J1343" s="78" t="n"/>
    </row>
    <row r="1344">
      <c r="A1344" s="84">
        <f>ROW()-6</f>
        <v/>
      </c>
      <c r="B1344" s="85">
        <f>+MATCH(D1344,ARTICULOS!$F$10:$F$699,0)</f>
        <v/>
      </c>
      <c r="C1344" s="86">
        <f>+VLOOKUP(B1344,ARTICULOS!$D$10:$I$699,6)</f>
        <v/>
      </c>
      <c r="D1344" s="212" t="n"/>
      <c r="E1344" s="75">
        <f>+C1344&amp;F1344</f>
        <v/>
      </c>
      <c r="F1344" s="80" t="n"/>
      <c r="G1344" s="81" t="n"/>
      <c r="H1344" s="78" t="n"/>
      <c r="I1344" s="78" t="n"/>
      <c r="J1344" s="78" t="n"/>
    </row>
    <row r="1345">
      <c r="A1345" s="84">
        <f>ROW()-6</f>
        <v/>
      </c>
      <c r="B1345" s="85">
        <f>+MATCH(D1345,ARTICULOS!$F$10:$F$699,0)</f>
        <v/>
      </c>
      <c r="C1345" s="86">
        <f>+VLOOKUP(B1345,ARTICULOS!$D$10:$I$699,6)</f>
        <v/>
      </c>
      <c r="D1345" s="212" t="n"/>
      <c r="E1345" s="75">
        <f>+C1345&amp;F1345</f>
        <v/>
      </c>
      <c r="F1345" s="80" t="n"/>
      <c r="G1345" s="81" t="n"/>
      <c r="H1345" s="78" t="n"/>
      <c r="I1345" s="78" t="n"/>
      <c r="J1345" s="78" t="n"/>
    </row>
    <row r="1346">
      <c r="A1346" s="84">
        <f>ROW()-6</f>
        <v/>
      </c>
      <c r="B1346" s="85">
        <f>+MATCH(D1346,ARTICULOS!$F$10:$F$699,0)</f>
        <v/>
      </c>
      <c r="C1346" s="86">
        <f>+VLOOKUP(B1346,ARTICULOS!$D$10:$I$699,6)</f>
        <v/>
      </c>
      <c r="D1346" s="212" t="n"/>
      <c r="E1346" s="75">
        <f>+C1346&amp;F1346</f>
        <v/>
      </c>
      <c r="F1346" s="80" t="n"/>
      <c r="G1346" s="81" t="n"/>
      <c r="H1346" s="78" t="n"/>
      <c r="I1346" s="78" t="n"/>
      <c r="J1346" s="78" t="n"/>
    </row>
    <row r="1347">
      <c r="A1347" s="84">
        <f>ROW()-6</f>
        <v/>
      </c>
      <c r="B1347" s="85">
        <f>+MATCH(D1347,ARTICULOS!$F$10:$F$699,0)</f>
        <v/>
      </c>
      <c r="C1347" s="86">
        <f>+VLOOKUP(B1347,ARTICULOS!$D$10:$I$699,6)</f>
        <v/>
      </c>
      <c r="D1347" s="212" t="n"/>
      <c r="E1347" s="75">
        <f>+C1347&amp;F1347</f>
        <v/>
      </c>
      <c r="F1347" s="80" t="n"/>
      <c r="G1347" s="81" t="n"/>
      <c r="H1347" s="78" t="n"/>
      <c r="I1347" s="78" t="n"/>
      <c r="J1347" s="78" t="n"/>
    </row>
    <row r="1348">
      <c r="A1348" s="84">
        <f>ROW()-6</f>
        <v/>
      </c>
      <c r="B1348" s="85">
        <f>+MATCH(D1348,ARTICULOS!$F$10:$F$699,0)</f>
        <v/>
      </c>
      <c r="C1348" s="86">
        <f>+VLOOKUP(B1348,ARTICULOS!$D$10:$I$699,6)</f>
        <v/>
      </c>
      <c r="D1348" s="212" t="n"/>
      <c r="E1348" s="75">
        <f>+C1348&amp;F1348</f>
        <v/>
      </c>
      <c r="F1348" s="80" t="n"/>
      <c r="G1348" s="81" t="n"/>
      <c r="H1348" s="78" t="n"/>
      <c r="I1348" s="78" t="n"/>
      <c r="J1348" s="78" t="n"/>
    </row>
    <row r="1349">
      <c r="A1349" s="84">
        <f>ROW()-6</f>
        <v/>
      </c>
      <c r="B1349" s="85">
        <f>+MATCH(D1349,ARTICULOS!$F$10:$F$699,0)</f>
        <v/>
      </c>
      <c r="C1349" s="86">
        <f>+VLOOKUP(B1349,ARTICULOS!$D$10:$I$699,6)</f>
        <v/>
      </c>
      <c r="D1349" s="212" t="n"/>
      <c r="E1349" s="75">
        <f>+C1349&amp;F1349</f>
        <v/>
      </c>
      <c r="F1349" s="80" t="n"/>
      <c r="G1349" s="81" t="n"/>
      <c r="H1349" s="78" t="n"/>
      <c r="I1349" s="78" t="n"/>
      <c r="J1349" s="78" t="n"/>
    </row>
    <row r="1350">
      <c r="A1350" s="84">
        <f>ROW()-6</f>
        <v/>
      </c>
      <c r="B1350" s="85">
        <f>+MATCH(D1350,ARTICULOS!$F$10:$F$699,0)</f>
        <v/>
      </c>
      <c r="C1350" s="86">
        <f>+VLOOKUP(B1350,ARTICULOS!$D$10:$I$699,6)</f>
        <v/>
      </c>
      <c r="D1350" s="212" t="n"/>
      <c r="E1350" s="75">
        <f>+C1350&amp;F1350</f>
        <v/>
      </c>
      <c r="F1350" s="80" t="n"/>
      <c r="G1350" s="81" t="n"/>
      <c r="H1350" s="78" t="n"/>
      <c r="I1350" s="78" t="n"/>
      <c r="J1350" s="78" t="n"/>
    </row>
    <row r="1351">
      <c r="A1351" s="84">
        <f>ROW()-6</f>
        <v/>
      </c>
      <c r="B1351" s="85">
        <f>+MATCH(D1351,ARTICULOS!$F$10:$F$699,0)</f>
        <v/>
      </c>
      <c r="C1351" s="86">
        <f>+VLOOKUP(B1351,ARTICULOS!$D$10:$I$699,6)</f>
        <v/>
      </c>
      <c r="D1351" s="212" t="n"/>
      <c r="E1351" s="75">
        <f>+C1351&amp;F1351</f>
        <v/>
      </c>
      <c r="F1351" s="80" t="n"/>
      <c r="G1351" s="81" t="n"/>
      <c r="H1351" s="78" t="n"/>
      <c r="I1351" s="78" t="n"/>
      <c r="J1351" s="78" t="n"/>
    </row>
    <row r="1352">
      <c r="A1352" s="84">
        <f>ROW()-6</f>
        <v/>
      </c>
      <c r="B1352" s="85">
        <f>+MATCH(D1352,ARTICULOS!$F$10:$F$699,0)</f>
        <v/>
      </c>
      <c r="C1352" s="86">
        <f>+VLOOKUP(B1352,ARTICULOS!$D$10:$I$699,6)</f>
        <v/>
      </c>
      <c r="D1352" s="212" t="n"/>
      <c r="E1352" s="75">
        <f>+C1352&amp;F1352</f>
        <v/>
      </c>
      <c r="F1352" s="80" t="n"/>
      <c r="G1352" s="81" t="n"/>
      <c r="H1352" s="78" t="n"/>
      <c r="I1352" s="78" t="n"/>
      <c r="J1352" s="78" t="n"/>
    </row>
    <row r="1353">
      <c r="A1353" s="84">
        <f>ROW()-6</f>
        <v/>
      </c>
      <c r="B1353" s="85">
        <f>+MATCH(D1353,ARTICULOS!$F$10:$F$699,0)</f>
        <v/>
      </c>
      <c r="C1353" s="86">
        <f>+VLOOKUP(B1353,ARTICULOS!$D$10:$I$699,6)</f>
        <v/>
      </c>
      <c r="D1353" s="212" t="n"/>
      <c r="E1353" s="75">
        <f>+C1353&amp;F1353</f>
        <v/>
      </c>
      <c r="F1353" s="80" t="n"/>
      <c r="G1353" s="81" t="n"/>
      <c r="H1353" s="78" t="n"/>
      <c r="I1353" s="78" t="n"/>
      <c r="J1353" s="78" t="n"/>
    </row>
    <row r="1354">
      <c r="A1354" s="84">
        <f>ROW()-6</f>
        <v/>
      </c>
      <c r="B1354" s="85">
        <f>+MATCH(D1354,ARTICULOS!$F$10:$F$699,0)</f>
        <v/>
      </c>
      <c r="C1354" s="86">
        <f>+VLOOKUP(B1354,ARTICULOS!$D$10:$I$699,6)</f>
        <v/>
      </c>
      <c r="D1354" s="212" t="n"/>
      <c r="E1354" s="75">
        <f>+C1354&amp;F1354</f>
        <v/>
      </c>
      <c r="F1354" s="80" t="n"/>
      <c r="G1354" s="81" t="n"/>
      <c r="H1354" s="78" t="n"/>
      <c r="I1354" s="78" t="n"/>
      <c r="J1354" s="78" t="n"/>
    </row>
    <row r="1355">
      <c r="A1355" s="84">
        <f>ROW()-6</f>
        <v/>
      </c>
      <c r="B1355" s="85">
        <f>+MATCH(D1355,ARTICULOS!$F$10:$F$699,0)</f>
        <v/>
      </c>
      <c r="C1355" s="86">
        <f>+VLOOKUP(B1355,ARTICULOS!$D$10:$I$699,6)</f>
        <v/>
      </c>
      <c r="D1355" s="212" t="n"/>
      <c r="E1355" s="75">
        <f>+C1355&amp;F1355</f>
        <v/>
      </c>
      <c r="F1355" s="80" t="n"/>
      <c r="G1355" s="81" t="n"/>
      <c r="H1355" s="78" t="n"/>
      <c r="I1355" s="78" t="n"/>
      <c r="J1355" s="78" t="n"/>
    </row>
    <row r="1356">
      <c r="A1356" s="84">
        <f>ROW()-6</f>
        <v/>
      </c>
      <c r="B1356" s="85">
        <f>+MATCH(D1356,ARTICULOS!$F$10:$F$699,0)</f>
        <v/>
      </c>
      <c r="C1356" s="86">
        <f>+VLOOKUP(B1356,ARTICULOS!$D$10:$I$699,6)</f>
        <v/>
      </c>
      <c r="D1356" s="212" t="n"/>
      <c r="E1356" s="75">
        <f>+C1356&amp;F1356</f>
        <v/>
      </c>
      <c r="F1356" s="80" t="n"/>
      <c r="G1356" s="81" t="n"/>
      <c r="H1356" s="78" t="n"/>
      <c r="I1356" s="78" t="n"/>
      <c r="J1356" s="78" t="n"/>
    </row>
    <row r="1357">
      <c r="A1357" s="84">
        <f>ROW()-6</f>
        <v/>
      </c>
      <c r="B1357" s="85">
        <f>+MATCH(D1357,ARTICULOS!$F$10:$F$699,0)</f>
        <v/>
      </c>
      <c r="C1357" s="86">
        <f>+VLOOKUP(B1357,ARTICULOS!$D$10:$I$699,6)</f>
        <v/>
      </c>
      <c r="D1357" s="212" t="n"/>
      <c r="E1357" s="75">
        <f>+C1357&amp;F1357</f>
        <v/>
      </c>
      <c r="F1357" s="80" t="n"/>
      <c r="G1357" s="81" t="n"/>
      <c r="H1357" s="78" t="n"/>
      <c r="I1357" s="78" t="n"/>
      <c r="J1357" s="78" t="n"/>
    </row>
    <row r="1358">
      <c r="A1358" s="84">
        <f>ROW()-6</f>
        <v/>
      </c>
      <c r="B1358" s="85">
        <f>+MATCH(D1358,ARTICULOS!$F$10:$F$699,0)</f>
        <v/>
      </c>
      <c r="C1358" s="86">
        <f>+VLOOKUP(B1358,ARTICULOS!$D$10:$I$699,6)</f>
        <v/>
      </c>
      <c r="D1358" s="212" t="n"/>
      <c r="E1358" s="75">
        <f>+C1358&amp;F1358</f>
        <v/>
      </c>
      <c r="F1358" s="80" t="n"/>
      <c r="G1358" s="81" t="n"/>
      <c r="H1358" s="78" t="n"/>
      <c r="I1358" s="78" t="n"/>
      <c r="J1358" s="78" t="n"/>
    </row>
    <row r="1359">
      <c r="A1359" s="84">
        <f>ROW()-6</f>
        <v/>
      </c>
      <c r="B1359" s="85">
        <f>+MATCH(D1359,ARTICULOS!$F$10:$F$699,0)</f>
        <v/>
      </c>
      <c r="C1359" s="86">
        <f>+VLOOKUP(B1359,ARTICULOS!$D$10:$I$699,6)</f>
        <v/>
      </c>
      <c r="D1359" s="212" t="n"/>
      <c r="E1359" s="75">
        <f>+C1359&amp;F1359</f>
        <v/>
      </c>
      <c r="F1359" s="80" t="n"/>
      <c r="G1359" s="81" t="n"/>
      <c r="H1359" s="78" t="n"/>
      <c r="I1359" s="78" t="n"/>
      <c r="J1359" s="78" t="n"/>
    </row>
    <row r="1360">
      <c r="A1360" s="84">
        <f>ROW()-6</f>
        <v/>
      </c>
      <c r="B1360" s="85">
        <f>+MATCH(D1360,ARTICULOS!$F$10:$F$699,0)</f>
        <v/>
      </c>
      <c r="C1360" s="86">
        <f>+VLOOKUP(B1360,ARTICULOS!$D$10:$I$699,6)</f>
        <v/>
      </c>
      <c r="D1360" s="212" t="n"/>
      <c r="E1360" s="75">
        <f>+C1360&amp;F1360</f>
        <v/>
      </c>
      <c r="F1360" s="80" t="n"/>
      <c r="G1360" s="81" t="n"/>
      <c r="H1360" s="78" t="n"/>
      <c r="I1360" s="78" t="n"/>
      <c r="J1360" s="78" t="n"/>
    </row>
    <row r="1361">
      <c r="A1361" s="84">
        <f>ROW()-6</f>
        <v/>
      </c>
      <c r="B1361" s="85">
        <f>+MATCH(D1361,ARTICULOS!$F$10:$F$699,0)</f>
        <v/>
      </c>
      <c r="C1361" s="86">
        <f>+VLOOKUP(B1361,ARTICULOS!$D$10:$I$699,6)</f>
        <v/>
      </c>
      <c r="D1361" s="212" t="n"/>
      <c r="E1361" s="75">
        <f>+C1361&amp;F1361</f>
        <v/>
      </c>
      <c r="F1361" s="80" t="n"/>
      <c r="G1361" s="81" t="n"/>
      <c r="H1361" s="78" t="n"/>
      <c r="I1361" s="78" t="n"/>
      <c r="J1361" s="78" t="n"/>
    </row>
    <row r="1362">
      <c r="A1362" s="84">
        <f>ROW()-6</f>
        <v/>
      </c>
      <c r="B1362" s="85">
        <f>+MATCH(D1362,ARTICULOS!$F$10:$F$699,0)</f>
        <v/>
      </c>
      <c r="C1362" s="86">
        <f>+VLOOKUP(B1362,ARTICULOS!$D$10:$I$699,6)</f>
        <v/>
      </c>
      <c r="D1362" s="212" t="n"/>
      <c r="E1362" s="75">
        <f>+C1362&amp;F1362</f>
        <v/>
      </c>
      <c r="F1362" s="80" t="n"/>
      <c r="G1362" s="81" t="n"/>
      <c r="H1362" s="78" t="n"/>
      <c r="I1362" s="78" t="n"/>
      <c r="J1362" s="78" t="n"/>
    </row>
    <row r="1363">
      <c r="A1363" s="84">
        <f>ROW()-6</f>
        <v/>
      </c>
      <c r="B1363" s="85">
        <f>+MATCH(D1363,ARTICULOS!$F$10:$F$699,0)</f>
        <v/>
      </c>
      <c r="C1363" s="86">
        <f>+VLOOKUP(B1363,ARTICULOS!$D$10:$I$699,6)</f>
        <v/>
      </c>
      <c r="D1363" s="212" t="n"/>
      <c r="E1363" s="75">
        <f>+C1363&amp;F1363</f>
        <v/>
      </c>
      <c r="F1363" s="80" t="n"/>
      <c r="G1363" s="81" t="n"/>
      <c r="H1363" s="78" t="n"/>
      <c r="I1363" s="78" t="n"/>
      <c r="J1363" s="78" t="n"/>
    </row>
    <row r="1364">
      <c r="A1364" s="84">
        <f>ROW()-6</f>
        <v/>
      </c>
      <c r="B1364" s="85">
        <f>+MATCH(D1364,ARTICULOS!$F$10:$F$699,0)</f>
        <v/>
      </c>
      <c r="C1364" s="86">
        <f>+VLOOKUP(B1364,ARTICULOS!$D$10:$I$699,6)</f>
        <v/>
      </c>
      <c r="D1364" s="212" t="n"/>
      <c r="E1364" s="75">
        <f>+C1364&amp;F1364</f>
        <v/>
      </c>
      <c r="F1364" s="80" t="n"/>
      <c r="G1364" s="81" t="n"/>
      <c r="H1364" s="78" t="n"/>
      <c r="I1364" s="78" t="n"/>
      <c r="J1364" s="78" t="n"/>
    </row>
    <row r="1365">
      <c r="A1365" s="84">
        <f>ROW()-6</f>
        <v/>
      </c>
      <c r="B1365" s="85">
        <f>+MATCH(D1365,ARTICULOS!$F$10:$F$699,0)</f>
        <v/>
      </c>
      <c r="C1365" s="86">
        <f>+VLOOKUP(B1365,ARTICULOS!$D$10:$I$699,6)</f>
        <v/>
      </c>
      <c r="D1365" s="212" t="n"/>
      <c r="E1365" s="75">
        <f>+C1365&amp;F1365</f>
        <v/>
      </c>
      <c r="F1365" s="80" t="n"/>
      <c r="G1365" s="81" t="n"/>
      <c r="H1365" s="78" t="n"/>
      <c r="I1365" s="78" t="n"/>
      <c r="J1365" s="78" t="n"/>
    </row>
    <row r="1366">
      <c r="A1366" s="84">
        <f>ROW()-6</f>
        <v/>
      </c>
      <c r="B1366" s="85">
        <f>+MATCH(D1366,ARTICULOS!$F$10:$F$699,0)</f>
        <v/>
      </c>
      <c r="C1366" s="86">
        <f>+VLOOKUP(B1366,ARTICULOS!$D$10:$I$699,6)</f>
        <v/>
      </c>
      <c r="D1366" s="212" t="n"/>
      <c r="E1366" s="75">
        <f>+C1366&amp;F1366</f>
        <v/>
      </c>
      <c r="F1366" s="80" t="n"/>
      <c r="G1366" s="81" t="n"/>
      <c r="H1366" s="78" t="n"/>
      <c r="I1366" s="78" t="n"/>
      <c r="J1366" s="78" t="n"/>
    </row>
    <row r="1367">
      <c r="A1367" s="84">
        <f>ROW()-6</f>
        <v/>
      </c>
      <c r="B1367" s="85">
        <f>+MATCH(D1367,ARTICULOS!$F$10:$F$699,0)</f>
        <v/>
      </c>
      <c r="C1367" s="86">
        <f>+VLOOKUP(B1367,ARTICULOS!$D$10:$I$699,6)</f>
        <v/>
      </c>
      <c r="D1367" s="212" t="n"/>
      <c r="E1367" s="75">
        <f>+C1367&amp;F1367</f>
        <v/>
      </c>
      <c r="F1367" s="80" t="n"/>
      <c r="G1367" s="81" t="n"/>
      <c r="H1367" s="78" t="n"/>
      <c r="I1367" s="78" t="n"/>
      <c r="J1367" s="78" t="n"/>
    </row>
    <row r="1368">
      <c r="A1368" s="84">
        <f>ROW()-6</f>
        <v/>
      </c>
      <c r="B1368" s="85">
        <f>+MATCH(D1368,ARTICULOS!$F$10:$F$699,0)</f>
        <v/>
      </c>
      <c r="C1368" s="86">
        <f>+VLOOKUP(B1368,ARTICULOS!$D$10:$I$699,6)</f>
        <v/>
      </c>
      <c r="D1368" s="212" t="n"/>
      <c r="E1368" s="75">
        <f>+C1368&amp;F1368</f>
        <v/>
      </c>
      <c r="F1368" s="80" t="n"/>
      <c r="G1368" s="81" t="n"/>
      <c r="H1368" s="78" t="n"/>
      <c r="I1368" s="78" t="n"/>
      <c r="J1368" s="78" t="n"/>
    </row>
    <row r="1369">
      <c r="A1369" s="84">
        <f>ROW()-6</f>
        <v/>
      </c>
      <c r="B1369" s="85">
        <f>+MATCH(D1369,ARTICULOS!$F$10:$F$699,0)</f>
        <v/>
      </c>
      <c r="C1369" s="86">
        <f>+VLOOKUP(B1369,ARTICULOS!$D$10:$I$699,6)</f>
        <v/>
      </c>
      <c r="D1369" s="212" t="n"/>
      <c r="E1369" s="75">
        <f>+C1369&amp;F1369</f>
        <v/>
      </c>
      <c r="F1369" s="80" t="n"/>
      <c r="G1369" s="81" t="n"/>
      <c r="H1369" s="78" t="n"/>
      <c r="I1369" s="78" t="n"/>
      <c r="J1369" s="78" t="n"/>
    </row>
    <row r="1370">
      <c r="A1370" s="84">
        <f>ROW()-6</f>
        <v/>
      </c>
      <c r="B1370" s="85">
        <f>+MATCH(D1370,ARTICULOS!$F$10:$F$699,0)</f>
        <v/>
      </c>
      <c r="C1370" s="86">
        <f>+VLOOKUP(B1370,ARTICULOS!$D$10:$I$699,6)</f>
        <v/>
      </c>
      <c r="D1370" s="212" t="n"/>
      <c r="E1370" s="75">
        <f>+C1370&amp;F1370</f>
        <v/>
      </c>
      <c r="F1370" s="80" t="n"/>
      <c r="G1370" s="81" t="n"/>
      <c r="H1370" s="78" t="n"/>
      <c r="I1370" s="78" t="n"/>
      <c r="J1370" s="78" t="n"/>
    </row>
    <row r="1371">
      <c r="A1371" s="84">
        <f>ROW()-6</f>
        <v/>
      </c>
      <c r="B1371" s="85">
        <f>+MATCH(D1371,ARTICULOS!$F$10:$F$699,0)</f>
        <v/>
      </c>
      <c r="C1371" s="86">
        <f>+VLOOKUP(B1371,ARTICULOS!$D$10:$I$699,6)</f>
        <v/>
      </c>
      <c r="D1371" s="212" t="n"/>
      <c r="E1371" s="75">
        <f>+C1371&amp;F1371</f>
        <v/>
      </c>
      <c r="F1371" s="80" t="n"/>
      <c r="G1371" s="81" t="n"/>
      <c r="H1371" s="78" t="n"/>
      <c r="I1371" s="78" t="n"/>
      <c r="J1371" s="78" t="n"/>
    </row>
    <row r="1372">
      <c r="A1372" s="84">
        <f>ROW()-6</f>
        <v/>
      </c>
      <c r="B1372" s="85">
        <f>+MATCH(D1372,ARTICULOS!$F$10:$F$699,0)</f>
        <v/>
      </c>
      <c r="C1372" s="86">
        <f>+VLOOKUP(B1372,ARTICULOS!$D$10:$I$699,6)</f>
        <v/>
      </c>
      <c r="D1372" s="212" t="n"/>
      <c r="E1372" s="75">
        <f>+C1372&amp;F1372</f>
        <v/>
      </c>
      <c r="F1372" s="80" t="n"/>
      <c r="G1372" s="81" t="n"/>
      <c r="H1372" s="78" t="n"/>
      <c r="I1372" s="78" t="n"/>
      <c r="J1372" s="78" t="n"/>
    </row>
    <row r="1373">
      <c r="A1373" s="84">
        <f>ROW()-6</f>
        <v/>
      </c>
      <c r="B1373" s="85">
        <f>+MATCH(D1373,ARTICULOS!$F$10:$F$699,0)</f>
        <v/>
      </c>
      <c r="C1373" s="86">
        <f>+VLOOKUP(B1373,ARTICULOS!$D$10:$I$699,6)</f>
        <v/>
      </c>
      <c r="D1373" s="212" t="n"/>
      <c r="E1373" s="75">
        <f>+C1373&amp;F1373</f>
        <v/>
      </c>
      <c r="F1373" s="80" t="n"/>
      <c r="G1373" s="81" t="n"/>
      <c r="H1373" s="78" t="n"/>
      <c r="I1373" s="78" t="n"/>
      <c r="J1373" s="78" t="n"/>
    </row>
    <row r="1374">
      <c r="A1374" s="84">
        <f>ROW()-6</f>
        <v/>
      </c>
      <c r="B1374" s="85">
        <f>+MATCH(D1374,ARTICULOS!$F$10:$F$699,0)</f>
        <v/>
      </c>
      <c r="C1374" s="86">
        <f>+VLOOKUP(B1374,ARTICULOS!$D$10:$I$699,6)</f>
        <v/>
      </c>
      <c r="D1374" s="212" t="n"/>
      <c r="E1374" s="75">
        <f>+C1374&amp;F1374</f>
        <v/>
      </c>
      <c r="F1374" s="80" t="n"/>
      <c r="G1374" s="81" t="n"/>
      <c r="H1374" s="78" t="n"/>
      <c r="I1374" s="78" t="n"/>
      <c r="J1374" s="78" t="n"/>
    </row>
    <row r="1375">
      <c r="A1375" s="84">
        <f>ROW()-6</f>
        <v/>
      </c>
      <c r="B1375" s="85">
        <f>+MATCH(D1375,ARTICULOS!$F$10:$F$699,0)</f>
        <v/>
      </c>
      <c r="C1375" s="86">
        <f>+VLOOKUP(B1375,ARTICULOS!$D$10:$I$699,6)</f>
        <v/>
      </c>
      <c r="D1375" s="212" t="n"/>
      <c r="E1375" s="75">
        <f>+C1375&amp;F1375</f>
        <v/>
      </c>
      <c r="F1375" s="80" t="n"/>
      <c r="G1375" s="81" t="n"/>
      <c r="H1375" s="78" t="n"/>
      <c r="I1375" s="78" t="n"/>
      <c r="J1375" s="78" t="n"/>
    </row>
    <row r="1376">
      <c r="A1376" s="84">
        <f>ROW()-6</f>
        <v/>
      </c>
      <c r="B1376" s="85">
        <f>+MATCH(D1376,ARTICULOS!$F$10:$F$699,0)</f>
        <v/>
      </c>
      <c r="C1376" s="86">
        <f>+VLOOKUP(B1376,ARTICULOS!$D$10:$I$699,6)</f>
        <v/>
      </c>
      <c r="D1376" s="212" t="n"/>
      <c r="E1376" s="75">
        <f>+C1376&amp;F1376</f>
        <v/>
      </c>
      <c r="F1376" s="80" t="n"/>
      <c r="G1376" s="81" t="n"/>
      <c r="H1376" s="78" t="n"/>
      <c r="I1376" s="78" t="n"/>
      <c r="J1376" s="78" t="n"/>
    </row>
    <row r="1377">
      <c r="A1377" s="84">
        <f>ROW()-6</f>
        <v/>
      </c>
      <c r="B1377" s="85">
        <f>+MATCH(D1377,ARTICULOS!$F$10:$F$699,0)</f>
        <v/>
      </c>
      <c r="C1377" s="86">
        <f>+VLOOKUP(B1377,ARTICULOS!$D$10:$I$699,6)</f>
        <v/>
      </c>
      <c r="D1377" s="212" t="n"/>
      <c r="E1377" s="75">
        <f>+C1377&amp;F1377</f>
        <v/>
      </c>
      <c r="F1377" s="80" t="n"/>
      <c r="G1377" s="81" t="n"/>
      <c r="H1377" s="78" t="n"/>
      <c r="I1377" s="78" t="n"/>
      <c r="J1377" s="78" t="n"/>
    </row>
    <row r="1378">
      <c r="A1378" s="84">
        <f>ROW()-6</f>
        <v/>
      </c>
      <c r="B1378" s="85">
        <f>+MATCH(D1378,ARTICULOS!$F$10:$F$699,0)</f>
        <v/>
      </c>
      <c r="C1378" s="86">
        <f>+VLOOKUP(B1378,ARTICULOS!$D$10:$I$699,6)</f>
        <v/>
      </c>
      <c r="D1378" s="212" t="n"/>
      <c r="E1378" s="75">
        <f>+C1378&amp;F1378</f>
        <v/>
      </c>
      <c r="F1378" s="80" t="n"/>
      <c r="G1378" s="81" t="n"/>
      <c r="H1378" s="78" t="n"/>
      <c r="I1378" s="78" t="n"/>
      <c r="J1378" s="78" t="n"/>
    </row>
    <row r="1379">
      <c r="A1379" s="84">
        <f>ROW()-6</f>
        <v/>
      </c>
      <c r="B1379" s="85">
        <f>+MATCH(D1379,ARTICULOS!$F$10:$F$699,0)</f>
        <v/>
      </c>
      <c r="C1379" s="86">
        <f>+VLOOKUP(B1379,ARTICULOS!$D$10:$I$699,6)</f>
        <v/>
      </c>
      <c r="D1379" s="212" t="n"/>
      <c r="E1379" s="75">
        <f>+C1379&amp;F1379</f>
        <v/>
      </c>
      <c r="F1379" s="80" t="n"/>
      <c r="G1379" s="81" t="n"/>
      <c r="H1379" s="78" t="n"/>
      <c r="I1379" s="78" t="n"/>
      <c r="J1379" s="78" t="n"/>
    </row>
    <row r="1380">
      <c r="A1380" s="84">
        <f>ROW()-6</f>
        <v/>
      </c>
      <c r="B1380" s="85">
        <f>+MATCH(D1380,ARTICULOS!$F$10:$F$699,0)</f>
        <v/>
      </c>
      <c r="C1380" s="86">
        <f>+VLOOKUP(B1380,ARTICULOS!$D$10:$I$699,6)</f>
        <v/>
      </c>
      <c r="D1380" s="212" t="n"/>
      <c r="E1380" s="75">
        <f>+C1380&amp;F1380</f>
        <v/>
      </c>
      <c r="F1380" s="80" t="n"/>
      <c r="G1380" s="81" t="n"/>
      <c r="H1380" s="78" t="n"/>
      <c r="I1380" s="78" t="n"/>
      <c r="J1380" s="78" t="n"/>
    </row>
    <row r="1381">
      <c r="A1381" s="84">
        <f>ROW()-6</f>
        <v/>
      </c>
      <c r="B1381" s="85">
        <f>+MATCH(D1381,ARTICULOS!$F$10:$F$699,0)</f>
        <v/>
      </c>
      <c r="C1381" s="86">
        <f>+VLOOKUP(B1381,ARTICULOS!$D$10:$I$699,6)</f>
        <v/>
      </c>
      <c r="D1381" s="212" t="n"/>
      <c r="E1381" s="75">
        <f>+C1381&amp;F1381</f>
        <v/>
      </c>
      <c r="F1381" s="80" t="n"/>
      <c r="G1381" s="81" t="n"/>
      <c r="H1381" s="78" t="n"/>
      <c r="I1381" s="78" t="n"/>
      <c r="J1381" s="78" t="n"/>
    </row>
    <row r="1382">
      <c r="A1382" s="84">
        <f>ROW()-6</f>
        <v/>
      </c>
      <c r="B1382" s="85">
        <f>+MATCH(D1382,ARTICULOS!$F$10:$F$699,0)</f>
        <v/>
      </c>
      <c r="C1382" s="86">
        <f>+VLOOKUP(B1382,ARTICULOS!$D$10:$I$699,6)</f>
        <v/>
      </c>
      <c r="D1382" s="212" t="n"/>
      <c r="E1382" s="75">
        <f>+C1382&amp;F1382</f>
        <v/>
      </c>
      <c r="F1382" s="80" t="n"/>
      <c r="G1382" s="81" t="n"/>
      <c r="H1382" s="78" t="n"/>
      <c r="I1382" s="78" t="n"/>
      <c r="J1382" s="78" t="n"/>
    </row>
    <row r="1383">
      <c r="A1383" s="84">
        <f>ROW()-6</f>
        <v/>
      </c>
      <c r="B1383" s="85">
        <f>+MATCH(D1383,ARTICULOS!$F$10:$F$699,0)</f>
        <v/>
      </c>
      <c r="C1383" s="86">
        <f>+VLOOKUP(B1383,ARTICULOS!$D$10:$I$699,6)</f>
        <v/>
      </c>
      <c r="D1383" s="212" t="n"/>
      <c r="E1383" s="75">
        <f>+C1383&amp;F1383</f>
        <v/>
      </c>
      <c r="F1383" s="80" t="n"/>
      <c r="G1383" s="81" t="n"/>
      <c r="H1383" s="78" t="n"/>
      <c r="I1383" s="78" t="n"/>
      <c r="J1383" s="78" t="n"/>
    </row>
    <row r="1384">
      <c r="A1384" s="84">
        <f>ROW()-6</f>
        <v/>
      </c>
      <c r="B1384" s="85">
        <f>+MATCH(D1384,ARTICULOS!$F$10:$F$699,0)</f>
        <v/>
      </c>
      <c r="C1384" s="86">
        <f>+VLOOKUP(B1384,ARTICULOS!$D$10:$I$699,6)</f>
        <v/>
      </c>
      <c r="D1384" s="212" t="n"/>
      <c r="E1384" s="75">
        <f>+C1384&amp;F1384</f>
        <v/>
      </c>
      <c r="F1384" s="80" t="n"/>
      <c r="G1384" s="81" t="n"/>
      <c r="H1384" s="78" t="n"/>
      <c r="I1384" s="78" t="n"/>
      <c r="J1384" s="78" t="n"/>
    </row>
    <row r="1385">
      <c r="A1385" s="84">
        <f>ROW()-6</f>
        <v/>
      </c>
      <c r="B1385" s="85">
        <f>+MATCH(D1385,ARTICULOS!$F$10:$F$699,0)</f>
        <v/>
      </c>
      <c r="C1385" s="86">
        <f>+VLOOKUP(B1385,ARTICULOS!$D$10:$I$699,6)</f>
        <v/>
      </c>
      <c r="D1385" s="212" t="n"/>
      <c r="E1385" s="75">
        <f>+C1385&amp;F1385</f>
        <v/>
      </c>
      <c r="F1385" s="80" t="n"/>
      <c r="G1385" s="81" t="n"/>
      <c r="H1385" s="78" t="n"/>
      <c r="I1385" s="78" t="n"/>
      <c r="J1385" s="78" t="n"/>
    </row>
    <row r="1386">
      <c r="A1386" s="84">
        <f>ROW()-6</f>
        <v/>
      </c>
      <c r="B1386" s="85">
        <f>+MATCH(D1386,ARTICULOS!$F$10:$F$699,0)</f>
        <v/>
      </c>
      <c r="C1386" s="86">
        <f>+VLOOKUP(B1386,ARTICULOS!$D$10:$I$699,6)</f>
        <v/>
      </c>
      <c r="D1386" s="212" t="n"/>
      <c r="E1386" s="75">
        <f>+C1386&amp;F1386</f>
        <v/>
      </c>
      <c r="F1386" s="80" t="n"/>
      <c r="G1386" s="81" t="n"/>
      <c r="H1386" s="78" t="n"/>
      <c r="I1386" s="78" t="n"/>
      <c r="J1386" s="78" t="n"/>
    </row>
    <row r="1387">
      <c r="A1387" s="84">
        <f>ROW()-6</f>
        <v/>
      </c>
      <c r="B1387" s="85">
        <f>+MATCH(D1387,ARTICULOS!$F$10:$F$699,0)</f>
        <v/>
      </c>
      <c r="C1387" s="86">
        <f>+VLOOKUP(B1387,ARTICULOS!$D$10:$I$699,6)</f>
        <v/>
      </c>
      <c r="D1387" s="212" t="n"/>
      <c r="E1387" s="75">
        <f>+C1387&amp;F1387</f>
        <v/>
      </c>
      <c r="F1387" s="80" t="n"/>
      <c r="G1387" s="81" t="n"/>
      <c r="H1387" s="78" t="n"/>
      <c r="I1387" s="78" t="n"/>
      <c r="J1387" s="78" t="n"/>
    </row>
    <row r="1388">
      <c r="A1388" s="84">
        <f>ROW()-6</f>
        <v/>
      </c>
      <c r="B1388" s="85">
        <f>+MATCH(D1388,ARTICULOS!$F$10:$F$699,0)</f>
        <v/>
      </c>
      <c r="C1388" s="86">
        <f>+VLOOKUP(B1388,ARTICULOS!$D$10:$I$699,6)</f>
        <v/>
      </c>
      <c r="D1388" s="212" t="n"/>
      <c r="E1388" s="75">
        <f>+C1388&amp;F1388</f>
        <v/>
      </c>
      <c r="F1388" s="80" t="n"/>
      <c r="G1388" s="81" t="n"/>
      <c r="H1388" s="78" t="n"/>
      <c r="I1388" s="78" t="n"/>
      <c r="J1388" s="78" t="n"/>
    </row>
    <row r="1389">
      <c r="A1389" s="84">
        <f>ROW()-6</f>
        <v/>
      </c>
      <c r="B1389" s="85">
        <f>+MATCH(D1389,ARTICULOS!$F$10:$F$699,0)</f>
        <v/>
      </c>
      <c r="C1389" s="86">
        <f>+VLOOKUP(B1389,ARTICULOS!$D$10:$I$699,6)</f>
        <v/>
      </c>
      <c r="D1389" s="212" t="n"/>
      <c r="E1389" s="75">
        <f>+C1389&amp;F1389</f>
        <v/>
      </c>
      <c r="F1389" s="80" t="n"/>
      <c r="G1389" s="81" t="n"/>
      <c r="H1389" s="78" t="n"/>
      <c r="I1389" s="78" t="n"/>
      <c r="J1389" s="78" t="n"/>
    </row>
    <row r="1390">
      <c r="A1390" s="84">
        <f>ROW()-6</f>
        <v/>
      </c>
      <c r="B1390" s="85">
        <f>+MATCH(D1390,ARTICULOS!$F$10:$F$699,0)</f>
        <v/>
      </c>
      <c r="C1390" s="86">
        <f>+VLOOKUP(B1390,ARTICULOS!$D$10:$I$699,6)</f>
        <v/>
      </c>
      <c r="D1390" s="212" t="n"/>
      <c r="E1390" s="75">
        <f>+C1390&amp;F1390</f>
        <v/>
      </c>
      <c r="F1390" s="80" t="n"/>
      <c r="G1390" s="81" t="n"/>
      <c r="H1390" s="78" t="n"/>
      <c r="I1390" s="78" t="n"/>
      <c r="J1390" s="78" t="n"/>
    </row>
    <row r="1391">
      <c r="A1391" s="84">
        <f>ROW()-6</f>
        <v/>
      </c>
      <c r="B1391" s="85">
        <f>+MATCH(D1391,ARTICULOS!$F$10:$F$699,0)</f>
        <v/>
      </c>
      <c r="C1391" s="86">
        <f>+VLOOKUP(B1391,ARTICULOS!$D$10:$I$699,6)</f>
        <v/>
      </c>
      <c r="D1391" s="212" t="n"/>
      <c r="E1391" s="75">
        <f>+C1391&amp;F1391</f>
        <v/>
      </c>
      <c r="F1391" s="80" t="n"/>
      <c r="G1391" s="81" t="n"/>
      <c r="H1391" s="78" t="n"/>
      <c r="I1391" s="78" t="n"/>
      <c r="J1391" s="78" t="n"/>
    </row>
    <row r="1392">
      <c r="A1392" s="84">
        <f>ROW()-6</f>
        <v/>
      </c>
      <c r="B1392" s="85">
        <f>+MATCH(D1392,ARTICULOS!$F$10:$F$699,0)</f>
        <v/>
      </c>
      <c r="C1392" s="86">
        <f>+VLOOKUP(B1392,ARTICULOS!$D$10:$I$699,6)</f>
        <v/>
      </c>
      <c r="D1392" s="212" t="n"/>
      <c r="E1392" s="75">
        <f>+C1392&amp;F1392</f>
        <v/>
      </c>
      <c r="F1392" s="80" t="n"/>
      <c r="G1392" s="81" t="n"/>
      <c r="H1392" s="78" t="n"/>
      <c r="I1392" s="78" t="n"/>
      <c r="J1392" s="78" t="n"/>
    </row>
    <row r="1393">
      <c r="A1393" s="84">
        <f>ROW()-6</f>
        <v/>
      </c>
      <c r="B1393" s="85">
        <f>+MATCH(D1393,ARTICULOS!$F$10:$F$699,0)</f>
        <v/>
      </c>
      <c r="C1393" s="86">
        <f>+VLOOKUP(B1393,ARTICULOS!$D$10:$I$699,6)</f>
        <v/>
      </c>
      <c r="D1393" s="212" t="n"/>
      <c r="E1393" s="75">
        <f>+C1393&amp;F1393</f>
        <v/>
      </c>
      <c r="F1393" s="80" t="n"/>
      <c r="G1393" s="81" t="n"/>
      <c r="H1393" s="78" t="n"/>
      <c r="I1393" s="78" t="n"/>
      <c r="J1393" s="78" t="n"/>
    </row>
    <row r="1394">
      <c r="A1394" s="84">
        <f>ROW()-6</f>
        <v/>
      </c>
      <c r="B1394" s="85">
        <f>+MATCH(D1394,ARTICULOS!$F$10:$F$699,0)</f>
        <v/>
      </c>
      <c r="C1394" s="86">
        <f>+VLOOKUP(B1394,ARTICULOS!$D$10:$I$699,6)</f>
        <v/>
      </c>
      <c r="D1394" s="212" t="n"/>
      <c r="E1394" s="75">
        <f>+C1394&amp;F1394</f>
        <v/>
      </c>
      <c r="F1394" s="80" t="n"/>
      <c r="G1394" s="81" t="n"/>
      <c r="H1394" s="78" t="n"/>
      <c r="I1394" s="78" t="n"/>
      <c r="J1394" s="78" t="n"/>
    </row>
    <row r="1395">
      <c r="A1395" s="84">
        <f>ROW()-6</f>
        <v/>
      </c>
      <c r="B1395" s="85">
        <f>+MATCH(D1395,ARTICULOS!$F$10:$F$699,0)</f>
        <v/>
      </c>
      <c r="C1395" s="86">
        <f>+VLOOKUP(B1395,ARTICULOS!$D$10:$I$699,6)</f>
        <v/>
      </c>
      <c r="D1395" s="212" t="n"/>
      <c r="E1395" s="75">
        <f>+C1395&amp;F1395</f>
        <v/>
      </c>
      <c r="F1395" s="80" t="n"/>
      <c r="G1395" s="81" t="n"/>
      <c r="H1395" s="78" t="n"/>
      <c r="I1395" s="78" t="n"/>
      <c r="J1395" s="78" t="n"/>
    </row>
    <row r="1396">
      <c r="A1396" s="84">
        <f>ROW()-6</f>
        <v/>
      </c>
      <c r="B1396" s="85">
        <f>+MATCH(D1396,ARTICULOS!$F$10:$F$699,0)</f>
        <v/>
      </c>
      <c r="C1396" s="86">
        <f>+VLOOKUP(B1396,ARTICULOS!$D$10:$I$699,6)</f>
        <v/>
      </c>
      <c r="D1396" s="212" t="n"/>
      <c r="E1396" s="75">
        <f>+C1396&amp;F1396</f>
        <v/>
      </c>
      <c r="F1396" s="80" t="n"/>
      <c r="G1396" s="81" t="n"/>
      <c r="H1396" s="78" t="n"/>
      <c r="I1396" s="78" t="n"/>
      <c r="J1396" s="78" t="n"/>
    </row>
    <row r="1397">
      <c r="A1397" s="84">
        <f>ROW()-6</f>
        <v/>
      </c>
      <c r="B1397" s="85">
        <f>+MATCH(D1397,ARTICULOS!$F$10:$F$699,0)</f>
        <v/>
      </c>
      <c r="C1397" s="86">
        <f>+VLOOKUP(B1397,ARTICULOS!$D$10:$I$699,6)</f>
        <v/>
      </c>
      <c r="D1397" s="212" t="n"/>
      <c r="E1397" s="75">
        <f>+C1397&amp;F1397</f>
        <v/>
      </c>
      <c r="F1397" s="80" t="n"/>
      <c r="G1397" s="81" t="n"/>
      <c r="H1397" s="78" t="n"/>
      <c r="I1397" s="78" t="n"/>
      <c r="J1397" s="78" t="n"/>
    </row>
    <row r="1398">
      <c r="A1398" s="84">
        <f>ROW()-6</f>
        <v/>
      </c>
      <c r="B1398" s="85">
        <f>+MATCH(D1398,ARTICULOS!$F$10:$F$699,0)</f>
        <v/>
      </c>
      <c r="C1398" s="86">
        <f>+VLOOKUP(B1398,ARTICULOS!$D$10:$I$699,6)</f>
        <v/>
      </c>
      <c r="D1398" s="212" t="n"/>
      <c r="E1398" s="75">
        <f>+C1398&amp;F1398</f>
        <v/>
      </c>
      <c r="F1398" s="80" t="n"/>
      <c r="G1398" s="81" t="n"/>
      <c r="H1398" s="78" t="n"/>
      <c r="I1398" s="78" t="n"/>
      <c r="J1398" s="78" t="n"/>
    </row>
    <row r="1399">
      <c r="A1399" s="84">
        <f>ROW()-6</f>
        <v/>
      </c>
      <c r="B1399" s="85">
        <f>+MATCH(D1399,ARTICULOS!$F$10:$F$699,0)</f>
        <v/>
      </c>
      <c r="C1399" s="86">
        <f>+VLOOKUP(B1399,ARTICULOS!$D$10:$I$699,6)</f>
        <v/>
      </c>
      <c r="D1399" s="212" t="n"/>
      <c r="E1399" s="75">
        <f>+C1399&amp;F1399</f>
        <v/>
      </c>
      <c r="F1399" s="80" t="n"/>
      <c r="G1399" s="81" t="n"/>
      <c r="H1399" s="78" t="n"/>
      <c r="I1399" s="78" t="n"/>
      <c r="J1399" s="78" t="n"/>
    </row>
    <row r="1400">
      <c r="A1400" s="84">
        <f>ROW()-6</f>
        <v/>
      </c>
      <c r="B1400" s="85">
        <f>+MATCH(D1400,ARTICULOS!$F$10:$F$699,0)</f>
        <v/>
      </c>
      <c r="C1400" s="86">
        <f>+VLOOKUP(B1400,ARTICULOS!$D$10:$I$699,6)</f>
        <v/>
      </c>
      <c r="D1400" s="212" t="n"/>
      <c r="E1400" s="75">
        <f>+C1400&amp;F1400</f>
        <v/>
      </c>
      <c r="F1400" s="80" t="n"/>
      <c r="G1400" s="81" t="n"/>
      <c r="H1400" s="78" t="n"/>
      <c r="I1400" s="78" t="n"/>
      <c r="J1400" s="78" t="n"/>
    </row>
    <row r="1401">
      <c r="A1401" s="84">
        <f>ROW()-6</f>
        <v/>
      </c>
      <c r="B1401" s="85">
        <f>+MATCH(D1401,ARTICULOS!$F$10:$F$699,0)</f>
        <v/>
      </c>
      <c r="C1401" s="86">
        <f>+VLOOKUP(B1401,ARTICULOS!$D$10:$I$699,6)</f>
        <v/>
      </c>
      <c r="D1401" s="212" t="n"/>
      <c r="E1401" s="75">
        <f>+C1401&amp;F1401</f>
        <v/>
      </c>
      <c r="F1401" s="80" t="n"/>
      <c r="G1401" s="81" t="n"/>
      <c r="H1401" s="78" t="n"/>
      <c r="I1401" s="78" t="n"/>
      <c r="J1401" s="78" t="n"/>
    </row>
    <row r="1402">
      <c r="A1402" s="84">
        <f>ROW()-6</f>
        <v/>
      </c>
      <c r="B1402" s="85">
        <f>+MATCH(D1402,ARTICULOS!$F$10:$F$699,0)</f>
        <v/>
      </c>
      <c r="C1402" s="86">
        <f>+VLOOKUP(B1402,ARTICULOS!$D$10:$I$699,6)</f>
        <v/>
      </c>
      <c r="D1402" s="212" t="n"/>
      <c r="E1402" s="75">
        <f>+C1402&amp;F1402</f>
        <v/>
      </c>
      <c r="F1402" s="80" t="n"/>
      <c r="G1402" s="81" t="n"/>
      <c r="H1402" s="78" t="n"/>
      <c r="I1402" s="78" t="n"/>
      <c r="J1402" s="78" t="n"/>
    </row>
    <row r="1403">
      <c r="A1403" s="84">
        <f>ROW()-6</f>
        <v/>
      </c>
      <c r="B1403" s="85">
        <f>+MATCH(D1403,ARTICULOS!$F$10:$F$699,0)</f>
        <v/>
      </c>
      <c r="C1403" s="86">
        <f>+VLOOKUP(B1403,ARTICULOS!$D$10:$I$699,6)</f>
        <v/>
      </c>
      <c r="D1403" s="212" t="n"/>
      <c r="E1403" s="75">
        <f>+C1403&amp;F1403</f>
        <v/>
      </c>
      <c r="F1403" s="80" t="n"/>
      <c r="G1403" s="81" t="n"/>
      <c r="H1403" s="78" t="n"/>
      <c r="I1403" s="78" t="n"/>
      <c r="J1403" s="78" t="n"/>
    </row>
    <row r="1404">
      <c r="A1404" s="84">
        <f>ROW()-6</f>
        <v/>
      </c>
      <c r="B1404" s="85">
        <f>+MATCH(D1404,ARTICULOS!$F$10:$F$699,0)</f>
        <v/>
      </c>
      <c r="C1404" s="86">
        <f>+VLOOKUP(B1404,ARTICULOS!$D$10:$I$699,6)</f>
        <v/>
      </c>
      <c r="D1404" s="212" t="n"/>
      <c r="E1404" s="75">
        <f>+C1404&amp;F1404</f>
        <v/>
      </c>
      <c r="F1404" s="80" t="n"/>
      <c r="G1404" s="81" t="n"/>
      <c r="H1404" s="78" t="n"/>
      <c r="I1404" s="78" t="n"/>
      <c r="J1404" s="78" t="n"/>
    </row>
    <row r="1405">
      <c r="A1405" s="84">
        <f>ROW()-6</f>
        <v/>
      </c>
      <c r="B1405" s="85">
        <f>+MATCH(D1405,ARTICULOS!$F$10:$F$699,0)</f>
        <v/>
      </c>
      <c r="C1405" s="86">
        <f>+VLOOKUP(B1405,ARTICULOS!$D$10:$I$699,6)</f>
        <v/>
      </c>
      <c r="D1405" s="212" t="n"/>
      <c r="E1405" s="75">
        <f>+C1405&amp;F1405</f>
        <v/>
      </c>
      <c r="F1405" s="80" t="n"/>
      <c r="G1405" s="81" t="n"/>
      <c r="H1405" s="78" t="n"/>
      <c r="I1405" s="78" t="n"/>
      <c r="J1405" s="78" t="n"/>
    </row>
    <row r="1406">
      <c r="A1406" s="84">
        <f>ROW()-6</f>
        <v/>
      </c>
      <c r="B1406" s="85">
        <f>+MATCH(D1406,ARTICULOS!$F$10:$F$699,0)</f>
        <v/>
      </c>
      <c r="C1406" s="86">
        <f>+VLOOKUP(B1406,ARTICULOS!$D$10:$I$699,6)</f>
        <v/>
      </c>
      <c r="D1406" s="212" t="n"/>
      <c r="E1406" s="75">
        <f>+C1406&amp;F1406</f>
        <v/>
      </c>
      <c r="F1406" s="80" t="n"/>
      <c r="G1406" s="81" t="n"/>
      <c r="H1406" s="78" t="n"/>
      <c r="I1406" s="78" t="n"/>
      <c r="J1406" s="78" t="n"/>
    </row>
    <row r="1407">
      <c r="A1407" s="84">
        <f>ROW()-6</f>
        <v/>
      </c>
      <c r="B1407" s="85">
        <f>+MATCH(D1407,ARTICULOS!$F$10:$F$699,0)</f>
        <v/>
      </c>
      <c r="C1407" s="86">
        <f>+VLOOKUP(B1407,ARTICULOS!$D$10:$I$699,6)</f>
        <v/>
      </c>
      <c r="D1407" s="212" t="n"/>
      <c r="E1407" s="75">
        <f>+C1407&amp;F1407</f>
        <v/>
      </c>
      <c r="F1407" s="80" t="n"/>
      <c r="G1407" s="81" t="n"/>
      <c r="H1407" s="78" t="n"/>
      <c r="I1407" s="78" t="n"/>
      <c r="J1407" s="78" t="n"/>
    </row>
    <row r="1408">
      <c r="A1408" s="84">
        <f>ROW()-6</f>
        <v/>
      </c>
      <c r="B1408" s="85">
        <f>+MATCH(D1408,ARTICULOS!$F$10:$F$699,0)</f>
        <v/>
      </c>
      <c r="C1408" s="86">
        <f>+VLOOKUP(B1408,ARTICULOS!$D$10:$I$699,6)</f>
        <v/>
      </c>
      <c r="D1408" s="212" t="n"/>
      <c r="E1408" s="75">
        <f>+C1408&amp;F1408</f>
        <v/>
      </c>
      <c r="F1408" s="80" t="n"/>
      <c r="G1408" s="81" t="n"/>
      <c r="H1408" s="78" t="n"/>
      <c r="I1408" s="78" t="n"/>
      <c r="J1408" s="78" t="n"/>
    </row>
    <row r="1409">
      <c r="A1409" s="84">
        <f>ROW()-6</f>
        <v/>
      </c>
      <c r="B1409" s="85">
        <f>+MATCH(D1409,ARTICULOS!$F$10:$F$699,0)</f>
        <v/>
      </c>
      <c r="C1409" s="86">
        <f>+VLOOKUP(B1409,ARTICULOS!$D$10:$I$699,6)</f>
        <v/>
      </c>
      <c r="D1409" s="212" t="n"/>
      <c r="E1409" s="75">
        <f>+C1409&amp;F1409</f>
        <v/>
      </c>
      <c r="F1409" s="80" t="n"/>
      <c r="G1409" s="81" t="n"/>
      <c r="H1409" s="78" t="n"/>
      <c r="I1409" s="78" t="n"/>
      <c r="J1409" s="78" t="n"/>
    </row>
    <row r="1410">
      <c r="A1410" s="84">
        <f>ROW()-6</f>
        <v/>
      </c>
      <c r="B1410" s="85">
        <f>+MATCH(D1410,ARTICULOS!$F$10:$F$699,0)</f>
        <v/>
      </c>
      <c r="C1410" s="86">
        <f>+VLOOKUP(B1410,ARTICULOS!$D$10:$I$699,6)</f>
        <v/>
      </c>
      <c r="D1410" s="212" t="n"/>
      <c r="E1410" s="75">
        <f>+C1410&amp;F1410</f>
        <v/>
      </c>
      <c r="F1410" s="80" t="n"/>
      <c r="G1410" s="81" t="n"/>
      <c r="H1410" s="78" t="n"/>
      <c r="I1410" s="78" t="n"/>
      <c r="J1410" s="78" t="n"/>
    </row>
    <row r="1411">
      <c r="A1411" s="84">
        <f>ROW()-6</f>
        <v/>
      </c>
      <c r="B1411" s="85">
        <f>+MATCH(D1411,ARTICULOS!$F$10:$F$699,0)</f>
        <v/>
      </c>
      <c r="C1411" s="86">
        <f>+VLOOKUP(B1411,ARTICULOS!$D$10:$I$699,6)</f>
        <v/>
      </c>
      <c r="D1411" s="212" t="n"/>
      <c r="E1411" s="75">
        <f>+C1411&amp;F1411</f>
        <v/>
      </c>
      <c r="F1411" s="80" t="n"/>
      <c r="G1411" s="81" t="n"/>
      <c r="H1411" s="78" t="n"/>
      <c r="I1411" s="78" t="n"/>
      <c r="J1411" s="78" t="n"/>
    </row>
    <row r="1412">
      <c r="A1412" s="84">
        <f>ROW()-6</f>
        <v/>
      </c>
      <c r="B1412" s="85">
        <f>+MATCH(D1412,ARTICULOS!$F$10:$F$699,0)</f>
        <v/>
      </c>
      <c r="C1412" s="86">
        <f>+VLOOKUP(B1412,ARTICULOS!$D$10:$I$699,6)</f>
        <v/>
      </c>
      <c r="D1412" s="212" t="n"/>
      <c r="E1412" s="75">
        <f>+C1412&amp;F1412</f>
        <v/>
      </c>
      <c r="F1412" s="80" t="n"/>
      <c r="G1412" s="81" t="n"/>
      <c r="H1412" s="78" t="n"/>
      <c r="I1412" s="78" t="n"/>
      <c r="J1412" s="78" t="n"/>
    </row>
    <row r="1413">
      <c r="A1413" s="84">
        <f>ROW()-6</f>
        <v/>
      </c>
      <c r="B1413" s="85">
        <f>+MATCH(D1413,ARTICULOS!$F$10:$F$699,0)</f>
        <v/>
      </c>
      <c r="C1413" s="86">
        <f>+VLOOKUP(B1413,ARTICULOS!$D$10:$I$699,6)</f>
        <v/>
      </c>
      <c r="D1413" s="212" t="n"/>
      <c r="E1413" s="75">
        <f>+C1413&amp;F1413</f>
        <v/>
      </c>
      <c r="F1413" s="80" t="n"/>
      <c r="G1413" s="81" t="n"/>
      <c r="H1413" s="78" t="n"/>
      <c r="I1413" s="78" t="n"/>
      <c r="J1413" s="78" t="n"/>
    </row>
    <row r="1414">
      <c r="A1414" s="84">
        <f>ROW()-6</f>
        <v/>
      </c>
      <c r="B1414" s="85">
        <f>+MATCH(D1414,ARTICULOS!$F$10:$F$699,0)</f>
        <v/>
      </c>
      <c r="C1414" s="86">
        <f>+VLOOKUP(B1414,ARTICULOS!$D$10:$I$699,6)</f>
        <v/>
      </c>
      <c r="D1414" s="212" t="n"/>
      <c r="E1414" s="75">
        <f>+C1414&amp;F1414</f>
        <v/>
      </c>
      <c r="F1414" s="80" t="n"/>
      <c r="G1414" s="81" t="n"/>
      <c r="H1414" s="78" t="n"/>
      <c r="I1414" s="78" t="n"/>
      <c r="J1414" s="78" t="n"/>
    </row>
    <row r="1415">
      <c r="A1415" s="84">
        <f>ROW()-6</f>
        <v/>
      </c>
      <c r="B1415" s="85">
        <f>+MATCH(D1415,ARTICULOS!$F$10:$F$699,0)</f>
        <v/>
      </c>
      <c r="C1415" s="86">
        <f>+VLOOKUP(B1415,ARTICULOS!$D$10:$I$699,6)</f>
        <v/>
      </c>
      <c r="D1415" s="212" t="n"/>
      <c r="E1415" s="75">
        <f>+C1415&amp;F1415</f>
        <v/>
      </c>
      <c r="F1415" s="80" t="n"/>
      <c r="G1415" s="81" t="n"/>
      <c r="H1415" s="78" t="n"/>
      <c r="I1415" s="78" t="n"/>
      <c r="J1415" s="78" t="n"/>
    </row>
    <row r="1416">
      <c r="A1416" s="84">
        <f>ROW()-6</f>
        <v/>
      </c>
      <c r="B1416" s="85">
        <f>+MATCH(D1416,ARTICULOS!$F$10:$F$699,0)</f>
        <v/>
      </c>
      <c r="C1416" s="86">
        <f>+VLOOKUP(B1416,ARTICULOS!$D$10:$I$699,6)</f>
        <v/>
      </c>
      <c r="D1416" s="212" t="n"/>
      <c r="E1416" s="75">
        <f>+C1416&amp;F1416</f>
        <v/>
      </c>
      <c r="F1416" s="80" t="n"/>
      <c r="G1416" s="81" t="n"/>
      <c r="H1416" s="78" t="n"/>
      <c r="I1416" s="78" t="n"/>
      <c r="J1416" s="78" t="n"/>
    </row>
    <row r="1417">
      <c r="A1417" s="84">
        <f>ROW()-6</f>
        <v/>
      </c>
      <c r="B1417" s="85">
        <f>+MATCH(D1417,ARTICULOS!$F$10:$F$699,0)</f>
        <v/>
      </c>
      <c r="C1417" s="86">
        <f>+VLOOKUP(B1417,ARTICULOS!$D$10:$I$699,6)</f>
        <v/>
      </c>
      <c r="D1417" s="212" t="n"/>
      <c r="E1417" s="75">
        <f>+C1417&amp;F1417</f>
        <v/>
      </c>
      <c r="F1417" s="80" t="n"/>
      <c r="G1417" s="81" t="n"/>
      <c r="H1417" s="78" t="n"/>
      <c r="I1417" s="78" t="n"/>
      <c r="J1417" s="78" t="n"/>
    </row>
    <row r="1418">
      <c r="A1418" s="84">
        <f>ROW()-6</f>
        <v/>
      </c>
      <c r="B1418" s="85">
        <f>+MATCH(D1418,ARTICULOS!$F$10:$F$699,0)</f>
        <v/>
      </c>
      <c r="C1418" s="86">
        <f>+VLOOKUP(B1418,ARTICULOS!$D$10:$I$699,6)</f>
        <v/>
      </c>
      <c r="D1418" s="212" t="n"/>
      <c r="E1418" s="75">
        <f>+C1418&amp;F1418</f>
        <v/>
      </c>
      <c r="F1418" s="80" t="n"/>
      <c r="G1418" s="81" t="n"/>
      <c r="H1418" s="78" t="n"/>
      <c r="I1418" s="78" t="n"/>
      <c r="J1418" s="78" t="n"/>
    </row>
    <row r="1419">
      <c r="A1419" s="84">
        <f>ROW()-6</f>
        <v/>
      </c>
      <c r="B1419" s="85">
        <f>+MATCH(D1419,ARTICULOS!$F$10:$F$699,0)</f>
        <v/>
      </c>
      <c r="C1419" s="86">
        <f>+VLOOKUP(B1419,ARTICULOS!$D$10:$I$699,6)</f>
        <v/>
      </c>
      <c r="D1419" s="212" t="n"/>
      <c r="E1419" s="75">
        <f>+C1419&amp;F1419</f>
        <v/>
      </c>
      <c r="F1419" s="80" t="n"/>
      <c r="G1419" s="81" t="n"/>
      <c r="H1419" s="78" t="n"/>
      <c r="I1419" s="78" t="n"/>
      <c r="J1419" s="78" t="n"/>
    </row>
    <row r="1420">
      <c r="A1420" s="84">
        <f>ROW()-6</f>
        <v/>
      </c>
      <c r="B1420" s="85">
        <f>+MATCH(D1420,ARTICULOS!$F$10:$F$699,0)</f>
        <v/>
      </c>
      <c r="C1420" s="86">
        <f>+VLOOKUP(B1420,ARTICULOS!$D$10:$I$699,6)</f>
        <v/>
      </c>
      <c r="D1420" s="212" t="n"/>
      <c r="E1420" s="75">
        <f>+C1420&amp;F1420</f>
        <v/>
      </c>
      <c r="F1420" s="80" t="n"/>
      <c r="G1420" s="81" t="n"/>
      <c r="H1420" s="78" t="n"/>
      <c r="I1420" s="78" t="n"/>
      <c r="J1420" s="78" t="n"/>
    </row>
    <row r="1421">
      <c r="A1421" s="84">
        <f>ROW()-6</f>
        <v/>
      </c>
      <c r="B1421" s="85">
        <f>+MATCH(D1421,ARTICULOS!$F$10:$F$699,0)</f>
        <v/>
      </c>
      <c r="C1421" s="86">
        <f>+VLOOKUP(B1421,ARTICULOS!$D$10:$I$699,6)</f>
        <v/>
      </c>
      <c r="D1421" s="212" t="n"/>
      <c r="E1421" s="75">
        <f>+C1421&amp;F1421</f>
        <v/>
      </c>
      <c r="F1421" s="80" t="n"/>
      <c r="G1421" s="81" t="n"/>
      <c r="H1421" s="78" t="n"/>
      <c r="I1421" s="78" t="n"/>
      <c r="J1421" s="78" t="n"/>
    </row>
    <row r="1422">
      <c r="A1422" s="84">
        <f>ROW()-6</f>
        <v/>
      </c>
      <c r="B1422" s="85">
        <f>+MATCH(D1422,ARTICULOS!$F$10:$F$699,0)</f>
        <v/>
      </c>
      <c r="C1422" s="86">
        <f>+VLOOKUP(B1422,ARTICULOS!$D$10:$I$699,6)</f>
        <v/>
      </c>
      <c r="D1422" s="212" t="n"/>
      <c r="E1422" s="75">
        <f>+C1422&amp;F1422</f>
        <v/>
      </c>
      <c r="F1422" s="80" t="n"/>
      <c r="G1422" s="81" t="n"/>
      <c r="H1422" s="78" t="n"/>
      <c r="I1422" s="78" t="n"/>
      <c r="J1422" s="78" t="n"/>
    </row>
    <row r="1423">
      <c r="A1423" s="84">
        <f>ROW()-6</f>
        <v/>
      </c>
      <c r="B1423" s="85">
        <f>+MATCH(D1423,ARTICULOS!$F$10:$F$699,0)</f>
        <v/>
      </c>
      <c r="C1423" s="86">
        <f>+VLOOKUP(B1423,ARTICULOS!$D$10:$I$699,6)</f>
        <v/>
      </c>
      <c r="D1423" s="212" t="n"/>
      <c r="E1423" s="75">
        <f>+C1423&amp;F1423</f>
        <v/>
      </c>
      <c r="F1423" s="80" t="n"/>
      <c r="G1423" s="81" t="n"/>
      <c r="H1423" s="78" t="n"/>
      <c r="I1423" s="78" t="n"/>
      <c r="J1423" s="78" t="n"/>
    </row>
    <row r="1424">
      <c r="A1424" s="84">
        <f>ROW()-6</f>
        <v/>
      </c>
      <c r="B1424" s="85">
        <f>+MATCH(D1424,ARTICULOS!$F$10:$F$699,0)</f>
        <v/>
      </c>
      <c r="C1424" s="86">
        <f>+VLOOKUP(B1424,ARTICULOS!$D$10:$I$699,6)</f>
        <v/>
      </c>
      <c r="D1424" s="212" t="n"/>
      <c r="E1424" s="75">
        <f>+C1424&amp;F1424</f>
        <v/>
      </c>
      <c r="F1424" s="80" t="n"/>
      <c r="G1424" s="81" t="n"/>
      <c r="H1424" s="78" t="n"/>
      <c r="I1424" s="78" t="n"/>
      <c r="J1424" s="78" t="n"/>
    </row>
    <row r="1425">
      <c r="A1425" s="84">
        <f>ROW()-6</f>
        <v/>
      </c>
      <c r="B1425" s="85">
        <f>+MATCH(D1425,ARTICULOS!$F$10:$F$699,0)</f>
        <v/>
      </c>
      <c r="C1425" s="86">
        <f>+VLOOKUP(B1425,ARTICULOS!$D$10:$I$699,6)</f>
        <v/>
      </c>
      <c r="D1425" s="212" t="n"/>
      <c r="E1425" s="75">
        <f>+C1425&amp;F1425</f>
        <v/>
      </c>
      <c r="F1425" s="80" t="n"/>
      <c r="G1425" s="81" t="n"/>
      <c r="H1425" s="78" t="n"/>
      <c r="I1425" s="78" t="n"/>
      <c r="J1425" s="78" t="n"/>
    </row>
    <row r="1426">
      <c r="A1426" s="84">
        <f>ROW()-6</f>
        <v/>
      </c>
      <c r="B1426" s="85">
        <f>+MATCH(D1426,ARTICULOS!$F$10:$F$699,0)</f>
        <v/>
      </c>
      <c r="C1426" s="86">
        <f>+VLOOKUP(B1426,ARTICULOS!$D$10:$I$699,6)</f>
        <v/>
      </c>
      <c r="D1426" s="212" t="n"/>
      <c r="E1426" s="75">
        <f>+C1426&amp;F1426</f>
        <v/>
      </c>
      <c r="F1426" s="80" t="n"/>
      <c r="G1426" s="81" t="n"/>
      <c r="H1426" s="78" t="n"/>
      <c r="I1426" s="78" t="n"/>
      <c r="J1426" s="78" t="n"/>
    </row>
    <row r="1427">
      <c r="A1427" s="84">
        <f>ROW()-6</f>
        <v/>
      </c>
      <c r="B1427" s="85">
        <f>+MATCH(D1427,ARTICULOS!$F$10:$F$699,0)</f>
        <v/>
      </c>
      <c r="C1427" s="86">
        <f>+VLOOKUP(B1427,ARTICULOS!$D$10:$I$699,6)</f>
        <v/>
      </c>
      <c r="D1427" s="212" t="n"/>
      <c r="E1427" s="75">
        <f>+C1427&amp;F1427</f>
        <v/>
      </c>
      <c r="F1427" s="80" t="n"/>
      <c r="G1427" s="81" t="n"/>
      <c r="H1427" s="78" t="n"/>
      <c r="I1427" s="78" t="n"/>
      <c r="J1427" s="78" t="n"/>
    </row>
    <row r="1428">
      <c r="A1428" s="84">
        <f>ROW()-6</f>
        <v/>
      </c>
      <c r="B1428" s="85">
        <f>+MATCH(D1428,ARTICULOS!$F$10:$F$699,0)</f>
        <v/>
      </c>
      <c r="C1428" s="86">
        <f>+VLOOKUP(B1428,ARTICULOS!$D$10:$I$699,6)</f>
        <v/>
      </c>
      <c r="D1428" s="212" t="n"/>
      <c r="E1428" s="75">
        <f>+C1428&amp;F1428</f>
        <v/>
      </c>
      <c r="F1428" s="80" t="n"/>
      <c r="G1428" s="81" t="n"/>
      <c r="H1428" s="78" t="n"/>
      <c r="I1428" s="78" t="n"/>
      <c r="J1428" s="78" t="n"/>
    </row>
    <row r="1429">
      <c r="A1429" s="84">
        <f>ROW()-6</f>
        <v/>
      </c>
      <c r="B1429" s="85">
        <f>+MATCH(D1429,ARTICULOS!$F$10:$F$699,0)</f>
        <v/>
      </c>
      <c r="C1429" s="86">
        <f>+VLOOKUP(B1429,ARTICULOS!$D$10:$I$699,6)</f>
        <v/>
      </c>
      <c r="D1429" s="212" t="n"/>
      <c r="E1429" s="75">
        <f>+C1429&amp;F1429</f>
        <v/>
      </c>
      <c r="F1429" s="80" t="n"/>
      <c r="G1429" s="81" t="n"/>
      <c r="H1429" s="78" t="n"/>
      <c r="I1429" s="78" t="n"/>
      <c r="J1429" s="78" t="n"/>
    </row>
    <row r="1430">
      <c r="A1430" s="84">
        <f>ROW()-6</f>
        <v/>
      </c>
      <c r="B1430" s="85">
        <f>+MATCH(D1430,ARTICULOS!$F$10:$F$699,0)</f>
        <v/>
      </c>
      <c r="C1430" s="86">
        <f>+VLOOKUP(B1430,ARTICULOS!$D$10:$I$699,6)</f>
        <v/>
      </c>
      <c r="D1430" s="212" t="n"/>
      <c r="E1430" s="75">
        <f>+C1430&amp;F1430</f>
        <v/>
      </c>
      <c r="F1430" s="80" t="n"/>
      <c r="G1430" s="81" t="n"/>
      <c r="H1430" s="78" t="n"/>
      <c r="I1430" s="78" t="n"/>
      <c r="J1430" s="78" t="n"/>
    </row>
    <row r="1431">
      <c r="A1431" s="84">
        <f>ROW()-6</f>
        <v/>
      </c>
      <c r="B1431" s="85">
        <f>+MATCH(D1431,ARTICULOS!$F$10:$F$699,0)</f>
        <v/>
      </c>
      <c r="C1431" s="86">
        <f>+VLOOKUP(B1431,ARTICULOS!$D$10:$I$699,6)</f>
        <v/>
      </c>
      <c r="D1431" s="212" t="n"/>
      <c r="E1431" s="75">
        <f>+C1431&amp;F1431</f>
        <v/>
      </c>
      <c r="F1431" s="80" t="n"/>
      <c r="G1431" s="81" t="n"/>
      <c r="H1431" s="78" t="n"/>
      <c r="I1431" s="78" t="n"/>
      <c r="J1431" s="78" t="n"/>
    </row>
    <row r="1432">
      <c r="A1432" s="84">
        <f>ROW()-6</f>
        <v/>
      </c>
      <c r="B1432" s="85">
        <f>+MATCH(D1432,ARTICULOS!$F$10:$F$699,0)</f>
        <v/>
      </c>
      <c r="C1432" s="86">
        <f>+VLOOKUP(B1432,ARTICULOS!$D$10:$I$699,6)</f>
        <v/>
      </c>
      <c r="D1432" s="212" t="n"/>
      <c r="E1432" s="75">
        <f>+C1432&amp;F1432</f>
        <v/>
      </c>
      <c r="F1432" s="80" t="n"/>
      <c r="G1432" s="81" t="n"/>
      <c r="H1432" s="78" t="n"/>
      <c r="I1432" s="78" t="n"/>
      <c r="J1432" s="78" t="n"/>
    </row>
    <row r="1433">
      <c r="A1433" s="84">
        <f>ROW()-6</f>
        <v/>
      </c>
      <c r="B1433" s="85">
        <f>+MATCH(D1433,ARTICULOS!$F$10:$F$699,0)</f>
        <v/>
      </c>
      <c r="C1433" s="86">
        <f>+VLOOKUP(B1433,ARTICULOS!$D$10:$I$699,6)</f>
        <v/>
      </c>
      <c r="D1433" s="212" t="n"/>
      <c r="E1433" s="75">
        <f>+C1433&amp;F1433</f>
        <v/>
      </c>
      <c r="F1433" s="80" t="n"/>
      <c r="G1433" s="81" t="n"/>
      <c r="H1433" s="78" t="n"/>
      <c r="I1433" s="78" t="n"/>
      <c r="J1433" s="78" t="n"/>
    </row>
    <row r="1434">
      <c r="A1434" s="84">
        <f>ROW()-6</f>
        <v/>
      </c>
      <c r="B1434" s="85">
        <f>+MATCH(D1434,ARTICULOS!$F$10:$F$699,0)</f>
        <v/>
      </c>
      <c r="C1434" s="86">
        <f>+VLOOKUP(B1434,ARTICULOS!$D$10:$I$699,6)</f>
        <v/>
      </c>
      <c r="D1434" s="212" t="n"/>
      <c r="E1434" s="75">
        <f>+C1434&amp;F1434</f>
        <v/>
      </c>
      <c r="F1434" s="80" t="n"/>
      <c r="G1434" s="81" t="n"/>
      <c r="H1434" s="78" t="n"/>
      <c r="I1434" s="78" t="n"/>
      <c r="J1434" s="78" t="n"/>
    </row>
    <row r="1435">
      <c r="A1435" s="84">
        <f>ROW()-6</f>
        <v/>
      </c>
      <c r="B1435" s="85">
        <f>+MATCH(D1435,ARTICULOS!$F$10:$F$699,0)</f>
        <v/>
      </c>
      <c r="C1435" s="86">
        <f>+VLOOKUP(B1435,ARTICULOS!$D$10:$I$699,6)</f>
        <v/>
      </c>
      <c r="D1435" s="212" t="n"/>
      <c r="E1435" s="75">
        <f>+C1435&amp;F1435</f>
        <v/>
      </c>
      <c r="F1435" s="80" t="n"/>
      <c r="G1435" s="81" t="n"/>
      <c r="H1435" s="78" t="n"/>
      <c r="I1435" s="78" t="n"/>
      <c r="J1435" s="78" t="n"/>
    </row>
    <row r="1436">
      <c r="A1436" s="84">
        <f>ROW()-6</f>
        <v/>
      </c>
      <c r="B1436" s="85">
        <f>+MATCH(D1436,ARTICULOS!$F$10:$F$699,0)</f>
        <v/>
      </c>
      <c r="C1436" s="86">
        <f>+VLOOKUP(B1436,ARTICULOS!$D$10:$I$699,6)</f>
        <v/>
      </c>
      <c r="D1436" s="212" t="n"/>
      <c r="E1436" s="75">
        <f>+C1436&amp;F1436</f>
        <v/>
      </c>
      <c r="F1436" s="80" t="n"/>
      <c r="G1436" s="81" t="n"/>
      <c r="H1436" s="78" t="n"/>
      <c r="I1436" s="78" t="n"/>
      <c r="J1436" s="78" t="n"/>
    </row>
    <row r="1437">
      <c r="A1437" s="84">
        <f>ROW()-6</f>
        <v/>
      </c>
      <c r="B1437" s="85">
        <f>+MATCH(D1437,ARTICULOS!$F$10:$F$699,0)</f>
        <v/>
      </c>
      <c r="C1437" s="86">
        <f>+VLOOKUP(B1437,ARTICULOS!$D$10:$I$699,6)</f>
        <v/>
      </c>
      <c r="D1437" s="212" t="n"/>
      <c r="E1437" s="75">
        <f>+C1437&amp;F1437</f>
        <v/>
      </c>
      <c r="F1437" s="80" t="n"/>
      <c r="G1437" s="81" t="n"/>
      <c r="H1437" s="78" t="n"/>
      <c r="I1437" s="78" t="n"/>
      <c r="J1437" s="78" t="n"/>
    </row>
    <row r="1438">
      <c r="A1438" s="84">
        <f>ROW()-6</f>
        <v/>
      </c>
      <c r="B1438" s="85">
        <f>+MATCH(D1438,ARTICULOS!$F$10:$F$699,0)</f>
        <v/>
      </c>
      <c r="C1438" s="86">
        <f>+VLOOKUP(B1438,ARTICULOS!$D$10:$I$699,6)</f>
        <v/>
      </c>
      <c r="D1438" s="212" t="n"/>
      <c r="E1438" s="75">
        <f>+C1438&amp;F1438</f>
        <v/>
      </c>
      <c r="F1438" s="80" t="n"/>
      <c r="G1438" s="81" t="n"/>
      <c r="H1438" s="78" t="n"/>
      <c r="I1438" s="78" t="n"/>
      <c r="J1438" s="78" t="n"/>
    </row>
    <row r="1439">
      <c r="A1439" s="84">
        <f>ROW()-6</f>
        <v/>
      </c>
      <c r="B1439" s="85">
        <f>+MATCH(D1439,ARTICULOS!$F$10:$F$699,0)</f>
        <v/>
      </c>
      <c r="C1439" s="86">
        <f>+VLOOKUP(B1439,ARTICULOS!$D$10:$I$699,6)</f>
        <v/>
      </c>
      <c r="D1439" s="212" t="n"/>
      <c r="E1439" s="75">
        <f>+C1439&amp;F1439</f>
        <v/>
      </c>
      <c r="F1439" s="80" t="n"/>
      <c r="G1439" s="81" t="n"/>
      <c r="H1439" s="78" t="n"/>
      <c r="I1439" s="78" t="n"/>
      <c r="J1439" s="78" t="n"/>
    </row>
    <row r="1440">
      <c r="A1440" s="84">
        <f>ROW()-6</f>
        <v/>
      </c>
      <c r="B1440" s="85">
        <f>+MATCH(D1440,ARTICULOS!$F$10:$F$699,0)</f>
        <v/>
      </c>
      <c r="C1440" s="86">
        <f>+VLOOKUP(B1440,ARTICULOS!$D$10:$I$699,6)</f>
        <v/>
      </c>
      <c r="D1440" s="212" t="n"/>
      <c r="E1440" s="75">
        <f>+C1440&amp;F1440</f>
        <v/>
      </c>
      <c r="F1440" s="80" t="n"/>
      <c r="G1440" s="81" t="n"/>
      <c r="H1440" s="78" t="n"/>
      <c r="I1440" s="78" t="n"/>
      <c r="J1440" s="78" t="n"/>
    </row>
    <row r="1441">
      <c r="A1441" s="84">
        <f>ROW()-6</f>
        <v/>
      </c>
      <c r="B1441" s="85">
        <f>+MATCH(D1441,ARTICULOS!$F$10:$F$699,0)</f>
        <v/>
      </c>
      <c r="C1441" s="86">
        <f>+VLOOKUP(B1441,ARTICULOS!$D$10:$I$699,6)</f>
        <v/>
      </c>
      <c r="D1441" s="212" t="n"/>
      <c r="E1441" s="75">
        <f>+C1441&amp;F1441</f>
        <v/>
      </c>
      <c r="F1441" s="80" t="n"/>
      <c r="G1441" s="81" t="n"/>
      <c r="H1441" s="78" t="n"/>
      <c r="I1441" s="78" t="n"/>
      <c r="J1441" s="78" t="n"/>
    </row>
    <row r="1442">
      <c r="A1442" s="84">
        <f>ROW()-6</f>
        <v/>
      </c>
      <c r="B1442" s="85">
        <f>+MATCH(D1442,ARTICULOS!$F$10:$F$699,0)</f>
        <v/>
      </c>
      <c r="C1442" s="86">
        <f>+VLOOKUP(B1442,ARTICULOS!$D$10:$I$699,6)</f>
        <v/>
      </c>
      <c r="D1442" s="212" t="n"/>
      <c r="E1442" s="75">
        <f>+C1442&amp;F1442</f>
        <v/>
      </c>
      <c r="F1442" s="80" t="n"/>
      <c r="G1442" s="81" t="n"/>
      <c r="H1442" s="78" t="n"/>
      <c r="I1442" s="78" t="n"/>
      <c r="J1442" s="78" t="n"/>
    </row>
    <row r="1443">
      <c r="A1443" s="84">
        <f>ROW()-6</f>
        <v/>
      </c>
      <c r="B1443" s="85">
        <f>+MATCH(D1443,ARTICULOS!$F$10:$F$699,0)</f>
        <v/>
      </c>
      <c r="C1443" s="86">
        <f>+VLOOKUP(B1443,ARTICULOS!$D$10:$I$699,6)</f>
        <v/>
      </c>
      <c r="D1443" s="212" t="n"/>
      <c r="E1443" s="75">
        <f>+C1443&amp;F1443</f>
        <v/>
      </c>
      <c r="F1443" s="80" t="n"/>
      <c r="G1443" s="81" t="n"/>
      <c r="H1443" s="78" t="n"/>
      <c r="I1443" s="78" t="n"/>
      <c r="J1443" s="78" t="n"/>
    </row>
    <row r="1444">
      <c r="A1444" s="84">
        <f>ROW()-6</f>
        <v/>
      </c>
      <c r="B1444" s="85">
        <f>+MATCH(D1444,ARTICULOS!$F$10:$F$699,0)</f>
        <v/>
      </c>
      <c r="C1444" s="86">
        <f>+VLOOKUP(B1444,ARTICULOS!$D$10:$I$699,6)</f>
        <v/>
      </c>
      <c r="D1444" s="212" t="n"/>
      <c r="E1444" s="75">
        <f>+C1444&amp;F1444</f>
        <v/>
      </c>
      <c r="F1444" s="80" t="n"/>
      <c r="G1444" s="81" t="n"/>
      <c r="H1444" s="78" t="n"/>
      <c r="I1444" s="78" t="n"/>
      <c r="J1444" s="78" t="n"/>
    </row>
    <row r="1445">
      <c r="A1445" s="84">
        <f>ROW()-6</f>
        <v/>
      </c>
      <c r="B1445" s="85">
        <f>+MATCH(D1445,ARTICULOS!$F$10:$F$699,0)</f>
        <v/>
      </c>
      <c r="C1445" s="86">
        <f>+VLOOKUP(B1445,ARTICULOS!$D$10:$I$699,6)</f>
        <v/>
      </c>
      <c r="D1445" s="212" t="n"/>
      <c r="E1445" s="75">
        <f>+C1445&amp;F1445</f>
        <v/>
      </c>
      <c r="F1445" s="80" t="n"/>
      <c r="G1445" s="81" t="n"/>
      <c r="H1445" s="78" t="n"/>
      <c r="I1445" s="78" t="n"/>
      <c r="J1445" s="78" t="n"/>
    </row>
    <row r="1446">
      <c r="A1446" s="84">
        <f>ROW()-6</f>
        <v/>
      </c>
      <c r="B1446" s="85">
        <f>+MATCH(D1446,ARTICULOS!$F$10:$F$699,0)</f>
        <v/>
      </c>
      <c r="C1446" s="86">
        <f>+VLOOKUP(B1446,ARTICULOS!$D$10:$I$699,6)</f>
        <v/>
      </c>
      <c r="D1446" s="212" t="n"/>
      <c r="E1446" s="75">
        <f>+C1446&amp;F1446</f>
        <v/>
      </c>
      <c r="F1446" s="80" t="n"/>
      <c r="G1446" s="81" t="n"/>
      <c r="H1446" s="78" t="n"/>
      <c r="I1446" s="78" t="n"/>
      <c r="J1446" s="78" t="n"/>
    </row>
    <row r="1447">
      <c r="A1447" s="84">
        <f>ROW()-6</f>
        <v/>
      </c>
      <c r="B1447" s="85">
        <f>+MATCH(D1447,ARTICULOS!$F$10:$F$699,0)</f>
        <v/>
      </c>
      <c r="C1447" s="86">
        <f>+VLOOKUP(B1447,ARTICULOS!$D$10:$I$699,6)</f>
        <v/>
      </c>
      <c r="D1447" s="212" t="n"/>
      <c r="E1447" s="75">
        <f>+C1447&amp;F1447</f>
        <v/>
      </c>
      <c r="F1447" s="80" t="n"/>
      <c r="G1447" s="81" t="n"/>
      <c r="H1447" s="78" t="n"/>
      <c r="I1447" s="78" t="n"/>
      <c r="J1447" s="78" t="n"/>
    </row>
    <row r="1448">
      <c r="A1448" s="84">
        <f>ROW()-6</f>
        <v/>
      </c>
      <c r="B1448" s="85">
        <f>+MATCH(D1448,ARTICULOS!$F$10:$F$699,0)</f>
        <v/>
      </c>
      <c r="C1448" s="86">
        <f>+VLOOKUP(B1448,ARTICULOS!$D$10:$I$699,6)</f>
        <v/>
      </c>
      <c r="D1448" s="212" t="n"/>
      <c r="E1448" s="75">
        <f>+C1448&amp;F1448</f>
        <v/>
      </c>
      <c r="F1448" s="80" t="n"/>
      <c r="G1448" s="81" t="n"/>
      <c r="H1448" s="78" t="n"/>
      <c r="I1448" s="78" t="n"/>
      <c r="J1448" s="78" t="n"/>
    </row>
    <row r="1449">
      <c r="A1449" s="84">
        <f>ROW()-6</f>
        <v/>
      </c>
      <c r="B1449" s="85">
        <f>+MATCH(D1449,ARTICULOS!$F$10:$F$699,0)</f>
        <v/>
      </c>
      <c r="C1449" s="86">
        <f>+VLOOKUP(B1449,ARTICULOS!$D$10:$I$699,6)</f>
        <v/>
      </c>
      <c r="D1449" s="212" t="n"/>
      <c r="E1449" s="75">
        <f>+C1449&amp;F1449</f>
        <v/>
      </c>
      <c r="F1449" s="80" t="n"/>
      <c r="G1449" s="81" t="n"/>
      <c r="H1449" s="78" t="n"/>
      <c r="I1449" s="78" t="n"/>
      <c r="J1449" s="78" t="n"/>
    </row>
    <row r="1450">
      <c r="A1450" s="84">
        <f>ROW()-6</f>
        <v/>
      </c>
      <c r="B1450" s="85">
        <f>+MATCH(D1450,ARTICULOS!$F$10:$F$699,0)</f>
        <v/>
      </c>
      <c r="C1450" s="86">
        <f>+VLOOKUP(B1450,ARTICULOS!$D$10:$I$699,6)</f>
        <v/>
      </c>
      <c r="D1450" s="212" t="n"/>
      <c r="E1450" s="75">
        <f>+C1450&amp;F1450</f>
        <v/>
      </c>
      <c r="F1450" s="80" t="n"/>
      <c r="G1450" s="81" t="n"/>
      <c r="H1450" s="78" t="n"/>
      <c r="I1450" s="78" t="n"/>
      <c r="J1450" s="78" t="n"/>
    </row>
    <row r="1451">
      <c r="A1451" s="84">
        <f>ROW()-6</f>
        <v/>
      </c>
      <c r="B1451" s="85">
        <f>+MATCH(D1451,ARTICULOS!$F$10:$F$699,0)</f>
        <v/>
      </c>
      <c r="C1451" s="86">
        <f>+VLOOKUP(B1451,ARTICULOS!$D$10:$I$699,6)</f>
        <v/>
      </c>
      <c r="D1451" s="212" t="n"/>
      <c r="E1451" s="75">
        <f>+C1451&amp;F1451</f>
        <v/>
      </c>
      <c r="F1451" s="80" t="n"/>
      <c r="G1451" s="81" t="n"/>
      <c r="H1451" s="78" t="n"/>
      <c r="I1451" s="78" t="n"/>
      <c r="J1451" s="78" t="n"/>
    </row>
    <row r="1452">
      <c r="A1452" s="84">
        <f>ROW()-6</f>
        <v/>
      </c>
      <c r="B1452" s="85">
        <f>+MATCH(D1452,ARTICULOS!$F$10:$F$699,0)</f>
        <v/>
      </c>
      <c r="C1452" s="86">
        <f>+VLOOKUP(B1452,ARTICULOS!$D$10:$I$699,6)</f>
        <v/>
      </c>
      <c r="D1452" s="212" t="n"/>
      <c r="E1452" s="75">
        <f>+C1452&amp;F1452</f>
        <v/>
      </c>
      <c r="F1452" s="80" t="n"/>
      <c r="G1452" s="81" t="n"/>
      <c r="H1452" s="78" t="n"/>
      <c r="I1452" s="78" t="n"/>
      <c r="J1452" s="78" t="n"/>
    </row>
    <row r="1453">
      <c r="A1453" s="84">
        <f>ROW()-6</f>
        <v/>
      </c>
      <c r="B1453" s="85">
        <f>+MATCH(D1453,ARTICULOS!$F$10:$F$699,0)</f>
        <v/>
      </c>
      <c r="C1453" s="86">
        <f>+VLOOKUP(B1453,ARTICULOS!$D$10:$I$699,6)</f>
        <v/>
      </c>
      <c r="D1453" s="212" t="n"/>
      <c r="E1453" s="75">
        <f>+C1453&amp;F1453</f>
        <v/>
      </c>
      <c r="F1453" s="80" t="n"/>
      <c r="G1453" s="81" t="n"/>
      <c r="H1453" s="78" t="n"/>
      <c r="I1453" s="78" t="n"/>
      <c r="J1453" s="78" t="n"/>
    </row>
    <row r="1454">
      <c r="A1454" s="84">
        <f>ROW()-6</f>
        <v/>
      </c>
      <c r="B1454" s="85">
        <f>+MATCH(D1454,ARTICULOS!$F$10:$F$699,0)</f>
        <v/>
      </c>
      <c r="C1454" s="86">
        <f>+VLOOKUP(B1454,ARTICULOS!$D$10:$I$699,6)</f>
        <v/>
      </c>
      <c r="D1454" s="212" t="n"/>
      <c r="E1454" s="75">
        <f>+C1454&amp;F1454</f>
        <v/>
      </c>
      <c r="F1454" s="80" t="n"/>
      <c r="G1454" s="81" t="n"/>
      <c r="H1454" s="78" t="n"/>
      <c r="I1454" s="78" t="n"/>
      <c r="J1454" s="78" t="n"/>
    </row>
    <row r="1455">
      <c r="A1455" s="84">
        <f>ROW()-6</f>
        <v/>
      </c>
      <c r="B1455" s="85">
        <f>+MATCH(D1455,ARTICULOS!$F$10:$F$699,0)</f>
        <v/>
      </c>
      <c r="C1455" s="86">
        <f>+VLOOKUP(B1455,ARTICULOS!$D$10:$I$699,6)</f>
        <v/>
      </c>
      <c r="D1455" s="212" t="n"/>
      <c r="E1455" s="75">
        <f>+C1455&amp;F1455</f>
        <v/>
      </c>
      <c r="F1455" s="80" t="n"/>
      <c r="G1455" s="81" t="n"/>
      <c r="H1455" s="78" t="n"/>
      <c r="I1455" s="78" t="n"/>
      <c r="J1455" s="78" t="n"/>
    </row>
    <row r="1456">
      <c r="A1456" s="84">
        <f>ROW()-6</f>
        <v/>
      </c>
      <c r="B1456" s="85">
        <f>+MATCH(D1456,ARTICULOS!$F$10:$F$699,0)</f>
        <v/>
      </c>
      <c r="C1456" s="86">
        <f>+VLOOKUP(B1456,ARTICULOS!$D$10:$I$699,6)</f>
        <v/>
      </c>
      <c r="D1456" s="212" t="n"/>
      <c r="E1456" s="75">
        <f>+C1456&amp;F1456</f>
        <v/>
      </c>
      <c r="F1456" s="80" t="n"/>
      <c r="G1456" s="81" t="n"/>
      <c r="H1456" s="78" t="n"/>
      <c r="I1456" s="78" t="n"/>
      <c r="J1456" s="78" t="n"/>
    </row>
    <row r="1457">
      <c r="A1457" s="84">
        <f>ROW()-6</f>
        <v/>
      </c>
      <c r="B1457" s="85">
        <f>+MATCH(D1457,ARTICULOS!$F$10:$F$699,0)</f>
        <v/>
      </c>
      <c r="C1457" s="86">
        <f>+VLOOKUP(B1457,ARTICULOS!$D$10:$I$699,6)</f>
        <v/>
      </c>
      <c r="D1457" s="212" t="n"/>
      <c r="E1457" s="75">
        <f>+C1457&amp;F1457</f>
        <v/>
      </c>
      <c r="F1457" s="80" t="n"/>
      <c r="G1457" s="81" t="n"/>
      <c r="H1457" s="78" t="n"/>
      <c r="I1457" s="78" t="n"/>
      <c r="J1457" s="78" t="n"/>
    </row>
    <row r="1458">
      <c r="A1458" s="84">
        <f>ROW()-6</f>
        <v/>
      </c>
      <c r="B1458" s="85">
        <f>+MATCH(D1458,ARTICULOS!$F$10:$F$699,0)</f>
        <v/>
      </c>
      <c r="C1458" s="86">
        <f>+VLOOKUP(B1458,ARTICULOS!$D$10:$I$699,6)</f>
        <v/>
      </c>
      <c r="D1458" s="212" t="n"/>
      <c r="E1458" s="75">
        <f>+C1458&amp;F1458</f>
        <v/>
      </c>
      <c r="F1458" s="80" t="n"/>
      <c r="G1458" s="81" t="n"/>
      <c r="H1458" s="78" t="n"/>
      <c r="I1458" s="78" t="n"/>
      <c r="J1458" s="78" t="n"/>
    </row>
    <row r="1459">
      <c r="A1459" s="84">
        <f>ROW()-6</f>
        <v/>
      </c>
      <c r="B1459" s="85">
        <f>+MATCH(D1459,ARTICULOS!$F$10:$F$699,0)</f>
        <v/>
      </c>
      <c r="C1459" s="86">
        <f>+VLOOKUP(B1459,ARTICULOS!$D$10:$I$699,6)</f>
        <v/>
      </c>
      <c r="D1459" s="212" t="n"/>
      <c r="E1459" s="75">
        <f>+C1459&amp;F1459</f>
        <v/>
      </c>
      <c r="F1459" s="80" t="n"/>
      <c r="G1459" s="81" t="n"/>
      <c r="H1459" s="78" t="n"/>
      <c r="I1459" s="78" t="n"/>
      <c r="J1459" s="78" t="n"/>
    </row>
    <row r="1460">
      <c r="A1460" s="84">
        <f>ROW()-6</f>
        <v/>
      </c>
      <c r="B1460" s="85">
        <f>+MATCH(D1460,ARTICULOS!$F$10:$F$699,0)</f>
        <v/>
      </c>
      <c r="C1460" s="86">
        <f>+VLOOKUP(B1460,ARTICULOS!$D$10:$I$699,6)</f>
        <v/>
      </c>
      <c r="D1460" s="212" t="n"/>
      <c r="E1460" s="75">
        <f>+C1460&amp;F1460</f>
        <v/>
      </c>
      <c r="F1460" s="80" t="n"/>
      <c r="G1460" s="81" t="n"/>
      <c r="H1460" s="78" t="n"/>
      <c r="I1460" s="78" t="n"/>
      <c r="J1460" s="78" t="n"/>
    </row>
    <row r="1461">
      <c r="A1461" s="84">
        <f>ROW()-6</f>
        <v/>
      </c>
      <c r="B1461" s="85">
        <f>+MATCH(D1461,ARTICULOS!$F$10:$F$699,0)</f>
        <v/>
      </c>
      <c r="C1461" s="86">
        <f>+VLOOKUP(B1461,ARTICULOS!$D$10:$I$699,6)</f>
        <v/>
      </c>
      <c r="D1461" s="212" t="n"/>
      <c r="E1461" s="75">
        <f>+C1461&amp;F1461</f>
        <v/>
      </c>
      <c r="F1461" s="80" t="n"/>
      <c r="G1461" s="81" t="n"/>
      <c r="H1461" s="78" t="n"/>
      <c r="I1461" s="78" t="n"/>
      <c r="J1461" s="78" t="n"/>
    </row>
    <row r="1462">
      <c r="A1462" s="84">
        <f>ROW()-6</f>
        <v/>
      </c>
      <c r="B1462" s="85">
        <f>+MATCH(D1462,ARTICULOS!$F$10:$F$699,0)</f>
        <v/>
      </c>
      <c r="C1462" s="86">
        <f>+VLOOKUP(B1462,ARTICULOS!$D$10:$I$699,6)</f>
        <v/>
      </c>
      <c r="D1462" s="212" t="n"/>
      <c r="E1462" s="75">
        <f>+C1462&amp;F1462</f>
        <v/>
      </c>
      <c r="F1462" s="80" t="n"/>
      <c r="G1462" s="81" t="n"/>
      <c r="H1462" s="78" t="n"/>
      <c r="I1462" s="78" t="n"/>
      <c r="J1462" s="78" t="n"/>
    </row>
    <row r="1463">
      <c r="A1463" s="84">
        <f>ROW()-6</f>
        <v/>
      </c>
      <c r="B1463" s="85">
        <f>+MATCH(D1463,ARTICULOS!$F$10:$F$699,0)</f>
        <v/>
      </c>
      <c r="C1463" s="86">
        <f>+VLOOKUP(B1463,ARTICULOS!$D$10:$I$699,6)</f>
        <v/>
      </c>
      <c r="D1463" s="212" t="n"/>
      <c r="E1463" s="75">
        <f>+C1463&amp;F1463</f>
        <v/>
      </c>
      <c r="F1463" s="80" t="n"/>
      <c r="G1463" s="81" t="n"/>
      <c r="H1463" s="78" t="n"/>
      <c r="I1463" s="78" t="n"/>
      <c r="J1463" s="78" t="n"/>
    </row>
    <row r="1464">
      <c r="A1464" s="84">
        <f>ROW()-6</f>
        <v/>
      </c>
      <c r="B1464" s="85">
        <f>+MATCH(D1464,ARTICULOS!$F$10:$F$699,0)</f>
        <v/>
      </c>
      <c r="C1464" s="86">
        <f>+VLOOKUP(B1464,ARTICULOS!$D$10:$I$699,6)</f>
        <v/>
      </c>
      <c r="D1464" s="212" t="n"/>
      <c r="E1464" s="75">
        <f>+C1464&amp;F1464</f>
        <v/>
      </c>
      <c r="F1464" s="80" t="n"/>
      <c r="G1464" s="81" t="n"/>
      <c r="H1464" s="78" t="n"/>
      <c r="I1464" s="78" t="n"/>
      <c r="J1464" s="78" t="n"/>
    </row>
    <row r="1465">
      <c r="A1465" s="84">
        <f>ROW()-6</f>
        <v/>
      </c>
      <c r="B1465" s="85">
        <f>+MATCH(D1465,ARTICULOS!$F$10:$F$699,0)</f>
        <v/>
      </c>
      <c r="C1465" s="86">
        <f>+VLOOKUP(B1465,ARTICULOS!$D$10:$I$699,6)</f>
        <v/>
      </c>
      <c r="D1465" s="212" t="n"/>
      <c r="E1465" s="75">
        <f>+C1465&amp;F1465</f>
        <v/>
      </c>
      <c r="F1465" s="80" t="n"/>
      <c r="G1465" s="81" t="n"/>
      <c r="H1465" s="78" t="n"/>
      <c r="I1465" s="78" t="n"/>
      <c r="J1465" s="78" t="n"/>
    </row>
    <row r="1466">
      <c r="A1466" s="84">
        <f>ROW()-6</f>
        <v/>
      </c>
      <c r="B1466" s="85">
        <f>+MATCH(D1466,ARTICULOS!$F$10:$F$699,0)</f>
        <v/>
      </c>
      <c r="C1466" s="86">
        <f>+VLOOKUP(B1466,ARTICULOS!$D$10:$I$699,6)</f>
        <v/>
      </c>
      <c r="D1466" s="212" t="n"/>
      <c r="E1466" s="75">
        <f>+C1466&amp;F1466</f>
        <v/>
      </c>
      <c r="F1466" s="80" t="n"/>
      <c r="G1466" s="81" t="n"/>
      <c r="H1466" s="78" t="n"/>
      <c r="I1466" s="78" t="n"/>
      <c r="J1466" s="78" t="n"/>
    </row>
    <row r="1467">
      <c r="A1467" s="84">
        <f>ROW()-6</f>
        <v/>
      </c>
      <c r="B1467" s="85">
        <f>+MATCH(D1467,ARTICULOS!$F$10:$F$699,0)</f>
        <v/>
      </c>
      <c r="C1467" s="86">
        <f>+VLOOKUP(B1467,ARTICULOS!$D$10:$I$699,6)</f>
        <v/>
      </c>
      <c r="D1467" s="212" t="n"/>
      <c r="E1467" s="75">
        <f>+C1467&amp;F1467</f>
        <v/>
      </c>
      <c r="F1467" s="80" t="n"/>
      <c r="G1467" s="81" t="n"/>
      <c r="H1467" s="78" t="n"/>
      <c r="I1467" s="78" t="n"/>
      <c r="J1467" s="78" t="n"/>
    </row>
    <row r="1468">
      <c r="A1468" s="84">
        <f>ROW()-6</f>
        <v/>
      </c>
      <c r="B1468" s="85">
        <f>+MATCH(D1468,ARTICULOS!$F$10:$F$699,0)</f>
        <v/>
      </c>
      <c r="C1468" s="86">
        <f>+VLOOKUP(B1468,ARTICULOS!$D$10:$I$699,6)</f>
        <v/>
      </c>
      <c r="D1468" s="212" t="n"/>
      <c r="E1468" s="75">
        <f>+C1468&amp;F1468</f>
        <v/>
      </c>
      <c r="F1468" s="80" t="n"/>
      <c r="G1468" s="81" t="n"/>
      <c r="H1468" s="78" t="n"/>
      <c r="I1468" s="78" t="n"/>
      <c r="J1468" s="78" t="n"/>
    </row>
    <row r="1469">
      <c r="A1469" s="84">
        <f>ROW()-6</f>
        <v/>
      </c>
      <c r="B1469" s="85">
        <f>+MATCH(D1469,ARTICULOS!$F$10:$F$699,0)</f>
        <v/>
      </c>
      <c r="C1469" s="86">
        <f>+VLOOKUP(B1469,ARTICULOS!$D$10:$I$699,6)</f>
        <v/>
      </c>
      <c r="D1469" s="212" t="n"/>
      <c r="E1469" s="75">
        <f>+C1469&amp;F1469</f>
        <v/>
      </c>
      <c r="F1469" s="80" t="n"/>
      <c r="G1469" s="81" t="n"/>
      <c r="H1469" s="78" t="n"/>
      <c r="I1469" s="78" t="n"/>
      <c r="J1469" s="78" t="n"/>
    </row>
    <row r="1470">
      <c r="A1470" s="84">
        <f>ROW()-6</f>
        <v/>
      </c>
      <c r="B1470" s="85">
        <f>+MATCH(D1470,ARTICULOS!$F$10:$F$699,0)</f>
        <v/>
      </c>
      <c r="C1470" s="86">
        <f>+VLOOKUP(B1470,ARTICULOS!$D$10:$I$699,6)</f>
        <v/>
      </c>
      <c r="D1470" s="212" t="n"/>
      <c r="E1470" s="75">
        <f>+C1470&amp;F1470</f>
        <v/>
      </c>
      <c r="F1470" s="80" t="n"/>
      <c r="G1470" s="81" t="n"/>
      <c r="H1470" s="78" t="n"/>
      <c r="I1470" s="78" t="n"/>
      <c r="J1470" s="78" t="n"/>
    </row>
    <row r="1471">
      <c r="A1471" s="84">
        <f>ROW()-6</f>
        <v/>
      </c>
      <c r="B1471" s="85">
        <f>+MATCH(D1471,ARTICULOS!$F$10:$F$699,0)</f>
        <v/>
      </c>
      <c r="C1471" s="86">
        <f>+VLOOKUP(B1471,ARTICULOS!$D$10:$I$699,6)</f>
        <v/>
      </c>
      <c r="D1471" s="212" t="n"/>
      <c r="E1471" s="75">
        <f>+C1471&amp;F1471</f>
        <v/>
      </c>
      <c r="F1471" s="80" t="n"/>
      <c r="G1471" s="81" t="n"/>
      <c r="H1471" s="78" t="n"/>
      <c r="I1471" s="78" t="n"/>
      <c r="J1471" s="78" t="n"/>
    </row>
    <row r="1472">
      <c r="A1472" s="84">
        <f>ROW()-6</f>
        <v/>
      </c>
      <c r="B1472" s="85">
        <f>+MATCH(D1472,ARTICULOS!$F$10:$F$699,0)</f>
        <v/>
      </c>
      <c r="C1472" s="86">
        <f>+VLOOKUP(B1472,ARTICULOS!$D$10:$I$699,6)</f>
        <v/>
      </c>
      <c r="D1472" s="212" t="n"/>
      <c r="E1472" s="75">
        <f>+C1472&amp;F1472</f>
        <v/>
      </c>
      <c r="F1472" s="80" t="n"/>
      <c r="G1472" s="81" t="n"/>
      <c r="H1472" s="78" t="n"/>
      <c r="I1472" s="78" t="n"/>
      <c r="J1472" s="78" t="n"/>
    </row>
    <row r="1473">
      <c r="A1473" s="84">
        <f>ROW()-6</f>
        <v/>
      </c>
      <c r="B1473" s="85">
        <f>+MATCH(D1473,ARTICULOS!$F$10:$F$699,0)</f>
        <v/>
      </c>
      <c r="C1473" s="86">
        <f>+VLOOKUP(B1473,ARTICULOS!$D$10:$I$699,6)</f>
        <v/>
      </c>
      <c r="D1473" s="212" t="n"/>
      <c r="E1473" s="75">
        <f>+C1473&amp;F1473</f>
        <v/>
      </c>
      <c r="F1473" s="80" t="n"/>
      <c r="G1473" s="81" t="n"/>
      <c r="H1473" s="78" t="n"/>
      <c r="I1473" s="78" t="n"/>
      <c r="J1473" s="78" t="n"/>
    </row>
    <row r="1474">
      <c r="A1474" s="84">
        <f>ROW()-6</f>
        <v/>
      </c>
      <c r="B1474" s="85">
        <f>+MATCH(D1474,ARTICULOS!$F$10:$F$699,0)</f>
        <v/>
      </c>
      <c r="C1474" s="86">
        <f>+VLOOKUP(B1474,ARTICULOS!$D$10:$I$699,6)</f>
        <v/>
      </c>
      <c r="D1474" s="212" t="n"/>
      <c r="E1474" s="75">
        <f>+C1474&amp;F1474</f>
        <v/>
      </c>
      <c r="F1474" s="80" t="n"/>
      <c r="G1474" s="81" t="n"/>
      <c r="H1474" s="78" t="n"/>
      <c r="I1474" s="78" t="n"/>
      <c r="J1474" s="78" t="n"/>
    </row>
    <row r="1475">
      <c r="A1475" s="84">
        <f>ROW()-6</f>
        <v/>
      </c>
      <c r="B1475" s="85">
        <f>+MATCH(D1475,ARTICULOS!$F$10:$F$699,0)</f>
        <v/>
      </c>
      <c r="C1475" s="86">
        <f>+VLOOKUP(B1475,ARTICULOS!$D$10:$I$699,6)</f>
        <v/>
      </c>
      <c r="D1475" s="212" t="n"/>
      <c r="E1475" s="75">
        <f>+C1475&amp;F1475</f>
        <v/>
      </c>
      <c r="F1475" s="80" t="n"/>
      <c r="G1475" s="81" t="n"/>
      <c r="H1475" s="78" t="n"/>
      <c r="I1475" s="78" t="n"/>
      <c r="J1475" s="78" t="n"/>
    </row>
    <row r="1476">
      <c r="A1476" s="84">
        <f>ROW()-6</f>
        <v/>
      </c>
      <c r="B1476" s="85">
        <f>+MATCH(D1476,ARTICULOS!$F$10:$F$699,0)</f>
        <v/>
      </c>
      <c r="C1476" s="86">
        <f>+VLOOKUP(B1476,ARTICULOS!$D$10:$I$699,6)</f>
        <v/>
      </c>
      <c r="D1476" s="212" t="n"/>
      <c r="E1476" s="75">
        <f>+C1476&amp;F1476</f>
        <v/>
      </c>
      <c r="F1476" s="80" t="n"/>
      <c r="G1476" s="81" t="n"/>
      <c r="H1476" s="78" t="n"/>
      <c r="I1476" s="78" t="n"/>
      <c r="J1476" s="78" t="n"/>
    </row>
    <row r="1477">
      <c r="A1477" s="84">
        <f>ROW()-6</f>
        <v/>
      </c>
      <c r="B1477" s="85">
        <f>+MATCH(D1477,ARTICULOS!$F$10:$F$699,0)</f>
        <v/>
      </c>
      <c r="C1477" s="86">
        <f>+VLOOKUP(B1477,ARTICULOS!$D$10:$I$699,6)</f>
        <v/>
      </c>
      <c r="D1477" s="212" t="n"/>
      <c r="E1477" s="75">
        <f>+C1477&amp;F1477</f>
        <v/>
      </c>
      <c r="F1477" s="80" t="n"/>
      <c r="G1477" s="81" t="n"/>
      <c r="H1477" s="78" t="n"/>
      <c r="I1477" s="78" t="n"/>
      <c r="J1477" s="78" t="n"/>
    </row>
    <row r="1478">
      <c r="A1478" s="84">
        <f>ROW()-6</f>
        <v/>
      </c>
      <c r="B1478" s="85">
        <f>+MATCH(D1478,ARTICULOS!$F$10:$F$699,0)</f>
        <v/>
      </c>
      <c r="C1478" s="86">
        <f>+VLOOKUP(B1478,ARTICULOS!$D$10:$I$699,6)</f>
        <v/>
      </c>
      <c r="D1478" s="212" t="n"/>
      <c r="E1478" s="75">
        <f>+C1478&amp;F1478</f>
        <v/>
      </c>
      <c r="F1478" s="80" t="n"/>
      <c r="G1478" s="81" t="n"/>
      <c r="H1478" s="78" t="n"/>
      <c r="I1478" s="78" t="n"/>
      <c r="J1478" s="78" t="n"/>
    </row>
    <row r="1479">
      <c r="A1479" s="84">
        <f>ROW()-6</f>
        <v/>
      </c>
      <c r="B1479" s="85">
        <f>+MATCH(D1479,ARTICULOS!$F$10:$F$699,0)</f>
        <v/>
      </c>
      <c r="C1479" s="86">
        <f>+VLOOKUP(B1479,ARTICULOS!$D$10:$I$699,6)</f>
        <v/>
      </c>
      <c r="D1479" s="212" t="n"/>
      <c r="E1479" s="75">
        <f>+C1479&amp;F1479</f>
        <v/>
      </c>
      <c r="F1479" s="80" t="n"/>
      <c r="G1479" s="81" t="n"/>
      <c r="H1479" s="78" t="n"/>
      <c r="I1479" s="78" t="n"/>
      <c r="J1479" s="78" t="n"/>
    </row>
    <row r="1480">
      <c r="A1480" s="84">
        <f>ROW()-6</f>
        <v/>
      </c>
      <c r="B1480" s="85">
        <f>+MATCH(D1480,ARTICULOS!$F$10:$F$699,0)</f>
        <v/>
      </c>
      <c r="C1480" s="86">
        <f>+VLOOKUP(B1480,ARTICULOS!$D$10:$I$699,6)</f>
        <v/>
      </c>
      <c r="D1480" s="212" t="n"/>
      <c r="E1480" s="75">
        <f>+C1480&amp;F1480</f>
        <v/>
      </c>
      <c r="F1480" s="80" t="n"/>
      <c r="G1480" s="81" t="n"/>
      <c r="H1480" s="78" t="n"/>
      <c r="I1480" s="78" t="n"/>
      <c r="J1480" s="78" t="n"/>
    </row>
    <row r="1481">
      <c r="A1481" s="84">
        <f>ROW()-6</f>
        <v/>
      </c>
      <c r="B1481" s="85">
        <f>+MATCH(D1481,ARTICULOS!$F$10:$F$699,0)</f>
        <v/>
      </c>
      <c r="C1481" s="86">
        <f>+VLOOKUP(B1481,ARTICULOS!$D$10:$I$699,6)</f>
        <v/>
      </c>
      <c r="D1481" s="212" t="n"/>
      <c r="E1481" s="75">
        <f>+C1481&amp;F1481</f>
        <v/>
      </c>
      <c r="F1481" s="80" t="n"/>
      <c r="G1481" s="81" t="n"/>
      <c r="H1481" s="78" t="n"/>
      <c r="I1481" s="78" t="n"/>
      <c r="J1481" s="78" t="n"/>
    </row>
    <row r="1482">
      <c r="A1482" s="84">
        <f>ROW()-6</f>
        <v/>
      </c>
      <c r="B1482" s="85">
        <f>+MATCH(D1482,ARTICULOS!$F$10:$F$699,0)</f>
        <v/>
      </c>
      <c r="C1482" s="86">
        <f>+VLOOKUP(B1482,ARTICULOS!$D$10:$I$699,6)</f>
        <v/>
      </c>
      <c r="D1482" s="212" t="n"/>
      <c r="E1482" s="75">
        <f>+C1482&amp;F1482</f>
        <v/>
      </c>
      <c r="F1482" s="80" t="n"/>
      <c r="G1482" s="81" t="n"/>
      <c r="H1482" s="78" t="n"/>
      <c r="I1482" s="78" t="n"/>
      <c r="J1482" s="78" t="n"/>
    </row>
    <row r="1483">
      <c r="A1483" s="84">
        <f>ROW()-6</f>
        <v/>
      </c>
      <c r="B1483" s="85">
        <f>+MATCH(D1483,ARTICULOS!$F$10:$F$699,0)</f>
        <v/>
      </c>
      <c r="C1483" s="86">
        <f>+VLOOKUP(B1483,ARTICULOS!$D$10:$I$699,6)</f>
        <v/>
      </c>
      <c r="D1483" s="212" t="n"/>
      <c r="E1483" s="75">
        <f>+C1483&amp;F1483</f>
        <v/>
      </c>
      <c r="F1483" s="80" t="n"/>
      <c r="G1483" s="81" t="n"/>
      <c r="H1483" s="78" t="n"/>
      <c r="I1483" s="78" t="n"/>
      <c r="J1483" s="78" t="n"/>
    </row>
    <row r="1484">
      <c r="A1484" s="84">
        <f>ROW()-6</f>
        <v/>
      </c>
      <c r="B1484" s="85">
        <f>+MATCH(D1484,ARTICULOS!$F$10:$F$699,0)</f>
        <v/>
      </c>
      <c r="C1484" s="86">
        <f>+VLOOKUP(B1484,ARTICULOS!$D$10:$I$699,6)</f>
        <v/>
      </c>
      <c r="D1484" s="212" t="n"/>
      <c r="E1484" s="75">
        <f>+C1484&amp;F1484</f>
        <v/>
      </c>
      <c r="F1484" s="80" t="n"/>
      <c r="G1484" s="81" t="n"/>
      <c r="H1484" s="78" t="n"/>
      <c r="I1484" s="78" t="n"/>
      <c r="J1484" s="78" t="n"/>
    </row>
    <row r="1485">
      <c r="A1485" s="84">
        <f>ROW()-6</f>
        <v/>
      </c>
      <c r="B1485" s="85">
        <f>+MATCH(D1485,ARTICULOS!$F$10:$F$699,0)</f>
        <v/>
      </c>
      <c r="C1485" s="86">
        <f>+VLOOKUP(B1485,ARTICULOS!$D$10:$I$699,6)</f>
        <v/>
      </c>
      <c r="D1485" s="212" t="n"/>
      <c r="E1485" s="75">
        <f>+C1485&amp;F1485</f>
        <v/>
      </c>
      <c r="F1485" s="80" t="n"/>
      <c r="G1485" s="81" t="n"/>
      <c r="H1485" s="78" t="n"/>
      <c r="I1485" s="78" t="n"/>
      <c r="J1485" s="78" t="n"/>
    </row>
    <row r="1486">
      <c r="A1486" s="84">
        <f>ROW()-6</f>
        <v/>
      </c>
      <c r="B1486" s="85">
        <f>+MATCH(D1486,ARTICULOS!$F$10:$F$699,0)</f>
        <v/>
      </c>
      <c r="C1486" s="86">
        <f>+VLOOKUP(B1486,ARTICULOS!$D$10:$I$699,6)</f>
        <v/>
      </c>
      <c r="D1486" s="212" t="n"/>
      <c r="E1486" s="75">
        <f>+C1486&amp;F1486</f>
        <v/>
      </c>
      <c r="F1486" s="80" t="n"/>
      <c r="G1486" s="81" t="n"/>
      <c r="H1486" s="78" t="n"/>
      <c r="I1486" s="78" t="n"/>
      <c r="J1486" s="78" t="n"/>
    </row>
    <row r="1487">
      <c r="A1487" s="84">
        <f>ROW()-6</f>
        <v/>
      </c>
      <c r="B1487" s="85">
        <f>+MATCH(D1487,ARTICULOS!$F$10:$F$699,0)</f>
        <v/>
      </c>
      <c r="C1487" s="86">
        <f>+VLOOKUP(B1487,ARTICULOS!$D$10:$I$699,6)</f>
        <v/>
      </c>
      <c r="D1487" s="212" t="n"/>
      <c r="E1487" s="75">
        <f>+C1487&amp;F1487</f>
        <v/>
      </c>
      <c r="F1487" s="80" t="n"/>
      <c r="G1487" s="81" t="n"/>
      <c r="H1487" s="78" t="n"/>
      <c r="I1487" s="78" t="n"/>
      <c r="J1487" s="78" t="n"/>
    </row>
    <row r="1488">
      <c r="A1488" s="84">
        <f>ROW()-6</f>
        <v/>
      </c>
      <c r="B1488" s="85">
        <f>+MATCH(D1488,ARTICULOS!$F$10:$F$699,0)</f>
        <v/>
      </c>
      <c r="C1488" s="86">
        <f>+VLOOKUP(B1488,ARTICULOS!$D$10:$I$699,6)</f>
        <v/>
      </c>
      <c r="D1488" s="212" t="n"/>
      <c r="E1488" s="75">
        <f>+C1488&amp;F1488</f>
        <v/>
      </c>
      <c r="F1488" s="80" t="n"/>
      <c r="G1488" s="81" t="n"/>
      <c r="H1488" s="78" t="n"/>
      <c r="I1488" s="78" t="n"/>
      <c r="J1488" s="78" t="n"/>
    </row>
    <row r="1489">
      <c r="A1489" s="84">
        <f>ROW()-6</f>
        <v/>
      </c>
      <c r="B1489" s="85">
        <f>+MATCH(D1489,ARTICULOS!$F$10:$F$699,0)</f>
        <v/>
      </c>
      <c r="C1489" s="86">
        <f>+VLOOKUP(B1489,ARTICULOS!$D$10:$I$699,6)</f>
        <v/>
      </c>
      <c r="D1489" s="212" t="n"/>
      <c r="E1489" s="75">
        <f>+C1489&amp;F1489</f>
        <v/>
      </c>
      <c r="F1489" s="80" t="n"/>
      <c r="G1489" s="81" t="n"/>
      <c r="H1489" s="78" t="n"/>
      <c r="I1489" s="78" t="n"/>
      <c r="J1489" s="78" t="n"/>
    </row>
    <row r="1490">
      <c r="A1490" s="84">
        <f>ROW()-6</f>
        <v/>
      </c>
      <c r="B1490" s="85">
        <f>+MATCH(D1490,ARTICULOS!$F$10:$F$699,0)</f>
        <v/>
      </c>
      <c r="C1490" s="86">
        <f>+VLOOKUP(B1490,ARTICULOS!$D$10:$I$699,6)</f>
        <v/>
      </c>
      <c r="D1490" s="212" t="n"/>
      <c r="E1490" s="75">
        <f>+C1490&amp;F1490</f>
        <v/>
      </c>
      <c r="F1490" s="80" t="n"/>
      <c r="G1490" s="81" t="n"/>
      <c r="H1490" s="78" t="n"/>
      <c r="I1490" s="78" t="n"/>
      <c r="J1490" s="78" t="n"/>
    </row>
    <row r="1491">
      <c r="A1491" s="84">
        <f>ROW()-6</f>
        <v/>
      </c>
      <c r="B1491" s="85">
        <f>+MATCH(D1491,ARTICULOS!$F$10:$F$699,0)</f>
        <v/>
      </c>
      <c r="C1491" s="86">
        <f>+VLOOKUP(B1491,ARTICULOS!$D$10:$I$699,6)</f>
        <v/>
      </c>
      <c r="D1491" s="212" t="n"/>
      <c r="E1491" s="75">
        <f>+C1491&amp;F1491</f>
        <v/>
      </c>
      <c r="F1491" s="80" t="n"/>
      <c r="G1491" s="81" t="n"/>
      <c r="H1491" s="78" t="n"/>
      <c r="I1491" s="78" t="n"/>
      <c r="J1491" s="78" t="n"/>
    </row>
    <row r="1492">
      <c r="A1492" s="84">
        <f>ROW()-6</f>
        <v/>
      </c>
      <c r="B1492" s="85">
        <f>+MATCH(D1492,ARTICULOS!$F$10:$F$699,0)</f>
        <v/>
      </c>
      <c r="C1492" s="86">
        <f>+VLOOKUP(B1492,ARTICULOS!$D$10:$I$699,6)</f>
        <v/>
      </c>
      <c r="D1492" s="212" t="n"/>
      <c r="E1492" s="75">
        <f>+C1492&amp;F1492</f>
        <v/>
      </c>
      <c r="F1492" s="80" t="n"/>
      <c r="G1492" s="81" t="n"/>
      <c r="H1492" s="78" t="n"/>
      <c r="I1492" s="78" t="n"/>
      <c r="J1492" s="78" t="n"/>
    </row>
    <row r="1493">
      <c r="A1493" s="84">
        <f>ROW()-6</f>
        <v/>
      </c>
      <c r="B1493" s="85">
        <f>+MATCH(D1493,ARTICULOS!$F$10:$F$699,0)</f>
        <v/>
      </c>
      <c r="C1493" s="86">
        <f>+VLOOKUP(B1493,ARTICULOS!$D$10:$I$699,6)</f>
        <v/>
      </c>
      <c r="D1493" s="212" t="n"/>
      <c r="E1493" s="75">
        <f>+C1493&amp;F1493</f>
        <v/>
      </c>
      <c r="F1493" s="80" t="n"/>
      <c r="G1493" s="81" t="n"/>
      <c r="H1493" s="78" t="n"/>
      <c r="I1493" s="78" t="n"/>
      <c r="J1493" s="78" t="n"/>
    </row>
    <row r="1494">
      <c r="A1494" s="84">
        <f>ROW()-6</f>
        <v/>
      </c>
      <c r="B1494" s="85">
        <f>+MATCH(D1494,ARTICULOS!$F$10:$F$699,0)</f>
        <v/>
      </c>
      <c r="C1494" s="86">
        <f>+VLOOKUP(B1494,ARTICULOS!$D$10:$I$699,6)</f>
        <v/>
      </c>
      <c r="D1494" s="212" t="n"/>
      <c r="E1494" s="75">
        <f>+C1494&amp;F1494</f>
        <v/>
      </c>
      <c r="F1494" s="80" t="n"/>
      <c r="G1494" s="81" t="n"/>
      <c r="H1494" s="78" t="n"/>
      <c r="I1494" s="78" t="n"/>
      <c r="J1494" s="78" t="n"/>
    </row>
    <row r="1495">
      <c r="A1495" s="84">
        <f>ROW()-6</f>
        <v/>
      </c>
      <c r="B1495" s="85">
        <f>+MATCH(D1495,ARTICULOS!$F$10:$F$699,0)</f>
        <v/>
      </c>
      <c r="C1495" s="86">
        <f>+VLOOKUP(B1495,ARTICULOS!$D$10:$I$699,6)</f>
        <v/>
      </c>
      <c r="D1495" s="212" t="n"/>
      <c r="E1495" s="75">
        <f>+C1495&amp;F1495</f>
        <v/>
      </c>
      <c r="F1495" s="80" t="n"/>
      <c r="G1495" s="81" t="n"/>
      <c r="H1495" s="78" t="n"/>
      <c r="I1495" s="78" t="n"/>
      <c r="J1495" s="78" t="n"/>
    </row>
    <row r="1496">
      <c r="A1496" s="84">
        <f>ROW()-6</f>
        <v/>
      </c>
      <c r="B1496" s="85">
        <f>+MATCH(D1496,ARTICULOS!$F$10:$F$699,0)</f>
        <v/>
      </c>
      <c r="C1496" s="86">
        <f>+VLOOKUP(B1496,ARTICULOS!$D$10:$I$699,6)</f>
        <v/>
      </c>
      <c r="D1496" s="212" t="n"/>
      <c r="E1496" s="75">
        <f>+C1496&amp;F1496</f>
        <v/>
      </c>
      <c r="F1496" s="80" t="n"/>
      <c r="G1496" s="81" t="n"/>
      <c r="H1496" s="78" t="n"/>
      <c r="I1496" s="78" t="n"/>
      <c r="J1496" s="78" t="n"/>
    </row>
    <row r="1497">
      <c r="A1497" s="84">
        <f>ROW()-6</f>
        <v/>
      </c>
      <c r="B1497" s="85">
        <f>+MATCH(D1497,ARTICULOS!$F$10:$F$699,0)</f>
        <v/>
      </c>
      <c r="C1497" s="86">
        <f>+VLOOKUP(B1497,ARTICULOS!$D$10:$I$699,6)</f>
        <v/>
      </c>
      <c r="D1497" s="212" t="n"/>
      <c r="E1497" s="75">
        <f>+C1497&amp;F1497</f>
        <v/>
      </c>
      <c r="F1497" s="80" t="n"/>
      <c r="G1497" s="81" t="n"/>
      <c r="H1497" s="78" t="n"/>
      <c r="I1497" s="78" t="n"/>
      <c r="J1497" s="78" t="n"/>
    </row>
    <row r="1498">
      <c r="A1498" s="84">
        <f>ROW()-6</f>
        <v/>
      </c>
      <c r="B1498" s="85">
        <f>+MATCH(D1498,ARTICULOS!$F$10:$F$699,0)</f>
        <v/>
      </c>
      <c r="C1498" s="86">
        <f>+VLOOKUP(B1498,ARTICULOS!$D$10:$I$699,6)</f>
        <v/>
      </c>
      <c r="D1498" s="212" t="n"/>
      <c r="E1498" s="75">
        <f>+C1498&amp;F1498</f>
        <v/>
      </c>
      <c r="F1498" s="80" t="n"/>
      <c r="G1498" s="81" t="n"/>
      <c r="H1498" s="78" t="n"/>
      <c r="I1498" s="78" t="n"/>
      <c r="J1498" s="78" t="n"/>
    </row>
    <row r="1499">
      <c r="A1499" s="84">
        <f>ROW()-6</f>
        <v/>
      </c>
      <c r="B1499" s="85">
        <f>+MATCH(D1499,ARTICULOS!$F$10:$F$699,0)</f>
        <v/>
      </c>
      <c r="C1499" s="86">
        <f>+VLOOKUP(B1499,ARTICULOS!$D$10:$I$699,6)</f>
        <v/>
      </c>
      <c r="D1499" s="212" t="n"/>
      <c r="E1499" s="75">
        <f>+C1499&amp;F1499</f>
        <v/>
      </c>
      <c r="F1499" s="80" t="n"/>
      <c r="G1499" s="81" t="n"/>
      <c r="H1499" s="78" t="n"/>
      <c r="I1499" s="78" t="n"/>
      <c r="J1499" s="78" t="n"/>
    </row>
    <row r="1500">
      <c r="A1500" s="84">
        <f>ROW()-6</f>
        <v/>
      </c>
      <c r="B1500" s="85">
        <f>+MATCH(D1500,ARTICULOS!$F$10:$F$699,0)</f>
        <v/>
      </c>
      <c r="C1500" s="86">
        <f>+VLOOKUP(B1500,ARTICULOS!$D$10:$I$699,6)</f>
        <v/>
      </c>
      <c r="D1500" s="212" t="n"/>
      <c r="E1500" s="75">
        <f>+C1500&amp;F1500</f>
        <v/>
      </c>
      <c r="F1500" s="80" t="n"/>
      <c r="G1500" s="81" t="n"/>
      <c r="H1500" s="78" t="n"/>
      <c r="I1500" s="78" t="n"/>
      <c r="J1500" s="78" t="n"/>
    </row>
    <row r="1501">
      <c r="A1501" s="84">
        <f>ROW()-6</f>
        <v/>
      </c>
      <c r="B1501" s="85">
        <f>+MATCH(D1501,ARTICULOS!$F$10:$F$699,0)</f>
        <v/>
      </c>
      <c r="C1501" s="86">
        <f>+VLOOKUP(B1501,ARTICULOS!$D$10:$I$699,6)</f>
        <v/>
      </c>
      <c r="D1501" s="212" t="n"/>
      <c r="E1501" s="75">
        <f>+C1501&amp;F1501</f>
        <v/>
      </c>
      <c r="F1501" s="80" t="n"/>
      <c r="G1501" s="81" t="n"/>
      <c r="H1501" s="78" t="n"/>
      <c r="I1501" s="78" t="n"/>
      <c r="J1501" s="78" t="n"/>
    </row>
    <row r="1502">
      <c r="A1502" s="84">
        <f>ROW()-6</f>
        <v/>
      </c>
      <c r="B1502" s="85">
        <f>+MATCH(D1502,ARTICULOS!$F$10:$F$699,0)</f>
        <v/>
      </c>
      <c r="C1502" s="86">
        <f>+VLOOKUP(B1502,ARTICULOS!$D$10:$I$699,6)</f>
        <v/>
      </c>
      <c r="D1502" s="212" t="n"/>
      <c r="E1502" s="75">
        <f>+C1502&amp;F1502</f>
        <v/>
      </c>
      <c r="F1502" s="80" t="n"/>
      <c r="G1502" s="81" t="n"/>
      <c r="H1502" s="78" t="n"/>
      <c r="I1502" s="78" t="n"/>
      <c r="J1502" s="78" t="n"/>
    </row>
    <row r="1503">
      <c r="A1503" s="84">
        <f>ROW()-6</f>
        <v/>
      </c>
      <c r="B1503" s="85">
        <f>+MATCH(D1503,ARTICULOS!$F$10:$F$699,0)</f>
        <v/>
      </c>
      <c r="C1503" s="86">
        <f>+VLOOKUP(B1503,ARTICULOS!$D$10:$I$699,6)</f>
        <v/>
      </c>
      <c r="D1503" s="212" t="n"/>
      <c r="E1503" s="75">
        <f>+C1503&amp;F1503</f>
        <v/>
      </c>
      <c r="F1503" s="80" t="n"/>
      <c r="G1503" s="81" t="n"/>
      <c r="H1503" s="78" t="n"/>
      <c r="I1503" s="78" t="n"/>
      <c r="J1503" s="78" t="n"/>
    </row>
    <row r="1504">
      <c r="A1504" s="84">
        <f>ROW()-6</f>
        <v/>
      </c>
      <c r="B1504" s="85">
        <f>+MATCH(D1504,ARTICULOS!$F$10:$F$699,0)</f>
        <v/>
      </c>
      <c r="C1504" s="86">
        <f>+VLOOKUP(B1504,ARTICULOS!$D$10:$I$699,6)</f>
        <v/>
      </c>
      <c r="D1504" s="212" t="n"/>
      <c r="E1504" s="75">
        <f>+C1504&amp;F1504</f>
        <v/>
      </c>
      <c r="F1504" s="80" t="n"/>
      <c r="G1504" s="81" t="n"/>
      <c r="H1504" s="78" t="n"/>
      <c r="I1504" s="78" t="n"/>
      <c r="J1504" s="78" t="n"/>
    </row>
    <row r="1505">
      <c r="A1505" s="84">
        <f>ROW()-6</f>
        <v/>
      </c>
      <c r="B1505" s="85">
        <f>+MATCH(D1505,ARTICULOS!$F$10:$F$699,0)</f>
        <v/>
      </c>
      <c r="C1505" s="86">
        <f>+VLOOKUP(B1505,ARTICULOS!$D$10:$I$699,6)</f>
        <v/>
      </c>
      <c r="D1505" s="212" t="n"/>
      <c r="E1505" s="75">
        <f>+C1505&amp;F1505</f>
        <v/>
      </c>
      <c r="F1505" s="80" t="n"/>
      <c r="G1505" s="81" t="n"/>
      <c r="H1505" s="78" t="n"/>
      <c r="I1505" s="78" t="n"/>
      <c r="J1505" s="78" t="n"/>
    </row>
    <row r="1506">
      <c r="A1506" s="84">
        <f>ROW()-6</f>
        <v/>
      </c>
      <c r="B1506" s="85">
        <f>+MATCH(D1506,ARTICULOS!$F$10:$F$699,0)</f>
        <v/>
      </c>
      <c r="C1506" s="86">
        <f>+VLOOKUP(B1506,ARTICULOS!$D$10:$I$699,6)</f>
        <v/>
      </c>
      <c r="D1506" s="212" t="n"/>
      <c r="E1506" s="75">
        <f>+C1506&amp;F1506</f>
        <v/>
      </c>
      <c r="F1506" s="80" t="n"/>
      <c r="G1506" s="81" t="n"/>
      <c r="H1506" s="78" t="n"/>
      <c r="I1506" s="78" t="n"/>
      <c r="J1506" s="78" t="n"/>
    </row>
    <row r="1507">
      <c r="A1507" s="84">
        <f>ROW()-6</f>
        <v/>
      </c>
      <c r="B1507" s="85">
        <f>+MATCH(D1507,ARTICULOS!$F$10:$F$699,0)</f>
        <v/>
      </c>
      <c r="C1507" s="86">
        <f>+VLOOKUP(B1507,ARTICULOS!$D$10:$I$699,6)</f>
        <v/>
      </c>
      <c r="D1507" s="212" t="n"/>
      <c r="E1507" s="75">
        <f>+C1507&amp;F1507</f>
        <v/>
      </c>
      <c r="F1507" s="80" t="n"/>
      <c r="G1507" s="81" t="n"/>
      <c r="H1507" s="78" t="n"/>
      <c r="I1507" s="78" t="n"/>
      <c r="J1507" s="78" t="n"/>
    </row>
    <row r="1508">
      <c r="A1508" s="84">
        <f>ROW()-6</f>
        <v/>
      </c>
      <c r="B1508" s="85">
        <f>+MATCH(D1508,ARTICULOS!$F$10:$F$699,0)</f>
        <v/>
      </c>
      <c r="C1508" s="86">
        <f>+VLOOKUP(B1508,ARTICULOS!$D$10:$I$699,6)</f>
        <v/>
      </c>
      <c r="D1508" s="212" t="n"/>
      <c r="E1508" s="75">
        <f>+C1508&amp;F1508</f>
        <v/>
      </c>
      <c r="F1508" s="80" t="n"/>
      <c r="G1508" s="81" t="n"/>
      <c r="H1508" s="78" t="n"/>
      <c r="I1508" s="78" t="n"/>
      <c r="J1508" s="78" t="n"/>
    </row>
    <row r="1509">
      <c r="A1509" s="84">
        <f>ROW()-6</f>
        <v/>
      </c>
      <c r="B1509" s="85">
        <f>+MATCH(D1509,ARTICULOS!$F$10:$F$699,0)</f>
        <v/>
      </c>
      <c r="C1509" s="86">
        <f>+VLOOKUP(B1509,ARTICULOS!$D$10:$I$699,6)</f>
        <v/>
      </c>
      <c r="D1509" s="212" t="n"/>
      <c r="E1509" s="75">
        <f>+C1509&amp;F1509</f>
        <v/>
      </c>
      <c r="F1509" s="80" t="n"/>
      <c r="G1509" s="81" t="n"/>
      <c r="H1509" s="78" t="n"/>
      <c r="I1509" s="78" t="n"/>
      <c r="J1509" s="78" t="n"/>
    </row>
    <row r="1510">
      <c r="A1510" s="84">
        <f>ROW()-6</f>
        <v/>
      </c>
      <c r="B1510" s="85">
        <f>+MATCH(D1510,ARTICULOS!$F$10:$F$699,0)</f>
        <v/>
      </c>
      <c r="C1510" s="86">
        <f>+VLOOKUP(B1510,ARTICULOS!$D$10:$I$699,6)</f>
        <v/>
      </c>
      <c r="D1510" s="212" t="n"/>
      <c r="E1510" s="75">
        <f>+C1510&amp;F1510</f>
        <v/>
      </c>
      <c r="F1510" s="80" t="n"/>
      <c r="G1510" s="81" t="n"/>
      <c r="H1510" s="78" t="n"/>
      <c r="I1510" s="78" t="n"/>
      <c r="J1510" s="78" t="n"/>
    </row>
    <row r="1511">
      <c r="A1511" s="84">
        <f>ROW()-6</f>
        <v/>
      </c>
      <c r="B1511" s="85">
        <f>+MATCH(D1511,ARTICULOS!$F$10:$F$699,0)</f>
        <v/>
      </c>
      <c r="C1511" s="86">
        <f>+VLOOKUP(B1511,ARTICULOS!$D$10:$I$699,6)</f>
        <v/>
      </c>
      <c r="D1511" s="212" t="n"/>
      <c r="E1511" s="75">
        <f>+C1511&amp;F1511</f>
        <v/>
      </c>
      <c r="F1511" s="80" t="n"/>
      <c r="G1511" s="81" t="n"/>
      <c r="H1511" s="78" t="n"/>
      <c r="I1511" s="78" t="n"/>
      <c r="J1511" s="78" t="n"/>
    </row>
    <row r="1512">
      <c r="A1512" s="84">
        <f>ROW()-6</f>
        <v/>
      </c>
      <c r="B1512" s="85">
        <f>+MATCH(D1512,ARTICULOS!$F$10:$F$699,0)</f>
        <v/>
      </c>
      <c r="C1512" s="86">
        <f>+VLOOKUP(B1512,ARTICULOS!$D$10:$I$699,6)</f>
        <v/>
      </c>
      <c r="D1512" s="212" t="n"/>
      <c r="E1512" s="75">
        <f>+C1512&amp;F1512</f>
        <v/>
      </c>
      <c r="F1512" s="80" t="n"/>
      <c r="G1512" s="81" t="n"/>
      <c r="H1512" s="78" t="n"/>
      <c r="I1512" s="78" t="n"/>
      <c r="J1512" s="78" t="n"/>
    </row>
    <row r="1513">
      <c r="A1513" s="84">
        <f>ROW()-6</f>
        <v/>
      </c>
      <c r="B1513" s="85">
        <f>+MATCH(D1513,ARTICULOS!$F$10:$F$699,0)</f>
        <v/>
      </c>
      <c r="C1513" s="86">
        <f>+VLOOKUP(B1513,ARTICULOS!$D$10:$I$699,6)</f>
        <v/>
      </c>
      <c r="D1513" s="212" t="n"/>
      <c r="E1513" s="75">
        <f>+C1513&amp;F1513</f>
        <v/>
      </c>
      <c r="F1513" s="80" t="n"/>
      <c r="G1513" s="81" t="n"/>
      <c r="H1513" s="78" t="n"/>
      <c r="I1513" s="78" t="n"/>
      <c r="J1513" s="78" t="n"/>
    </row>
    <row r="1514">
      <c r="A1514" s="84">
        <f>ROW()-6</f>
        <v/>
      </c>
      <c r="B1514" s="85">
        <f>+MATCH(D1514,ARTICULOS!$F$10:$F$699,0)</f>
        <v/>
      </c>
      <c r="C1514" s="86">
        <f>+VLOOKUP(B1514,ARTICULOS!$D$10:$I$699,6)</f>
        <v/>
      </c>
      <c r="D1514" s="212" t="n"/>
      <c r="E1514" s="75">
        <f>+C1514&amp;F1514</f>
        <v/>
      </c>
      <c r="F1514" s="80" t="n"/>
      <c r="G1514" s="81" t="n"/>
      <c r="H1514" s="78" t="n"/>
      <c r="I1514" s="78" t="n"/>
      <c r="J1514" s="78" t="n"/>
    </row>
    <row r="1515">
      <c r="A1515" s="84">
        <f>ROW()-6</f>
        <v/>
      </c>
      <c r="B1515" s="85">
        <f>+MATCH(D1515,ARTICULOS!$F$10:$F$699,0)</f>
        <v/>
      </c>
      <c r="C1515" s="86">
        <f>+VLOOKUP(B1515,ARTICULOS!$D$10:$I$699,6)</f>
        <v/>
      </c>
      <c r="D1515" s="212" t="n"/>
      <c r="E1515" s="75">
        <f>+C1515&amp;F1515</f>
        <v/>
      </c>
      <c r="F1515" s="80" t="n"/>
      <c r="G1515" s="81" t="n"/>
      <c r="H1515" s="78" t="n"/>
      <c r="I1515" s="78" t="n"/>
      <c r="J1515" s="78" t="n"/>
    </row>
    <row r="1516">
      <c r="A1516" s="84">
        <f>ROW()-6</f>
        <v/>
      </c>
      <c r="B1516" s="85">
        <f>+MATCH(D1516,ARTICULOS!$F$10:$F$699,0)</f>
        <v/>
      </c>
      <c r="C1516" s="86">
        <f>+VLOOKUP(B1516,ARTICULOS!$D$10:$I$699,6)</f>
        <v/>
      </c>
      <c r="D1516" s="212" t="n"/>
      <c r="E1516" s="75">
        <f>+C1516&amp;F1516</f>
        <v/>
      </c>
      <c r="F1516" s="80" t="n"/>
      <c r="G1516" s="81" t="n"/>
      <c r="H1516" s="78" t="n"/>
      <c r="I1516" s="78" t="n"/>
      <c r="J1516" s="78" t="n"/>
    </row>
    <row r="1517">
      <c r="A1517" s="84">
        <f>ROW()-6</f>
        <v/>
      </c>
      <c r="B1517" s="85">
        <f>+MATCH(D1517,ARTICULOS!$F$10:$F$699,0)</f>
        <v/>
      </c>
      <c r="C1517" s="86">
        <f>+VLOOKUP(B1517,ARTICULOS!$D$10:$I$699,6)</f>
        <v/>
      </c>
      <c r="D1517" s="212" t="n"/>
      <c r="E1517" s="75">
        <f>+C1517&amp;F1517</f>
        <v/>
      </c>
      <c r="F1517" s="80" t="n"/>
      <c r="G1517" s="81" t="n"/>
      <c r="H1517" s="78" t="n"/>
      <c r="I1517" s="78" t="n"/>
      <c r="J1517" s="78" t="n"/>
    </row>
    <row r="1518">
      <c r="A1518" s="84">
        <f>ROW()-6</f>
        <v/>
      </c>
      <c r="B1518" s="85">
        <f>+MATCH(D1518,ARTICULOS!$F$10:$F$699,0)</f>
        <v/>
      </c>
      <c r="C1518" s="86">
        <f>+VLOOKUP(B1518,ARTICULOS!$D$10:$I$699,6)</f>
        <v/>
      </c>
      <c r="D1518" s="212" t="n"/>
      <c r="E1518" s="75">
        <f>+C1518&amp;F1518</f>
        <v/>
      </c>
      <c r="F1518" s="80" t="n"/>
      <c r="G1518" s="81" t="n"/>
      <c r="H1518" s="78" t="n"/>
      <c r="I1518" s="78" t="n"/>
      <c r="J1518" s="78" t="n"/>
    </row>
    <row r="1519">
      <c r="A1519" s="84">
        <f>ROW()-6</f>
        <v/>
      </c>
      <c r="B1519" s="85">
        <f>+MATCH(D1519,ARTICULOS!$F$10:$F$699,0)</f>
        <v/>
      </c>
      <c r="C1519" s="86">
        <f>+VLOOKUP(B1519,ARTICULOS!$D$10:$I$699,6)</f>
        <v/>
      </c>
      <c r="D1519" s="212" t="n"/>
      <c r="E1519" s="75">
        <f>+C1519&amp;F1519</f>
        <v/>
      </c>
      <c r="F1519" s="80" t="n"/>
      <c r="G1519" s="81" t="n"/>
      <c r="H1519" s="78" t="n"/>
      <c r="I1519" s="78" t="n"/>
      <c r="J1519" s="78" t="n"/>
    </row>
    <row r="1520">
      <c r="A1520" s="84">
        <f>ROW()-6</f>
        <v/>
      </c>
      <c r="B1520" s="85">
        <f>+MATCH(D1520,ARTICULOS!$F$10:$F$699,0)</f>
        <v/>
      </c>
      <c r="C1520" s="86">
        <f>+VLOOKUP(B1520,ARTICULOS!$D$10:$I$699,6)</f>
        <v/>
      </c>
      <c r="D1520" s="212" t="n"/>
      <c r="E1520" s="75">
        <f>+C1520&amp;F1520</f>
        <v/>
      </c>
      <c r="F1520" s="80" t="n"/>
      <c r="G1520" s="81" t="n"/>
      <c r="H1520" s="78" t="n"/>
      <c r="I1520" s="78" t="n"/>
      <c r="J1520" s="78" t="n"/>
    </row>
    <row r="1521">
      <c r="A1521" s="84">
        <f>ROW()-6</f>
        <v/>
      </c>
      <c r="B1521" s="85">
        <f>+MATCH(D1521,ARTICULOS!$F$10:$F$699,0)</f>
        <v/>
      </c>
      <c r="C1521" s="86">
        <f>+VLOOKUP(B1521,ARTICULOS!$D$10:$I$699,6)</f>
        <v/>
      </c>
      <c r="D1521" s="212" t="n"/>
      <c r="E1521" s="75">
        <f>+C1521&amp;F1521</f>
        <v/>
      </c>
      <c r="F1521" s="80" t="n"/>
      <c r="G1521" s="81" t="n"/>
      <c r="H1521" s="78" t="n"/>
      <c r="I1521" s="78" t="n"/>
      <c r="J1521" s="78" t="n"/>
    </row>
    <row r="1522">
      <c r="A1522" s="84">
        <f>ROW()-6</f>
        <v/>
      </c>
      <c r="B1522" s="85">
        <f>+MATCH(D1522,ARTICULOS!$F$10:$F$699,0)</f>
        <v/>
      </c>
      <c r="C1522" s="86">
        <f>+VLOOKUP(B1522,ARTICULOS!$D$10:$I$699,6)</f>
        <v/>
      </c>
      <c r="D1522" s="212" t="n"/>
      <c r="E1522" s="75">
        <f>+C1522&amp;F1522</f>
        <v/>
      </c>
      <c r="F1522" s="80" t="n"/>
      <c r="G1522" s="81" t="n"/>
      <c r="H1522" s="78" t="n"/>
      <c r="I1522" s="78" t="n"/>
      <c r="J1522" s="78" t="n"/>
    </row>
    <row r="1523">
      <c r="A1523" s="84">
        <f>ROW()-6</f>
        <v/>
      </c>
      <c r="B1523" s="85">
        <f>+MATCH(D1523,ARTICULOS!$F$10:$F$699,0)</f>
        <v/>
      </c>
      <c r="C1523" s="86">
        <f>+VLOOKUP(B1523,ARTICULOS!$D$10:$I$699,6)</f>
        <v/>
      </c>
      <c r="D1523" s="212" t="n"/>
      <c r="E1523" s="75">
        <f>+C1523&amp;F1523</f>
        <v/>
      </c>
      <c r="F1523" s="80" t="n"/>
      <c r="G1523" s="81" t="n"/>
      <c r="H1523" s="78" t="n"/>
      <c r="I1523" s="78" t="n"/>
      <c r="J1523" s="78" t="n"/>
    </row>
    <row r="1524">
      <c r="A1524" s="84">
        <f>ROW()-6</f>
        <v/>
      </c>
      <c r="B1524" s="85">
        <f>+MATCH(D1524,ARTICULOS!$F$10:$F$699,0)</f>
        <v/>
      </c>
      <c r="C1524" s="86">
        <f>+VLOOKUP(B1524,ARTICULOS!$D$10:$I$699,6)</f>
        <v/>
      </c>
      <c r="D1524" s="212" t="n"/>
      <c r="E1524" s="75">
        <f>+C1524&amp;F1524</f>
        <v/>
      </c>
      <c r="F1524" s="80" t="n"/>
      <c r="G1524" s="81" t="n"/>
      <c r="H1524" s="78" t="n"/>
      <c r="I1524" s="78" t="n"/>
      <c r="J1524" s="78" t="n"/>
    </row>
    <row r="1525">
      <c r="A1525" s="84">
        <f>ROW()-6</f>
        <v/>
      </c>
      <c r="B1525" s="85">
        <f>+MATCH(D1525,ARTICULOS!$F$10:$F$699,0)</f>
        <v/>
      </c>
      <c r="C1525" s="86">
        <f>+VLOOKUP(B1525,ARTICULOS!$D$10:$I$699,6)</f>
        <v/>
      </c>
      <c r="D1525" s="212" t="n"/>
      <c r="E1525" s="75">
        <f>+C1525&amp;F1525</f>
        <v/>
      </c>
      <c r="F1525" s="80" t="n"/>
      <c r="G1525" s="81" t="n"/>
      <c r="H1525" s="78" t="n"/>
      <c r="I1525" s="78" t="n"/>
      <c r="J1525" s="78" t="n"/>
    </row>
    <row r="1526">
      <c r="A1526" s="84">
        <f>ROW()-6</f>
        <v/>
      </c>
      <c r="B1526" s="85">
        <f>+MATCH(D1526,ARTICULOS!$F$10:$F$699,0)</f>
        <v/>
      </c>
      <c r="C1526" s="86">
        <f>+VLOOKUP(B1526,ARTICULOS!$D$10:$I$699,6)</f>
        <v/>
      </c>
      <c r="D1526" s="212" t="n"/>
      <c r="E1526" s="75">
        <f>+C1526&amp;F1526</f>
        <v/>
      </c>
      <c r="F1526" s="80" t="n"/>
      <c r="G1526" s="81" t="n"/>
      <c r="H1526" s="78" t="n"/>
      <c r="I1526" s="78" t="n"/>
      <c r="J1526" s="78" t="n"/>
    </row>
    <row r="1527">
      <c r="A1527" s="84">
        <f>ROW()-6</f>
        <v/>
      </c>
      <c r="B1527" s="85">
        <f>+MATCH(D1527,ARTICULOS!$F$10:$F$699,0)</f>
        <v/>
      </c>
      <c r="C1527" s="86">
        <f>+VLOOKUP(B1527,ARTICULOS!$D$10:$I$699,6)</f>
        <v/>
      </c>
      <c r="D1527" s="212" t="n"/>
      <c r="E1527" s="75">
        <f>+C1527&amp;F1527</f>
        <v/>
      </c>
      <c r="F1527" s="80" t="n"/>
      <c r="G1527" s="81" t="n"/>
      <c r="H1527" s="78" t="n"/>
      <c r="I1527" s="78" t="n"/>
      <c r="J1527" s="78" t="n"/>
    </row>
    <row r="1528">
      <c r="A1528" s="84">
        <f>ROW()-6</f>
        <v/>
      </c>
      <c r="B1528" s="85">
        <f>+MATCH(D1528,ARTICULOS!$F$10:$F$699,0)</f>
        <v/>
      </c>
      <c r="C1528" s="86">
        <f>+VLOOKUP(B1528,ARTICULOS!$D$10:$I$699,6)</f>
        <v/>
      </c>
      <c r="D1528" s="212" t="n"/>
      <c r="E1528" s="75">
        <f>+C1528&amp;F1528</f>
        <v/>
      </c>
      <c r="F1528" s="80" t="n"/>
      <c r="G1528" s="81" t="n"/>
      <c r="H1528" s="78" t="n"/>
      <c r="I1528" s="78" t="n"/>
      <c r="J1528" s="78" t="n"/>
    </row>
    <row r="1529">
      <c r="A1529" s="84">
        <f>ROW()-6</f>
        <v/>
      </c>
      <c r="B1529" s="85">
        <f>+MATCH(D1529,ARTICULOS!$F$10:$F$699,0)</f>
        <v/>
      </c>
      <c r="C1529" s="86">
        <f>+VLOOKUP(B1529,ARTICULOS!$D$10:$I$699,6)</f>
        <v/>
      </c>
      <c r="D1529" s="212" t="n"/>
      <c r="E1529" s="75">
        <f>+C1529&amp;F1529</f>
        <v/>
      </c>
      <c r="F1529" s="80" t="n"/>
      <c r="G1529" s="81" t="n"/>
      <c r="H1529" s="78" t="n"/>
      <c r="I1529" s="78" t="n"/>
      <c r="J1529" s="78" t="n"/>
    </row>
    <row r="1530">
      <c r="A1530" s="84">
        <f>ROW()-6</f>
        <v/>
      </c>
      <c r="B1530" s="85">
        <f>+MATCH(D1530,ARTICULOS!$F$10:$F$699,0)</f>
        <v/>
      </c>
      <c r="C1530" s="86">
        <f>+VLOOKUP(B1530,ARTICULOS!$D$10:$I$699,6)</f>
        <v/>
      </c>
      <c r="D1530" s="212" t="n"/>
      <c r="E1530" s="75">
        <f>+C1530&amp;F1530</f>
        <v/>
      </c>
      <c r="F1530" s="80" t="n"/>
      <c r="G1530" s="81" t="n"/>
      <c r="H1530" s="78" t="n"/>
      <c r="I1530" s="78" t="n"/>
      <c r="J1530" s="78" t="n"/>
    </row>
    <row r="1531">
      <c r="A1531" s="84">
        <f>ROW()-6</f>
        <v/>
      </c>
      <c r="B1531" s="85">
        <f>+MATCH(D1531,ARTICULOS!$F$10:$F$699,0)</f>
        <v/>
      </c>
      <c r="C1531" s="86">
        <f>+VLOOKUP(B1531,ARTICULOS!$D$10:$I$699,6)</f>
        <v/>
      </c>
      <c r="D1531" s="212" t="n"/>
      <c r="E1531" s="75">
        <f>+C1531&amp;F1531</f>
        <v/>
      </c>
      <c r="F1531" s="80" t="n"/>
      <c r="G1531" s="81" t="n"/>
      <c r="H1531" s="78" t="n"/>
      <c r="I1531" s="78" t="n"/>
      <c r="J1531" s="78" t="n"/>
    </row>
    <row r="1532">
      <c r="A1532" s="84">
        <f>ROW()-6</f>
        <v/>
      </c>
      <c r="B1532" s="85">
        <f>+MATCH(D1532,ARTICULOS!$F$10:$F$699,0)</f>
        <v/>
      </c>
      <c r="C1532" s="86">
        <f>+VLOOKUP(B1532,ARTICULOS!$D$10:$I$699,6)</f>
        <v/>
      </c>
      <c r="D1532" s="212" t="n"/>
      <c r="E1532" s="75">
        <f>+C1532&amp;F1532</f>
        <v/>
      </c>
      <c r="F1532" s="80" t="n"/>
      <c r="G1532" s="81" t="n"/>
      <c r="H1532" s="78" t="n"/>
      <c r="I1532" s="78" t="n"/>
      <c r="J1532" s="78" t="n"/>
    </row>
    <row r="1533">
      <c r="A1533" s="84">
        <f>ROW()-6</f>
        <v/>
      </c>
      <c r="B1533" s="85">
        <f>+MATCH(D1533,ARTICULOS!$F$10:$F$699,0)</f>
        <v/>
      </c>
      <c r="C1533" s="86">
        <f>+VLOOKUP(B1533,ARTICULOS!$D$10:$I$699,6)</f>
        <v/>
      </c>
      <c r="D1533" s="212" t="n"/>
      <c r="E1533" s="75">
        <f>+C1533&amp;F1533</f>
        <v/>
      </c>
      <c r="F1533" s="80" t="n"/>
      <c r="G1533" s="81" t="n"/>
      <c r="H1533" s="78" t="n"/>
      <c r="I1533" s="78" t="n"/>
      <c r="J1533" s="78" t="n"/>
    </row>
    <row r="1534">
      <c r="A1534" s="84">
        <f>ROW()-6</f>
        <v/>
      </c>
      <c r="B1534" s="85">
        <f>+MATCH(D1534,ARTICULOS!$F$10:$F$699,0)</f>
        <v/>
      </c>
      <c r="C1534" s="86">
        <f>+VLOOKUP(B1534,ARTICULOS!$D$10:$I$699,6)</f>
        <v/>
      </c>
      <c r="D1534" s="212" t="n"/>
      <c r="E1534" s="75">
        <f>+C1534&amp;F1534</f>
        <v/>
      </c>
      <c r="F1534" s="80" t="n"/>
      <c r="G1534" s="81" t="n"/>
      <c r="H1534" s="78" t="n"/>
      <c r="I1534" s="78" t="n"/>
      <c r="J1534" s="78" t="n"/>
    </row>
    <row r="1535">
      <c r="A1535" s="84">
        <f>ROW()-6</f>
        <v/>
      </c>
      <c r="B1535" s="85">
        <f>+MATCH(D1535,ARTICULOS!$F$10:$F$699,0)</f>
        <v/>
      </c>
      <c r="C1535" s="86">
        <f>+VLOOKUP(B1535,ARTICULOS!$D$10:$I$699,6)</f>
        <v/>
      </c>
      <c r="D1535" s="212" t="n"/>
      <c r="E1535" s="75">
        <f>+C1535&amp;F1535</f>
        <v/>
      </c>
      <c r="F1535" s="80" t="n"/>
      <c r="G1535" s="81" t="n"/>
      <c r="H1535" s="78" t="n"/>
      <c r="I1535" s="78" t="n"/>
      <c r="J1535" s="78" t="n"/>
    </row>
    <row r="1536">
      <c r="A1536" s="84">
        <f>ROW()-6</f>
        <v/>
      </c>
      <c r="B1536" s="85">
        <f>+MATCH(D1536,ARTICULOS!$F$10:$F$699,0)</f>
        <v/>
      </c>
      <c r="C1536" s="86">
        <f>+VLOOKUP(B1536,ARTICULOS!$D$10:$I$699,6)</f>
        <v/>
      </c>
      <c r="D1536" s="212" t="n"/>
      <c r="E1536" s="75">
        <f>+C1536&amp;F1536</f>
        <v/>
      </c>
      <c r="F1536" s="80" t="n"/>
      <c r="G1536" s="81" t="n"/>
      <c r="H1536" s="78" t="n"/>
      <c r="I1536" s="78" t="n"/>
      <c r="J1536" s="78" t="n"/>
    </row>
    <row r="1537">
      <c r="A1537" s="84">
        <f>ROW()-6</f>
        <v/>
      </c>
      <c r="B1537" s="85">
        <f>+MATCH(D1537,ARTICULOS!$F$10:$F$699,0)</f>
        <v/>
      </c>
      <c r="C1537" s="86">
        <f>+VLOOKUP(B1537,ARTICULOS!$D$10:$I$699,6)</f>
        <v/>
      </c>
      <c r="D1537" s="212" t="n"/>
      <c r="E1537" s="75">
        <f>+C1537&amp;F1537</f>
        <v/>
      </c>
      <c r="F1537" s="80" t="n"/>
      <c r="G1537" s="81" t="n"/>
      <c r="H1537" s="78" t="n"/>
      <c r="I1537" s="78" t="n"/>
      <c r="J1537" s="78" t="n"/>
    </row>
    <row r="1538">
      <c r="A1538" s="84">
        <f>ROW()-6</f>
        <v/>
      </c>
      <c r="B1538" s="85">
        <f>+MATCH(D1538,ARTICULOS!$F$10:$F$699,0)</f>
        <v/>
      </c>
      <c r="C1538" s="86">
        <f>+VLOOKUP(B1538,ARTICULOS!$D$10:$I$699,6)</f>
        <v/>
      </c>
      <c r="D1538" s="212" t="n"/>
      <c r="E1538" s="75">
        <f>+C1538&amp;F1538</f>
        <v/>
      </c>
      <c r="F1538" s="80" t="n"/>
      <c r="G1538" s="81" t="n"/>
      <c r="H1538" s="78" t="n"/>
      <c r="I1538" s="78" t="n"/>
      <c r="J1538" s="78" t="n"/>
    </row>
    <row r="1539">
      <c r="A1539" s="84">
        <f>ROW()-6</f>
        <v/>
      </c>
      <c r="B1539" s="85">
        <f>+MATCH(D1539,ARTICULOS!$F$10:$F$699,0)</f>
        <v/>
      </c>
      <c r="C1539" s="86">
        <f>+VLOOKUP(B1539,ARTICULOS!$D$10:$I$699,6)</f>
        <v/>
      </c>
      <c r="D1539" s="212" t="n"/>
      <c r="E1539" s="75">
        <f>+C1539&amp;F1539</f>
        <v/>
      </c>
      <c r="F1539" s="80" t="n"/>
      <c r="G1539" s="81" t="n"/>
      <c r="H1539" s="78" t="n"/>
      <c r="I1539" s="78" t="n"/>
      <c r="J1539" s="78" t="n"/>
    </row>
    <row r="1540">
      <c r="A1540" s="84">
        <f>ROW()-6</f>
        <v/>
      </c>
      <c r="B1540" s="85">
        <f>+MATCH(D1540,ARTICULOS!$F$10:$F$699,0)</f>
        <v/>
      </c>
      <c r="C1540" s="86">
        <f>+VLOOKUP(B1540,ARTICULOS!$D$10:$I$699,6)</f>
        <v/>
      </c>
      <c r="D1540" s="212" t="n"/>
      <c r="E1540" s="75">
        <f>+C1540&amp;F1540</f>
        <v/>
      </c>
      <c r="F1540" s="80" t="n"/>
      <c r="G1540" s="81" t="n"/>
      <c r="H1540" s="78" t="n"/>
      <c r="I1540" s="78" t="n"/>
      <c r="J1540" s="78" t="n"/>
    </row>
    <row r="1541">
      <c r="A1541" s="84">
        <f>ROW()-6</f>
        <v/>
      </c>
      <c r="B1541" s="85">
        <f>+MATCH(D1541,ARTICULOS!$F$10:$F$699,0)</f>
        <v/>
      </c>
      <c r="C1541" s="86">
        <f>+VLOOKUP(B1541,ARTICULOS!$D$10:$I$699,6)</f>
        <v/>
      </c>
      <c r="D1541" s="212" t="n"/>
      <c r="E1541" s="75">
        <f>+C1541&amp;F1541</f>
        <v/>
      </c>
      <c r="F1541" s="80" t="n"/>
      <c r="G1541" s="81" t="n"/>
      <c r="H1541" s="78" t="n"/>
      <c r="I1541" s="78" t="n"/>
      <c r="J1541" s="78" t="n"/>
    </row>
    <row r="1542">
      <c r="A1542" s="84">
        <f>ROW()-6</f>
        <v/>
      </c>
      <c r="B1542" s="85">
        <f>+MATCH(D1542,ARTICULOS!$F$10:$F$699,0)</f>
        <v/>
      </c>
      <c r="C1542" s="86">
        <f>+VLOOKUP(B1542,ARTICULOS!$D$10:$I$699,6)</f>
        <v/>
      </c>
      <c r="D1542" s="212" t="n"/>
      <c r="E1542" s="75">
        <f>+C1542&amp;F1542</f>
        <v/>
      </c>
      <c r="F1542" s="80" t="n"/>
      <c r="G1542" s="81" t="n"/>
      <c r="H1542" s="78" t="n"/>
      <c r="I1542" s="78" t="n"/>
      <c r="J1542" s="78" t="n"/>
    </row>
    <row r="1543">
      <c r="A1543" s="84">
        <f>ROW()-6</f>
        <v/>
      </c>
      <c r="B1543" s="85">
        <f>+MATCH(D1543,ARTICULOS!$F$10:$F$699,0)</f>
        <v/>
      </c>
      <c r="C1543" s="86">
        <f>+VLOOKUP(B1543,ARTICULOS!$D$10:$I$699,6)</f>
        <v/>
      </c>
      <c r="D1543" s="212" t="n"/>
      <c r="E1543" s="75">
        <f>+C1543&amp;F1543</f>
        <v/>
      </c>
      <c r="F1543" s="80" t="n"/>
      <c r="G1543" s="81" t="n"/>
      <c r="H1543" s="78" t="n"/>
      <c r="I1543" s="78" t="n"/>
      <c r="J1543" s="78" t="n"/>
    </row>
    <row r="1544">
      <c r="A1544" s="84">
        <f>ROW()-6</f>
        <v/>
      </c>
      <c r="B1544" s="85">
        <f>+MATCH(D1544,ARTICULOS!$F$10:$F$699,0)</f>
        <v/>
      </c>
      <c r="C1544" s="86">
        <f>+VLOOKUP(B1544,ARTICULOS!$D$10:$I$699,6)</f>
        <v/>
      </c>
      <c r="D1544" s="212" t="n"/>
      <c r="E1544" s="75">
        <f>+C1544&amp;F1544</f>
        <v/>
      </c>
      <c r="F1544" s="80" t="n"/>
      <c r="G1544" s="81" t="n"/>
      <c r="H1544" s="78" t="n"/>
      <c r="I1544" s="78" t="n"/>
      <c r="J1544" s="78" t="n"/>
    </row>
    <row r="1545">
      <c r="A1545" s="84">
        <f>ROW()-6</f>
        <v/>
      </c>
      <c r="B1545" s="85">
        <f>+MATCH(D1545,ARTICULOS!$F$10:$F$699,0)</f>
        <v/>
      </c>
      <c r="C1545" s="86">
        <f>+VLOOKUP(B1545,ARTICULOS!$D$10:$I$699,6)</f>
        <v/>
      </c>
      <c r="D1545" s="212" t="n"/>
      <c r="E1545" s="75">
        <f>+C1545&amp;F1545</f>
        <v/>
      </c>
      <c r="F1545" s="80" t="n"/>
      <c r="G1545" s="81" t="n"/>
      <c r="H1545" s="78" t="n"/>
      <c r="I1545" s="78" t="n"/>
      <c r="J1545" s="78" t="n"/>
    </row>
    <row r="1546">
      <c r="A1546" s="84">
        <f>ROW()-6</f>
        <v/>
      </c>
      <c r="B1546" s="85">
        <f>+MATCH(D1546,ARTICULOS!$F$10:$F$699,0)</f>
        <v/>
      </c>
      <c r="C1546" s="86">
        <f>+VLOOKUP(B1546,ARTICULOS!$D$10:$I$699,6)</f>
        <v/>
      </c>
      <c r="D1546" s="212" t="n"/>
      <c r="E1546" s="75">
        <f>+C1546&amp;F1546</f>
        <v/>
      </c>
      <c r="F1546" s="80" t="n"/>
      <c r="G1546" s="81" t="n"/>
      <c r="H1546" s="78" t="n"/>
      <c r="I1546" s="78" t="n"/>
      <c r="J1546" s="78" t="n"/>
    </row>
    <row r="1547">
      <c r="A1547" s="84">
        <f>ROW()-6</f>
        <v/>
      </c>
      <c r="B1547" s="85">
        <f>+MATCH(D1547,ARTICULOS!$F$10:$F$699,0)</f>
        <v/>
      </c>
      <c r="C1547" s="86">
        <f>+VLOOKUP(B1547,ARTICULOS!$D$10:$I$699,6)</f>
        <v/>
      </c>
      <c r="D1547" s="212" t="n"/>
      <c r="E1547" s="75">
        <f>+C1547&amp;F1547</f>
        <v/>
      </c>
      <c r="F1547" s="80" t="n"/>
      <c r="G1547" s="81" t="n"/>
      <c r="H1547" s="78" t="n"/>
      <c r="I1547" s="78" t="n"/>
      <c r="J1547" s="78" t="n"/>
    </row>
    <row r="1548">
      <c r="A1548" s="84">
        <f>ROW()-6</f>
        <v/>
      </c>
      <c r="B1548" s="85">
        <f>+MATCH(D1548,ARTICULOS!$F$10:$F$699,0)</f>
        <v/>
      </c>
      <c r="C1548" s="86">
        <f>+VLOOKUP(B1548,ARTICULOS!$D$10:$I$699,6)</f>
        <v/>
      </c>
      <c r="D1548" s="212" t="n"/>
      <c r="E1548" s="75">
        <f>+C1548&amp;F1548</f>
        <v/>
      </c>
      <c r="F1548" s="80" t="n"/>
      <c r="G1548" s="81" t="n"/>
      <c r="H1548" s="78" t="n"/>
      <c r="I1548" s="78" t="n"/>
      <c r="J1548" s="78" t="n"/>
    </row>
    <row r="1549">
      <c r="A1549" s="84">
        <f>ROW()-6</f>
        <v/>
      </c>
      <c r="B1549" s="85">
        <f>+MATCH(D1549,ARTICULOS!$F$10:$F$699,0)</f>
        <v/>
      </c>
      <c r="C1549" s="86">
        <f>+VLOOKUP(B1549,ARTICULOS!$D$10:$I$699,6)</f>
        <v/>
      </c>
      <c r="D1549" s="212" t="n"/>
      <c r="E1549" s="75">
        <f>+C1549&amp;F1549</f>
        <v/>
      </c>
      <c r="F1549" s="80" t="n"/>
      <c r="G1549" s="81" t="n"/>
      <c r="H1549" s="78" t="n"/>
      <c r="I1549" s="78" t="n"/>
      <c r="J1549" s="78" t="n"/>
    </row>
    <row r="1550">
      <c r="A1550" s="84">
        <f>ROW()-6</f>
        <v/>
      </c>
      <c r="B1550" s="85">
        <f>+MATCH(D1550,ARTICULOS!$F$10:$F$699,0)</f>
        <v/>
      </c>
      <c r="C1550" s="86">
        <f>+VLOOKUP(B1550,ARTICULOS!$D$10:$I$699,6)</f>
        <v/>
      </c>
      <c r="D1550" s="212" t="n"/>
      <c r="E1550" s="75">
        <f>+C1550&amp;F1550</f>
        <v/>
      </c>
      <c r="F1550" s="80" t="n"/>
      <c r="G1550" s="81" t="n"/>
      <c r="H1550" s="78" t="n"/>
      <c r="I1550" s="78" t="n"/>
      <c r="J1550" s="78" t="n"/>
    </row>
    <row r="1551">
      <c r="A1551" s="84">
        <f>ROW()-6</f>
        <v/>
      </c>
      <c r="B1551" s="85">
        <f>+MATCH(D1551,ARTICULOS!$F$10:$F$699,0)</f>
        <v/>
      </c>
      <c r="C1551" s="86">
        <f>+VLOOKUP(B1551,ARTICULOS!$D$10:$I$699,6)</f>
        <v/>
      </c>
      <c r="D1551" s="212" t="n"/>
      <c r="E1551" s="75">
        <f>+C1551&amp;F1551</f>
        <v/>
      </c>
      <c r="F1551" s="80" t="n"/>
      <c r="G1551" s="81" t="n"/>
      <c r="H1551" s="78" t="n"/>
      <c r="I1551" s="78" t="n"/>
      <c r="J1551" s="78" t="n"/>
    </row>
    <row r="1552">
      <c r="A1552" s="84">
        <f>ROW()-6</f>
        <v/>
      </c>
      <c r="B1552" s="85">
        <f>+MATCH(D1552,ARTICULOS!$F$10:$F$699,0)</f>
        <v/>
      </c>
      <c r="C1552" s="86">
        <f>+VLOOKUP(B1552,ARTICULOS!$D$10:$I$699,6)</f>
        <v/>
      </c>
      <c r="D1552" s="212" t="n"/>
      <c r="E1552" s="75">
        <f>+C1552&amp;F1552</f>
        <v/>
      </c>
      <c r="F1552" s="80" t="n"/>
      <c r="G1552" s="81" t="n"/>
      <c r="H1552" s="78" t="n"/>
      <c r="I1552" s="78" t="n"/>
      <c r="J1552" s="78" t="n"/>
    </row>
    <row r="1553">
      <c r="A1553" s="84">
        <f>ROW()-6</f>
        <v/>
      </c>
      <c r="B1553" s="85">
        <f>+MATCH(D1553,ARTICULOS!$F$10:$F$699,0)</f>
        <v/>
      </c>
      <c r="C1553" s="86">
        <f>+VLOOKUP(B1553,ARTICULOS!$D$10:$I$699,6)</f>
        <v/>
      </c>
      <c r="D1553" s="212" t="n"/>
      <c r="E1553" s="75">
        <f>+C1553&amp;F1553</f>
        <v/>
      </c>
      <c r="F1553" s="80" t="n"/>
      <c r="G1553" s="81" t="n"/>
      <c r="H1553" s="78" t="n"/>
      <c r="I1553" s="78" t="n"/>
      <c r="J1553" s="78" t="n"/>
    </row>
    <row r="1554">
      <c r="A1554" s="84">
        <f>ROW()-6</f>
        <v/>
      </c>
      <c r="B1554" s="85">
        <f>+MATCH(D1554,ARTICULOS!$F$10:$F$699,0)</f>
        <v/>
      </c>
      <c r="C1554" s="86">
        <f>+VLOOKUP(B1554,ARTICULOS!$D$10:$I$699,6)</f>
        <v/>
      </c>
      <c r="D1554" s="212" t="n"/>
      <c r="E1554" s="75">
        <f>+C1554&amp;F1554</f>
        <v/>
      </c>
      <c r="F1554" s="80" t="n"/>
      <c r="G1554" s="81" t="n"/>
      <c r="H1554" s="78" t="n"/>
      <c r="I1554" s="78" t="n"/>
      <c r="J1554" s="78" t="n"/>
    </row>
    <row r="1555">
      <c r="A1555" s="84">
        <f>ROW()-6</f>
        <v/>
      </c>
      <c r="B1555" s="85">
        <f>+MATCH(D1555,ARTICULOS!$F$10:$F$699,0)</f>
        <v/>
      </c>
      <c r="C1555" s="86">
        <f>+VLOOKUP(B1555,ARTICULOS!$D$10:$I$699,6)</f>
        <v/>
      </c>
      <c r="D1555" s="212" t="n"/>
      <c r="E1555" s="75">
        <f>+C1555&amp;F1555</f>
        <v/>
      </c>
      <c r="F1555" s="80" t="n"/>
      <c r="G1555" s="81" t="n"/>
      <c r="H1555" s="78" t="n"/>
      <c r="I1555" s="78" t="n"/>
      <c r="J1555" s="78" t="n"/>
    </row>
    <row r="1556">
      <c r="A1556" s="84">
        <f>ROW()-6</f>
        <v/>
      </c>
      <c r="B1556" s="85">
        <f>+MATCH(D1556,ARTICULOS!$F$10:$F$699,0)</f>
        <v/>
      </c>
      <c r="C1556" s="86">
        <f>+VLOOKUP(B1556,ARTICULOS!$D$10:$I$699,6)</f>
        <v/>
      </c>
      <c r="D1556" s="212" t="n"/>
      <c r="E1556" s="75">
        <f>+C1556&amp;F1556</f>
        <v/>
      </c>
      <c r="F1556" s="80" t="n"/>
      <c r="G1556" s="81" t="n"/>
      <c r="H1556" s="78" t="n"/>
      <c r="I1556" s="78" t="n"/>
      <c r="J1556" s="78" t="n"/>
    </row>
    <row r="1557">
      <c r="A1557" s="84">
        <f>ROW()-6</f>
        <v/>
      </c>
      <c r="B1557" s="85">
        <f>+MATCH(D1557,ARTICULOS!$F$10:$F$699,0)</f>
        <v/>
      </c>
      <c r="C1557" s="86">
        <f>+VLOOKUP(B1557,ARTICULOS!$D$10:$I$699,6)</f>
        <v/>
      </c>
      <c r="D1557" s="212" t="n"/>
      <c r="E1557" s="75">
        <f>+C1557&amp;F1557</f>
        <v/>
      </c>
      <c r="F1557" s="80" t="n"/>
      <c r="G1557" s="81" t="n"/>
      <c r="H1557" s="78" t="n"/>
      <c r="I1557" s="78" t="n"/>
      <c r="J1557" s="78" t="n"/>
    </row>
    <row r="1558">
      <c r="A1558" s="84">
        <f>ROW()-6</f>
        <v/>
      </c>
      <c r="B1558" s="85">
        <f>+MATCH(D1558,ARTICULOS!$F$10:$F$699,0)</f>
        <v/>
      </c>
      <c r="C1558" s="86">
        <f>+VLOOKUP(B1558,ARTICULOS!$D$10:$I$699,6)</f>
        <v/>
      </c>
      <c r="D1558" s="212" t="n"/>
      <c r="E1558" s="75">
        <f>+C1558&amp;F1558</f>
        <v/>
      </c>
      <c r="F1558" s="80" t="n"/>
      <c r="G1558" s="81" t="n"/>
      <c r="H1558" s="78" t="n"/>
      <c r="I1558" s="78" t="n"/>
      <c r="J1558" s="78" t="n"/>
    </row>
    <row r="1559">
      <c r="A1559" s="84">
        <f>ROW()-6</f>
        <v/>
      </c>
      <c r="B1559" s="85">
        <f>+MATCH(D1559,ARTICULOS!$F$10:$F$699,0)</f>
        <v/>
      </c>
      <c r="C1559" s="86">
        <f>+VLOOKUP(B1559,ARTICULOS!$D$10:$I$699,6)</f>
        <v/>
      </c>
      <c r="D1559" s="212" t="n"/>
      <c r="E1559" s="75">
        <f>+C1559&amp;F1559</f>
        <v/>
      </c>
      <c r="F1559" s="80" t="n"/>
      <c r="G1559" s="81" t="n"/>
      <c r="H1559" s="78" t="n"/>
      <c r="I1559" s="78" t="n"/>
      <c r="J1559" s="78" t="n"/>
    </row>
    <row r="1560">
      <c r="A1560" s="84">
        <f>ROW()-6</f>
        <v/>
      </c>
      <c r="B1560" s="85">
        <f>+MATCH(D1560,ARTICULOS!$F$10:$F$699,0)</f>
        <v/>
      </c>
      <c r="C1560" s="86">
        <f>+VLOOKUP(B1560,ARTICULOS!$D$10:$I$699,6)</f>
        <v/>
      </c>
      <c r="D1560" s="212" t="n"/>
      <c r="E1560" s="75">
        <f>+C1560&amp;F1560</f>
        <v/>
      </c>
      <c r="F1560" s="80" t="n"/>
      <c r="G1560" s="81" t="n"/>
      <c r="H1560" s="78" t="n"/>
      <c r="I1560" s="78" t="n"/>
      <c r="J1560" s="78" t="n"/>
    </row>
    <row r="1561">
      <c r="A1561" s="84">
        <f>ROW()-6</f>
        <v/>
      </c>
      <c r="B1561" s="85">
        <f>+MATCH(D1561,ARTICULOS!$F$10:$F$699,0)</f>
        <v/>
      </c>
      <c r="C1561" s="86">
        <f>+VLOOKUP(B1561,ARTICULOS!$D$10:$I$699,6)</f>
        <v/>
      </c>
      <c r="D1561" s="212" t="n"/>
      <c r="E1561" s="75">
        <f>+C1561&amp;F1561</f>
        <v/>
      </c>
      <c r="F1561" s="80" t="n"/>
      <c r="G1561" s="81" t="n"/>
      <c r="H1561" s="78" t="n"/>
      <c r="I1561" s="78" t="n"/>
      <c r="J1561" s="78" t="n"/>
    </row>
    <row r="1562">
      <c r="A1562" s="84">
        <f>ROW()-6</f>
        <v/>
      </c>
      <c r="B1562" s="85">
        <f>+MATCH(D1562,ARTICULOS!$F$10:$F$699,0)</f>
        <v/>
      </c>
      <c r="C1562" s="86">
        <f>+VLOOKUP(B1562,ARTICULOS!$D$10:$I$699,6)</f>
        <v/>
      </c>
      <c r="D1562" s="212" t="n"/>
      <c r="E1562" s="75">
        <f>+C1562&amp;F1562</f>
        <v/>
      </c>
      <c r="F1562" s="80" t="n"/>
      <c r="G1562" s="81" t="n"/>
      <c r="H1562" s="78" t="n"/>
      <c r="I1562" s="78" t="n"/>
      <c r="J1562" s="78" t="n"/>
    </row>
    <row r="1563">
      <c r="A1563" s="84">
        <f>ROW()-6</f>
        <v/>
      </c>
      <c r="B1563" s="85">
        <f>+MATCH(D1563,ARTICULOS!$F$10:$F$699,0)</f>
        <v/>
      </c>
      <c r="C1563" s="86">
        <f>+VLOOKUP(B1563,ARTICULOS!$D$10:$I$699,6)</f>
        <v/>
      </c>
      <c r="D1563" s="212" t="n"/>
      <c r="E1563" s="75">
        <f>+C1563&amp;F1563</f>
        <v/>
      </c>
      <c r="F1563" s="80" t="n"/>
      <c r="G1563" s="81" t="n"/>
      <c r="H1563" s="78" t="n"/>
      <c r="I1563" s="78" t="n"/>
      <c r="J1563" s="78" t="n"/>
    </row>
    <row r="1564">
      <c r="A1564" s="84">
        <f>ROW()-6</f>
        <v/>
      </c>
      <c r="B1564" s="85">
        <f>+MATCH(D1564,ARTICULOS!$F$10:$F$699,0)</f>
        <v/>
      </c>
      <c r="C1564" s="86">
        <f>+VLOOKUP(B1564,ARTICULOS!$D$10:$I$699,6)</f>
        <v/>
      </c>
      <c r="D1564" s="212" t="n"/>
      <c r="E1564" s="75">
        <f>+C1564&amp;F1564</f>
        <v/>
      </c>
      <c r="F1564" s="80" t="n"/>
      <c r="G1564" s="81" t="n"/>
      <c r="H1564" s="78" t="n"/>
      <c r="I1564" s="78" t="n"/>
      <c r="J1564" s="78" t="n"/>
    </row>
    <row r="1565">
      <c r="A1565" s="84">
        <f>ROW()-6</f>
        <v/>
      </c>
      <c r="B1565" s="85">
        <f>+MATCH(D1565,ARTICULOS!$F$10:$F$699,0)</f>
        <v/>
      </c>
      <c r="C1565" s="86">
        <f>+VLOOKUP(B1565,ARTICULOS!$D$10:$I$699,6)</f>
        <v/>
      </c>
      <c r="D1565" s="212" t="n"/>
      <c r="E1565" s="75">
        <f>+C1565&amp;F1565</f>
        <v/>
      </c>
      <c r="F1565" s="80" t="n"/>
      <c r="G1565" s="81" t="n"/>
      <c r="H1565" s="78" t="n"/>
      <c r="I1565" s="78" t="n"/>
      <c r="J1565" s="78" t="n"/>
    </row>
    <row r="1566">
      <c r="A1566" s="84">
        <f>ROW()-6</f>
        <v/>
      </c>
      <c r="B1566" s="85">
        <f>+MATCH(D1566,ARTICULOS!$F$10:$F$699,0)</f>
        <v/>
      </c>
      <c r="C1566" s="86">
        <f>+VLOOKUP(B1566,ARTICULOS!$D$10:$I$699,6)</f>
        <v/>
      </c>
      <c r="D1566" s="212" t="n"/>
      <c r="E1566" s="75">
        <f>+C1566&amp;F1566</f>
        <v/>
      </c>
      <c r="F1566" s="80" t="n"/>
      <c r="G1566" s="81" t="n"/>
      <c r="H1566" s="78" t="n"/>
      <c r="I1566" s="78" t="n"/>
      <c r="J1566" s="78" t="n"/>
    </row>
    <row r="1567">
      <c r="A1567" s="84">
        <f>ROW()-6</f>
        <v/>
      </c>
      <c r="B1567" s="85">
        <f>+MATCH(D1567,ARTICULOS!$F$10:$F$699,0)</f>
        <v/>
      </c>
      <c r="C1567" s="86">
        <f>+VLOOKUP(B1567,ARTICULOS!$D$10:$I$699,6)</f>
        <v/>
      </c>
      <c r="D1567" s="212" t="n"/>
      <c r="E1567" s="75">
        <f>+C1567&amp;F1567</f>
        <v/>
      </c>
      <c r="F1567" s="80" t="n"/>
      <c r="G1567" s="81" t="n"/>
      <c r="H1567" s="78" t="n"/>
      <c r="I1567" s="78" t="n"/>
      <c r="J1567" s="78" t="n"/>
    </row>
    <row r="1568">
      <c r="A1568" s="84">
        <f>ROW()-6</f>
        <v/>
      </c>
      <c r="B1568" s="85">
        <f>+MATCH(D1568,ARTICULOS!$F$10:$F$699,0)</f>
        <v/>
      </c>
      <c r="C1568" s="86">
        <f>+VLOOKUP(B1568,ARTICULOS!$D$10:$I$699,6)</f>
        <v/>
      </c>
      <c r="D1568" s="212" t="n"/>
      <c r="E1568" s="75">
        <f>+C1568&amp;F1568</f>
        <v/>
      </c>
      <c r="F1568" s="80" t="n"/>
      <c r="G1568" s="81" t="n"/>
      <c r="H1568" s="78" t="n"/>
      <c r="I1568" s="78" t="n"/>
      <c r="J1568" s="78" t="n"/>
    </row>
    <row r="1569">
      <c r="A1569" s="84">
        <f>ROW()-6</f>
        <v/>
      </c>
      <c r="B1569" s="85">
        <f>+MATCH(D1569,ARTICULOS!$F$10:$F$699,0)</f>
        <v/>
      </c>
      <c r="C1569" s="86">
        <f>+VLOOKUP(B1569,ARTICULOS!$D$10:$I$699,6)</f>
        <v/>
      </c>
      <c r="D1569" s="212" t="n"/>
      <c r="E1569" s="75">
        <f>+C1569&amp;F1569</f>
        <v/>
      </c>
      <c r="F1569" s="80" t="n"/>
      <c r="G1569" s="81" t="n"/>
      <c r="H1569" s="78" t="n"/>
      <c r="I1569" s="78" t="n"/>
      <c r="J1569" s="78" t="n"/>
    </row>
    <row r="1570">
      <c r="A1570" s="84">
        <f>ROW()-6</f>
        <v/>
      </c>
      <c r="B1570" s="85">
        <f>+MATCH(D1570,ARTICULOS!$F$10:$F$699,0)</f>
        <v/>
      </c>
      <c r="C1570" s="86">
        <f>+VLOOKUP(B1570,ARTICULOS!$D$10:$I$699,6)</f>
        <v/>
      </c>
      <c r="D1570" s="212" t="n"/>
      <c r="E1570" s="75">
        <f>+C1570&amp;F1570</f>
        <v/>
      </c>
      <c r="F1570" s="80" t="n"/>
      <c r="G1570" s="81" t="n"/>
      <c r="H1570" s="78" t="n"/>
      <c r="I1570" s="78" t="n"/>
      <c r="J1570" s="78" t="n"/>
    </row>
    <row r="1571">
      <c r="A1571" s="84">
        <f>ROW()-6</f>
        <v/>
      </c>
      <c r="B1571" s="85">
        <f>+MATCH(D1571,ARTICULOS!$F$10:$F$699,0)</f>
        <v/>
      </c>
      <c r="C1571" s="86">
        <f>+VLOOKUP(B1571,ARTICULOS!$D$10:$I$699,6)</f>
        <v/>
      </c>
      <c r="D1571" s="212" t="n"/>
      <c r="E1571" s="75">
        <f>+C1571&amp;F1571</f>
        <v/>
      </c>
      <c r="F1571" s="80" t="n"/>
      <c r="G1571" s="81" t="n"/>
      <c r="H1571" s="78" t="n"/>
      <c r="I1571" s="78" t="n"/>
      <c r="J1571" s="78" t="n"/>
    </row>
    <row r="1572">
      <c r="A1572" s="84">
        <f>ROW()-6</f>
        <v/>
      </c>
      <c r="B1572" s="85">
        <f>+MATCH(D1572,ARTICULOS!$F$10:$F$699,0)</f>
        <v/>
      </c>
      <c r="C1572" s="86">
        <f>+VLOOKUP(B1572,ARTICULOS!$D$10:$I$699,6)</f>
        <v/>
      </c>
      <c r="D1572" s="212" t="n"/>
      <c r="E1572" s="75">
        <f>+C1572&amp;F1572</f>
        <v/>
      </c>
      <c r="F1572" s="80" t="n"/>
      <c r="G1572" s="81" t="n"/>
      <c r="H1572" s="78" t="n"/>
      <c r="I1572" s="78" t="n"/>
      <c r="J1572" s="78" t="n"/>
    </row>
    <row r="1573">
      <c r="A1573" s="84">
        <f>ROW()-6</f>
        <v/>
      </c>
      <c r="B1573" s="85">
        <f>+MATCH(D1573,ARTICULOS!$F$10:$F$699,0)</f>
        <v/>
      </c>
      <c r="C1573" s="86">
        <f>+VLOOKUP(B1573,ARTICULOS!$D$10:$I$699,6)</f>
        <v/>
      </c>
      <c r="D1573" s="212" t="n"/>
      <c r="E1573" s="75">
        <f>+C1573&amp;F1573</f>
        <v/>
      </c>
      <c r="F1573" s="80" t="n"/>
      <c r="G1573" s="81" t="n"/>
      <c r="H1573" s="78" t="n"/>
      <c r="I1573" s="78" t="n"/>
      <c r="J1573" s="78" t="n"/>
    </row>
    <row r="1574">
      <c r="A1574" s="84">
        <f>ROW()-6</f>
        <v/>
      </c>
      <c r="B1574" s="85">
        <f>+MATCH(D1574,ARTICULOS!$F$10:$F$699,0)</f>
        <v/>
      </c>
      <c r="C1574" s="86">
        <f>+VLOOKUP(B1574,ARTICULOS!$D$10:$I$699,6)</f>
        <v/>
      </c>
      <c r="D1574" s="212" t="n"/>
      <c r="E1574" s="75">
        <f>+C1574&amp;F1574</f>
        <v/>
      </c>
      <c r="F1574" s="80" t="n"/>
      <c r="G1574" s="81" t="n"/>
      <c r="H1574" s="78" t="n"/>
      <c r="I1574" s="78" t="n"/>
      <c r="J1574" s="78" t="n"/>
    </row>
    <row r="1575">
      <c r="A1575" s="84">
        <f>ROW()-6</f>
        <v/>
      </c>
      <c r="B1575" s="85">
        <f>+MATCH(D1575,ARTICULOS!$F$10:$F$699,0)</f>
        <v/>
      </c>
      <c r="C1575" s="86">
        <f>+VLOOKUP(B1575,ARTICULOS!$D$10:$I$699,6)</f>
        <v/>
      </c>
      <c r="D1575" s="212" t="n"/>
      <c r="E1575" s="75">
        <f>+C1575&amp;F1575</f>
        <v/>
      </c>
      <c r="F1575" s="80" t="n"/>
      <c r="G1575" s="81" t="n"/>
      <c r="H1575" s="78" t="n"/>
      <c r="I1575" s="78" t="n"/>
      <c r="J1575" s="78" t="n"/>
    </row>
    <row r="1576">
      <c r="A1576" s="84">
        <f>ROW()-6</f>
        <v/>
      </c>
      <c r="B1576" s="85">
        <f>+MATCH(D1576,ARTICULOS!$F$10:$F$699,0)</f>
        <v/>
      </c>
      <c r="C1576" s="86">
        <f>+VLOOKUP(B1576,ARTICULOS!$D$10:$I$699,6)</f>
        <v/>
      </c>
      <c r="D1576" s="212" t="n"/>
      <c r="E1576" s="75">
        <f>+C1576&amp;F1576</f>
        <v/>
      </c>
      <c r="F1576" s="80" t="n"/>
      <c r="G1576" s="81" t="n"/>
      <c r="H1576" s="78" t="n"/>
      <c r="I1576" s="78" t="n"/>
      <c r="J1576" s="78" t="n"/>
    </row>
    <row r="1577">
      <c r="A1577" s="84">
        <f>ROW()-6</f>
        <v/>
      </c>
      <c r="B1577" s="85">
        <f>+MATCH(D1577,ARTICULOS!$F$10:$F$699,0)</f>
        <v/>
      </c>
      <c r="C1577" s="86">
        <f>+VLOOKUP(B1577,ARTICULOS!$D$10:$I$699,6)</f>
        <v/>
      </c>
      <c r="D1577" s="212" t="n"/>
      <c r="E1577" s="75">
        <f>+C1577&amp;F1577</f>
        <v/>
      </c>
      <c r="F1577" s="80" t="n"/>
      <c r="G1577" s="81" t="n"/>
      <c r="H1577" s="78" t="n"/>
      <c r="I1577" s="78" t="n"/>
      <c r="J1577" s="78" t="n"/>
    </row>
    <row r="1578">
      <c r="A1578" s="84">
        <f>ROW()-6</f>
        <v/>
      </c>
      <c r="B1578" s="85">
        <f>+MATCH(D1578,ARTICULOS!$F$10:$F$699,0)</f>
        <v/>
      </c>
      <c r="C1578" s="86">
        <f>+VLOOKUP(B1578,ARTICULOS!$D$10:$I$699,6)</f>
        <v/>
      </c>
      <c r="D1578" s="212" t="n"/>
      <c r="E1578" s="75">
        <f>+C1578&amp;F1578</f>
        <v/>
      </c>
      <c r="F1578" s="80" t="n"/>
      <c r="G1578" s="81" t="n"/>
      <c r="H1578" s="78" t="n"/>
      <c r="I1578" s="78" t="n"/>
      <c r="J1578" s="78" t="n"/>
    </row>
    <row r="1579">
      <c r="A1579" s="84">
        <f>ROW()-6</f>
        <v/>
      </c>
      <c r="B1579" s="85">
        <f>+MATCH(D1579,ARTICULOS!$F$10:$F$699,0)</f>
        <v/>
      </c>
      <c r="C1579" s="86">
        <f>+VLOOKUP(B1579,ARTICULOS!$D$10:$I$699,6)</f>
        <v/>
      </c>
      <c r="D1579" s="212" t="n"/>
      <c r="E1579" s="75">
        <f>+C1579&amp;F1579</f>
        <v/>
      </c>
      <c r="F1579" s="80" t="n"/>
      <c r="G1579" s="81" t="n"/>
      <c r="H1579" s="78" t="n"/>
      <c r="I1579" s="78" t="n"/>
      <c r="J1579" s="78" t="n"/>
    </row>
    <row r="1580">
      <c r="A1580" s="84">
        <f>ROW()-6</f>
        <v/>
      </c>
      <c r="B1580" s="85">
        <f>+MATCH(D1580,ARTICULOS!$F$10:$F$699,0)</f>
        <v/>
      </c>
      <c r="C1580" s="86">
        <f>+VLOOKUP(B1580,ARTICULOS!$D$10:$I$699,6)</f>
        <v/>
      </c>
      <c r="D1580" s="212" t="n"/>
      <c r="E1580" s="75">
        <f>+C1580&amp;F1580</f>
        <v/>
      </c>
      <c r="F1580" s="80" t="n"/>
      <c r="G1580" s="81" t="n"/>
      <c r="H1580" s="78" t="n"/>
      <c r="I1580" s="78" t="n"/>
      <c r="J1580" s="78" t="n"/>
    </row>
    <row r="1581">
      <c r="A1581" s="84">
        <f>ROW()-6</f>
        <v/>
      </c>
      <c r="B1581" s="85">
        <f>+MATCH(D1581,ARTICULOS!$F$10:$F$699,0)</f>
        <v/>
      </c>
      <c r="C1581" s="86">
        <f>+VLOOKUP(B1581,ARTICULOS!$D$10:$I$699,6)</f>
        <v/>
      </c>
      <c r="D1581" s="212" t="n"/>
      <c r="E1581" s="75">
        <f>+C1581&amp;F1581</f>
        <v/>
      </c>
      <c r="F1581" s="80" t="n"/>
      <c r="G1581" s="81" t="n"/>
      <c r="H1581" s="78" t="n"/>
      <c r="I1581" s="78" t="n"/>
      <c r="J1581" s="78" t="n"/>
    </row>
    <row r="1582">
      <c r="A1582" s="84">
        <f>ROW()-6</f>
        <v/>
      </c>
      <c r="B1582" s="85">
        <f>+MATCH(D1582,ARTICULOS!$F$10:$F$699,0)</f>
        <v/>
      </c>
      <c r="C1582" s="86">
        <f>+VLOOKUP(B1582,ARTICULOS!$D$10:$I$699,6)</f>
        <v/>
      </c>
      <c r="D1582" s="212" t="n"/>
      <c r="E1582" s="75">
        <f>+C1582&amp;F1582</f>
        <v/>
      </c>
      <c r="F1582" s="80" t="n"/>
      <c r="G1582" s="81" t="n"/>
      <c r="H1582" s="78" t="n"/>
      <c r="I1582" s="78" t="n"/>
      <c r="J1582" s="78" t="n"/>
    </row>
    <row r="1583">
      <c r="A1583" s="84">
        <f>ROW()-6</f>
        <v/>
      </c>
      <c r="B1583" s="85">
        <f>+MATCH(D1583,ARTICULOS!$F$10:$F$699,0)</f>
        <v/>
      </c>
      <c r="C1583" s="86">
        <f>+VLOOKUP(B1583,ARTICULOS!$D$10:$I$699,6)</f>
        <v/>
      </c>
      <c r="D1583" s="212" t="n"/>
      <c r="E1583" s="75">
        <f>+C1583&amp;F1583</f>
        <v/>
      </c>
      <c r="F1583" s="80" t="n"/>
      <c r="G1583" s="81" t="n"/>
      <c r="H1583" s="78" t="n"/>
      <c r="I1583" s="78" t="n"/>
      <c r="J1583" s="78" t="n"/>
    </row>
    <row r="1584">
      <c r="A1584" s="84">
        <f>ROW()-6</f>
        <v/>
      </c>
      <c r="B1584" s="85">
        <f>+MATCH(D1584,ARTICULOS!$F$10:$F$699,0)</f>
        <v/>
      </c>
      <c r="C1584" s="86">
        <f>+VLOOKUP(B1584,ARTICULOS!$D$10:$I$699,6)</f>
        <v/>
      </c>
      <c r="D1584" s="212" t="n"/>
      <c r="E1584" s="75">
        <f>+C1584&amp;F1584</f>
        <v/>
      </c>
      <c r="F1584" s="80" t="n"/>
      <c r="G1584" s="81" t="n"/>
      <c r="H1584" s="78" t="n"/>
      <c r="I1584" s="78" t="n"/>
      <c r="J1584" s="78" t="n"/>
    </row>
    <row r="1585">
      <c r="A1585" s="84">
        <f>ROW()-6</f>
        <v/>
      </c>
      <c r="B1585" s="85">
        <f>+MATCH(D1585,ARTICULOS!$F$10:$F$699,0)</f>
        <v/>
      </c>
      <c r="C1585" s="86">
        <f>+VLOOKUP(B1585,ARTICULOS!$D$10:$I$699,6)</f>
        <v/>
      </c>
      <c r="D1585" s="212" t="n"/>
      <c r="E1585" s="75">
        <f>+C1585&amp;F1585</f>
        <v/>
      </c>
      <c r="F1585" s="80" t="n"/>
      <c r="G1585" s="81" t="n"/>
      <c r="H1585" s="78" t="n"/>
      <c r="I1585" s="78" t="n"/>
      <c r="J1585" s="78" t="n"/>
    </row>
    <row r="1586">
      <c r="A1586" s="84">
        <f>ROW()-6</f>
        <v/>
      </c>
      <c r="B1586" s="85">
        <f>+MATCH(D1586,ARTICULOS!$F$10:$F$699,0)</f>
        <v/>
      </c>
      <c r="C1586" s="86">
        <f>+VLOOKUP(B1586,ARTICULOS!$D$10:$I$699,6)</f>
        <v/>
      </c>
      <c r="D1586" s="212" t="n"/>
      <c r="E1586" s="75">
        <f>+C1586&amp;F1586</f>
        <v/>
      </c>
      <c r="F1586" s="80" t="n"/>
      <c r="G1586" s="81" t="n"/>
      <c r="H1586" s="78" t="n"/>
      <c r="I1586" s="78" t="n"/>
      <c r="J1586" s="78" t="n"/>
    </row>
    <row r="1587">
      <c r="A1587" s="84">
        <f>ROW()-6</f>
        <v/>
      </c>
      <c r="B1587" s="85">
        <f>+MATCH(D1587,ARTICULOS!$F$10:$F$699,0)</f>
        <v/>
      </c>
      <c r="C1587" s="86">
        <f>+VLOOKUP(B1587,ARTICULOS!$D$10:$I$699,6)</f>
        <v/>
      </c>
      <c r="D1587" s="212" t="n"/>
      <c r="E1587" s="75">
        <f>+C1587&amp;F1587</f>
        <v/>
      </c>
      <c r="F1587" s="80" t="n"/>
      <c r="G1587" s="81" t="n"/>
      <c r="H1587" s="78" t="n"/>
      <c r="I1587" s="78" t="n"/>
      <c r="J1587" s="78" t="n"/>
    </row>
    <row r="1588">
      <c r="A1588" s="84">
        <f>ROW()-6</f>
        <v/>
      </c>
      <c r="B1588" s="85">
        <f>+MATCH(D1588,ARTICULOS!$F$10:$F$699,0)</f>
        <v/>
      </c>
      <c r="C1588" s="86">
        <f>+VLOOKUP(B1588,ARTICULOS!$D$10:$I$699,6)</f>
        <v/>
      </c>
      <c r="D1588" s="212" t="n"/>
      <c r="E1588" s="75">
        <f>+C1588&amp;F1588</f>
        <v/>
      </c>
      <c r="F1588" s="80" t="n"/>
      <c r="G1588" s="81" t="n"/>
      <c r="H1588" s="78" t="n"/>
      <c r="I1588" s="78" t="n"/>
      <c r="J1588" s="78" t="n"/>
    </row>
    <row r="1589">
      <c r="A1589" s="84">
        <f>ROW()-6</f>
        <v/>
      </c>
      <c r="B1589" s="85">
        <f>+MATCH(D1589,ARTICULOS!$F$10:$F$699,0)</f>
        <v/>
      </c>
      <c r="C1589" s="86">
        <f>+VLOOKUP(B1589,ARTICULOS!$D$10:$I$699,6)</f>
        <v/>
      </c>
      <c r="D1589" s="212" t="n"/>
      <c r="E1589" s="75">
        <f>+C1589&amp;F1589</f>
        <v/>
      </c>
      <c r="F1589" s="80" t="n"/>
      <c r="G1589" s="81" t="n"/>
      <c r="H1589" s="78" t="n"/>
      <c r="I1589" s="78" t="n"/>
      <c r="J1589" s="78" t="n"/>
    </row>
    <row r="1590">
      <c r="A1590" s="84">
        <f>ROW()-6</f>
        <v/>
      </c>
      <c r="B1590" s="85">
        <f>+MATCH(D1590,ARTICULOS!$F$10:$F$699,0)</f>
        <v/>
      </c>
      <c r="C1590" s="86">
        <f>+VLOOKUP(B1590,ARTICULOS!$D$10:$I$699,6)</f>
        <v/>
      </c>
      <c r="D1590" s="212" t="n"/>
      <c r="E1590" s="75">
        <f>+C1590&amp;F1590</f>
        <v/>
      </c>
      <c r="F1590" s="80" t="n"/>
      <c r="G1590" s="81" t="n"/>
      <c r="H1590" s="78" t="n"/>
      <c r="I1590" s="78" t="n"/>
      <c r="J1590" s="78" t="n"/>
    </row>
    <row r="1591">
      <c r="A1591" s="84">
        <f>ROW()-6</f>
        <v/>
      </c>
      <c r="B1591" s="85">
        <f>+MATCH(D1591,ARTICULOS!$F$10:$F$699,0)</f>
        <v/>
      </c>
      <c r="C1591" s="86">
        <f>+VLOOKUP(B1591,ARTICULOS!$D$10:$I$699,6)</f>
        <v/>
      </c>
      <c r="D1591" s="212" t="n"/>
      <c r="E1591" s="75">
        <f>+C1591&amp;F1591</f>
        <v/>
      </c>
      <c r="F1591" s="80" t="n"/>
      <c r="G1591" s="81" t="n"/>
      <c r="H1591" s="78" t="n"/>
      <c r="I1591" s="78" t="n"/>
      <c r="J1591" s="78" t="n"/>
    </row>
    <row r="1592">
      <c r="A1592" s="84">
        <f>ROW()-6</f>
        <v/>
      </c>
      <c r="B1592" s="85">
        <f>+MATCH(D1592,ARTICULOS!$F$10:$F$699,0)</f>
        <v/>
      </c>
      <c r="C1592" s="86">
        <f>+VLOOKUP(B1592,ARTICULOS!$D$10:$I$699,6)</f>
        <v/>
      </c>
      <c r="D1592" s="212" t="n"/>
      <c r="E1592" s="75">
        <f>+C1592&amp;F1592</f>
        <v/>
      </c>
      <c r="F1592" s="80" t="n"/>
      <c r="G1592" s="81" t="n"/>
      <c r="H1592" s="78" t="n"/>
      <c r="I1592" s="78" t="n"/>
      <c r="J1592" s="78" t="n"/>
    </row>
    <row r="1593">
      <c r="A1593" s="84">
        <f>ROW()-6</f>
        <v/>
      </c>
      <c r="B1593" s="85">
        <f>+MATCH(D1593,ARTICULOS!$F$10:$F$699,0)</f>
        <v/>
      </c>
      <c r="C1593" s="86">
        <f>+VLOOKUP(B1593,ARTICULOS!$D$10:$I$699,6)</f>
        <v/>
      </c>
      <c r="D1593" s="212" t="n"/>
      <c r="E1593" s="75">
        <f>+C1593&amp;F1593</f>
        <v/>
      </c>
      <c r="F1593" s="80" t="n"/>
      <c r="G1593" s="81" t="n"/>
      <c r="H1593" s="78" t="n"/>
      <c r="I1593" s="78" t="n"/>
      <c r="J1593" s="78" t="n"/>
    </row>
    <row r="1594">
      <c r="A1594" s="84">
        <f>ROW()-6</f>
        <v/>
      </c>
      <c r="B1594" s="85">
        <f>+MATCH(D1594,ARTICULOS!$F$10:$F$699,0)</f>
        <v/>
      </c>
      <c r="C1594" s="86">
        <f>+VLOOKUP(B1594,ARTICULOS!$D$10:$I$699,6)</f>
        <v/>
      </c>
      <c r="D1594" s="212" t="n"/>
      <c r="E1594" s="75">
        <f>+C1594&amp;F1594</f>
        <v/>
      </c>
      <c r="F1594" s="80" t="n"/>
      <c r="G1594" s="81" t="n"/>
      <c r="H1594" s="78" t="n"/>
      <c r="I1594" s="78" t="n"/>
      <c r="J1594" s="78" t="n"/>
    </row>
    <row r="1595">
      <c r="A1595" s="84">
        <f>ROW()-6</f>
        <v/>
      </c>
      <c r="B1595" s="85">
        <f>+MATCH(D1595,ARTICULOS!$F$10:$F$699,0)</f>
        <v/>
      </c>
      <c r="C1595" s="86">
        <f>+VLOOKUP(B1595,ARTICULOS!$D$10:$I$699,6)</f>
        <v/>
      </c>
      <c r="D1595" s="212" t="n"/>
      <c r="E1595" s="75">
        <f>+C1595&amp;F1595</f>
        <v/>
      </c>
      <c r="F1595" s="80" t="n"/>
      <c r="G1595" s="81" t="n"/>
      <c r="H1595" s="78" t="n"/>
      <c r="I1595" s="78" t="n"/>
      <c r="J1595" s="78" t="n"/>
    </row>
    <row r="1596">
      <c r="A1596" s="84">
        <f>ROW()-6</f>
        <v/>
      </c>
      <c r="B1596" s="85">
        <f>+MATCH(D1596,ARTICULOS!$F$10:$F$699,0)</f>
        <v/>
      </c>
      <c r="C1596" s="86">
        <f>+VLOOKUP(B1596,ARTICULOS!$D$10:$I$699,6)</f>
        <v/>
      </c>
      <c r="D1596" s="212" t="n"/>
      <c r="E1596" s="75">
        <f>+C1596&amp;F1596</f>
        <v/>
      </c>
      <c r="F1596" s="80" t="n"/>
      <c r="G1596" s="81" t="n"/>
      <c r="H1596" s="78" t="n"/>
      <c r="I1596" s="78" t="n"/>
      <c r="J1596" s="78" t="n"/>
    </row>
    <row r="1597">
      <c r="A1597" s="84">
        <f>ROW()-6</f>
        <v/>
      </c>
      <c r="B1597" s="85">
        <f>+MATCH(D1597,ARTICULOS!$F$10:$F$699,0)</f>
        <v/>
      </c>
      <c r="C1597" s="86">
        <f>+VLOOKUP(B1597,ARTICULOS!$D$10:$I$699,6)</f>
        <v/>
      </c>
      <c r="D1597" s="212" t="n"/>
      <c r="E1597" s="75">
        <f>+C1597&amp;F1597</f>
        <v/>
      </c>
      <c r="F1597" s="80" t="n"/>
      <c r="G1597" s="81" t="n"/>
      <c r="H1597" s="78" t="n"/>
      <c r="I1597" s="78" t="n"/>
      <c r="J1597" s="78" t="n"/>
    </row>
    <row r="1598">
      <c r="A1598" s="84">
        <f>ROW()-6</f>
        <v/>
      </c>
      <c r="B1598" s="85">
        <f>+MATCH(D1598,ARTICULOS!$F$10:$F$699,0)</f>
        <v/>
      </c>
      <c r="C1598" s="86">
        <f>+VLOOKUP(B1598,ARTICULOS!$D$10:$I$699,6)</f>
        <v/>
      </c>
      <c r="D1598" s="212" t="n"/>
      <c r="E1598" s="75">
        <f>+C1598&amp;F1598</f>
        <v/>
      </c>
      <c r="F1598" s="80" t="n"/>
      <c r="G1598" s="81" t="n"/>
      <c r="H1598" s="78" t="n"/>
      <c r="I1598" s="78" t="n"/>
      <c r="J1598" s="78" t="n"/>
    </row>
    <row r="1599">
      <c r="A1599" s="84">
        <f>ROW()-6</f>
        <v/>
      </c>
      <c r="B1599" s="85">
        <f>+MATCH(D1599,ARTICULOS!$F$10:$F$699,0)</f>
        <v/>
      </c>
      <c r="C1599" s="86">
        <f>+VLOOKUP(B1599,ARTICULOS!$D$10:$I$699,6)</f>
        <v/>
      </c>
      <c r="D1599" s="212" t="n"/>
      <c r="E1599" s="75">
        <f>+C1599&amp;F1599</f>
        <v/>
      </c>
      <c r="F1599" s="80" t="n"/>
      <c r="G1599" s="81" t="n"/>
      <c r="H1599" s="78" t="n"/>
      <c r="I1599" s="78" t="n"/>
      <c r="J1599" s="78" t="n"/>
    </row>
    <row r="1600">
      <c r="A1600" s="84">
        <f>ROW()-6</f>
        <v/>
      </c>
      <c r="B1600" s="85">
        <f>+MATCH(D1600,ARTICULOS!$F$10:$F$699,0)</f>
        <v/>
      </c>
      <c r="C1600" s="86">
        <f>+VLOOKUP(B1600,ARTICULOS!$D$10:$I$699,6)</f>
        <v/>
      </c>
      <c r="D1600" s="212" t="n"/>
      <c r="E1600" s="75">
        <f>+C1600&amp;F1600</f>
        <v/>
      </c>
      <c r="F1600" s="80" t="n"/>
      <c r="G1600" s="81" t="n"/>
      <c r="H1600" s="78" t="n"/>
      <c r="I1600" s="78" t="n"/>
      <c r="J1600" s="78" t="n"/>
    </row>
    <row r="1601">
      <c r="A1601" s="84">
        <f>ROW()-6</f>
        <v/>
      </c>
      <c r="B1601" s="85">
        <f>+MATCH(D1601,ARTICULOS!$F$10:$F$699,0)</f>
        <v/>
      </c>
      <c r="C1601" s="86">
        <f>+VLOOKUP(B1601,ARTICULOS!$D$10:$I$699,6)</f>
        <v/>
      </c>
      <c r="D1601" s="212" t="n"/>
      <c r="E1601" s="75">
        <f>+C1601&amp;F1601</f>
        <v/>
      </c>
      <c r="F1601" s="80" t="n"/>
      <c r="G1601" s="81" t="n"/>
      <c r="H1601" s="78" t="n"/>
      <c r="I1601" s="78" t="n"/>
      <c r="J1601" s="78" t="n"/>
    </row>
    <row r="1602">
      <c r="A1602" s="84">
        <f>ROW()-6</f>
        <v/>
      </c>
      <c r="B1602" s="85">
        <f>+MATCH(D1602,ARTICULOS!$F$10:$F$699,0)</f>
        <v/>
      </c>
      <c r="C1602" s="86">
        <f>+VLOOKUP(B1602,ARTICULOS!$D$10:$I$699,6)</f>
        <v/>
      </c>
      <c r="D1602" s="212" t="n"/>
      <c r="E1602" s="75">
        <f>+C1602&amp;F1602</f>
        <v/>
      </c>
      <c r="F1602" s="80" t="n"/>
      <c r="G1602" s="81" t="n"/>
      <c r="H1602" s="78" t="n"/>
      <c r="I1602" s="78" t="n"/>
      <c r="J1602" s="78" t="n"/>
    </row>
    <row r="1603">
      <c r="A1603" s="84">
        <f>ROW()-6</f>
        <v/>
      </c>
      <c r="B1603" s="85">
        <f>+MATCH(D1603,ARTICULOS!$F$10:$F$699,0)</f>
        <v/>
      </c>
      <c r="C1603" s="86">
        <f>+VLOOKUP(B1603,ARTICULOS!$D$10:$I$699,6)</f>
        <v/>
      </c>
      <c r="D1603" s="212" t="n"/>
      <c r="E1603" s="75">
        <f>+C1603&amp;F1603</f>
        <v/>
      </c>
      <c r="F1603" s="80" t="n"/>
      <c r="G1603" s="81" t="n"/>
      <c r="H1603" s="78" t="n"/>
      <c r="I1603" s="78" t="n"/>
      <c r="J1603" s="78" t="n"/>
    </row>
    <row r="1604">
      <c r="A1604" s="84">
        <f>ROW()-6</f>
        <v/>
      </c>
      <c r="B1604" s="85">
        <f>+MATCH(D1604,ARTICULOS!$F$10:$F$699,0)</f>
        <v/>
      </c>
      <c r="C1604" s="86">
        <f>+VLOOKUP(B1604,ARTICULOS!$D$10:$I$699,6)</f>
        <v/>
      </c>
      <c r="D1604" s="212" t="n"/>
      <c r="E1604" s="75">
        <f>+C1604&amp;F1604</f>
        <v/>
      </c>
      <c r="F1604" s="80" t="n"/>
      <c r="G1604" s="81" t="n"/>
      <c r="H1604" s="78" t="n"/>
      <c r="I1604" s="78" t="n"/>
      <c r="J1604" s="78" t="n"/>
    </row>
    <row r="1605">
      <c r="A1605" s="84">
        <f>ROW()-6</f>
        <v/>
      </c>
      <c r="B1605" s="85">
        <f>+MATCH(D1605,ARTICULOS!$F$10:$F$699,0)</f>
        <v/>
      </c>
      <c r="C1605" s="86">
        <f>+VLOOKUP(B1605,ARTICULOS!$D$10:$I$699,6)</f>
        <v/>
      </c>
      <c r="D1605" s="212" t="n"/>
      <c r="E1605" s="75">
        <f>+C1605&amp;F1605</f>
        <v/>
      </c>
      <c r="F1605" s="80" t="n"/>
      <c r="G1605" s="81" t="n"/>
      <c r="H1605" s="78" t="n"/>
      <c r="I1605" s="78" t="n"/>
      <c r="J1605" s="78" t="n"/>
    </row>
    <row r="1606">
      <c r="A1606" s="84">
        <f>ROW()-6</f>
        <v/>
      </c>
      <c r="B1606" s="85">
        <f>+MATCH(D1606,ARTICULOS!$F$10:$F$699,0)</f>
        <v/>
      </c>
      <c r="C1606" s="86">
        <f>+VLOOKUP(B1606,ARTICULOS!$D$10:$I$699,6)</f>
        <v/>
      </c>
      <c r="D1606" s="212" t="n"/>
      <c r="E1606" s="75">
        <f>+C1606&amp;F1606</f>
        <v/>
      </c>
      <c r="F1606" s="80" t="n"/>
      <c r="G1606" s="81" t="n"/>
      <c r="H1606" s="78" t="n"/>
      <c r="I1606" s="78" t="n"/>
      <c r="J1606" s="78" t="n"/>
    </row>
    <row r="1607">
      <c r="A1607" s="84">
        <f>ROW()-6</f>
        <v/>
      </c>
      <c r="B1607" s="85">
        <f>+MATCH(D1607,ARTICULOS!$F$10:$F$699,0)</f>
        <v/>
      </c>
      <c r="C1607" s="86">
        <f>+VLOOKUP(B1607,ARTICULOS!$D$10:$I$699,6)</f>
        <v/>
      </c>
      <c r="D1607" s="212" t="n"/>
      <c r="E1607" s="75">
        <f>+C1607&amp;F1607</f>
        <v/>
      </c>
      <c r="F1607" s="80" t="n"/>
      <c r="G1607" s="81" t="n"/>
      <c r="H1607" s="78" t="n"/>
      <c r="I1607" s="78" t="n"/>
      <c r="J1607" s="78" t="n"/>
    </row>
    <row r="1608">
      <c r="A1608" s="84">
        <f>ROW()-6</f>
        <v/>
      </c>
      <c r="B1608" s="85">
        <f>+MATCH(D1608,ARTICULOS!$F$10:$F$699,0)</f>
        <v/>
      </c>
      <c r="C1608" s="86">
        <f>+VLOOKUP(B1608,ARTICULOS!$D$10:$I$699,6)</f>
        <v/>
      </c>
      <c r="D1608" s="212" t="n"/>
      <c r="E1608" s="75">
        <f>+C1608&amp;F1608</f>
        <v/>
      </c>
      <c r="F1608" s="80" t="n"/>
      <c r="G1608" s="81" t="n"/>
      <c r="H1608" s="78" t="n"/>
      <c r="I1608" s="78" t="n"/>
      <c r="J1608" s="78" t="n"/>
    </row>
    <row r="1609">
      <c r="A1609" s="84">
        <f>ROW()-6</f>
        <v/>
      </c>
      <c r="B1609" s="85">
        <f>+MATCH(D1609,ARTICULOS!$F$10:$F$699,0)</f>
        <v/>
      </c>
      <c r="C1609" s="86">
        <f>+VLOOKUP(B1609,ARTICULOS!$D$10:$I$699,6)</f>
        <v/>
      </c>
      <c r="D1609" s="212" t="n"/>
      <c r="E1609" s="75">
        <f>+C1609&amp;F1609</f>
        <v/>
      </c>
      <c r="F1609" s="80" t="n"/>
      <c r="G1609" s="81" t="n"/>
      <c r="H1609" s="78" t="n"/>
      <c r="I1609" s="78" t="n"/>
      <c r="J1609" s="78" t="n"/>
    </row>
    <row r="1610">
      <c r="A1610" s="84">
        <f>ROW()-6</f>
        <v/>
      </c>
      <c r="B1610" s="85">
        <f>+MATCH(D1610,ARTICULOS!$F$10:$F$699,0)</f>
        <v/>
      </c>
      <c r="C1610" s="86">
        <f>+VLOOKUP(B1610,ARTICULOS!$D$10:$I$699,6)</f>
        <v/>
      </c>
      <c r="D1610" s="212" t="n"/>
      <c r="E1610" s="75">
        <f>+C1610&amp;F1610</f>
        <v/>
      </c>
      <c r="F1610" s="80" t="n"/>
      <c r="G1610" s="81" t="n"/>
      <c r="H1610" s="78" t="n"/>
      <c r="I1610" s="78" t="n"/>
      <c r="J1610" s="78" t="n"/>
    </row>
    <row r="1611">
      <c r="A1611" s="84">
        <f>ROW()-6</f>
        <v/>
      </c>
      <c r="B1611" s="85">
        <f>+MATCH(D1611,ARTICULOS!$F$10:$F$699,0)</f>
        <v/>
      </c>
      <c r="C1611" s="86">
        <f>+VLOOKUP(B1611,ARTICULOS!$D$10:$I$699,6)</f>
        <v/>
      </c>
      <c r="D1611" s="212" t="n"/>
      <c r="E1611" s="75">
        <f>+C1611&amp;F1611</f>
        <v/>
      </c>
      <c r="F1611" s="80" t="n"/>
      <c r="G1611" s="81" t="n"/>
      <c r="H1611" s="78" t="n"/>
      <c r="I1611" s="78" t="n"/>
      <c r="J1611" s="78" t="n"/>
    </row>
    <row r="1612">
      <c r="A1612" s="84">
        <f>ROW()-6</f>
        <v/>
      </c>
      <c r="B1612" s="85">
        <f>+MATCH(D1612,ARTICULOS!$F$10:$F$699,0)</f>
        <v/>
      </c>
      <c r="C1612" s="86">
        <f>+VLOOKUP(B1612,ARTICULOS!$D$10:$I$699,6)</f>
        <v/>
      </c>
      <c r="D1612" s="212" t="n"/>
      <c r="E1612" s="75">
        <f>+C1612&amp;F1612</f>
        <v/>
      </c>
      <c r="F1612" s="80" t="n"/>
      <c r="G1612" s="81" t="n"/>
      <c r="H1612" s="78" t="n"/>
      <c r="I1612" s="78" t="n"/>
      <c r="J1612" s="78" t="n"/>
    </row>
    <row r="1613">
      <c r="A1613" s="84">
        <f>ROW()-6</f>
        <v/>
      </c>
      <c r="B1613" s="85">
        <f>+MATCH(D1613,ARTICULOS!$F$10:$F$699,0)</f>
        <v/>
      </c>
      <c r="C1613" s="86">
        <f>+VLOOKUP(B1613,ARTICULOS!$D$10:$I$699,6)</f>
        <v/>
      </c>
      <c r="D1613" s="212" t="n"/>
      <c r="E1613" s="75">
        <f>+C1613&amp;F1613</f>
        <v/>
      </c>
      <c r="F1613" s="80" t="n"/>
      <c r="G1613" s="81" t="n"/>
      <c r="H1613" s="78" t="n"/>
      <c r="I1613" s="78" t="n"/>
      <c r="J1613" s="78" t="n"/>
    </row>
    <row r="1614">
      <c r="A1614" s="84">
        <f>ROW()-6</f>
        <v/>
      </c>
      <c r="B1614" s="85">
        <f>+MATCH(D1614,ARTICULOS!$F$10:$F$699,0)</f>
        <v/>
      </c>
      <c r="C1614" s="86">
        <f>+VLOOKUP(B1614,ARTICULOS!$D$10:$I$699,6)</f>
        <v/>
      </c>
      <c r="D1614" s="212" t="n"/>
      <c r="E1614" s="75">
        <f>+C1614&amp;F1614</f>
        <v/>
      </c>
      <c r="F1614" s="80" t="n"/>
      <c r="G1614" s="81" t="n"/>
      <c r="H1614" s="78" t="n"/>
      <c r="I1614" s="78" t="n"/>
      <c r="J1614" s="78" t="n"/>
    </row>
    <row r="1615">
      <c r="A1615" s="84">
        <f>ROW()-6</f>
        <v/>
      </c>
      <c r="B1615" s="85">
        <f>+MATCH(D1615,ARTICULOS!$F$10:$F$699,0)</f>
        <v/>
      </c>
      <c r="C1615" s="86">
        <f>+VLOOKUP(B1615,ARTICULOS!$D$10:$I$699,6)</f>
        <v/>
      </c>
      <c r="D1615" s="212" t="n"/>
      <c r="E1615" s="75">
        <f>+C1615&amp;F1615</f>
        <v/>
      </c>
      <c r="F1615" s="80" t="n"/>
      <c r="G1615" s="81" t="n"/>
      <c r="H1615" s="78" t="n"/>
      <c r="I1615" s="78" t="n"/>
      <c r="J1615" s="78" t="n"/>
    </row>
    <row r="1616">
      <c r="A1616" s="84">
        <f>ROW()-6</f>
        <v/>
      </c>
      <c r="B1616" s="85">
        <f>+MATCH(D1616,ARTICULOS!$F$10:$F$699,0)</f>
        <v/>
      </c>
      <c r="C1616" s="86">
        <f>+VLOOKUP(B1616,ARTICULOS!$D$10:$I$699,6)</f>
        <v/>
      </c>
      <c r="D1616" s="212" t="n"/>
      <c r="E1616" s="75">
        <f>+C1616&amp;F1616</f>
        <v/>
      </c>
      <c r="F1616" s="80" t="n"/>
      <c r="G1616" s="81" t="n"/>
      <c r="H1616" s="78" t="n"/>
      <c r="I1616" s="78" t="n"/>
      <c r="J1616" s="78" t="n"/>
    </row>
    <row r="1617">
      <c r="A1617" s="84">
        <f>ROW()-6</f>
        <v/>
      </c>
      <c r="B1617" s="85">
        <f>+MATCH(D1617,ARTICULOS!$F$10:$F$699,0)</f>
        <v/>
      </c>
      <c r="C1617" s="86">
        <f>+VLOOKUP(B1617,ARTICULOS!$D$10:$I$699,6)</f>
        <v/>
      </c>
      <c r="D1617" s="212" t="n"/>
      <c r="E1617" s="75">
        <f>+C1617&amp;F1617</f>
        <v/>
      </c>
      <c r="F1617" s="80" t="n"/>
      <c r="G1617" s="81" t="n"/>
      <c r="H1617" s="78" t="n"/>
      <c r="I1617" s="78" t="n"/>
      <c r="J1617" s="78" t="n"/>
    </row>
    <row r="1618">
      <c r="A1618" s="84">
        <f>ROW()-6</f>
        <v/>
      </c>
      <c r="B1618" s="85">
        <f>+MATCH(D1618,ARTICULOS!$F$10:$F$699,0)</f>
        <v/>
      </c>
      <c r="C1618" s="86">
        <f>+VLOOKUP(B1618,ARTICULOS!$D$10:$I$699,6)</f>
        <v/>
      </c>
      <c r="D1618" s="212" t="n"/>
      <c r="E1618" s="75">
        <f>+C1618&amp;F1618</f>
        <v/>
      </c>
      <c r="F1618" s="80" t="n"/>
      <c r="G1618" s="81" t="n"/>
      <c r="H1618" s="78" t="n"/>
      <c r="I1618" s="78" t="n"/>
      <c r="J1618" s="78" t="n"/>
    </row>
    <row r="1619">
      <c r="A1619" s="84">
        <f>ROW()-6</f>
        <v/>
      </c>
      <c r="B1619" s="85">
        <f>+MATCH(D1619,ARTICULOS!$F$10:$F$699,0)</f>
        <v/>
      </c>
      <c r="C1619" s="86">
        <f>+VLOOKUP(B1619,ARTICULOS!$D$10:$I$699,6)</f>
        <v/>
      </c>
      <c r="D1619" s="212" t="n"/>
      <c r="E1619" s="75">
        <f>+C1619&amp;F1619</f>
        <v/>
      </c>
      <c r="F1619" s="80" t="n"/>
      <c r="G1619" s="81" t="n"/>
      <c r="H1619" s="78" t="n"/>
      <c r="I1619" s="78" t="n"/>
      <c r="J1619" s="78" t="n"/>
    </row>
    <row r="1620">
      <c r="A1620" s="84">
        <f>ROW()-6</f>
        <v/>
      </c>
      <c r="B1620" s="85">
        <f>+MATCH(D1620,ARTICULOS!$F$10:$F$699,0)</f>
        <v/>
      </c>
      <c r="C1620" s="86">
        <f>+VLOOKUP(B1620,ARTICULOS!$D$10:$I$699,6)</f>
        <v/>
      </c>
      <c r="D1620" s="212" t="n"/>
      <c r="E1620" s="75">
        <f>+C1620&amp;F1620</f>
        <v/>
      </c>
      <c r="F1620" s="80" t="n"/>
      <c r="G1620" s="81" t="n"/>
      <c r="H1620" s="78" t="n"/>
      <c r="I1620" s="78" t="n"/>
      <c r="J1620" s="78" t="n"/>
    </row>
    <row r="1621">
      <c r="A1621" s="84">
        <f>ROW()-6</f>
        <v/>
      </c>
      <c r="B1621" s="85">
        <f>+MATCH(D1621,ARTICULOS!$F$10:$F$699,0)</f>
        <v/>
      </c>
      <c r="C1621" s="86">
        <f>+VLOOKUP(B1621,ARTICULOS!$D$10:$I$699,6)</f>
        <v/>
      </c>
      <c r="D1621" s="212" t="n"/>
      <c r="E1621" s="75">
        <f>+C1621&amp;F1621</f>
        <v/>
      </c>
      <c r="F1621" s="80" t="n"/>
      <c r="G1621" s="81" t="n"/>
      <c r="H1621" s="78" t="n"/>
      <c r="I1621" s="78" t="n"/>
      <c r="J1621" s="78" t="n"/>
    </row>
    <row r="1622">
      <c r="A1622" s="84">
        <f>ROW()-6</f>
        <v/>
      </c>
      <c r="B1622" s="85">
        <f>+MATCH(D1622,ARTICULOS!$F$10:$F$699,0)</f>
        <v/>
      </c>
      <c r="C1622" s="86">
        <f>+VLOOKUP(B1622,ARTICULOS!$D$10:$I$699,6)</f>
        <v/>
      </c>
      <c r="D1622" s="212" t="n"/>
      <c r="E1622" s="75">
        <f>+C1622&amp;F1622</f>
        <v/>
      </c>
      <c r="F1622" s="80" t="n"/>
      <c r="G1622" s="81" t="n"/>
      <c r="H1622" s="78" t="n"/>
      <c r="I1622" s="78" t="n"/>
      <c r="J1622" s="78" t="n"/>
    </row>
    <row r="1623">
      <c r="A1623" s="84">
        <f>ROW()-6</f>
        <v/>
      </c>
      <c r="B1623" s="85">
        <f>+MATCH(D1623,ARTICULOS!$F$10:$F$699,0)</f>
        <v/>
      </c>
      <c r="C1623" s="86">
        <f>+VLOOKUP(B1623,ARTICULOS!$D$10:$I$699,6)</f>
        <v/>
      </c>
      <c r="D1623" s="212" t="n"/>
      <c r="E1623" s="75">
        <f>+C1623&amp;F1623</f>
        <v/>
      </c>
      <c r="F1623" s="80" t="n"/>
      <c r="G1623" s="81" t="n"/>
      <c r="H1623" s="78" t="n"/>
      <c r="I1623" s="78" t="n"/>
      <c r="J1623" s="78" t="n"/>
    </row>
    <row r="1624">
      <c r="A1624" s="84">
        <f>ROW()-6</f>
        <v/>
      </c>
      <c r="B1624" s="85">
        <f>+MATCH(D1624,ARTICULOS!$F$10:$F$699,0)</f>
        <v/>
      </c>
      <c r="C1624" s="86">
        <f>+VLOOKUP(B1624,ARTICULOS!$D$10:$I$699,6)</f>
        <v/>
      </c>
      <c r="D1624" s="212" t="n"/>
      <c r="E1624" s="75">
        <f>+C1624&amp;F1624</f>
        <v/>
      </c>
      <c r="F1624" s="80" t="n"/>
      <c r="G1624" s="81" t="n"/>
      <c r="H1624" s="78" t="n"/>
      <c r="I1624" s="78" t="n"/>
      <c r="J1624" s="78" t="n"/>
    </row>
    <row r="1625">
      <c r="A1625" s="84">
        <f>ROW()-6</f>
        <v/>
      </c>
      <c r="B1625" s="85">
        <f>+MATCH(D1625,ARTICULOS!$F$10:$F$699,0)</f>
        <v/>
      </c>
      <c r="C1625" s="86">
        <f>+VLOOKUP(B1625,ARTICULOS!$D$10:$I$699,6)</f>
        <v/>
      </c>
      <c r="D1625" s="212" t="n"/>
      <c r="E1625" s="75">
        <f>+C1625&amp;F1625</f>
        <v/>
      </c>
      <c r="F1625" s="80" t="n"/>
      <c r="G1625" s="81" t="n"/>
      <c r="H1625" s="78" t="n"/>
      <c r="I1625" s="78" t="n"/>
      <c r="J1625" s="78" t="n"/>
    </row>
    <row r="1626">
      <c r="A1626" s="84">
        <f>ROW()-6</f>
        <v/>
      </c>
      <c r="B1626" s="85">
        <f>+MATCH(D1626,ARTICULOS!$F$10:$F$699,0)</f>
        <v/>
      </c>
      <c r="C1626" s="86">
        <f>+VLOOKUP(B1626,ARTICULOS!$D$10:$I$699,6)</f>
        <v/>
      </c>
      <c r="D1626" s="212" t="n"/>
      <c r="E1626" s="75">
        <f>+C1626&amp;F1626</f>
        <v/>
      </c>
      <c r="F1626" s="80" t="n"/>
      <c r="G1626" s="81" t="n"/>
      <c r="H1626" s="78" t="n"/>
      <c r="I1626" s="78" t="n"/>
      <c r="J1626" s="78" t="n"/>
    </row>
    <row r="1627">
      <c r="A1627" s="84">
        <f>ROW()-6</f>
        <v/>
      </c>
      <c r="B1627" s="85">
        <f>+MATCH(D1627,ARTICULOS!$F$10:$F$699,0)</f>
        <v/>
      </c>
      <c r="C1627" s="86">
        <f>+VLOOKUP(B1627,ARTICULOS!$D$10:$I$699,6)</f>
        <v/>
      </c>
      <c r="D1627" s="212" t="n"/>
      <c r="E1627" s="75">
        <f>+C1627&amp;F1627</f>
        <v/>
      </c>
      <c r="F1627" s="80" t="n"/>
      <c r="G1627" s="81" t="n"/>
      <c r="H1627" s="78" t="n"/>
      <c r="I1627" s="78" t="n"/>
      <c r="J1627" s="78" t="n"/>
    </row>
    <row r="1628">
      <c r="A1628" s="84">
        <f>ROW()-6</f>
        <v/>
      </c>
      <c r="B1628" s="85">
        <f>+MATCH(D1628,ARTICULOS!$F$10:$F$699,0)</f>
        <v/>
      </c>
      <c r="C1628" s="86">
        <f>+VLOOKUP(B1628,ARTICULOS!$D$10:$I$699,6)</f>
        <v/>
      </c>
      <c r="D1628" s="212" t="n"/>
      <c r="E1628" s="75">
        <f>+C1628&amp;F1628</f>
        <v/>
      </c>
      <c r="F1628" s="80" t="n"/>
      <c r="G1628" s="81" t="n"/>
      <c r="H1628" s="78" t="n"/>
      <c r="I1628" s="78" t="n"/>
      <c r="J1628" s="78" t="n"/>
    </row>
    <row r="1629">
      <c r="A1629" s="84">
        <f>ROW()-6</f>
        <v/>
      </c>
      <c r="B1629" s="85">
        <f>+MATCH(D1629,ARTICULOS!$F$10:$F$699,0)</f>
        <v/>
      </c>
      <c r="C1629" s="86">
        <f>+VLOOKUP(B1629,ARTICULOS!$D$10:$I$699,6)</f>
        <v/>
      </c>
      <c r="D1629" s="212" t="n"/>
      <c r="E1629" s="75">
        <f>+C1629&amp;F1629</f>
        <v/>
      </c>
      <c r="F1629" s="80" t="n"/>
      <c r="G1629" s="81" t="n"/>
      <c r="H1629" s="78" t="n"/>
      <c r="I1629" s="78" t="n"/>
      <c r="J1629" s="78" t="n"/>
    </row>
    <row r="1630">
      <c r="A1630" s="84">
        <f>ROW()-6</f>
        <v/>
      </c>
      <c r="B1630" s="85">
        <f>+MATCH(D1630,ARTICULOS!$F$10:$F$699,0)</f>
        <v/>
      </c>
      <c r="C1630" s="86">
        <f>+VLOOKUP(B1630,ARTICULOS!$D$10:$I$699,6)</f>
        <v/>
      </c>
      <c r="D1630" s="212" t="n"/>
      <c r="E1630" s="75">
        <f>+C1630&amp;F1630</f>
        <v/>
      </c>
      <c r="F1630" s="80" t="n"/>
      <c r="G1630" s="81" t="n"/>
      <c r="H1630" s="78" t="n"/>
      <c r="I1630" s="78" t="n"/>
      <c r="J1630" s="78" t="n"/>
    </row>
    <row r="1631">
      <c r="A1631" s="84">
        <f>ROW()-6</f>
        <v/>
      </c>
      <c r="B1631" s="85">
        <f>+MATCH(D1631,ARTICULOS!$F$10:$F$699,0)</f>
        <v/>
      </c>
      <c r="C1631" s="86">
        <f>+VLOOKUP(B1631,ARTICULOS!$D$10:$I$699,6)</f>
        <v/>
      </c>
      <c r="D1631" s="212" t="n"/>
      <c r="E1631" s="75">
        <f>+C1631&amp;F1631</f>
        <v/>
      </c>
      <c r="F1631" s="80" t="n"/>
      <c r="G1631" s="81" t="n"/>
      <c r="H1631" s="78" t="n"/>
      <c r="I1631" s="78" t="n"/>
      <c r="J1631" s="78" t="n"/>
    </row>
    <row r="1632">
      <c r="A1632" s="84">
        <f>ROW()-6</f>
        <v/>
      </c>
      <c r="B1632" s="85">
        <f>+MATCH(D1632,ARTICULOS!$F$10:$F$699,0)</f>
        <v/>
      </c>
      <c r="C1632" s="86">
        <f>+VLOOKUP(B1632,ARTICULOS!$D$10:$I$699,6)</f>
        <v/>
      </c>
      <c r="D1632" s="212" t="n"/>
      <c r="E1632" s="75">
        <f>+C1632&amp;F1632</f>
        <v/>
      </c>
      <c r="F1632" s="80" t="n"/>
      <c r="G1632" s="81" t="n"/>
      <c r="H1632" s="78" t="n"/>
      <c r="I1632" s="78" t="n"/>
      <c r="J1632" s="78" t="n"/>
    </row>
    <row r="1633">
      <c r="A1633" s="84">
        <f>ROW()-6</f>
        <v/>
      </c>
      <c r="B1633" s="85">
        <f>+MATCH(D1633,ARTICULOS!$F$10:$F$699,0)</f>
        <v/>
      </c>
      <c r="C1633" s="86">
        <f>+VLOOKUP(B1633,ARTICULOS!$D$10:$I$699,6)</f>
        <v/>
      </c>
      <c r="D1633" s="212" t="n"/>
      <c r="E1633" s="75">
        <f>+C1633&amp;F1633</f>
        <v/>
      </c>
      <c r="F1633" s="80" t="n"/>
      <c r="G1633" s="81" t="n"/>
      <c r="H1633" s="78" t="n"/>
      <c r="I1633" s="78" t="n"/>
      <c r="J1633" s="78" t="n"/>
    </row>
    <row r="1634">
      <c r="A1634" s="84">
        <f>ROW()-6</f>
        <v/>
      </c>
      <c r="B1634" s="85">
        <f>+MATCH(D1634,ARTICULOS!$F$10:$F$699,0)</f>
        <v/>
      </c>
      <c r="C1634" s="86">
        <f>+VLOOKUP(B1634,ARTICULOS!$D$10:$I$699,6)</f>
        <v/>
      </c>
      <c r="D1634" s="212" t="n"/>
      <c r="E1634" s="75">
        <f>+C1634&amp;F1634</f>
        <v/>
      </c>
      <c r="F1634" s="80" t="n"/>
      <c r="G1634" s="81" t="n"/>
      <c r="H1634" s="78" t="n"/>
      <c r="I1634" s="78" t="n"/>
      <c r="J1634" s="78" t="n"/>
    </row>
    <row r="1635">
      <c r="A1635" s="84">
        <f>ROW()-6</f>
        <v/>
      </c>
      <c r="B1635" s="85">
        <f>+MATCH(D1635,ARTICULOS!$F$10:$F$699,0)</f>
        <v/>
      </c>
      <c r="C1635" s="86">
        <f>+VLOOKUP(B1635,ARTICULOS!$D$10:$I$699,6)</f>
        <v/>
      </c>
      <c r="D1635" s="212" t="n"/>
      <c r="E1635" s="75">
        <f>+C1635&amp;F1635</f>
        <v/>
      </c>
      <c r="F1635" s="80" t="n"/>
      <c r="G1635" s="81" t="n"/>
      <c r="H1635" s="78" t="n"/>
      <c r="I1635" s="78" t="n"/>
      <c r="J1635" s="78" t="n"/>
    </row>
    <row r="1636">
      <c r="A1636" s="84">
        <f>ROW()-6</f>
        <v/>
      </c>
      <c r="B1636" s="85">
        <f>+MATCH(D1636,ARTICULOS!$F$10:$F$699,0)</f>
        <v/>
      </c>
      <c r="C1636" s="86">
        <f>+VLOOKUP(B1636,ARTICULOS!$D$10:$I$699,6)</f>
        <v/>
      </c>
      <c r="D1636" s="212" t="n"/>
      <c r="E1636" s="75">
        <f>+C1636&amp;F1636</f>
        <v/>
      </c>
      <c r="F1636" s="80" t="n"/>
      <c r="G1636" s="81" t="n"/>
      <c r="H1636" s="78" t="n"/>
      <c r="I1636" s="78" t="n"/>
      <c r="J1636" s="78" t="n"/>
    </row>
    <row r="1637">
      <c r="A1637" s="84">
        <f>ROW()-6</f>
        <v/>
      </c>
      <c r="B1637" s="85">
        <f>+MATCH(D1637,ARTICULOS!$F$10:$F$699,0)</f>
        <v/>
      </c>
      <c r="C1637" s="86">
        <f>+VLOOKUP(B1637,ARTICULOS!$D$10:$I$699,6)</f>
        <v/>
      </c>
      <c r="D1637" s="212" t="n"/>
      <c r="E1637" s="75">
        <f>+C1637&amp;F1637</f>
        <v/>
      </c>
      <c r="F1637" s="80" t="n"/>
      <c r="G1637" s="81" t="n"/>
      <c r="H1637" s="78" t="n"/>
      <c r="I1637" s="78" t="n"/>
      <c r="J1637" s="78" t="n"/>
    </row>
    <row r="1638">
      <c r="A1638" s="84">
        <f>ROW()-6</f>
        <v/>
      </c>
      <c r="B1638" s="85">
        <f>+MATCH(D1638,ARTICULOS!$F$10:$F$699,0)</f>
        <v/>
      </c>
      <c r="C1638" s="86">
        <f>+VLOOKUP(B1638,ARTICULOS!$D$10:$I$699,6)</f>
        <v/>
      </c>
      <c r="D1638" s="212" t="n"/>
      <c r="E1638" s="75">
        <f>+C1638&amp;F1638</f>
        <v/>
      </c>
      <c r="F1638" s="80" t="n"/>
      <c r="G1638" s="81" t="n"/>
      <c r="H1638" s="78" t="n"/>
      <c r="I1638" s="78" t="n"/>
      <c r="J1638" s="78" t="n"/>
    </row>
    <row r="1639">
      <c r="A1639" s="84">
        <f>ROW()-6</f>
        <v/>
      </c>
      <c r="B1639" s="85">
        <f>+MATCH(D1639,ARTICULOS!$F$10:$F$699,0)</f>
        <v/>
      </c>
      <c r="C1639" s="86">
        <f>+VLOOKUP(B1639,ARTICULOS!$D$10:$I$699,6)</f>
        <v/>
      </c>
      <c r="D1639" s="212" t="n"/>
      <c r="E1639" s="75">
        <f>+C1639&amp;F1639</f>
        <v/>
      </c>
      <c r="F1639" s="80" t="n"/>
      <c r="G1639" s="81" t="n"/>
      <c r="H1639" s="78" t="n"/>
      <c r="I1639" s="78" t="n"/>
      <c r="J1639" s="78" t="n"/>
    </row>
    <row r="1640">
      <c r="A1640" s="84">
        <f>ROW()-6</f>
        <v/>
      </c>
      <c r="B1640" s="85">
        <f>+MATCH(D1640,ARTICULOS!$F$10:$F$699,0)</f>
        <v/>
      </c>
      <c r="C1640" s="86">
        <f>+VLOOKUP(B1640,ARTICULOS!$D$10:$I$699,6)</f>
        <v/>
      </c>
      <c r="D1640" s="212" t="n"/>
      <c r="E1640" s="75">
        <f>+C1640&amp;F1640</f>
        <v/>
      </c>
      <c r="F1640" s="80" t="n"/>
      <c r="G1640" s="81" t="n"/>
      <c r="H1640" s="78" t="n"/>
      <c r="I1640" s="78" t="n"/>
      <c r="J1640" s="78" t="n"/>
    </row>
    <row r="1641">
      <c r="A1641" s="84">
        <f>ROW()-6</f>
        <v/>
      </c>
      <c r="B1641" s="85">
        <f>+MATCH(D1641,ARTICULOS!$F$10:$F$699,0)</f>
        <v/>
      </c>
      <c r="C1641" s="86">
        <f>+VLOOKUP(B1641,ARTICULOS!$D$10:$I$699,6)</f>
        <v/>
      </c>
      <c r="D1641" s="212" t="n"/>
      <c r="E1641" s="75">
        <f>+C1641&amp;F1641</f>
        <v/>
      </c>
      <c r="F1641" s="80" t="n"/>
      <c r="G1641" s="81" t="n"/>
      <c r="H1641" s="78" t="n"/>
      <c r="I1641" s="78" t="n"/>
      <c r="J1641" s="78" t="n"/>
    </row>
    <row r="1642">
      <c r="A1642" s="84">
        <f>ROW()-6</f>
        <v/>
      </c>
      <c r="B1642" s="85">
        <f>+MATCH(D1642,ARTICULOS!$F$10:$F$699,0)</f>
        <v/>
      </c>
      <c r="C1642" s="86">
        <f>+VLOOKUP(B1642,ARTICULOS!$D$10:$I$699,6)</f>
        <v/>
      </c>
      <c r="D1642" s="212" t="n"/>
      <c r="E1642" s="75">
        <f>+C1642&amp;F1642</f>
        <v/>
      </c>
      <c r="F1642" s="80" t="n"/>
      <c r="G1642" s="81" t="n"/>
      <c r="H1642" s="78" t="n"/>
      <c r="I1642" s="78" t="n"/>
      <c r="J1642" s="78" t="n"/>
    </row>
    <row r="1643">
      <c r="A1643" s="84">
        <f>ROW()-6</f>
        <v/>
      </c>
      <c r="B1643" s="85">
        <f>+MATCH(D1643,ARTICULOS!$F$10:$F$699,0)</f>
        <v/>
      </c>
      <c r="C1643" s="86">
        <f>+VLOOKUP(B1643,ARTICULOS!$D$10:$I$699,6)</f>
        <v/>
      </c>
      <c r="D1643" s="212" t="n"/>
      <c r="E1643" s="75">
        <f>+C1643&amp;F1643</f>
        <v/>
      </c>
      <c r="F1643" s="80" t="n"/>
      <c r="G1643" s="81" t="n"/>
      <c r="H1643" s="78" t="n"/>
      <c r="I1643" s="78" t="n"/>
      <c r="J1643" s="78" t="n"/>
    </row>
    <row r="1644">
      <c r="A1644" s="84">
        <f>ROW()-6</f>
        <v/>
      </c>
      <c r="B1644" s="85">
        <f>+MATCH(D1644,ARTICULOS!$F$10:$F$699,0)</f>
        <v/>
      </c>
      <c r="C1644" s="86">
        <f>+VLOOKUP(B1644,ARTICULOS!$D$10:$I$699,6)</f>
        <v/>
      </c>
      <c r="D1644" s="212" t="n"/>
      <c r="E1644" s="75">
        <f>+C1644&amp;F1644</f>
        <v/>
      </c>
      <c r="F1644" s="80" t="n"/>
      <c r="G1644" s="81" t="n"/>
      <c r="H1644" s="78" t="n"/>
      <c r="I1644" s="78" t="n"/>
      <c r="J1644" s="78" t="n"/>
    </row>
    <row r="1645">
      <c r="A1645" s="84">
        <f>ROW()-6</f>
        <v/>
      </c>
      <c r="B1645" s="85">
        <f>+MATCH(D1645,ARTICULOS!$F$10:$F$699,0)</f>
        <v/>
      </c>
      <c r="C1645" s="86">
        <f>+VLOOKUP(B1645,ARTICULOS!$D$10:$I$699,6)</f>
        <v/>
      </c>
      <c r="D1645" s="212" t="n"/>
      <c r="E1645" s="75">
        <f>+C1645&amp;F1645</f>
        <v/>
      </c>
      <c r="F1645" s="80" t="n"/>
      <c r="G1645" s="81" t="n"/>
      <c r="H1645" s="78" t="n"/>
      <c r="I1645" s="78" t="n"/>
      <c r="J1645" s="78" t="n"/>
    </row>
    <row r="1646">
      <c r="A1646" s="84">
        <f>ROW()-6</f>
        <v/>
      </c>
      <c r="B1646" s="85">
        <f>+MATCH(D1646,ARTICULOS!$F$10:$F$699,0)</f>
        <v/>
      </c>
      <c r="C1646" s="86">
        <f>+VLOOKUP(B1646,ARTICULOS!$D$10:$I$699,6)</f>
        <v/>
      </c>
      <c r="D1646" s="212" t="n"/>
      <c r="E1646" s="75">
        <f>+C1646&amp;F1646</f>
        <v/>
      </c>
      <c r="F1646" s="80" t="n"/>
      <c r="G1646" s="81" t="n"/>
      <c r="H1646" s="78" t="n"/>
      <c r="I1646" s="78" t="n"/>
      <c r="J1646" s="78" t="n"/>
    </row>
    <row r="1647">
      <c r="A1647" s="84">
        <f>ROW()-6</f>
        <v/>
      </c>
      <c r="B1647" s="85">
        <f>+MATCH(D1647,ARTICULOS!$F$10:$F$699,0)</f>
        <v/>
      </c>
      <c r="C1647" s="86">
        <f>+VLOOKUP(B1647,ARTICULOS!$D$10:$I$699,6)</f>
        <v/>
      </c>
      <c r="D1647" s="212" t="n"/>
      <c r="E1647" s="75">
        <f>+C1647&amp;F1647</f>
        <v/>
      </c>
      <c r="F1647" s="80" t="n"/>
      <c r="G1647" s="81" t="n"/>
      <c r="H1647" s="78" t="n"/>
      <c r="I1647" s="78" t="n"/>
      <c r="J1647" s="78" t="n"/>
    </row>
    <row r="1648">
      <c r="A1648" s="84">
        <f>ROW()-6</f>
        <v/>
      </c>
      <c r="B1648" s="85">
        <f>+MATCH(D1648,ARTICULOS!$F$10:$F$699,0)</f>
        <v/>
      </c>
      <c r="C1648" s="86">
        <f>+VLOOKUP(B1648,ARTICULOS!$D$10:$I$699,6)</f>
        <v/>
      </c>
      <c r="D1648" s="212" t="n"/>
      <c r="E1648" s="75">
        <f>+C1648&amp;F1648</f>
        <v/>
      </c>
      <c r="F1648" s="80" t="n"/>
      <c r="G1648" s="81" t="n"/>
      <c r="H1648" s="78" t="n"/>
      <c r="I1648" s="78" t="n"/>
      <c r="J1648" s="78" t="n"/>
    </row>
    <row r="1649">
      <c r="A1649" s="84">
        <f>ROW()-6</f>
        <v/>
      </c>
      <c r="B1649" s="85">
        <f>+MATCH(D1649,ARTICULOS!$F$10:$F$699,0)</f>
        <v/>
      </c>
      <c r="C1649" s="86">
        <f>+VLOOKUP(B1649,ARTICULOS!$D$10:$I$699,6)</f>
        <v/>
      </c>
      <c r="D1649" s="212" t="n"/>
      <c r="E1649" s="75">
        <f>+C1649&amp;F1649</f>
        <v/>
      </c>
      <c r="F1649" s="80" t="n"/>
      <c r="G1649" s="81" t="n"/>
      <c r="H1649" s="78" t="n"/>
      <c r="I1649" s="78" t="n"/>
      <c r="J1649" s="78" t="n"/>
    </row>
    <row r="1650">
      <c r="A1650" s="84">
        <f>ROW()-6</f>
        <v/>
      </c>
      <c r="B1650" s="85">
        <f>+MATCH(D1650,ARTICULOS!$F$10:$F$699,0)</f>
        <v/>
      </c>
      <c r="C1650" s="86">
        <f>+VLOOKUP(B1650,ARTICULOS!$D$10:$I$699,6)</f>
        <v/>
      </c>
      <c r="D1650" s="212" t="n"/>
      <c r="E1650" s="75">
        <f>+C1650&amp;F1650</f>
        <v/>
      </c>
      <c r="F1650" s="80" t="n"/>
      <c r="G1650" s="81" t="n"/>
      <c r="H1650" s="78" t="n"/>
      <c r="I1650" s="78" t="n"/>
      <c r="J1650" s="78" t="n"/>
    </row>
    <row r="1651">
      <c r="A1651" s="84">
        <f>ROW()-6</f>
        <v/>
      </c>
      <c r="B1651" s="85">
        <f>+MATCH(D1651,ARTICULOS!$F$10:$F$699,0)</f>
        <v/>
      </c>
      <c r="C1651" s="86">
        <f>+VLOOKUP(B1651,ARTICULOS!$D$10:$I$699,6)</f>
        <v/>
      </c>
      <c r="D1651" s="212" t="n"/>
      <c r="E1651" s="75">
        <f>+C1651&amp;F1651</f>
        <v/>
      </c>
      <c r="F1651" s="80" t="n"/>
      <c r="G1651" s="81" t="n"/>
      <c r="H1651" s="78" t="n"/>
      <c r="I1651" s="78" t="n"/>
      <c r="J1651" s="78" t="n"/>
    </row>
    <row r="1652">
      <c r="A1652" s="84">
        <f>ROW()-6</f>
        <v/>
      </c>
      <c r="B1652" s="85">
        <f>+MATCH(D1652,ARTICULOS!$F$10:$F$699,0)</f>
        <v/>
      </c>
      <c r="C1652" s="86">
        <f>+VLOOKUP(B1652,ARTICULOS!$D$10:$I$699,6)</f>
        <v/>
      </c>
      <c r="D1652" s="212" t="n"/>
      <c r="E1652" s="75">
        <f>+C1652&amp;F1652</f>
        <v/>
      </c>
      <c r="F1652" s="80" t="n"/>
      <c r="G1652" s="81" t="n"/>
      <c r="H1652" s="78" t="n"/>
      <c r="I1652" s="78" t="n"/>
      <c r="J1652" s="78" t="n"/>
    </row>
    <row r="1653">
      <c r="A1653" s="84">
        <f>ROW()-6</f>
        <v/>
      </c>
      <c r="B1653" s="85">
        <f>+MATCH(D1653,ARTICULOS!$F$10:$F$699,0)</f>
        <v/>
      </c>
      <c r="C1653" s="86">
        <f>+VLOOKUP(B1653,ARTICULOS!$D$10:$I$699,6)</f>
        <v/>
      </c>
      <c r="D1653" s="212" t="n"/>
      <c r="E1653" s="75">
        <f>+C1653&amp;F1653</f>
        <v/>
      </c>
      <c r="F1653" s="80" t="n"/>
      <c r="G1653" s="81" t="n"/>
      <c r="H1653" s="78" t="n"/>
      <c r="I1653" s="78" t="n"/>
      <c r="J1653" s="78" t="n"/>
    </row>
    <row r="1654">
      <c r="A1654" s="84">
        <f>ROW()-6</f>
        <v/>
      </c>
      <c r="B1654" s="85">
        <f>+MATCH(D1654,ARTICULOS!$F$10:$F$699,0)</f>
        <v/>
      </c>
      <c r="C1654" s="86">
        <f>+VLOOKUP(B1654,ARTICULOS!$D$10:$I$699,6)</f>
        <v/>
      </c>
      <c r="D1654" s="212" t="n"/>
      <c r="E1654" s="75">
        <f>+C1654&amp;F1654</f>
        <v/>
      </c>
      <c r="F1654" s="80" t="n"/>
      <c r="G1654" s="81" t="n"/>
      <c r="H1654" s="78" t="n"/>
      <c r="I1654" s="78" t="n"/>
      <c r="J1654" s="78" t="n"/>
    </row>
    <row r="1655">
      <c r="A1655" s="84">
        <f>ROW()-6</f>
        <v/>
      </c>
      <c r="B1655" s="85">
        <f>+MATCH(D1655,ARTICULOS!$F$10:$F$699,0)</f>
        <v/>
      </c>
      <c r="C1655" s="86">
        <f>+VLOOKUP(B1655,ARTICULOS!$D$10:$I$699,6)</f>
        <v/>
      </c>
      <c r="D1655" s="212" t="n"/>
      <c r="E1655" s="75">
        <f>+C1655&amp;F1655</f>
        <v/>
      </c>
      <c r="F1655" s="80" t="n"/>
      <c r="G1655" s="81" t="n"/>
      <c r="H1655" s="78" t="n"/>
      <c r="I1655" s="78" t="n"/>
      <c r="J1655" s="78" t="n"/>
    </row>
    <row r="1656">
      <c r="A1656" s="84">
        <f>ROW()-6</f>
        <v/>
      </c>
      <c r="B1656" s="85">
        <f>+MATCH(D1656,ARTICULOS!$F$10:$F$699,0)</f>
        <v/>
      </c>
      <c r="C1656" s="86">
        <f>+VLOOKUP(B1656,ARTICULOS!$D$10:$I$699,6)</f>
        <v/>
      </c>
      <c r="D1656" s="212" t="n"/>
      <c r="E1656" s="75">
        <f>+C1656&amp;F1656</f>
        <v/>
      </c>
      <c r="F1656" s="80" t="n"/>
      <c r="G1656" s="81" t="n"/>
      <c r="H1656" s="78" t="n"/>
      <c r="I1656" s="78" t="n"/>
      <c r="J1656" s="78" t="n"/>
    </row>
    <row r="1657">
      <c r="A1657" s="84">
        <f>ROW()-6</f>
        <v/>
      </c>
      <c r="B1657" s="85">
        <f>+MATCH(D1657,ARTICULOS!$F$10:$F$699,0)</f>
        <v/>
      </c>
      <c r="C1657" s="86">
        <f>+VLOOKUP(B1657,ARTICULOS!$D$10:$I$699,6)</f>
        <v/>
      </c>
      <c r="D1657" s="212" t="n"/>
      <c r="E1657" s="75">
        <f>+C1657&amp;F1657</f>
        <v/>
      </c>
      <c r="F1657" s="80" t="n"/>
      <c r="G1657" s="81" t="n"/>
      <c r="H1657" s="78" t="n"/>
      <c r="I1657" s="78" t="n"/>
      <c r="J1657" s="78" t="n"/>
    </row>
    <row r="1658">
      <c r="A1658" s="84">
        <f>ROW()-6</f>
        <v/>
      </c>
      <c r="B1658" s="85">
        <f>+MATCH(D1658,ARTICULOS!$F$10:$F$699,0)</f>
        <v/>
      </c>
      <c r="C1658" s="86">
        <f>+VLOOKUP(B1658,ARTICULOS!$D$10:$I$699,6)</f>
        <v/>
      </c>
      <c r="D1658" s="212" t="n"/>
      <c r="E1658" s="75">
        <f>+C1658&amp;F1658</f>
        <v/>
      </c>
      <c r="F1658" s="80" t="n"/>
      <c r="G1658" s="81" t="n"/>
      <c r="H1658" s="78" t="n"/>
      <c r="I1658" s="78" t="n"/>
      <c r="J1658" s="78" t="n"/>
    </row>
    <row r="1659">
      <c r="A1659" s="84">
        <f>ROW()-6</f>
        <v/>
      </c>
      <c r="B1659" s="85">
        <f>+MATCH(D1659,ARTICULOS!$F$10:$F$699,0)</f>
        <v/>
      </c>
      <c r="C1659" s="86">
        <f>+VLOOKUP(B1659,ARTICULOS!$D$10:$I$699,6)</f>
        <v/>
      </c>
      <c r="D1659" s="212" t="n"/>
      <c r="E1659" s="75">
        <f>+C1659&amp;F1659</f>
        <v/>
      </c>
      <c r="F1659" s="80" t="n"/>
      <c r="G1659" s="81" t="n"/>
      <c r="H1659" s="78" t="n"/>
      <c r="I1659" s="78" t="n"/>
      <c r="J1659" s="78" t="n"/>
    </row>
    <row r="1660">
      <c r="A1660" s="84">
        <f>ROW()-6</f>
        <v/>
      </c>
      <c r="B1660" s="85">
        <f>+MATCH(D1660,ARTICULOS!$F$10:$F$699,0)</f>
        <v/>
      </c>
      <c r="C1660" s="86">
        <f>+VLOOKUP(B1660,ARTICULOS!$D$10:$I$699,6)</f>
        <v/>
      </c>
      <c r="D1660" s="212" t="n"/>
      <c r="E1660" s="75">
        <f>+C1660&amp;F1660</f>
        <v/>
      </c>
      <c r="F1660" s="80" t="n"/>
      <c r="G1660" s="81" t="n"/>
      <c r="H1660" s="78" t="n"/>
      <c r="I1660" s="78" t="n"/>
      <c r="J1660" s="78" t="n"/>
    </row>
    <row r="1661">
      <c r="A1661" s="84">
        <f>ROW()-6</f>
        <v/>
      </c>
      <c r="B1661" s="85">
        <f>+MATCH(D1661,ARTICULOS!$F$10:$F$699,0)</f>
        <v/>
      </c>
      <c r="C1661" s="86">
        <f>+VLOOKUP(B1661,ARTICULOS!$D$10:$I$699,6)</f>
        <v/>
      </c>
      <c r="D1661" s="212" t="n"/>
      <c r="E1661" s="75">
        <f>+C1661&amp;F1661</f>
        <v/>
      </c>
      <c r="F1661" s="80" t="n"/>
      <c r="G1661" s="81" t="n"/>
      <c r="H1661" s="78" t="n"/>
      <c r="I1661" s="78" t="n"/>
      <c r="J1661" s="78" t="n"/>
    </row>
    <row r="1662">
      <c r="A1662" s="84">
        <f>ROW()-6</f>
        <v/>
      </c>
      <c r="B1662" s="85">
        <f>+MATCH(D1662,ARTICULOS!$F$10:$F$699,0)</f>
        <v/>
      </c>
      <c r="C1662" s="86">
        <f>+VLOOKUP(B1662,ARTICULOS!$D$10:$I$699,6)</f>
        <v/>
      </c>
      <c r="D1662" s="212" t="n"/>
      <c r="E1662" s="75">
        <f>+C1662&amp;F1662</f>
        <v/>
      </c>
      <c r="F1662" s="80" t="n"/>
      <c r="G1662" s="81" t="n"/>
      <c r="H1662" s="78" t="n"/>
      <c r="I1662" s="78" t="n"/>
      <c r="J1662" s="78" t="n"/>
    </row>
    <row r="1663">
      <c r="A1663" s="84">
        <f>ROW()-6</f>
        <v/>
      </c>
      <c r="B1663" s="85">
        <f>+MATCH(D1663,ARTICULOS!$F$10:$F$699,0)</f>
        <v/>
      </c>
      <c r="C1663" s="86">
        <f>+VLOOKUP(B1663,ARTICULOS!$D$10:$I$699,6)</f>
        <v/>
      </c>
      <c r="D1663" s="212" t="n"/>
      <c r="E1663" s="75">
        <f>+C1663&amp;F1663</f>
        <v/>
      </c>
      <c r="F1663" s="80" t="n"/>
      <c r="G1663" s="81" t="n"/>
      <c r="H1663" s="78" t="n"/>
      <c r="I1663" s="78" t="n"/>
      <c r="J1663" s="78" t="n"/>
    </row>
    <row r="1664">
      <c r="A1664" s="84">
        <f>ROW()-6</f>
        <v/>
      </c>
      <c r="B1664" s="85">
        <f>+MATCH(D1664,ARTICULOS!$F$10:$F$699,0)</f>
        <v/>
      </c>
      <c r="C1664" s="86">
        <f>+VLOOKUP(B1664,ARTICULOS!$D$10:$I$699,6)</f>
        <v/>
      </c>
      <c r="D1664" s="212" t="n"/>
      <c r="E1664" s="75">
        <f>+C1664&amp;F1664</f>
        <v/>
      </c>
      <c r="F1664" s="80" t="n"/>
      <c r="G1664" s="81" t="n"/>
      <c r="H1664" s="78" t="n"/>
      <c r="I1664" s="78" t="n"/>
      <c r="J1664" s="78" t="n"/>
    </row>
    <row r="1665">
      <c r="A1665" s="84">
        <f>ROW()-6</f>
        <v/>
      </c>
      <c r="B1665" s="85">
        <f>+MATCH(D1665,ARTICULOS!$F$10:$F$699,0)</f>
        <v/>
      </c>
      <c r="C1665" s="86">
        <f>+VLOOKUP(B1665,ARTICULOS!$D$10:$I$699,6)</f>
        <v/>
      </c>
      <c r="D1665" s="212" t="n"/>
      <c r="E1665" s="75">
        <f>+C1665&amp;F1665</f>
        <v/>
      </c>
      <c r="F1665" s="80" t="n"/>
      <c r="G1665" s="81" t="n"/>
      <c r="H1665" s="78" t="n"/>
      <c r="I1665" s="78" t="n"/>
      <c r="J1665" s="78" t="n"/>
    </row>
    <row r="1666">
      <c r="A1666" s="84">
        <f>ROW()-6</f>
        <v/>
      </c>
      <c r="B1666" s="85">
        <f>+MATCH(D1666,ARTICULOS!$F$10:$F$699,0)</f>
        <v/>
      </c>
      <c r="C1666" s="86">
        <f>+VLOOKUP(B1666,ARTICULOS!$D$10:$I$699,6)</f>
        <v/>
      </c>
      <c r="D1666" s="212" t="n"/>
      <c r="E1666" s="75">
        <f>+C1666&amp;F1666</f>
        <v/>
      </c>
      <c r="F1666" s="80" t="n"/>
      <c r="G1666" s="81" t="n"/>
      <c r="H1666" s="78" t="n"/>
      <c r="I1666" s="78" t="n"/>
      <c r="J1666" s="78" t="n"/>
    </row>
    <row r="1667">
      <c r="A1667" s="84">
        <f>ROW()-6</f>
        <v/>
      </c>
      <c r="B1667" s="85">
        <f>+MATCH(D1667,ARTICULOS!$F$10:$F$699,0)</f>
        <v/>
      </c>
      <c r="C1667" s="86">
        <f>+VLOOKUP(B1667,ARTICULOS!$D$10:$I$699,6)</f>
        <v/>
      </c>
      <c r="D1667" s="212" t="n"/>
      <c r="E1667" s="75">
        <f>+C1667&amp;F1667</f>
        <v/>
      </c>
      <c r="F1667" s="80" t="n"/>
      <c r="G1667" s="81" t="n"/>
      <c r="H1667" s="78" t="n"/>
      <c r="I1667" s="78" t="n"/>
      <c r="J1667" s="78" t="n"/>
    </row>
    <row r="1668">
      <c r="A1668" s="84">
        <f>ROW()-6</f>
        <v/>
      </c>
      <c r="B1668" s="85">
        <f>+MATCH(D1668,ARTICULOS!$F$10:$F$699,0)</f>
        <v/>
      </c>
      <c r="C1668" s="86">
        <f>+VLOOKUP(B1668,ARTICULOS!$D$10:$I$699,6)</f>
        <v/>
      </c>
      <c r="D1668" s="212" t="n"/>
      <c r="E1668" s="75">
        <f>+C1668&amp;F1668</f>
        <v/>
      </c>
      <c r="F1668" s="80" t="n"/>
      <c r="G1668" s="81" t="n"/>
      <c r="H1668" s="78" t="n"/>
      <c r="I1668" s="78" t="n"/>
      <c r="J1668" s="78" t="n"/>
    </row>
    <row r="1669">
      <c r="A1669" s="84">
        <f>ROW()-6</f>
        <v/>
      </c>
      <c r="B1669" s="85">
        <f>+MATCH(D1669,ARTICULOS!$F$10:$F$699,0)</f>
        <v/>
      </c>
      <c r="C1669" s="86">
        <f>+VLOOKUP(B1669,ARTICULOS!$D$10:$I$699,6)</f>
        <v/>
      </c>
      <c r="D1669" s="212" t="n"/>
      <c r="E1669" s="75">
        <f>+C1669&amp;F1669</f>
        <v/>
      </c>
      <c r="F1669" s="80" t="n"/>
      <c r="G1669" s="81" t="n"/>
      <c r="H1669" s="78" t="n"/>
      <c r="I1669" s="78" t="n"/>
      <c r="J1669" s="78" t="n"/>
    </row>
    <row r="1670">
      <c r="A1670" s="84">
        <f>ROW()-6</f>
        <v/>
      </c>
      <c r="B1670" s="85">
        <f>+MATCH(D1670,ARTICULOS!$F$10:$F$699,0)</f>
        <v/>
      </c>
      <c r="C1670" s="86">
        <f>+VLOOKUP(B1670,ARTICULOS!$D$10:$I$699,6)</f>
        <v/>
      </c>
      <c r="D1670" s="212" t="n"/>
      <c r="E1670" s="75">
        <f>+C1670&amp;F1670</f>
        <v/>
      </c>
      <c r="F1670" s="80" t="n"/>
      <c r="G1670" s="81" t="n"/>
      <c r="H1670" s="78" t="n"/>
      <c r="I1670" s="78" t="n"/>
      <c r="J1670" s="78" t="n"/>
    </row>
    <row r="1671">
      <c r="A1671" s="84">
        <f>ROW()-6</f>
        <v/>
      </c>
      <c r="B1671" s="85">
        <f>+MATCH(D1671,ARTICULOS!$F$10:$F$699,0)</f>
        <v/>
      </c>
      <c r="C1671" s="86">
        <f>+VLOOKUP(B1671,ARTICULOS!$D$10:$I$699,6)</f>
        <v/>
      </c>
      <c r="D1671" s="212" t="n"/>
      <c r="E1671" s="75">
        <f>+C1671&amp;F1671</f>
        <v/>
      </c>
      <c r="F1671" s="80" t="n"/>
      <c r="G1671" s="81" t="n"/>
      <c r="H1671" s="78" t="n"/>
      <c r="I1671" s="78" t="n"/>
      <c r="J1671" s="78" t="n"/>
    </row>
    <row r="1672">
      <c r="A1672" s="84">
        <f>ROW()-6</f>
        <v/>
      </c>
      <c r="B1672" s="85">
        <f>+MATCH(D1672,ARTICULOS!$F$10:$F$699,0)</f>
        <v/>
      </c>
      <c r="C1672" s="86">
        <f>+VLOOKUP(B1672,ARTICULOS!$D$10:$I$699,6)</f>
        <v/>
      </c>
      <c r="D1672" s="212" t="n"/>
      <c r="E1672" s="75">
        <f>+C1672&amp;F1672</f>
        <v/>
      </c>
      <c r="F1672" s="80" t="n"/>
      <c r="G1672" s="81" t="n"/>
      <c r="H1672" s="78" t="n"/>
      <c r="I1672" s="78" t="n"/>
      <c r="J1672" s="78" t="n"/>
    </row>
    <row r="1673">
      <c r="A1673" s="84">
        <f>ROW()-6</f>
        <v/>
      </c>
      <c r="B1673" s="85">
        <f>+MATCH(D1673,ARTICULOS!$F$10:$F$699,0)</f>
        <v/>
      </c>
      <c r="C1673" s="86">
        <f>+VLOOKUP(B1673,ARTICULOS!$D$10:$I$699,6)</f>
        <v/>
      </c>
      <c r="D1673" s="212" t="n"/>
      <c r="E1673" s="75">
        <f>+C1673&amp;F1673</f>
        <v/>
      </c>
      <c r="F1673" s="80" t="n"/>
      <c r="G1673" s="81" t="n"/>
      <c r="H1673" s="78" t="n"/>
      <c r="I1673" s="78" t="n"/>
      <c r="J1673" s="78" t="n"/>
    </row>
    <row r="1674">
      <c r="A1674" s="84">
        <f>ROW()-6</f>
        <v/>
      </c>
      <c r="B1674" s="85">
        <f>+MATCH(D1674,ARTICULOS!$F$10:$F$699,0)</f>
        <v/>
      </c>
      <c r="C1674" s="86">
        <f>+VLOOKUP(B1674,ARTICULOS!$D$10:$I$699,6)</f>
        <v/>
      </c>
      <c r="D1674" s="212" t="n"/>
      <c r="E1674" s="75">
        <f>+C1674&amp;F1674</f>
        <v/>
      </c>
      <c r="F1674" s="80" t="n"/>
      <c r="G1674" s="81" t="n"/>
      <c r="H1674" s="78" t="n"/>
      <c r="I1674" s="78" t="n"/>
      <c r="J1674" s="78" t="n"/>
    </row>
    <row r="1675">
      <c r="A1675" s="84">
        <f>ROW()-6</f>
        <v/>
      </c>
      <c r="B1675" s="85">
        <f>+MATCH(D1675,ARTICULOS!$F$10:$F$699,0)</f>
        <v/>
      </c>
      <c r="C1675" s="86">
        <f>+VLOOKUP(B1675,ARTICULOS!$D$10:$I$699,6)</f>
        <v/>
      </c>
      <c r="D1675" s="212" t="n"/>
      <c r="E1675" s="75">
        <f>+C1675&amp;F1675</f>
        <v/>
      </c>
      <c r="F1675" s="80" t="n"/>
      <c r="G1675" s="81" t="n"/>
      <c r="H1675" s="78" t="n"/>
      <c r="I1675" s="78" t="n"/>
      <c r="J1675" s="78" t="n"/>
    </row>
    <row r="1676">
      <c r="A1676" s="84">
        <f>ROW()-6</f>
        <v/>
      </c>
      <c r="B1676" s="85">
        <f>+MATCH(D1676,ARTICULOS!$F$10:$F$699,0)</f>
        <v/>
      </c>
      <c r="C1676" s="86">
        <f>+VLOOKUP(B1676,ARTICULOS!$D$10:$I$699,6)</f>
        <v/>
      </c>
      <c r="D1676" s="212" t="n"/>
      <c r="E1676" s="75">
        <f>+C1676&amp;F1676</f>
        <v/>
      </c>
      <c r="F1676" s="80" t="n"/>
      <c r="G1676" s="81" t="n"/>
      <c r="H1676" s="78" t="n"/>
      <c r="I1676" s="78" t="n"/>
      <c r="J1676" s="78" t="n"/>
    </row>
    <row r="1677">
      <c r="A1677" s="84">
        <f>ROW()-6</f>
        <v/>
      </c>
      <c r="B1677" s="85">
        <f>+MATCH(D1677,ARTICULOS!$F$10:$F$699,0)</f>
        <v/>
      </c>
      <c r="C1677" s="86">
        <f>+VLOOKUP(B1677,ARTICULOS!$D$10:$I$699,6)</f>
        <v/>
      </c>
      <c r="D1677" s="212" t="n"/>
      <c r="E1677" s="75">
        <f>+C1677&amp;F1677</f>
        <v/>
      </c>
      <c r="F1677" s="80" t="n"/>
      <c r="G1677" s="81" t="n"/>
      <c r="H1677" s="78" t="n"/>
      <c r="I1677" s="78" t="n"/>
      <c r="J1677" s="78" t="n"/>
    </row>
    <row r="1678">
      <c r="A1678" s="84">
        <f>ROW()-6</f>
        <v/>
      </c>
      <c r="B1678" s="85">
        <f>+MATCH(D1678,ARTICULOS!$F$10:$F$699,0)</f>
        <v/>
      </c>
      <c r="C1678" s="86">
        <f>+VLOOKUP(B1678,ARTICULOS!$D$10:$I$699,6)</f>
        <v/>
      </c>
      <c r="D1678" s="212" t="n"/>
      <c r="E1678" s="75">
        <f>+C1678&amp;F1678</f>
        <v/>
      </c>
      <c r="F1678" s="80" t="n"/>
      <c r="G1678" s="81" t="n"/>
      <c r="H1678" s="78" t="n"/>
      <c r="I1678" s="78" t="n"/>
      <c r="J1678" s="78" t="n"/>
    </row>
    <row r="1679">
      <c r="A1679" s="84">
        <f>ROW()-6</f>
        <v/>
      </c>
      <c r="B1679" s="85">
        <f>+MATCH(D1679,ARTICULOS!$F$10:$F$699,0)</f>
        <v/>
      </c>
      <c r="C1679" s="86">
        <f>+VLOOKUP(B1679,ARTICULOS!$D$10:$I$699,6)</f>
        <v/>
      </c>
      <c r="D1679" s="212" t="n"/>
      <c r="E1679" s="75">
        <f>+C1679&amp;F1679</f>
        <v/>
      </c>
      <c r="F1679" s="80" t="n"/>
      <c r="G1679" s="81" t="n"/>
      <c r="H1679" s="78" t="n"/>
      <c r="I1679" s="78" t="n"/>
      <c r="J1679" s="78" t="n"/>
    </row>
    <row r="1680">
      <c r="A1680" s="84">
        <f>ROW()-6</f>
        <v/>
      </c>
      <c r="B1680" s="85">
        <f>+MATCH(D1680,ARTICULOS!$F$10:$F$699,0)</f>
        <v/>
      </c>
      <c r="C1680" s="86">
        <f>+VLOOKUP(B1680,ARTICULOS!$D$10:$I$699,6)</f>
        <v/>
      </c>
      <c r="D1680" s="212" t="n"/>
      <c r="E1680" s="75">
        <f>+C1680&amp;F1680</f>
        <v/>
      </c>
      <c r="F1680" s="80" t="n"/>
      <c r="G1680" s="81" t="n"/>
      <c r="H1680" s="78" t="n"/>
      <c r="I1680" s="78" t="n"/>
      <c r="J1680" s="78" t="n"/>
    </row>
    <row r="1681">
      <c r="A1681" s="84">
        <f>ROW()-6</f>
        <v/>
      </c>
      <c r="B1681" s="85">
        <f>+MATCH(D1681,ARTICULOS!$F$10:$F$699,0)</f>
        <v/>
      </c>
      <c r="C1681" s="86">
        <f>+VLOOKUP(B1681,ARTICULOS!$D$10:$I$699,6)</f>
        <v/>
      </c>
      <c r="D1681" s="212" t="n"/>
      <c r="E1681" s="75">
        <f>+C1681&amp;F1681</f>
        <v/>
      </c>
      <c r="F1681" s="80" t="n"/>
      <c r="G1681" s="81" t="n"/>
      <c r="H1681" s="78" t="n"/>
      <c r="I1681" s="78" t="n"/>
      <c r="J1681" s="78" t="n"/>
    </row>
    <row r="1682">
      <c r="A1682" s="84">
        <f>ROW()-6</f>
        <v/>
      </c>
      <c r="B1682" s="85">
        <f>+MATCH(D1682,ARTICULOS!$F$10:$F$699,0)</f>
        <v/>
      </c>
      <c r="C1682" s="86">
        <f>+VLOOKUP(B1682,ARTICULOS!$D$10:$I$699,6)</f>
        <v/>
      </c>
      <c r="D1682" s="212" t="n"/>
      <c r="E1682" s="75">
        <f>+C1682&amp;F1682</f>
        <v/>
      </c>
      <c r="F1682" s="80" t="n"/>
      <c r="G1682" s="81" t="n"/>
      <c r="H1682" s="78" t="n"/>
      <c r="I1682" s="78" t="n"/>
      <c r="J1682" s="78" t="n"/>
    </row>
    <row r="1683">
      <c r="A1683" s="84">
        <f>ROW()-6</f>
        <v/>
      </c>
      <c r="B1683" s="85">
        <f>+MATCH(D1683,ARTICULOS!$F$10:$F$699,0)</f>
        <v/>
      </c>
      <c r="C1683" s="86">
        <f>+VLOOKUP(B1683,ARTICULOS!$D$10:$I$699,6)</f>
        <v/>
      </c>
      <c r="D1683" s="212" t="n"/>
      <c r="E1683" s="75">
        <f>+C1683&amp;F1683</f>
        <v/>
      </c>
      <c r="F1683" s="80" t="n"/>
      <c r="G1683" s="81" t="n"/>
      <c r="H1683" s="78" t="n"/>
      <c r="I1683" s="78" t="n"/>
      <c r="J1683" s="78" t="n"/>
    </row>
    <row r="1684">
      <c r="A1684" s="84">
        <f>ROW()-6</f>
        <v/>
      </c>
      <c r="B1684" s="85">
        <f>+MATCH(D1684,ARTICULOS!$F$10:$F$699,0)</f>
        <v/>
      </c>
      <c r="C1684" s="86">
        <f>+VLOOKUP(B1684,ARTICULOS!$D$10:$I$699,6)</f>
        <v/>
      </c>
      <c r="D1684" s="212" t="n"/>
      <c r="E1684" s="75">
        <f>+C1684&amp;F1684</f>
        <v/>
      </c>
      <c r="F1684" s="80" t="n"/>
      <c r="G1684" s="81" t="n"/>
      <c r="H1684" s="78" t="n"/>
      <c r="I1684" s="78" t="n"/>
      <c r="J1684" s="78" t="n"/>
    </row>
    <row r="1685">
      <c r="A1685" s="84">
        <f>ROW()-6</f>
        <v/>
      </c>
      <c r="B1685" s="85">
        <f>+MATCH(D1685,ARTICULOS!$F$10:$F$699,0)</f>
        <v/>
      </c>
      <c r="C1685" s="86">
        <f>+VLOOKUP(B1685,ARTICULOS!$D$10:$I$699,6)</f>
        <v/>
      </c>
      <c r="D1685" s="212" t="n"/>
      <c r="E1685" s="75">
        <f>+C1685&amp;F1685</f>
        <v/>
      </c>
      <c r="F1685" s="80" t="n"/>
      <c r="G1685" s="81" t="n"/>
      <c r="H1685" s="78" t="n"/>
      <c r="I1685" s="78" t="n"/>
      <c r="J1685" s="78" t="n"/>
    </row>
    <row r="1686">
      <c r="A1686" s="84">
        <f>ROW()-6</f>
        <v/>
      </c>
      <c r="B1686" s="85">
        <f>+MATCH(D1686,ARTICULOS!$F$10:$F$699,0)</f>
        <v/>
      </c>
      <c r="C1686" s="86">
        <f>+VLOOKUP(B1686,ARTICULOS!$D$10:$I$699,6)</f>
        <v/>
      </c>
      <c r="D1686" s="212" t="n"/>
      <c r="E1686" s="75">
        <f>+C1686&amp;F1686</f>
        <v/>
      </c>
      <c r="F1686" s="80" t="n"/>
      <c r="G1686" s="81" t="n"/>
      <c r="H1686" s="78" t="n"/>
      <c r="I1686" s="78" t="n"/>
      <c r="J1686" s="78" t="n"/>
    </row>
    <row r="1687">
      <c r="A1687" s="84">
        <f>ROW()-6</f>
        <v/>
      </c>
      <c r="B1687" s="85">
        <f>+MATCH(D1687,ARTICULOS!$F$10:$F$699,0)</f>
        <v/>
      </c>
      <c r="C1687" s="86">
        <f>+VLOOKUP(B1687,ARTICULOS!$D$10:$I$699,6)</f>
        <v/>
      </c>
      <c r="D1687" s="212" t="n"/>
      <c r="E1687" s="75">
        <f>+C1687&amp;F1687</f>
        <v/>
      </c>
      <c r="F1687" s="80" t="n"/>
      <c r="G1687" s="81" t="n"/>
      <c r="H1687" s="78" t="n"/>
      <c r="I1687" s="78" t="n"/>
      <c r="J1687" s="78" t="n"/>
    </row>
    <row r="1688">
      <c r="A1688" s="84">
        <f>ROW()-6</f>
        <v/>
      </c>
      <c r="B1688" s="85">
        <f>+MATCH(D1688,ARTICULOS!$F$10:$F$699,0)</f>
        <v/>
      </c>
      <c r="C1688" s="86">
        <f>+VLOOKUP(B1688,ARTICULOS!$D$10:$I$699,6)</f>
        <v/>
      </c>
      <c r="D1688" s="212" t="n"/>
      <c r="E1688" s="75">
        <f>+C1688&amp;F1688</f>
        <v/>
      </c>
      <c r="F1688" s="80" t="n"/>
      <c r="G1688" s="81" t="n"/>
      <c r="H1688" s="78" t="n"/>
      <c r="I1688" s="78" t="n"/>
      <c r="J1688" s="78" t="n"/>
    </row>
    <row r="1689">
      <c r="A1689" s="84">
        <f>ROW()-6</f>
        <v/>
      </c>
      <c r="B1689" s="85">
        <f>+MATCH(D1689,ARTICULOS!$F$10:$F$699,0)</f>
        <v/>
      </c>
      <c r="C1689" s="86">
        <f>+VLOOKUP(B1689,ARTICULOS!$D$10:$I$699,6)</f>
        <v/>
      </c>
      <c r="D1689" s="212" t="n"/>
      <c r="E1689" s="75">
        <f>+C1689&amp;F1689</f>
        <v/>
      </c>
      <c r="F1689" s="80" t="n"/>
      <c r="G1689" s="81" t="n"/>
      <c r="H1689" s="78" t="n"/>
      <c r="I1689" s="78" t="n"/>
      <c r="J1689" s="78" t="n"/>
    </row>
    <row r="1690">
      <c r="A1690" s="84">
        <f>ROW()-6</f>
        <v/>
      </c>
      <c r="B1690" s="85">
        <f>+MATCH(D1690,ARTICULOS!$F$10:$F$699,0)</f>
        <v/>
      </c>
      <c r="C1690" s="86">
        <f>+VLOOKUP(B1690,ARTICULOS!$D$10:$I$699,6)</f>
        <v/>
      </c>
      <c r="D1690" s="212" t="n"/>
      <c r="E1690" s="75">
        <f>+C1690&amp;F1690</f>
        <v/>
      </c>
      <c r="F1690" s="80" t="n"/>
      <c r="G1690" s="81" t="n"/>
      <c r="H1690" s="78" t="n"/>
      <c r="I1690" s="78" t="n"/>
      <c r="J1690" s="78" t="n"/>
    </row>
    <row r="1691">
      <c r="A1691" s="84">
        <f>ROW()-6</f>
        <v/>
      </c>
      <c r="B1691" s="85">
        <f>+MATCH(D1691,ARTICULOS!$F$10:$F$699,0)</f>
        <v/>
      </c>
      <c r="C1691" s="86">
        <f>+VLOOKUP(B1691,ARTICULOS!$D$10:$I$699,6)</f>
        <v/>
      </c>
      <c r="D1691" s="212" t="n"/>
      <c r="E1691" s="75">
        <f>+C1691&amp;F1691</f>
        <v/>
      </c>
      <c r="F1691" s="80" t="n"/>
      <c r="G1691" s="81" t="n"/>
      <c r="H1691" s="78" t="n"/>
      <c r="I1691" s="78" t="n"/>
      <c r="J1691" s="78" t="n"/>
    </row>
    <row r="1692">
      <c r="A1692" s="84">
        <f>ROW()-6</f>
        <v/>
      </c>
      <c r="B1692" s="85">
        <f>+MATCH(D1692,ARTICULOS!$F$10:$F$699,0)</f>
        <v/>
      </c>
      <c r="C1692" s="86">
        <f>+VLOOKUP(B1692,ARTICULOS!$D$10:$I$699,6)</f>
        <v/>
      </c>
      <c r="D1692" s="212" t="n"/>
      <c r="E1692" s="75">
        <f>+C1692&amp;F1692</f>
        <v/>
      </c>
      <c r="F1692" s="80" t="n"/>
      <c r="G1692" s="81" t="n"/>
      <c r="H1692" s="78" t="n"/>
      <c r="I1692" s="78" t="n"/>
      <c r="J1692" s="78" t="n"/>
    </row>
    <row r="1693">
      <c r="A1693" s="84">
        <f>ROW()-6</f>
        <v/>
      </c>
      <c r="B1693" s="85">
        <f>+MATCH(D1693,ARTICULOS!$F$10:$F$699,0)</f>
        <v/>
      </c>
      <c r="C1693" s="86">
        <f>+VLOOKUP(B1693,ARTICULOS!$D$10:$I$699,6)</f>
        <v/>
      </c>
      <c r="D1693" s="212" t="n"/>
      <c r="E1693" s="75">
        <f>+C1693&amp;F1693</f>
        <v/>
      </c>
      <c r="F1693" s="80" t="n"/>
      <c r="G1693" s="81" t="n"/>
      <c r="H1693" s="78" t="n"/>
      <c r="I1693" s="78" t="n"/>
      <c r="J1693" s="78" t="n"/>
    </row>
    <row r="1694">
      <c r="A1694" s="84">
        <f>ROW()-6</f>
        <v/>
      </c>
      <c r="B1694" s="85">
        <f>+MATCH(D1694,ARTICULOS!$F$10:$F$699,0)</f>
        <v/>
      </c>
      <c r="C1694" s="86">
        <f>+VLOOKUP(B1694,ARTICULOS!$D$10:$I$699,6)</f>
        <v/>
      </c>
      <c r="D1694" s="212" t="n"/>
      <c r="E1694" s="75">
        <f>+C1694&amp;F1694</f>
        <v/>
      </c>
      <c r="F1694" s="80" t="n"/>
      <c r="G1694" s="81" t="n"/>
      <c r="H1694" s="78" t="n"/>
      <c r="I1694" s="78" t="n"/>
      <c r="J1694" s="78" t="n"/>
    </row>
    <row r="1695">
      <c r="A1695" s="84">
        <f>ROW()-6</f>
        <v/>
      </c>
      <c r="B1695" s="85">
        <f>+MATCH(D1695,ARTICULOS!$F$10:$F$699,0)</f>
        <v/>
      </c>
      <c r="C1695" s="86">
        <f>+VLOOKUP(B1695,ARTICULOS!$D$10:$I$699,6)</f>
        <v/>
      </c>
      <c r="D1695" s="212" t="n"/>
      <c r="E1695" s="75">
        <f>+C1695&amp;F1695</f>
        <v/>
      </c>
      <c r="F1695" s="80" t="n"/>
      <c r="G1695" s="81" t="n"/>
      <c r="H1695" s="78" t="n"/>
      <c r="I1695" s="78" t="n"/>
      <c r="J1695" s="78" t="n"/>
    </row>
    <row r="1696">
      <c r="A1696" s="84">
        <f>ROW()-6</f>
        <v/>
      </c>
      <c r="B1696" s="85">
        <f>+MATCH(D1696,ARTICULOS!$F$10:$F$699,0)</f>
        <v/>
      </c>
      <c r="C1696" s="86">
        <f>+VLOOKUP(B1696,ARTICULOS!$D$10:$I$699,6)</f>
        <v/>
      </c>
      <c r="D1696" s="212" t="n"/>
      <c r="E1696" s="75">
        <f>+C1696&amp;F1696</f>
        <v/>
      </c>
      <c r="F1696" s="80" t="n"/>
      <c r="G1696" s="81" t="n"/>
      <c r="H1696" s="78" t="n"/>
      <c r="I1696" s="78" t="n"/>
      <c r="J1696" s="78" t="n"/>
    </row>
    <row r="1697">
      <c r="A1697" s="84">
        <f>ROW()-6</f>
        <v/>
      </c>
      <c r="B1697" s="85">
        <f>+MATCH(D1697,ARTICULOS!$F$10:$F$699,0)</f>
        <v/>
      </c>
      <c r="C1697" s="86">
        <f>+VLOOKUP(B1697,ARTICULOS!$D$10:$I$699,6)</f>
        <v/>
      </c>
      <c r="D1697" s="212" t="n"/>
      <c r="E1697" s="75">
        <f>+C1697&amp;F1697</f>
        <v/>
      </c>
      <c r="F1697" s="80" t="n"/>
      <c r="G1697" s="81" t="n"/>
      <c r="H1697" s="78" t="n"/>
      <c r="I1697" s="78" t="n"/>
      <c r="J1697" s="78" t="n"/>
    </row>
    <row r="1698">
      <c r="A1698" s="84">
        <f>ROW()-6</f>
        <v/>
      </c>
      <c r="B1698" s="85">
        <f>+MATCH(D1698,ARTICULOS!$F$10:$F$699,0)</f>
        <v/>
      </c>
      <c r="C1698" s="86">
        <f>+VLOOKUP(B1698,ARTICULOS!$D$10:$I$699,6)</f>
        <v/>
      </c>
      <c r="D1698" s="212" t="n"/>
      <c r="E1698" s="75">
        <f>+C1698&amp;F1698</f>
        <v/>
      </c>
      <c r="F1698" s="80" t="n"/>
      <c r="G1698" s="81" t="n"/>
      <c r="H1698" s="78" t="n"/>
      <c r="I1698" s="78" t="n"/>
      <c r="J1698" s="78" t="n"/>
    </row>
    <row r="1699">
      <c r="A1699" s="84">
        <f>ROW()-6</f>
        <v/>
      </c>
      <c r="B1699" s="85">
        <f>+MATCH(D1699,ARTICULOS!$F$10:$F$699,0)</f>
        <v/>
      </c>
      <c r="C1699" s="86">
        <f>+VLOOKUP(B1699,ARTICULOS!$D$10:$I$699,6)</f>
        <v/>
      </c>
      <c r="D1699" s="212" t="n"/>
      <c r="E1699" s="75">
        <f>+C1699&amp;F1699</f>
        <v/>
      </c>
      <c r="F1699" s="80" t="n"/>
      <c r="G1699" s="81" t="n"/>
      <c r="H1699" s="78" t="n"/>
      <c r="I1699" s="78" t="n"/>
      <c r="J1699" s="78" t="n"/>
    </row>
    <row r="1700">
      <c r="A1700" s="84">
        <f>ROW()-6</f>
        <v/>
      </c>
      <c r="B1700" s="85">
        <f>+MATCH(D1700,ARTICULOS!$F$10:$F$699,0)</f>
        <v/>
      </c>
      <c r="C1700" s="86">
        <f>+VLOOKUP(B1700,ARTICULOS!$D$10:$I$699,6)</f>
        <v/>
      </c>
      <c r="D1700" s="212" t="n"/>
      <c r="E1700" s="75">
        <f>+C1700&amp;F1700</f>
        <v/>
      </c>
      <c r="F1700" s="80" t="n"/>
      <c r="G1700" s="81" t="n"/>
      <c r="H1700" s="78" t="n"/>
      <c r="I1700" s="78" t="n"/>
      <c r="J1700" s="78" t="n"/>
    </row>
    <row r="1701">
      <c r="A1701" s="84">
        <f>ROW()-6</f>
        <v/>
      </c>
      <c r="B1701" s="85">
        <f>+MATCH(D1701,ARTICULOS!$F$10:$F$699,0)</f>
        <v/>
      </c>
      <c r="C1701" s="86">
        <f>+VLOOKUP(B1701,ARTICULOS!$D$10:$I$699,6)</f>
        <v/>
      </c>
      <c r="D1701" s="212" t="n"/>
      <c r="E1701" s="75">
        <f>+C1701&amp;F1701</f>
        <v/>
      </c>
      <c r="F1701" s="80" t="n"/>
      <c r="G1701" s="81" t="n"/>
      <c r="H1701" s="78" t="n"/>
      <c r="I1701" s="78" t="n"/>
      <c r="J1701" s="78" t="n"/>
    </row>
    <row r="1702">
      <c r="A1702" s="84">
        <f>ROW()-6</f>
        <v/>
      </c>
      <c r="B1702" s="85">
        <f>+MATCH(D1702,ARTICULOS!$F$10:$F$699,0)</f>
        <v/>
      </c>
      <c r="C1702" s="86">
        <f>+VLOOKUP(B1702,ARTICULOS!$D$10:$I$699,6)</f>
        <v/>
      </c>
      <c r="D1702" s="212" t="n"/>
      <c r="E1702" s="75">
        <f>+C1702&amp;F1702</f>
        <v/>
      </c>
      <c r="F1702" s="80" t="n"/>
      <c r="G1702" s="81" t="n"/>
      <c r="H1702" s="78" t="n"/>
      <c r="I1702" s="78" t="n"/>
      <c r="J1702" s="78" t="n"/>
    </row>
    <row r="1703">
      <c r="A1703" s="84">
        <f>ROW()-6</f>
        <v/>
      </c>
      <c r="B1703" s="85">
        <f>+MATCH(D1703,ARTICULOS!$F$10:$F$699,0)</f>
        <v/>
      </c>
      <c r="C1703" s="86">
        <f>+VLOOKUP(B1703,ARTICULOS!$D$10:$I$699,6)</f>
        <v/>
      </c>
      <c r="D1703" s="212" t="n"/>
      <c r="E1703" s="75">
        <f>+C1703&amp;F1703</f>
        <v/>
      </c>
      <c r="F1703" s="80" t="n"/>
      <c r="G1703" s="81" t="n"/>
      <c r="H1703" s="78" t="n"/>
      <c r="I1703" s="78" t="n"/>
      <c r="J1703" s="78" t="n"/>
    </row>
    <row r="1704">
      <c r="A1704" s="84">
        <f>ROW()-6</f>
        <v/>
      </c>
      <c r="B1704" s="85">
        <f>+MATCH(D1704,ARTICULOS!$F$10:$F$699,0)</f>
        <v/>
      </c>
      <c r="C1704" s="86">
        <f>+VLOOKUP(B1704,ARTICULOS!$D$10:$I$699,6)</f>
        <v/>
      </c>
      <c r="D1704" s="212" t="n"/>
      <c r="E1704" s="75">
        <f>+C1704&amp;F1704</f>
        <v/>
      </c>
      <c r="F1704" s="80" t="n"/>
      <c r="G1704" s="81" t="n"/>
      <c r="H1704" s="78" t="n"/>
      <c r="I1704" s="78" t="n"/>
      <c r="J1704" s="78" t="n"/>
    </row>
    <row r="1705">
      <c r="A1705" s="84">
        <f>ROW()-6</f>
        <v/>
      </c>
      <c r="B1705" s="85">
        <f>+MATCH(D1705,ARTICULOS!$F$10:$F$699,0)</f>
        <v/>
      </c>
      <c r="C1705" s="86">
        <f>+VLOOKUP(B1705,ARTICULOS!$D$10:$I$699,6)</f>
        <v/>
      </c>
      <c r="D1705" s="212" t="n"/>
      <c r="E1705" s="75">
        <f>+C1705&amp;F1705</f>
        <v/>
      </c>
      <c r="F1705" s="80" t="n"/>
      <c r="G1705" s="81" t="n"/>
      <c r="H1705" s="78" t="n"/>
      <c r="I1705" s="78" t="n"/>
      <c r="J1705" s="78" t="n"/>
    </row>
    <row r="1706">
      <c r="A1706" s="84">
        <f>ROW()-6</f>
        <v/>
      </c>
      <c r="B1706" s="85">
        <f>+MATCH(D1706,ARTICULOS!$F$10:$F$699,0)</f>
        <v/>
      </c>
      <c r="C1706" s="86">
        <f>+VLOOKUP(B1706,ARTICULOS!$D$10:$I$699,6)</f>
        <v/>
      </c>
      <c r="D1706" s="212" t="n"/>
      <c r="E1706" s="75">
        <f>+C1706&amp;F1706</f>
        <v/>
      </c>
      <c r="F1706" s="80" t="n"/>
      <c r="G1706" s="81" t="n"/>
      <c r="H1706" s="78" t="n"/>
      <c r="I1706" s="78" t="n"/>
      <c r="J1706" s="78" t="n"/>
    </row>
    <row r="1707">
      <c r="A1707" s="84">
        <f>ROW()-6</f>
        <v/>
      </c>
      <c r="B1707" s="85">
        <f>+MATCH(D1707,ARTICULOS!$F$10:$F$699,0)</f>
        <v/>
      </c>
      <c r="C1707" s="86">
        <f>+VLOOKUP(B1707,ARTICULOS!$D$10:$I$699,6)</f>
        <v/>
      </c>
      <c r="D1707" s="212" t="n"/>
      <c r="E1707" s="75">
        <f>+C1707&amp;F1707</f>
        <v/>
      </c>
      <c r="F1707" s="80" t="n"/>
      <c r="G1707" s="81" t="n"/>
      <c r="H1707" s="78" t="n"/>
      <c r="I1707" s="78" t="n"/>
      <c r="J1707" s="78" t="n"/>
    </row>
    <row r="1708">
      <c r="A1708" s="84">
        <f>ROW()-6</f>
        <v/>
      </c>
      <c r="B1708" s="85">
        <f>+MATCH(D1708,ARTICULOS!$F$10:$F$699,0)</f>
        <v/>
      </c>
      <c r="C1708" s="86">
        <f>+VLOOKUP(B1708,ARTICULOS!$D$10:$I$699,6)</f>
        <v/>
      </c>
      <c r="D1708" s="212" t="n"/>
      <c r="E1708" s="75">
        <f>+C1708&amp;F1708</f>
        <v/>
      </c>
      <c r="F1708" s="80" t="n"/>
      <c r="G1708" s="81" t="n"/>
      <c r="H1708" s="78" t="n"/>
      <c r="I1708" s="78" t="n"/>
      <c r="J1708" s="78" t="n"/>
    </row>
    <row r="1709">
      <c r="A1709" s="84">
        <f>ROW()-6</f>
        <v/>
      </c>
      <c r="B1709" s="85">
        <f>+MATCH(D1709,ARTICULOS!$F$10:$F$699,0)</f>
        <v/>
      </c>
      <c r="C1709" s="86">
        <f>+VLOOKUP(B1709,ARTICULOS!$D$10:$I$699,6)</f>
        <v/>
      </c>
      <c r="D1709" s="212" t="n"/>
      <c r="E1709" s="75">
        <f>+C1709&amp;F1709</f>
        <v/>
      </c>
      <c r="F1709" s="80" t="n"/>
      <c r="G1709" s="81" t="n"/>
      <c r="H1709" s="78" t="n"/>
      <c r="I1709" s="78" t="n"/>
      <c r="J1709" s="78" t="n"/>
    </row>
    <row r="1710">
      <c r="A1710" s="84">
        <f>ROW()-6</f>
        <v/>
      </c>
      <c r="B1710" s="85">
        <f>+MATCH(D1710,ARTICULOS!$F$10:$F$699,0)</f>
        <v/>
      </c>
      <c r="C1710" s="86">
        <f>+VLOOKUP(B1710,ARTICULOS!$D$10:$I$699,6)</f>
        <v/>
      </c>
      <c r="D1710" s="212" t="n"/>
      <c r="E1710" s="75">
        <f>+C1710&amp;F1710</f>
        <v/>
      </c>
      <c r="F1710" s="80" t="n"/>
      <c r="G1710" s="81" t="n"/>
      <c r="H1710" s="78" t="n"/>
      <c r="I1710" s="78" t="n"/>
      <c r="J1710" s="78" t="n"/>
    </row>
    <row r="1711">
      <c r="A1711" s="84">
        <f>ROW()-6</f>
        <v/>
      </c>
      <c r="B1711" s="85">
        <f>+MATCH(D1711,ARTICULOS!$F$10:$F$699,0)</f>
        <v/>
      </c>
      <c r="C1711" s="86">
        <f>+VLOOKUP(B1711,ARTICULOS!$D$10:$I$699,6)</f>
        <v/>
      </c>
      <c r="D1711" s="212" t="n"/>
      <c r="E1711" s="75">
        <f>+C1711&amp;F1711</f>
        <v/>
      </c>
      <c r="F1711" s="80" t="n"/>
      <c r="G1711" s="81" t="n"/>
      <c r="H1711" s="78" t="n"/>
      <c r="I1711" s="78" t="n"/>
      <c r="J1711" s="78" t="n"/>
    </row>
    <row r="1712">
      <c r="A1712" s="84">
        <f>ROW()-6</f>
        <v/>
      </c>
      <c r="B1712" s="85">
        <f>+MATCH(D1712,ARTICULOS!$F$10:$F$699,0)</f>
        <v/>
      </c>
      <c r="C1712" s="86">
        <f>+VLOOKUP(B1712,ARTICULOS!$D$10:$I$699,6)</f>
        <v/>
      </c>
      <c r="D1712" s="212" t="n"/>
      <c r="E1712" s="75">
        <f>+C1712&amp;F1712</f>
        <v/>
      </c>
      <c r="F1712" s="80" t="n"/>
      <c r="G1712" s="81" t="n"/>
      <c r="H1712" s="78" t="n"/>
      <c r="I1712" s="78" t="n"/>
      <c r="J1712" s="78" t="n"/>
    </row>
    <row r="1713">
      <c r="A1713" s="84">
        <f>ROW()-6</f>
        <v/>
      </c>
      <c r="B1713" s="85">
        <f>+MATCH(D1713,ARTICULOS!$F$10:$F$699,0)</f>
        <v/>
      </c>
      <c r="C1713" s="86">
        <f>+VLOOKUP(B1713,ARTICULOS!$D$10:$I$699,6)</f>
        <v/>
      </c>
      <c r="D1713" s="212" t="n"/>
      <c r="E1713" s="75">
        <f>+C1713&amp;F1713</f>
        <v/>
      </c>
      <c r="F1713" s="80" t="n"/>
      <c r="G1713" s="81" t="n"/>
      <c r="H1713" s="78" t="n"/>
      <c r="I1713" s="78" t="n"/>
      <c r="J1713" s="78" t="n"/>
    </row>
    <row r="1714">
      <c r="A1714" s="84">
        <f>ROW()-6</f>
        <v/>
      </c>
      <c r="B1714" s="85">
        <f>+MATCH(D1714,ARTICULOS!$F$10:$F$699,0)</f>
        <v/>
      </c>
      <c r="C1714" s="86">
        <f>+VLOOKUP(B1714,ARTICULOS!$D$10:$I$699,6)</f>
        <v/>
      </c>
      <c r="D1714" s="212" t="n"/>
      <c r="E1714" s="75">
        <f>+C1714&amp;F1714</f>
        <v/>
      </c>
      <c r="F1714" s="80" t="n"/>
      <c r="G1714" s="81" t="n"/>
      <c r="H1714" s="78" t="n"/>
      <c r="I1714" s="78" t="n"/>
      <c r="J1714" s="78" t="n"/>
    </row>
    <row r="1715">
      <c r="A1715" s="84">
        <f>ROW()-6</f>
        <v/>
      </c>
      <c r="B1715" s="85">
        <f>+MATCH(D1715,ARTICULOS!$F$10:$F$699,0)</f>
        <v/>
      </c>
      <c r="C1715" s="86">
        <f>+VLOOKUP(B1715,ARTICULOS!$D$10:$I$699,6)</f>
        <v/>
      </c>
      <c r="D1715" s="212" t="n"/>
      <c r="E1715" s="75">
        <f>+C1715&amp;F1715</f>
        <v/>
      </c>
      <c r="F1715" s="80" t="n"/>
      <c r="G1715" s="81" t="n"/>
      <c r="H1715" s="78" t="n"/>
      <c r="I1715" s="78" t="n"/>
      <c r="J1715" s="78" t="n"/>
    </row>
    <row r="1716">
      <c r="A1716" s="84">
        <f>ROW()-6</f>
        <v/>
      </c>
      <c r="B1716" s="85">
        <f>+MATCH(D1716,ARTICULOS!$F$10:$F$699,0)</f>
        <v/>
      </c>
      <c r="C1716" s="86">
        <f>+VLOOKUP(B1716,ARTICULOS!$D$10:$I$699,6)</f>
        <v/>
      </c>
      <c r="D1716" s="212" t="n"/>
      <c r="E1716" s="75">
        <f>+C1716&amp;F1716</f>
        <v/>
      </c>
      <c r="F1716" s="80" t="n"/>
      <c r="G1716" s="81" t="n"/>
      <c r="H1716" s="78" t="n"/>
      <c r="I1716" s="78" t="n"/>
      <c r="J1716" s="78" t="n"/>
    </row>
    <row r="1717">
      <c r="A1717" s="84">
        <f>ROW()-6</f>
        <v/>
      </c>
      <c r="B1717" s="85">
        <f>+MATCH(D1717,ARTICULOS!$F$10:$F$699,0)</f>
        <v/>
      </c>
      <c r="C1717" s="86">
        <f>+VLOOKUP(B1717,ARTICULOS!$D$10:$I$699,6)</f>
        <v/>
      </c>
      <c r="D1717" s="212" t="n"/>
      <c r="E1717" s="75">
        <f>+C1717&amp;F1717</f>
        <v/>
      </c>
      <c r="F1717" s="80" t="n"/>
      <c r="G1717" s="81" t="n"/>
      <c r="H1717" s="78" t="n"/>
      <c r="I1717" s="78" t="n"/>
      <c r="J1717" s="78" t="n"/>
    </row>
    <row r="1718">
      <c r="A1718" s="84">
        <f>ROW()-6</f>
        <v/>
      </c>
      <c r="B1718" s="85">
        <f>+MATCH(D1718,ARTICULOS!$F$10:$F$699,0)</f>
        <v/>
      </c>
      <c r="C1718" s="86">
        <f>+VLOOKUP(B1718,ARTICULOS!$D$10:$I$699,6)</f>
        <v/>
      </c>
      <c r="D1718" s="212" t="n"/>
      <c r="E1718" s="75">
        <f>+C1718&amp;F1718</f>
        <v/>
      </c>
      <c r="F1718" s="80" t="n"/>
      <c r="G1718" s="81" t="n"/>
      <c r="H1718" s="78" t="n"/>
      <c r="I1718" s="78" t="n"/>
      <c r="J1718" s="78" t="n"/>
    </row>
    <row r="1719">
      <c r="A1719" s="84">
        <f>ROW()-6</f>
        <v/>
      </c>
      <c r="B1719" s="85">
        <f>+MATCH(D1719,ARTICULOS!$F$10:$F$699,0)</f>
        <v/>
      </c>
      <c r="C1719" s="86">
        <f>+VLOOKUP(B1719,ARTICULOS!$D$10:$I$699,6)</f>
        <v/>
      </c>
      <c r="D1719" s="212" t="n"/>
      <c r="E1719" s="75">
        <f>+C1719&amp;F1719</f>
        <v/>
      </c>
      <c r="F1719" s="80" t="n"/>
      <c r="G1719" s="81" t="n"/>
      <c r="H1719" s="78" t="n"/>
      <c r="I1719" s="78" t="n"/>
      <c r="J1719" s="78" t="n"/>
    </row>
    <row r="1720">
      <c r="A1720" s="84">
        <f>ROW()-6</f>
        <v/>
      </c>
      <c r="B1720" s="85">
        <f>+MATCH(D1720,ARTICULOS!$F$10:$F$699,0)</f>
        <v/>
      </c>
      <c r="C1720" s="86">
        <f>+VLOOKUP(B1720,ARTICULOS!$D$10:$I$699,6)</f>
        <v/>
      </c>
      <c r="D1720" s="212" t="n"/>
      <c r="E1720" s="75">
        <f>+C1720&amp;F1720</f>
        <v/>
      </c>
      <c r="F1720" s="80" t="n"/>
      <c r="G1720" s="81" t="n"/>
      <c r="H1720" s="78" t="n"/>
      <c r="I1720" s="78" t="n"/>
      <c r="J1720" s="78" t="n"/>
    </row>
    <row r="1721">
      <c r="A1721" s="84">
        <f>ROW()-6</f>
        <v/>
      </c>
      <c r="B1721" s="85">
        <f>+MATCH(D1721,ARTICULOS!$F$10:$F$699,0)</f>
        <v/>
      </c>
      <c r="C1721" s="86">
        <f>+VLOOKUP(B1721,ARTICULOS!$D$10:$I$699,6)</f>
        <v/>
      </c>
      <c r="D1721" s="212" t="n"/>
      <c r="E1721" s="75">
        <f>+C1721&amp;F1721</f>
        <v/>
      </c>
      <c r="F1721" s="80" t="n"/>
      <c r="G1721" s="81" t="n"/>
      <c r="H1721" s="78" t="n"/>
      <c r="I1721" s="78" t="n"/>
      <c r="J1721" s="78" t="n"/>
    </row>
    <row r="1722">
      <c r="A1722" s="84">
        <f>ROW()-6</f>
        <v/>
      </c>
      <c r="B1722" s="85">
        <f>+MATCH(D1722,ARTICULOS!$F$10:$F$699,0)</f>
        <v/>
      </c>
      <c r="C1722" s="86">
        <f>+VLOOKUP(B1722,ARTICULOS!$D$10:$I$699,6)</f>
        <v/>
      </c>
      <c r="D1722" s="212" t="n"/>
      <c r="E1722" s="75">
        <f>+C1722&amp;F1722</f>
        <v/>
      </c>
      <c r="F1722" s="80" t="n"/>
      <c r="G1722" s="81" t="n"/>
      <c r="H1722" s="78" t="n"/>
      <c r="I1722" s="78" t="n"/>
      <c r="J1722" s="78" t="n"/>
    </row>
    <row r="1723">
      <c r="A1723" s="84">
        <f>ROW()-6</f>
        <v/>
      </c>
      <c r="B1723" s="85">
        <f>+MATCH(D1723,ARTICULOS!$F$10:$F$699,0)</f>
        <v/>
      </c>
      <c r="C1723" s="86">
        <f>+VLOOKUP(B1723,ARTICULOS!$D$10:$I$699,6)</f>
        <v/>
      </c>
      <c r="D1723" s="212" t="n"/>
      <c r="E1723" s="75">
        <f>+C1723&amp;F1723</f>
        <v/>
      </c>
      <c r="F1723" s="80" t="n"/>
      <c r="G1723" s="81" t="n"/>
      <c r="H1723" s="78" t="n"/>
      <c r="I1723" s="78" t="n"/>
      <c r="J1723" s="78" t="n"/>
    </row>
    <row r="1724">
      <c r="A1724" s="84">
        <f>ROW()-6</f>
        <v/>
      </c>
      <c r="B1724" s="85">
        <f>+MATCH(D1724,ARTICULOS!$F$10:$F$699,0)</f>
        <v/>
      </c>
      <c r="C1724" s="86">
        <f>+VLOOKUP(B1724,ARTICULOS!$D$10:$I$699,6)</f>
        <v/>
      </c>
      <c r="D1724" s="212" t="n"/>
      <c r="E1724" s="75">
        <f>+C1724&amp;F1724</f>
        <v/>
      </c>
      <c r="F1724" s="80" t="n"/>
      <c r="G1724" s="81" t="n"/>
      <c r="H1724" s="78" t="n"/>
      <c r="I1724" s="78" t="n"/>
      <c r="J1724" s="78" t="n"/>
    </row>
    <row r="1725">
      <c r="A1725" s="84">
        <f>ROW()-6</f>
        <v/>
      </c>
      <c r="B1725" s="85">
        <f>+MATCH(D1725,ARTICULOS!$F$10:$F$699,0)</f>
        <v/>
      </c>
      <c r="C1725" s="86">
        <f>+VLOOKUP(B1725,ARTICULOS!$D$10:$I$699,6)</f>
        <v/>
      </c>
      <c r="D1725" s="212" t="n"/>
      <c r="E1725" s="75">
        <f>+C1725&amp;F1725</f>
        <v/>
      </c>
      <c r="F1725" s="80" t="n"/>
      <c r="G1725" s="81" t="n"/>
      <c r="H1725" s="78" t="n"/>
      <c r="I1725" s="78" t="n"/>
      <c r="J1725" s="78" t="n"/>
    </row>
    <row r="1726">
      <c r="A1726" s="84">
        <f>ROW()-6</f>
        <v/>
      </c>
      <c r="B1726" s="85">
        <f>+MATCH(D1726,ARTICULOS!$F$10:$F$699,0)</f>
        <v/>
      </c>
      <c r="C1726" s="86">
        <f>+VLOOKUP(B1726,ARTICULOS!$D$10:$I$699,6)</f>
        <v/>
      </c>
      <c r="D1726" s="212" t="n"/>
      <c r="E1726" s="75">
        <f>+C1726&amp;F1726</f>
        <v/>
      </c>
      <c r="F1726" s="80" t="n"/>
      <c r="G1726" s="81" t="n"/>
      <c r="H1726" s="78" t="n"/>
      <c r="I1726" s="78" t="n"/>
      <c r="J1726" s="78" t="n"/>
    </row>
    <row r="1727">
      <c r="A1727" s="84">
        <f>ROW()-6</f>
        <v/>
      </c>
      <c r="B1727" s="85">
        <f>+MATCH(D1727,ARTICULOS!$F$10:$F$699,0)</f>
        <v/>
      </c>
      <c r="C1727" s="86">
        <f>+VLOOKUP(B1727,ARTICULOS!$D$10:$I$699,6)</f>
        <v/>
      </c>
      <c r="D1727" s="212" t="n"/>
      <c r="E1727" s="75">
        <f>+C1727&amp;F1727</f>
        <v/>
      </c>
      <c r="F1727" s="80" t="n"/>
      <c r="G1727" s="81" t="n"/>
      <c r="H1727" s="78" t="n"/>
      <c r="I1727" s="78" t="n"/>
      <c r="J1727" s="78" t="n"/>
    </row>
    <row r="1728">
      <c r="A1728" s="84">
        <f>ROW()-6</f>
        <v/>
      </c>
      <c r="B1728" s="85">
        <f>+MATCH(D1728,ARTICULOS!$F$10:$F$699,0)</f>
        <v/>
      </c>
      <c r="C1728" s="86">
        <f>+VLOOKUP(B1728,ARTICULOS!$D$10:$I$699,6)</f>
        <v/>
      </c>
      <c r="D1728" s="212" t="n"/>
      <c r="E1728" s="75">
        <f>+C1728&amp;F1728</f>
        <v/>
      </c>
      <c r="F1728" s="80" t="n"/>
      <c r="G1728" s="81" t="n"/>
      <c r="H1728" s="78" t="n"/>
      <c r="I1728" s="78" t="n"/>
      <c r="J1728" s="78" t="n"/>
    </row>
    <row r="1729">
      <c r="A1729" s="84">
        <f>ROW()-6</f>
        <v/>
      </c>
      <c r="B1729" s="85">
        <f>+MATCH(D1729,ARTICULOS!$F$10:$F$699,0)</f>
        <v/>
      </c>
      <c r="C1729" s="86">
        <f>+VLOOKUP(B1729,ARTICULOS!$D$10:$I$699,6)</f>
        <v/>
      </c>
      <c r="D1729" s="212" t="n"/>
      <c r="E1729" s="75">
        <f>+C1729&amp;F1729</f>
        <v/>
      </c>
      <c r="F1729" s="80" t="n"/>
      <c r="G1729" s="81" t="n"/>
      <c r="H1729" s="78" t="n"/>
      <c r="I1729" s="78" t="n"/>
      <c r="J1729" s="78" t="n"/>
    </row>
    <row r="1730">
      <c r="A1730" s="84">
        <f>ROW()-6</f>
        <v/>
      </c>
      <c r="B1730" s="85">
        <f>+MATCH(D1730,ARTICULOS!$F$10:$F$699,0)</f>
        <v/>
      </c>
      <c r="C1730" s="86">
        <f>+VLOOKUP(B1730,ARTICULOS!$D$10:$I$699,6)</f>
        <v/>
      </c>
      <c r="D1730" s="212" t="n"/>
      <c r="E1730" s="75">
        <f>+C1730&amp;F1730</f>
        <v/>
      </c>
      <c r="F1730" s="80" t="n"/>
      <c r="G1730" s="81" t="n"/>
      <c r="H1730" s="78" t="n"/>
      <c r="I1730" s="78" t="n"/>
      <c r="J1730" s="78" t="n"/>
    </row>
    <row r="1731">
      <c r="A1731" s="84">
        <f>ROW()-6</f>
        <v/>
      </c>
      <c r="B1731" s="85">
        <f>+MATCH(D1731,ARTICULOS!$F$10:$F$699,0)</f>
        <v/>
      </c>
      <c r="C1731" s="86">
        <f>+VLOOKUP(B1731,ARTICULOS!$D$10:$I$699,6)</f>
        <v/>
      </c>
      <c r="D1731" s="212" t="n"/>
      <c r="E1731" s="75">
        <f>+C1731&amp;F1731</f>
        <v/>
      </c>
      <c r="F1731" s="80" t="n"/>
      <c r="G1731" s="81" t="n"/>
      <c r="H1731" s="78" t="n"/>
      <c r="I1731" s="78" t="n"/>
      <c r="J1731" s="78" t="n"/>
    </row>
    <row r="1732">
      <c r="A1732" s="84">
        <f>ROW()-6</f>
        <v/>
      </c>
      <c r="B1732" s="85">
        <f>+MATCH(D1732,ARTICULOS!$F$10:$F$699,0)</f>
        <v/>
      </c>
      <c r="C1732" s="86">
        <f>+VLOOKUP(B1732,ARTICULOS!$D$10:$I$699,6)</f>
        <v/>
      </c>
      <c r="D1732" s="212" t="n"/>
      <c r="E1732" s="75">
        <f>+C1732&amp;F1732</f>
        <v/>
      </c>
      <c r="F1732" s="80" t="n"/>
      <c r="G1732" s="81" t="n"/>
      <c r="H1732" s="78" t="n"/>
      <c r="I1732" s="78" t="n"/>
      <c r="J1732" s="78" t="n"/>
    </row>
    <row r="1733">
      <c r="A1733" s="84">
        <f>ROW()-6</f>
        <v/>
      </c>
      <c r="B1733" s="85">
        <f>+MATCH(D1733,ARTICULOS!$F$10:$F$699,0)</f>
        <v/>
      </c>
      <c r="C1733" s="86">
        <f>+VLOOKUP(B1733,ARTICULOS!$D$10:$I$699,6)</f>
        <v/>
      </c>
      <c r="D1733" s="212" t="n"/>
      <c r="E1733" s="75">
        <f>+C1733&amp;F1733</f>
        <v/>
      </c>
      <c r="F1733" s="80" t="n"/>
      <c r="G1733" s="81" t="n"/>
      <c r="H1733" s="78" t="n"/>
      <c r="I1733" s="78" t="n"/>
      <c r="J1733" s="78" t="n"/>
    </row>
    <row r="1734">
      <c r="A1734" s="84">
        <f>ROW()-6</f>
        <v/>
      </c>
      <c r="B1734" s="85">
        <f>+MATCH(D1734,ARTICULOS!$F$10:$F$699,0)</f>
        <v/>
      </c>
      <c r="C1734" s="86">
        <f>+VLOOKUP(B1734,ARTICULOS!$D$10:$I$699,6)</f>
        <v/>
      </c>
      <c r="D1734" s="212" t="n"/>
      <c r="E1734" s="75">
        <f>+C1734&amp;F1734</f>
        <v/>
      </c>
      <c r="F1734" s="80" t="n"/>
      <c r="G1734" s="81" t="n"/>
      <c r="H1734" s="78" t="n"/>
      <c r="I1734" s="78" t="n"/>
      <c r="J1734" s="78" t="n"/>
    </row>
    <row r="1735">
      <c r="A1735" s="84">
        <f>ROW()-6</f>
        <v/>
      </c>
      <c r="B1735" s="85">
        <f>+MATCH(D1735,ARTICULOS!$F$10:$F$699,0)</f>
        <v/>
      </c>
      <c r="C1735" s="86">
        <f>+VLOOKUP(B1735,ARTICULOS!$D$10:$I$699,6)</f>
        <v/>
      </c>
      <c r="D1735" s="212" t="n"/>
      <c r="E1735" s="75">
        <f>+C1735&amp;F1735</f>
        <v/>
      </c>
      <c r="F1735" s="80" t="n"/>
      <c r="G1735" s="81" t="n"/>
      <c r="H1735" s="78" t="n"/>
      <c r="I1735" s="78" t="n"/>
      <c r="J1735" s="78" t="n"/>
    </row>
    <row r="1736">
      <c r="A1736" s="84">
        <f>ROW()-6</f>
        <v/>
      </c>
      <c r="B1736" s="85">
        <f>+MATCH(D1736,ARTICULOS!$F$10:$F$699,0)</f>
        <v/>
      </c>
      <c r="C1736" s="86">
        <f>+VLOOKUP(B1736,ARTICULOS!$D$10:$I$699,6)</f>
        <v/>
      </c>
      <c r="D1736" s="212" t="n"/>
      <c r="E1736" s="75">
        <f>+C1736&amp;F1736</f>
        <v/>
      </c>
      <c r="F1736" s="80" t="n"/>
      <c r="G1736" s="81" t="n"/>
      <c r="H1736" s="78" t="n"/>
      <c r="I1736" s="78" t="n"/>
      <c r="J1736" s="78" t="n"/>
    </row>
    <row r="1737">
      <c r="A1737" s="84">
        <f>ROW()-6</f>
        <v/>
      </c>
      <c r="B1737" s="85">
        <f>+MATCH(D1737,ARTICULOS!$F$10:$F$699,0)</f>
        <v/>
      </c>
      <c r="C1737" s="86">
        <f>+VLOOKUP(B1737,ARTICULOS!$D$10:$I$699,6)</f>
        <v/>
      </c>
      <c r="D1737" s="212" t="n"/>
      <c r="E1737" s="75">
        <f>+C1737&amp;F1737</f>
        <v/>
      </c>
      <c r="F1737" s="80" t="n"/>
      <c r="G1737" s="81" t="n"/>
      <c r="H1737" s="78" t="n"/>
      <c r="I1737" s="78" t="n"/>
      <c r="J1737" s="78" t="n"/>
    </row>
    <row r="1738">
      <c r="A1738" s="84">
        <f>ROW()-6</f>
        <v/>
      </c>
      <c r="B1738" s="85">
        <f>+MATCH(D1738,ARTICULOS!$F$10:$F$699,0)</f>
        <v/>
      </c>
      <c r="C1738" s="86">
        <f>+VLOOKUP(B1738,ARTICULOS!$D$10:$I$699,6)</f>
        <v/>
      </c>
      <c r="D1738" s="212" t="n"/>
      <c r="E1738" s="75">
        <f>+C1738&amp;F1738</f>
        <v/>
      </c>
      <c r="F1738" s="80" t="n"/>
      <c r="G1738" s="81" t="n"/>
      <c r="H1738" s="78" t="n"/>
      <c r="I1738" s="78" t="n"/>
      <c r="J1738" s="78" t="n"/>
    </row>
    <row r="1739">
      <c r="A1739" s="84">
        <f>ROW()-6</f>
        <v/>
      </c>
      <c r="B1739" s="85">
        <f>+MATCH(D1739,ARTICULOS!$F$10:$F$699,0)</f>
        <v/>
      </c>
      <c r="C1739" s="86">
        <f>+VLOOKUP(B1739,ARTICULOS!$D$10:$I$699,6)</f>
        <v/>
      </c>
      <c r="D1739" s="212" t="n"/>
      <c r="E1739" s="75">
        <f>+C1739&amp;F1739</f>
        <v/>
      </c>
      <c r="F1739" s="80" t="n"/>
      <c r="G1739" s="81" t="n"/>
      <c r="H1739" s="78" t="n"/>
      <c r="I1739" s="78" t="n"/>
      <c r="J1739" s="78" t="n"/>
    </row>
    <row r="1740">
      <c r="A1740" s="84">
        <f>ROW()-6</f>
        <v/>
      </c>
      <c r="B1740" s="85">
        <f>+MATCH(D1740,ARTICULOS!$F$10:$F$699,0)</f>
        <v/>
      </c>
      <c r="C1740" s="86">
        <f>+VLOOKUP(B1740,ARTICULOS!$D$10:$I$699,6)</f>
        <v/>
      </c>
      <c r="D1740" s="212" t="n"/>
      <c r="E1740" s="75">
        <f>+C1740&amp;F1740</f>
        <v/>
      </c>
      <c r="F1740" s="80" t="n"/>
      <c r="G1740" s="81" t="n"/>
      <c r="H1740" s="78" t="n"/>
      <c r="I1740" s="78" t="n"/>
      <c r="J1740" s="78" t="n"/>
    </row>
    <row r="1741">
      <c r="A1741" s="84">
        <f>ROW()-6</f>
        <v/>
      </c>
      <c r="B1741" s="85">
        <f>+MATCH(D1741,ARTICULOS!$F$10:$F$699,0)</f>
        <v/>
      </c>
      <c r="C1741" s="86">
        <f>+VLOOKUP(B1741,ARTICULOS!$D$10:$I$699,6)</f>
        <v/>
      </c>
      <c r="D1741" s="212" t="n"/>
      <c r="E1741" s="75">
        <f>+C1741&amp;F1741</f>
        <v/>
      </c>
      <c r="F1741" s="80" t="n"/>
      <c r="G1741" s="81" t="n"/>
      <c r="H1741" s="78" t="n"/>
      <c r="I1741" s="78" t="n"/>
      <c r="J1741" s="78" t="n"/>
    </row>
    <row r="1742">
      <c r="A1742" s="84">
        <f>ROW()-6</f>
        <v/>
      </c>
      <c r="B1742" s="85">
        <f>+MATCH(D1742,ARTICULOS!$F$10:$F$699,0)</f>
        <v/>
      </c>
      <c r="C1742" s="86">
        <f>+VLOOKUP(B1742,ARTICULOS!$D$10:$I$699,6)</f>
        <v/>
      </c>
      <c r="D1742" s="212" t="n"/>
      <c r="E1742" s="75">
        <f>+C1742&amp;F1742</f>
        <v/>
      </c>
      <c r="F1742" s="80" t="n"/>
      <c r="G1742" s="81" t="n"/>
      <c r="H1742" s="78" t="n"/>
      <c r="I1742" s="78" t="n"/>
      <c r="J1742" s="78" t="n"/>
    </row>
    <row r="1743">
      <c r="A1743" s="84">
        <f>ROW()-6</f>
        <v/>
      </c>
      <c r="B1743" s="85">
        <f>+MATCH(D1743,ARTICULOS!$F$10:$F$699,0)</f>
        <v/>
      </c>
      <c r="C1743" s="86">
        <f>+VLOOKUP(B1743,ARTICULOS!$D$10:$I$699,6)</f>
        <v/>
      </c>
      <c r="D1743" s="212" t="n"/>
      <c r="E1743" s="75">
        <f>+C1743&amp;F1743</f>
        <v/>
      </c>
      <c r="F1743" s="80" t="n"/>
      <c r="G1743" s="81" t="n"/>
      <c r="H1743" s="78" t="n"/>
      <c r="I1743" s="78" t="n"/>
      <c r="J1743" s="78" t="n"/>
    </row>
    <row r="1744">
      <c r="A1744" s="84">
        <f>ROW()-6</f>
        <v/>
      </c>
      <c r="B1744" s="85">
        <f>+MATCH(D1744,ARTICULOS!$F$10:$F$699,0)</f>
        <v/>
      </c>
      <c r="C1744" s="86">
        <f>+VLOOKUP(B1744,ARTICULOS!$D$10:$I$699,6)</f>
        <v/>
      </c>
      <c r="D1744" s="212" t="n"/>
      <c r="E1744" s="75">
        <f>+C1744&amp;F1744</f>
        <v/>
      </c>
      <c r="F1744" s="80" t="n"/>
      <c r="G1744" s="81" t="n"/>
      <c r="H1744" s="78" t="n"/>
      <c r="I1744" s="78" t="n"/>
      <c r="J1744" s="78" t="n"/>
    </row>
    <row r="1745">
      <c r="A1745" s="84">
        <f>ROW()-6</f>
        <v/>
      </c>
      <c r="B1745" s="85">
        <f>+MATCH(D1745,ARTICULOS!$F$10:$F$699,0)</f>
        <v/>
      </c>
      <c r="C1745" s="86">
        <f>+VLOOKUP(B1745,ARTICULOS!$D$10:$I$699,6)</f>
        <v/>
      </c>
      <c r="D1745" s="212" t="n"/>
      <c r="E1745" s="75">
        <f>+C1745&amp;F1745</f>
        <v/>
      </c>
      <c r="F1745" s="80" t="n"/>
      <c r="G1745" s="81" t="n"/>
      <c r="H1745" s="78" t="n"/>
      <c r="I1745" s="78" t="n"/>
      <c r="J1745" s="78" t="n"/>
    </row>
    <row r="1746">
      <c r="A1746" s="84">
        <f>ROW()-6</f>
        <v/>
      </c>
      <c r="B1746" s="85">
        <f>+MATCH(D1746,ARTICULOS!$F$10:$F$699,0)</f>
        <v/>
      </c>
      <c r="C1746" s="86">
        <f>+VLOOKUP(B1746,ARTICULOS!$D$10:$I$699,6)</f>
        <v/>
      </c>
      <c r="D1746" s="212" t="n"/>
      <c r="E1746" s="75">
        <f>+C1746&amp;F1746</f>
        <v/>
      </c>
      <c r="F1746" s="80" t="n"/>
      <c r="G1746" s="81" t="n"/>
      <c r="H1746" s="78" t="n"/>
      <c r="I1746" s="78" t="n"/>
      <c r="J1746" s="78" t="n"/>
    </row>
    <row r="1747">
      <c r="A1747" s="84">
        <f>ROW()-6</f>
        <v/>
      </c>
      <c r="B1747" s="85">
        <f>+MATCH(D1747,ARTICULOS!$F$10:$F$699,0)</f>
        <v/>
      </c>
      <c r="C1747" s="86">
        <f>+VLOOKUP(B1747,ARTICULOS!$D$10:$I$699,6)</f>
        <v/>
      </c>
      <c r="D1747" s="212" t="n"/>
      <c r="E1747" s="75">
        <f>+C1747&amp;F1747</f>
        <v/>
      </c>
      <c r="F1747" s="80" t="n"/>
      <c r="G1747" s="81" t="n"/>
      <c r="H1747" s="78" t="n"/>
      <c r="I1747" s="78" t="n"/>
      <c r="J1747" s="78" t="n"/>
    </row>
    <row r="1748">
      <c r="A1748" s="84">
        <f>ROW()-6</f>
        <v/>
      </c>
      <c r="B1748" s="85">
        <f>+MATCH(D1748,ARTICULOS!$F$10:$F$699,0)</f>
        <v/>
      </c>
      <c r="C1748" s="86">
        <f>+VLOOKUP(B1748,ARTICULOS!$D$10:$I$699,6)</f>
        <v/>
      </c>
      <c r="D1748" s="212" t="n"/>
      <c r="E1748" s="75">
        <f>+C1748&amp;F1748</f>
        <v/>
      </c>
      <c r="F1748" s="80" t="n"/>
      <c r="G1748" s="81" t="n"/>
      <c r="H1748" s="78" t="n"/>
      <c r="I1748" s="78" t="n"/>
      <c r="J1748" s="78" t="n"/>
    </row>
    <row r="1749">
      <c r="A1749" s="84">
        <f>ROW()-6</f>
        <v/>
      </c>
      <c r="B1749" s="85">
        <f>+MATCH(D1749,ARTICULOS!$F$10:$F$699,0)</f>
        <v/>
      </c>
      <c r="C1749" s="86">
        <f>+VLOOKUP(B1749,ARTICULOS!$D$10:$I$699,6)</f>
        <v/>
      </c>
      <c r="D1749" s="212" t="n"/>
      <c r="E1749" s="75">
        <f>+C1749&amp;F1749</f>
        <v/>
      </c>
      <c r="F1749" s="80" t="n"/>
      <c r="G1749" s="81" t="n"/>
      <c r="H1749" s="78" t="n"/>
      <c r="I1749" s="78" t="n"/>
      <c r="J1749" s="78" t="n"/>
    </row>
    <row r="1750">
      <c r="A1750" s="84">
        <f>ROW()-6</f>
        <v/>
      </c>
      <c r="B1750" s="85">
        <f>+MATCH(D1750,ARTICULOS!$F$10:$F$699,0)</f>
        <v/>
      </c>
      <c r="C1750" s="86">
        <f>+VLOOKUP(B1750,ARTICULOS!$D$10:$I$699,6)</f>
        <v/>
      </c>
      <c r="D1750" s="212" t="n"/>
      <c r="E1750" s="75">
        <f>+C1750&amp;F1750</f>
        <v/>
      </c>
      <c r="F1750" s="80" t="n"/>
      <c r="G1750" s="81" t="n"/>
      <c r="H1750" s="78" t="n"/>
      <c r="I1750" s="78" t="n"/>
      <c r="J1750" s="78" t="n"/>
    </row>
    <row r="1751">
      <c r="A1751" s="84">
        <f>ROW()-6</f>
        <v/>
      </c>
      <c r="B1751" s="85">
        <f>+MATCH(D1751,ARTICULOS!$F$10:$F$699,0)</f>
        <v/>
      </c>
      <c r="C1751" s="86">
        <f>+VLOOKUP(B1751,ARTICULOS!$D$10:$I$699,6)</f>
        <v/>
      </c>
      <c r="D1751" s="212" t="n"/>
      <c r="E1751" s="75">
        <f>+C1751&amp;F1751</f>
        <v/>
      </c>
      <c r="F1751" s="80" t="n"/>
      <c r="G1751" s="81" t="n"/>
      <c r="H1751" s="78" t="n"/>
      <c r="I1751" s="78" t="n"/>
      <c r="J1751" s="78" t="n"/>
    </row>
    <row r="1752">
      <c r="A1752" s="84">
        <f>ROW()-6</f>
        <v/>
      </c>
      <c r="B1752" s="85">
        <f>+MATCH(D1752,ARTICULOS!$F$10:$F$699,0)</f>
        <v/>
      </c>
      <c r="C1752" s="86">
        <f>+VLOOKUP(B1752,ARTICULOS!$D$10:$I$699,6)</f>
        <v/>
      </c>
      <c r="D1752" s="212" t="n"/>
      <c r="E1752" s="75">
        <f>+C1752&amp;F1752</f>
        <v/>
      </c>
      <c r="F1752" s="80" t="n"/>
      <c r="G1752" s="81" t="n"/>
      <c r="H1752" s="78" t="n"/>
      <c r="I1752" s="78" t="n"/>
      <c r="J1752" s="78" t="n"/>
    </row>
    <row r="1753">
      <c r="A1753" s="84">
        <f>ROW()-6</f>
        <v/>
      </c>
      <c r="B1753" s="85">
        <f>+MATCH(D1753,ARTICULOS!$F$10:$F$699,0)</f>
        <v/>
      </c>
      <c r="C1753" s="86">
        <f>+VLOOKUP(B1753,ARTICULOS!$D$10:$I$699,6)</f>
        <v/>
      </c>
      <c r="D1753" s="212" t="n"/>
      <c r="E1753" s="75">
        <f>+C1753&amp;F1753</f>
        <v/>
      </c>
      <c r="F1753" s="80" t="n"/>
      <c r="G1753" s="81" t="n"/>
      <c r="H1753" s="78" t="n"/>
      <c r="I1753" s="78" t="n"/>
      <c r="J1753" s="78" t="n"/>
    </row>
    <row r="1754">
      <c r="A1754" s="84">
        <f>ROW()-6</f>
        <v/>
      </c>
      <c r="B1754" s="85">
        <f>+MATCH(D1754,ARTICULOS!$F$10:$F$699,0)</f>
        <v/>
      </c>
      <c r="C1754" s="86">
        <f>+VLOOKUP(B1754,ARTICULOS!$D$10:$I$699,6)</f>
        <v/>
      </c>
      <c r="D1754" s="212" t="n"/>
      <c r="E1754" s="75">
        <f>+C1754&amp;F1754</f>
        <v/>
      </c>
      <c r="F1754" s="80" t="n"/>
      <c r="G1754" s="81" t="n"/>
      <c r="H1754" s="78" t="n"/>
      <c r="I1754" s="78" t="n"/>
      <c r="J1754" s="78" t="n"/>
    </row>
    <row r="1755">
      <c r="A1755" s="84">
        <f>ROW()-6</f>
        <v/>
      </c>
      <c r="B1755" s="85">
        <f>+MATCH(D1755,ARTICULOS!$F$10:$F$699,0)</f>
        <v/>
      </c>
      <c r="C1755" s="86">
        <f>+VLOOKUP(B1755,ARTICULOS!$D$10:$I$699,6)</f>
        <v/>
      </c>
      <c r="D1755" s="212" t="n"/>
      <c r="E1755" s="75">
        <f>+C1755&amp;F1755</f>
        <v/>
      </c>
      <c r="F1755" s="80" t="n"/>
      <c r="G1755" s="81" t="n"/>
      <c r="H1755" s="78" t="n"/>
      <c r="I1755" s="78" t="n"/>
      <c r="J1755" s="78" t="n"/>
    </row>
    <row r="1756">
      <c r="A1756" s="84">
        <f>ROW()-6</f>
        <v/>
      </c>
      <c r="B1756" s="85">
        <f>+MATCH(D1756,ARTICULOS!$F$10:$F$699,0)</f>
        <v/>
      </c>
      <c r="C1756" s="86">
        <f>+VLOOKUP(B1756,ARTICULOS!$D$10:$I$699,6)</f>
        <v/>
      </c>
      <c r="D1756" s="212" t="n"/>
      <c r="E1756" s="75">
        <f>+C1756&amp;F1756</f>
        <v/>
      </c>
      <c r="F1756" s="80" t="n"/>
      <c r="G1756" s="81" t="n"/>
      <c r="H1756" s="78" t="n"/>
      <c r="I1756" s="78" t="n"/>
      <c r="J1756" s="78" t="n"/>
    </row>
    <row r="1757">
      <c r="A1757" s="84">
        <f>ROW()-6</f>
        <v/>
      </c>
      <c r="B1757" s="85">
        <f>+MATCH(D1757,ARTICULOS!$F$10:$F$699,0)</f>
        <v/>
      </c>
      <c r="C1757" s="86">
        <f>+VLOOKUP(B1757,ARTICULOS!$D$10:$I$699,6)</f>
        <v/>
      </c>
      <c r="D1757" s="212" t="n"/>
      <c r="E1757" s="75">
        <f>+C1757&amp;F1757</f>
        <v/>
      </c>
      <c r="F1757" s="80" t="n"/>
      <c r="G1757" s="81" t="n"/>
      <c r="H1757" s="78" t="n"/>
      <c r="I1757" s="78" t="n"/>
      <c r="J1757" s="78" t="n"/>
    </row>
    <row r="1758">
      <c r="A1758" s="84">
        <f>ROW()-6</f>
        <v/>
      </c>
      <c r="B1758" s="85">
        <f>+MATCH(D1758,ARTICULOS!$F$10:$F$699,0)</f>
        <v/>
      </c>
      <c r="C1758" s="86">
        <f>+VLOOKUP(B1758,ARTICULOS!$D$10:$I$699,6)</f>
        <v/>
      </c>
      <c r="D1758" s="212" t="n"/>
      <c r="E1758" s="75">
        <f>+C1758&amp;F1758</f>
        <v/>
      </c>
      <c r="F1758" s="80" t="n"/>
      <c r="G1758" s="81" t="n"/>
      <c r="H1758" s="78" t="n"/>
      <c r="I1758" s="78" t="n"/>
      <c r="J1758" s="78" t="n"/>
    </row>
    <row r="1759">
      <c r="A1759" s="84">
        <f>ROW()-6</f>
        <v/>
      </c>
      <c r="B1759" s="85">
        <f>+MATCH(D1759,ARTICULOS!$F$10:$F$699,0)</f>
        <v/>
      </c>
      <c r="C1759" s="86">
        <f>+VLOOKUP(B1759,ARTICULOS!$D$10:$I$699,6)</f>
        <v/>
      </c>
      <c r="D1759" s="212" t="n"/>
      <c r="E1759" s="75">
        <f>+C1759&amp;F1759</f>
        <v/>
      </c>
      <c r="F1759" s="80" t="n"/>
      <c r="G1759" s="81" t="n"/>
      <c r="H1759" s="78" t="n"/>
      <c r="I1759" s="78" t="n"/>
      <c r="J1759" s="78" t="n"/>
    </row>
    <row r="1760">
      <c r="A1760" s="84">
        <f>ROW()-6</f>
        <v/>
      </c>
      <c r="B1760" s="85">
        <f>+MATCH(D1760,ARTICULOS!$F$10:$F$699,0)</f>
        <v/>
      </c>
      <c r="C1760" s="86">
        <f>+VLOOKUP(B1760,ARTICULOS!$D$10:$I$699,6)</f>
        <v/>
      </c>
      <c r="D1760" s="212" t="n"/>
      <c r="E1760" s="75">
        <f>+C1760&amp;F1760</f>
        <v/>
      </c>
      <c r="F1760" s="80" t="n"/>
      <c r="G1760" s="81" t="n"/>
      <c r="H1760" s="78" t="n"/>
      <c r="I1760" s="78" t="n"/>
      <c r="J1760" s="78" t="n"/>
    </row>
    <row r="1761">
      <c r="A1761" s="84">
        <f>ROW()-6</f>
        <v/>
      </c>
      <c r="B1761" s="85">
        <f>+MATCH(D1761,ARTICULOS!$F$10:$F$699,0)</f>
        <v/>
      </c>
      <c r="C1761" s="86">
        <f>+VLOOKUP(B1761,ARTICULOS!$D$10:$I$699,6)</f>
        <v/>
      </c>
      <c r="D1761" s="212" t="n"/>
      <c r="E1761" s="75">
        <f>+C1761&amp;F1761</f>
        <v/>
      </c>
      <c r="F1761" s="80" t="n"/>
      <c r="G1761" s="81" t="n"/>
      <c r="H1761" s="78" t="n"/>
      <c r="I1761" s="78" t="n"/>
      <c r="J1761" s="78" t="n"/>
    </row>
    <row r="1762">
      <c r="A1762" s="84">
        <f>ROW()-6</f>
        <v/>
      </c>
      <c r="B1762" s="85">
        <f>+MATCH(D1762,ARTICULOS!$F$10:$F$699,0)</f>
        <v/>
      </c>
      <c r="C1762" s="86">
        <f>+VLOOKUP(B1762,ARTICULOS!$D$10:$I$699,6)</f>
        <v/>
      </c>
      <c r="D1762" s="212" t="n"/>
      <c r="E1762" s="75">
        <f>+C1762&amp;F1762</f>
        <v/>
      </c>
      <c r="F1762" s="80" t="n"/>
      <c r="G1762" s="81" t="n"/>
      <c r="H1762" s="78" t="n"/>
      <c r="I1762" s="78" t="n"/>
      <c r="J1762" s="78" t="n"/>
    </row>
    <row r="1763">
      <c r="A1763" s="84">
        <f>ROW()-6</f>
        <v/>
      </c>
      <c r="B1763" s="85">
        <f>+MATCH(D1763,ARTICULOS!$F$10:$F$699,0)</f>
        <v/>
      </c>
      <c r="C1763" s="86">
        <f>+VLOOKUP(B1763,ARTICULOS!$D$10:$I$699,6)</f>
        <v/>
      </c>
      <c r="D1763" s="212" t="n"/>
      <c r="E1763" s="75">
        <f>+C1763&amp;F1763</f>
        <v/>
      </c>
      <c r="F1763" s="80" t="n"/>
      <c r="G1763" s="81" t="n"/>
      <c r="H1763" s="78" t="n"/>
      <c r="I1763" s="78" t="n"/>
      <c r="J1763" s="78" t="n"/>
    </row>
    <row r="1764">
      <c r="A1764" s="84">
        <f>ROW()-6</f>
        <v/>
      </c>
      <c r="B1764" s="85">
        <f>+MATCH(D1764,ARTICULOS!$F$10:$F$699,0)</f>
        <v/>
      </c>
      <c r="C1764" s="86">
        <f>+VLOOKUP(B1764,ARTICULOS!$D$10:$I$699,6)</f>
        <v/>
      </c>
      <c r="D1764" s="212" t="n"/>
      <c r="E1764" s="75">
        <f>+C1764&amp;F1764</f>
        <v/>
      </c>
      <c r="F1764" s="80" t="n"/>
      <c r="G1764" s="81" t="n"/>
      <c r="H1764" s="78" t="n"/>
      <c r="I1764" s="78" t="n"/>
      <c r="J1764" s="78" t="n"/>
    </row>
    <row r="1765">
      <c r="A1765" s="84">
        <f>ROW()-6</f>
        <v/>
      </c>
      <c r="B1765" s="85">
        <f>+MATCH(D1765,ARTICULOS!$F$10:$F$699,0)</f>
        <v/>
      </c>
      <c r="C1765" s="86">
        <f>+VLOOKUP(B1765,ARTICULOS!$D$10:$I$699,6)</f>
        <v/>
      </c>
      <c r="D1765" s="212" t="n"/>
      <c r="E1765" s="75">
        <f>+C1765&amp;F1765</f>
        <v/>
      </c>
      <c r="F1765" s="80" t="n"/>
      <c r="G1765" s="81" t="n"/>
      <c r="H1765" s="78" t="n"/>
      <c r="I1765" s="78" t="n"/>
      <c r="J1765" s="78" t="n"/>
    </row>
    <row r="1766">
      <c r="A1766" s="84">
        <f>ROW()-6</f>
        <v/>
      </c>
      <c r="B1766" s="85">
        <f>+MATCH(D1766,ARTICULOS!$F$10:$F$699,0)</f>
        <v/>
      </c>
      <c r="C1766" s="86">
        <f>+VLOOKUP(B1766,ARTICULOS!$D$10:$I$699,6)</f>
        <v/>
      </c>
      <c r="D1766" s="212" t="n"/>
      <c r="E1766" s="75">
        <f>+C1766&amp;F1766</f>
        <v/>
      </c>
      <c r="F1766" s="80" t="n"/>
      <c r="G1766" s="81" t="n"/>
      <c r="H1766" s="78" t="n"/>
      <c r="I1766" s="78" t="n"/>
      <c r="J1766" s="78" t="n"/>
    </row>
    <row r="1767">
      <c r="A1767" s="84">
        <f>ROW()-6</f>
        <v/>
      </c>
      <c r="B1767" s="85">
        <f>+MATCH(D1767,ARTICULOS!$F$10:$F$699,0)</f>
        <v/>
      </c>
      <c r="C1767" s="86">
        <f>+VLOOKUP(B1767,ARTICULOS!$D$10:$I$699,6)</f>
        <v/>
      </c>
      <c r="D1767" s="212" t="n"/>
      <c r="E1767" s="75">
        <f>+C1767&amp;F1767</f>
        <v/>
      </c>
      <c r="F1767" s="80" t="n"/>
      <c r="G1767" s="81" t="n"/>
      <c r="H1767" s="78" t="n"/>
      <c r="I1767" s="78" t="n"/>
      <c r="J1767" s="78" t="n"/>
    </row>
    <row r="1768">
      <c r="A1768" s="84">
        <f>ROW()-6</f>
        <v/>
      </c>
      <c r="B1768" s="85">
        <f>+MATCH(D1768,ARTICULOS!$F$10:$F$699,0)</f>
        <v/>
      </c>
      <c r="C1768" s="86">
        <f>+VLOOKUP(B1768,ARTICULOS!$D$10:$I$699,6)</f>
        <v/>
      </c>
      <c r="D1768" s="212" t="n"/>
      <c r="E1768" s="75">
        <f>+C1768&amp;F1768</f>
        <v/>
      </c>
      <c r="F1768" s="80" t="n"/>
      <c r="G1768" s="81" t="n"/>
      <c r="H1768" s="78" t="n"/>
      <c r="I1768" s="78" t="n"/>
      <c r="J1768" s="78" t="n"/>
    </row>
    <row r="1769">
      <c r="A1769" s="84">
        <f>ROW()-6</f>
        <v/>
      </c>
      <c r="B1769" s="85">
        <f>+MATCH(D1769,ARTICULOS!$F$10:$F$699,0)</f>
        <v/>
      </c>
      <c r="C1769" s="86">
        <f>+VLOOKUP(B1769,ARTICULOS!$D$10:$I$699,6)</f>
        <v/>
      </c>
      <c r="D1769" s="212" t="n"/>
      <c r="E1769" s="75">
        <f>+C1769&amp;F1769</f>
        <v/>
      </c>
      <c r="F1769" s="80" t="n"/>
      <c r="G1769" s="81" t="n"/>
      <c r="H1769" s="78" t="n"/>
      <c r="I1769" s="78" t="n"/>
      <c r="J1769" s="78" t="n"/>
    </row>
    <row r="1770">
      <c r="A1770" s="84">
        <f>ROW()-6</f>
        <v/>
      </c>
      <c r="B1770" s="85">
        <f>+MATCH(D1770,ARTICULOS!$F$10:$F$699,0)</f>
        <v/>
      </c>
      <c r="C1770" s="86">
        <f>+VLOOKUP(B1770,ARTICULOS!$D$10:$I$699,6)</f>
        <v/>
      </c>
      <c r="D1770" s="212" t="n"/>
      <c r="E1770" s="75">
        <f>+C1770&amp;F1770</f>
        <v/>
      </c>
      <c r="F1770" s="80" t="n"/>
      <c r="G1770" s="81" t="n"/>
      <c r="H1770" s="78" t="n"/>
      <c r="I1770" s="78" t="n"/>
      <c r="J1770" s="78" t="n"/>
    </row>
    <row r="1771">
      <c r="A1771" s="84">
        <f>ROW()-6</f>
        <v/>
      </c>
      <c r="B1771" s="85">
        <f>+MATCH(D1771,ARTICULOS!$F$10:$F$699,0)</f>
        <v/>
      </c>
      <c r="C1771" s="86">
        <f>+VLOOKUP(B1771,ARTICULOS!$D$10:$I$699,6)</f>
        <v/>
      </c>
      <c r="D1771" s="212" t="n"/>
      <c r="E1771" s="75">
        <f>+C1771&amp;F1771</f>
        <v/>
      </c>
      <c r="F1771" s="80" t="n"/>
      <c r="G1771" s="81" t="n"/>
      <c r="H1771" s="78" t="n"/>
      <c r="I1771" s="78" t="n"/>
      <c r="J1771" s="78" t="n"/>
    </row>
    <row r="1772">
      <c r="A1772" s="84">
        <f>ROW()-6</f>
        <v/>
      </c>
      <c r="B1772" s="85">
        <f>+MATCH(D1772,ARTICULOS!$F$10:$F$699,0)</f>
        <v/>
      </c>
      <c r="C1772" s="86">
        <f>+VLOOKUP(B1772,ARTICULOS!$D$10:$I$699,6)</f>
        <v/>
      </c>
      <c r="D1772" s="212" t="n"/>
      <c r="E1772" s="75">
        <f>+C1772&amp;F1772</f>
        <v/>
      </c>
      <c r="F1772" s="80" t="n"/>
      <c r="G1772" s="81" t="n"/>
      <c r="H1772" s="78" t="n"/>
      <c r="I1772" s="78" t="n"/>
      <c r="J1772" s="78" t="n"/>
    </row>
    <row r="1773">
      <c r="A1773" s="84">
        <f>ROW()-6</f>
        <v/>
      </c>
      <c r="B1773" s="85">
        <f>+MATCH(D1773,ARTICULOS!$F$10:$F$699,0)</f>
        <v/>
      </c>
      <c r="C1773" s="86">
        <f>+VLOOKUP(B1773,ARTICULOS!$D$10:$I$699,6)</f>
        <v/>
      </c>
      <c r="D1773" s="212" t="n"/>
      <c r="E1773" s="75">
        <f>+C1773&amp;F1773</f>
        <v/>
      </c>
      <c r="F1773" s="80" t="n"/>
      <c r="G1773" s="81" t="n"/>
      <c r="H1773" s="78" t="n"/>
      <c r="I1773" s="78" t="n"/>
      <c r="J1773" s="78" t="n"/>
    </row>
    <row r="1774">
      <c r="A1774" s="84">
        <f>ROW()-6</f>
        <v/>
      </c>
      <c r="B1774" s="85">
        <f>+MATCH(D1774,ARTICULOS!$F$10:$F$699,0)</f>
        <v/>
      </c>
      <c r="C1774" s="86">
        <f>+VLOOKUP(B1774,ARTICULOS!$D$10:$I$699,6)</f>
        <v/>
      </c>
      <c r="D1774" s="212" t="n"/>
      <c r="E1774" s="75">
        <f>+C1774&amp;F1774</f>
        <v/>
      </c>
      <c r="F1774" s="80" t="n"/>
      <c r="G1774" s="81" t="n"/>
      <c r="H1774" s="78" t="n"/>
      <c r="I1774" s="78" t="n"/>
      <c r="J1774" s="78" t="n"/>
    </row>
    <row r="1775">
      <c r="A1775" s="84">
        <f>ROW()-6</f>
        <v/>
      </c>
      <c r="B1775" s="85">
        <f>+MATCH(D1775,ARTICULOS!$F$10:$F$699,0)</f>
        <v/>
      </c>
      <c r="C1775" s="86">
        <f>+VLOOKUP(B1775,ARTICULOS!$D$10:$I$699,6)</f>
        <v/>
      </c>
      <c r="D1775" s="212" t="n"/>
      <c r="E1775" s="75">
        <f>+C1775&amp;F1775</f>
        <v/>
      </c>
      <c r="F1775" s="80" t="n"/>
      <c r="G1775" s="81" t="n"/>
      <c r="H1775" s="78" t="n"/>
      <c r="I1775" s="78" t="n"/>
      <c r="J1775" s="78" t="n"/>
    </row>
    <row r="1776">
      <c r="A1776" s="84">
        <f>ROW()-6</f>
        <v/>
      </c>
      <c r="B1776" s="85">
        <f>+MATCH(D1776,ARTICULOS!$F$10:$F$699,0)</f>
        <v/>
      </c>
      <c r="C1776" s="86">
        <f>+VLOOKUP(B1776,ARTICULOS!$D$10:$I$699,6)</f>
        <v/>
      </c>
      <c r="D1776" s="212" t="n"/>
      <c r="E1776" s="75">
        <f>+C1776&amp;F1776</f>
        <v/>
      </c>
      <c r="F1776" s="80" t="n"/>
      <c r="G1776" s="81" t="n"/>
      <c r="H1776" s="78" t="n"/>
      <c r="I1776" s="78" t="n"/>
      <c r="J1776" s="78" t="n"/>
    </row>
    <row r="1777">
      <c r="A1777" s="84">
        <f>ROW()-6</f>
        <v/>
      </c>
      <c r="B1777" s="85">
        <f>+MATCH(D1777,ARTICULOS!$F$10:$F$699,0)</f>
        <v/>
      </c>
      <c r="C1777" s="86">
        <f>+VLOOKUP(B1777,ARTICULOS!$D$10:$I$699,6)</f>
        <v/>
      </c>
      <c r="D1777" s="212" t="n"/>
      <c r="E1777" s="75">
        <f>+C1777&amp;F1777</f>
        <v/>
      </c>
      <c r="F1777" s="80" t="n"/>
      <c r="G1777" s="81" t="n"/>
      <c r="H1777" s="78" t="n"/>
      <c r="I1777" s="78" t="n"/>
      <c r="J1777" s="78" t="n"/>
    </row>
    <row r="1778">
      <c r="A1778" s="84">
        <f>ROW()-6</f>
        <v/>
      </c>
      <c r="B1778" s="85">
        <f>+MATCH(D1778,ARTICULOS!$F$10:$F$699,0)</f>
        <v/>
      </c>
      <c r="C1778" s="86">
        <f>+VLOOKUP(B1778,ARTICULOS!$D$10:$I$699,6)</f>
        <v/>
      </c>
      <c r="D1778" s="212" t="n"/>
      <c r="E1778" s="75">
        <f>+C1778&amp;F1778</f>
        <v/>
      </c>
      <c r="F1778" s="80" t="n"/>
      <c r="G1778" s="81" t="n"/>
      <c r="H1778" s="78" t="n"/>
      <c r="I1778" s="78" t="n"/>
      <c r="J1778" s="78" t="n"/>
    </row>
    <row r="1779">
      <c r="A1779" s="84">
        <f>ROW()-6</f>
        <v/>
      </c>
      <c r="B1779" s="85">
        <f>+MATCH(D1779,ARTICULOS!$F$10:$F$699,0)</f>
        <v/>
      </c>
      <c r="C1779" s="86">
        <f>+VLOOKUP(B1779,ARTICULOS!$D$10:$I$699,6)</f>
        <v/>
      </c>
      <c r="D1779" s="212" t="n"/>
      <c r="E1779" s="75">
        <f>+C1779&amp;F1779</f>
        <v/>
      </c>
      <c r="F1779" s="80" t="n"/>
      <c r="G1779" s="81" t="n"/>
      <c r="H1779" s="78" t="n"/>
      <c r="I1779" s="78" t="n"/>
      <c r="J1779" s="78" t="n"/>
    </row>
    <row r="1780">
      <c r="A1780" s="84">
        <f>ROW()-6</f>
        <v/>
      </c>
      <c r="B1780" s="85">
        <f>+MATCH(D1780,ARTICULOS!$F$10:$F$699,0)</f>
        <v/>
      </c>
      <c r="C1780" s="86">
        <f>+VLOOKUP(B1780,ARTICULOS!$D$10:$I$699,6)</f>
        <v/>
      </c>
      <c r="D1780" s="212" t="n"/>
      <c r="E1780" s="75">
        <f>+C1780&amp;F1780</f>
        <v/>
      </c>
      <c r="F1780" s="80" t="n"/>
      <c r="G1780" s="81" t="n"/>
      <c r="H1780" s="78" t="n"/>
      <c r="I1780" s="78" t="n"/>
      <c r="J1780" s="78" t="n"/>
    </row>
    <row r="1781">
      <c r="A1781" s="84">
        <f>ROW()-6</f>
        <v/>
      </c>
      <c r="B1781" s="85">
        <f>+MATCH(D1781,ARTICULOS!$F$10:$F$699,0)</f>
        <v/>
      </c>
      <c r="C1781" s="86">
        <f>+VLOOKUP(B1781,ARTICULOS!$D$10:$I$699,6)</f>
        <v/>
      </c>
      <c r="D1781" s="212" t="n"/>
      <c r="E1781" s="75">
        <f>+C1781&amp;F1781</f>
        <v/>
      </c>
      <c r="F1781" s="80" t="n"/>
      <c r="G1781" s="81" t="n"/>
      <c r="H1781" s="78" t="n"/>
      <c r="I1781" s="78" t="n"/>
      <c r="J1781" s="78" t="n"/>
    </row>
    <row r="1782">
      <c r="A1782" s="84">
        <f>ROW()-6</f>
        <v/>
      </c>
      <c r="B1782" s="85">
        <f>+MATCH(D1782,ARTICULOS!$F$10:$F$699,0)</f>
        <v/>
      </c>
      <c r="C1782" s="86">
        <f>+VLOOKUP(B1782,ARTICULOS!$D$10:$I$699,6)</f>
        <v/>
      </c>
      <c r="D1782" s="212" t="n"/>
      <c r="E1782" s="75">
        <f>+C1782&amp;F1782</f>
        <v/>
      </c>
      <c r="F1782" s="80" t="n"/>
      <c r="G1782" s="81" t="n"/>
      <c r="H1782" s="78" t="n"/>
      <c r="I1782" s="78" t="n"/>
      <c r="J1782" s="78" t="n"/>
    </row>
    <row r="1783">
      <c r="A1783" s="84">
        <f>ROW()-6</f>
        <v/>
      </c>
      <c r="B1783" s="85">
        <f>+MATCH(D1783,ARTICULOS!$F$10:$F$699,0)</f>
        <v/>
      </c>
      <c r="C1783" s="86">
        <f>+VLOOKUP(B1783,ARTICULOS!$D$10:$I$699,6)</f>
        <v/>
      </c>
      <c r="D1783" s="212" t="n"/>
      <c r="E1783" s="75">
        <f>+C1783&amp;F1783</f>
        <v/>
      </c>
      <c r="F1783" s="80" t="n"/>
      <c r="G1783" s="81" t="n"/>
      <c r="H1783" s="78" t="n"/>
      <c r="I1783" s="78" t="n"/>
      <c r="J1783" s="78" t="n"/>
    </row>
    <row r="1784">
      <c r="A1784" s="84">
        <f>ROW()-6</f>
        <v/>
      </c>
      <c r="B1784" s="85">
        <f>+MATCH(D1784,ARTICULOS!$F$10:$F$699,0)</f>
        <v/>
      </c>
      <c r="C1784" s="86">
        <f>+VLOOKUP(B1784,ARTICULOS!$D$10:$I$699,6)</f>
        <v/>
      </c>
      <c r="D1784" s="212" t="n"/>
      <c r="E1784" s="75">
        <f>+C1784&amp;F1784</f>
        <v/>
      </c>
      <c r="F1784" s="80" t="n"/>
      <c r="G1784" s="81" t="n"/>
      <c r="H1784" s="78" t="n"/>
      <c r="I1784" s="78" t="n"/>
      <c r="J1784" s="78" t="n"/>
    </row>
    <row r="1785">
      <c r="A1785" s="84">
        <f>ROW()-6</f>
        <v/>
      </c>
      <c r="B1785" s="85">
        <f>+MATCH(D1785,ARTICULOS!$F$10:$F$699,0)</f>
        <v/>
      </c>
      <c r="C1785" s="86">
        <f>+VLOOKUP(B1785,ARTICULOS!$D$10:$I$699,6)</f>
        <v/>
      </c>
      <c r="D1785" s="212" t="n"/>
      <c r="E1785" s="75">
        <f>+C1785&amp;F1785</f>
        <v/>
      </c>
      <c r="F1785" s="80" t="n"/>
      <c r="G1785" s="81" t="n"/>
      <c r="H1785" s="78" t="n"/>
      <c r="I1785" s="78" t="n"/>
      <c r="J1785" s="78" t="n"/>
    </row>
    <row r="1786">
      <c r="A1786" s="84">
        <f>ROW()-6</f>
        <v/>
      </c>
      <c r="B1786" s="85">
        <f>+MATCH(D1786,ARTICULOS!$F$10:$F$699,0)</f>
        <v/>
      </c>
      <c r="C1786" s="86">
        <f>+VLOOKUP(B1786,ARTICULOS!$D$10:$I$699,6)</f>
        <v/>
      </c>
      <c r="D1786" s="212" t="n"/>
      <c r="E1786" s="75">
        <f>+C1786&amp;F1786</f>
        <v/>
      </c>
      <c r="F1786" s="80" t="n"/>
      <c r="G1786" s="81" t="n"/>
      <c r="H1786" s="78" t="n"/>
      <c r="I1786" s="78" t="n"/>
      <c r="J1786" s="78" t="n"/>
    </row>
    <row r="1787">
      <c r="A1787" s="84">
        <f>ROW()-6</f>
        <v/>
      </c>
      <c r="B1787" s="85">
        <f>+MATCH(D1787,ARTICULOS!$F$10:$F$699,0)</f>
        <v/>
      </c>
      <c r="C1787" s="86">
        <f>+VLOOKUP(B1787,ARTICULOS!$D$10:$I$699,6)</f>
        <v/>
      </c>
      <c r="D1787" s="212" t="n"/>
      <c r="E1787" s="75">
        <f>+C1787&amp;F1787</f>
        <v/>
      </c>
      <c r="F1787" s="80" t="n"/>
      <c r="G1787" s="81" t="n"/>
      <c r="H1787" s="78" t="n"/>
      <c r="I1787" s="78" t="n"/>
      <c r="J1787" s="78" t="n"/>
    </row>
    <row r="1788">
      <c r="A1788" s="84">
        <f>ROW()-6</f>
        <v/>
      </c>
      <c r="B1788" s="85">
        <f>+MATCH(D1788,ARTICULOS!$F$10:$F$699,0)</f>
        <v/>
      </c>
      <c r="C1788" s="86">
        <f>+VLOOKUP(B1788,ARTICULOS!$D$10:$I$699,6)</f>
        <v/>
      </c>
      <c r="D1788" s="212" t="n"/>
      <c r="E1788" s="75">
        <f>+C1788&amp;F1788</f>
        <v/>
      </c>
      <c r="F1788" s="80" t="n"/>
      <c r="G1788" s="81" t="n"/>
      <c r="H1788" s="78" t="n"/>
      <c r="I1788" s="78" t="n"/>
      <c r="J1788" s="78" t="n"/>
    </row>
    <row r="1789">
      <c r="A1789" s="84">
        <f>ROW()-6</f>
        <v/>
      </c>
      <c r="B1789" s="85">
        <f>+MATCH(D1789,ARTICULOS!$F$10:$F$699,0)</f>
        <v/>
      </c>
      <c r="C1789" s="86">
        <f>+VLOOKUP(B1789,ARTICULOS!$D$10:$I$699,6)</f>
        <v/>
      </c>
      <c r="D1789" s="212" t="n"/>
      <c r="E1789" s="75">
        <f>+C1789&amp;F1789</f>
        <v/>
      </c>
      <c r="F1789" s="80" t="n"/>
      <c r="G1789" s="81" t="n"/>
      <c r="H1789" s="78" t="n"/>
      <c r="I1789" s="78" t="n"/>
      <c r="J1789" s="78" t="n"/>
    </row>
    <row r="1790">
      <c r="A1790" s="84">
        <f>ROW()-6</f>
        <v/>
      </c>
      <c r="B1790" s="85">
        <f>+MATCH(D1790,ARTICULOS!$F$10:$F$699,0)</f>
        <v/>
      </c>
      <c r="C1790" s="86">
        <f>+VLOOKUP(B1790,ARTICULOS!$D$10:$I$699,6)</f>
        <v/>
      </c>
      <c r="D1790" s="212" t="n"/>
      <c r="E1790" s="75">
        <f>+C1790&amp;F1790</f>
        <v/>
      </c>
      <c r="F1790" s="80" t="n"/>
      <c r="G1790" s="81" t="n"/>
      <c r="H1790" s="78" t="n"/>
      <c r="I1790" s="78" t="n"/>
      <c r="J1790" s="78" t="n"/>
    </row>
    <row r="1791">
      <c r="A1791" s="84">
        <f>ROW()-6</f>
        <v/>
      </c>
      <c r="B1791" s="85">
        <f>+MATCH(D1791,ARTICULOS!$F$10:$F$699,0)</f>
        <v/>
      </c>
      <c r="C1791" s="86">
        <f>+VLOOKUP(B1791,ARTICULOS!$D$10:$I$699,6)</f>
        <v/>
      </c>
      <c r="D1791" s="212" t="n"/>
      <c r="E1791" s="75">
        <f>+C1791&amp;F1791</f>
        <v/>
      </c>
      <c r="F1791" s="80" t="n"/>
      <c r="G1791" s="81" t="n"/>
      <c r="H1791" s="78" t="n"/>
      <c r="I1791" s="78" t="n"/>
      <c r="J1791" s="78" t="n"/>
    </row>
    <row r="1792">
      <c r="A1792" s="84">
        <f>ROW()-6</f>
        <v/>
      </c>
      <c r="B1792" s="85">
        <f>+MATCH(D1792,ARTICULOS!$F$10:$F$699,0)</f>
        <v/>
      </c>
      <c r="C1792" s="86">
        <f>+VLOOKUP(B1792,ARTICULOS!$D$10:$I$699,6)</f>
        <v/>
      </c>
      <c r="D1792" s="212" t="n"/>
      <c r="E1792" s="75">
        <f>+C1792&amp;F1792</f>
        <v/>
      </c>
      <c r="F1792" s="80" t="n"/>
      <c r="G1792" s="81" t="n"/>
      <c r="H1792" s="78" t="n"/>
      <c r="I1792" s="78" t="n"/>
      <c r="J1792" s="78" t="n"/>
    </row>
    <row r="1793">
      <c r="A1793" s="84">
        <f>ROW()-6</f>
        <v/>
      </c>
      <c r="B1793" s="85">
        <f>+MATCH(D1793,ARTICULOS!$F$10:$F$699,0)</f>
        <v/>
      </c>
      <c r="C1793" s="86">
        <f>+VLOOKUP(B1793,ARTICULOS!$D$10:$I$699,6)</f>
        <v/>
      </c>
      <c r="D1793" s="212" t="n"/>
      <c r="E1793" s="75">
        <f>+C1793&amp;F1793</f>
        <v/>
      </c>
      <c r="F1793" s="80" t="n"/>
      <c r="G1793" s="81" t="n"/>
      <c r="H1793" s="78" t="n"/>
      <c r="I1793" s="78" t="n"/>
      <c r="J1793" s="78" t="n"/>
    </row>
    <row r="1794">
      <c r="A1794" s="84">
        <f>ROW()-6</f>
        <v/>
      </c>
      <c r="B1794" s="85">
        <f>+MATCH(D1794,ARTICULOS!$F$10:$F$699,0)</f>
        <v/>
      </c>
      <c r="C1794" s="86">
        <f>+VLOOKUP(B1794,ARTICULOS!$D$10:$I$699,6)</f>
        <v/>
      </c>
      <c r="D1794" s="212" t="n"/>
      <c r="E1794" s="75">
        <f>+C1794&amp;F1794</f>
        <v/>
      </c>
      <c r="F1794" s="80" t="n"/>
      <c r="G1794" s="81" t="n"/>
      <c r="H1794" s="78" t="n"/>
      <c r="I1794" s="78" t="n"/>
      <c r="J1794" s="78" t="n"/>
    </row>
    <row r="1795">
      <c r="A1795" s="84">
        <f>ROW()-6</f>
        <v/>
      </c>
      <c r="B1795" s="85">
        <f>+MATCH(D1795,ARTICULOS!$F$10:$F$699,0)</f>
        <v/>
      </c>
      <c r="C1795" s="86">
        <f>+VLOOKUP(B1795,ARTICULOS!$D$10:$I$699,6)</f>
        <v/>
      </c>
      <c r="D1795" s="212" t="n"/>
      <c r="E1795" s="75">
        <f>+C1795&amp;F1795</f>
        <v/>
      </c>
      <c r="F1795" s="80" t="n"/>
      <c r="G1795" s="81" t="n"/>
      <c r="H1795" s="78" t="n"/>
      <c r="I1795" s="78" t="n"/>
      <c r="J1795" s="78" t="n"/>
    </row>
    <row r="1796">
      <c r="A1796" s="84">
        <f>ROW()-6</f>
        <v/>
      </c>
      <c r="B1796" s="85">
        <f>+MATCH(D1796,ARTICULOS!$F$10:$F$699,0)</f>
        <v/>
      </c>
      <c r="C1796" s="86">
        <f>+VLOOKUP(B1796,ARTICULOS!$D$10:$I$699,6)</f>
        <v/>
      </c>
      <c r="D1796" s="212" t="n"/>
      <c r="E1796" s="75">
        <f>+C1796&amp;F1796</f>
        <v/>
      </c>
      <c r="F1796" s="80" t="n"/>
      <c r="G1796" s="81" t="n"/>
      <c r="H1796" s="78" t="n"/>
      <c r="I1796" s="78" t="n"/>
      <c r="J1796" s="78" t="n"/>
    </row>
    <row r="1797">
      <c r="A1797" s="84">
        <f>ROW()-6</f>
        <v/>
      </c>
      <c r="B1797" s="85">
        <f>+MATCH(D1797,ARTICULOS!$F$10:$F$699,0)</f>
        <v/>
      </c>
      <c r="C1797" s="86">
        <f>+VLOOKUP(B1797,ARTICULOS!$D$10:$I$699,6)</f>
        <v/>
      </c>
      <c r="D1797" s="212" t="n"/>
      <c r="E1797" s="75">
        <f>+C1797&amp;F1797</f>
        <v/>
      </c>
      <c r="F1797" s="80" t="n"/>
      <c r="G1797" s="81" t="n"/>
      <c r="H1797" s="78" t="n"/>
      <c r="I1797" s="78" t="n"/>
      <c r="J1797" s="78" t="n"/>
    </row>
    <row r="1798">
      <c r="A1798" s="84">
        <f>ROW()-6</f>
        <v/>
      </c>
      <c r="B1798" s="85">
        <f>+MATCH(D1798,ARTICULOS!$F$10:$F$699,0)</f>
        <v/>
      </c>
      <c r="C1798" s="86">
        <f>+VLOOKUP(B1798,ARTICULOS!$D$10:$I$699,6)</f>
        <v/>
      </c>
      <c r="D1798" s="212" t="n"/>
      <c r="E1798" s="75">
        <f>+C1798&amp;F1798</f>
        <v/>
      </c>
      <c r="F1798" s="80" t="n"/>
      <c r="G1798" s="81" t="n"/>
      <c r="H1798" s="78" t="n"/>
      <c r="I1798" s="78" t="n"/>
      <c r="J1798" s="78" t="n"/>
    </row>
    <row r="1799">
      <c r="A1799" s="84">
        <f>ROW()-6</f>
        <v/>
      </c>
      <c r="B1799" s="85">
        <f>+MATCH(D1799,ARTICULOS!$F$10:$F$699,0)</f>
        <v/>
      </c>
      <c r="C1799" s="86">
        <f>+VLOOKUP(B1799,ARTICULOS!$D$10:$I$699,6)</f>
        <v/>
      </c>
      <c r="D1799" s="212" t="n"/>
      <c r="E1799" s="75">
        <f>+C1799&amp;F1799</f>
        <v/>
      </c>
      <c r="F1799" s="80" t="n"/>
      <c r="G1799" s="81" t="n"/>
      <c r="H1799" s="78" t="n"/>
      <c r="I1799" s="78" t="n"/>
      <c r="J1799" s="78" t="n"/>
    </row>
    <row r="1800">
      <c r="A1800" s="84">
        <f>ROW()-6</f>
        <v/>
      </c>
      <c r="B1800" s="85">
        <f>+MATCH(D1800,ARTICULOS!$F$10:$F$699,0)</f>
        <v/>
      </c>
      <c r="C1800" s="86">
        <f>+VLOOKUP(B1800,ARTICULOS!$D$10:$I$699,6)</f>
        <v/>
      </c>
      <c r="D1800" s="212" t="n"/>
      <c r="E1800" s="75">
        <f>+C1800&amp;F1800</f>
        <v/>
      </c>
      <c r="F1800" s="80" t="n"/>
      <c r="G1800" s="81" t="n"/>
      <c r="H1800" s="78" t="n"/>
      <c r="I1800" s="78" t="n"/>
      <c r="J1800" s="78" t="n"/>
    </row>
    <row r="1801">
      <c r="A1801" s="84">
        <f>ROW()-6</f>
        <v/>
      </c>
      <c r="B1801" s="85">
        <f>+MATCH(D1801,ARTICULOS!$F$10:$F$699,0)</f>
        <v/>
      </c>
      <c r="C1801" s="86">
        <f>+VLOOKUP(B1801,ARTICULOS!$D$10:$I$699,6)</f>
        <v/>
      </c>
      <c r="D1801" s="212" t="n"/>
      <c r="E1801" s="75">
        <f>+C1801&amp;F1801</f>
        <v/>
      </c>
      <c r="F1801" s="80" t="n"/>
      <c r="G1801" s="81" t="n"/>
      <c r="H1801" s="78" t="n"/>
      <c r="I1801" s="78" t="n"/>
      <c r="J1801" s="78" t="n"/>
    </row>
    <row r="1802">
      <c r="A1802" s="84">
        <f>ROW()-6</f>
        <v/>
      </c>
      <c r="B1802" s="85">
        <f>+MATCH(D1802,ARTICULOS!$F$10:$F$699,0)</f>
        <v/>
      </c>
      <c r="C1802" s="86">
        <f>+VLOOKUP(B1802,ARTICULOS!$D$10:$I$699,6)</f>
        <v/>
      </c>
      <c r="D1802" s="212" t="n"/>
      <c r="E1802" s="75">
        <f>+C1802&amp;F1802</f>
        <v/>
      </c>
      <c r="F1802" s="80" t="n"/>
      <c r="G1802" s="81" t="n"/>
      <c r="H1802" s="78" t="n"/>
      <c r="I1802" s="78" t="n"/>
      <c r="J1802" s="78" t="n"/>
    </row>
    <row r="1803">
      <c r="A1803" s="84">
        <f>ROW()-6</f>
        <v/>
      </c>
      <c r="B1803" s="85">
        <f>+MATCH(D1803,ARTICULOS!$F$10:$F$699,0)</f>
        <v/>
      </c>
      <c r="C1803" s="86">
        <f>+VLOOKUP(B1803,ARTICULOS!$D$10:$I$699,6)</f>
        <v/>
      </c>
      <c r="D1803" s="212" t="n"/>
      <c r="E1803" s="75">
        <f>+C1803&amp;F1803</f>
        <v/>
      </c>
      <c r="F1803" s="80" t="n"/>
      <c r="G1803" s="81" t="n"/>
      <c r="H1803" s="78" t="n"/>
      <c r="I1803" s="78" t="n"/>
      <c r="J1803" s="78" t="n"/>
    </row>
    <row r="1804">
      <c r="A1804" s="84">
        <f>ROW()-6</f>
        <v/>
      </c>
      <c r="B1804" s="85">
        <f>+MATCH(D1804,ARTICULOS!$F$10:$F$699,0)</f>
        <v/>
      </c>
      <c r="C1804" s="86">
        <f>+VLOOKUP(B1804,ARTICULOS!$D$10:$I$699,6)</f>
        <v/>
      </c>
      <c r="D1804" s="212" t="n"/>
      <c r="E1804" s="75">
        <f>+C1804&amp;F1804</f>
        <v/>
      </c>
      <c r="F1804" s="80" t="n"/>
      <c r="G1804" s="81" t="n"/>
      <c r="H1804" s="78" t="n"/>
      <c r="I1804" s="78" t="n"/>
      <c r="J1804" s="78" t="n"/>
    </row>
    <row r="1805">
      <c r="A1805" s="84">
        <f>ROW()-6</f>
        <v/>
      </c>
      <c r="B1805" s="85">
        <f>+MATCH(D1805,ARTICULOS!$F$10:$F$699,0)</f>
        <v/>
      </c>
      <c r="C1805" s="86">
        <f>+VLOOKUP(B1805,ARTICULOS!$D$10:$I$699,6)</f>
        <v/>
      </c>
      <c r="D1805" s="212" t="n"/>
      <c r="E1805" s="75">
        <f>+C1805&amp;F1805</f>
        <v/>
      </c>
      <c r="F1805" s="80" t="n"/>
      <c r="G1805" s="81" t="n"/>
      <c r="H1805" s="78" t="n"/>
      <c r="I1805" s="78" t="n"/>
      <c r="J1805" s="78" t="n"/>
    </row>
    <row r="1806">
      <c r="A1806" s="84">
        <f>ROW()-6</f>
        <v/>
      </c>
      <c r="B1806" s="85">
        <f>+MATCH(D1806,ARTICULOS!$F$10:$F$699,0)</f>
        <v/>
      </c>
      <c r="C1806" s="86">
        <f>+VLOOKUP(B1806,ARTICULOS!$D$10:$I$699,6)</f>
        <v/>
      </c>
      <c r="D1806" s="212" t="n"/>
      <c r="E1806" s="75">
        <f>+C1806&amp;F1806</f>
        <v/>
      </c>
      <c r="F1806" s="80" t="n"/>
      <c r="G1806" s="81" t="n"/>
      <c r="H1806" s="78" t="n"/>
      <c r="I1806" s="78" t="n"/>
      <c r="J1806" s="78" t="n"/>
    </row>
    <row r="1807">
      <c r="A1807" s="84">
        <f>ROW()-6</f>
        <v/>
      </c>
      <c r="B1807" s="85">
        <f>+MATCH(D1807,ARTICULOS!$F$10:$F$699,0)</f>
        <v/>
      </c>
      <c r="C1807" s="86">
        <f>+VLOOKUP(B1807,ARTICULOS!$D$10:$I$699,6)</f>
        <v/>
      </c>
      <c r="D1807" s="212" t="n"/>
      <c r="E1807" s="75">
        <f>+C1807&amp;F1807</f>
        <v/>
      </c>
      <c r="F1807" s="80" t="n"/>
      <c r="G1807" s="81" t="n"/>
      <c r="H1807" s="78" t="n"/>
      <c r="I1807" s="78" t="n"/>
      <c r="J1807" s="78" t="n"/>
    </row>
    <row r="1808">
      <c r="A1808" s="84">
        <f>ROW()-6</f>
        <v/>
      </c>
      <c r="B1808" s="85">
        <f>+MATCH(D1808,ARTICULOS!$F$10:$F$699,0)</f>
        <v/>
      </c>
      <c r="C1808" s="86">
        <f>+VLOOKUP(B1808,ARTICULOS!$D$10:$I$699,6)</f>
        <v/>
      </c>
      <c r="D1808" s="212" t="n"/>
      <c r="E1808" s="75">
        <f>+C1808&amp;F1808</f>
        <v/>
      </c>
      <c r="F1808" s="80" t="n"/>
      <c r="G1808" s="81" t="n"/>
      <c r="H1808" s="78" t="n"/>
      <c r="I1808" s="78" t="n"/>
      <c r="J1808" s="78" t="n"/>
    </row>
    <row r="1809">
      <c r="A1809" s="84">
        <f>ROW()-6</f>
        <v/>
      </c>
      <c r="B1809" s="85">
        <f>+MATCH(D1809,ARTICULOS!$F$10:$F$699,0)</f>
        <v/>
      </c>
      <c r="C1809" s="86">
        <f>+VLOOKUP(B1809,ARTICULOS!$D$10:$I$699,6)</f>
        <v/>
      </c>
      <c r="D1809" s="212" t="n"/>
      <c r="E1809" s="75">
        <f>+C1809&amp;F1809</f>
        <v/>
      </c>
      <c r="F1809" s="80" t="n"/>
      <c r="G1809" s="81" t="n"/>
      <c r="H1809" s="78" t="n"/>
      <c r="I1809" s="78" t="n"/>
      <c r="J1809" s="78" t="n"/>
    </row>
    <row r="1810">
      <c r="A1810" s="84">
        <f>ROW()-6</f>
        <v/>
      </c>
      <c r="B1810" s="85">
        <f>+MATCH(D1810,ARTICULOS!$F$10:$F$699,0)</f>
        <v/>
      </c>
      <c r="C1810" s="86">
        <f>+VLOOKUP(B1810,ARTICULOS!$D$10:$I$699,6)</f>
        <v/>
      </c>
      <c r="D1810" s="212" t="n"/>
      <c r="E1810" s="75">
        <f>+C1810&amp;F1810</f>
        <v/>
      </c>
      <c r="F1810" s="80" t="n"/>
      <c r="G1810" s="81" t="n"/>
      <c r="H1810" s="78" t="n"/>
      <c r="I1810" s="78" t="n"/>
      <c r="J1810" s="78" t="n"/>
    </row>
    <row r="1811">
      <c r="A1811" s="84">
        <f>ROW()-6</f>
        <v/>
      </c>
      <c r="B1811" s="85">
        <f>+MATCH(D1811,ARTICULOS!$F$10:$F$699,0)</f>
        <v/>
      </c>
      <c r="C1811" s="86">
        <f>+VLOOKUP(B1811,ARTICULOS!$D$10:$I$699,6)</f>
        <v/>
      </c>
      <c r="D1811" s="212" t="n"/>
      <c r="E1811" s="75">
        <f>+C1811&amp;F1811</f>
        <v/>
      </c>
      <c r="F1811" s="80" t="n"/>
      <c r="G1811" s="81" t="n"/>
      <c r="H1811" s="78" t="n"/>
      <c r="I1811" s="78" t="n"/>
      <c r="J1811" s="78" t="n"/>
    </row>
    <row r="1812">
      <c r="A1812" s="84">
        <f>ROW()-6</f>
        <v/>
      </c>
      <c r="B1812" s="85">
        <f>+MATCH(D1812,ARTICULOS!$F$10:$F$699,0)</f>
        <v/>
      </c>
      <c r="C1812" s="86">
        <f>+VLOOKUP(B1812,ARTICULOS!$D$10:$I$699,6)</f>
        <v/>
      </c>
      <c r="D1812" s="212" t="n"/>
      <c r="E1812" s="75">
        <f>+C1812&amp;F1812</f>
        <v/>
      </c>
      <c r="F1812" s="80" t="n"/>
      <c r="G1812" s="81" t="n"/>
      <c r="H1812" s="78" t="n"/>
      <c r="I1812" s="78" t="n"/>
      <c r="J1812" s="78" t="n"/>
    </row>
    <row r="1813">
      <c r="A1813" s="84">
        <f>ROW()-6</f>
        <v/>
      </c>
      <c r="B1813" s="85">
        <f>+MATCH(D1813,ARTICULOS!$F$10:$F$699,0)</f>
        <v/>
      </c>
      <c r="C1813" s="86">
        <f>+VLOOKUP(B1813,ARTICULOS!$D$10:$I$699,6)</f>
        <v/>
      </c>
      <c r="D1813" s="212" t="n"/>
      <c r="E1813" s="75">
        <f>+C1813&amp;F1813</f>
        <v/>
      </c>
      <c r="F1813" s="80" t="n"/>
      <c r="G1813" s="81" t="n"/>
      <c r="H1813" s="78" t="n"/>
      <c r="I1813" s="78" t="n"/>
      <c r="J1813" s="78" t="n"/>
    </row>
    <row r="1814">
      <c r="A1814" s="84">
        <f>ROW()-6</f>
        <v/>
      </c>
      <c r="B1814" s="85">
        <f>+MATCH(D1814,ARTICULOS!$F$10:$F$699,0)</f>
        <v/>
      </c>
      <c r="C1814" s="86">
        <f>+VLOOKUP(B1814,ARTICULOS!$D$10:$I$699,6)</f>
        <v/>
      </c>
      <c r="D1814" s="212" t="n"/>
      <c r="E1814" s="75">
        <f>+C1814&amp;F1814</f>
        <v/>
      </c>
      <c r="F1814" s="80" t="n"/>
      <c r="G1814" s="81" t="n"/>
      <c r="H1814" s="78" t="n"/>
      <c r="I1814" s="78" t="n"/>
      <c r="J1814" s="78" t="n"/>
    </row>
    <row r="1815">
      <c r="A1815" s="84">
        <f>ROW()-6</f>
        <v/>
      </c>
      <c r="B1815" s="85">
        <f>+MATCH(D1815,ARTICULOS!$F$10:$F$699,0)</f>
        <v/>
      </c>
      <c r="C1815" s="86">
        <f>+VLOOKUP(B1815,ARTICULOS!$D$10:$I$699,6)</f>
        <v/>
      </c>
      <c r="D1815" s="212" t="n"/>
      <c r="E1815" s="75">
        <f>+C1815&amp;F1815</f>
        <v/>
      </c>
      <c r="F1815" s="80" t="n"/>
      <c r="G1815" s="81" t="n"/>
      <c r="H1815" s="78" t="n"/>
      <c r="I1815" s="78" t="n"/>
      <c r="J1815" s="78" t="n"/>
    </row>
    <row r="1816">
      <c r="A1816" s="84">
        <f>ROW()-6</f>
        <v/>
      </c>
      <c r="B1816" s="85">
        <f>+MATCH(D1816,ARTICULOS!$F$10:$F$699,0)</f>
        <v/>
      </c>
      <c r="C1816" s="86">
        <f>+VLOOKUP(B1816,ARTICULOS!$D$10:$I$699,6)</f>
        <v/>
      </c>
      <c r="D1816" s="212" t="n"/>
      <c r="E1816" s="75">
        <f>+C1816&amp;F1816</f>
        <v/>
      </c>
      <c r="F1816" s="80" t="n"/>
      <c r="G1816" s="81" t="n"/>
      <c r="H1816" s="78" t="n"/>
      <c r="I1816" s="78" t="n"/>
      <c r="J1816" s="78" t="n"/>
    </row>
    <row r="1817">
      <c r="A1817" s="84">
        <f>ROW()-6</f>
        <v/>
      </c>
      <c r="B1817" s="85">
        <f>+MATCH(D1817,ARTICULOS!$F$10:$F$699,0)</f>
        <v/>
      </c>
      <c r="C1817" s="86">
        <f>+VLOOKUP(B1817,ARTICULOS!$D$10:$I$699,6)</f>
        <v/>
      </c>
      <c r="D1817" s="212" t="n"/>
      <c r="E1817" s="75">
        <f>+C1817&amp;F1817</f>
        <v/>
      </c>
      <c r="F1817" s="80" t="n"/>
      <c r="G1817" s="81" t="n"/>
      <c r="H1817" s="78" t="n"/>
      <c r="I1817" s="78" t="n"/>
      <c r="J1817" s="78" t="n"/>
    </row>
    <row r="1818">
      <c r="A1818" s="84">
        <f>ROW()-6</f>
        <v/>
      </c>
      <c r="B1818" s="85">
        <f>+MATCH(D1818,ARTICULOS!$F$10:$F$699,0)</f>
        <v/>
      </c>
      <c r="C1818" s="86">
        <f>+VLOOKUP(B1818,ARTICULOS!$D$10:$I$699,6)</f>
        <v/>
      </c>
      <c r="D1818" s="212" t="n"/>
      <c r="E1818" s="75">
        <f>+C1818&amp;F1818</f>
        <v/>
      </c>
      <c r="F1818" s="80" t="n"/>
      <c r="G1818" s="81" t="n"/>
      <c r="H1818" s="78" t="n"/>
      <c r="I1818" s="78" t="n"/>
      <c r="J1818" s="78" t="n"/>
    </row>
    <row r="1819">
      <c r="A1819" s="84">
        <f>ROW()-6</f>
        <v/>
      </c>
      <c r="B1819" s="85">
        <f>+MATCH(D1819,ARTICULOS!$F$10:$F$699,0)</f>
        <v/>
      </c>
      <c r="C1819" s="86">
        <f>+VLOOKUP(B1819,ARTICULOS!$D$10:$I$699,6)</f>
        <v/>
      </c>
      <c r="D1819" s="212" t="n"/>
      <c r="E1819" s="75">
        <f>+C1819&amp;F1819</f>
        <v/>
      </c>
      <c r="F1819" s="80" t="n"/>
      <c r="G1819" s="81" t="n"/>
      <c r="H1819" s="78" t="n"/>
      <c r="I1819" s="78" t="n"/>
      <c r="J1819" s="78" t="n"/>
    </row>
    <row r="1820">
      <c r="A1820" s="84">
        <f>ROW()-6</f>
        <v/>
      </c>
      <c r="B1820" s="85">
        <f>+MATCH(D1820,ARTICULOS!$F$10:$F$699,0)</f>
        <v/>
      </c>
      <c r="C1820" s="86">
        <f>+VLOOKUP(B1820,ARTICULOS!$D$10:$I$699,6)</f>
        <v/>
      </c>
      <c r="D1820" s="212" t="n"/>
      <c r="E1820" s="75">
        <f>+C1820&amp;F1820</f>
        <v/>
      </c>
      <c r="F1820" s="80" t="n"/>
      <c r="G1820" s="81" t="n"/>
      <c r="H1820" s="78" t="n"/>
      <c r="I1820" s="78" t="n"/>
      <c r="J1820" s="78" t="n"/>
    </row>
    <row r="1821">
      <c r="A1821" s="84">
        <f>ROW()-6</f>
        <v/>
      </c>
      <c r="B1821" s="85">
        <f>+MATCH(D1821,ARTICULOS!$F$10:$F$699,0)</f>
        <v/>
      </c>
      <c r="C1821" s="86">
        <f>+VLOOKUP(B1821,ARTICULOS!$D$10:$I$699,6)</f>
        <v/>
      </c>
      <c r="D1821" s="212" t="n"/>
      <c r="E1821" s="75">
        <f>+C1821&amp;F1821</f>
        <v/>
      </c>
      <c r="F1821" s="80" t="n"/>
      <c r="G1821" s="81" t="n"/>
      <c r="H1821" s="78" t="n"/>
      <c r="I1821" s="78" t="n"/>
      <c r="J1821" s="78" t="n"/>
    </row>
    <row r="1822">
      <c r="A1822" s="84">
        <f>ROW()-6</f>
        <v/>
      </c>
      <c r="B1822" s="85">
        <f>+MATCH(D1822,ARTICULOS!$F$10:$F$699,0)</f>
        <v/>
      </c>
      <c r="C1822" s="86">
        <f>+VLOOKUP(B1822,ARTICULOS!$D$10:$I$699,6)</f>
        <v/>
      </c>
      <c r="D1822" s="212" t="n"/>
      <c r="E1822" s="75">
        <f>+C1822&amp;F1822</f>
        <v/>
      </c>
      <c r="F1822" s="80" t="n"/>
      <c r="G1822" s="81" t="n"/>
      <c r="H1822" s="78" t="n"/>
      <c r="I1822" s="78" t="n"/>
      <c r="J1822" s="78" t="n"/>
    </row>
    <row r="1823">
      <c r="A1823" s="84">
        <f>ROW()-6</f>
        <v/>
      </c>
      <c r="B1823" s="85">
        <f>+MATCH(D1823,ARTICULOS!$F$10:$F$699,0)</f>
        <v/>
      </c>
      <c r="C1823" s="86">
        <f>+VLOOKUP(B1823,ARTICULOS!$D$10:$I$699,6)</f>
        <v/>
      </c>
      <c r="D1823" s="212" t="n"/>
      <c r="E1823" s="75">
        <f>+C1823&amp;F1823</f>
        <v/>
      </c>
      <c r="F1823" s="80" t="n"/>
      <c r="G1823" s="81" t="n"/>
      <c r="H1823" s="78" t="n"/>
      <c r="I1823" s="78" t="n"/>
      <c r="J1823" s="78" t="n"/>
    </row>
    <row r="1824">
      <c r="A1824" s="84">
        <f>ROW()-6</f>
        <v/>
      </c>
      <c r="B1824" s="85">
        <f>+MATCH(D1824,ARTICULOS!$F$10:$F$699,0)</f>
        <v/>
      </c>
      <c r="C1824" s="86">
        <f>+VLOOKUP(B1824,ARTICULOS!$D$10:$I$699,6)</f>
        <v/>
      </c>
      <c r="D1824" s="212" t="n"/>
      <c r="E1824" s="75">
        <f>+C1824&amp;F1824</f>
        <v/>
      </c>
      <c r="F1824" s="80" t="n"/>
      <c r="G1824" s="81" t="n"/>
      <c r="H1824" s="78" t="n"/>
      <c r="I1824" s="78" t="n"/>
      <c r="J1824" s="78" t="n"/>
    </row>
    <row r="1825">
      <c r="A1825" s="84">
        <f>ROW()-6</f>
        <v/>
      </c>
      <c r="B1825" s="85">
        <f>+MATCH(D1825,ARTICULOS!$F$10:$F$699,0)</f>
        <v/>
      </c>
      <c r="C1825" s="86">
        <f>+VLOOKUP(B1825,ARTICULOS!$D$10:$I$699,6)</f>
        <v/>
      </c>
      <c r="D1825" s="212" t="n"/>
      <c r="E1825" s="75">
        <f>+C1825&amp;F1825</f>
        <v/>
      </c>
      <c r="F1825" s="80" t="n"/>
      <c r="G1825" s="81" t="n"/>
      <c r="H1825" s="78" t="n"/>
      <c r="I1825" s="78" t="n"/>
      <c r="J1825" s="78" t="n"/>
    </row>
    <row r="1826">
      <c r="A1826" s="84">
        <f>ROW()-6</f>
        <v/>
      </c>
      <c r="B1826" s="85">
        <f>+MATCH(D1826,ARTICULOS!$F$10:$F$699,0)</f>
        <v/>
      </c>
      <c r="C1826" s="86">
        <f>+VLOOKUP(B1826,ARTICULOS!$D$10:$I$699,6)</f>
        <v/>
      </c>
      <c r="D1826" s="212" t="n"/>
      <c r="E1826" s="75">
        <f>+C1826&amp;F1826</f>
        <v/>
      </c>
      <c r="F1826" s="80" t="n"/>
      <c r="G1826" s="81" t="n"/>
      <c r="H1826" s="78" t="n"/>
      <c r="I1826" s="78" t="n"/>
      <c r="J1826" s="78" t="n"/>
    </row>
    <row r="1827">
      <c r="A1827" s="84">
        <f>ROW()-6</f>
        <v/>
      </c>
      <c r="B1827" s="85">
        <f>+MATCH(D1827,ARTICULOS!$F$10:$F$699,0)</f>
        <v/>
      </c>
      <c r="C1827" s="86">
        <f>+VLOOKUP(B1827,ARTICULOS!$D$10:$I$699,6)</f>
        <v/>
      </c>
      <c r="D1827" s="212" t="n"/>
      <c r="E1827" s="75">
        <f>+C1827&amp;F1827</f>
        <v/>
      </c>
      <c r="F1827" s="80" t="n"/>
      <c r="G1827" s="81" t="n"/>
      <c r="H1827" s="78" t="n"/>
      <c r="I1827" s="78" t="n"/>
      <c r="J1827" s="78" t="n"/>
    </row>
    <row r="1828">
      <c r="A1828" s="84">
        <f>ROW()-6</f>
        <v/>
      </c>
      <c r="B1828" s="85">
        <f>+MATCH(D1828,ARTICULOS!$F$10:$F$699,0)</f>
        <v/>
      </c>
      <c r="C1828" s="86">
        <f>+VLOOKUP(B1828,ARTICULOS!$D$10:$I$699,6)</f>
        <v/>
      </c>
      <c r="D1828" s="212" t="n"/>
      <c r="E1828" s="75">
        <f>+C1828&amp;F1828</f>
        <v/>
      </c>
      <c r="F1828" s="80" t="n"/>
      <c r="G1828" s="81" t="n"/>
      <c r="H1828" s="78" t="n"/>
      <c r="I1828" s="78" t="n"/>
      <c r="J1828" s="78" t="n"/>
    </row>
    <row r="1829">
      <c r="A1829" s="84">
        <f>ROW()-6</f>
        <v/>
      </c>
      <c r="B1829" s="85">
        <f>+MATCH(D1829,ARTICULOS!$F$10:$F$699,0)</f>
        <v/>
      </c>
      <c r="C1829" s="86">
        <f>+VLOOKUP(B1829,ARTICULOS!$D$10:$I$699,6)</f>
        <v/>
      </c>
      <c r="D1829" s="212" t="n"/>
      <c r="E1829" s="75">
        <f>+C1829&amp;F1829</f>
        <v/>
      </c>
      <c r="F1829" s="80" t="n"/>
      <c r="G1829" s="81" t="n"/>
      <c r="H1829" s="78" t="n"/>
      <c r="I1829" s="78" t="n"/>
      <c r="J1829" s="78" t="n"/>
    </row>
    <row r="1830">
      <c r="A1830" s="84">
        <f>ROW()-6</f>
        <v/>
      </c>
      <c r="B1830" s="85">
        <f>+MATCH(D1830,ARTICULOS!$F$10:$F$699,0)</f>
        <v/>
      </c>
      <c r="C1830" s="86">
        <f>+VLOOKUP(B1830,ARTICULOS!$D$10:$I$699,6)</f>
        <v/>
      </c>
      <c r="D1830" s="212" t="n"/>
      <c r="E1830" s="75">
        <f>+C1830&amp;F1830</f>
        <v/>
      </c>
      <c r="F1830" s="80" t="n"/>
      <c r="G1830" s="81" t="n"/>
      <c r="H1830" s="78" t="n"/>
      <c r="I1830" s="78" t="n"/>
      <c r="J1830" s="78" t="n"/>
    </row>
    <row r="1831">
      <c r="A1831" s="84">
        <f>ROW()-6</f>
        <v/>
      </c>
      <c r="B1831" s="85">
        <f>+MATCH(D1831,ARTICULOS!$F$10:$F$699,0)</f>
        <v/>
      </c>
      <c r="C1831" s="86">
        <f>+VLOOKUP(B1831,ARTICULOS!$D$10:$I$699,6)</f>
        <v/>
      </c>
      <c r="D1831" s="212" t="n"/>
      <c r="E1831" s="75">
        <f>+C1831&amp;F1831</f>
        <v/>
      </c>
      <c r="F1831" s="80" t="n"/>
      <c r="G1831" s="81" t="n"/>
      <c r="H1831" s="78" t="n"/>
      <c r="I1831" s="78" t="n"/>
      <c r="J1831" s="78" t="n"/>
    </row>
    <row r="1832">
      <c r="A1832" s="84">
        <f>ROW()-6</f>
        <v/>
      </c>
      <c r="B1832" s="85">
        <f>+MATCH(D1832,ARTICULOS!$F$10:$F$699,0)</f>
        <v/>
      </c>
      <c r="C1832" s="86">
        <f>+VLOOKUP(B1832,ARTICULOS!$D$10:$I$699,6)</f>
        <v/>
      </c>
      <c r="D1832" s="212" t="n"/>
      <c r="E1832" s="75">
        <f>+C1832&amp;F1832</f>
        <v/>
      </c>
      <c r="F1832" s="80" t="n"/>
      <c r="G1832" s="81" t="n"/>
      <c r="H1832" s="78" t="n"/>
      <c r="I1832" s="78" t="n"/>
      <c r="J1832" s="78" t="n"/>
    </row>
    <row r="1833">
      <c r="A1833" s="84">
        <f>ROW()-6</f>
        <v/>
      </c>
      <c r="B1833" s="85">
        <f>+MATCH(D1833,ARTICULOS!$F$10:$F$699,0)</f>
        <v/>
      </c>
      <c r="C1833" s="86">
        <f>+VLOOKUP(B1833,ARTICULOS!$D$10:$I$699,6)</f>
        <v/>
      </c>
      <c r="D1833" s="212" t="n"/>
      <c r="E1833" s="75">
        <f>+C1833&amp;F1833</f>
        <v/>
      </c>
      <c r="F1833" s="80" t="n"/>
      <c r="G1833" s="81" t="n"/>
      <c r="H1833" s="78" t="n"/>
      <c r="I1833" s="78" t="n"/>
      <c r="J1833" s="78" t="n"/>
    </row>
    <row r="1834">
      <c r="A1834" s="84">
        <f>ROW()-6</f>
        <v/>
      </c>
      <c r="B1834" s="85">
        <f>+MATCH(D1834,ARTICULOS!$F$10:$F$699,0)</f>
        <v/>
      </c>
      <c r="C1834" s="86">
        <f>+VLOOKUP(B1834,ARTICULOS!$D$10:$I$699,6)</f>
        <v/>
      </c>
      <c r="D1834" s="212" t="n"/>
      <c r="E1834" s="75">
        <f>+C1834&amp;F1834</f>
        <v/>
      </c>
      <c r="F1834" s="80" t="n"/>
      <c r="G1834" s="81" t="n"/>
      <c r="H1834" s="78" t="n"/>
      <c r="I1834" s="78" t="n"/>
      <c r="J1834" s="78" t="n"/>
    </row>
    <row r="1835">
      <c r="A1835" s="84">
        <f>ROW()-6</f>
        <v/>
      </c>
      <c r="B1835" s="85">
        <f>+MATCH(D1835,ARTICULOS!$F$10:$F$699,0)</f>
        <v/>
      </c>
      <c r="C1835" s="86">
        <f>+VLOOKUP(B1835,ARTICULOS!$D$10:$I$699,6)</f>
        <v/>
      </c>
      <c r="D1835" s="212" t="n"/>
      <c r="E1835" s="75">
        <f>+C1835&amp;F1835</f>
        <v/>
      </c>
      <c r="F1835" s="80" t="n"/>
      <c r="G1835" s="81" t="n"/>
      <c r="H1835" s="78" t="n"/>
      <c r="I1835" s="78" t="n"/>
      <c r="J1835" s="78" t="n"/>
    </row>
    <row r="1836">
      <c r="A1836" s="84">
        <f>ROW()-6</f>
        <v/>
      </c>
      <c r="B1836" s="85">
        <f>+MATCH(D1836,ARTICULOS!$F$10:$F$699,0)</f>
        <v/>
      </c>
      <c r="C1836" s="86">
        <f>+VLOOKUP(B1836,ARTICULOS!$D$10:$I$699,6)</f>
        <v/>
      </c>
      <c r="D1836" s="212" t="n"/>
      <c r="E1836" s="75">
        <f>+C1836&amp;F1836</f>
        <v/>
      </c>
      <c r="F1836" s="80" t="n"/>
      <c r="G1836" s="81" t="n"/>
      <c r="H1836" s="78" t="n"/>
      <c r="I1836" s="78" t="n"/>
      <c r="J1836" s="78" t="n"/>
    </row>
    <row r="1837">
      <c r="A1837" s="84">
        <f>ROW()-6</f>
        <v/>
      </c>
      <c r="B1837" s="85">
        <f>+MATCH(D1837,ARTICULOS!$F$10:$F$699,0)</f>
        <v/>
      </c>
      <c r="C1837" s="86">
        <f>+VLOOKUP(B1837,ARTICULOS!$D$10:$I$699,6)</f>
        <v/>
      </c>
      <c r="D1837" s="212" t="n"/>
      <c r="E1837" s="75">
        <f>+C1837&amp;F1837</f>
        <v/>
      </c>
      <c r="F1837" s="80" t="n"/>
      <c r="G1837" s="81" t="n"/>
      <c r="H1837" s="78" t="n"/>
      <c r="I1837" s="78" t="n"/>
      <c r="J1837" s="78" t="n"/>
    </row>
    <row r="1838">
      <c r="A1838" s="84">
        <f>ROW()-6</f>
        <v/>
      </c>
      <c r="B1838" s="85">
        <f>+MATCH(D1838,ARTICULOS!$F$10:$F$699,0)</f>
        <v/>
      </c>
      <c r="C1838" s="86">
        <f>+VLOOKUP(B1838,ARTICULOS!$D$10:$I$699,6)</f>
        <v/>
      </c>
      <c r="D1838" s="212" t="n"/>
      <c r="E1838" s="75">
        <f>+C1838&amp;F1838</f>
        <v/>
      </c>
      <c r="F1838" s="80" t="n"/>
      <c r="G1838" s="81" t="n"/>
      <c r="H1838" s="78" t="n"/>
      <c r="I1838" s="78" t="n"/>
      <c r="J1838" s="78" t="n"/>
    </row>
    <row r="1839">
      <c r="A1839" s="84">
        <f>ROW()-6</f>
        <v/>
      </c>
      <c r="B1839" s="85">
        <f>+MATCH(D1839,ARTICULOS!$F$10:$F$699,0)</f>
        <v/>
      </c>
      <c r="C1839" s="86">
        <f>+VLOOKUP(B1839,ARTICULOS!$D$10:$I$699,6)</f>
        <v/>
      </c>
      <c r="D1839" s="212" t="n"/>
      <c r="E1839" s="75">
        <f>+C1839&amp;F1839</f>
        <v/>
      </c>
      <c r="F1839" s="80" t="n"/>
      <c r="G1839" s="81" t="n"/>
      <c r="H1839" s="78" t="n"/>
      <c r="I1839" s="78" t="n"/>
      <c r="J1839" s="78" t="n"/>
    </row>
    <row r="1840">
      <c r="A1840" s="84">
        <f>ROW()-6</f>
        <v/>
      </c>
      <c r="B1840" s="85">
        <f>+MATCH(D1840,ARTICULOS!$F$10:$F$699,0)</f>
        <v/>
      </c>
      <c r="C1840" s="86">
        <f>+VLOOKUP(B1840,ARTICULOS!$D$10:$I$699,6)</f>
        <v/>
      </c>
      <c r="D1840" s="212" t="n"/>
      <c r="E1840" s="75">
        <f>+C1840&amp;F1840</f>
        <v/>
      </c>
      <c r="F1840" s="80" t="n"/>
      <c r="G1840" s="81" t="n"/>
      <c r="H1840" s="78" t="n"/>
      <c r="I1840" s="78" t="n"/>
      <c r="J1840" s="78" t="n"/>
    </row>
    <row r="1841">
      <c r="A1841" s="84">
        <f>ROW()-6</f>
        <v/>
      </c>
      <c r="B1841" s="85">
        <f>+MATCH(D1841,ARTICULOS!$F$10:$F$699,0)</f>
        <v/>
      </c>
      <c r="C1841" s="86">
        <f>+VLOOKUP(B1841,ARTICULOS!$D$10:$I$699,6)</f>
        <v/>
      </c>
      <c r="D1841" s="212" t="n"/>
      <c r="E1841" s="75">
        <f>+C1841&amp;F1841</f>
        <v/>
      </c>
      <c r="F1841" s="80" t="n"/>
      <c r="G1841" s="81" t="n"/>
      <c r="H1841" s="78" t="n"/>
      <c r="I1841" s="78" t="n"/>
      <c r="J1841" s="78" t="n"/>
    </row>
    <row r="1842">
      <c r="A1842" s="84">
        <f>ROW()-6</f>
        <v/>
      </c>
      <c r="B1842" s="85">
        <f>+MATCH(D1842,ARTICULOS!$F$10:$F$699,0)</f>
        <v/>
      </c>
      <c r="C1842" s="86">
        <f>+VLOOKUP(B1842,ARTICULOS!$D$10:$I$699,6)</f>
        <v/>
      </c>
      <c r="D1842" s="212" t="n"/>
      <c r="E1842" s="75">
        <f>+C1842&amp;F1842</f>
        <v/>
      </c>
      <c r="F1842" s="80" t="n"/>
      <c r="G1842" s="81" t="n"/>
      <c r="H1842" s="78" t="n"/>
      <c r="I1842" s="78" t="n"/>
      <c r="J1842" s="78" t="n"/>
    </row>
    <row r="1843">
      <c r="A1843" s="84">
        <f>ROW()-6</f>
        <v/>
      </c>
      <c r="B1843" s="85">
        <f>+MATCH(D1843,ARTICULOS!$F$10:$F$699,0)</f>
        <v/>
      </c>
      <c r="C1843" s="86">
        <f>+VLOOKUP(B1843,ARTICULOS!$D$10:$I$699,6)</f>
        <v/>
      </c>
      <c r="D1843" s="212" t="n"/>
      <c r="E1843" s="75">
        <f>+C1843&amp;F1843</f>
        <v/>
      </c>
      <c r="F1843" s="80" t="n"/>
      <c r="G1843" s="81" t="n"/>
      <c r="H1843" s="78" t="n"/>
      <c r="I1843" s="78" t="n"/>
      <c r="J1843" s="78" t="n"/>
    </row>
    <row r="1844">
      <c r="A1844" s="84">
        <f>ROW()-6</f>
        <v/>
      </c>
      <c r="B1844" s="85">
        <f>+MATCH(D1844,ARTICULOS!$F$10:$F$699,0)</f>
        <v/>
      </c>
      <c r="C1844" s="86">
        <f>+VLOOKUP(B1844,ARTICULOS!$D$10:$I$699,6)</f>
        <v/>
      </c>
      <c r="D1844" s="212" t="n"/>
      <c r="E1844" s="75">
        <f>+C1844&amp;F1844</f>
        <v/>
      </c>
      <c r="F1844" s="80" t="n"/>
      <c r="G1844" s="81" t="n"/>
      <c r="H1844" s="78" t="n"/>
      <c r="I1844" s="78" t="n"/>
      <c r="J1844" s="78" t="n"/>
    </row>
    <row r="1845">
      <c r="A1845" s="84">
        <f>ROW()-6</f>
        <v/>
      </c>
      <c r="B1845" s="85">
        <f>+MATCH(D1845,ARTICULOS!$F$10:$F$699,0)</f>
        <v/>
      </c>
      <c r="C1845" s="86">
        <f>+VLOOKUP(B1845,ARTICULOS!$D$10:$I$699,6)</f>
        <v/>
      </c>
      <c r="D1845" s="212" t="n"/>
      <c r="E1845" s="75">
        <f>+C1845&amp;F1845</f>
        <v/>
      </c>
      <c r="F1845" s="80" t="n"/>
      <c r="G1845" s="81" t="n"/>
      <c r="H1845" s="78" t="n"/>
      <c r="I1845" s="78" t="n"/>
      <c r="J1845" s="78" t="n"/>
    </row>
    <row r="1846">
      <c r="A1846" s="84">
        <f>ROW()-6</f>
        <v/>
      </c>
      <c r="B1846" s="85">
        <f>+MATCH(D1846,ARTICULOS!$F$10:$F$699,0)</f>
        <v/>
      </c>
      <c r="C1846" s="86">
        <f>+VLOOKUP(B1846,ARTICULOS!$D$10:$I$699,6)</f>
        <v/>
      </c>
      <c r="D1846" s="212" t="n"/>
      <c r="E1846" s="75">
        <f>+C1846&amp;F1846</f>
        <v/>
      </c>
      <c r="F1846" s="80" t="n"/>
      <c r="G1846" s="81" t="n"/>
      <c r="H1846" s="78" t="n"/>
      <c r="I1846" s="78" t="n"/>
      <c r="J1846" s="78" t="n"/>
    </row>
    <row r="1847">
      <c r="A1847" s="84">
        <f>ROW()-6</f>
        <v/>
      </c>
      <c r="B1847" s="85">
        <f>+MATCH(D1847,ARTICULOS!$F$10:$F$699,0)</f>
        <v/>
      </c>
      <c r="C1847" s="86">
        <f>+VLOOKUP(B1847,ARTICULOS!$D$10:$I$699,6)</f>
        <v/>
      </c>
      <c r="D1847" s="212" t="n"/>
      <c r="E1847" s="75">
        <f>+C1847&amp;F1847</f>
        <v/>
      </c>
      <c r="F1847" s="80" t="n"/>
      <c r="G1847" s="81" t="n"/>
      <c r="H1847" s="78" t="n"/>
      <c r="I1847" s="78" t="n"/>
      <c r="J1847" s="78" t="n"/>
    </row>
    <row r="1848">
      <c r="A1848" s="84">
        <f>ROW()-6</f>
        <v/>
      </c>
      <c r="B1848" s="85">
        <f>+MATCH(D1848,ARTICULOS!$F$10:$F$699,0)</f>
        <v/>
      </c>
      <c r="C1848" s="86">
        <f>+VLOOKUP(B1848,ARTICULOS!$D$10:$I$699,6)</f>
        <v/>
      </c>
      <c r="D1848" s="212" t="n"/>
      <c r="E1848" s="75">
        <f>+C1848&amp;F1848</f>
        <v/>
      </c>
      <c r="F1848" s="80" t="n"/>
      <c r="G1848" s="81" t="n"/>
      <c r="H1848" s="78" t="n"/>
      <c r="I1848" s="78" t="n"/>
      <c r="J1848" s="78" t="n"/>
    </row>
    <row r="1849">
      <c r="A1849" s="84">
        <f>ROW()-6</f>
        <v/>
      </c>
      <c r="B1849" s="85">
        <f>+MATCH(D1849,ARTICULOS!$F$10:$F$699,0)</f>
        <v/>
      </c>
      <c r="C1849" s="86">
        <f>+VLOOKUP(B1849,ARTICULOS!$D$10:$I$699,6)</f>
        <v/>
      </c>
      <c r="D1849" s="212" t="n"/>
      <c r="E1849" s="75">
        <f>+C1849&amp;F1849</f>
        <v/>
      </c>
      <c r="F1849" s="80" t="n"/>
      <c r="G1849" s="81" t="n"/>
      <c r="H1849" s="78" t="n"/>
      <c r="I1849" s="78" t="n"/>
      <c r="J1849" s="78" t="n"/>
    </row>
    <row r="1850">
      <c r="A1850" s="84">
        <f>ROW()-6</f>
        <v/>
      </c>
      <c r="B1850" s="85">
        <f>+MATCH(D1850,ARTICULOS!$F$10:$F$699,0)</f>
        <v/>
      </c>
      <c r="C1850" s="86">
        <f>+VLOOKUP(B1850,ARTICULOS!$D$10:$I$699,6)</f>
        <v/>
      </c>
      <c r="D1850" s="212" t="n"/>
      <c r="E1850" s="75">
        <f>+C1850&amp;F1850</f>
        <v/>
      </c>
      <c r="F1850" s="80" t="n"/>
      <c r="G1850" s="81" t="n"/>
      <c r="H1850" s="78" t="n"/>
      <c r="I1850" s="78" t="n"/>
      <c r="J1850" s="78" t="n"/>
    </row>
    <row r="1851">
      <c r="A1851" s="84">
        <f>ROW()-6</f>
        <v/>
      </c>
      <c r="B1851" s="85">
        <f>+MATCH(D1851,ARTICULOS!$F$10:$F$699,0)</f>
        <v/>
      </c>
      <c r="C1851" s="86">
        <f>+VLOOKUP(B1851,ARTICULOS!$D$10:$I$699,6)</f>
        <v/>
      </c>
      <c r="D1851" s="212" t="n"/>
      <c r="E1851" s="75">
        <f>+C1851&amp;F1851</f>
        <v/>
      </c>
      <c r="F1851" s="80" t="n"/>
      <c r="G1851" s="81" t="n"/>
      <c r="H1851" s="78" t="n"/>
      <c r="I1851" s="78" t="n"/>
      <c r="J1851" s="78" t="n"/>
    </row>
    <row r="1852">
      <c r="A1852" s="84">
        <f>ROW()-6</f>
        <v/>
      </c>
      <c r="B1852" s="85">
        <f>+MATCH(D1852,ARTICULOS!$F$10:$F$699,0)</f>
        <v/>
      </c>
      <c r="C1852" s="86">
        <f>+VLOOKUP(B1852,ARTICULOS!$D$10:$I$699,6)</f>
        <v/>
      </c>
      <c r="D1852" s="212" t="n"/>
      <c r="E1852" s="75">
        <f>+C1852&amp;F1852</f>
        <v/>
      </c>
      <c r="F1852" s="80" t="n"/>
      <c r="G1852" s="81" t="n"/>
      <c r="H1852" s="78" t="n"/>
      <c r="I1852" s="78" t="n"/>
      <c r="J1852" s="78" t="n"/>
    </row>
    <row r="1853">
      <c r="A1853" s="84">
        <f>ROW()-6</f>
        <v/>
      </c>
      <c r="B1853" s="85">
        <f>+MATCH(D1853,ARTICULOS!$F$10:$F$699,0)</f>
        <v/>
      </c>
      <c r="C1853" s="86">
        <f>+VLOOKUP(B1853,ARTICULOS!$D$10:$I$699,6)</f>
        <v/>
      </c>
      <c r="D1853" s="212" t="n"/>
      <c r="E1853" s="75">
        <f>+C1853&amp;F1853</f>
        <v/>
      </c>
      <c r="F1853" s="80" t="n"/>
      <c r="G1853" s="81" t="n"/>
      <c r="H1853" s="78" t="n"/>
      <c r="I1853" s="78" t="n"/>
      <c r="J1853" s="78" t="n"/>
    </row>
    <row r="1854">
      <c r="A1854" s="84">
        <f>ROW()-6</f>
        <v/>
      </c>
      <c r="B1854" s="85">
        <f>+MATCH(D1854,ARTICULOS!$F$10:$F$699,0)</f>
        <v/>
      </c>
      <c r="C1854" s="86">
        <f>+VLOOKUP(B1854,ARTICULOS!$D$10:$I$699,6)</f>
        <v/>
      </c>
      <c r="D1854" s="212" t="n"/>
      <c r="E1854" s="75">
        <f>+C1854&amp;F1854</f>
        <v/>
      </c>
      <c r="F1854" s="80" t="n"/>
      <c r="G1854" s="81" t="n"/>
      <c r="H1854" s="78" t="n"/>
      <c r="I1854" s="78" t="n"/>
      <c r="J1854" s="78" t="n"/>
    </row>
    <row r="1855">
      <c r="A1855" s="84">
        <f>ROW()-6</f>
        <v/>
      </c>
      <c r="B1855" s="85">
        <f>+MATCH(D1855,ARTICULOS!$F$10:$F$699,0)</f>
        <v/>
      </c>
      <c r="C1855" s="86">
        <f>+VLOOKUP(B1855,ARTICULOS!$D$10:$I$699,6)</f>
        <v/>
      </c>
      <c r="D1855" s="212" t="n"/>
      <c r="E1855" s="75">
        <f>+C1855&amp;F1855</f>
        <v/>
      </c>
      <c r="F1855" s="80" t="n"/>
      <c r="G1855" s="81" t="n"/>
      <c r="H1855" s="78" t="n"/>
      <c r="I1855" s="78" t="n"/>
      <c r="J1855" s="78" t="n"/>
    </row>
    <row r="1856">
      <c r="A1856" s="84">
        <f>ROW()-6</f>
        <v/>
      </c>
      <c r="B1856" s="85">
        <f>+MATCH(D1856,ARTICULOS!$F$10:$F$699,0)</f>
        <v/>
      </c>
      <c r="C1856" s="86">
        <f>+VLOOKUP(B1856,ARTICULOS!$D$10:$I$699,6)</f>
        <v/>
      </c>
      <c r="D1856" s="212" t="n"/>
      <c r="E1856" s="75">
        <f>+C1856&amp;F1856</f>
        <v/>
      </c>
      <c r="F1856" s="80" t="n"/>
      <c r="G1856" s="81" t="n"/>
      <c r="H1856" s="78" t="n"/>
      <c r="I1856" s="78" t="n"/>
      <c r="J1856" s="78" t="n"/>
    </row>
    <row r="1857">
      <c r="A1857" s="84">
        <f>ROW()-6</f>
        <v/>
      </c>
      <c r="B1857" s="85">
        <f>+MATCH(D1857,ARTICULOS!$F$10:$F$699,0)</f>
        <v/>
      </c>
      <c r="C1857" s="86">
        <f>+VLOOKUP(B1857,ARTICULOS!$D$10:$I$699,6)</f>
        <v/>
      </c>
      <c r="D1857" s="212" t="n"/>
      <c r="E1857" s="75">
        <f>+C1857&amp;F1857</f>
        <v/>
      </c>
      <c r="F1857" s="80" t="n"/>
      <c r="G1857" s="81" t="n"/>
      <c r="H1857" s="78" t="n"/>
      <c r="I1857" s="78" t="n"/>
      <c r="J1857" s="78" t="n"/>
    </row>
    <row r="1858">
      <c r="A1858" s="84">
        <f>ROW()-6</f>
        <v/>
      </c>
      <c r="B1858" s="85">
        <f>+MATCH(D1858,ARTICULOS!$F$10:$F$699,0)</f>
        <v/>
      </c>
      <c r="C1858" s="86">
        <f>+VLOOKUP(B1858,ARTICULOS!$D$10:$I$699,6)</f>
        <v/>
      </c>
      <c r="D1858" s="212" t="n"/>
      <c r="E1858" s="75">
        <f>+C1858&amp;F1858</f>
        <v/>
      </c>
      <c r="F1858" s="80" t="n"/>
      <c r="G1858" s="81" t="n"/>
      <c r="H1858" s="78" t="n"/>
      <c r="I1858" s="78" t="n"/>
      <c r="J1858" s="78" t="n"/>
    </row>
    <row r="1859">
      <c r="A1859" s="84">
        <f>ROW()-6</f>
        <v/>
      </c>
      <c r="B1859" s="85">
        <f>+MATCH(D1859,ARTICULOS!$F$10:$F$699,0)</f>
        <v/>
      </c>
      <c r="C1859" s="86">
        <f>+VLOOKUP(B1859,ARTICULOS!$D$10:$I$699,6)</f>
        <v/>
      </c>
      <c r="D1859" s="212" t="n"/>
      <c r="E1859" s="75">
        <f>+C1859&amp;F1859</f>
        <v/>
      </c>
      <c r="F1859" s="80" t="n"/>
      <c r="G1859" s="81" t="n"/>
      <c r="H1859" s="78" t="n"/>
      <c r="I1859" s="78" t="n"/>
      <c r="J1859" s="78" t="n"/>
    </row>
    <row r="1860">
      <c r="A1860" s="84">
        <f>ROW()-6</f>
        <v/>
      </c>
      <c r="B1860" s="85">
        <f>+MATCH(D1860,ARTICULOS!$F$10:$F$699,0)</f>
        <v/>
      </c>
      <c r="C1860" s="86">
        <f>+VLOOKUP(B1860,ARTICULOS!$D$10:$I$699,6)</f>
        <v/>
      </c>
      <c r="D1860" s="212" t="n"/>
      <c r="E1860" s="75">
        <f>+C1860&amp;F1860</f>
        <v/>
      </c>
      <c r="F1860" s="80" t="n"/>
      <c r="G1860" s="81" t="n"/>
      <c r="H1860" s="78" t="n"/>
      <c r="I1860" s="78" t="n"/>
      <c r="J1860" s="78" t="n"/>
    </row>
    <row r="1861">
      <c r="A1861" s="84">
        <f>ROW()-6</f>
        <v/>
      </c>
      <c r="B1861" s="85">
        <f>+MATCH(D1861,ARTICULOS!$F$10:$F$699,0)</f>
        <v/>
      </c>
      <c r="C1861" s="86">
        <f>+VLOOKUP(B1861,ARTICULOS!$D$10:$I$699,6)</f>
        <v/>
      </c>
      <c r="D1861" s="212" t="n"/>
      <c r="E1861" s="75">
        <f>+C1861&amp;F1861</f>
        <v/>
      </c>
      <c r="F1861" s="80" t="n"/>
      <c r="G1861" s="81" t="n"/>
      <c r="H1861" s="78" t="n"/>
      <c r="I1861" s="78" t="n"/>
      <c r="J1861" s="78" t="n"/>
    </row>
    <row r="1862">
      <c r="A1862" s="84">
        <f>ROW()-6</f>
        <v/>
      </c>
      <c r="B1862" s="85">
        <f>+MATCH(D1862,ARTICULOS!$F$10:$F$699,0)</f>
        <v/>
      </c>
      <c r="C1862" s="86">
        <f>+VLOOKUP(B1862,ARTICULOS!$D$10:$I$699,6)</f>
        <v/>
      </c>
      <c r="D1862" s="212" t="n"/>
      <c r="E1862" s="75">
        <f>+C1862&amp;F1862</f>
        <v/>
      </c>
      <c r="F1862" s="80" t="n"/>
      <c r="G1862" s="81" t="n"/>
      <c r="H1862" s="78" t="n"/>
      <c r="I1862" s="78" t="n"/>
      <c r="J1862" s="78" t="n"/>
    </row>
    <row r="1863">
      <c r="A1863" s="84">
        <f>ROW()-6</f>
        <v/>
      </c>
      <c r="B1863" s="85">
        <f>+MATCH(D1863,ARTICULOS!$F$10:$F$699,0)</f>
        <v/>
      </c>
      <c r="C1863" s="86">
        <f>+VLOOKUP(B1863,ARTICULOS!$D$10:$I$699,6)</f>
        <v/>
      </c>
      <c r="D1863" s="212" t="n"/>
      <c r="E1863" s="75">
        <f>+C1863&amp;F1863</f>
        <v/>
      </c>
      <c r="F1863" s="80" t="n"/>
      <c r="G1863" s="81" t="n"/>
      <c r="H1863" s="78" t="n"/>
      <c r="I1863" s="78" t="n"/>
      <c r="J1863" s="78" t="n"/>
    </row>
    <row r="1864">
      <c r="A1864" s="84">
        <f>ROW()-6</f>
        <v/>
      </c>
      <c r="B1864" s="85">
        <f>+MATCH(D1864,ARTICULOS!$F$10:$F$699,0)</f>
        <v/>
      </c>
      <c r="C1864" s="86">
        <f>+VLOOKUP(B1864,ARTICULOS!$D$10:$I$699,6)</f>
        <v/>
      </c>
      <c r="D1864" s="212" t="n"/>
      <c r="E1864" s="75">
        <f>+C1864&amp;F1864</f>
        <v/>
      </c>
      <c r="F1864" s="80" t="n"/>
      <c r="G1864" s="81" t="n"/>
      <c r="H1864" s="78" t="n"/>
      <c r="I1864" s="78" t="n"/>
      <c r="J1864" s="78" t="n"/>
    </row>
    <row r="1865">
      <c r="A1865" s="84">
        <f>ROW()-6</f>
        <v/>
      </c>
      <c r="B1865" s="85">
        <f>+MATCH(D1865,ARTICULOS!$F$10:$F$699,0)</f>
        <v/>
      </c>
      <c r="C1865" s="86">
        <f>+VLOOKUP(B1865,ARTICULOS!$D$10:$I$699,6)</f>
        <v/>
      </c>
      <c r="D1865" s="212" t="n"/>
      <c r="E1865" s="75">
        <f>+C1865&amp;F1865</f>
        <v/>
      </c>
      <c r="F1865" s="80" t="n"/>
      <c r="G1865" s="81" t="n"/>
      <c r="H1865" s="78" t="n"/>
      <c r="I1865" s="78" t="n"/>
      <c r="J1865" s="78" t="n"/>
    </row>
    <row r="1866">
      <c r="A1866" s="84">
        <f>ROW()-6</f>
        <v/>
      </c>
      <c r="B1866" s="85">
        <f>+MATCH(D1866,ARTICULOS!$F$10:$F$699,0)</f>
        <v/>
      </c>
      <c r="C1866" s="86">
        <f>+VLOOKUP(B1866,ARTICULOS!$D$10:$I$699,6)</f>
        <v/>
      </c>
      <c r="D1866" s="212" t="n"/>
      <c r="E1866" s="75">
        <f>+C1866&amp;F1866</f>
        <v/>
      </c>
      <c r="F1866" s="80" t="n"/>
      <c r="G1866" s="81" t="n"/>
      <c r="H1866" s="78" t="n"/>
      <c r="I1866" s="78" t="n"/>
      <c r="J1866" s="78" t="n"/>
    </row>
    <row r="1867">
      <c r="A1867" s="84">
        <f>ROW()-6</f>
        <v/>
      </c>
      <c r="B1867" s="85">
        <f>+MATCH(D1867,ARTICULOS!$F$10:$F$699,0)</f>
        <v/>
      </c>
      <c r="C1867" s="86">
        <f>+VLOOKUP(B1867,ARTICULOS!$D$10:$I$699,6)</f>
        <v/>
      </c>
      <c r="D1867" s="212" t="n"/>
      <c r="E1867" s="75">
        <f>+C1867&amp;F1867</f>
        <v/>
      </c>
      <c r="F1867" s="80" t="n"/>
      <c r="G1867" s="81" t="n"/>
      <c r="H1867" s="78" t="n"/>
      <c r="I1867" s="78" t="n"/>
      <c r="J1867" s="78" t="n"/>
    </row>
    <row r="1868">
      <c r="A1868" s="84">
        <f>ROW()-6</f>
        <v/>
      </c>
      <c r="B1868" s="85">
        <f>+MATCH(D1868,ARTICULOS!$F$10:$F$699,0)</f>
        <v/>
      </c>
      <c r="C1868" s="86">
        <f>+VLOOKUP(B1868,ARTICULOS!$D$10:$I$699,6)</f>
        <v/>
      </c>
      <c r="D1868" s="212" t="n"/>
      <c r="E1868" s="75">
        <f>+C1868&amp;F1868</f>
        <v/>
      </c>
      <c r="F1868" s="80" t="n"/>
      <c r="G1868" s="81" t="n"/>
      <c r="H1868" s="78" t="n"/>
      <c r="I1868" s="78" t="n"/>
      <c r="J1868" s="78" t="n"/>
    </row>
    <row r="1869">
      <c r="A1869" s="84">
        <f>ROW()-6</f>
        <v/>
      </c>
      <c r="B1869" s="85">
        <f>+MATCH(D1869,ARTICULOS!$F$10:$F$699,0)</f>
        <v/>
      </c>
      <c r="C1869" s="86">
        <f>+VLOOKUP(B1869,ARTICULOS!$D$10:$I$699,6)</f>
        <v/>
      </c>
      <c r="D1869" s="212" t="n"/>
      <c r="E1869" s="75">
        <f>+C1869&amp;F1869</f>
        <v/>
      </c>
      <c r="F1869" s="80" t="n"/>
      <c r="G1869" s="81" t="n"/>
      <c r="H1869" s="78" t="n"/>
      <c r="I1869" s="78" t="n"/>
      <c r="J1869" s="78" t="n"/>
    </row>
    <row r="1870">
      <c r="A1870" s="84">
        <f>ROW()-6</f>
        <v/>
      </c>
      <c r="B1870" s="85">
        <f>+MATCH(D1870,ARTICULOS!$F$10:$F$699,0)</f>
        <v/>
      </c>
      <c r="C1870" s="86">
        <f>+VLOOKUP(B1870,ARTICULOS!$D$10:$I$699,6)</f>
        <v/>
      </c>
      <c r="D1870" s="212" t="n"/>
      <c r="E1870" s="75">
        <f>+C1870&amp;F1870</f>
        <v/>
      </c>
      <c r="F1870" s="80" t="n"/>
      <c r="G1870" s="81" t="n"/>
      <c r="H1870" s="78" t="n"/>
      <c r="I1870" s="78" t="n"/>
      <c r="J1870" s="78" t="n"/>
    </row>
    <row r="1871">
      <c r="A1871" s="84">
        <f>ROW()-6</f>
        <v/>
      </c>
      <c r="B1871" s="85">
        <f>+MATCH(D1871,ARTICULOS!$F$10:$F$699,0)</f>
        <v/>
      </c>
      <c r="C1871" s="86">
        <f>+VLOOKUP(B1871,ARTICULOS!$D$10:$I$699,6)</f>
        <v/>
      </c>
      <c r="D1871" s="212" t="n"/>
      <c r="E1871" s="75">
        <f>+C1871&amp;F1871</f>
        <v/>
      </c>
      <c r="F1871" s="80" t="n"/>
      <c r="G1871" s="81" t="n"/>
      <c r="H1871" s="78" t="n"/>
      <c r="I1871" s="78" t="n"/>
      <c r="J1871" s="78" t="n"/>
    </row>
    <row r="1872">
      <c r="A1872" s="84">
        <f>ROW()-6</f>
        <v/>
      </c>
      <c r="B1872" s="85">
        <f>+MATCH(D1872,ARTICULOS!$F$10:$F$699,0)</f>
        <v/>
      </c>
      <c r="C1872" s="86">
        <f>+VLOOKUP(B1872,ARTICULOS!$D$10:$I$699,6)</f>
        <v/>
      </c>
      <c r="D1872" s="212" t="n"/>
      <c r="E1872" s="75">
        <f>+C1872&amp;F1872</f>
        <v/>
      </c>
      <c r="F1872" s="80" t="n"/>
      <c r="G1872" s="81" t="n"/>
      <c r="H1872" s="78" t="n"/>
      <c r="I1872" s="78" t="n"/>
      <c r="J1872" s="78" t="n"/>
    </row>
    <row r="1873">
      <c r="A1873" s="84">
        <f>ROW()-6</f>
        <v/>
      </c>
      <c r="B1873" s="85">
        <f>+MATCH(D1873,ARTICULOS!$F$10:$F$699,0)</f>
        <v/>
      </c>
      <c r="C1873" s="86">
        <f>+VLOOKUP(B1873,ARTICULOS!$D$10:$I$699,6)</f>
        <v/>
      </c>
      <c r="D1873" s="212" t="n"/>
      <c r="E1873" s="75">
        <f>+C1873&amp;F1873</f>
        <v/>
      </c>
      <c r="F1873" s="80" t="n"/>
      <c r="G1873" s="81" t="n"/>
      <c r="H1873" s="78" t="n"/>
      <c r="I1873" s="78" t="n"/>
      <c r="J1873" s="78" t="n"/>
    </row>
    <row r="1874">
      <c r="A1874" s="84">
        <f>ROW()-6</f>
        <v/>
      </c>
      <c r="B1874" s="85">
        <f>+MATCH(D1874,ARTICULOS!$F$10:$F$699,0)</f>
        <v/>
      </c>
      <c r="C1874" s="86">
        <f>+VLOOKUP(B1874,ARTICULOS!$D$10:$I$699,6)</f>
        <v/>
      </c>
      <c r="D1874" s="212" t="n"/>
      <c r="E1874" s="75">
        <f>+C1874&amp;F1874</f>
        <v/>
      </c>
      <c r="F1874" s="80" t="n"/>
      <c r="G1874" s="81" t="n"/>
      <c r="H1874" s="78" t="n"/>
      <c r="I1874" s="78" t="n"/>
      <c r="J1874" s="78" t="n"/>
    </row>
    <row r="1875">
      <c r="A1875" s="84">
        <f>ROW()-6</f>
        <v/>
      </c>
      <c r="B1875" s="85">
        <f>+MATCH(D1875,ARTICULOS!$F$10:$F$699,0)</f>
        <v/>
      </c>
      <c r="C1875" s="86">
        <f>+VLOOKUP(B1875,ARTICULOS!$D$10:$I$699,6)</f>
        <v/>
      </c>
      <c r="D1875" s="212" t="n"/>
      <c r="E1875" s="75">
        <f>+C1875&amp;F1875</f>
        <v/>
      </c>
      <c r="F1875" s="80" t="n"/>
      <c r="G1875" s="81" t="n"/>
      <c r="H1875" s="78" t="n"/>
      <c r="I1875" s="78" t="n"/>
      <c r="J1875" s="78" t="n"/>
    </row>
    <row r="1876">
      <c r="A1876" s="84">
        <f>ROW()-6</f>
        <v/>
      </c>
      <c r="B1876" s="85">
        <f>+MATCH(D1876,ARTICULOS!$F$10:$F$699,0)</f>
        <v/>
      </c>
      <c r="C1876" s="86">
        <f>+VLOOKUP(B1876,ARTICULOS!$D$10:$I$699,6)</f>
        <v/>
      </c>
      <c r="D1876" s="212" t="n"/>
      <c r="E1876" s="75">
        <f>+C1876&amp;F1876</f>
        <v/>
      </c>
      <c r="F1876" s="80" t="n"/>
      <c r="G1876" s="81" t="n"/>
      <c r="H1876" s="78" t="n"/>
      <c r="I1876" s="78" t="n"/>
      <c r="J1876" s="78" t="n"/>
    </row>
    <row r="1877">
      <c r="A1877" s="84">
        <f>ROW()-6</f>
        <v/>
      </c>
      <c r="B1877" s="85">
        <f>+MATCH(D1877,ARTICULOS!$F$10:$F$699,0)</f>
        <v/>
      </c>
      <c r="C1877" s="86">
        <f>+VLOOKUP(B1877,ARTICULOS!$D$10:$I$699,6)</f>
        <v/>
      </c>
      <c r="D1877" s="212" t="n"/>
      <c r="E1877" s="75">
        <f>+C1877&amp;F1877</f>
        <v/>
      </c>
      <c r="F1877" s="80" t="n"/>
      <c r="G1877" s="81" t="n"/>
      <c r="H1877" s="78" t="n"/>
      <c r="I1877" s="78" t="n"/>
      <c r="J1877" s="78" t="n"/>
    </row>
    <row r="1878">
      <c r="A1878" s="84">
        <f>ROW()-6</f>
        <v/>
      </c>
      <c r="B1878" s="85">
        <f>+MATCH(D1878,ARTICULOS!$F$10:$F$699,0)</f>
        <v/>
      </c>
      <c r="C1878" s="86">
        <f>+VLOOKUP(B1878,ARTICULOS!$D$10:$I$699,6)</f>
        <v/>
      </c>
      <c r="D1878" s="212" t="n"/>
      <c r="E1878" s="75">
        <f>+C1878&amp;F1878</f>
        <v/>
      </c>
      <c r="F1878" s="80" t="n"/>
      <c r="G1878" s="81" t="n"/>
      <c r="H1878" s="78" t="n"/>
      <c r="I1878" s="78" t="n"/>
      <c r="J1878" s="78" t="n"/>
    </row>
    <row r="1879">
      <c r="A1879" s="84">
        <f>ROW()-6</f>
        <v/>
      </c>
      <c r="B1879" s="85">
        <f>+MATCH(D1879,ARTICULOS!$F$10:$F$699,0)</f>
        <v/>
      </c>
      <c r="C1879" s="86">
        <f>+VLOOKUP(B1879,ARTICULOS!$D$10:$I$699,6)</f>
        <v/>
      </c>
      <c r="D1879" s="212" t="n"/>
      <c r="E1879" s="75">
        <f>+C1879&amp;F1879</f>
        <v/>
      </c>
      <c r="F1879" s="80" t="n"/>
      <c r="G1879" s="81" t="n"/>
      <c r="H1879" s="78" t="n"/>
      <c r="I1879" s="78" t="n"/>
      <c r="J1879" s="78" t="n"/>
    </row>
    <row r="1880">
      <c r="A1880" s="84">
        <f>ROW()-6</f>
        <v/>
      </c>
      <c r="B1880" s="85">
        <f>+MATCH(D1880,ARTICULOS!$F$10:$F$699,0)</f>
        <v/>
      </c>
      <c r="C1880" s="86">
        <f>+VLOOKUP(B1880,ARTICULOS!$D$10:$I$699,6)</f>
        <v/>
      </c>
      <c r="D1880" s="212" t="n"/>
      <c r="E1880" s="75">
        <f>+C1880&amp;F1880</f>
        <v/>
      </c>
      <c r="F1880" s="80" t="n"/>
      <c r="G1880" s="81" t="n"/>
      <c r="H1880" s="78" t="n"/>
      <c r="I1880" s="78" t="n"/>
      <c r="J1880" s="78" t="n"/>
    </row>
    <row r="1881">
      <c r="A1881" s="84">
        <f>ROW()-6</f>
        <v/>
      </c>
      <c r="B1881" s="85">
        <f>+MATCH(D1881,ARTICULOS!$F$10:$F$699,0)</f>
        <v/>
      </c>
      <c r="C1881" s="86">
        <f>+VLOOKUP(B1881,ARTICULOS!$D$10:$I$699,6)</f>
        <v/>
      </c>
      <c r="D1881" s="212" t="n"/>
      <c r="E1881" s="75">
        <f>+C1881&amp;F1881</f>
        <v/>
      </c>
      <c r="F1881" s="80" t="n"/>
      <c r="G1881" s="81" t="n"/>
      <c r="H1881" s="78" t="n"/>
      <c r="I1881" s="78" t="n"/>
      <c r="J1881" s="78" t="n"/>
    </row>
    <row r="1882">
      <c r="A1882" s="84">
        <f>ROW()-6</f>
        <v/>
      </c>
      <c r="B1882" s="85">
        <f>+MATCH(D1882,ARTICULOS!$F$10:$F$699,0)</f>
        <v/>
      </c>
      <c r="C1882" s="86">
        <f>+VLOOKUP(B1882,ARTICULOS!$D$10:$I$699,6)</f>
        <v/>
      </c>
      <c r="D1882" s="212" t="n"/>
      <c r="E1882" s="75">
        <f>+C1882&amp;F1882</f>
        <v/>
      </c>
      <c r="F1882" s="80" t="n"/>
      <c r="G1882" s="81" t="n"/>
      <c r="H1882" s="78" t="n"/>
      <c r="I1882" s="78" t="n"/>
      <c r="J1882" s="78" t="n"/>
    </row>
    <row r="1883">
      <c r="A1883" s="84">
        <f>ROW()-6</f>
        <v/>
      </c>
      <c r="B1883" s="85">
        <f>+MATCH(D1883,ARTICULOS!$F$10:$F$699,0)</f>
        <v/>
      </c>
      <c r="C1883" s="86">
        <f>+VLOOKUP(B1883,ARTICULOS!$D$10:$I$699,6)</f>
        <v/>
      </c>
      <c r="D1883" s="212" t="n"/>
      <c r="E1883" s="75">
        <f>+C1883&amp;F1883</f>
        <v/>
      </c>
      <c r="F1883" s="80" t="n"/>
      <c r="G1883" s="81" t="n"/>
      <c r="H1883" s="78" t="n"/>
      <c r="I1883" s="78" t="n"/>
      <c r="J1883" s="78" t="n"/>
    </row>
    <row r="1884">
      <c r="A1884" s="84">
        <f>ROW()-6</f>
        <v/>
      </c>
      <c r="B1884" s="85">
        <f>+MATCH(D1884,ARTICULOS!$F$10:$F$699,0)</f>
        <v/>
      </c>
      <c r="C1884" s="86">
        <f>+VLOOKUP(B1884,ARTICULOS!$D$10:$I$699,6)</f>
        <v/>
      </c>
      <c r="D1884" s="212" t="n"/>
      <c r="E1884" s="75">
        <f>+C1884&amp;F1884</f>
        <v/>
      </c>
      <c r="F1884" s="80" t="n"/>
      <c r="G1884" s="81" t="n"/>
      <c r="H1884" s="78" t="n"/>
      <c r="I1884" s="78" t="n"/>
      <c r="J1884" s="78" t="n"/>
    </row>
    <row r="1885">
      <c r="A1885" s="84">
        <f>ROW()-6</f>
        <v/>
      </c>
      <c r="B1885" s="85">
        <f>+MATCH(D1885,ARTICULOS!$F$10:$F$699,0)</f>
        <v/>
      </c>
      <c r="C1885" s="86">
        <f>+VLOOKUP(B1885,ARTICULOS!$D$10:$I$699,6)</f>
        <v/>
      </c>
      <c r="D1885" s="212" t="n"/>
      <c r="E1885" s="75">
        <f>+C1885&amp;F1885</f>
        <v/>
      </c>
      <c r="F1885" s="80" t="n"/>
      <c r="G1885" s="81" t="n"/>
      <c r="H1885" s="78" t="n"/>
      <c r="I1885" s="78" t="n"/>
      <c r="J1885" s="78" t="n"/>
    </row>
    <row r="1886">
      <c r="A1886" s="84">
        <f>ROW()-6</f>
        <v/>
      </c>
      <c r="B1886" s="85">
        <f>+MATCH(D1886,ARTICULOS!$F$10:$F$699,0)</f>
        <v/>
      </c>
      <c r="C1886" s="86">
        <f>+VLOOKUP(B1886,ARTICULOS!$D$10:$I$699,6)</f>
        <v/>
      </c>
      <c r="D1886" s="212" t="n"/>
      <c r="E1886" s="75">
        <f>+C1886&amp;F1886</f>
        <v/>
      </c>
      <c r="F1886" s="80" t="n"/>
      <c r="G1886" s="81" t="n"/>
      <c r="H1886" s="78" t="n"/>
      <c r="I1886" s="78" t="n"/>
      <c r="J1886" s="78" t="n"/>
    </row>
    <row r="1887">
      <c r="A1887" s="84">
        <f>ROW()-6</f>
        <v/>
      </c>
      <c r="B1887" s="85">
        <f>+MATCH(D1887,ARTICULOS!$F$10:$F$699,0)</f>
        <v/>
      </c>
      <c r="C1887" s="86">
        <f>+VLOOKUP(B1887,ARTICULOS!$D$10:$I$699,6)</f>
        <v/>
      </c>
      <c r="D1887" s="212" t="n"/>
      <c r="E1887" s="75">
        <f>+C1887&amp;F1887</f>
        <v/>
      </c>
      <c r="F1887" s="80" t="n"/>
      <c r="G1887" s="81" t="n"/>
      <c r="H1887" s="78" t="n"/>
      <c r="I1887" s="78" t="n"/>
      <c r="J1887" s="78" t="n"/>
    </row>
    <row r="1888">
      <c r="A1888" s="84">
        <f>ROW()-6</f>
        <v/>
      </c>
      <c r="B1888" s="85">
        <f>+MATCH(D1888,ARTICULOS!$F$10:$F$699,0)</f>
        <v/>
      </c>
      <c r="C1888" s="86">
        <f>+VLOOKUP(B1888,ARTICULOS!$D$10:$I$699,6)</f>
        <v/>
      </c>
      <c r="D1888" s="212" t="n"/>
      <c r="E1888" s="75">
        <f>+C1888&amp;F1888</f>
        <v/>
      </c>
      <c r="F1888" s="80" t="n"/>
      <c r="G1888" s="81" t="n"/>
      <c r="H1888" s="78" t="n"/>
      <c r="I1888" s="78" t="n"/>
      <c r="J1888" s="78" t="n"/>
    </row>
    <row r="1889">
      <c r="A1889" s="84">
        <f>ROW()-6</f>
        <v/>
      </c>
      <c r="B1889" s="85">
        <f>+MATCH(D1889,ARTICULOS!$F$10:$F$699,0)</f>
        <v/>
      </c>
      <c r="C1889" s="86">
        <f>+VLOOKUP(B1889,ARTICULOS!$D$10:$I$699,6)</f>
        <v/>
      </c>
      <c r="D1889" s="212" t="n"/>
      <c r="E1889" s="75">
        <f>+C1889&amp;F1889</f>
        <v/>
      </c>
      <c r="F1889" s="80" t="n"/>
      <c r="G1889" s="81" t="n"/>
      <c r="H1889" s="78" t="n"/>
      <c r="I1889" s="78" t="n"/>
      <c r="J1889" s="78" t="n"/>
    </row>
    <row r="1890">
      <c r="A1890" s="84">
        <f>ROW()-6</f>
        <v/>
      </c>
      <c r="B1890" s="85">
        <f>+MATCH(D1890,ARTICULOS!$F$10:$F$699,0)</f>
        <v/>
      </c>
      <c r="C1890" s="86">
        <f>+VLOOKUP(B1890,ARTICULOS!$D$10:$I$699,6)</f>
        <v/>
      </c>
      <c r="D1890" s="212" t="n"/>
      <c r="E1890" s="75">
        <f>+C1890&amp;F1890</f>
        <v/>
      </c>
      <c r="F1890" s="80" t="n"/>
      <c r="G1890" s="81" t="n"/>
      <c r="H1890" s="78" t="n"/>
      <c r="I1890" s="78" t="n"/>
      <c r="J1890" s="78" t="n"/>
    </row>
    <row r="1891">
      <c r="A1891" s="84">
        <f>ROW()-6</f>
        <v/>
      </c>
      <c r="B1891" s="85">
        <f>+MATCH(D1891,ARTICULOS!$F$10:$F$699,0)</f>
        <v/>
      </c>
      <c r="C1891" s="86">
        <f>+VLOOKUP(B1891,ARTICULOS!$D$10:$I$699,6)</f>
        <v/>
      </c>
      <c r="D1891" s="212" t="n"/>
      <c r="E1891" s="75">
        <f>+C1891&amp;F1891</f>
        <v/>
      </c>
      <c r="F1891" s="80" t="n"/>
      <c r="G1891" s="81" t="n"/>
      <c r="H1891" s="78" t="n"/>
      <c r="I1891" s="78" t="n"/>
      <c r="J1891" s="78" t="n"/>
    </row>
    <row r="1892">
      <c r="A1892" s="84">
        <f>ROW()-6</f>
        <v/>
      </c>
      <c r="B1892" s="85">
        <f>+MATCH(D1892,ARTICULOS!$F$10:$F$699,0)</f>
        <v/>
      </c>
      <c r="C1892" s="86">
        <f>+VLOOKUP(B1892,ARTICULOS!$D$10:$I$699,6)</f>
        <v/>
      </c>
      <c r="D1892" s="212" t="n"/>
      <c r="E1892" s="75">
        <f>+C1892&amp;F1892</f>
        <v/>
      </c>
      <c r="F1892" s="80" t="n"/>
      <c r="G1892" s="81" t="n"/>
      <c r="H1892" s="78" t="n"/>
      <c r="I1892" s="78" t="n"/>
      <c r="J1892" s="78" t="n"/>
    </row>
    <row r="1893">
      <c r="A1893" s="84">
        <f>ROW()-6</f>
        <v/>
      </c>
      <c r="B1893" s="85">
        <f>+MATCH(D1893,ARTICULOS!$F$10:$F$699,0)</f>
        <v/>
      </c>
      <c r="C1893" s="86">
        <f>+VLOOKUP(B1893,ARTICULOS!$D$10:$I$699,6)</f>
        <v/>
      </c>
      <c r="D1893" s="212" t="n"/>
      <c r="E1893" s="75">
        <f>+C1893&amp;F1893</f>
        <v/>
      </c>
      <c r="F1893" s="80" t="n"/>
      <c r="G1893" s="81" t="n"/>
      <c r="H1893" s="78" t="n"/>
      <c r="I1893" s="78" t="n"/>
      <c r="J1893" s="78" t="n"/>
    </row>
    <row r="1894">
      <c r="A1894" s="84">
        <f>ROW()-6</f>
        <v/>
      </c>
      <c r="B1894" s="85">
        <f>+MATCH(D1894,ARTICULOS!$F$10:$F$699,0)</f>
        <v/>
      </c>
      <c r="C1894" s="86">
        <f>+VLOOKUP(B1894,ARTICULOS!$D$10:$I$699,6)</f>
        <v/>
      </c>
      <c r="D1894" s="212" t="n"/>
      <c r="E1894" s="75">
        <f>+C1894&amp;F1894</f>
        <v/>
      </c>
      <c r="F1894" s="80" t="n"/>
      <c r="G1894" s="81" t="n"/>
      <c r="H1894" s="78" t="n"/>
      <c r="I1894" s="78" t="n"/>
      <c r="J1894" s="78" t="n"/>
    </row>
    <row r="1895">
      <c r="A1895" s="84">
        <f>ROW()-6</f>
        <v/>
      </c>
      <c r="B1895" s="85">
        <f>+MATCH(D1895,ARTICULOS!$F$10:$F$699,0)</f>
        <v/>
      </c>
      <c r="C1895" s="86">
        <f>+VLOOKUP(B1895,ARTICULOS!$D$10:$I$699,6)</f>
        <v/>
      </c>
      <c r="D1895" s="212" t="n"/>
      <c r="E1895" s="75">
        <f>+C1895&amp;F1895</f>
        <v/>
      </c>
      <c r="F1895" s="80" t="n"/>
      <c r="G1895" s="81" t="n"/>
      <c r="H1895" s="78" t="n"/>
      <c r="I1895" s="78" t="n"/>
      <c r="J1895" s="78" t="n"/>
    </row>
    <row r="1896">
      <c r="A1896" s="84">
        <f>ROW()-6</f>
        <v/>
      </c>
      <c r="B1896" s="85">
        <f>+MATCH(D1896,ARTICULOS!$F$10:$F$699,0)</f>
        <v/>
      </c>
      <c r="C1896" s="86">
        <f>+VLOOKUP(B1896,ARTICULOS!$D$10:$I$699,6)</f>
        <v/>
      </c>
      <c r="D1896" s="212" t="n"/>
      <c r="E1896" s="75">
        <f>+C1896&amp;F1896</f>
        <v/>
      </c>
      <c r="F1896" s="80" t="n"/>
      <c r="G1896" s="81" t="n"/>
      <c r="H1896" s="78" t="n"/>
      <c r="I1896" s="78" t="n"/>
      <c r="J1896" s="78" t="n"/>
    </row>
    <row r="1897">
      <c r="A1897" s="84">
        <f>ROW()-6</f>
        <v/>
      </c>
      <c r="B1897" s="85">
        <f>+MATCH(D1897,ARTICULOS!$F$10:$F$699,0)</f>
        <v/>
      </c>
      <c r="C1897" s="86">
        <f>+VLOOKUP(B1897,ARTICULOS!$D$10:$I$699,6)</f>
        <v/>
      </c>
      <c r="D1897" s="212" t="n"/>
      <c r="E1897" s="75">
        <f>+C1897&amp;F1897</f>
        <v/>
      </c>
      <c r="F1897" s="80" t="n"/>
      <c r="G1897" s="81" t="n"/>
      <c r="H1897" s="78" t="n"/>
      <c r="I1897" s="78" t="n"/>
      <c r="J1897" s="78" t="n"/>
    </row>
    <row r="1898">
      <c r="A1898" s="84">
        <f>ROW()-6</f>
        <v/>
      </c>
      <c r="B1898" s="85">
        <f>+MATCH(D1898,ARTICULOS!$F$10:$F$699,0)</f>
        <v/>
      </c>
      <c r="C1898" s="86">
        <f>+VLOOKUP(B1898,ARTICULOS!$D$10:$I$699,6)</f>
        <v/>
      </c>
      <c r="D1898" s="212" t="n"/>
      <c r="E1898" s="75">
        <f>+C1898&amp;F1898</f>
        <v/>
      </c>
      <c r="F1898" s="80" t="n"/>
      <c r="G1898" s="81" t="n"/>
      <c r="H1898" s="78" t="n"/>
      <c r="I1898" s="78" t="n"/>
      <c r="J1898" s="78" t="n"/>
    </row>
    <row r="1899">
      <c r="A1899" s="84">
        <f>ROW()-6</f>
        <v/>
      </c>
      <c r="B1899" s="85">
        <f>+MATCH(D1899,ARTICULOS!$F$10:$F$699,0)</f>
        <v/>
      </c>
      <c r="C1899" s="86">
        <f>+VLOOKUP(B1899,ARTICULOS!$D$10:$I$699,6)</f>
        <v/>
      </c>
      <c r="D1899" s="212" t="n"/>
      <c r="E1899" s="75">
        <f>+C1899&amp;F1899</f>
        <v/>
      </c>
      <c r="F1899" s="80" t="n"/>
      <c r="G1899" s="81" t="n"/>
      <c r="H1899" s="78" t="n"/>
      <c r="I1899" s="78" t="n"/>
      <c r="J1899" s="78" t="n"/>
    </row>
    <row r="1900">
      <c r="A1900" s="84">
        <f>ROW()-6</f>
        <v/>
      </c>
      <c r="B1900" s="85">
        <f>+MATCH(D1900,ARTICULOS!$F$10:$F$699,0)</f>
        <v/>
      </c>
      <c r="C1900" s="86">
        <f>+VLOOKUP(B1900,ARTICULOS!$D$10:$I$699,6)</f>
        <v/>
      </c>
      <c r="D1900" s="212" t="n"/>
      <c r="E1900" s="75">
        <f>+C1900&amp;F1900</f>
        <v/>
      </c>
      <c r="F1900" s="80" t="n"/>
      <c r="G1900" s="81" t="n"/>
      <c r="H1900" s="78" t="n"/>
      <c r="I1900" s="78" t="n"/>
      <c r="J1900" s="78" t="n"/>
    </row>
    <row r="1901">
      <c r="A1901" s="84">
        <f>ROW()-6</f>
        <v/>
      </c>
      <c r="B1901" s="85">
        <f>+MATCH(D1901,ARTICULOS!$F$10:$F$699,0)</f>
        <v/>
      </c>
      <c r="C1901" s="86">
        <f>+VLOOKUP(B1901,ARTICULOS!$D$10:$I$699,6)</f>
        <v/>
      </c>
      <c r="D1901" s="212" t="n"/>
      <c r="E1901" s="75">
        <f>+C1901&amp;F1901</f>
        <v/>
      </c>
      <c r="F1901" s="80" t="n"/>
      <c r="G1901" s="81" t="n"/>
      <c r="H1901" s="78" t="n"/>
      <c r="I1901" s="78" t="n"/>
      <c r="J1901" s="78" t="n"/>
    </row>
    <row r="1902">
      <c r="A1902" s="84">
        <f>ROW()-6</f>
        <v/>
      </c>
      <c r="B1902" s="85">
        <f>+MATCH(D1902,ARTICULOS!$F$10:$F$699,0)</f>
        <v/>
      </c>
      <c r="C1902" s="86">
        <f>+VLOOKUP(B1902,ARTICULOS!$D$10:$I$699,6)</f>
        <v/>
      </c>
      <c r="D1902" s="212" t="n"/>
      <c r="E1902" s="75">
        <f>+C1902&amp;F1902</f>
        <v/>
      </c>
      <c r="F1902" s="80" t="n"/>
      <c r="G1902" s="81" t="n"/>
      <c r="H1902" s="78" t="n"/>
      <c r="I1902" s="78" t="n"/>
      <c r="J1902" s="78" t="n"/>
    </row>
    <row r="1903">
      <c r="A1903" s="84">
        <f>ROW()-6</f>
        <v/>
      </c>
      <c r="B1903" s="85">
        <f>+MATCH(D1903,ARTICULOS!$F$10:$F$699,0)</f>
        <v/>
      </c>
      <c r="C1903" s="86">
        <f>+VLOOKUP(B1903,ARTICULOS!$D$10:$I$699,6)</f>
        <v/>
      </c>
      <c r="D1903" s="212" t="n"/>
      <c r="E1903" s="75">
        <f>+C1903&amp;F1903</f>
        <v/>
      </c>
      <c r="F1903" s="80" t="n"/>
      <c r="G1903" s="81" t="n"/>
      <c r="H1903" s="78" t="n"/>
      <c r="I1903" s="78" t="n"/>
      <c r="J1903" s="78" t="n"/>
    </row>
    <row r="1904">
      <c r="A1904" s="84">
        <f>ROW()-6</f>
        <v/>
      </c>
      <c r="B1904" s="85">
        <f>+MATCH(D1904,ARTICULOS!$F$10:$F$699,0)</f>
        <v/>
      </c>
      <c r="C1904" s="86">
        <f>+VLOOKUP(B1904,ARTICULOS!$D$10:$I$699,6)</f>
        <v/>
      </c>
      <c r="D1904" s="212" t="n"/>
      <c r="E1904" s="75">
        <f>+C1904&amp;F1904</f>
        <v/>
      </c>
      <c r="F1904" s="80" t="n"/>
      <c r="G1904" s="81" t="n"/>
      <c r="H1904" s="78" t="n"/>
      <c r="I1904" s="78" t="n"/>
      <c r="J1904" s="78" t="n"/>
    </row>
    <row r="1905">
      <c r="A1905" s="84">
        <f>ROW()-6</f>
        <v/>
      </c>
      <c r="B1905" s="85">
        <f>+MATCH(D1905,ARTICULOS!$F$10:$F$699,0)</f>
        <v/>
      </c>
      <c r="C1905" s="86">
        <f>+VLOOKUP(B1905,ARTICULOS!$D$10:$I$699,6)</f>
        <v/>
      </c>
      <c r="D1905" s="212" t="n"/>
      <c r="E1905" s="75">
        <f>+C1905&amp;F1905</f>
        <v/>
      </c>
      <c r="F1905" s="80" t="n"/>
      <c r="G1905" s="81" t="n"/>
      <c r="H1905" s="78" t="n"/>
      <c r="I1905" s="78" t="n"/>
      <c r="J1905" s="78" t="n"/>
    </row>
    <row r="1906">
      <c r="A1906" s="84">
        <f>ROW()-6</f>
        <v/>
      </c>
      <c r="B1906" s="85">
        <f>+MATCH(D1906,ARTICULOS!$F$10:$F$699,0)</f>
        <v/>
      </c>
      <c r="C1906" s="86">
        <f>+VLOOKUP(B1906,ARTICULOS!$D$10:$I$699,6)</f>
        <v/>
      </c>
      <c r="D1906" s="212" t="n"/>
      <c r="E1906" s="75">
        <f>+C1906&amp;F1906</f>
        <v/>
      </c>
      <c r="F1906" s="80" t="n"/>
      <c r="G1906" s="81" t="n"/>
      <c r="H1906" s="78" t="n"/>
      <c r="I1906" s="78" t="n"/>
      <c r="J1906" s="78" t="n"/>
    </row>
    <row r="1907">
      <c r="A1907" s="84">
        <f>ROW()-6</f>
        <v/>
      </c>
      <c r="B1907" s="85">
        <f>+MATCH(D1907,ARTICULOS!$F$10:$F$699,0)</f>
        <v/>
      </c>
      <c r="C1907" s="86">
        <f>+VLOOKUP(B1907,ARTICULOS!$D$10:$I$699,6)</f>
        <v/>
      </c>
      <c r="D1907" s="212" t="n"/>
      <c r="E1907" s="75">
        <f>+C1907&amp;F1907</f>
        <v/>
      </c>
      <c r="F1907" s="80" t="n"/>
      <c r="G1907" s="81" t="n"/>
      <c r="H1907" s="78" t="n"/>
      <c r="I1907" s="78" t="n"/>
      <c r="J1907" s="78" t="n"/>
    </row>
    <row r="1908">
      <c r="A1908" s="84">
        <f>ROW()-6</f>
        <v/>
      </c>
      <c r="B1908" s="85">
        <f>+MATCH(D1908,ARTICULOS!$F$10:$F$699,0)</f>
        <v/>
      </c>
      <c r="C1908" s="86">
        <f>+VLOOKUP(B1908,ARTICULOS!$D$10:$I$699,6)</f>
        <v/>
      </c>
      <c r="D1908" s="212" t="n"/>
      <c r="E1908" s="75">
        <f>+C1908&amp;F1908</f>
        <v/>
      </c>
      <c r="F1908" s="80" t="n"/>
      <c r="G1908" s="81" t="n"/>
      <c r="H1908" s="78" t="n"/>
      <c r="I1908" s="78" t="n"/>
      <c r="J1908" s="78" t="n"/>
    </row>
    <row r="1909">
      <c r="A1909" s="84">
        <f>ROW()-6</f>
        <v/>
      </c>
      <c r="B1909" s="85">
        <f>+MATCH(D1909,ARTICULOS!$F$10:$F$699,0)</f>
        <v/>
      </c>
      <c r="C1909" s="86">
        <f>+VLOOKUP(B1909,ARTICULOS!$D$10:$I$699,6)</f>
        <v/>
      </c>
      <c r="D1909" s="212" t="n"/>
      <c r="E1909" s="75">
        <f>+C1909&amp;F1909</f>
        <v/>
      </c>
      <c r="F1909" s="80" t="n"/>
      <c r="G1909" s="81" t="n"/>
      <c r="H1909" s="78" t="n"/>
      <c r="I1909" s="78" t="n"/>
      <c r="J1909" s="78" t="n"/>
    </row>
    <row r="1910">
      <c r="A1910" s="84">
        <f>ROW()-6</f>
        <v/>
      </c>
      <c r="B1910" s="85">
        <f>+MATCH(D1910,ARTICULOS!$F$10:$F$699,0)</f>
        <v/>
      </c>
      <c r="C1910" s="86">
        <f>+VLOOKUP(B1910,ARTICULOS!$D$10:$I$699,6)</f>
        <v/>
      </c>
      <c r="D1910" s="212" t="n"/>
      <c r="E1910" s="75">
        <f>+C1910&amp;F1910</f>
        <v/>
      </c>
      <c r="F1910" s="80" t="n"/>
      <c r="G1910" s="81" t="n"/>
      <c r="H1910" s="78" t="n"/>
      <c r="I1910" s="78" t="n"/>
      <c r="J1910" s="78" t="n"/>
    </row>
    <row r="1911">
      <c r="A1911" s="84">
        <f>ROW()-6</f>
        <v/>
      </c>
      <c r="B1911" s="85">
        <f>+MATCH(D1911,ARTICULOS!$F$10:$F$699,0)</f>
        <v/>
      </c>
      <c r="C1911" s="86">
        <f>+VLOOKUP(B1911,ARTICULOS!$D$10:$I$699,6)</f>
        <v/>
      </c>
      <c r="D1911" s="212" t="n"/>
      <c r="E1911" s="75">
        <f>+C1911&amp;F1911</f>
        <v/>
      </c>
      <c r="F1911" s="80" t="n"/>
      <c r="G1911" s="81" t="n"/>
      <c r="H1911" s="78" t="n"/>
      <c r="I1911" s="78" t="n"/>
      <c r="J1911" s="78" t="n"/>
    </row>
    <row r="1912">
      <c r="A1912" s="84">
        <f>ROW()-6</f>
        <v/>
      </c>
      <c r="B1912" s="85">
        <f>+MATCH(D1912,ARTICULOS!$F$10:$F$699,0)</f>
        <v/>
      </c>
      <c r="C1912" s="86">
        <f>+VLOOKUP(B1912,ARTICULOS!$D$10:$I$699,6)</f>
        <v/>
      </c>
      <c r="D1912" s="212" t="n"/>
      <c r="E1912" s="75">
        <f>+C1912&amp;F1912</f>
        <v/>
      </c>
      <c r="F1912" s="80" t="n"/>
      <c r="G1912" s="81" t="n"/>
      <c r="H1912" s="78" t="n"/>
      <c r="I1912" s="78" t="n"/>
      <c r="J1912" s="78" t="n"/>
    </row>
    <row r="1913">
      <c r="A1913" s="84">
        <f>ROW()-6</f>
        <v/>
      </c>
      <c r="B1913" s="85">
        <f>+MATCH(D1913,ARTICULOS!$F$10:$F$699,0)</f>
        <v/>
      </c>
      <c r="C1913" s="86">
        <f>+VLOOKUP(B1913,ARTICULOS!$D$10:$I$699,6)</f>
        <v/>
      </c>
      <c r="D1913" s="212" t="n"/>
      <c r="E1913" s="75">
        <f>+C1913&amp;F1913</f>
        <v/>
      </c>
      <c r="F1913" s="80" t="n"/>
      <c r="G1913" s="81" t="n"/>
      <c r="H1913" s="78" t="n"/>
      <c r="I1913" s="78" t="n"/>
      <c r="J1913" s="78" t="n"/>
    </row>
    <row r="1914">
      <c r="A1914" s="84">
        <f>ROW()-6</f>
        <v/>
      </c>
      <c r="B1914" s="85">
        <f>+MATCH(D1914,ARTICULOS!$F$10:$F$699,0)</f>
        <v/>
      </c>
      <c r="C1914" s="86">
        <f>+VLOOKUP(B1914,ARTICULOS!$D$10:$I$699,6)</f>
        <v/>
      </c>
      <c r="D1914" s="212" t="n"/>
      <c r="E1914" s="75">
        <f>+C1914&amp;F1914</f>
        <v/>
      </c>
      <c r="F1914" s="80" t="n"/>
      <c r="G1914" s="81" t="n"/>
      <c r="H1914" s="78" t="n"/>
      <c r="I1914" s="78" t="n"/>
      <c r="J1914" s="78" t="n"/>
    </row>
    <row r="1915">
      <c r="A1915" s="84">
        <f>ROW()-6</f>
        <v/>
      </c>
      <c r="B1915" s="85">
        <f>+MATCH(D1915,ARTICULOS!$F$10:$F$699,0)</f>
        <v/>
      </c>
      <c r="C1915" s="86">
        <f>+VLOOKUP(B1915,ARTICULOS!$D$10:$I$699,6)</f>
        <v/>
      </c>
      <c r="D1915" s="212" t="n"/>
      <c r="E1915" s="75">
        <f>+C1915&amp;F1915</f>
        <v/>
      </c>
      <c r="F1915" s="80" t="n"/>
      <c r="G1915" s="81" t="n"/>
      <c r="H1915" s="78" t="n"/>
      <c r="I1915" s="78" t="n"/>
      <c r="J1915" s="78" t="n"/>
    </row>
    <row r="1916">
      <c r="A1916" s="84">
        <f>ROW()-6</f>
        <v/>
      </c>
      <c r="B1916" s="85">
        <f>+MATCH(D1916,ARTICULOS!$F$10:$F$699,0)</f>
        <v/>
      </c>
      <c r="C1916" s="86">
        <f>+VLOOKUP(B1916,ARTICULOS!$D$10:$I$699,6)</f>
        <v/>
      </c>
      <c r="D1916" s="212" t="n"/>
      <c r="E1916" s="75">
        <f>+C1916&amp;F1916</f>
        <v/>
      </c>
      <c r="F1916" s="80" t="n"/>
      <c r="G1916" s="81" t="n"/>
      <c r="H1916" s="78" t="n"/>
      <c r="I1916" s="78" t="n"/>
      <c r="J1916" s="78" t="n"/>
    </row>
    <row r="1917">
      <c r="A1917" s="84">
        <f>ROW()-6</f>
        <v/>
      </c>
      <c r="B1917" s="85">
        <f>+MATCH(D1917,ARTICULOS!$F$10:$F$699,0)</f>
        <v/>
      </c>
      <c r="C1917" s="86">
        <f>+VLOOKUP(B1917,ARTICULOS!$D$10:$I$699,6)</f>
        <v/>
      </c>
      <c r="D1917" s="212" t="n"/>
      <c r="E1917" s="75">
        <f>+C1917&amp;F1917</f>
        <v/>
      </c>
      <c r="F1917" s="80" t="n"/>
      <c r="G1917" s="81" t="n"/>
      <c r="H1917" s="78" t="n"/>
      <c r="I1917" s="78" t="n"/>
      <c r="J1917" s="78" t="n"/>
    </row>
    <row r="1918">
      <c r="A1918" s="84">
        <f>ROW()-6</f>
        <v/>
      </c>
      <c r="B1918" s="85">
        <f>+MATCH(D1918,ARTICULOS!$F$10:$F$699,0)</f>
        <v/>
      </c>
      <c r="C1918" s="86">
        <f>+VLOOKUP(B1918,ARTICULOS!$D$10:$I$699,6)</f>
        <v/>
      </c>
      <c r="D1918" s="212" t="n"/>
      <c r="E1918" s="75">
        <f>+C1918&amp;F1918</f>
        <v/>
      </c>
      <c r="F1918" s="80" t="n"/>
      <c r="G1918" s="81" t="n"/>
      <c r="H1918" s="78" t="n"/>
      <c r="I1918" s="78" t="n"/>
      <c r="J1918" s="78" t="n"/>
    </row>
    <row r="1919">
      <c r="A1919" s="84">
        <f>ROW()-6</f>
        <v/>
      </c>
      <c r="B1919" s="85">
        <f>+MATCH(D1919,ARTICULOS!$F$10:$F$699,0)</f>
        <v/>
      </c>
      <c r="C1919" s="86">
        <f>+VLOOKUP(B1919,ARTICULOS!$D$10:$I$699,6)</f>
        <v/>
      </c>
      <c r="D1919" s="212" t="n"/>
      <c r="E1919" s="75">
        <f>+C1919&amp;F1919</f>
        <v/>
      </c>
      <c r="F1919" s="80" t="n"/>
      <c r="G1919" s="81" t="n"/>
      <c r="H1919" s="78" t="n"/>
      <c r="I1919" s="78" t="n"/>
      <c r="J1919" s="78" t="n"/>
    </row>
    <row r="1920">
      <c r="A1920" s="84">
        <f>ROW()-6</f>
        <v/>
      </c>
      <c r="B1920" s="85">
        <f>+MATCH(D1920,ARTICULOS!$F$10:$F$699,0)</f>
        <v/>
      </c>
      <c r="C1920" s="86">
        <f>+VLOOKUP(B1920,ARTICULOS!$D$10:$I$699,6)</f>
        <v/>
      </c>
      <c r="D1920" s="212" t="n"/>
      <c r="E1920" s="75">
        <f>+C1920&amp;F1920</f>
        <v/>
      </c>
      <c r="F1920" s="80" t="n"/>
      <c r="G1920" s="81" t="n"/>
      <c r="H1920" s="78" t="n"/>
      <c r="I1920" s="78" t="n"/>
      <c r="J1920" s="78" t="n"/>
    </row>
    <row r="1921">
      <c r="A1921" s="84">
        <f>ROW()-6</f>
        <v/>
      </c>
      <c r="B1921" s="85">
        <f>+MATCH(D1921,ARTICULOS!$F$10:$F$699,0)</f>
        <v/>
      </c>
      <c r="C1921" s="86">
        <f>+VLOOKUP(B1921,ARTICULOS!$D$10:$I$699,6)</f>
        <v/>
      </c>
      <c r="D1921" s="212" t="n"/>
      <c r="E1921" s="75">
        <f>+C1921&amp;F1921</f>
        <v/>
      </c>
      <c r="F1921" s="80" t="n"/>
      <c r="G1921" s="81" t="n"/>
      <c r="H1921" s="78" t="n"/>
      <c r="I1921" s="78" t="n"/>
      <c r="J1921" s="78" t="n"/>
    </row>
    <row r="1922">
      <c r="A1922" s="84">
        <f>ROW()-6</f>
        <v/>
      </c>
      <c r="B1922" s="85">
        <f>+MATCH(D1922,ARTICULOS!$F$10:$F$699,0)</f>
        <v/>
      </c>
      <c r="C1922" s="86">
        <f>+VLOOKUP(B1922,ARTICULOS!$D$10:$I$699,6)</f>
        <v/>
      </c>
      <c r="D1922" s="212" t="n"/>
      <c r="E1922" s="75">
        <f>+C1922&amp;F1922</f>
        <v/>
      </c>
      <c r="F1922" s="80" t="n"/>
      <c r="G1922" s="81" t="n"/>
      <c r="H1922" s="78" t="n"/>
      <c r="I1922" s="78" t="n"/>
      <c r="J1922" s="78" t="n"/>
    </row>
    <row r="1923">
      <c r="A1923" s="84">
        <f>ROW()-6</f>
        <v/>
      </c>
      <c r="B1923" s="85">
        <f>+MATCH(D1923,ARTICULOS!$F$10:$F$699,0)</f>
        <v/>
      </c>
      <c r="C1923" s="86">
        <f>+VLOOKUP(B1923,ARTICULOS!$D$10:$I$699,6)</f>
        <v/>
      </c>
      <c r="D1923" s="212" t="n"/>
      <c r="E1923" s="75">
        <f>+C1923&amp;F1923</f>
        <v/>
      </c>
      <c r="F1923" s="80" t="n"/>
      <c r="G1923" s="81" t="n"/>
      <c r="H1923" s="78" t="n"/>
      <c r="I1923" s="78" t="n"/>
      <c r="J1923" s="78" t="n"/>
    </row>
    <row r="1924">
      <c r="A1924" s="84">
        <f>ROW()-6</f>
        <v/>
      </c>
      <c r="B1924" s="85">
        <f>+MATCH(D1924,ARTICULOS!$F$10:$F$699,0)</f>
        <v/>
      </c>
      <c r="C1924" s="86">
        <f>+VLOOKUP(B1924,ARTICULOS!$D$10:$I$699,6)</f>
        <v/>
      </c>
      <c r="D1924" s="212" t="n"/>
      <c r="E1924" s="75">
        <f>+C1924&amp;F1924</f>
        <v/>
      </c>
      <c r="F1924" s="80" t="n"/>
      <c r="G1924" s="81" t="n"/>
      <c r="H1924" s="78" t="n"/>
      <c r="I1924" s="78" t="n"/>
      <c r="J1924" s="78" t="n"/>
    </row>
    <row r="1925">
      <c r="A1925" s="84">
        <f>ROW()-6</f>
        <v/>
      </c>
      <c r="B1925" s="85">
        <f>+MATCH(D1925,ARTICULOS!$F$10:$F$699,0)</f>
        <v/>
      </c>
      <c r="C1925" s="86">
        <f>+VLOOKUP(B1925,ARTICULOS!$D$10:$I$699,6)</f>
        <v/>
      </c>
      <c r="D1925" s="212" t="n"/>
      <c r="E1925" s="75">
        <f>+C1925&amp;F1925</f>
        <v/>
      </c>
      <c r="F1925" s="80" t="n"/>
      <c r="G1925" s="81" t="n"/>
      <c r="H1925" s="78" t="n"/>
      <c r="I1925" s="78" t="n"/>
      <c r="J1925" s="78" t="n"/>
    </row>
    <row r="1926">
      <c r="A1926" s="84">
        <f>ROW()-6</f>
        <v/>
      </c>
      <c r="B1926" s="85">
        <f>+MATCH(D1926,ARTICULOS!$F$10:$F$699,0)</f>
        <v/>
      </c>
      <c r="C1926" s="86">
        <f>+VLOOKUP(B1926,ARTICULOS!$D$10:$I$699,6)</f>
        <v/>
      </c>
      <c r="D1926" s="212" t="n"/>
      <c r="E1926" s="75">
        <f>+C1926&amp;F1926</f>
        <v/>
      </c>
      <c r="F1926" s="80" t="n"/>
      <c r="G1926" s="81" t="n"/>
      <c r="H1926" s="78" t="n"/>
      <c r="I1926" s="78" t="n"/>
      <c r="J1926" s="78" t="n"/>
    </row>
    <row r="1927">
      <c r="A1927" s="84">
        <f>ROW()-6</f>
        <v/>
      </c>
      <c r="B1927" s="85">
        <f>+MATCH(D1927,ARTICULOS!$F$10:$F$699,0)</f>
        <v/>
      </c>
      <c r="C1927" s="86">
        <f>+VLOOKUP(B1927,ARTICULOS!$D$10:$I$699,6)</f>
        <v/>
      </c>
      <c r="D1927" s="212" t="n"/>
      <c r="E1927" s="75">
        <f>+C1927&amp;F1927</f>
        <v/>
      </c>
      <c r="F1927" s="80" t="n"/>
      <c r="G1927" s="81" t="n"/>
      <c r="H1927" s="78" t="n"/>
      <c r="I1927" s="78" t="n"/>
      <c r="J1927" s="78" t="n"/>
    </row>
    <row r="1928">
      <c r="A1928" s="84">
        <f>ROW()-6</f>
        <v/>
      </c>
      <c r="B1928" s="85">
        <f>+MATCH(D1928,ARTICULOS!$F$10:$F$699,0)</f>
        <v/>
      </c>
      <c r="C1928" s="86">
        <f>+VLOOKUP(B1928,ARTICULOS!$D$10:$I$699,6)</f>
        <v/>
      </c>
      <c r="D1928" s="212" t="n"/>
      <c r="E1928" s="75">
        <f>+C1928&amp;F1928</f>
        <v/>
      </c>
      <c r="F1928" s="80" t="n"/>
      <c r="G1928" s="81" t="n"/>
      <c r="H1928" s="78" t="n"/>
      <c r="I1928" s="78" t="n"/>
      <c r="J1928" s="78" t="n"/>
    </row>
    <row r="1929">
      <c r="A1929" s="84">
        <f>ROW()-6</f>
        <v/>
      </c>
      <c r="B1929" s="85">
        <f>+MATCH(D1929,ARTICULOS!$F$10:$F$699,0)</f>
        <v/>
      </c>
      <c r="C1929" s="86">
        <f>+VLOOKUP(B1929,ARTICULOS!$D$10:$I$699,6)</f>
        <v/>
      </c>
      <c r="D1929" s="212" t="n"/>
      <c r="E1929" s="75">
        <f>+C1929&amp;F1929</f>
        <v/>
      </c>
      <c r="F1929" s="80" t="n"/>
      <c r="G1929" s="81" t="n"/>
      <c r="H1929" s="78" t="n"/>
      <c r="I1929" s="78" t="n"/>
      <c r="J1929" s="78" t="n"/>
    </row>
    <row r="1930">
      <c r="A1930" s="84">
        <f>ROW()-6</f>
        <v/>
      </c>
      <c r="B1930" s="85">
        <f>+MATCH(D1930,ARTICULOS!$F$10:$F$699,0)</f>
        <v/>
      </c>
      <c r="C1930" s="86">
        <f>+VLOOKUP(B1930,ARTICULOS!$D$10:$I$699,6)</f>
        <v/>
      </c>
      <c r="D1930" s="212" t="n"/>
      <c r="E1930" s="75">
        <f>+C1930&amp;F1930</f>
        <v/>
      </c>
      <c r="F1930" s="80" t="n"/>
      <c r="G1930" s="81" t="n"/>
      <c r="H1930" s="78" t="n"/>
      <c r="I1930" s="78" t="n"/>
      <c r="J1930" s="78" t="n"/>
    </row>
    <row r="1931">
      <c r="A1931" s="84">
        <f>ROW()-6</f>
        <v/>
      </c>
      <c r="B1931" s="85">
        <f>+MATCH(D1931,ARTICULOS!$F$10:$F$699,0)</f>
        <v/>
      </c>
      <c r="C1931" s="86">
        <f>+VLOOKUP(B1931,ARTICULOS!$D$10:$I$699,6)</f>
        <v/>
      </c>
      <c r="D1931" s="212" t="n"/>
      <c r="E1931" s="75">
        <f>+C1931&amp;F1931</f>
        <v/>
      </c>
      <c r="F1931" s="80" t="n"/>
      <c r="G1931" s="81" t="n"/>
      <c r="H1931" s="78" t="n"/>
      <c r="I1931" s="78" t="n"/>
      <c r="J1931" s="78" t="n"/>
    </row>
    <row r="1932">
      <c r="A1932" s="84">
        <f>ROW()-6</f>
        <v/>
      </c>
      <c r="B1932" s="85">
        <f>+MATCH(D1932,ARTICULOS!$F$10:$F$699,0)</f>
        <v/>
      </c>
      <c r="C1932" s="86">
        <f>+VLOOKUP(B1932,ARTICULOS!$D$10:$I$699,6)</f>
        <v/>
      </c>
      <c r="D1932" s="212" t="n"/>
      <c r="E1932" s="75">
        <f>+C1932&amp;F1932</f>
        <v/>
      </c>
      <c r="F1932" s="80" t="n"/>
      <c r="G1932" s="81" t="n"/>
      <c r="H1932" s="78" t="n"/>
      <c r="I1932" s="78" t="n"/>
      <c r="J1932" s="78" t="n"/>
    </row>
    <row r="1933">
      <c r="A1933" s="84">
        <f>ROW()-6</f>
        <v/>
      </c>
      <c r="B1933" s="85">
        <f>+MATCH(D1933,ARTICULOS!$F$10:$F$699,0)</f>
        <v/>
      </c>
      <c r="C1933" s="86">
        <f>+VLOOKUP(B1933,ARTICULOS!$D$10:$I$699,6)</f>
        <v/>
      </c>
      <c r="D1933" s="212" t="n"/>
      <c r="E1933" s="75">
        <f>+C1933&amp;F1933</f>
        <v/>
      </c>
      <c r="F1933" s="80" t="n"/>
      <c r="G1933" s="81" t="n"/>
      <c r="H1933" s="78" t="n"/>
      <c r="I1933" s="78" t="n"/>
      <c r="J1933" s="78" t="n"/>
    </row>
    <row r="1934">
      <c r="A1934" s="84">
        <f>ROW()-6</f>
        <v/>
      </c>
      <c r="B1934" s="85">
        <f>+MATCH(D1934,ARTICULOS!$F$10:$F$699,0)</f>
        <v/>
      </c>
      <c r="C1934" s="86">
        <f>+VLOOKUP(B1934,ARTICULOS!$D$10:$I$699,6)</f>
        <v/>
      </c>
      <c r="D1934" s="212" t="n"/>
      <c r="E1934" s="75">
        <f>+C1934&amp;F1934</f>
        <v/>
      </c>
      <c r="F1934" s="80" t="n"/>
      <c r="G1934" s="81" t="n"/>
      <c r="H1934" s="78" t="n"/>
      <c r="I1934" s="78" t="n"/>
      <c r="J1934" s="78" t="n"/>
    </row>
    <row r="1935">
      <c r="A1935" s="84">
        <f>ROW()-6</f>
        <v/>
      </c>
      <c r="B1935" s="85">
        <f>+MATCH(D1935,ARTICULOS!$F$10:$F$699,0)</f>
        <v/>
      </c>
      <c r="C1935" s="86">
        <f>+VLOOKUP(B1935,ARTICULOS!$D$10:$I$699,6)</f>
        <v/>
      </c>
      <c r="D1935" s="212" t="n"/>
      <c r="E1935" s="75">
        <f>+C1935&amp;F1935</f>
        <v/>
      </c>
      <c r="F1935" s="80" t="n"/>
      <c r="G1935" s="81" t="n"/>
      <c r="H1935" s="78" t="n"/>
      <c r="I1935" s="78" t="n"/>
      <c r="J1935" s="78" t="n"/>
    </row>
    <row r="1936">
      <c r="A1936" s="84">
        <f>ROW()-6</f>
        <v/>
      </c>
      <c r="B1936" s="85">
        <f>+MATCH(D1936,ARTICULOS!$F$10:$F$699,0)</f>
        <v/>
      </c>
      <c r="C1936" s="86">
        <f>+VLOOKUP(B1936,ARTICULOS!$D$10:$I$699,6)</f>
        <v/>
      </c>
      <c r="D1936" s="212" t="n"/>
      <c r="E1936" s="75">
        <f>+C1936&amp;F1936</f>
        <v/>
      </c>
      <c r="F1936" s="80" t="n"/>
      <c r="G1936" s="81" t="n"/>
      <c r="H1936" s="78" t="n"/>
      <c r="I1936" s="78" t="n"/>
      <c r="J1936" s="78" t="n"/>
    </row>
    <row r="1937">
      <c r="A1937" s="84">
        <f>ROW()-6</f>
        <v/>
      </c>
      <c r="B1937" s="85">
        <f>+MATCH(D1937,ARTICULOS!$F$10:$F$699,0)</f>
        <v/>
      </c>
      <c r="C1937" s="86">
        <f>+VLOOKUP(B1937,ARTICULOS!$D$10:$I$699,6)</f>
        <v/>
      </c>
      <c r="D1937" s="212" t="n"/>
      <c r="E1937" s="75">
        <f>+C1937&amp;F1937</f>
        <v/>
      </c>
      <c r="F1937" s="80" t="n"/>
      <c r="G1937" s="81" t="n"/>
      <c r="H1937" s="78" t="n"/>
      <c r="I1937" s="78" t="n"/>
      <c r="J1937" s="78" t="n"/>
    </row>
    <row r="1938">
      <c r="A1938" s="84">
        <f>ROW()-6</f>
        <v/>
      </c>
      <c r="B1938" s="85">
        <f>+MATCH(D1938,ARTICULOS!$F$10:$F$699,0)</f>
        <v/>
      </c>
      <c r="C1938" s="86">
        <f>+VLOOKUP(B1938,ARTICULOS!$D$10:$I$699,6)</f>
        <v/>
      </c>
      <c r="D1938" s="212" t="n"/>
      <c r="E1938" s="75">
        <f>+C1938&amp;F1938</f>
        <v/>
      </c>
      <c r="F1938" s="80" t="n"/>
      <c r="G1938" s="81" t="n"/>
      <c r="H1938" s="78" t="n"/>
      <c r="I1938" s="78" t="n"/>
      <c r="J1938" s="78" t="n"/>
    </row>
    <row r="1939">
      <c r="A1939" s="84">
        <f>ROW()-6</f>
        <v/>
      </c>
      <c r="B1939" s="85">
        <f>+MATCH(D1939,ARTICULOS!$F$10:$F$699,0)</f>
        <v/>
      </c>
      <c r="C1939" s="86">
        <f>+VLOOKUP(B1939,ARTICULOS!$D$10:$I$699,6)</f>
        <v/>
      </c>
      <c r="D1939" s="212" t="n"/>
      <c r="E1939" s="75">
        <f>+C1939&amp;F1939</f>
        <v/>
      </c>
      <c r="F1939" s="80" t="n"/>
      <c r="G1939" s="81" t="n"/>
      <c r="H1939" s="78" t="n"/>
      <c r="I1939" s="78" t="n"/>
      <c r="J1939" s="78" t="n"/>
    </row>
    <row r="1940">
      <c r="A1940" s="84">
        <f>ROW()-6</f>
        <v/>
      </c>
      <c r="B1940" s="85">
        <f>+MATCH(D1940,ARTICULOS!$F$10:$F$699,0)</f>
        <v/>
      </c>
      <c r="C1940" s="86">
        <f>+VLOOKUP(B1940,ARTICULOS!$D$10:$I$699,6)</f>
        <v/>
      </c>
      <c r="D1940" s="212" t="n"/>
      <c r="E1940" s="75">
        <f>+C1940&amp;F1940</f>
        <v/>
      </c>
      <c r="F1940" s="80" t="n"/>
      <c r="G1940" s="81" t="n"/>
      <c r="H1940" s="78" t="n"/>
      <c r="I1940" s="78" t="n"/>
      <c r="J1940" s="78" t="n"/>
    </row>
    <row r="1941">
      <c r="A1941" s="84">
        <f>ROW()-6</f>
        <v/>
      </c>
      <c r="B1941" s="85">
        <f>+MATCH(D1941,ARTICULOS!$F$10:$F$699,0)</f>
        <v/>
      </c>
      <c r="C1941" s="86">
        <f>+VLOOKUP(B1941,ARTICULOS!$D$10:$I$699,6)</f>
        <v/>
      </c>
      <c r="D1941" s="212" t="n"/>
      <c r="E1941" s="75">
        <f>+C1941&amp;F1941</f>
        <v/>
      </c>
      <c r="F1941" s="80" t="n"/>
      <c r="G1941" s="81" t="n"/>
      <c r="H1941" s="78" t="n"/>
      <c r="I1941" s="78" t="n"/>
      <c r="J1941" s="78" t="n"/>
    </row>
    <row r="1942">
      <c r="A1942" s="84">
        <f>ROW()-6</f>
        <v/>
      </c>
      <c r="B1942" s="85">
        <f>+MATCH(D1942,ARTICULOS!$F$10:$F$699,0)</f>
        <v/>
      </c>
      <c r="C1942" s="86">
        <f>+VLOOKUP(B1942,ARTICULOS!$D$10:$I$699,6)</f>
        <v/>
      </c>
      <c r="D1942" s="212" t="n"/>
      <c r="E1942" s="75">
        <f>+C1942&amp;F1942</f>
        <v/>
      </c>
      <c r="F1942" s="80" t="n"/>
      <c r="G1942" s="81" t="n"/>
      <c r="H1942" s="78" t="n"/>
      <c r="I1942" s="78" t="n"/>
      <c r="J1942" s="78" t="n"/>
    </row>
    <row r="1943">
      <c r="A1943" s="84">
        <f>ROW()-6</f>
        <v/>
      </c>
      <c r="B1943" s="85">
        <f>+MATCH(D1943,ARTICULOS!$F$10:$F$699,0)</f>
        <v/>
      </c>
      <c r="C1943" s="86">
        <f>+VLOOKUP(B1943,ARTICULOS!$D$10:$I$699,6)</f>
        <v/>
      </c>
      <c r="D1943" s="212" t="n"/>
      <c r="E1943" s="75">
        <f>+C1943&amp;F1943</f>
        <v/>
      </c>
      <c r="F1943" s="80" t="n"/>
      <c r="G1943" s="81" t="n"/>
      <c r="H1943" s="78" t="n"/>
      <c r="I1943" s="78" t="n"/>
      <c r="J1943" s="78" t="n"/>
    </row>
    <row r="1944">
      <c r="A1944" s="84">
        <f>ROW()-6</f>
        <v/>
      </c>
      <c r="B1944" s="85">
        <f>+MATCH(D1944,ARTICULOS!$F$10:$F$699,0)</f>
        <v/>
      </c>
      <c r="C1944" s="86">
        <f>+VLOOKUP(B1944,ARTICULOS!$D$10:$I$699,6)</f>
        <v/>
      </c>
      <c r="D1944" s="212" t="n"/>
      <c r="E1944" s="75">
        <f>+C1944&amp;F1944</f>
        <v/>
      </c>
      <c r="F1944" s="80" t="n"/>
      <c r="G1944" s="81" t="n"/>
      <c r="H1944" s="78" t="n"/>
      <c r="I1944" s="78" t="n"/>
      <c r="J1944" s="78" t="n"/>
    </row>
    <row r="1945">
      <c r="A1945" s="84">
        <f>ROW()-6</f>
        <v/>
      </c>
      <c r="B1945" s="85">
        <f>+MATCH(D1945,ARTICULOS!$F$10:$F$699,0)</f>
        <v/>
      </c>
      <c r="C1945" s="86">
        <f>+VLOOKUP(B1945,ARTICULOS!$D$10:$I$699,6)</f>
        <v/>
      </c>
      <c r="D1945" s="212" t="n"/>
      <c r="E1945" s="75">
        <f>+C1945&amp;F1945</f>
        <v/>
      </c>
      <c r="F1945" s="80" t="n"/>
      <c r="G1945" s="81" t="n"/>
      <c r="H1945" s="78" t="n"/>
      <c r="I1945" s="78" t="n"/>
      <c r="J1945" s="78" t="n"/>
    </row>
    <row r="1946">
      <c r="A1946" s="84">
        <f>ROW()-6</f>
        <v/>
      </c>
      <c r="B1946" s="85">
        <f>+MATCH(D1946,ARTICULOS!$F$10:$F$699,0)</f>
        <v/>
      </c>
      <c r="C1946" s="86">
        <f>+VLOOKUP(B1946,ARTICULOS!$D$10:$I$699,6)</f>
        <v/>
      </c>
      <c r="D1946" s="212" t="n"/>
      <c r="E1946" s="75">
        <f>+C1946&amp;F1946</f>
        <v/>
      </c>
      <c r="F1946" s="80" t="n"/>
      <c r="G1946" s="81" t="n"/>
      <c r="H1946" s="78" t="n"/>
      <c r="I1946" s="78" t="n"/>
      <c r="J1946" s="78" t="n"/>
    </row>
    <row r="1947">
      <c r="A1947" s="84">
        <f>ROW()-6</f>
        <v/>
      </c>
      <c r="B1947" s="85">
        <f>+MATCH(D1947,ARTICULOS!$F$10:$F$699,0)</f>
        <v/>
      </c>
      <c r="C1947" s="86">
        <f>+VLOOKUP(B1947,ARTICULOS!$D$10:$I$699,6)</f>
        <v/>
      </c>
      <c r="D1947" s="212" t="n"/>
      <c r="E1947" s="75">
        <f>+C1947&amp;F1947</f>
        <v/>
      </c>
      <c r="F1947" s="80" t="n"/>
      <c r="G1947" s="81" t="n"/>
      <c r="H1947" s="78" t="n"/>
      <c r="I1947" s="78" t="n"/>
      <c r="J1947" s="78" t="n"/>
    </row>
    <row r="1948">
      <c r="A1948" s="84">
        <f>ROW()-6</f>
        <v/>
      </c>
      <c r="B1948" s="85">
        <f>+MATCH(D1948,ARTICULOS!$F$10:$F$699,0)</f>
        <v/>
      </c>
      <c r="C1948" s="86">
        <f>+VLOOKUP(B1948,ARTICULOS!$D$10:$I$699,6)</f>
        <v/>
      </c>
      <c r="D1948" s="212" t="n"/>
      <c r="E1948" s="75">
        <f>+C1948&amp;F1948</f>
        <v/>
      </c>
      <c r="F1948" s="80" t="n"/>
      <c r="G1948" s="81" t="n"/>
      <c r="H1948" s="78" t="n"/>
      <c r="I1948" s="78" t="n"/>
      <c r="J1948" s="78" t="n"/>
    </row>
    <row r="1949">
      <c r="A1949" s="84">
        <f>ROW()-6</f>
        <v/>
      </c>
      <c r="B1949" s="85">
        <f>+MATCH(D1949,ARTICULOS!$F$10:$F$699,0)</f>
        <v/>
      </c>
      <c r="C1949" s="86">
        <f>+VLOOKUP(B1949,ARTICULOS!$D$10:$I$699,6)</f>
        <v/>
      </c>
      <c r="D1949" s="212" t="n"/>
      <c r="E1949" s="75">
        <f>+C1949&amp;F1949</f>
        <v/>
      </c>
      <c r="F1949" s="80" t="n"/>
      <c r="G1949" s="81" t="n"/>
      <c r="H1949" s="78" t="n"/>
      <c r="I1949" s="78" t="n"/>
      <c r="J1949" s="78" t="n"/>
    </row>
    <row r="1950">
      <c r="A1950" s="84">
        <f>ROW()-6</f>
        <v/>
      </c>
      <c r="B1950" s="85">
        <f>+MATCH(D1950,ARTICULOS!$F$10:$F$699,0)</f>
        <v/>
      </c>
      <c r="C1950" s="86">
        <f>+VLOOKUP(B1950,ARTICULOS!$D$10:$I$699,6)</f>
        <v/>
      </c>
      <c r="D1950" s="212" t="n"/>
      <c r="E1950" s="75">
        <f>+C1950&amp;F1950</f>
        <v/>
      </c>
      <c r="F1950" s="80" t="n"/>
      <c r="G1950" s="81" t="n"/>
      <c r="H1950" s="78" t="n"/>
      <c r="I1950" s="78" t="n"/>
      <c r="J1950" s="78" t="n"/>
    </row>
    <row r="1951">
      <c r="A1951" s="84">
        <f>ROW()-6</f>
        <v/>
      </c>
      <c r="B1951" s="85">
        <f>+MATCH(D1951,ARTICULOS!$F$10:$F$699,0)</f>
        <v/>
      </c>
      <c r="C1951" s="86">
        <f>+VLOOKUP(B1951,ARTICULOS!$D$10:$I$699,6)</f>
        <v/>
      </c>
      <c r="D1951" s="212" t="n"/>
      <c r="E1951" s="75">
        <f>+C1951&amp;F1951</f>
        <v/>
      </c>
      <c r="F1951" s="80" t="n"/>
      <c r="G1951" s="81" t="n"/>
      <c r="H1951" s="78" t="n"/>
      <c r="I1951" s="78" t="n"/>
      <c r="J1951" s="78" t="n"/>
    </row>
    <row r="1952">
      <c r="A1952" s="84">
        <f>ROW()-6</f>
        <v/>
      </c>
      <c r="B1952" s="85">
        <f>+MATCH(D1952,ARTICULOS!$F$10:$F$699,0)</f>
        <v/>
      </c>
      <c r="C1952" s="86">
        <f>+VLOOKUP(B1952,ARTICULOS!$D$10:$I$699,6)</f>
        <v/>
      </c>
      <c r="D1952" s="212" t="n"/>
      <c r="E1952" s="75">
        <f>+C1952&amp;F1952</f>
        <v/>
      </c>
      <c r="F1952" s="80" t="n"/>
      <c r="G1952" s="81" t="n"/>
      <c r="H1952" s="78" t="n"/>
      <c r="I1952" s="78" t="n"/>
      <c r="J1952" s="78" t="n"/>
    </row>
    <row r="1953">
      <c r="A1953" s="84">
        <f>ROW()-6</f>
        <v/>
      </c>
      <c r="B1953" s="85">
        <f>+MATCH(D1953,ARTICULOS!$F$10:$F$699,0)</f>
        <v/>
      </c>
      <c r="C1953" s="86">
        <f>+VLOOKUP(B1953,ARTICULOS!$D$10:$I$699,6)</f>
        <v/>
      </c>
      <c r="D1953" s="212" t="n"/>
      <c r="E1953" s="75">
        <f>+C1953&amp;F1953</f>
        <v/>
      </c>
      <c r="F1953" s="80" t="n"/>
      <c r="G1953" s="81" t="n"/>
      <c r="H1953" s="78" t="n"/>
      <c r="I1953" s="78" t="n"/>
      <c r="J1953" s="78" t="n"/>
    </row>
    <row r="1954">
      <c r="A1954" s="84">
        <f>ROW()-6</f>
        <v/>
      </c>
      <c r="B1954" s="85">
        <f>+MATCH(D1954,ARTICULOS!$F$10:$F$699,0)</f>
        <v/>
      </c>
      <c r="C1954" s="86">
        <f>+VLOOKUP(B1954,ARTICULOS!$D$10:$I$699,6)</f>
        <v/>
      </c>
      <c r="D1954" s="212" t="n"/>
      <c r="E1954" s="75">
        <f>+C1954&amp;F1954</f>
        <v/>
      </c>
      <c r="F1954" s="80" t="n"/>
      <c r="G1954" s="81" t="n"/>
      <c r="H1954" s="78" t="n"/>
      <c r="I1954" s="78" t="n"/>
      <c r="J1954" s="78" t="n"/>
    </row>
    <row r="1955">
      <c r="A1955" s="84">
        <f>ROW()-6</f>
        <v/>
      </c>
      <c r="B1955" s="85">
        <f>+MATCH(D1955,ARTICULOS!$F$10:$F$699,0)</f>
        <v/>
      </c>
      <c r="C1955" s="86">
        <f>+VLOOKUP(B1955,ARTICULOS!$D$10:$I$699,6)</f>
        <v/>
      </c>
      <c r="D1955" s="212" t="n"/>
      <c r="E1955" s="75">
        <f>+C1955&amp;F1955</f>
        <v/>
      </c>
      <c r="F1955" s="80" t="n"/>
      <c r="G1955" s="81" t="n"/>
      <c r="H1955" s="78" t="n"/>
      <c r="I1955" s="78" t="n"/>
      <c r="J1955" s="78" t="n"/>
    </row>
    <row r="1956">
      <c r="A1956" s="84">
        <f>ROW()-6</f>
        <v/>
      </c>
      <c r="B1956" s="85">
        <f>+MATCH(D1956,ARTICULOS!$F$10:$F$699,0)</f>
        <v/>
      </c>
      <c r="C1956" s="86">
        <f>+VLOOKUP(B1956,ARTICULOS!$D$10:$I$699,6)</f>
        <v/>
      </c>
      <c r="D1956" s="212" t="n"/>
      <c r="E1956" s="75">
        <f>+C1956&amp;F1956</f>
        <v/>
      </c>
      <c r="F1956" s="80" t="n"/>
      <c r="G1956" s="81" t="n"/>
      <c r="H1956" s="78" t="n"/>
      <c r="I1956" s="78" t="n"/>
      <c r="J1956" s="78" t="n"/>
    </row>
    <row r="1957">
      <c r="A1957" s="84">
        <f>ROW()-6</f>
        <v/>
      </c>
      <c r="B1957" s="85">
        <f>+MATCH(D1957,ARTICULOS!$F$10:$F$699,0)</f>
        <v/>
      </c>
      <c r="C1957" s="86">
        <f>+VLOOKUP(B1957,ARTICULOS!$D$10:$I$699,6)</f>
        <v/>
      </c>
      <c r="D1957" s="212" t="n"/>
      <c r="E1957" s="75">
        <f>+C1957&amp;F1957</f>
        <v/>
      </c>
      <c r="F1957" s="80" t="n"/>
      <c r="G1957" s="81" t="n"/>
      <c r="H1957" s="78" t="n"/>
      <c r="I1957" s="78" t="n"/>
      <c r="J1957" s="78" t="n"/>
    </row>
    <row r="1958">
      <c r="A1958" s="84">
        <f>ROW()-6</f>
        <v/>
      </c>
      <c r="B1958" s="85">
        <f>+MATCH(D1958,ARTICULOS!$F$10:$F$699,0)</f>
        <v/>
      </c>
      <c r="C1958" s="86">
        <f>+VLOOKUP(B1958,ARTICULOS!$D$10:$I$699,6)</f>
        <v/>
      </c>
      <c r="D1958" s="212" t="n"/>
      <c r="E1958" s="75">
        <f>+C1958&amp;F1958</f>
        <v/>
      </c>
      <c r="F1958" s="80" t="n"/>
      <c r="G1958" s="81" t="n"/>
      <c r="H1958" s="78" t="n"/>
      <c r="I1958" s="78" t="n"/>
      <c r="J1958" s="78" t="n"/>
    </row>
    <row r="1959">
      <c r="A1959" s="84">
        <f>ROW()-6</f>
        <v/>
      </c>
      <c r="B1959" s="85">
        <f>+MATCH(D1959,ARTICULOS!$F$10:$F$699,0)</f>
        <v/>
      </c>
      <c r="C1959" s="86">
        <f>+VLOOKUP(B1959,ARTICULOS!$D$10:$I$699,6)</f>
        <v/>
      </c>
      <c r="D1959" s="212" t="n"/>
      <c r="E1959" s="75">
        <f>+C1959&amp;F1959</f>
        <v/>
      </c>
      <c r="F1959" s="80" t="n"/>
      <c r="G1959" s="81" t="n"/>
      <c r="H1959" s="78" t="n"/>
      <c r="I1959" s="78" t="n"/>
      <c r="J1959" s="78" t="n"/>
    </row>
    <row r="1960">
      <c r="A1960" s="84">
        <f>ROW()-6</f>
        <v/>
      </c>
      <c r="B1960" s="85">
        <f>+MATCH(D1960,ARTICULOS!$F$10:$F$699,0)</f>
        <v/>
      </c>
      <c r="C1960" s="86">
        <f>+VLOOKUP(B1960,ARTICULOS!$D$10:$I$699,6)</f>
        <v/>
      </c>
      <c r="D1960" s="212" t="n"/>
      <c r="E1960" s="75">
        <f>+C1960&amp;F1960</f>
        <v/>
      </c>
      <c r="F1960" s="80" t="n"/>
      <c r="G1960" s="81" t="n"/>
      <c r="H1960" s="78" t="n"/>
      <c r="I1960" s="78" t="n"/>
      <c r="J1960" s="78" t="n"/>
    </row>
    <row r="1961">
      <c r="A1961" s="84">
        <f>ROW()-6</f>
        <v/>
      </c>
      <c r="B1961" s="85">
        <f>+MATCH(D1961,ARTICULOS!$F$10:$F$699,0)</f>
        <v/>
      </c>
      <c r="C1961" s="86">
        <f>+VLOOKUP(B1961,ARTICULOS!$D$10:$I$699,6)</f>
        <v/>
      </c>
      <c r="D1961" s="212" t="n"/>
      <c r="E1961" s="75">
        <f>+C1961&amp;F1961</f>
        <v/>
      </c>
      <c r="F1961" s="80" t="n"/>
      <c r="G1961" s="81" t="n"/>
      <c r="H1961" s="78" t="n"/>
      <c r="I1961" s="78" t="n"/>
      <c r="J1961" s="78" t="n"/>
    </row>
    <row r="1962">
      <c r="A1962" s="84">
        <f>ROW()-6</f>
        <v/>
      </c>
      <c r="B1962" s="85">
        <f>+MATCH(D1962,ARTICULOS!$F$10:$F$699,0)</f>
        <v/>
      </c>
      <c r="C1962" s="86">
        <f>+VLOOKUP(B1962,ARTICULOS!$D$10:$I$699,6)</f>
        <v/>
      </c>
      <c r="D1962" s="212" t="n"/>
      <c r="E1962" s="75">
        <f>+C1962&amp;F1962</f>
        <v/>
      </c>
      <c r="F1962" s="80" t="n"/>
      <c r="G1962" s="81" t="n"/>
      <c r="H1962" s="78" t="n"/>
      <c r="I1962" s="78" t="n"/>
      <c r="J1962" s="78" t="n"/>
    </row>
    <row r="1963">
      <c r="A1963" s="84">
        <f>ROW()-6</f>
        <v/>
      </c>
      <c r="B1963" s="85">
        <f>+MATCH(D1963,ARTICULOS!$F$10:$F$699,0)</f>
        <v/>
      </c>
      <c r="C1963" s="86">
        <f>+VLOOKUP(B1963,ARTICULOS!$D$10:$I$699,6)</f>
        <v/>
      </c>
      <c r="D1963" s="212" t="n"/>
      <c r="E1963" s="75">
        <f>+C1963&amp;F1963</f>
        <v/>
      </c>
      <c r="F1963" s="80" t="n"/>
      <c r="G1963" s="81" t="n"/>
      <c r="H1963" s="78" t="n"/>
      <c r="I1963" s="78" t="n"/>
      <c r="J1963" s="78" t="n"/>
    </row>
    <row r="1964">
      <c r="A1964" s="84">
        <f>ROW()-6</f>
        <v/>
      </c>
      <c r="B1964" s="85">
        <f>+MATCH(D1964,ARTICULOS!$F$10:$F$699,0)</f>
        <v/>
      </c>
      <c r="C1964" s="86">
        <f>+VLOOKUP(B1964,ARTICULOS!$D$10:$I$699,6)</f>
        <v/>
      </c>
      <c r="D1964" s="212" t="n"/>
      <c r="E1964" s="75">
        <f>+C1964&amp;F1964</f>
        <v/>
      </c>
      <c r="F1964" s="80" t="n"/>
      <c r="G1964" s="81" t="n"/>
      <c r="H1964" s="78" t="n"/>
      <c r="I1964" s="78" t="n"/>
      <c r="J1964" s="78" t="n"/>
    </row>
    <row r="1965">
      <c r="A1965" s="84">
        <f>ROW()-6</f>
        <v/>
      </c>
      <c r="B1965" s="85">
        <f>+MATCH(D1965,ARTICULOS!$F$10:$F$699,0)</f>
        <v/>
      </c>
      <c r="C1965" s="86">
        <f>+VLOOKUP(B1965,ARTICULOS!$D$10:$I$699,6)</f>
        <v/>
      </c>
      <c r="D1965" s="212" t="n"/>
      <c r="E1965" s="75">
        <f>+C1965&amp;F1965</f>
        <v/>
      </c>
      <c r="F1965" s="80" t="n"/>
      <c r="G1965" s="81" t="n"/>
      <c r="H1965" s="78" t="n"/>
      <c r="I1965" s="78" t="n"/>
      <c r="J1965" s="78" t="n"/>
    </row>
    <row r="1966">
      <c r="A1966" s="84">
        <f>ROW()-6</f>
        <v/>
      </c>
      <c r="B1966" s="85">
        <f>+MATCH(D1966,ARTICULOS!$F$10:$F$699,0)</f>
        <v/>
      </c>
      <c r="C1966" s="86">
        <f>+VLOOKUP(B1966,ARTICULOS!$D$10:$I$699,6)</f>
        <v/>
      </c>
      <c r="D1966" s="212" t="n"/>
      <c r="E1966" s="75">
        <f>+C1966&amp;F1966</f>
        <v/>
      </c>
      <c r="F1966" s="80" t="n"/>
      <c r="G1966" s="81" t="n"/>
      <c r="H1966" s="78" t="n"/>
      <c r="I1966" s="78" t="n"/>
      <c r="J1966" s="78" t="n"/>
    </row>
    <row r="1967">
      <c r="A1967" s="84">
        <f>ROW()-6</f>
        <v/>
      </c>
      <c r="B1967" s="85">
        <f>+MATCH(D1967,ARTICULOS!$F$10:$F$699,0)</f>
        <v/>
      </c>
      <c r="C1967" s="86">
        <f>+VLOOKUP(B1967,ARTICULOS!$D$10:$I$699,6)</f>
        <v/>
      </c>
      <c r="D1967" s="212" t="n"/>
      <c r="E1967" s="75">
        <f>+C1967&amp;F1967</f>
        <v/>
      </c>
      <c r="F1967" s="80" t="n"/>
      <c r="G1967" s="81" t="n"/>
      <c r="H1967" s="78" t="n"/>
      <c r="I1967" s="78" t="n"/>
      <c r="J1967" s="78" t="n"/>
    </row>
    <row r="1968">
      <c r="A1968" s="84">
        <f>ROW()-6</f>
        <v/>
      </c>
      <c r="B1968" s="85">
        <f>+MATCH(D1968,ARTICULOS!$F$10:$F$699,0)</f>
        <v/>
      </c>
      <c r="C1968" s="86">
        <f>+VLOOKUP(B1968,ARTICULOS!$D$10:$I$699,6)</f>
        <v/>
      </c>
      <c r="D1968" s="212" t="n"/>
      <c r="E1968" s="75">
        <f>+C1968&amp;F1968</f>
        <v/>
      </c>
      <c r="F1968" s="80" t="n"/>
      <c r="G1968" s="81" t="n"/>
      <c r="H1968" s="78" t="n"/>
      <c r="I1968" s="78" t="n"/>
      <c r="J1968" s="78" t="n"/>
    </row>
    <row r="1969">
      <c r="A1969" s="84">
        <f>ROW()-6</f>
        <v/>
      </c>
      <c r="B1969" s="85">
        <f>+MATCH(D1969,ARTICULOS!$F$10:$F$699,0)</f>
        <v/>
      </c>
      <c r="C1969" s="86">
        <f>+VLOOKUP(B1969,ARTICULOS!$D$10:$I$699,6)</f>
        <v/>
      </c>
      <c r="D1969" s="212" t="n"/>
      <c r="E1969" s="75">
        <f>+C1969&amp;F1969</f>
        <v/>
      </c>
      <c r="F1969" s="80" t="n"/>
      <c r="G1969" s="81" t="n"/>
      <c r="H1969" s="78" t="n"/>
      <c r="I1969" s="78" t="n"/>
      <c r="J1969" s="78" t="n"/>
    </row>
    <row r="1970">
      <c r="A1970" s="84">
        <f>ROW()-6</f>
        <v/>
      </c>
      <c r="B1970" s="85">
        <f>+MATCH(D1970,ARTICULOS!$F$10:$F$699,0)</f>
        <v/>
      </c>
      <c r="C1970" s="86">
        <f>+VLOOKUP(B1970,ARTICULOS!$D$10:$I$699,6)</f>
        <v/>
      </c>
      <c r="D1970" s="212" t="n"/>
      <c r="E1970" s="75">
        <f>+C1970&amp;F1970</f>
        <v/>
      </c>
      <c r="F1970" s="80" t="n"/>
      <c r="G1970" s="81" t="n"/>
      <c r="H1970" s="78" t="n"/>
      <c r="I1970" s="78" t="n"/>
      <c r="J1970" s="78" t="n"/>
    </row>
    <row r="1971">
      <c r="A1971" s="84">
        <f>ROW()-6</f>
        <v/>
      </c>
      <c r="B1971" s="85">
        <f>+MATCH(D1971,ARTICULOS!$F$10:$F$699,0)</f>
        <v/>
      </c>
      <c r="C1971" s="86">
        <f>+VLOOKUP(B1971,ARTICULOS!$D$10:$I$699,6)</f>
        <v/>
      </c>
      <c r="D1971" s="212" t="n"/>
      <c r="E1971" s="75">
        <f>+C1971&amp;F1971</f>
        <v/>
      </c>
      <c r="F1971" s="80" t="n"/>
      <c r="G1971" s="81" t="n"/>
      <c r="H1971" s="78" t="n"/>
      <c r="I1971" s="78" t="n"/>
      <c r="J1971" s="78" t="n"/>
    </row>
    <row r="1972">
      <c r="A1972" s="84">
        <f>ROW()-6</f>
        <v/>
      </c>
      <c r="B1972" s="85">
        <f>+MATCH(D1972,ARTICULOS!$F$10:$F$699,0)</f>
        <v/>
      </c>
      <c r="C1972" s="86">
        <f>+VLOOKUP(B1972,ARTICULOS!$D$10:$I$699,6)</f>
        <v/>
      </c>
      <c r="D1972" s="212" t="n"/>
      <c r="E1972" s="75">
        <f>+C1972&amp;F1972</f>
        <v/>
      </c>
      <c r="F1972" s="80" t="n"/>
      <c r="G1972" s="81" t="n"/>
      <c r="H1972" s="78" t="n"/>
      <c r="I1972" s="78" t="n"/>
      <c r="J1972" s="78" t="n"/>
    </row>
    <row r="1973">
      <c r="A1973" s="84">
        <f>ROW()-6</f>
        <v/>
      </c>
      <c r="B1973" s="85">
        <f>+MATCH(D1973,ARTICULOS!$F$10:$F$699,0)</f>
        <v/>
      </c>
      <c r="C1973" s="86">
        <f>+VLOOKUP(B1973,ARTICULOS!$D$10:$I$699,6)</f>
        <v/>
      </c>
      <c r="D1973" s="212" t="n"/>
      <c r="E1973" s="75">
        <f>+C1973&amp;F1973</f>
        <v/>
      </c>
      <c r="F1973" s="80" t="n"/>
      <c r="G1973" s="81" t="n"/>
      <c r="H1973" s="78" t="n"/>
      <c r="I1973" s="78" t="n"/>
      <c r="J1973" s="78" t="n"/>
    </row>
    <row r="1974">
      <c r="A1974" s="84">
        <f>ROW()-6</f>
        <v/>
      </c>
      <c r="B1974" s="85">
        <f>+MATCH(D1974,ARTICULOS!$F$10:$F$699,0)</f>
        <v/>
      </c>
      <c r="C1974" s="86">
        <f>+VLOOKUP(B1974,ARTICULOS!$D$10:$I$699,6)</f>
        <v/>
      </c>
      <c r="D1974" s="212" t="n"/>
      <c r="E1974" s="75">
        <f>+C1974&amp;F1974</f>
        <v/>
      </c>
      <c r="F1974" s="80" t="n"/>
      <c r="G1974" s="81" t="n"/>
      <c r="H1974" s="78" t="n"/>
      <c r="I1974" s="78" t="n"/>
      <c r="J1974" s="78" t="n"/>
    </row>
    <row r="1975">
      <c r="A1975" s="84">
        <f>ROW()-6</f>
        <v/>
      </c>
      <c r="B1975" s="85">
        <f>+MATCH(D1975,ARTICULOS!$F$10:$F$699,0)</f>
        <v/>
      </c>
      <c r="C1975" s="86">
        <f>+VLOOKUP(B1975,ARTICULOS!$D$10:$I$699,6)</f>
        <v/>
      </c>
      <c r="D1975" s="212" t="n"/>
      <c r="E1975" s="75">
        <f>+C1975&amp;F1975</f>
        <v/>
      </c>
      <c r="F1975" s="80" t="n"/>
      <c r="G1975" s="81" t="n"/>
      <c r="H1975" s="78" t="n"/>
      <c r="I1975" s="78" t="n"/>
      <c r="J1975" s="78" t="n"/>
    </row>
    <row r="1976">
      <c r="A1976" s="84">
        <f>ROW()-6</f>
        <v/>
      </c>
      <c r="B1976" s="85">
        <f>+MATCH(D1976,ARTICULOS!$F$10:$F$699,0)</f>
        <v/>
      </c>
      <c r="C1976" s="86">
        <f>+VLOOKUP(B1976,ARTICULOS!$D$10:$I$699,6)</f>
        <v/>
      </c>
      <c r="D1976" s="212" t="n"/>
      <c r="E1976" s="75">
        <f>+C1976&amp;F1976</f>
        <v/>
      </c>
      <c r="F1976" s="80" t="n"/>
      <c r="G1976" s="81" t="n"/>
      <c r="H1976" s="78" t="n"/>
      <c r="I1976" s="78" t="n"/>
      <c r="J1976" s="78" t="n"/>
    </row>
    <row r="1977">
      <c r="A1977" s="84">
        <f>ROW()-6</f>
        <v/>
      </c>
      <c r="B1977" s="85">
        <f>+MATCH(D1977,ARTICULOS!$F$10:$F$699,0)</f>
        <v/>
      </c>
      <c r="C1977" s="86">
        <f>+VLOOKUP(B1977,ARTICULOS!$D$10:$I$699,6)</f>
        <v/>
      </c>
      <c r="D1977" s="212" t="n"/>
      <c r="E1977" s="75">
        <f>+C1977&amp;F1977</f>
        <v/>
      </c>
      <c r="F1977" s="80" t="n"/>
      <c r="G1977" s="81" t="n"/>
      <c r="H1977" s="78" t="n"/>
      <c r="I1977" s="78" t="n"/>
      <c r="J1977" s="78" t="n"/>
    </row>
    <row r="1978">
      <c r="A1978" s="84">
        <f>ROW()-6</f>
        <v/>
      </c>
      <c r="B1978" s="85">
        <f>+MATCH(D1978,ARTICULOS!$F$10:$F$699,0)</f>
        <v/>
      </c>
      <c r="C1978" s="86">
        <f>+VLOOKUP(B1978,ARTICULOS!$D$10:$I$699,6)</f>
        <v/>
      </c>
      <c r="D1978" s="212" t="n"/>
      <c r="E1978" s="75">
        <f>+C1978&amp;F1978</f>
        <v/>
      </c>
      <c r="F1978" s="80" t="n"/>
      <c r="G1978" s="81" t="n"/>
      <c r="H1978" s="78" t="n"/>
      <c r="I1978" s="78" t="n"/>
      <c r="J1978" s="78" t="n"/>
    </row>
    <row r="1979">
      <c r="A1979" s="84">
        <f>ROW()-6</f>
        <v/>
      </c>
      <c r="B1979" s="85">
        <f>+MATCH(D1979,ARTICULOS!$F$10:$F$699,0)</f>
        <v/>
      </c>
      <c r="C1979" s="86">
        <f>+VLOOKUP(B1979,ARTICULOS!$D$10:$I$699,6)</f>
        <v/>
      </c>
      <c r="D1979" s="212" t="n"/>
      <c r="E1979" s="75">
        <f>+C1979&amp;F1979</f>
        <v/>
      </c>
      <c r="F1979" s="80" t="n"/>
      <c r="G1979" s="81" t="n"/>
      <c r="H1979" s="78" t="n"/>
      <c r="I1979" s="78" t="n"/>
      <c r="J1979" s="78" t="n"/>
    </row>
    <row r="1980">
      <c r="A1980" s="84">
        <f>ROW()-6</f>
        <v/>
      </c>
      <c r="B1980" s="85">
        <f>+MATCH(D1980,ARTICULOS!$F$10:$F$699,0)</f>
        <v/>
      </c>
      <c r="C1980" s="86">
        <f>+VLOOKUP(B1980,ARTICULOS!$D$10:$I$699,6)</f>
        <v/>
      </c>
      <c r="D1980" s="212" t="n"/>
      <c r="E1980" s="75">
        <f>+C1980&amp;F1980</f>
        <v/>
      </c>
      <c r="F1980" s="80" t="n"/>
      <c r="G1980" s="81" t="n"/>
      <c r="H1980" s="78" t="n"/>
      <c r="I1980" s="78" t="n"/>
      <c r="J1980" s="78" t="n"/>
    </row>
    <row r="1981">
      <c r="A1981" s="84">
        <f>ROW()-6</f>
        <v/>
      </c>
      <c r="B1981" s="85">
        <f>+MATCH(D1981,ARTICULOS!$F$10:$F$699,0)</f>
        <v/>
      </c>
      <c r="C1981" s="86">
        <f>+VLOOKUP(B1981,ARTICULOS!$D$10:$I$699,6)</f>
        <v/>
      </c>
      <c r="D1981" s="212" t="n"/>
      <c r="E1981" s="75">
        <f>+C1981&amp;F1981</f>
        <v/>
      </c>
      <c r="F1981" s="80" t="n"/>
      <c r="G1981" s="81" t="n"/>
      <c r="H1981" s="78" t="n"/>
      <c r="I1981" s="78" t="n"/>
      <c r="J1981" s="78" t="n"/>
    </row>
    <row r="1982">
      <c r="A1982" s="84">
        <f>ROW()-6</f>
        <v/>
      </c>
      <c r="B1982" s="85">
        <f>+MATCH(D1982,ARTICULOS!$F$10:$F$699,0)</f>
        <v/>
      </c>
      <c r="C1982" s="86">
        <f>+VLOOKUP(B1982,ARTICULOS!$D$10:$I$699,6)</f>
        <v/>
      </c>
      <c r="D1982" s="212" t="n"/>
      <c r="E1982" s="75">
        <f>+C1982&amp;F1982</f>
        <v/>
      </c>
      <c r="F1982" s="80" t="n"/>
      <c r="G1982" s="81" t="n"/>
      <c r="H1982" s="78" t="n"/>
      <c r="I1982" s="78" t="n"/>
      <c r="J1982" s="78" t="n"/>
    </row>
    <row r="1983">
      <c r="A1983" s="84">
        <f>ROW()-6</f>
        <v/>
      </c>
      <c r="B1983" s="85">
        <f>+MATCH(D1983,ARTICULOS!$F$10:$F$699,0)</f>
        <v/>
      </c>
      <c r="C1983" s="86">
        <f>+VLOOKUP(B1983,ARTICULOS!$D$10:$I$699,6)</f>
        <v/>
      </c>
      <c r="D1983" s="212" t="n"/>
      <c r="E1983" s="75">
        <f>+C1983&amp;F1983</f>
        <v/>
      </c>
      <c r="F1983" s="80" t="n"/>
      <c r="G1983" s="81" t="n"/>
      <c r="H1983" s="78" t="n"/>
      <c r="I1983" s="78" t="n"/>
      <c r="J1983" s="78" t="n"/>
    </row>
    <row r="1984">
      <c r="A1984" s="84">
        <f>ROW()-6</f>
        <v/>
      </c>
      <c r="B1984" s="85">
        <f>+MATCH(D1984,ARTICULOS!$F$10:$F$699,0)</f>
        <v/>
      </c>
      <c r="C1984" s="86">
        <f>+VLOOKUP(B1984,ARTICULOS!$D$10:$I$699,6)</f>
        <v/>
      </c>
      <c r="D1984" s="212" t="n"/>
      <c r="E1984" s="75">
        <f>+C1984&amp;F1984</f>
        <v/>
      </c>
      <c r="F1984" s="80" t="n"/>
      <c r="G1984" s="81" t="n"/>
      <c r="H1984" s="78" t="n"/>
      <c r="I1984" s="78" t="n"/>
      <c r="J1984" s="78" t="n"/>
    </row>
    <row r="1985">
      <c r="A1985" s="84">
        <f>ROW()-6</f>
        <v/>
      </c>
      <c r="B1985" s="85">
        <f>+MATCH(D1985,ARTICULOS!$F$10:$F$699,0)</f>
        <v/>
      </c>
      <c r="C1985" s="86">
        <f>+VLOOKUP(B1985,ARTICULOS!$D$10:$I$699,6)</f>
        <v/>
      </c>
      <c r="D1985" s="212" t="n"/>
      <c r="E1985" s="75">
        <f>+C1985&amp;F1985</f>
        <v/>
      </c>
      <c r="F1985" s="80" t="n"/>
      <c r="G1985" s="81" t="n"/>
      <c r="H1985" s="78" t="n"/>
      <c r="I1985" s="78" t="n"/>
      <c r="J1985" s="78" t="n"/>
    </row>
    <row r="1986">
      <c r="A1986" s="84">
        <f>ROW()-6</f>
        <v/>
      </c>
      <c r="B1986" s="85">
        <f>+MATCH(D1986,ARTICULOS!$F$10:$F$699,0)</f>
        <v/>
      </c>
      <c r="C1986" s="86">
        <f>+VLOOKUP(B1986,ARTICULOS!$D$10:$I$699,6)</f>
        <v/>
      </c>
      <c r="D1986" s="212" t="n"/>
      <c r="E1986" s="75">
        <f>+C1986&amp;F1986</f>
        <v/>
      </c>
      <c r="F1986" s="80" t="n"/>
      <c r="G1986" s="81" t="n"/>
      <c r="H1986" s="78" t="n"/>
      <c r="I1986" s="78" t="n"/>
      <c r="J1986" s="78" t="n"/>
    </row>
    <row r="1987">
      <c r="A1987" s="84">
        <f>ROW()-6</f>
        <v/>
      </c>
      <c r="B1987" s="85">
        <f>+MATCH(D1987,ARTICULOS!$F$10:$F$699,0)</f>
        <v/>
      </c>
      <c r="C1987" s="86">
        <f>+VLOOKUP(B1987,ARTICULOS!$D$10:$I$699,6)</f>
        <v/>
      </c>
      <c r="D1987" s="212" t="n"/>
      <c r="E1987" s="75">
        <f>+C1987&amp;F1987</f>
        <v/>
      </c>
      <c r="F1987" s="80" t="n"/>
      <c r="G1987" s="81" t="n"/>
      <c r="H1987" s="78" t="n"/>
      <c r="I1987" s="78" t="n"/>
      <c r="J1987" s="78" t="n"/>
    </row>
    <row r="1988">
      <c r="A1988" s="84">
        <f>ROW()-6</f>
        <v/>
      </c>
      <c r="B1988" s="85">
        <f>+MATCH(D1988,ARTICULOS!$F$10:$F$699,0)</f>
        <v/>
      </c>
      <c r="C1988" s="86">
        <f>+VLOOKUP(B1988,ARTICULOS!$D$10:$I$699,6)</f>
        <v/>
      </c>
      <c r="D1988" s="212" t="n"/>
      <c r="E1988" s="75">
        <f>+C1988&amp;F1988</f>
        <v/>
      </c>
      <c r="F1988" s="80" t="n"/>
      <c r="G1988" s="81" t="n"/>
      <c r="H1988" s="78" t="n"/>
      <c r="I1988" s="78" t="n"/>
      <c r="J1988" s="78" t="n"/>
    </row>
    <row r="1989">
      <c r="A1989" s="84">
        <f>ROW()-6</f>
        <v/>
      </c>
      <c r="B1989" s="85">
        <f>+MATCH(D1989,ARTICULOS!$F$10:$F$699,0)</f>
        <v/>
      </c>
      <c r="C1989" s="86">
        <f>+VLOOKUP(B1989,ARTICULOS!$D$10:$I$699,6)</f>
        <v/>
      </c>
      <c r="D1989" s="212" t="n"/>
      <c r="E1989" s="75">
        <f>+C1989&amp;F1989</f>
        <v/>
      </c>
      <c r="F1989" s="80" t="n"/>
      <c r="G1989" s="81" t="n"/>
      <c r="H1989" s="78" t="n"/>
      <c r="I1989" s="78" t="n"/>
      <c r="J1989" s="78" t="n"/>
    </row>
    <row r="1990">
      <c r="A1990" s="84">
        <f>ROW()-6</f>
        <v/>
      </c>
      <c r="B1990" s="85">
        <f>+MATCH(D1990,ARTICULOS!$F$10:$F$699,0)</f>
        <v/>
      </c>
      <c r="C1990" s="86">
        <f>+VLOOKUP(B1990,ARTICULOS!$D$10:$I$699,6)</f>
        <v/>
      </c>
      <c r="D1990" s="212" t="n"/>
      <c r="E1990" s="75">
        <f>+C1990&amp;F1990</f>
        <v/>
      </c>
      <c r="F1990" s="80" t="n"/>
      <c r="G1990" s="81" t="n"/>
      <c r="H1990" s="78" t="n"/>
      <c r="I1990" s="78" t="n"/>
      <c r="J1990" s="78" t="n"/>
    </row>
    <row r="1991">
      <c r="A1991" s="84">
        <f>ROW()-6</f>
        <v/>
      </c>
      <c r="B1991" s="85">
        <f>+MATCH(D1991,ARTICULOS!$F$10:$F$699,0)</f>
        <v/>
      </c>
      <c r="C1991" s="86">
        <f>+VLOOKUP(B1991,ARTICULOS!$D$10:$I$699,6)</f>
        <v/>
      </c>
      <c r="D1991" s="212" t="n"/>
      <c r="E1991" s="75">
        <f>+C1991&amp;F1991</f>
        <v/>
      </c>
      <c r="F1991" s="80" t="n"/>
      <c r="G1991" s="81" t="n"/>
      <c r="H1991" s="78" t="n"/>
      <c r="I1991" s="78" t="n"/>
      <c r="J1991" s="78" t="n"/>
    </row>
    <row r="1992">
      <c r="A1992" s="84">
        <f>ROW()-6</f>
        <v/>
      </c>
      <c r="B1992" s="85">
        <f>+MATCH(D1992,ARTICULOS!$F$10:$F$699,0)</f>
        <v/>
      </c>
      <c r="C1992" s="86">
        <f>+VLOOKUP(B1992,ARTICULOS!$D$10:$I$699,6)</f>
        <v/>
      </c>
      <c r="D1992" s="212" t="n"/>
      <c r="E1992" s="75">
        <f>+C1992&amp;F1992</f>
        <v/>
      </c>
      <c r="F1992" s="80" t="n"/>
      <c r="G1992" s="81" t="n"/>
      <c r="H1992" s="78" t="n"/>
      <c r="I1992" s="78" t="n"/>
      <c r="J1992" s="78" t="n"/>
    </row>
    <row r="1993">
      <c r="A1993" s="84">
        <f>ROW()-6</f>
        <v/>
      </c>
      <c r="B1993" s="85">
        <f>+MATCH(D1993,ARTICULOS!$F$10:$F$699,0)</f>
        <v/>
      </c>
      <c r="C1993" s="86">
        <f>+VLOOKUP(B1993,ARTICULOS!$D$10:$I$699,6)</f>
        <v/>
      </c>
      <c r="D1993" s="212" t="n"/>
      <c r="E1993" s="75">
        <f>+C1993&amp;F1993</f>
        <v/>
      </c>
      <c r="F1993" s="80" t="n"/>
      <c r="G1993" s="81" t="n"/>
      <c r="H1993" s="78" t="n"/>
      <c r="I1993" s="78" t="n"/>
      <c r="J1993" s="78" t="n"/>
    </row>
    <row r="1994">
      <c r="A1994" s="84">
        <f>ROW()-6</f>
        <v/>
      </c>
      <c r="B1994" s="85">
        <f>+MATCH(D1994,ARTICULOS!$F$10:$F$699,0)</f>
        <v/>
      </c>
      <c r="C1994" s="86">
        <f>+VLOOKUP(B1994,ARTICULOS!$D$10:$I$699,6)</f>
        <v/>
      </c>
      <c r="D1994" s="212" t="n"/>
      <c r="E1994" s="75">
        <f>+C1994&amp;F1994</f>
        <v/>
      </c>
      <c r="F1994" s="80" t="n"/>
      <c r="G1994" s="81" t="n"/>
      <c r="H1994" s="78" t="n"/>
      <c r="I1994" s="78" t="n"/>
      <c r="J1994" s="78" t="n"/>
    </row>
    <row r="1995">
      <c r="A1995" s="84">
        <f>ROW()-6</f>
        <v/>
      </c>
      <c r="B1995" s="85">
        <f>+MATCH(D1995,ARTICULOS!$F$10:$F$699,0)</f>
        <v/>
      </c>
      <c r="C1995" s="86">
        <f>+VLOOKUP(B1995,ARTICULOS!$D$10:$I$699,6)</f>
        <v/>
      </c>
      <c r="D1995" s="212" t="n"/>
      <c r="E1995" s="75">
        <f>+C1995&amp;F1995</f>
        <v/>
      </c>
      <c r="F1995" s="80" t="n"/>
      <c r="G1995" s="81" t="n"/>
      <c r="H1995" s="78" t="n"/>
      <c r="I1995" s="78" t="n"/>
      <c r="J1995" s="78" t="n"/>
    </row>
    <row r="1996">
      <c r="A1996" s="84">
        <f>ROW()-6</f>
        <v/>
      </c>
      <c r="B1996" s="85">
        <f>+MATCH(D1996,ARTICULOS!$F$10:$F$699,0)</f>
        <v/>
      </c>
      <c r="C1996" s="86">
        <f>+VLOOKUP(B1996,ARTICULOS!$D$10:$I$699,6)</f>
        <v/>
      </c>
      <c r="D1996" s="212" t="n"/>
      <c r="E1996" s="75">
        <f>+C1996&amp;F1996</f>
        <v/>
      </c>
      <c r="F1996" s="80" t="n"/>
      <c r="G1996" s="81" t="n"/>
      <c r="H1996" s="78" t="n"/>
      <c r="I1996" s="78" t="n"/>
      <c r="J1996" s="78" t="n"/>
    </row>
    <row r="1997">
      <c r="A1997" s="84">
        <f>ROW()-6</f>
        <v/>
      </c>
      <c r="B1997" s="85">
        <f>+MATCH(D1997,ARTICULOS!$F$10:$F$699,0)</f>
        <v/>
      </c>
      <c r="C1997" s="86">
        <f>+VLOOKUP(B1997,ARTICULOS!$D$10:$I$699,6)</f>
        <v/>
      </c>
      <c r="D1997" s="212" t="n"/>
      <c r="E1997" s="75">
        <f>+C1997&amp;F1997</f>
        <v/>
      </c>
      <c r="F1997" s="80" t="n"/>
      <c r="G1997" s="81" t="n"/>
      <c r="H1997" s="78" t="n"/>
      <c r="I1997" s="78" t="n"/>
      <c r="J1997" s="78" t="n"/>
    </row>
    <row r="1998">
      <c r="A1998" s="84">
        <f>ROW()-6</f>
        <v/>
      </c>
      <c r="B1998" s="85">
        <f>+MATCH(D1998,ARTICULOS!$F$10:$F$699,0)</f>
        <v/>
      </c>
      <c r="C1998" s="86">
        <f>+VLOOKUP(B1998,ARTICULOS!$D$10:$I$699,6)</f>
        <v/>
      </c>
      <c r="D1998" s="212" t="n"/>
      <c r="E1998" s="75">
        <f>+C1998&amp;F1998</f>
        <v/>
      </c>
      <c r="F1998" s="80" t="n"/>
      <c r="G1998" s="81" t="n"/>
      <c r="H1998" s="78" t="n"/>
      <c r="I1998" s="78" t="n"/>
      <c r="J1998" s="78" t="n"/>
    </row>
    <row r="1999">
      <c r="A1999" s="84">
        <f>ROW()-6</f>
        <v/>
      </c>
      <c r="B1999" s="85">
        <f>+MATCH(D1999,ARTICULOS!$F$10:$F$699,0)</f>
        <v/>
      </c>
      <c r="C1999" s="86">
        <f>+VLOOKUP(B1999,ARTICULOS!$D$10:$I$699,6)</f>
        <v/>
      </c>
      <c r="D1999" s="212" t="n"/>
      <c r="E1999" s="75">
        <f>+C1999&amp;F1999</f>
        <v/>
      </c>
      <c r="F1999" s="80" t="n"/>
      <c r="G1999" s="81" t="n"/>
      <c r="H1999" s="78" t="n"/>
      <c r="I1999" s="78" t="n"/>
      <c r="J1999" s="78" t="n"/>
    </row>
    <row r="2000">
      <c r="A2000" s="84">
        <f>ROW()-6</f>
        <v/>
      </c>
      <c r="B2000" s="85">
        <f>+MATCH(D2000,ARTICULOS!$F$10:$F$699,0)</f>
        <v/>
      </c>
      <c r="C2000" s="86">
        <f>+VLOOKUP(B2000,ARTICULOS!$D$10:$I$699,6)</f>
        <v/>
      </c>
      <c r="D2000" s="212" t="n"/>
      <c r="E2000" s="75">
        <f>+C2000&amp;F2000</f>
        <v/>
      </c>
      <c r="F2000" s="80" t="n"/>
      <c r="G2000" s="81" t="n"/>
      <c r="H2000" s="78" t="n"/>
      <c r="I2000" s="78" t="n"/>
      <c r="J2000" s="78" t="n"/>
    </row>
    <row r="2001">
      <c r="A2001" s="84">
        <f>ROW()-6</f>
        <v/>
      </c>
      <c r="B2001" s="85">
        <f>+MATCH(D2001,ARTICULOS!$F$10:$F$699,0)</f>
        <v/>
      </c>
      <c r="C2001" s="86">
        <f>+VLOOKUP(B2001,ARTICULOS!$D$10:$I$699,6)</f>
        <v/>
      </c>
      <c r="D2001" s="212" t="n"/>
      <c r="E2001" s="75">
        <f>+C2001&amp;F2001</f>
        <v/>
      </c>
      <c r="F2001" s="80" t="n"/>
      <c r="G2001" s="81" t="n"/>
      <c r="H2001" s="78" t="n"/>
      <c r="I2001" s="78" t="n"/>
      <c r="J2001" s="78" t="n"/>
    </row>
    <row r="2002">
      <c r="A2002" s="84">
        <f>ROW()-6</f>
        <v/>
      </c>
      <c r="B2002" s="85">
        <f>+MATCH(D2002,ARTICULOS!$F$10:$F$699,0)</f>
        <v/>
      </c>
      <c r="C2002" s="86">
        <f>+VLOOKUP(B2002,ARTICULOS!$D$10:$I$699,6)</f>
        <v/>
      </c>
      <c r="D2002" s="212" t="n"/>
      <c r="E2002" s="75">
        <f>+C2002&amp;F2002</f>
        <v/>
      </c>
      <c r="F2002" s="80" t="n"/>
      <c r="G2002" s="81" t="n"/>
      <c r="H2002" s="78" t="n"/>
      <c r="I2002" s="78" t="n"/>
      <c r="J2002" s="78" t="n"/>
    </row>
    <row r="2003">
      <c r="A2003" s="84">
        <f>ROW()-6</f>
        <v/>
      </c>
      <c r="B2003" s="85">
        <f>+MATCH(D2003,ARTICULOS!$F$10:$F$699,0)</f>
        <v/>
      </c>
      <c r="C2003" s="86">
        <f>+VLOOKUP(B2003,ARTICULOS!$D$10:$I$699,6)</f>
        <v/>
      </c>
      <c r="D2003" s="212" t="n"/>
      <c r="E2003" s="75">
        <f>+C2003&amp;F2003</f>
        <v/>
      </c>
      <c r="F2003" s="80" t="n"/>
      <c r="G2003" s="81" t="n"/>
      <c r="H2003" s="78" t="n"/>
      <c r="I2003" s="78" t="n"/>
      <c r="J2003" s="78" t="n"/>
    </row>
    <row r="2004">
      <c r="A2004" s="84">
        <f>ROW()-6</f>
        <v/>
      </c>
      <c r="B2004" s="85">
        <f>+MATCH(D2004,ARTICULOS!$F$10:$F$699,0)</f>
        <v/>
      </c>
      <c r="C2004" s="86">
        <f>+VLOOKUP(B2004,ARTICULOS!$D$10:$I$699,6)</f>
        <v/>
      </c>
      <c r="D2004" s="212" t="n"/>
      <c r="E2004" s="75">
        <f>+C2004&amp;F2004</f>
        <v/>
      </c>
      <c r="F2004" s="80" t="n"/>
      <c r="G2004" s="81" t="n"/>
      <c r="H2004" s="78" t="n"/>
      <c r="I2004" s="78" t="n"/>
      <c r="J2004" s="78" t="n"/>
    </row>
    <row r="2005">
      <c r="A2005" s="84">
        <f>ROW()-6</f>
        <v/>
      </c>
      <c r="B2005" s="85">
        <f>+MATCH(D2005,ARTICULOS!$F$10:$F$699,0)</f>
        <v/>
      </c>
      <c r="C2005" s="86">
        <f>+VLOOKUP(B2005,ARTICULOS!$D$10:$I$699,6)</f>
        <v/>
      </c>
      <c r="D2005" s="212" t="n"/>
      <c r="E2005" s="75">
        <f>+C2005&amp;F2005</f>
        <v/>
      </c>
      <c r="F2005" s="80" t="n"/>
      <c r="G2005" s="81" t="n"/>
      <c r="H2005" s="78" t="n"/>
      <c r="I2005" s="78" t="n"/>
      <c r="J2005" s="78" t="n"/>
    </row>
    <row r="2006">
      <c r="A2006" s="84">
        <f>ROW()-6</f>
        <v/>
      </c>
      <c r="B2006" s="85">
        <f>+MATCH(D2006,ARTICULOS!$F$10:$F$699,0)</f>
        <v/>
      </c>
      <c r="C2006" s="86">
        <f>+VLOOKUP(B2006,ARTICULOS!$D$10:$I$699,6)</f>
        <v/>
      </c>
      <c r="D2006" s="212" t="n"/>
      <c r="E2006" s="75">
        <f>+C2006&amp;F2006</f>
        <v/>
      </c>
      <c r="F2006" s="80" t="n"/>
      <c r="G2006" s="81" t="n"/>
      <c r="H2006" s="78" t="n"/>
      <c r="I2006" s="78" t="n"/>
      <c r="J2006" s="78" t="n"/>
    </row>
    <row r="2007">
      <c r="A2007" s="84">
        <f>ROW()-6</f>
        <v/>
      </c>
      <c r="B2007" s="85">
        <f>+MATCH(D2007,ARTICULOS!$F$10:$F$699,0)</f>
        <v/>
      </c>
      <c r="C2007" s="86">
        <f>+VLOOKUP(B2007,ARTICULOS!$D$10:$I$699,6)</f>
        <v/>
      </c>
      <c r="D2007" s="212" t="n"/>
      <c r="E2007" s="75">
        <f>+C2007&amp;F2007</f>
        <v/>
      </c>
      <c r="F2007" s="80" t="n"/>
      <c r="G2007" s="81" t="n"/>
      <c r="H2007" s="78" t="n"/>
      <c r="I2007" s="78" t="n"/>
      <c r="J2007" s="78" t="n"/>
    </row>
    <row r="2008">
      <c r="A2008" s="84">
        <f>ROW()-6</f>
        <v/>
      </c>
      <c r="B2008" s="85">
        <f>+MATCH(D2008,ARTICULOS!$F$10:$F$699,0)</f>
        <v/>
      </c>
      <c r="C2008" s="86">
        <f>+VLOOKUP(B2008,ARTICULOS!$D$10:$I$699,6)</f>
        <v/>
      </c>
      <c r="D2008" s="212" t="n"/>
      <c r="E2008" s="75">
        <f>+C2008&amp;F2008</f>
        <v/>
      </c>
      <c r="F2008" s="80" t="n"/>
      <c r="G2008" s="81" t="n"/>
      <c r="H2008" s="78" t="n"/>
      <c r="I2008" s="78" t="n"/>
      <c r="J2008" s="78" t="n"/>
    </row>
    <row r="2009">
      <c r="A2009" s="84">
        <f>ROW()-6</f>
        <v/>
      </c>
      <c r="B2009" s="85">
        <f>+MATCH(D2009,ARTICULOS!$F$10:$F$699,0)</f>
        <v/>
      </c>
      <c r="C2009" s="86">
        <f>+VLOOKUP(B2009,ARTICULOS!$D$10:$I$699,6)</f>
        <v/>
      </c>
      <c r="D2009" s="212" t="n"/>
      <c r="E2009" s="75">
        <f>+C2009&amp;F2009</f>
        <v/>
      </c>
      <c r="F2009" s="80" t="n"/>
      <c r="G2009" s="81" t="n"/>
      <c r="H2009" s="78" t="n"/>
      <c r="I2009" s="78" t="n"/>
      <c r="J2009" s="78" t="n"/>
    </row>
    <row r="2010">
      <c r="A2010" s="84">
        <f>ROW()-6</f>
        <v/>
      </c>
      <c r="B2010" s="85">
        <f>+MATCH(D2010,ARTICULOS!$F$10:$F$699,0)</f>
        <v/>
      </c>
      <c r="C2010" s="86">
        <f>+VLOOKUP(B2010,ARTICULOS!$D$10:$I$699,6)</f>
        <v/>
      </c>
      <c r="D2010" s="212" t="n"/>
      <c r="E2010" s="75">
        <f>+C2010&amp;F2010</f>
        <v/>
      </c>
      <c r="F2010" s="80" t="n"/>
      <c r="G2010" s="81" t="n"/>
      <c r="H2010" s="78" t="n"/>
      <c r="I2010" s="78" t="n"/>
      <c r="J2010" s="78" t="n"/>
    </row>
    <row r="2011">
      <c r="A2011" s="84">
        <f>ROW()-6</f>
        <v/>
      </c>
      <c r="B2011" s="85">
        <f>+MATCH(D2011,ARTICULOS!$F$10:$F$699,0)</f>
        <v/>
      </c>
      <c r="C2011" s="86">
        <f>+VLOOKUP(B2011,ARTICULOS!$D$10:$I$699,6)</f>
        <v/>
      </c>
      <c r="D2011" s="212" t="n"/>
      <c r="E2011" s="75">
        <f>+C2011&amp;F2011</f>
        <v/>
      </c>
      <c r="F2011" s="80" t="n"/>
      <c r="G2011" s="81" t="n"/>
      <c r="H2011" s="78" t="n"/>
      <c r="I2011" s="78" t="n"/>
      <c r="J2011" s="78" t="n"/>
    </row>
    <row r="2012">
      <c r="A2012" s="84">
        <f>ROW()-6</f>
        <v/>
      </c>
      <c r="B2012" s="85">
        <f>+MATCH(D2012,ARTICULOS!$F$10:$F$699,0)</f>
        <v/>
      </c>
      <c r="C2012" s="86">
        <f>+VLOOKUP(B2012,ARTICULOS!$D$10:$I$699,6)</f>
        <v/>
      </c>
      <c r="D2012" s="212" t="n"/>
      <c r="E2012" s="75">
        <f>+C2012&amp;F2012</f>
        <v/>
      </c>
      <c r="F2012" s="80" t="n"/>
      <c r="G2012" s="81" t="n"/>
      <c r="H2012" s="78" t="n"/>
      <c r="I2012" s="78" t="n"/>
      <c r="J2012" s="78" t="n"/>
    </row>
    <row r="2013">
      <c r="A2013" s="84">
        <f>ROW()-6</f>
        <v/>
      </c>
      <c r="B2013" s="85">
        <f>+MATCH(D2013,ARTICULOS!$F$10:$F$699,0)</f>
        <v/>
      </c>
      <c r="C2013" s="86">
        <f>+VLOOKUP(B2013,ARTICULOS!$D$10:$I$699,6)</f>
        <v/>
      </c>
      <c r="D2013" s="212" t="n"/>
      <c r="E2013" s="75">
        <f>+C2013&amp;F2013</f>
        <v/>
      </c>
      <c r="F2013" s="80" t="n"/>
      <c r="G2013" s="81" t="n"/>
      <c r="H2013" s="78" t="n"/>
      <c r="I2013" s="78" t="n"/>
      <c r="J2013" s="78" t="n"/>
    </row>
    <row r="2014">
      <c r="A2014" s="84">
        <f>ROW()-6</f>
        <v/>
      </c>
      <c r="B2014" s="85">
        <f>+MATCH(D2014,ARTICULOS!$F$10:$F$699,0)</f>
        <v/>
      </c>
      <c r="C2014" s="86">
        <f>+VLOOKUP(B2014,ARTICULOS!$D$10:$I$699,6)</f>
        <v/>
      </c>
      <c r="D2014" s="212" t="n"/>
      <c r="E2014" s="75">
        <f>+C2014&amp;F2014</f>
        <v/>
      </c>
      <c r="F2014" s="80" t="n"/>
      <c r="G2014" s="81" t="n"/>
      <c r="H2014" s="78" t="n"/>
      <c r="I2014" s="78" t="n"/>
      <c r="J2014" s="78" t="n"/>
    </row>
    <row r="2015">
      <c r="A2015" s="84">
        <f>ROW()-6</f>
        <v/>
      </c>
      <c r="B2015" s="85">
        <f>+MATCH(D2015,ARTICULOS!$F$10:$F$699,0)</f>
        <v/>
      </c>
      <c r="C2015" s="86">
        <f>+VLOOKUP(B2015,ARTICULOS!$D$10:$I$699,6)</f>
        <v/>
      </c>
      <c r="D2015" s="212" t="n"/>
      <c r="E2015" s="75">
        <f>+C2015&amp;F2015</f>
        <v/>
      </c>
      <c r="F2015" s="80" t="n"/>
      <c r="G2015" s="81" t="n"/>
      <c r="H2015" s="78" t="n"/>
      <c r="I2015" s="78" t="n"/>
      <c r="J2015" s="78" t="n"/>
    </row>
    <row r="2016">
      <c r="A2016" s="84">
        <f>ROW()-6</f>
        <v/>
      </c>
      <c r="B2016" s="85">
        <f>+MATCH(D2016,ARTICULOS!$F$10:$F$699,0)</f>
        <v/>
      </c>
      <c r="C2016" s="86">
        <f>+VLOOKUP(B2016,ARTICULOS!$D$10:$I$699,6)</f>
        <v/>
      </c>
      <c r="D2016" s="212" t="n"/>
      <c r="E2016" s="75">
        <f>+C2016&amp;F2016</f>
        <v/>
      </c>
      <c r="F2016" s="80" t="n"/>
      <c r="G2016" s="81" t="n"/>
      <c r="H2016" s="78" t="n"/>
      <c r="I2016" s="78" t="n"/>
      <c r="J2016" s="78" t="n"/>
    </row>
    <row r="2017">
      <c r="A2017" s="84">
        <f>ROW()-6</f>
        <v/>
      </c>
      <c r="B2017" s="85">
        <f>+MATCH(D2017,ARTICULOS!$F$10:$F$699,0)</f>
        <v/>
      </c>
      <c r="C2017" s="86">
        <f>+VLOOKUP(B2017,ARTICULOS!$D$10:$I$699,6)</f>
        <v/>
      </c>
      <c r="D2017" s="212" t="n"/>
      <c r="E2017" s="75">
        <f>+C2017&amp;F2017</f>
        <v/>
      </c>
      <c r="F2017" s="80" t="n"/>
      <c r="G2017" s="81" t="n"/>
      <c r="H2017" s="78" t="n"/>
      <c r="I2017" s="78" t="n"/>
      <c r="J2017" s="78" t="n"/>
    </row>
    <row r="2018">
      <c r="A2018" s="84">
        <f>ROW()-6</f>
        <v/>
      </c>
      <c r="B2018" s="85">
        <f>+MATCH(D2018,ARTICULOS!$F$10:$F$699,0)</f>
        <v/>
      </c>
      <c r="C2018" s="86">
        <f>+VLOOKUP(B2018,ARTICULOS!$D$10:$I$699,6)</f>
        <v/>
      </c>
      <c r="D2018" s="212" t="n"/>
      <c r="E2018" s="75">
        <f>+C2018&amp;F2018</f>
        <v/>
      </c>
      <c r="F2018" s="80" t="n"/>
      <c r="G2018" s="81" t="n"/>
      <c r="H2018" s="78" t="n"/>
      <c r="I2018" s="78" t="n"/>
      <c r="J2018" s="78" t="n"/>
    </row>
    <row r="2019">
      <c r="A2019" s="84">
        <f>ROW()-6</f>
        <v/>
      </c>
      <c r="B2019" s="85">
        <f>+MATCH(D2019,ARTICULOS!$F$10:$F$699,0)</f>
        <v/>
      </c>
      <c r="C2019" s="86">
        <f>+VLOOKUP(B2019,ARTICULOS!$D$10:$I$699,6)</f>
        <v/>
      </c>
      <c r="D2019" s="212" t="n"/>
      <c r="E2019" s="75">
        <f>+C2019&amp;F2019</f>
        <v/>
      </c>
      <c r="F2019" s="80" t="n"/>
      <c r="G2019" s="81" t="n"/>
      <c r="H2019" s="78" t="n"/>
      <c r="I2019" s="78" t="n"/>
      <c r="J2019" s="78" t="n"/>
    </row>
    <row r="2020">
      <c r="A2020" s="84">
        <f>ROW()-6</f>
        <v/>
      </c>
      <c r="B2020" s="85">
        <f>+MATCH(D2020,ARTICULOS!$F$10:$F$699,0)</f>
        <v/>
      </c>
      <c r="C2020" s="86">
        <f>+VLOOKUP(B2020,ARTICULOS!$D$10:$I$699,6)</f>
        <v/>
      </c>
      <c r="D2020" s="212" t="n"/>
      <c r="E2020" s="75">
        <f>+C2020&amp;F2020</f>
        <v/>
      </c>
      <c r="F2020" s="80" t="n"/>
      <c r="G2020" s="81" t="n"/>
      <c r="H2020" s="78" t="n"/>
      <c r="I2020" s="78" t="n"/>
      <c r="J2020" s="78" t="n"/>
    </row>
    <row r="2021">
      <c r="A2021" s="84">
        <f>ROW()-6</f>
        <v/>
      </c>
      <c r="B2021" s="85">
        <f>+MATCH(D2021,ARTICULOS!$F$10:$F$699,0)</f>
        <v/>
      </c>
      <c r="C2021" s="86">
        <f>+VLOOKUP(B2021,ARTICULOS!$D$10:$I$699,6)</f>
        <v/>
      </c>
      <c r="D2021" s="212" t="n"/>
      <c r="E2021" s="75">
        <f>+C2021&amp;F2021</f>
        <v/>
      </c>
      <c r="F2021" s="80" t="n"/>
      <c r="G2021" s="81" t="n"/>
      <c r="H2021" s="78" t="n"/>
      <c r="I2021" s="78" t="n"/>
      <c r="J2021" s="78" t="n"/>
    </row>
    <row r="2022">
      <c r="A2022" s="84">
        <f>ROW()-6</f>
        <v/>
      </c>
      <c r="B2022" s="85">
        <f>+MATCH(D2022,ARTICULOS!$F$10:$F$699,0)</f>
        <v/>
      </c>
      <c r="C2022" s="86">
        <f>+VLOOKUP(B2022,ARTICULOS!$D$10:$I$699,6)</f>
        <v/>
      </c>
      <c r="D2022" s="212" t="n"/>
      <c r="E2022" s="75">
        <f>+C2022&amp;F2022</f>
        <v/>
      </c>
      <c r="F2022" s="80" t="n"/>
      <c r="G2022" s="81" t="n"/>
      <c r="H2022" s="78" t="n"/>
      <c r="I2022" s="78" t="n"/>
      <c r="J2022" s="78" t="n"/>
    </row>
    <row r="2023">
      <c r="A2023" s="84">
        <f>ROW()-6</f>
        <v/>
      </c>
      <c r="B2023" s="85">
        <f>+MATCH(D2023,ARTICULOS!$F$10:$F$699,0)</f>
        <v/>
      </c>
      <c r="C2023" s="86">
        <f>+VLOOKUP(B2023,ARTICULOS!$D$10:$I$699,6)</f>
        <v/>
      </c>
      <c r="D2023" s="212" t="n"/>
      <c r="E2023" s="75">
        <f>+C2023&amp;F2023</f>
        <v/>
      </c>
      <c r="F2023" s="80" t="n"/>
      <c r="G2023" s="81" t="n"/>
      <c r="H2023" s="78" t="n"/>
      <c r="I2023" s="78" t="n"/>
      <c r="J2023" s="78" t="n"/>
    </row>
    <row r="2024">
      <c r="A2024" s="84">
        <f>ROW()-6</f>
        <v/>
      </c>
      <c r="B2024" s="85">
        <f>+MATCH(D2024,ARTICULOS!$F$10:$F$699,0)</f>
        <v/>
      </c>
      <c r="C2024" s="86">
        <f>+VLOOKUP(B2024,ARTICULOS!$D$10:$I$699,6)</f>
        <v/>
      </c>
      <c r="D2024" s="212" t="n"/>
      <c r="E2024" s="75">
        <f>+C2024&amp;F2024</f>
        <v/>
      </c>
      <c r="F2024" s="80" t="n"/>
      <c r="G2024" s="81" t="n"/>
      <c r="H2024" s="78" t="n"/>
      <c r="I2024" s="78" t="n"/>
      <c r="J2024" s="78" t="n"/>
    </row>
    <row r="2025">
      <c r="A2025" s="84">
        <f>ROW()-6</f>
        <v/>
      </c>
      <c r="B2025" s="85">
        <f>+MATCH(D2025,ARTICULOS!$F$10:$F$699,0)</f>
        <v/>
      </c>
      <c r="C2025" s="86">
        <f>+VLOOKUP(B2025,ARTICULOS!$D$10:$I$699,6)</f>
        <v/>
      </c>
      <c r="D2025" s="212" t="n"/>
      <c r="E2025" s="75">
        <f>+C2025&amp;F2025</f>
        <v/>
      </c>
      <c r="F2025" s="80" t="n"/>
      <c r="G2025" s="81" t="n"/>
      <c r="H2025" s="78" t="n"/>
      <c r="I2025" s="78" t="n"/>
      <c r="J2025" s="78" t="n"/>
    </row>
    <row r="2026">
      <c r="A2026" s="84">
        <f>ROW()-6</f>
        <v/>
      </c>
      <c r="B2026" s="85">
        <f>+MATCH(D2026,ARTICULOS!$F$10:$F$699,0)</f>
        <v/>
      </c>
      <c r="C2026" s="86">
        <f>+VLOOKUP(B2026,ARTICULOS!$D$10:$I$699,6)</f>
        <v/>
      </c>
      <c r="D2026" s="212" t="n"/>
      <c r="E2026" s="75">
        <f>+C2026&amp;F2026</f>
        <v/>
      </c>
      <c r="F2026" s="80" t="n"/>
      <c r="G2026" s="81" t="n"/>
      <c r="H2026" s="78" t="n"/>
      <c r="I2026" s="78" t="n"/>
      <c r="J2026" s="78" t="n"/>
    </row>
    <row r="2027">
      <c r="A2027" s="84">
        <f>ROW()-6</f>
        <v/>
      </c>
      <c r="B2027" s="85">
        <f>+MATCH(D2027,ARTICULOS!$F$10:$F$699,0)</f>
        <v/>
      </c>
      <c r="C2027" s="86">
        <f>+VLOOKUP(B2027,ARTICULOS!$D$10:$I$699,6)</f>
        <v/>
      </c>
      <c r="D2027" s="212" t="n"/>
      <c r="E2027" s="75">
        <f>+C2027&amp;F2027</f>
        <v/>
      </c>
      <c r="F2027" s="80" t="n"/>
      <c r="G2027" s="81" t="n"/>
      <c r="H2027" s="78" t="n"/>
      <c r="I2027" s="78" t="n"/>
      <c r="J2027" s="78" t="n"/>
    </row>
    <row r="2028">
      <c r="A2028" s="84">
        <f>ROW()-6</f>
        <v/>
      </c>
      <c r="B2028" s="85">
        <f>+MATCH(D2028,ARTICULOS!$F$10:$F$699,0)</f>
        <v/>
      </c>
      <c r="C2028" s="86">
        <f>+VLOOKUP(B2028,ARTICULOS!$D$10:$I$699,6)</f>
        <v/>
      </c>
      <c r="D2028" s="212" t="n"/>
      <c r="E2028" s="75">
        <f>+C2028&amp;F2028</f>
        <v/>
      </c>
      <c r="F2028" s="80" t="n"/>
      <c r="G2028" s="81" t="n"/>
      <c r="H2028" s="78" t="n"/>
      <c r="I2028" s="78" t="n"/>
      <c r="J2028" s="78" t="n"/>
    </row>
    <row r="2029">
      <c r="A2029" s="84">
        <f>ROW()-6</f>
        <v/>
      </c>
      <c r="B2029" s="85">
        <f>+MATCH(D2029,ARTICULOS!$F$10:$F$699,0)</f>
        <v/>
      </c>
      <c r="C2029" s="86">
        <f>+VLOOKUP(B2029,ARTICULOS!$D$10:$I$699,6)</f>
        <v/>
      </c>
      <c r="D2029" s="212" t="n"/>
      <c r="E2029" s="75">
        <f>+C2029&amp;F2029</f>
        <v/>
      </c>
      <c r="F2029" s="80" t="n"/>
      <c r="G2029" s="81" t="n"/>
      <c r="H2029" s="78" t="n"/>
      <c r="I2029" s="78" t="n"/>
      <c r="J2029" s="78" t="n"/>
    </row>
    <row r="2030">
      <c r="A2030" s="84">
        <f>ROW()-6</f>
        <v/>
      </c>
      <c r="B2030" s="85">
        <f>+MATCH(D2030,ARTICULOS!$F$10:$F$699,0)</f>
        <v/>
      </c>
      <c r="C2030" s="86">
        <f>+VLOOKUP(B2030,ARTICULOS!$D$10:$I$699,6)</f>
        <v/>
      </c>
      <c r="D2030" s="212" t="n"/>
      <c r="E2030" s="75">
        <f>+C2030&amp;F2030</f>
        <v/>
      </c>
      <c r="F2030" s="80" t="n"/>
      <c r="G2030" s="81" t="n"/>
      <c r="H2030" s="78" t="n"/>
      <c r="I2030" s="78" t="n"/>
      <c r="J2030" s="78" t="n"/>
    </row>
    <row r="2031">
      <c r="A2031" s="84">
        <f>ROW()-6</f>
        <v/>
      </c>
      <c r="B2031" s="85">
        <f>+MATCH(D2031,ARTICULOS!$F$10:$F$699,0)</f>
        <v/>
      </c>
      <c r="C2031" s="86">
        <f>+VLOOKUP(B2031,ARTICULOS!$D$10:$I$699,6)</f>
        <v/>
      </c>
      <c r="D2031" s="212" t="n"/>
      <c r="E2031" s="75">
        <f>+C2031&amp;F2031</f>
        <v/>
      </c>
      <c r="F2031" s="80" t="n"/>
      <c r="G2031" s="81" t="n"/>
      <c r="H2031" s="78" t="n"/>
      <c r="I2031" s="78" t="n"/>
      <c r="J2031" s="78" t="n"/>
    </row>
    <row r="2032">
      <c r="A2032" s="84">
        <f>ROW()-6</f>
        <v/>
      </c>
      <c r="B2032" s="85">
        <f>+MATCH(D2032,ARTICULOS!$F$10:$F$699,0)</f>
        <v/>
      </c>
      <c r="C2032" s="86">
        <f>+VLOOKUP(B2032,ARTICULOS!$D$10:$I$699,6)</f>
        <v/>
      </c>
      <c r="D2032" s="212" t="n"/>
      <c r="E2032" s="75">
        <f>+C2032&amp;F2032</f>
        <v/>
      </c>
      <c r="F2032" s="80" t="n"/>
      <c r="G2032" s="81" t="n"/>
      <c r="H2032" s="78" t="n"/>
      <c r="I2032" s="78" t="n"/>
      <c r="J2032" s="78" t="n"/>
    </row>
    <row r="2033">
      <c r="A2033" s="84">
        <f>ROW()-6</f>
        <v/>
      </c>
      <c r="B2033" s="85">
        <f>+MATCH(D2033,ARTICULOS!$F$10:$F$699,0)</f>
        <v/>
      </c>
      <c r="C2033" s="86">
        <f>+VLOOKUP(B2033,ARTICULOS!$D$10:$I$699,6)</f>
        <v/>
      </c>
      <c r="D2033" s="212" t="n"/>
      <c r="E2033" s="75">
        <f>+C2033&amp;F2033</f>
        <v/>
      </c>
      <c r="F2033" s="80" t="n"/>
      <c r="G2033" s="81" t="n"/>
      <c r="H2033" s="78" t="n"/>
      <c r="I2033" s="78" t="n"/>
      <c r="J2033" s="78" t="n"/>
    </row>
    <row r="2034">
      <c r="A2034" s="84">
        <f>ROW()-6</f>
        <v/>
      </c>
      <c r="B2034" s="85">
        <f>+MATCH(D2034,ARTICULOS!$F$10:$F$699,0)</f>
        <v/>
      </c>
      <c r="C2034" s="86">
        <f>+VLOOKUP(B2034,ARTICULOS!$D$10:$I$699,6)</f>
        <v/>
      </c>
      <c r="D2034" s="212" t="n"/>
      <c r="E2034" s="75">
        <f>+C2034&amp;F2034</f>
        <v/>
      </c>
      <c r="F2034" s="80" t="n"/>
      <c r="G2034" s="81" t="n"/>
      <c r="H2034" s="78" t="n"/>
      <c r="I2034" s="78" t="n"/>
      <c r="J2034" s="78" t="n"/>
    </row>
    <row r="2035">
      <c r="A2035" s="84">
        <f>ROW()-6</f>
        <v/>
      </c>
      <c r="B2035" s="85">
        <f>+MATCH(D2035,ARTICULOS!$F$10:$F$699,0)</f>
        <v/>
      </c>
      <c r="C2035" s="86">
        <f>+VLOOKUP(B2035,ARTICULOS!$D$10:$I$699,6)</f>
        <v/>
      </c>
      <c r="D2035" s="212" t="n"/>
      <c r="E2035" s="75">
        <f>+C2035&amp;F2035</f>
        <v/>
      </c>
      <c r="F2035" s="80" t="n"/>
      <c r="G2035" s="81" t="n"/>
      <c r="H2035" s="78" t="n"/>
      <c r="I2035" s="78" t="n"/>
      <c r="J2035" s="78" t="n"/>
    </row>
    <row r="2036">
      <c r="A2036" s="84">
        <f>ROW()-6</f>
        <v/>
      </c>
      <c r="B2036" s="85">
        <f>+MATCH(D2036,ARTICULOS!$F$10:$F$699,0)</f>
        <v/>
      </c>
      <c r="C2036" s="86">
        <f>+VLOOKUP(B2036,ARTICULOS!$D$10:$I$699,6)</f>
        <v/>
      </c>
      <c r="D2036" s="212" t="n"/>
      <c r="E2036" s="75">
        <f>+C2036&amp;F2036</f>
        <v/>
      </c>
      <c r="F2036" s="80" t="n"/>
      <c r="G2036" s="81" t="n"/>
      <c r="H2036" s="78" t="n"/>
      <c r="I2036" s="78" t="n"/>
      <c r="J2036" s="78" t="n"/>
    </row>
    <row r="2037">
      <c r="A2037" s="84">
        <f>ROW()-6</f>
        <v/>
      </c>
      <c r="B2037" s="85">
        <f>+MATCH(D2037,ARTICULOS!$F$10:$F$699,0)</f>
        <v/>
      </c>
      <c r="C2037" s="86">
        <f>+VLOOKUP(B2037,ARTICULOS!$D$10:$I$699,6)</f>
        <v/>
      </c>
      <c r="D2037" s="212" t="n"/>
      <c r="E2037" s="75">
        <f>+C2037&amp;F2037</f>
        <v/>
      </c>
      <c r="F2037" s="80" t="n"/>
      <c r="G2037" s="81" t="n"/>
      <c r="H2037" s="78" t="n"/>
      <c r="I2037" s="78" t="n"/>
      <c r="J2037" s="78" t="n"/>
    </row>
    <row r="2038">
      <c r="A2038" s="84">
        <f>ROW()-6</f>
        <v/>
      </c>
      <c r="B2038" s="85">
        <f>+MATCH(D2038,ARTICULOS!$F$10:$F$699,0)</f>
        <v/>
      </c>
      <c r="C2038" s="86">
        <f>+VLOOKUP(B2038,ARTICULOS!$D$10:$I$699,6)</f>
        <v/>
      </c>
      <c r="D2038" s="212" t="n"/>
      <c r="E2038" s="75">
        <f>+C2038&amp;F2038</f>
        <v/>
      </c>
      <c r="F2038" s="80" t="n"/>
      <c r="G2038" s="81" t="n"/>
      <c r="H2038" s="78" t="n"/>
      <c r="I2038" s="78" t="n"/>
      <c r="J2038" s="78" t="n"/>
    </row>
    <row r="2039">
      <c r="A2039" s="84">
        <f>ROW()-6</f>
        <v/>
      </c>
      <c r="B2039" s="85">
        <f>+MATCH(D2039,ARTICULOS!$F$10:$F$699,0)</f>
        <v/>
      </c>
      <c r="C2039" s="86">
        <f>+VLOOKUP(B2039,ARTICULOS!$D$10:$I$699,6)</f>
        <v/>
      </c>
      <c r="D2039" s="212" t="n"/>
      <c r="E2039" s="75">
        <f>+C2039&amp;F2039</f>
        <v/>
      </c>
      <c r="F2039" s="80" t="n"/>
      <c r="G2039" s="81" t="n"/>
      <c r="H2039" s="78" t="n"/>
      <c r="I2039" s="78" t="n"/>
      <c r="J2039" s="78" t="n"/>
    </row>
    <row r="2040">
      <c r="A2040" s="84">
        <f>ROW()-6</f>
        <v/>
      </c>
      <c r="B2040" s="85">
        <f>+MATCH(D2040,ARTICULOS!$F$10:$F$699,0)</f>
        <v/>
      </c>
      <c r="C2040" s="86">
        <f>+VLOOKUP(B2040,ARTICULOS!$D$10:$I$699,6)</f>
        <v/>
      </c>
      <c r="D2040" s="212" t="n"/>
      <c r="E2040" s="75">
        <f>+C2040&amp;F2040</f>
        <v/>
      </c>
      <c r="F2040" s="80" t="n"/>
      <c r="G2040" s="81" t="n"/>
      <c r="H2040" s="78" t="n"/>
      <c r="I2040" s="78" t="n"/>
      <c r="J2040" s="78" t="n"/>
    </row>
    <row r="2041">
      <c r="A2041" s="84">
        <f>ROW()-6</f>
        <v/>
      </c>
      <c r="B2041" s="85">
        <f>+MATCH(D2041,ARTICULOS!$F$10:$F$699,0)</f>
        <v/>
      </c>
      <c r="C2041" s="86">
        <f>+VLOOKUP(B2041,ARTICULOS!$D$10:$I$699,6)</f>
        <v/>
      </c>
      <c r="D2041" s="212" t="n"/>
      <c r="E2041" s="75">
        <f>+C2041&amp;F2041</f>
        <v/>
      </c>
      <c r="F2041" s="80" t="n"/>
      <c r="G2041" s="81" t="n"/>
      <c r="H2041" s="78" t="n"/>
      <c r="I2041" s="78" t="n"/>
      <c r="J2041" s="78" t="n"/>
    </row>
    <row r="2042">
      <c r="A2042" s="84">
        <f>ROW()-6</f>
        <v/>
      </c>
      <c r="B2042" s="85">
        <f>+MATCH(D2042,ARTICULOS!$F$10:$F$699,0)</f>
        <v/>
      </c>
      <c r="C2042" s="86">
        <f>+VLOOKUP(B2042,ARTICULOS!$D$10:$I$699,6)</f>
        <v/>
      </c>
      <c r="D2042" s="212" t="n"/>
      <c r="E2042" s="75">
        <f>+C2042&amp;F2042</f>
        <v/>
      </c>
      <c r="F2042" s="80" t="n"/>
      <c r="G2042" s="81" t="n"/>
      <c r="H2042" s="78" t="n"/>
      <c r="I2042" s="78" t="n"/>
      <c r="J2042" s="78" t="n"/>
    </row>
    <row r="2043">
      <c r="A2043" s="84">
        <f>ROW()-6</f>
        <v/>
      </c>
      <c r="B2043" s="85">
        <f>+MATCH(D2043,ARTICULOS!$F$10:$F$699,0)</f>
        <v/>
      </c>
      <c r="C2043" s="86">
        <f>+VLOOKUP(B2043,ARTICULOS!$D$10:$I$699,6)</f>
        <v/>
      </c>
      <c r="D2043" s="212" t="n"/>
      <c r="E2043" s="75">
        <f>+C2043&amp;F2043</f>
        <v/>
      </c>
      <c r="F2043" s="80" t="n"/>
      <c r="G2043" s="81" t="n"/>
      <c r="H2043" s="78" t="n"/>
      <c r="I2043" s="78" t="n"/>
      <c r="J2043" s="78" t="n"/>
    </row>
    <row r="2044">
      <c r="A2044" s="84">
        <f>ROW()-6</f>
        <v/>
      </c>
      <c r="B2044" s="85">
        <f>+MATCH(D2044,ARTICULOS!$F$10:$F$699,0)</f>
        <v/>
      </c>
      <c r="C2044" s="86">
        <f>+VLOOKUP(B2044,ARTICULOS!$D$10:$I$699,6)</f>
        <v/>
      </c>
      <c r="D2044" s="212" t="n"/>
      <c r="E2044" s="75">
        <f>+C2044&amp;F2044</f>
        <v/>
      </c>
      <c r="F2044" s="80" t="n"/>
      <c r="G2044" s="81" t="n"/>
      <c r="H2044" s="78" t="n"/>
      <c r="I2044" s="78" t="n"/>
      <c r="J2044" s="78" t="n"/>
    </row>
    <row r="2045">
      <c r="A2045" s="84">
        <f>ROW()-6</f>
        <v/>
      </c>
      <c r="B2045" s="85">
        <f>+MATCH(D2045,ARTICULOS!$F$10:$F$699,0)</f>
        <v/>
      </c>
      <c r="C2045" s="86">
        <f>+VLOOKUP(B2045,ARTICULOS!$D$10:$I$699,6)</f>
        <v/>
      </c>
      <c r="D2045" s="212" t="n"/>
      <c r="E2045" s="75">
        <f>+C2045&amp;F2045</f>
        <v/>
      </c>
      <c r="F2045" s="80" t="n"/>
      <c r="G2045" s="81" t="n"/>
      <c r="H2045" s="78" t="n"/>
      <c r="I2045" s="78" t="n"/>
      <c r="J2045" s="78" t="n"/>
    </row>
    <row r="2046">
      <c r="A2046" s="84">
        <f>ROW()-6</f>
        <v/>
      </c>
      <c r="B2046" s="85">
        <f>+MATCH(D2046,ARTICULOS!$F$10:$F$699,0)</f>
        <v/>
      </c>
      <c r="C2046" s="86">
        <f>+VLOOKUP(B2046,ARTICULOS!$D$10:$I$699,6)</f>
        <v/>
      </c>
      <c r="D2046" s="212" t="n"/>
      <c r="E2046" s="75">
        <f>+C2046&amp;F2046</f>
        <v/>
      </c>
      <c r="F2046" s="80" t="n"/>
      <c r="G2046" s="81" t="n"/>
      <c r="H2046" s="78" t="n"/>
      <c r="I2046" s="78" t="n"/>
      <c r="J2046" s="78" t="n"/>
    </row>
    <row r="2047">
      <c r="A2047" s="84">
        <f>ROW()-6</f>
        <v/>
      </c>
      <c r="B2047" s="85">
        <f>+MATCH(D2047,ARTICULOS!$F$10:$F$699,0)</f>
        <v/>
      </c>
      <c r="C2047" s="86">
        <f>+VLOOKUP(B2047,ARTICULOS!$D$10:$I$699,6)</f>
        <v/>
      </c>
      <c r="D2047" s="212" t="n"/>
      <c r="E2047" s="75">
        <f>+C2047&amp;F2047</f>
        <v/>
      </c>
      <c r="F2047" s="80" t="n"/>
      <c r="G2047" s="81" t="n"/>
      <c r="H2047" s="78" t="n"/>
      <c r="I2047" s="78" t="n"/>
      <c r="J2047" s="78" t="n"/>
    </row>
    <row r="2048">
      <c r="A2048" s="84">
        <f>ROW()-6</f>
        <v/>
      </c>
      <c r="B2048" s="85">
        <f>+MATCH(D2048,ARTICULOS!$F$10:$F$699,0)</f>
        <v/>
      </c>
      <c r="C2048" s="86">
        <f>+VLOOKUP(B2048,ARTICULOS!$D$10:$I$699,6)</f>
        <v/>
      </c>
      <c r="D2048" s="212" t="n"/>
      <c r="E2048" s="75">
        <f>+C2048&amp;F2048</f>
        <v/>
      </c>
      <c r="F2048" s="80" t="n"/>
      <c r="G2048" s="81" t="n"/>
      <c r="H2048" s="78" t="n"/>
      <c r="I2048" s="78" t="n"/>
      <c r="J2048" s="78" t="n"/>
    </row>
    <row r="2049">
      <c r="A2049" s="84">
        <f>ROW()-6</f>
        <v/>
      </c>
      <c r="B2049" s="85">
        <f>+MATCH(D2049,ARTICULOS!$F$10:$F$699,0)</f>
        <v/>
      </c>
      <c r="C2049" s="86">
        <f>+VLOOKUP(B2049,ARTICULOS!$D$10:$I$699,6)</f>
        <v/>
      </c>
      <c r="D2049" s="212" t="n"/>
      <c r="E2049" s="75">
        <f>+C2049&amp;F2049</f>
        <v/>
      </c>
      <c r="F2049" s="80" t="n"/>
      <c r="G2049" s="81" t="n"/>
      <c r="H2049" s="78" t="n"/>
      <c r="I2049" s="78" t="n"/>
      <c r="J2049" s="78" t="n"/>
    </row>
    <row r="2050">
      <c r="A2050" s="84">
        <f>ROW()-6</f>
        <v/>
      </c>
      <c r="B2050" s="85">
        <f>+MATCH(D2050,ARTICULOS!$F$10:$F$699,0)</f>
        <v/>
      </c>
      <c r="C2050" s="86">
        <f>+VLOOKUP(B2050,ARTICULOS!$D$10:$I$699,6)</f>
        <v/>
      </c>
      <c r="D2050" s="212" t="n"/>
      <c r="E2050" s="75">
        <f>+C2050&amp;F2050</f>
        <v/>
      </c>
      <c r="F2050" s="80" t="n"/>
      <c r="G2050" s="81" t="n"/>
      <c r="H2050" s="78" t="n"/>
      <c r="I2050" s="78" t="n"/>
      <c r="J2050" s="78" t="n"/>
    </row>
    <row r="2051">
      <c r="A2051" s="84">
        <f>ROW()-6</f>
        <v/>
      </c>
      <c r="B2051" s="85">
        <f>+MATCH(D2051,ARTICULOS!$F$10:$F$699,0)</f>
        <v/>
      </c>
      <c r="C2051" s="86">
        <f>+VLOOKUP(B2051,ARTICULOS!$D$10:$I$699,6)</f>
        <v/>
      </c>
      <c r="D2051" s="212" t="n"/>
      <c r="E2051" s="75">
        <f>+C2051&amp;F2051</f>
        <v/>
      </c>
      <c r="F2051" s="80" t="n"/>
      <c r="G2051" s="81" t="n"/>
      <c r="H2051" s="78" t="n"/>
      <c r="I2051" s="78" t="n"/>
      <c r="J2051" s="78" t="n"/>
    </row>
    <row r="2052">
      <c r="A2052" s="84">
        <f>ROW()-6</f>
        <v/>
      </c>
      <c r="B2052" s="85">
        <f>+MATCH(D2052,ARTICULOS!$F$10:$F$699,0)</f>
        <v/>
      </c>
      <c r="C2052" s="86">
        <f>+VLOOKUP(B2052,ARTICULOS!$D$10:$I$699,6)</f>
        <v/>
      </c>
      <c r="D2052" s="212" t="n"/>
      <c r="E2052" s="75">
        <f>+C2052&amp;F2052</f>
        <v/>
      </c>
      <c r="F2052" s="80" t="n"/>
      <c r="G2052" s="81" t="n"/>
      <c r="H2052" s="78" t="n"/>
      <c r="I2052" s="78" t="n"/>
      <c r="J2052" s="78" t="n"/>
    </row>
    <row r="2053">
      <c r="A2053" s="84">
        <f>ROW()-6</f>
        <v/>
      </c>
      <c r="B2053" s="85">
        <f>+MATCH(D2053,ARTICULOS!$F$10:$F$699,0)</f>
        <v/>
      </c>
      <c r="C2053" s="86">
        <f>+VLOOKUP(B2053,ARTICULOS!$D$10:$I$699,6)</f>
        <v/>
      </c>
      <c r="D2053" s="212" t="n"/>
      <c r="E2053" s="75">
        <f>+C2053&amp;F2053</f>
        <v/>
      </c>
      <c r="F2053" s="80" t="n"/>
      <c r="G2053" s="81" t="n"/>
      <c r="H2053" s="78" t="n"/>
      <c r="I2053" s="78" t="n"/>
      <c r="J2053" s="78" t="n"/>
    </row>
    <row r="2054">
      <c r="A2054" s="84">
        <f>ROW()-6</f>
        <v/>
      </c>
      <c r="B2054" s="85">
        <f>+MATCH(D2054,ARTICULOS!$F$10:$F$699,0)</f>
        <v/>
      </c>
      <c r="C2054" s="86">
        <f>+VLOOKUP(B2054,ARTICULOS!$D$10:$I$699,6)</f>
        <v/>
      </c>
      <c r="D2054" s="212" t="n"/>
      <c r="E2054" s="75">
        <f>+C2054&amp;F2054</f>
        <v/>
      </c>
      <c r="F2054" s="80" t="n"/>
      <c r="G2054" s="81" t="n"/>
      <c r="H2054" s="78" t="n"/>
      <c r="I2054" s="78" t="n"/>
      <c r="J2054" s="78" t="n"/>
    </row>
    <row r="2055">
      <c r="A2055" s="84">
        <f>ROW()-6</f>
        <v/>
      </c>
      <c r="B2055" s="85">
        <f>+MATCH(D2055,ARTICULOS!$F$10:$F$699,0)</f>
        <v/>
      </c>
      <c r="C2055" s="86">
        <f>+VLOOKUP(B2055,ARTICULOS!$D$10:$I$699,6)</f>
        <v/>
      </c>
      <c r="D2055" s="212" t="n"/>
      <c r="E2055" s="75">
        <f>+C2055&amp;F2055</f>
        <v/>
      </c>
      <c r="F2055" s="80" t="n"/>
      <c r="G2055" s="81" t="n"/>
      <c r="H2055" s="78" t="n"/>
      <c r="I2055" s="78" t="n"/>
      <c r="J2055" s="78" t="n"/>
    </row>
    <row r="2056">
      <c r="A2056" s="84">
        <f>ROW()-6</f>
        <v/>
      </c>
      <c r="B2056" s="85">
        <f>+MATCH(D2056,ARTICULOS!$F$10:$F$699,0)</f>
        <v/>
      </c>
      <c r="C2056" s="86">
        <f>+VLOOKUP(B2056,ARTICULOS!$D$10:$I$699,6)</f>
        <v/>
      </c>
      <c r="D2056" s="212" t="n"/>
      <c r="E2056" s="75">
        <f>+C2056&amp;F2056</f>
        <v/>
      </c>
      <c r="F2056" s="80" t="n"/>
      <c r="G2056" s="81" t="n"/>
      <c r="H2056" s="78" t="n"/>
      <c r="I2056" s="78" t="n"/>
      <c r="J2056" s="78" t="n"/>
    </row>
    <row r="2057">
      <c r="A2057" s="84">
        <f>ROW()-6</f>
        <v/>
      </c>
      <c r="B2057" s="85">
        <f>+MATCH(D2057,ARTICULOS!$F$10:$F$699,0)</f>
        <v/>
      </c>
      <c r="C2057" s="86">
        <f>+VLOOKUP(B2057,ARTICULOS!$D$10:$I$699,6)</f>
        <v/>
      </c>
      <c r="D2057" s="212" t="n"/>
      <c r="E2057" s="75">
        <f>+C2057&amp;F2057</f>
        <v/>
      </c>
      <c r="F2057" s="80" t="n"/>
      <c r="G2057" s="81" t="n"/>
      <c r="H2057" s="78" t="n"/>
      <c r="I2057" s="78" t="n"/>
      <c r="J2057" s="78" t="n"/>
    </row>
    <row r="2058">
      <c r="A2058" s="84">
        <f>ROW()-6</f>
        <v/>
      </c>
      <c r="B2058" s="85">
        <f>+MATCH(D2058,ARTICULOS!$F$10:$F$699,0)</f>
        <v/>
      </c>
      <c r="C2058" s="86">
        <f>+VLOOKUP(B2058,ARTICULOS!$D$10:$I$699,6)</f>
        <v/>
      </c>
      <c r="D2058" s="212" t="n"/>
      <c r="E2058" s="75">
        <f>+C2058&amp;F2058</f>
        <v/>
      </c>
      <c r="F2058" s="80" t="n"/>
      <c r="G2058" s="81" t="n"/>
      <c r="H2058" s="78" t="n"/>
      <c r="I2058" s="78" t="n"/>
      <c r="J2058" s="78" t="n"/>
    </row>
    <row r="2059">
      <c r="A2059" s="84">
        <f>ROW()-6</f>
        <v/>
      </c>
      <c r="B2059" s="85">
        <f>+MATCH(D2059,ARTICULOS!$F$10:$F$699,0)</f>
        <v/>
      </c>
      <c r="C2059" s="86">
        <f>+VLOOKUP(B2059,ARTICULOS!$D$10:$I$699,6)</f>
        <v/>
      </c>
      <c r="D2059" s="212" t="n"/>
      <c r="E2059" s="75">
        <f>+C2059&amp;F2059</f>
        <v/>
      </c>
      <c r="F2059" s="80" t="n"/>
      <c r="G2059" s="81" t="n"/>
      <c r="H2059" s="78" t="n"/>
      <c r="I2059" s="78" t="n"/>
      <c r="J2059" s="78" t="n"/>
    </row>
    <row r="2060">
      <c r="A2060" s="84">
        <f>ROW()-6</f>
        <v/>
      </c>
      <c r="B2060" s="85">
        <f>+MATCH(D2060,ARTICULOS!$F$10:$F$699,0)</f>
        <v/>
      </c>
      <c r="C2060" s="86">
        <f>+VLOOKUP(B2060,ARTICULOS!$D$10:$I$699,6)</f>
        <v/>
      </c>
      <c r="D2060" s="212" t="n"/>
      <c r="E2060" s="75">
        <f>+C2060&amp;F2060</f>
        <v/>
      </c>
      <c r="F2060" s="80" t="n"/>
      <c r="G2060" s="81" t="n"/>
      <c r="H2060" s="78" t="n"/>
      <c r="I2060" s="78" t="n"/>
      <c r="J2060" s="78" t="n"/>
    </row>
    <row r="2061">
      <c r="A2061" s="84">
        <f>ROW()-6</f>
        <v/>
      </c>
      <c r="B2061" s="85">
        <f>+MATCH(D2061,ARTICULOS!$F$10:$F$699,0)</f>
        <v/>
      </c>
      <c r="C2061" s="86">
        <f>+VLOOKUP(B2061,ARTICULOS!$D$10:$I$699,6)</f>
        <v/>
      </c>
      <c r="D2061" s="212" t="n"/>
      <c r="E2061" s="75">
        <f>+C2061&amp;F2061</f>
        <v/>
      </c>
      <c r="F2061" s="80" t="n"/>
      <c r="G2061" s="81" t="n"/>
      <c r="H2061" s="78" t="n"/>
      <c r="I2061" s="78" t="n"/>
      <c r="J2061" s="78" t="n"/>
    </row>
    <row r="2062">
      <c r="A2062" s="84">
        <f>ROW()-6</f>
        <v/>
      </c>
      <c r="B2062" s="85">
        <f>+MATCH(D2062,ARTICULOS!$F$10:$F$699,0)</f>
        <v/>
      </c>
      <c r="C2062" s="86">
        <f>+VLOOKUP(B2062,ARTICULOS!$D$10:$I$699,6)</f>
        <v/>
      </c>
      <c r="D2062" s="212" t="n"/>
      <c r="E2062" s="75">
        <f>+C2062&amp;F2062</f>
        <v/>
      </c>
      <c r="F2062" s="80" t="n"/>
      <c r="G2062" s="81" t="n"/>
      <c r="H2062" s="78" t="n"/>
      <c r="I2062" s="78" t="n"/>
      <c r="J2062" s="78" t="n"/>
    </row>
    <row r="2063">
      <c r="A2063" s="84">
        <f>ROW()-6</f>
        <v/>
      </c>
      <c r="B2063" s="85">
        <f>+MATCH(D2063,ARTICULOS!$F$10:$F$699,0)</f>
        <v/>
      </c>
      <c r="C2063" s="86">
        <f>+VLOOKUP(B2063,ARTICULOS!$D$10:$I$699,6)</f>
        <v/>
      </c>
      <c r="D2063" s="212" t="n"/>
      <c r="E2063" s="75">
        <f>+C2063&amp;F2063</f>
        <v/>
      </c>
      <c r="F2063" s="80" t="n"/>
      <c r="G2063" s="81" t="n"/>
      <c r="H2063" s="78" t="n"/>
      <c r="I2063" s="78" t="n"/>
      <c r="J2063" s="78" t="n"/>
    </row>
    <row r="2064">
      <c r="A2064" s="84">
        <f>ROW()-6</f>
        <v/>
      </c>
      <c r="B2064" s="85">
        <f>+MATCH(D2064,ARTICULOS!$F$10:$F$699,0)</f>
        <v/>
      </c>
      <c r="C2064" s="86">
        <f>+VLOOKUP(B2064,ARTICULOS!$D$10:$I$699,6)</f>
        <v/>
      </c>
      <c r="D2064" s="212" t="n"/>
      <c r="E2064" s="75">
        <f>+C2064&amp;F2064</f>
        <v/>
      </c>
      <c r="F2064" s="80" t="n"/>
      <c r="G2064" s="81" t="n"/>
      <c r="H2064" s="78" t="n"/>
      <c r="I2064" s="78" t="n"/>
      <c r="J2064" s="78" t="n"/>
    </row>
    <row r="2065">
      <c r="A2065" s="84">
        <f>ROW()-6</f>
        <v/>
      </c>
      <c r="B2065" s="85">
        <f>+MATCH(D2065,ARTICULOS!$F$10:$F$699,0)</f>
        <v/>
      </c>
      <c r="C2065" s="86">
        <f>+VLOOKUP(B2065,ARTICULOS!$D$10:$I$699,6)</f>
        <v/>
      </c>
      <c r="D2065" s="212" t="n"/>
      <c r="E2065" s="75">
        <f>+C2065&amp;F2065</f>
        <v/>
      </c>
      <c r="F2065" s="80" t="n"/>
      <c r="G2065" s="81" t="n"/>
      <c r="H2065" s="78" t="n"/>
      <c r="I2065" s="78" t="n"/>
      <c r="J2065" s="78" t="n"/>
    </row>
    <row r="2066">
      <c r="A2066" s="84">
        <f>ROW()-6</f>
        <v/>
      </c>
      <c r="B2066" s="85">
        <f>+MATCH(D2066,ARTICULOS!$F$10:$F$699,0)</f>
        <v/>
      </c>
      <c r="C2066" s="86">
        <f>+VLOOKUP(B2066,ARTICULOS!$D$10:$I$699,6)</f>
        <v/>
      </c>
      <c r="D2066" s="212" t="n"/>
      <c r="E2066" s="75">
        <f>+C2066&amp;F2066</f>
        <v/>
      </c>
      <c r="F2066" s="80" t="n"/>
      <c r="G2066" s="81" t="n"/>
      <c r="H2066" s="78" t="n"/>
      <c r="I2066" s="78" t="n"/>
      <c r="J2066" s="78" t="n"/>
    </row>
    <row r="2067">
      <c r="A2067" s="84">
        <f>ROW()-6</f>
        <v/>
      </c>
      <c r="B2067" s="85">
        <f>+MATCH(D2067,ARTICULOS!$F$10:$F$699,0)</f>
        <v/>
      </c>
      <c r="C2067" s="86">
        <f>+VLOOKUP(B2067,ARTICULOS!$D$10:$I$699,6)</f>
        <v/>
      </c>
      <c r="D2067" s="212" t="n"/>
      <c r="E2067" s="75">
        <f>+C2067&amp;F2067</f>
        <v/>
      </c>
      <c r="F2067" s="80" t="n"/>
      <c r="G2067" s="81" t="n"/>
      <c r="H2067" s="78" t="n"/>
      <c r="I2067" s="78" t="n"/>
      <c r="J2067" s="78" t="n"/>
    </row>
    <row r="2068">
      <c r="A2068" s="84">
        <f>ROW()-6</f>
        <v/>
      </c>
      <c r="B2068" s="85">
        <f>+MATCH(D2068,ARTICULOS!$F$10:$F$699,0)</f>
        <v/>
      </c>
      <c r="C2068" s="86">
        <f>+VLOOKUP(B2068,ARTICULOS!$D$10:$I$699,6)</f>
        <v/>
      </c>
      <c r="D2068" s="212" t="n"/>
      <c r="E2068" s="75">
        <f>+C2068&amp;F2068</f>
        <v/>
      </c>
      <c r="F2068" s="80" t="n"/>
      <c r="G2068" s="81" t="n"/>
      <c r="H2068" s="78" t="n"/>
      <c r="I2068" s="78" t="n"/>
      <c r="J2068" s="78" t="n"/>
    </row>
    <row r="2069">
      <c r="A2069" s="84">
        <f>ROW()-6</f>
        <v/>
      </c>
      <c r="B2069" s="85">
        <f>+MATCH(D2069,ARTICULOS!$F$10:$F$699,0)</f>
        <v/>
      </c>
      <c r="C2069" s="86">
        <f>+VLOOKUP(B2069,ARTICULOS!$D$10:$I$699,6)</f>
        <v/>
      </c>
      <c r="D2069" s="212" t="n"/>
      <c r="E2069" s="75">
        <f>+C2069&amp;F2069</f>
        <v/>
      </c>
      <c r="F2069" s="80" t="n"/>
      <c r="G2069" s="81" t="n"/>
      <c r="H2069" s="78" t="n"/>
      <c r="I2069" s="78" t="n"/>
      <c r="J2069" s="78" t="n"/>
    </row>
    <row r="2070">
      <c r="A2070" s="84">
        <f>ROW()-6</f>
        <v/>
      </c>
      <c r="B2070" s="85">
        <f>+MATCH(D2070,ARTICULOS!$F$10:$F$699,0)</f>
        <v/>
      </c>
      <c r="C2070" s="86">
        <f>+VLOOKUP(B2070,ARTICULOS!$D$10:$I$699,6)</f>
        <v/>
      </c>
      <c r="D2070" s="212" t="n"/>
      <c r="E2070" s="75">
        <f>+C2070&amp;F2070</f>
        <v/>
      </c>
      <c r="F2070" s="80" t="n"/>
      <c r="G2070" s="81" t="n"/>
      <c r="H2070" s="78" t="n"/>
      <c r="I2070" s="78" t="n"/>
      <c r="J2070" s="78" t="n"/>
    </row>
    <row r="2071">
      <c r="A2071" s="84">
        <f>ROW()-6</f>
        <v/>
      </c>
      <c r="B2071" s="85">
        <f>+MATCH(D2071,ARTICULOS!$F$10:$F$699,0)</f>
        <v/>
      </c>
      <c r="C2071" s="86">
        <f>+VLOOKUP(B2071,ARTICULOS!$D$10:$I$699,6)</f>
        <v/>
      </c>
      <c r="D2071" s="212" t="n"/>
      <c r="E2071" s="75">
        <f>+C2071&amp;F2071</f>
        <v/>
      </c>
      <c r="F2071" s="80" t="n"/>
      <c r="G2071" s="81" t="n"/>
      <c r="H2071" s="78" t="n"/>
      <c r="I2071" s="78" t="n"/>
      <c r="J2071" s="78" t="n"/>
    </row>
    <row r="2072">
      <c r="A2072" s="84">
        <f>ROW()-6</f>
        <v/>
      </c>
      <c r="B2072" s="85">
        <f>+MATCH(D2072,ARTICULOS!$F$10:$F$699,0)</f>
        <v/>
      </c>
      <c r="C2072" s="86">
        <f>+VLOOKUP(B2072,ARTICULOS!$D$10:$I$699,6)</f>
        <v/>
      </c>
      <c r="D2072" s="212" t="n"/>
      <c r="E2072" s="75">
        <f>+C2072&amp;F2072</f>
        <v/>
      </c>
      <c r="F2072" s="80" t="n"/>
      <c r="G2072" s="81" t="n"/>
      <c r="H2072" s="78" t="n"/>
      <c r="I2072" s="78" t="n"/>
      <c r="J2072" s="78" t="n"/>
    </row>
    <row r="2073">
      <c r="A2073" s="84">
        <f>ROW()-6</f>
        <v/>
      </c>
      <c r="B2073" s="85">
        <f>+MATCH(D2073,ARTICULOS!$F$10:$F$699,0)</f>
        <v/>
      </c>
      <c r="C2073" s="86">
        <f>+VLOOKUP(B2073,ARTICULOS!$D$10:$I$699,6)</f>
        <v/>
      </c>
      <c r="D2073" s="212" t="n"/>
      <c r="E2073" s="75">
        <f>+C2073&amp;F2073</f>
        <v/>
      </c>
      <c r="F2073" s="80" t="n"/>
      <c r="G2073" s="81" t="n"/>
      <c r="H2073" s="78" t="n"/>
      <c r="I2073" s="78" t="n"/>
      <c r="J2073" s="78" t="n"/>
    </row>
    <row r="2074">
      <c r="A2074" s="84">
        <f>ROW()-6</f>
        <v/>
      </c>
      <c r="B2074" s="85">
        <f>+MATCH(D2074,ARTICULOS!$F$10:$F$699,0)</f>
        <v/>
      </c>
      <c r="C2074" s="86">
        <f>+VLOOKUP(B2074,ARTICULOS!$D$10:$I$699,6)</f>
        <v/>
      </c>
      <c r="D2074" s="212" t="n"/>
      <c r="E2074" s="75">
        <f>+C2074&amp;F2074</f>
        <v/>
      </c>
      <c r="F2074" s="80" t="n"/>
      <c r="G2074" s="81" t="n"/>
      <c r="H2074" s="78" t="n"/>
      <c r="I2074" s="78" t="n"/>
      <c r="J2074" s="78" t="n"/>
    </row>
    <row r="2075">
      <c r="A2075" s="84">
        <f>ROW()-6</f>
        <v/>
      </c>
      <c r="B2075" s="85">
        <f>+MATCH(D2075,ARTICULOS!$F$10:$F$699,0)</f>
        <v/>
      </c>
      <c r="C2075" s="86">
        <f>+VLOOKUP(B2075,ARTICULOS!$D$10:$I$699,6)</f>
        <v/>
      </c>
      <c r="D2075" s="212" t="n"/>
      <c r="E2075" s="75">
        <f>+C2075&amp;F2075</f>
        <v/>
      </c>
      <c r="F2075" s="80" t="n"/>
      <c r="G2075" s="81" t="n"/>
      <c r="H2075" s="78" t="n"/>
      <c r="I2075" s="78" t="n"/>
      <c r="J2075" s="78" t="n"/>
    </row>
    <row r="2076">
      <c r="A2076" s="84">
        <f>ROW()-6</f>
        <v/>
      </c>
      <c r="B2076" s="85">
        <f>+MATCH(D2076,ARTICULOS!$F$10:$F$699,0)</f>
        <v/>
      </c>
      <c r="C2076" s="86">
        <f>+VLOOKUP(B2076,ARTICULOS!$D$10:$I$699,6)</f>
        <v/>
      </c>
      <c r="D2076" s="212" t="n"/>
      <c r="E2076" s="75">
        <f>+C2076&amp;F2076</f>
        <v/>
      </c>
      <c r="F2076" s="80" t="n"/>
      <c r="G2076" s="81" t="n"/>
      <c r="H2076" s="78" t="n"/>
      <c r="I2076" s="78" t="n"/>
      <c r="J2076" s="78" t="n"/>
    </row>
    <row r="2077">
      <c r="A2077" s="84">
        <f>ROW()-6</f>
        <v/>
      </c>
      <c r="B2077" s="85">
        <f>+MATCH(D2077,ARTICULOS!$F$10:$F$699,0)</f>
        <v/>
      </c>
      <c r="C2077" s="86">
        <f>+VLOOKUP(B2077,ARTICULOS!$D$10:$I$699,6)</f>
        <v/>
      </c>
      <c r="D2077" s="212" t="n"/>
      <c r="E2077" s="75">
        <f>+C2077&amp;F2077</f>
        <v/>
      </c>
      <c r="F2077" s="80" t="n"/>
      <c r="G2077" s="81" t="n"/>
      <c r="H2077" s="78" t="n"/>
      <c r="I2077" s="78" t="n"/>
      <c r="J2077" s="78" t="n"/>
    </row>
    <row r="2078">
      <c r="A2078" s="84">
        <f>ROW()-6</f>
        <v/>
      </c>
      <c r="B2078" s="85">
        <f>+MATCH(D2078,ARTICULOS!$F$10:$F$699,0)</f>
        <v/>
      </c>
      <c r="C2078" s="86">
        <f>+VLOOKUP(B2078,ARTICULOS!$D$10:$I$699,6)</f>
        <v/>
      </c>
      <c r="D2078" s="212" t="n"/>
      <c r="E2078" s="75">
        <f>+C2078&amp;F2078</f>
        <v/>
      </c>
      <c r="F2078" s="80" t="n"/>
      <c r="G2078" s="81" t="n"/>
      <c r="H2078" s="78" t="n"/>
      <c r="I2078" s="78" t="n"/>
      <c r="J2078" s="78" t="n"/>
    </row>
    <row r="2079">
      <c r="A2079" s="84">
        <f>ROW()-6</f>
        <v/>
      </c>
      <c r="B2079" s="85">
        <f>+MATCH(D2079,ARTICULOS!$F$10:$F$699,0)</f>
        <v/>
      </c>
      <c r="C2079" s="86">
        <f>+VLOOKUP(B2079,ARTICULOS!$D$10:$I$699,6)</f>
        <v/>
      </c>
      <c r="D2079" s="212" t="n"/>
      <c r="E2079" s="75">
        <f>+C2079&amp;F2079</f>
        <v/>
      </c>
      <c r="F2079" s="80" t="n"/>
      <c r="G2079" s="81" t="n"/>
      <c r="H2079" s="78" t="n"/>
      <c r="I2079" s="78" t="n"/>
      <c r="J2079" s="78" t="n"/>
    </row>
    <row r="2080">
      <c r="A2080" s="84">
        <f>ROW()-6</f>
        <v/>
      </c>
      <c r="B2080" s="85">
        <f>+MATCH(D2080,ARTICULOS!$F$10:$F$699,0)</f>
        <v/>
      </c>
      <c r="C2080" s="86">
        <f>+VLOOKUP(B2080,ARTICULOS!$D$10:$I$699,6)</f>
        <v/>
      </c>
      <c r="D2080" s="212" t="n"/>
      <c r="E2080" s="75">
        <f>+C2080&amp;F2080</f>
        <v/>
      </c>
      <c r="F2080" s="80" t="n"/>
      <c r="G2080" s="81" t="n"/>
      <c r="H2080" s="78" t="n"/>
      <c r="I2080" s="78" t="n"/>
      <c r="J2080" s="78" t="n"/>
    </row>
    <row r="2081">
      <c r="A2081" s="84">
        <f>ROW()-6</f>
        <v/>
      </c>
      <c r="B2081" s="85">
        <f>+MATCH(D2081,ARTICULOS!$F$10:$F$699,0)</f>
        <v/>
      </c>
      <c r="C2081" s="86">
        <f>+VLOOKUP(B2081,ARTICULOS!$D$10:$I$699,6)</f>
        <v/>
      </c>
      <c r="D2081" s="212" t="n"/>
      <c r="E2081" s="75">
        <f>+C2081&amp;F2081</f>
        <v/>
      </c>
      <c r="F2081" s="80" t="n"/>
      <c r="G2081" s="81" t="n"/>
      <c r="H2081" s="78" t="n"/>
      <c r="I2081" s="78" t="n"/>
      <c r="J2081" s="78" t="n"/>
    </row>
    <row r="2082">
      <c r="A2082" s="84">
        <f>ROW()-6</f>
        <v/>
      </c>
      <c r="B2082" s="85">
        <f>+MATCH(D2082,ARTICULOS!$F$10:$F$699,0)</f>
        <v/>
      </c>
      <c r="C2082" s="86">
        <f>+VLOOKUP(B2082,ARTICULOS!$D$10:$I$699,6)</f>
        <v/>
      </c>
      <c r="D2082" s="212" t="n"/>
      <c r="E2082" s="75">
        <f>+C2082&amp;F2082</f>
        <v/>
      </c>
      <c r="F2082" s="80" t="n"/>
      <c r="G2082" s="81" t="n"/>
      <c r="H2082" s="78" t="n"/>
      <c r="I2082" s="78" t="n"/>
      <c r="J2082" s="78" t="n"/>
    </row>
    <row r="2083">
      <c r="A2083" s="84">
        <f>ROW()-6</f>
        <v/>
      </c>
      <c r="B2083" s="85">
        <f>+MATCH(D2083,ARTICULOS!$F$10:$F$699,0)</f>
        <v/>
      </c>
      <c r="C2083" s="86">
        <f>+VLOOKUP(B2083,ARTICULOS!$D$10:$I$699,6)</f>
        <v/>
      </c>
      <c r="D2083" s="212" t="n"/>
      <c r="E2083" s="75">
        <f>+C2083&amp;F2083</f>
        <v/>
      </c>
      <c r="F2083" s="80" t="n"/>
      <c r="G2083" s="81" t="n"/>
      <c r="H2083" s="78" t="n"/>
      <c r="I2083" s="78" t="n"/>
      <c r="J2083" s="78" t="n"/>
    </row>
    <row r="2084">
      <c r="A2084" s="84">
        <f>ROW()-6</f>
        <v/>
      </c>
      <c r="B2084" s="85">
        <f>+MATCH(D2084,ARTICULOS!$F$10:$F$699,0)</f>
        <v/>
      </c>
      <c r="C2084" s="86">
        <f>+VLOOKUP(B2084,ARTICULOS!$D$10:$I$699,6)</f>
        <v/>
      </c>
      <c r="D2084" s="212" t="n"/>
      <c r="E2084" s="75">
        <f>+C2084&amp;F2084</f>
        <v/>
      </c>
      <c r="F2084" s="80" t="n"/>
      <c r="G2084" s="81" t="n"/>
      <c r="H2084" s="78" t="n"/>
      <c r="I2084" s="78" t="n"/>
      <c r="J2084" s="78" t="n"/>
    </row>
    <row r="2085">
      <c r="A2085" s="84">
        <f>ROW()-6</f>
        <v/>
      </c>
      <c r="B2085" s="85">
        <f>+MATCH(D2085,ARTICULOS!$F$10:$F$699,0)</f>
        <v/>
      </c>
      <c r="C2085" s="86">
        <f>+VLOOKUP(B2085,ARTICULOS!$D$10:$I$699,6)</f>
        <v/>
      </c>
      <c r="D2085" s="212" t="n"/>
      <c r="E2085" s="75">
        <f>+C2085&amp;F2085</f>
        <v/>
      </c>
      <c r="F2085" s="80" t="n"/>
      <c r="G2085" s="81" t="n"/>
      <c r="H2085" s="78" t="n"/>
      <c r="I2085" s="78" t="n"/>
      <c r="J2085" s="78" t="n"/>
    </row>
    <row r="2086">
      <c r="A2086" s="84">
        <f>ROW()-6</f>
        <v/>
      </c>
      <c r="B2086" s="85">
        <f>+MATCH(D2086,ARTICULOS!$F$10:$F$699,0)</f>
        <v/>
      </c>
      <c r="C2086" s="86">
        <f>+VLOOKUP(B2086,ARTICULOS!$D$10:$I$699,6)</f>
        <v/>
      </c>
      <c r="D2086" s="212" t="n"/>
      <c r="E2086" s="75">
        <f>+C2086&amp;F2086</f>
        <v/>
      </c>
      <c r="F2086" s="80" t="n"/>
      <c r="G2086" s="81" t="n"/>
      <c r="H2086" s="78" t="n"/>
      <c r="I2086" s="78" t="n"/>
      <c r="J2086" s="78" t="n"/>
    </row>
    <row r="2087">
      <c r="A2087" s="84">
        <f>ROW()-6</f>
        <v/>
      </c>
      <c r="B2087" s="85">
        <f>+MATCH(D2087,ARTICULOS!$F$10:$F$699,0)</f>
        <v/>
      </c>
      <c r="C2087" s="86">
        <f>+VLOOKUP(B2087,ARTICULOS!$D$10:$I$699,6)</f>
        <v/>
      </c>
      <c r="D2087" s="212" t="n"/>
      <c r="E2087" s="75">
        <f>+C2087&amp;F2087</f>
        <v/>
      </c>
      <c r="F2087" s="80" t="n"/>
      <c r="G2087" s="81" t="n"/>
      <c r="H2087" s="78" t="n"/>
      <c r="I2087" s="78" t="n"/>
      <c r="J2087" s="78" t="n"/>
    </row>
    <row r="2088">
      <c r="A2088" s="84">
        <f>ROW()-6</f>
        <v/>
      </c>
      <c r="B2088" s="85">
        <f>+MATCH(D2088,ARTICULOS!$F$10:$F$699,0)</f>
        <v/>
      </c>
      <c r="C2088" s="86">
        <f>+VLOOKUP(B2088,ARTICULOS!$D$10:$I$699,6)</f>
        <v/>
      </c>
      <c r="D2088" s="212" t="n"/>
      <c r="E2088" s="75">
        <f>+C2088&amp;F2088</f>
        <v/>
      </c>
      <c r="F2088" s="80" t="n"/>
      <c r="G2088" s="81" t="n"/>
      <c r="H2088" s="78" t="n"/>
      <c r="I2088" s="78" t="n"/>
      <c r="J2088" s="78" t="n"/>
    </row>
    <row r="2089">
      <c r="A2089" s="84">
        <f>ROW()-6</f>
        <v/>
      </c>
      <c r="B2089" s="85">
        <f>+MATCH(D2089,ARTICULOS!$F$10:$F$699,0)</f>
        <v/>
      </c>
      <c r="C2089" s="86">
        <f>+VLOOKUP(B2089,ARTICULOS!$D$10:$I$699,6)</f>
        <v/>
      </c>
      <c r="D2089" s="212" t="n"/>
      <c r="E2089" s="75">
        <f>+C2089&amp;F2089</f>
        <v/>
      </c>
      <c r="F2089" s="80" t="n"/>
      <c r="G2089" s="81" t="n"/>
      <c r="H2089" s="78" t="n"/>
      <c r="I2089" s="78" t="n"/>
      <c r="J2089" s="78" t="n"/>
    </row>
    <row r="2090">
      <c r="A2090" s="84">
        <f>ROW()-6</f>
        <v/>
      </c>
      <c r="B2090" s="85">
        <f>+MATCH(D2090,ARTICULOS!$F$10:$F$699,0)</f>
        <v/>
      </c>
      <c r="C2090" s="86">
        <f>+VLOOKUP(B2090,ARTICULOS!$D$10:$I$699,6)</f>
        <v/>
      </c>
      <c r="D2090" s="212" t="n"/>
      <c r="E2090" s="75">
        <f>+C2090&amp;F2090</f>
        <v/>
      </c>
      <c r="F2090" s="80" t="n"/>
      <c r="G2090" s="81" t="n"/>
      <c r="H2090" s="78" t="n"/>
      <c r="I2090" s="78" t="n"/>
      <c r="J2090" s="78" t="n"/>
    </row>
    <row r="2091">
      <c r="A2091" s="84">
        <f>ROW()-6</f>
        <v/>
      </c>
      <c r="B2091" s="85">
        <f>+MATCH(D2091,ARTICULOS!$F$10:$F$699,0)</f>
        <v/>
      </c>
      <c r="C2091" s="86">
        <f>+VLOOKUP(B2091,ARTICULOS!$D$10:$I$699,6)</f>
        <v/>
      </c>
      <c r="D2091" s="212" t="n"/>
      <c r="E2091" s="75">
        <f>+C2091&amp;F2091</f>
        <v/>
      </c>
      <c r="F2091" s="80" t="n"/>
      <c r="G2091" s="81" t="n"/>
      <c r="H2091" s="78" t="n"/>
      <c r="I2091" s="78" t="n"/>
      <c r="J2091" s="78" t="n"/>
    </row>
    <row r="2092">
      <c r="A2092" s="84">
        <f>ROW()-6</f>
        <v/>
      </c>
      <c r="B2092" s="85">
        <f>+MATCH(D2092,ARTICULOS!$F$10:$F$699,0)</f>
        <v/>
      </c>
      <c r="C2092" s="86">
        <f>+VLOOKUP(B2092,ARTICULOS!$D$10:$I$699,6)</f>
        <v/>
      </c>
      <c r="D2092" s="212" t="n"/>
      <c r="E2092" s="75">
        <f>+C2092&amp;F2092</f>
        <v/>
      </c>
      <c r="F2092" s="80" t="n"/>
      <c r="G2092" s="81" t="n"/>
      <c r="H2092" s="78" t="n"/>
      <c r="I2092" s="78" t="n"/>
      <c r="J2092" s="78" t="n"/>
    </row>
    <row r="2093">
      <c r="A2093" s="84">
        <f>ROW()-6</f>
        <v/>
      </c>
      <c r="B2093" s="85">
        <f>+MATCH(D2093,ARTICULOS!$F$10:$F$699,0)</f>
        <v/>
      </c>
      <c r="C2093" s="86">
        <f>+VLOOKUP(B2093,ARTICULOS!$D$10:$I$699,6)</f>
        <v/>
      </c>
      <c r="D2093" s="212" t="n"/>
      <c r="E2093" s="75">
        <f>+C2093&amp;F2093</f>
        <v/>
      </c>
      <c r="F2093" s="80" t="n"/>
      <c r="G2093" s="81" t="n"/>
      <c r="H2093" s="78" t="n"/>
      <c r="I2093" s="78" t="n"/>
      <c r="J2093" s="78" t="n"/>
    </row>
    <row r="2094">
      <c r="A2094" s="84">
        <f>ROW()-6</f>
        <v/>
      </c>
      <c r="B2094" s="85">
        <f>+MATCH(D2094,ARTICULOS!$F$10:$F$699,0)</f>
        <v/>
      </c>
      <c r="C2094" s="86">
        <f>+VLOOKUP(B2094,ARTICULOS!$D$10:$I$699,6)</f>
        <v/>
      </c>
      <c r="D2094" s="212" t="n"/>
      <c r="E2094" s="75">
        <f>+C2094&amp;F2094</f>
        <v/>
      </c>
      <c r="F2094" s="80" t="n"/>
      <c r="G2094" s="81" t="n"/>
      <c r="H2094" s="78" t="n"/>
      <c r="I2094" s="78" t="n"/>
      <c r="J2094" s="78" t="n"/>
    </row>
    <row r="2095">
      <c r="A2095" s="84">
        <f>ROW()-6</f>
        <v/>
      </c>
      <c r="B2095" s="85">
        <f>+MATCH(D2095,ARTICULOS!$F$10:$F$699,0)</f>
        <v/>
      </c>
      <c r="C2095" s="86">
        <f>+VLOOKUP(B2095,ARTICULOS!$D$10:$I$699,6)</f>
        <v/>
      </c>
      <c r="D2095" s="212" t="n"/>
      <c r="E2095" s="75">
        <f>+C2095&amp;F2095</f>
        <v/>
      </c>
      <c r="F2095" s="80" t="n"/>
      <c r="G2095" s="81" t="n"/>
      <c r="H2095" s="78" t="n"/>
      <c r="I2095" s="78" t="n"/>
      <c r="J2095" s="78" t="n"/>
    </row>
    <row r="2096">
      <c r="A2096" s="84">
        <f>ROW()-6</f>
        <v/>
      </c>
      <c r="B2096" s="85">
        <f>+MATCH(D2096,ARTICULOS!$F$10:$F$699,0)</f>
        <v/>
      </c>
      <c r="C2096" s="86">
        <f>+VLOOKUP(B2096,ARTICULOS!$D$10:$I$699,6)</f>
        <v/>
      </c>
      <c r="D2096" s="212" t="n"/>
      <c r="E2096" s="75">
        <f>+C2096&amp;F2096</f>
        <v/>
      </c>
      <c r="F2096" s="80" t="n"/>
      <c r="G2096" s="81" t="n"/>
      <c r="H2096" s="78" t="n"/>
      <c r="I2096" s="78" t="n"/>
      <c r="J2096" s="78" t="n"/>
    </row>
    <row r="2097">
      <c r="A2097" s="84">
        <f>ROW()-6</f>
        <v/>
      </c>
      <c r="B2097" s="85">
        <f>+MATCH(D2097,ARTICULOS!$F$10:$F$699,0)</f>
        <v/>
      </c>
      <c r="C2097" s="86">
        <f>+VLOOKUP(B2097,ARTICULOS!$D$10:$I$699,6)</f>
        <v/>
      </c>
      <c r="D2097" s="212" t="n"/>
      <c r="E2097" s="75">
        <f>+C2097&amp;F2097</f>
        <v/>
      </c>
      <c r="F2097" s="80" t="n"/>
      <c r="G2097" s="81" t="n"/>
      <c r="H2097" s="78" t="n"/>
      <c r="I2097" s="78" t="n"/>
      <c r="J2097" s="78" t="n"/>
    </row>
    <row r="2098">
      <c r="A2098" s="84">
        <f>ROW()-6</f>
        <v/>
      </c>
      <c r="B2098" s="85">
        <f>+MATCH(D2098,ARTICULOS!$F$10:$F$699,0)</f>
        <v/>
      </c>
      <c r="C2098" s="86">
        <f>+VLOOKUP(B2098,ARTICULOS!$D$10:$I$699,6)</f>
        <v/>
      </c>
      <c r="D2098" s="212" t="n"/>
      <c r="E2098" s="75">
        <f>+C2098&amp;F2098</f>
        <v/>
      </c>
      <c r="F2098" s="80" t="n"/>
      <c r="G2098" s="81" t="n"/>
      <c r="H2098" s="78" t="n"/>
      <c r="I2098" s="78" t="n"/>
      <c r="J2098" s="78" t="n"/>
    </row>
    <row r="2099">
      <c r="A2099" s="84">
        <f>ROW()-6</f>
        <v/>
      </c>
      <c r="B2099" s="85">
        <f>+MATCH(D2099,ARTICULOS!$F$10:$F$699,0)</f>
        <v/>
      </c>
      <c r="C2099" s="86">
        <f>+VLOOKUP(B2099,ARTICULOS!$D$10:$I$699,6)</f>
        <v/>
      </c>
      <c r="D2099" s="212" t="n"/>
      <c r="E2099" s="75">
        <f>+C2099&amp;F2099</f>
        <v/>
      </c>
      <c r="F2099" s="80" t="n"/>
      <c r="G2099" s="81" t="n"/>
      <c r="H2099" s="78" t="n"/>
      <c r="I2099" s="78" t="n"/>
      <c r="J2099" s="78" t="n"/>
    </row>
    <row r="2100">
      <c r="A2100" s="84">
        <f>ROW()-6</f>
        <v/>
      </c>
      <c r="B2100" s="85">
        <f>+MATCH(D2100,ARTICULOS!$F$10:$F$699,0)</f>
        <v/>
      </c>
      <c r="C2100" s="86">
        <f>+VLOOKUP(B2100,ARTICULOS!$D$10:$I$699,6)</f>
        <v/>
      </c>
      <c r="D2100" s="212" t="n"/>
      <c r="E2100" s="75">
        <f>+C2100&amp;F2100</f>
        <v/>
      </c>
      <c r="F2100" s="80" t="n"/>
      <c r="G2100" s="81" t="n"/>
      <c r="H2100" s="78" t="n"/>
      <c r="I2100" s="78" t="n"/>
      <c r="J2100" s="78" t="n"/>
    </row>
    <row r="2101">
      <c r="A2101" s="84">
        <f>ROW()-6</f>
        <v/>
      </c>
      <c r="B2101" s="85">
        <f>+MATCH(D2101,ARTICULOS!$F$10:$F$699,0)</f>
        <v/>
      </c>
      <c r="C2101" s="86">
        <f>+VLOOKUP(B2101,ARTICULOS!$D$10:$I$699,6)</f>
        <v/>
      </c>
      <c r="D2101" s="212" t="n"/>
      <c r="E2101" s="75">
        <f>+C2101&amp;F2101</f>
        <v/>
      </c>
      <c r="F2101" s="80" t="n"/>
      <c r="G2101" s="81" t="n"/>
      <c r="H2101" s="78" t="n"/>
      <c r="I2101" s="78" t="n"/>
      <c r="J2101" s="78" t="n"/>
    </row>
    <row r="2102">
      <c r="A2102" s="84">
        <f>ROW()-6</f>
        <v/>
      </c>
      <c r="B2102" s="85">
        <f>+MATCH(D2102,ARTICULOS!$F$10:$F$699,0)</f>
        <v/>
      </c>
      <c r="C2102" s="86">
        <f>+VLOOKUP(B2102,ARTICULOS!$D$10:$I$699,6)</f>
        <v/>
      </c>
      <c r="D2102" s="212" t="n"/>
      <c r="E2102" s="75">
        <f>+C2102&amp;F2102</f>
        <v/>
      </c>
      <c r="F2102" s="80" t="n"/>
      <c r="G2102" s="81" t="n"/>
      <c r="H2102" s="78" t="n"/>
      <c r="I2102" s="78" t="n"/>
      <c r="J2102" s="78" t="n"/>
    </row>
    <row r="2103">
      <c r="A2103" s="84">
        <f>ROW()-6</f>
        <v/>
      </c>
      <c r="B2103" s="85">
        <f>+MATCH(D2103,ARTICULOS!$F$10:$F$699,0)</f>
        <v/>
      </c>
      <c r="C2103" s="86">
        <f>+VLOOKUP(B2103,ARTICULOS!$D$10:$I$699,6)</f>
        <v/>
      </c>
      <c r="D2103" s="212" t="n"/>
      <c r="E2103" s="75">
        <f>+C2103&amp;F2103</f>
        <v/>
      </c>
      <c r="F2103" s="80" t="n"/>
      <c r="G2103" s="81" t="n"/>
      <c r="H2103" s="78" t="n"/>
      <c r="I2103" s="78" t="n"/>
      <c r="J2103" s="78" t="n"/>
    </row>
    <row r="2104">
      <c r="A2104" s="84">
        <f>ROW()-6</f>
        <v/>
      </c>
      <c r="B2104" s="85">
        <f>+MATCH(D2104,ARTICULOS!$F$10:$F$699,0)</f>
        <v/>
      </c>
      <c r="C2104" s="86">
        <f>+VLOOKUP(B2104,ARTICULOS!$D$10:$I$699,6)</f>
        <v/>
      </c>
      <c r="D2104" s="212" t="n"/>
      <c r="E2104" s="75">
        <f>+C2104&amp;F2104</f>
        <v/>
      </c>
      <c r="F2104" s="80" t="n"/>
      <c r="G2104" s="81" t="n"/>
      <c r="H2104" s="78" t="n"/>
      <c r="I2104" s="78" t="n"/>
      <c r="J2104" s="78" t="n"/>
    </row>
    <row r="2105">
      <c r="A2105" s="84">
        <f>ROW()-6</f>
        <v/>
      </c>
      <c r="B2105" s="85">
        <f>+MATCH(D2105,ARTICULOS!$F$10:$F$699,0)</f>
        <v/>
      </c>
      <c r="C2105" s="86">
        <f>+VLOOKUP(B2105,ARTICULOS!$D$10:$I$699,6)</f>
        <v/>
      </c>
      <c r="D2105" s="212" t="n"/>
      <c r="E2105" s="75">
        <f>+C2105&amp;F2105</f>
        <v/>
      </c>
      <c r="F2105" s="80" t="n"/>
      <c r="G2105" s="81" t="n"/>
      <c r="H2105" s="78" t="n"/>
      <c r="I2105" s="78" t="n"/>
      <c r="J2105" s="78" t="n"/>
    </row>
    <row r="2106">
      <c r="A2106" s="84">
        <f>ROW()-6</f>
        <v/>
      </c>
      <c r="B2106" s="85">
        <f>+MATCH(D2106,ARTICULOS!$F$10:$F$699,0)</f>
        <v/>
      </c>
      <c r="C2106" s="86">
        <f>+VLOOKUP(B2106,ARTICULOS!$D$10:$I$699,6)</f>
        <v/>
      </c>
      <c r="D2106" s="212" t="n"/>
      <c r="E2106" s="75">
        <f>+C2106&amp;F2106</f>
        <v/>
      </c>
      <c r="F2106" s="80" t="n"/>
      <c r="G2106" s="81" t="n"/>
      <c r="H2106" s="78" t="n"/>
      <c r="I2106" s="78" t="n"/>
      <c r="J2106" s="78" t="n"/>
    </row>
    <row r="2107">
      <c r="A2107" s="84">
        <f>ROW()-6</f>
        <v/>
      </c>
      <c r="B2107" s="85">
        <f>+MATCH(D2107,ARTICULOS!$F$10:$F$699,0)</f>
        <v/>
      </c>
      <c r="C2107" s="86">
        <f>+VLOOKUP(B2107,ARTICULOS!$D$10:$I$699,6)</f>
        <v/>
      </c>
      <c r="D2107" s="212" t="n"/>
      <c r="E2107" s="75">
        <f>+C2107&amp;F2107</f>
        <v/>
      </c>
      <c r="F2107" s="80" t="n"/>
      <c r="G2107" s="81" t="n"/>
      <c r="H2107" s="78" t="n"/>
      <c r="I2107" s="78" t="n"/>
      <c r="J2107" s="78" t="n"/>
    </row>
    <row r="2108">
      <c r="A2108" s="84">
        <f>ROW()-6</f>
        <v/>
      </c>
      <c r="B2108" s="85">
        <f>+MATCH(D2108,ARTICULOS!$F$10:$F$699,0)</f>
        <v/>
      </c>
      <c r="C2108" s="86">
        <f>+VLOOKUP(B2108,ARTICULOS!$D$10:$I$699,6)</f>
        <v/>
      </c>
      <c r="D2108" s="212" t="n"/>
      <c r="E2108" s="75">
        <f>+C2108&amp;F2108</f>
        <v/>
      </c>
      <c r="F2108" s="80" t="n"/>
      <c r="G2108" s="81" t="n"/>
      <c r="H2108" s="78" t="n"/>
      <c r="I2108" s="78" t="n"/>
      <c r="J2108" s="78" t="n"/>
    </row>
    <row r="2109">
      <c r="A2109" s="84">
        <f>ROW()-6</f>
        <v/>
      </c>
      <c r="B2109" s="85">
        <f>+MATCH(D2109,ARTICULOS!$F$10:$F$699,0)</f>
        <v/>
      </c>
      <c r="C2109" s="86">
        <f>+VLOOKUP(B2109,ARTICULOS!$D$10:$I$699,6)</f>
        <v/>
      </c>
      <c r="D2109" s="212" t="n"/>
      <c r="E2109" s="75">
        <f>+C2109&amp;F2109</f>
        <v/>
      </c>
      <c r="F2109" s="80" t="n"/>
      <c r="G2109" s="81" t="n"/>
      <c r="H2109" s="78" t="n"/>
      <c r="I2109" s="78" t="n"/>
      <c r="J2109" s="78" t="n"/>
    </row>
    <row r="2110">
      <c r="A2110" s="84">
        <f>ROW()-6</f>
        <v/>
      </c>
      <c r="B2110" s="85">
        <f>+MATCH(D2110,ARTICULOS!$F$10:$F$699,0)</f>
        <v/>
      </c>
      <c r="C2110" s="86">
        <f>+VLOOKUP(B2110,ARTICULOS!$D$10:$I$699,6)</f>
        <v/>
      </c>
      <c r="D2110" s="212" t="n"/>
      <c r="E2110" s="75">
        <f>+C2110&amp;F2110</f>
        <v/>
      </c>
      <c r="F2110" s="80" t="n"/>
      <c r="G2110" s="81" t="n"/>
      <c r="H2110" s="78" t="n"/>
      <c r="I2110" s="78" t="n"/>
      <c r="J2110" s="78" t="n"/>
    </row>
    <row r="2111">
      <c r="A2111" s="84">
        <f>ROW()-6</f>
        <v/>
      </c>
      <c r="B2111" s="85">
        <f>+MATCH(D2111,ARTICULOS!$F$10:$F$699,0)</f>
        <v/>
      </c>
      <c r="C2111" s="86">
        <f>+VLOOKUP(B2111,ARTICULOS!$D$10:$I$699,6)</f>
        <v/>
      </c>
      <c r="D2111" s="212" t="n"/>
      <c r="E2111" s="75">
        <f>+C2111&amp;F2111</f>
        <v/>
      </c>
      <c r="F2111" s="80" t="n"/>
      <c r="G2111" s="81" t="n"/>
      <c r="H2111" s="78" t="n"/>
      <c r="I2111" s="78" t="n"/>
      <c r="J2111" s="78" t="n"/>
    </row>
    <row r="2112">
      <c r="A2112" s="84">
        <f>ROW()-6</f>
        <v/>
      </c>
      <c r="B2112" s="85">
        <f>+MATCH(D2112,ARTICULOS!$F$10:$F$699,0)</f>
        <v/>
      </c>
      <c r="C2112" s="86">
        <f>+VLOOKUP(B2112,ARTICULOS!$D$10:$I$699,6)</f>
        <v/>
      </c>
      <c r="D2112" s="212" t="n"/>
      <c r="E2112" s="75">
        <f>+C2112&amp;F2112</f>
        <v/>
      </c>
      <c r="F2112" s="80" t="n"/>
      <c r="G2112" s="81" t="n"/>
      <c r="H2112" s="78" t="n"/>
      <c r="I2112" s="78" t="n"/>
      <c r="J2112" s="78" t="n"/>
    </row>
    <row r="2113">
      <c r="A2113" s="84">
        <f>ROW()-6</f>
        <v/>
      </c>
      <c r="B2113" s="85">
        <f>+MATCH(D2113,ARTICULOS!$F$10:$F$699,0)</f>
        <v/>
      </c>
      <c r="C2113" s="86">
        <f>+VLOOKUP(B2113,ARTICULOS!$D$10:$I$699,6)</f>
        <v/>
      </c>
      <c r="D2113" s="212" t="n"/>
      <c r="E2113" s="75">
        <f>+C2113&amp;F2113</f>
        <v/>
      </c>
      <c r="F2113" s="80" t="n"/>
      <c r="G2113" s="81" t="n"/>
      <c r="H2113" s="78" t="n"/>
      <c r="I2113" s="78" t="n"/>
      <c r="J2113" s="78" t="n"/>
    </row>
    <row r="2114">
      <c r="A2114" s="84">
        <f>ROW()-6</f>
        <v/>
      </c>
      <c r="B2114" s="85">
        <f>+MATCH(D2114,ARTICULOS!$F$10:$F$699,0)</f>
        <v/>
      </c>
      <c r="C2114" s="86">
        <f>+VLOOKUP(B2114,ARTICULOS!$D$10:$I$699,6)</f>
        <v/>
      </c>
      <c r="D2114" s="212" t="n"/>
      <c r="E2114" s="75">
        <f>+C2114&amp;F2114</f>
        <v/>
      </c>
      <c r="F2114" s="80" t="n"/>
      <c r="G2114" s="81" t="n"/>
      <c r="H2114" s="78" t="n"/>
      <c r="I2114" s="78" t="n"/>
      <c r="J2114" s="78" t="n"/>
    </row>
    <row r="2115">
      <c r="A2115" s="84">
        <f>ROW()-6</f>
        <v/>
      </c>
      <c r="B2115" s="85">
        <f>+MATCH(D2115,ARTICULOS!$F$10:$F$699,0)</f>
        <v/>
      </c>
      <c r="C2115" s="86">
        <f>+VLOOKUP(B2115,ARTICULOS!$D$10:$I$699,6)</f>
        <v/>
      </c>
      <c r="D2115" s="212" t="n"/>
      <c r="E2115" s="75">
        <f>+C2115&amp;F2115</f>
        <v/>
      </c>
      <c r="F2115" s="80" t="n"/>
      <c r="G2115" s="81" t="n"/>
      <c r="H2115" s="78" t="n"/>
      <c r="I2115" s="78" t="n"/>
      <c r="J2115" s="78" t="n"/>
    </row>
    <row r="2116">
      <c r="A2116" s="84">
        <f>ROW()-6</f>
        <v/>
      </c>
      <c r="B2116" s="85">
        <f>+MATCH(D2116,ARTICULOS!$F$10:$F$699,0)</f>
        <v/>
      </c>
      <c r="C2116" s="86">
        <f>+VLOOKUP(B2116,ARTICULOS!$D$10:$I$699,6)</f>
        <v/>
      </c>
      <c r="D2116" s="212" t="n"/>
      <c r="E2116" s="75">
        <f>+C2116&amp;F2116</f>
        <v/>
      </c>
      <c r="F2116" s="80" t="n"/>
      <c r="G2116" s="81" t="n"/>
      <c r="H2116" s="78" t="n"/>
      <c r="I2116" s="78" t="n"/>
      <c r="J2116" s="78" t="n"/>
    </row>
    <row r="2117">
      <c r="A2117" s="84">
        <f>ROW()-6</f>
        <v/>
      </c>
      <c r="B2117" s="85">
        <f>+MATCH(D2117,ARTICULOS!$F$10:$F$699,0)</f>
        <v/>
      </c>
      <c r="C2117" s="86">
        <f>+VLOOKUP(B2117,ARTICULOS!$D$10:$I$699,6)</f>
        <v/>
      </c>
      <c r="D2117" s="212" t="n"/>
      <c r="E2117" s="75">
        <f>+C2117&amp;F2117</f>
        <v/>
      </c>
      <c r="F2117" s="80" t="n"/>
      <c r="G2117" s="81" t="n"/>
      <c r="H2117" s="78" t="n"/>
      <c r="I2117" s="78" t="n"/>
      <c r="J2117" s="78" t="n"/>
    </row>
    <row r="2118">
      <c r="A2118" s="84">
        <f>ROW()-6</f>
        <v/>
      </c>
      <c r="B2118" s="85">
        <f>+MATCH(D2118,ARTICULOS!$F$10:$F$699,0)</f>
        <v/>
      </c>
      <c r="C2118" s="86">
        <f>+VLOOKUP(B2118,ARTICULOS!$D$10:$I$699,6)</f>
        <v/>
      </c>
      <c r="D2118" s="212" t="n"/>
      <c r="E2118" s="75">
        <f>+C2118&amp;F2118</f>
        <v/>
      </c>
      <c r="F2118" s="80" t="n"/>
      <c r="G2118" s="81" t="n"/>
      <c r="H2118" s="78" t="n"/>
      <c r="I2118" s="78" t="n"/>
      <c r="J2118" s="78" t="n"/>
    </row>
    <row r="2119">
      <c r="A2119" s="84">
        <f>ROW()-6</f>
        <v/>
      </c>
      <c r="B2119" s="85">
        <f>+MATCH(D2119,ARTICULOS!$F$10:$F$699,0)</f>
        <v/>
      </c>
      <c r="C2119" s="86">
        <f>+VLOOKUP(B2119,ARTICULOS!$D$10:$I$699,6)</f>
        <v/>
      </c>
      <c r="D2119" s="212" t="n"/>
      <c r="E2119" s="75">
        <f>+C2119&amp;F2119</f>
        <v/>
      </c>
      <c r="F2119" s="80" t="n"/>
      <c r="G2119" s="81" t="n"/>
      <c r="H2119" s="78" t="n"/>
      <c r="I2119" s="78" t="n"/>
      <c r="J2119" s="78" t="n"/>
    </row>
    <row r="2120">
      <c r="A2120" s="84">
        <f>ROW()-6</f>
        <v/>
      </c>
      <c r="B2120" s="85">
        <f>+MATCH(D2120,ARTICULOS!$F$10:$F$699,0)</f>
        <v/>
      </c>
      <c r="C2120" s="86">
        <f>+VLOOKUP(B2120,ARTICULOS!$D$10:$I$699,6)</f>
        <v/>
      </c>
      <c r="D2120" s="212" t="n"/>
      <c r="E2120" s="75">
        <f>+C2120&amp;F2120</f>
        <v/>
      </c>
      <c r="F2120" s="80" t="n"/>
      <c r="G2120" s="81" t="n"/>
      <c r="H2120" s="78" t="n"/>
      <c r="I2120" s="78" t="n"/>
      <c r="J2120" s="78" t="n"/>
    </row>
    <row r="2121">
      <c r="A2121" s="84">
        <f>ROW()-6</f>
        <v/>
      </c>
      <c r="B2121" s="85">
        <f>+MATCH(D2121,ARTICULOS!$F$10:$F$699,0)</f>
        <v/>
      </c>
      <c r="C2121" s="86">
        <f>+VLOOKUP(B2121,ARTICULOS!$D$10:$I$699,6)</f>
        <v/>
      </c>
      <c r="D2121" s="212" t="n"/>
      <c r="E2121" s="75">
        <f>+C2121&amp;F2121</f>
        <v/>
      </c>
      <c r="F2121" s="80" t="n"/>
      <c r="G2121" s="81" t="n"/>
      <c r="H2121" s="78" t="n"/>
      <c r="I2121" s="78" t="n"/>
      <c r="J2121" s="78" t="n"/>
    </row>
    <row r="2122">
      <c r="A2122" s="84">
        <f>ROW()-6</f>
        <v/>
      </c>
      <c r="B2122" s="85">
        <f>+MATCH(D2122,ARTICULOS!$F$10:$F$699,0)</f>
        <v/>
      </c>
      <c r="C2122" s="86">
        <f>+VLOOKUP(B2122,ARTICULOS!$D$10:$I$699,6)</f>
        <v/>
      </c>
      <c r="D2122" s="212" t="n"/>
      <c r="E2122" s="75">
        <f>+C2122&amp;F2122</f>
        <v/>
      </c>
      <c r="F2122" s="80" t="n"/>
      <c r="G2122" s="81" t="n"/>
      <c r="H2122" s="78" t="n"/>
      <c r="I2122" s="78" t="n"/>
      <c r="J2122" s="78" t="n"/>
    </row>
    <row r="2123">
      <c r="A2123" s="84">
        <f>ROW()-6</f>
        <v/>
      </c>
      <c r="B2123" s="85">
        <f>+MATCH(D2123,ARTICULOS!$F$10:$F$699,0)</f>
        <v/>
      </c>
      <c r="C2123" s="86">
        <f>+VLOOKUP(B2123,ARTICULOS!$D$10:$I$699,6)</f>
        <v/>
      </c>
      <c r="D2123" s="212" t="n"/>
      <c r="E2123" s="75">
        <f>+C2123&amp;F2123</f>
        <v/>
      </c>
      <c r="F2123" s="80" t="n"/>
      <c r="G2123" s="81" t="n"/>
      <c r="H2123" s="78" t="n"/>
      <c r="I2123" s="78" t="n"/>
      <c r="J2123" s="78" t="n"/>
    </row>
    <row r="2124">
      <c r="A2124" s="84">
        <f>ROW()-6</f>
        <v/>
      </c>
      <c r="B2124" s="85">
        <f>+MATCH(D2124,ARTICULOS!$F$10:$F$699,0)</f>
        <v/>
      </c>
      <c r="C2124" s="86">
        <f>+VLOOKUP(B2124,ARTICULOS!$D$10:$I$699,6)</f>
        <v/>
      </c>
      <c r="D2124" s="212" t="n"/>
      <c r="E2124" s="75">
        <f>+C2124&amp;F2124</f>
        <v/>
      </c>
      <c r="F2124" s="80" t="n"/>
      <c r="G2124" s="81" t="n"/>
      <c r="H2124" s="78" t="n"/>
      <c r="I2124" s="78" t="n"/>
      <c r="J2124" s="78" t="n"/>
    </row>
    <row r="2125">
      <c r="A2125" s="84">
        <f>ROW()-6</f>
        <v/>
      </c>
      <c r="B2125" s="85">
        <f>+MATCH(D2125,ARTICULOS!$F$10:$F$699,0)</f>
        <v/>
      </c>
      <c r="C2125" s="86">
        <f>+VLOOKUP(B2125,ARTICULOS!$D$10:$I$699,6)</f>
        <v/>
      </c>
      <c r="D2125" s="212" t="n"/>
      <c r="E2125" s="75">
        <f>+C2125&amp;F2125</f>
        <v/>
      </c>
      <c r="F2125" s="80" t="n"/>
      <c r="G2125" s="81" t="n"/>
      <c r="H2125" s="78" t="n"/>
      <c r="I2125" s="78" t="n"/>
      <c r="J2125" s="78" t="n"/>
    </row>
    <row r="2126">
      <c r="A2126" s="84">
        <f>ROW()-6</f>
        <v/>
      </c>
      <c r="B2126" s="85">
        <f>+MATCH(D2126,ARTICULOS!$F$10:$F$699,0)</f>
        <v/>
      </c>
      <c r="C2126" s="86">
        <f>+VLOOKUP(B2126,ARTICULOS!$D$10:$I$699,6)</f>
        <v/>
      </c>
      <c r="D2126" s="212" t="n"/>
      <c r="E2126" s="75">
        <f>+C2126&amp;F2126</f>
        <v/>
      </c>
      <c r="F2126" s="80" t="n"/>
      <c r="G2126" s="81" t="n"/>
      <c r="H2126" s="78" t="n"/>
      <c r="I2126" s="78" t="n"/>
      <c r="J2126" s="78" t="n"/>
    </row>
    <row r="2127">
      <c r="A2127" s="84">
        <f>ROW()-6</f>
        <v/>
      </c>
      <c r="B2127" s="85">
        <f>+MATCH(D2127,ARTICULOS!$F$10:$F$699,0)</f>
        <v/>
      </c>
      <c r="C2127" s="86">
        <f>+VLOOKUP(B2127,ARTICULOS!$D$10:$I$699,6)</f>
        <v/>
      </c>
      <c r="D2127" s="212" t="n"/>
      <c r="E2127" s="75">
        <f>+C2127&amp;F2127</f>
        <v/>
      </c>
      <c r="F2127" s="80" t="n"/>
      <c r="G2127" s="81" t="n"/>
      <c r="H2127" s="78" t="n"/>
      <c r="I2127" s="78" t="n"/>
      <c r="J2127" s="78" t="n"/>
    </row>
    <row r="2128">
      <c r="A2128" s="84">
        <f>ROW()-6</f>
        <v/>
      </c>
      <c r="B2128" s="85">
        <f>+MATCH(D2128,ARTICULOS!$F$10:$F$699,0)</f>
        <v/>
      </c>
      <c r="C2128" s="86">
        <f>+VLOOKUP(B2128,ARTICULOS!$D$10:$I$699,6)</f>
        <v/>
      </c>
      <c r="D2128" s="212" t="n"/>
      <c r="E2128" s="75">
        <f>+C2128&amp;F2128</f>
        <v/>
      </c>
      <c r="F2128" s="80" t="n"/>
      <c r="G2128" s="81" t="n"/>
      <c r="H2128" s="78" t="n"/>
      <c r="I2128" s="78" t="n"/>
      <c r="J2128" s="78" t="n"/>
    </row>
    <row r="2129">
      <c r="A2129" s="84">
        <f>ROW()-6</f>
        <v/>
      </c>
      <c r="B2129" s="85">
        <f>+MATCH(D2129,ARTICULOS!$F$10:$F$699,0)</f>
        <v/>
      </c>
      <c r="C2129" s="86">
        <f>+VLOOKUP(B2129,ARTICULOS!$D$10:$I$699,6)</f>
        <v/>
      </c>
      <c r="D2129" s="212" t="n"/>
      <c r="E2129" s="75">
        <f>+C2129&amp;F2129</f>
        <v/>
      </c>
      <c r="F2129" s="80" t="n"/>
      <c r="G2129" s="81" t="n"/>
      <c r="H2129" s="78" t="n"/>
      <c r="I2129" s="78" t="n"/>
      <c r="J2129" s="78" t="n"/>
    </row>
    <row r="2130">
      <c r="A2130" s="84">
        <f>ROW()-6</f>
        <v/>
      </c>
      <c r="B2130" s="85">
        <f>+MATCH(D2130,ARTICULOS!$F$10:$F$699,0)</f>
        <v/>
      </c>
      <c r="C2130" s="86">
        <f>+VLOOKUP(B2130,ARTICULOS!$D$10:$I$699,6)</f>
        <v/>
      </c>
      <c r="D2130" s="212" t="n"/>
      <c r="E2130" s="75">
        <f>+C2130&amp;F2130</f>
        <v/>
      </c>
      <c r="F2130" s="80" t="n"/>
      <c r="G2130" s="81" t="n"/>
      <c r="H2130" s="78" t="n"/>
      <c r="I2130" s="78" t="n"/>
      <c r="J2130" s="78" t="n"/>
    </row>
    <row r="2131">
      <c r="A2131" s="84">
        <f>ROW()-6</f>
        <v/>
      </c>
      <c r="B2131" s="85">
        <f>+MATCH(D2131,ARTICULOS!$F$10:$F$699,0)</f>
        <v/>
      </c>
      <c r="C2131" s="86">
        <f>+VLOOKUP(B2131,ARTICULOS!$D$10:$I$699,6)</f>
        <v/>
      </c>
      <c r="D2131" s="212" t="n"/>
      <c r="E2131" s="75">
        <f>+C2131&amp;F2131</f>
        <v/>
      </c>
      <c r="F2131" s="80" t="n"/>
      <c r="G2131" s="81" t="n"/>
      <c r="H2131" s="78" t="n"/>
      <c r="I2131" s="78" t="n"/>
      <c r="J2131" s="78" t="n"/>
    </row>
    <row r="2132">
      <c r="A2132" s="84">
        <f>ROW()-6</f>
        <v/>
      </c>
      <c r="B2132" s="85">
        <f>+MATCH(D2132,ARTICULOS!$F$10:$F$699,0)</f>
        <v/>
      </c>
      <c r="C2132" s="86">
        <f>+VLOOKUP(B2132,ARTICULOS!$D$10:$I$699,6)</f>
        <v/>
      </c>
      <c r="D2132" s="212" t="n"/>
      <c r="E2132" s="75">
        <f>+C2132&amp;F2132</f>
        <v/>
      </c>
      <c r="F2132" s="80" t="n"/>
      <c r="G2132" s="81" t="n"/>
      <c r="H2132" s="78" t="n"/>
      <c r="I2132" s="78" t="n"/>
      <c r="J2132" s="78" t="n"/>
    </row>
    <row r="2133">
      <c r="A2133" s="84">
        <f>ROW()-6</f>
        <v/>
      </c>
      <c r="B2133" s="85">
        <f>+MATCH(D2133,ARTICULOS!$F$10:$F$699,0)</f>
        <v/>
      </c>
      <c r="C2133" s="86">
        <f>+VLOOKUP(B2133,ARTICULOS!$D$10:$I$699,6)</f>
        <v/>
      </c>
      <c r="D2133" s="212" t="n"/>
      <c r="E2133" s="75">
        <f>+C2133&amp;F2133</f>
        <v/>
      </c>
      <c r="F2133" s="80" t="n"/>
      <c r="G2133" s="81" t="n"/>
      <c r="H2133" s="78" t="n"/>
      <c r="I2133" s="78" t="n"/>
      <c r="J2133" s="78" t="n"/>
    </row>
    <row r="2134">
      <c r="A2134" s="84">
        <f>ROW()-6</f>
        <v/>
      </c>
      <c r="B2134" s="85">
        <f>+MATCH(D2134,ARTICULOS!$F$10:$F$699,0)</f>
        <v/>
      </c>
      <c r="C2134" s="86">
        <f>+VLOOKUP(B2134,ARTICULOS!$D$10:$I$699,6)</f>
        <v/>
      </c>
      <c r="D2134" s="212" t="n"/>
      <c r="E2134" s="75">
        <f>+C2134&amp;F2134</f>
        <v/>
      </c>
      <c r="F2134" s="80" t="n"/>
      <c r="G2134" s="81" t="n"/>
      <c r="H2134" s="78" t="n"/>
      <c r="I2134" s="78" t="n"/>
      <c r="J2134" s="78" t="n"/>
    </row>
    <row r="2135">
      <c r="A2135" s="84">
        <f>ROW()-6</f>
        <v/>
      </c>
      <c r="B2135" s="85">
        <f>+MATCH(D2135,ARTICULOS!$F$10:$F$699,0)</f>
        <v/>
      </c>
      <c r="C2135" s="86">
        <f>+VLOOKUP(B2135,ARTICULOS!$D$10:$I$699,6)</f>
        <v/>
      </c>
      <c r="D2135" s="212" t="n"/>
      <c r="E2135" s="75">
        <f>+C2135&amp;F2135</f>
        <v/>
      </c>
      <c r="F2135" s="80" t="n"/>
      <c r="G2135" s="81" t="n"/>
      <c r="H2135" s="78" t="n"/>
      <c r="I2135" s="78" t="n"/>
      <c r="J2135" s="78" t="n"/>
    </row>
    <row r="2136">
      <c r="A2136" s="84">
        <f>ROW()-6</f>
        <v/>
      </c>
      <c r="B2136" s="85">
        <f>+MATCH(D2136,ARTICULOS!$F$10:$F$699,0)</f>
        <v/>
      </c>
      <c r="C2136" s="86">
        <f>+VLOOKUP(B2136,ARTICULOS!$D$10:$I$699,6)</f>
        <v/>
      </c>
      <c r="D2136" s="212" t="n"/>
      <c r="E2136" s="75">
        <f>+C2136&amp;F2136</f>
        <v/>
      </c>
      <c r="F2136" s="80" t="n"/>
      <c r="G2136" s="81" t="n"/>
      <c r="H2136" s="78" t="n"/>
      <c r="I2136" s="78" t="n"/>
      <c r="J2136" s="78" t="n"/>
    </row>
    <row r="2137">
      <c r="A2137" s="84">
        <f>ROW()-6</f>
        <v/>
      </c>
      <c r="B2137" s="85">
        <f>+MATCH(D2137,ARTICULOS!$F$10:$F$699,0)</f>
        <v/>
      </c>
      <c r="C2137" s="86">
        <f>+VLOOKUP(B2137,ARTICULOS!$D$10:$I$699,6)</f>
        <v/>
      </c>
      <c r="D2137" s="212" t="n"/>
      <c r="E2137" s="75">
        <f>+C2137&amp;F2137</f>
        <v/>
      </c>
      <c r="F2137" s="80" t="n"/>
      <c r="G2137" s="81" t="n"/>
      <c r="H2137" s="78" t="n"/>
      <c r="I2137" s="78" t="n"/>
      <c r="J2137" s="78" t="n"/>
    </row>
    <row r="2138">
      <c r="A2138" s="84">
        <f>ROW()-6</f>
        <v/>
      </c>
      <c r="B2138" s="85">
        <f>+MATCH(D2138,ARTICULOS!$F$10:$F$699,0)</f>
        <v/>
      </c>
      <c r="C2138" s="86">
        <f>+VLOOKUP(B2138,ARTICULOS!$D$10:$I$699,6)</f>
        <v/>
      </c>
      <c r="D2138" s="212" t="n"/>
      <c r="E2138" s="75">
        <f>+C2138&amp;F2138</f>
        <v/>
      </c>
      <c r="F2138" s="80" t="n"/>
      <c r="G2138" s="81" t="n"/>
      <c r="H2138" s="78" t="n"/>
      <c r="I2138" s="78" t="n"/>
      <c r="J2138" s="78" t="n"/>
    </row>
    <row r="2139">
      <c r="A2139" s="84">
        <f>ROW()-6</f>
        <v/>
      </c>
      <c r="B2139" s="85">
        <f>+MATCH(D2139,ARTICULOS!$F$10:$F$699,0)</f>
        <v/>
      </c>
      <c r="C2139" s="86">
        <f>+VLOOKUP(B2139,ARTICULOS!$D$10:$I$699,6)</f>
        <v/>
      </c>
      <c r="D2139" s="212" t="n"/>
      <c r="E2139" s="75">
        <f>+C2139&amp;F2139</f>
        <v/>
      </c>
      <c r="F2139" s="80" t="n"/>
      <c r="G2139" s="81" t="n"/>
      <c r="H2139" s="78" t="n"/>
      <c r="I2139" s="78" t="n"/>
      <c r="J2139" s="78" t="n"/>
    </row>
    <row r="2140">
      <c r="A2140" s="84">
        <f>ROW()-6</f>
        <v/>
      </c>
      <c r="B2140" s="85">
        <f>+MATCH(D2140,ARTICULOS!$F$10:$F$699,0)</f>
        <v/>
      </c>
      <c r="C2140" s="86">
        <f>+VLOOKUP(B2140,ARTICULOS!$D$10:$I$699,6)</f>
        <v/>
      </c>
      <c r="D2140" s="212" t="n"/>
      <c r="E2140" s="75">
        <f>+C2140&amp;F2140</f>
        <v/>
      </c>
      <c r="F2140" s="80" t="n"/>
      <c r="G2140" s="81" t="n"/>
      <c r="H2140" s="78" t="n"/>
      <c r="I2140" s="78" t="n"/>
      <c r="J2140" s="78" t="n"/>
    </row>
    <row r="2141">
      <c r="A2141" s="84">
        <f>ROW()-6</f>
        <v/>
      </c>
      <c r="B2141" s="85">
        <f>+MATCH(D2141,ARTICULOS!$F$10:$F$699,0)</f>
        <v/>
      </c>
      <c r="C2141" s="86">
        <f>+VLOOKUP(B2141,ARTICULOS!$D$10:$I$699,6)</f>
        <v/>
      </c>
      <c r="D2141" s="212" t="n"/>
      <c r="E2141" s="75">
        <f>+C2141&amp;F2141</f>
        <v/>
      </c>
      <c r="F2141" s="80" t="n"/>
      <c r="G2141" s="81" t="n"/>
      <c r="H2141" s="78" t="n"/>
      <c r="I2141" s="78" t="n"/>
      <c r="J2141" s="78" t="n"/>
    </row>
    <row r="2142">
      <c r="A2142" s="84">
        <f>ROW()-6</f>
        <v/>
      </c>
      <c r="B2142" s="85">
        <f>+MATCH(D2142,ARTICULOS!$F$10:$F$699,0)</f>
        <v/>
      </c>
      <c r="C2142" s="86">
        <f>+VLOOKUP(B2142,ARTICULOS!$D$10:$I$699,6)</f>
        <v/>
      </c>
      <c r="D2142" s="212" t="n"/>
      <c r="E2142" s="75">
        <f>+C2142&amp;F2142</f>
        <v/>
      </c>
      <c r="F2142" s="80" t="n"/>
      <c r="G2142" s="81" t="n"/>
      <c r="H2142" s="78" t="n"/>
      <c r="I2142" s="78" t="n"/>
      <c r="J2142" s="78" t="n"/>
    </row>
    <row r="2143">
      <c r="A2143" s="84">
        <f>ROW()-6</f>
        <v/>
      </c>
      <c r="B2143" s="85">
        <f>+MATCH(D2143,ARTICULOS!$F$10:$F$699,0)</f>
        <v/>
      </c>
      <c r="C2143" s="86">
        <f>+VLOOKUP(B2143,ARTICULOS!$D$10:$I$699,6)</f>
        <v/>
      </c>
      <c r="D2143" s="212" t="n"/>
      <c r="E2143" s="75">
        <f>+C2143&amp;F2143</f>
        <v/>
      </c>
      <c r="F2143" s="80" t="n"/>
      <c r="G2143" s="81" t="n"/>
      <c r="H2143" s="78" t="n"/>
      <c r="I2143" s="78" t="n"/>
      <c r="J2143" s="78" t="n"/>
    </row>
    <row r="2144">
      <c r="A2144" s="84">
        <f>ROW()-6</f>
        <v/>
      </c>
      <c r="B2144" s="85">
        <f>+MATCH(D2144,ARTICULOS!$F$10:$F$699,0)</f>
        <v/>
      </c>
      <c r="C2144" s="86">
        <f>+VLOOKUP(B2144,ARTICULOS!$D$10:$I$699,6)</f>
        <v/>
      </c>
      <c r="D2144" s="212" t="n"/>
      <c r="E2144" s="75">
        <f>+C2144&amp;F2144</f>
        <v/>
      </c>
      <c r="F2144" s="80" t="n"/>
      <c r="G2144" s="81" t="n"/>
      <c r="H2144" s="78" t="n"/>
      <c r="I2144" s="78" t="n"/>
      <c r="J2144" s="78" t="n"/>
    </row>
    <row r="2145">
      <c r="A2145" s="84">
        <f>ROW()-6</f>
        <v/>
      </c>
      <c r="B2145" s="85">
        <f>+MATCH(D2145,ARTICULOS!$F$10:$F$699,0)</f>
        <v/>
      </c>
      <c r="C2145" s="86">
        <f>+VLOOKUP(B2145,ARTICULOS!$D$10:$I$699,6)</f>
        <v/>
      </c>
      <c r="D2145" s="212" t="n"/>
      <c r="E2145" s="75">
        <f>+C2145&amp;F2145</f>
        <v/>
      </c>
      <c r="F2145" s="80" t="n"/>
      <c r="G2145" s="81" t="n"/>
      <c r="H2145" s="78" t="n"/>
      <c r="I2145" s="78" t="n"/>
      <c r="J2145" s="78" t="n"/>
    </row>
    <row r="2146">
      <c r="A2146" s="84">
        <f>ROW()-6</f>
        <v/>
      </c>
      <c r="B2146" s="85">
        <f>+MATCH(D2146,ARTICULOS!$F$10:$F$699,0)</f>
        <v/>
      </c>
      <c r="C2146" s="86">
        <f>+VLOOKUP(B2146,ARTICULOS!$D$10:$I$699,6)</f>
        <v/>
      </c>
      <c r="D2146" s="212" t="n"/>
      <c r="E2146" s="75">
        <f>+C2146&amp;F2146</f>
        <v/>
      </c>
      <c r="F2146" s="80" t="n"/>
      <c r="G2146" s="81" t="n"/>
      <c r="H2146" s="78" t="n"/>
      <c r="I2146" s="78" t="n"/>
      <c r="J2146" s="78" t="n"/>
    </row>
    <row r="2147">
      <c r="A2147" s="84">
        <f>ROW()-6</f>
        <v/>
      </c>
      <c r="B2147" s="85">
        <f>+MATCH(D2147,ARTICULOS!$F$10:$F$699,0)</f>
        <v/>
      </c>
      <c r="C2147" s="86">
        <f>+VLOOKUP(B2147,ARTICULOS!$D$10:$I$699,6)</f>
        <v/>
      </c>
      <c r="D2147" s="212" t="n"/>
      <c r="E2147" s="75">
        <f>+C2147&amp;F2147</f>
        <v/>
      </c>
      <c r="F2147" s="80" t="n"/>
      <c r="G2147" s="81" t="n"/>
      <c r="H2147" s="78" t="n"/>
      <c r="I2147" s="78" t="n"/>
      <c r="J2147" s="78" t="n"/>
    </row>
    <row r="2148">
      <c r="A2148" s="84">
        <f>ROW()-6</f>
        <v/>
      </c>
      <c r="B2148" s="85">
        <f>+MATCH(D2148,ARTICULOS!$F$10:$F$699,0)</f>
        <v/>
      </c>
      <c r="C2148" s="86">
        <f>+VLOOKUP(B2148,ARTICULOS!$D$10:$I$699,6)</f>
        <v/>
      </c>
      <c r="D2148" s="212" t="n"/>
      <c r="E2148" s="75">
        <f>+C2148&amp;F2148</f>
        <v/>
      </c>
      <c r="F2148" s="80" t="n"/>
      <c r="G2148" s="81" t="n"/>
      <c r="H2148" s="78" t="n"/>
      <c r="I2148" s="78" t="n"/>
      <c r="J2148" s="78" t="n"/>
    </row>
    <row r="2149">
      <c r="A2149" s="84">
        <f>ROW()-6</f>
        <v/>
      </c>
      <c r="B2149" s="85">
        <f>+MATCH(D2149,ARTICULOS!$F$10:$F$699,0)</f>
        <v/>
      </c>
      <c r="C2149" s="86">
        <f>+VLOOKUP(B2149,ARTICULOS!$D$10:$I$699,6)</f>
        <v/>
      </c>
      <c r="D2149" s="212" t="n"/>
      <c r="E2149" s="75">
        <f>+C2149&amp;F2149</f>
        <v/>
      </c>
      <c r="F2149" s="80" t="n"/>
      <c r="G2149" s="81" t="n"/>
      <c r="H2149" s="78" t="n"/>
      <c r="I2149" s="78" t="n"/>
      <c r="J2149" s="78" t="n"/>
    </row>
    <row r="2150">
      <c r="A2150" s="84">
        <f>ROW()-6</f>
        <v/>
      </c>
      <c r="B2150" s="85">
        <f>+MATCH(D2150,ARTICULOS!$F$10:$F$699,0)</f>
        <v/>
      </c>
      <c r="C2150" s="86">
        <f>+VLOOKUP(B2150,ARTICULOS!$D$10:$I$699,6)</f>
        <v/>
      </c>
      <c r="D2150" s="212" t="n"/>
      <c r="E2150" s="75">
        <f>+C2150&amp;F2150</f>
        <v/>
      </c>
      <c r="F2150" s="80" t="n"/>
      <c r="G2150" s="81" t="n"/>
      <c r="H2150" s="78" t="n"/>
      <c r="I2150" s="78" t="n"/>
      <c r="J2150" s="78" t="n"/>
    </row>
    <row r="2151">
      <c r="A2151" s="84">
        <f>ROW()-6</f>
        <v/>
      </c>
      <c r="B2151" s="85">
        <f>+MATCH(D2151,ARTICULOS!$F$10:$F$699,0)</f>
        <v/>
      </c>
      <c r="C2151" s="86">
        <f>+VLOOKUP(B2151,ARTICULOS!$D$10:$I$699,6)</f>
        <v/>
      </c>
      <c r="D2151" s="212" t="n"/>
      <c r="E2151" s="75">
        <f>+C2151&amp;F2151</f>
        <v/>
      </c>
      <c r="F2151" s="80" t="n"/>
      <c r="G2151" s="81" t="n"/>
      <c r="H2151" s="78" t="n"/>
      <c r="I2151" s="78" t="n"/>
      <c r="J2151" s="78" t="n"/>
    </row>
    <row r="2152">
      <c r="A2152" s="84">
        <f>ROW()-6</f>
        <v/>
      </c>
      <c r="B2152" s="85">
        <f>+MATCH(D2152,ARTICULOS!$F$10:$F$699,0)</f>
        <v/>
      </c>
      <c r="C2152" s="86">
        <f>+VLOOKUP(B2152,ARTICULOS!$D$10:$I$699,6)</f>
        <v/>
      </c>
      <c r="D2152" s="212" t="n"/>
      <c r="E2152" s="75">
        <f>+C2152&amp;F2152</f>
        <v/>
      </c>
      <c r="F2152" s="80" t="n"/>
      <c r="G2152" s="81" t="n"/>
      <c r="H2152" s="78" t="n"/>
      <c r="I2152" s="78" t="n"/>
      <c r="J2152" s="78" t="n"/>
    </row>
    <row r="2153">
      <c r="A2153" s="84">
        <f>ROW()-6</f>
        <v/>
      </c>
      <c r="B2153" s="85">
        <f>+MATCH(D2153,ARTICULOS!$F$10:$F$699,0)</f>
        <v/>
      </c>
      <c r="C2153" s="86">
        <f>+VLOOKUP(B2153,ARTICULOS!$D$10:$I$699,6)</f>
        <v/>
      </c>
      <c r="D2153" s="212" t="n"/>
      <c r="E2153" s="75">
        <f>+C2153&amp;F2153</f>
        <v/>
      </c>
      <c r="F2153" s="80" t="n"/>
      <c r="G2153" s="81" t="n"/>
      <c r="H2153" s="78" t="n"/>
      <c r="I2153" s="78" t="n"/>
      <c r="J2153" s="78" t="n"/>
    </row>
    <row r="2154">
      <c r="A2154" s="84">
        <f>ROW()-6</f>
        <v/>
      </c>
      <c r="B2154" s="85">
        <f>+MATCH(D2154,ARTICULOS!$F$10:$F$699,0)</f>
        <v/>
      </c>
      <c r="C2154" s="86">
        <f>+VLOOKUP(B2154,ARTICULOS!$D$10:$I$699,6)</f>
        <v/>
      </c>
      <c r="D2154" s="212" t="n"/>
      <c r="E2154" s="75">
        <f>+C2154&amp;F2154</f>
        <v/>
      </c>
      <c r="F2154" s="80" t="n"/>
      <c r="G2154" s="81" t="n"/>
      <c r="H2154" s="78" t="n"/>
      <c r="I2154" s="78" t="n"/>
      <c r="J2154" s="78" t="n"/>
    </row>
    <row r="2155">
      <c r="A2155" s="84">
        <f>ROW()-6</f>
        <v/>
      </c>
      <c r="B2155" s="85">
        <f>+MATCH(D2155,ARTICULOS!$F$10:$F$699,0)</f>
        <v/>
      </c>
      <c r="C2155" s="86">
        <f>+VLOOKUP(B2155,ARTICULOS!$D$10:$I$699,6)</f>
        <v/>
      </c>
      <c r="D2155" s="212" t="n"/>
      <c r="E2155" s="75">
        <f>+C2155&amp;F2155</f>
        <v/>
      </c>
      <c r="F2155" s="80" t="n"/>
      <c r="G2155" s="81" t="n"/>
      <c r="H2155" s="78" t="n"/>
      <c r="I2155" s="78" t="n"/>
      <c r="J2155" s="78" t="n"/>
    </row>
    <row r="2156">
      <c r="A2156" s="84">
        <f>ROW()-6</f>
        <v/>
      </c>
      <c r="B2156" s="85">
        <f>+MATCH(D2156,ARTICULOS!$F$10:$F$699,0)</f>
        <v/>
      </c>
      <c r="C2156" s="86">
        <f>+VLOOKUP(B2156,ARTICULOS!$D$10:$I$699,6)</f>
        <v/>
      </c>
      <c r="D2156" s="212" t="n"/>
      <c r="E2156" s="75">
        <f>+C2156&amp;F2156</f>
        <v/>
      </c>
      <c r="F2156" s="80" t="n"/>
      <c r="G2156" s="81" t="n"/>
      <c r="H2156" s="78" t="n"/>
      <c r="I2156" s="78" t="n"/>
      <c r="J2156" s="78" t="n"/>
    </row>
    <row r="2157">
      <c r="A2157" s="84">
        <f>ROW()-6</f>
        <v/>
      </c>
      <c r="B2157" s="85">
        <f>+MATCH(D2157,ARTICULOS!$F$10:$F$699,0)</f>
        <v/>
      </c>
      <c r="C2157" s="86">
        <f>+VLOOKUP(B2157,ARTICULOS!$D$10:$I$699,6)</f>
        <v/>
      </c>
      <c r="D2157" s="212" t="n"/>
      <c r="E2157" s="75">
        <f>+C2157&amp;F2157</f>
        <v/>
      </c>
      <c r="F2157" s="80" t="n"/>
      <c r="G2157" s="81" t="n"/>
      <c r="H2157" s="78" t="n"/>
      <c r="I2157" s="78" t="n"/>
      <c r="J2157" s="78" t="n"/>
    </row>
    <row r="2158">
      <c r="A2158" s="84">
        <f>ROW()-6</f>
        <v/>
      </c>
      <c r="B2158" s="85">
        <f>+MATCH(D2158,ARTICULOS!$F$10:$F$699,0)</f>
        <v/>
      </c>
      <c r="C2158" s="86">
        <f>+VLOOKUP(B2158,ARTICULOS!$D$10:$I$699,6)</f>
        <v/>
      </c>
      <c r="D2158" s="212" t="n"/>
      <c r="E2158" s="75">
        <f>+C2158&amp;F2158</f>
        <v/>
      </c>
      <c r="F2158" s="80" t="n"/>
      <c r="G2158" s="81" t="n"/>
      <c r="H2158" s="78" t="n"/>
      <c r="I2158" s="78" t="n"/>
      <c r="J2158" s="78" t="n"/>
    </row>
    <row r="2159">
      <c r="A2159" s="84">
        <f>ROW()-6</f>
        <v/>
      </c>
      <c r="B2159" s="85">
        <f>+MATCH(D2159,ARTICULOS!$F$10:$F$699,0)</f>
        <v/>
      </c>
      <c r="C2159" s="86">
        <f>+VLOOKUP(B2159,ARTICULOS!$D$10:$I$699,6)</f>
        <v/>
      </c>
      <c r="D2159" s="212" t="n"/>
      <c r="E2159" s="75">
        <f>+C2159&amp;F2159</f>
        <v/>
      </c>
      <c r="F2159" s="80" t="n"/>
      <c r="G2159" s="81" t="n"/>
      <c r="H2159" s="78" t="n"/>
      <c r="I2159" s="78" t="n"/>
      <c r="J2159" s="78" t="n"/>
    </row>
    <row r="2160">
      <c r="A2160" s="84">
        <f>ROW()-6</f>
        <v/>
      </c>
      <c r="B2160" s="85">
        <f>+MATCH(D2160,ARTICULOS!$F$10:$F$699,0)</f>
        <v/>
      </c>
      <c r="C2160" s="86">
        <f>+VLOOKUP(B2160,ARTICULOS!$D$10:$I$699,6)</f>
        <v/>
      </c>
      <c r="D2160" s="212" t="n"/>
      <c r="E2160" s="75">
        <f>+C2160&amp;F2160</f>
        <v/>
      </c>
      <c r="F2160" s="80" t="n"/>
      <c r="G2160" s="81" t="n"/>
      <c r="H2160" s="78" t="n"/>
      <c r="I2160" s="78" t="n"/>
      <c r="J2160" s="78" t="n"/>
    </row>
    <row r="2161">
      <c r="A2161" s="84">
        <f>ROW()-6</f>
        <v/>
      </c>
      <c r="B2161" s="85">
        <f>+MATCH(D2161,ARTICULOS!$F$10:$F$699,0)</f>
        <v/>
      </c>
      <c r="C2161" s="86">
        <f>+VLOOKUP(B2161,ARTICULOS!$D$10:$I$699,6)</f>
        <v/>
      </c>
      <c r="D2161" s="212" t="n"/>
      <c r="E2161" s="75">
        <f>+C2161&amp;F2161</f>
        <v/>
      </c>
      <c r="F2161" s="80" t="n"/>
      <c r="G2161" s="81" t="n"/>
      <c r="H2161" s="78" t="n"/>
      <c r="I2161" s="78" t="n"/>
      <c r="J2161" s="78" t="n"/>
    </row>
    <row r="2162">
      <c r="A2162" s="84">
        <f>ROW()-6</f>
        <v/>
      </c>
      <c r="B2162" s="85">
        <f>+MATCH(D2162,ARTICULOS!$F$10:$F$699,0)</f>
        <v/>
      </c>
      <c r="C2162" s="86">
        <f>+VLOOKUP(B2162,ARTICULOS!$D$10:$I$699,6)</f>
        <v/>
      </c>
      <c r="D2162" s="212" t="n"/>
      <c r="E2162" s="75">
        <f>+C2162&amp;F2162</f>
        <v/>
      </c>
      <c r="F2162" s="80" t="n"/>
      <c r="G2162" s="81" t="n"/>
      <c r="H2162" s="78" t="n"/>
      <c r="I2162" s="78" t="n"/>
      <c r="J2162" s="78" t="n"/>
    </row>
    <row r="2163">
      <c r="A2163" s="84">
        <f>ROW()-6</f>
        <v/>
      </c>
      <c r="B2163" s="85">
        <f>+MATCH(D2163,ARTICULOS!$F$10:$F$699,0)</f>
        <v/>
      </c>
      <c r="C2163" s="86">
        <f>+VLOOKUP(B2163,ARTICULOS!$D$10:$I$699,6)</f>
        <v/>
      </c>
      <c r="D2163" s="212" t="n"/>
      <c r="E2163" s="75">
        <f>+C2163&amp;F2163</f>
        <v/>
      </c>
      <c r="F2163" s="80" t="n"/>
      <c r="G2163" s="81" t="n"/>
      <c r="H2163" s="78" t="n"/>
      <c r="I2163" s="78" t="n"/>
      <c r="J2163" s="78" t="n"/>
    </row>
    <row r="2164">
      <c r="A2164" s="84">
        <f>ROW()-6</f>
        <v/>
      </c>
      <c r="B2164" s="85">
        <f>+MATCH(D2164,ARTICULOS!$F$10:$F$699,0)</f>
        <v/>
      </c>
      <c r="C2164" s="86">
        <f>+VLOOKUP(B2164,ARTICULOS!$D$10:$I$699,6)</f>
        <v/>
      </c>
      <c r="D2164" s="212" t="n"/>
      <c r="E2164" s="75">
        <f>+C2164&amp;F2164</f>
        <v/>
      </c>
      <c r="F2164" s="80" t="n"/>
      <c r="G2164" s="81" t="n"/>
      <c r="H2164" s="78" t="n"/>
      <c r="I2164" s="78" t="n"/>
      <c r="J2164" s="78" t="n"/>
    </row>
    <row r="2165">
      <c r="A2165" s="84">
        <f>ROW()-6</f>
        <v/>
      </c>
      <c r="B2165" s="85">
        <f>+MATCH(D2165,ARTICULOS!$F$10:$F$699,0)</f>
        <v/>
      </c>
      <c r="C2165" s="86">
        <f>+VLOOKUP(B2165,ARTICULOS!$D$10:$I$699,6)</f>
        <v/>
      </c>
      <c r="D2165" s="212" t="n"/>
      <c r="E2165" s="75">
        <f>+C2165&amp;F2165</f>
        <v/>
      </c>
      <c r="F2165" s="80" t="n"/>
      <c r="G2165" s="81" t="n"/>
      <c r="H2165" s="78" t="n"/>
      <c r="I2165" s="78" t="n"/>
      <c r="J2165" s="78" t="n"/>
    </row>
    <row r="2166">
      <c r="A2166" s="84">
        <f>ROW()-6</f>
        <v/>
      </c>
      <c r="B2166" s="85">
        <f>+MATCH(D2166,ARTICULOS!$F$10:$F$699,0)</f>
        <v/>
      </c>
      <c r="C2166" s="86">
        <f>+VLOOKUP(B2166,ARTICULOS!$D$10:$I$699,6)</f>
        <v/>
      </c>
      <c r="D2166" s="212" t="n"/>
      <c r="E2166" s="75">
        <f>+C2166&amp;F2166</f>
        <v/>
      </c>
      <c r="F2166" s="80" t="n"/>
      <c r="G2166" s="81" t="n"/>
      <c r="H2166" s="78" t="n"/>
      <c r="I2166" s="78" t="n"/>
      <c r="J2166" s="78" t="n"/>
    </row>
    <row r="2167">
      <c r="A2167" s="84">
        <f>ROW()-6</f>
        <v/>
      </c>
      <c r="B2167" s="85">
        <f>+MATCH(D2167,ARTICULOS!$F$10:$F$699,0)</f>
        <v/>
      </c>
      <c r="C2167" s="86">
        <f>+VLOOKUP(B2167,ARTICULOS!$D$10:$I$699,6)</f>
        <v/>
      </c>
      <c r="D2167" s="212" t="n"/>
      <c r="E2167" s="75">
        <f>+C2167&amp;F2167</f>
        <v/>
      </c>
      <c r="F2167" s="80" t="n"/>
      <c r="G2167" s="81" t="n"/>
      <c r="H2167" s="78" t="n"/>
      <c r="I2167" s="78" t="n"/>
      <c r="J2167" s="78" t="n"/>
    </row>
    <row r="2168">
      <c r="A2168" s="84">
        <f>ROW()-6</f>
        <v/>
      </c>
      <c r="B2168" s="85">
        <f>+MATCH(D2168,ARTICULOS!$F$10:$F$699,0)</f>
        <v/>
      </c>
      <c r="C2168" s="86">
        <f>+VLOOKUP(B2168,ARTICULOS!$D$10:$I$699,6)</f>
        <v/>
      </c>
      <c r="D2168" s="212" t="n"/>
      <c r="E2168" s="75">
        <f>+C2168&amp;F2168</f>
        <v/>
      </c>
      <c r="F2168" s="80" t="n"/>
      <c r="G2168" s="81" t="n"/>
      <c r="H2168" s="78" t="n"/>
      <c r="I2168" s="78" t="n"/>
      <c r="J2168" s="78" t="n"/>
    </row>
    <row r="2169">
      <c r="A2169" s="84">
        <f>ROW()-6</f>
        <v/>
      </c>
      <c r="B2169" s="85">
        <f>+MATCH(D2169,ARTICULOS!$F$10:$F$699,0)</f>
        <v/>
      </c>
      <c r="C2169" s="86">
        <f>+VLOOKUP(B2169,ARTICULOS!$D$10:$I$699,6)</f>
        <v/>
      </c>
      <c r="D2169" s="212" t="n"/>
      <c r="E2169" s="75">
        <f>+C2169&amp;F2169</f>
        <v/>
      </c>
      <c r="F2169" s="80" t="n"/>
      <c r="G2169" s="81" t="n"/>
      <c r="H2169" s="78" t="n"/>
      <c r="I2169" s="78" t="n"/>
      <c r="J2169" s="78" t="n"/>
    </row>
    <row r="2170">
      <c r="A2170" s="84">
        <f>ROW()-6</f>
        <v/>
      </c>
      <c r="B2170" s="85">
        <f>+MATCH(D2170,ARTICULOS!$F$10:$F$699,0)</f>
        <v/>
      </c>
      <c r="C2170" s="86">
        <f>+VLOOKUP(B2170,ARTICULOS!$D$10:$I$699,6)</f>
        <v/>
      </c>
      <c r="D2170" s="212" t="n"/>
      <c r="E2170" s="75">
        <f>+C2170&amp;F2170</f>
        <v/>
      </c>
      <c r="F2170" s="80" t="n"/>
      <c r="G2170" s="81" t="n"/>
      <c r="H2170" s="78" t="n"/>
      <c r="I2170" s="78" t="n"/>
      <c r="J2170" s="78" t="n"/>
    </row>
    <row r="2171">
      <c r="A2171" s="84">
        <f>ROW()-6</f>
        <v/>
      </c>
      <c r="B2171" s="85">
        <f>+MATCH(D2171,ARTICULOS!$F$10:$F$699,0)</f>
        <v/>
      </c>
      <c r="C2171" s="86">
        <f>+VLOOKUP(B2171,ARTICULOS!$D$10:$I$699,6)</f>
        <v/>
      </c>
      <c r="D2171" s="212" t="n"/>
      <c r="E2171" s="75">
        <f>+C2171&amp;F2171</f>
        <v/>
      </c>
      <c r="F2171" s="80" t="n"/>
      <c r="G2171" s="81" t="n"/>
      <c r="H2171" s="78" t="n"/>
      <c r="I2171" s="78" t="n"/>
      <c r="J2171" s="78" t="n"/>
    </row>
    <row r="2172">
      <c r="A2172" s="84">
        <f>ROW()-6</f>
        <v/>
      </c>
      <c r="B2172" s="85">
        <f>+MATCH(D2172,ARTICULOS!$F$10:$F$699,0)</f>
        <v/>
      </c>
      <c r="C2172" s="86">
        <f>+VLOOKUP(B2172,ARTICULOS!$D$10:$I$699,6)</f>
        <v/>
      </c>
      <c r="D2172" s="212" t="n"/>
      <c r="E2172" s="75">
        <f>+C2172&amp;F2172</f>
        <v/>
      </c>
      <c r="F2172" s="80" t="n"/>
      <c r="G2172" s="81" t="n"/>
      <c r="H2172" s="78" t="n"/>
      <c r="I2172" s="78" t="n"/>
      <c r="J2172" s="78" t="n"/>
    </row>
    <row r="2173">
      <c r="A2173" s="84">
        <f>ROW()-6</f>
        <v/>
      </c>
      <c r="B2173" s="85">
        <f>+MATCH(D2173,ARTICULOS!$F$10:$F$699,0)</f>
        <v/>
      </c>
      <c r="C2173" s="86">
        <f>+VLOOKUP(B2173,ARTICULOS!$D$10:$I$699,6)</f>
        <v/>
      </c>
      <c r="D2173" s="212" t="n"/>
      <c r="E2173" s="75">
        <f>+C2173&amp;F2173</f>
        <v/>
      </c>
      <c r="F2173" s="80" t="n"/>
      <c r="G2173" s="81" t="n"/>
      <c r="H2173" s="78" t="n"/>
      <c r="I2173" s="78" t="n"/>
      <c r="J2173" s="78" t="n"/>
    </row>
    <row r="2174">
      <c r="A2174" s="84">
        <f>ROW()-6</f>
        <v/>
      </c>
      <c r="B2174" s="85">
        <f>+MATCH(D2174,ARTICULOS!$F$10:$F$699,0)</f>
        <v/>
      </c>
      <c r="C2174" s="86">
        <f>+VLOOKUP(B2174,ARTICULOS!$D$10:$I$699,6)</f>
        <v/>
      </c>
      <c r="D2174" s="212" t="n"/>
      <c r="E2174" s="75">
        <f>+C2174&amp;F2174</f>
        <v/>
      </c>
      <c r="F2174" s="80" t="n"/>
      <c r="G2174" s="81" t="n"/>
      <c r="H2174" s="78" t="n"/>
      <c r="I2174" s="78" t="n"/>
      <c r="J2174" s="78" t="n"/>
    </row>
    <row r="2175">
      <c r="A2175" s="84">
        <f>ROW()-6</f>
        <v/>
      </c>
      <c r="B2175" s="85">
        <f>+MATCH(D2175,ARTICULOS!$F$10:$F$699,0)</f>
        <v/>
      </c>
      <c r="C2175" s="86">
        <f>+VLOOKUP(B2175,ARTICULOS!$D$10:$I$699,6)</f>
        <v/>
      </c>
      <c r="D2175" s="212" t="n"/>
      <c r="E2175" s="75">
        <f>+C2175&amp;F2175</f>
        <v/>
      </c>
      <c r="F2175" s="80" t="n"/>
      <c r="G2175" s="81" t="n"/>
      <c r="H2175" s="78" t="n"/>
      <c r="I2175" s="78" t="n"/>
      <c r="J2175" s="78" t="n"/>
    </row>
    <row r="2176">
      <c r="A2176" s="84">
        <f>ROW()-6</f>
        <v/>
      </c>
      <c r="B2176" s="85">
        <f>+MATCH(D2176,ARTICULOS!$F$10:$F$699,0)</f>
        <v/>
      </c>
      <c r="C2176" s="86">
        <f>+VLOOKUP(B2176,ARTICULOS!$D$10:$I$699,6)</f>
        <v/>
      </c>
      <c r="D2176" s="212" t="n"/>
      <c r="E2176" s="75">
        <f>+C2176&amp;F2176</f>
        <v/>
      </c>
      <c r="F2176" s="80" t="n"/>
      <c r="G2176" s="81" t="n"/>
      <c r="H2176" s="78" t="n"/>
      <c r="I2176" s="78" t="n"/>
      <c r="J2176" s="78" t="n"/>
    </row>
    <row r="2177">
      <c r="A2177" s="84">
        <f>ROW()-6</f>
        <v/>
      </c>
      <c r="B2177" s="85">
        <f>+MATCH(D2177,ARTICULOS!$F$10:$F$699,0)</f>
        <v/>
      </c>
      <c r="C2177" s="86">
        <f>+VLOOKUP(B2177,ARTICULOS!$D$10:$I$699,6)</f>
        <v/>
      </c>
      <c r="D2177" s="212" t="n"/>
      <c r="E2177" s="75">
        <f>+C2177&amp;F2177</f>
        <v/>
      </c>
      <c r="F2177" s="80" t="n"/>
      <c r="G2177" s="81" t="n"/>
      <c r="H2177" s="78" t="n"/>
      <c r="I2177" s="78" t="n"/>
      <c r="J2177" s="78" t="n"/>
    </row>
    <row r="2178">
      <c r="A2178" s="84">
        <f>ROW()-6</f>
        <v/>
      </c>
      <c r="B2178" s="85">
        <f>+MATCH(D2178,ARTICULOS!$F$10:$F$699,0)</f>
        <v/>
      </c>
      <c r="C2178" s="86">
        <f>+VLOOKUP(B2178,ARTICULOS!$D$10:$I$699,6)</f>
        <v/>
      </c>
      <c r="D2178" s="212" t="n"/>
      <c r="E2178" s="75">
        <f>+C2178&amp;F2178</f>
        <v/>
      </c>
      <c r="F2178" s="80" t="n"/>
      <c r="G2178" s="81" t="n"/>
      <c r="H2178" s="78" t="n"/>
      <c r="I2178" s="78" t="n"/>
      <c r="J2178" s="78" t="n"/>
    </row>
    <row r="2179">
      <c r="A2179" s="84">
        <f>ROW()-6</f>
        <v/>
      </c>
      <c r="B2179" s="85">
        <f>+MATCH(D2179,ARTICULOS!$F$10:$F$699,0)</f>
        <v/>
      </c>
      <c r="C2179" s="86">
        <f>+VLOOKUP(B2179,ARTICULOS!$D$10:$I$699,6)</f>
        <v/>
      </c>
      <c r="D2179" s="212" t="n"/>
      <c r="E2179" s="75">
        <f>+C2179&amp;F2179</f>
        <v/>
      </c>
      <c r="F2179" s="80" t="n"/>
      <c r="G2179" s="81" t="n"/>
      <c r="H2179" s="78" t="n"/>
      <c r="I2179" s="78" t="n"/>
      <c r="J2179" s="78" t="n"/>
    </row>
    <row r="2180">
      <c r="A2180" s="84">
        <f>ROW()-6</f>
        <v/>
      </c>
      <c r="B2180" s="85">
        <f>+MATCH(D2180,ARTICULOS!$F$10:$F$699,0)</f>
        <v/>
      </c>
      <c r="C2180" s="86">
        <f>+VLOOKUP(B2180,ARTICULOS!$D$10:$I$699,6)</f>
        <v/>
      </c>
      <c r="D2180" s="212" t="n"/>
      <c r="E2180" s="75">
        <f>+C2180&amp;F2180</f>
        <v/>
      </c>
      <c r="F2180" s="80" t="n"/>
      <c r="G2180" s="81" t="n"/>
      <c r="H2180" s="78" t="n"/>
      <c r="I2180" s="78" t="n"/>
      <c r="J2180" s="78" t="n"/>
    </row>
    <row r="2181">
      <c r="A2181" s="84">
        <f>ROW()-6</f>
        <v/>
      </c>
      <c r="B2181" s="85">
        <f>+MATCH(D2181,ARTICULOS!$F$10:$F$699,0)</f>
        <v/>
      </c>
      <c r="C2181" s="86">
        <f>+VLOOKUP(B2181,ARTICULOS!$D$10:$I$699,6)</f>
        <v/>
      </c>
      <c r="D2181" s="212" t="n"/>
      <c r="E2181" s="75">
        <f>+C2181&amp;F2181</f>
        <v/>
      </c>
      <c r="F2181" s="80" t="n"/>
      <c r="G2181" s="81" t="n"/>
      <c r="H2181" s="78" t="n"/>
      <c r="I2181" s="78" t="n"/>
      <c r="J2181" s="78" t="n"/>
    </row>
    <row r="2182">
      <c r="A2182" s="84">
        <f>ROW()-6</f>
        <v/>
      </c>
      <c r="B2182" s="85">
        <f>+MATCH(D2182,ARTICULOS!$F$10:$F$699,0)</f>
        <v/>
      </c>
      <c r="C2182" s="86">
        <f>+VLOOKUP(B2182,ARTICULOS!$D$10:$I$699,6)</f>
        <v/>
      </c>
      <c r="D2182" s="212" t="n"/>
      <c r="E2182" s="75">
        <f>+C2182&amp;F2182</f>
        <v/>
      </c>
      <c r="F2182" s="80" t="n"/>
      <c r="G2182" s="81" t="n"/>
      <c r="H2182" s="78" t="n"/>
      <c r="I2182" s="78" t="n"/>
      <c r="J2182" s="78" t="n"/>
    </row>
    <row r="2183">
      <c r="A2183" s="84">
        <f>ROW()-6</f>
        <v/>
      </c>
      <c r="B2183" s="85">
        <f>+MATCH(D2183,ARTICULOS!$F$10:$F$699,0)</f>
        <v/>
      </c>
      <c r="C2183" s="86">
        <f>+VLOOKUP(B2183,ARTICULOS!$D$10:$I$699,6)</f>
        <v/>
      </c>
      <c r="D2183" s="212" t="n"/>
      <c r="E2183" s="75">
        <f>+C2183&amp;F2183</f>
        <v/>
      </c>
      <c r="F2183" s="80" t="n"/>
      <c r="G2183" s="81" t="n"/>
      <c r="H2183" s="78" t="n"/>
      <c r="I2183" s="78" t="n"/>
      <c r="J2183" s="78" t="n"/>
    </row>
    <row r="2184">
      <c r="A2184" s="84">
        <f>ROW()-6</f>
        <v/>
      </c>
      <c r="B2184" s="85">
        <f>+MATCH(D2184,ARTICULOS!$F$10:$F$699,0)</f>
        <v/>
      </c>
      <c r="C2184" s="86">
        <f>+VLOOKUP(B2184,ARTICULOS!$D$10:$I$699,6)</f>
        <v/>
      </c>
      <c r="D2184" s="212" t="n"/>
      <c r="E2184" s="75">
        <f>+C2184&amp;F2184</f>
        <v/>
      </c>
      <c r="F2184" s="80" t="n"/>
      <c r="G2184" s="81" t="n"/>
      <c r="H2184" s="78" t="n"/>
      <c r="I2184" s="78" t="n"/>
      <c r="J2184" s="78" t="n"/>
    </row>
    <row r="2185">
      <c r="A2185" s="84">
        <f>ROW()-6</f>
        <v/>
      </c>
      <c r="B2185" s="85">
        <f>+MATCH(D2185,ARTICULOS!$F$10:$F$699,0)</f>
        <v/>
      </c>
      <c r="C2185" s="86">
        <f>+VLOOKUP(B2185,ARTICULOS!$D$10:$I$699,6)</f>
        <v/>
      </c>
      <c r="D2185" s="212" t="n"/>
      <c r="E2185" s="75">
        <f>+C2185&amp;F2185</f>
        <v/>
      </c>
      <c r="F2185" s="80" t="n"/>
      <c r="G2185" s="81" t="n"/>
      <c r="H2185" s="78" t="n"/>
      <c r="I2185" s="78" t="n"/>
      <c r="J2185" s="78" t="n"/>
    </row>
    <row r="2186">
      <c r="A2186" s="84">
        <f>ROW()-6</f>
        <v/>
      </c>
      <c r="B2186" s="85">
        <f>+MATCH(D2186,ARTICULOS!$F$10:$F$699,0)</f>
        <v/>
      </c>
      <c r="C2186" s="86">
        <f>+VLOOKUP(B2186,ARTICULOS!$D$10:$I$699,6)</f>
        <v/>
      </c>
      <c r="D2186" s="212" t="n"/>
      <c r="E2186" s="75">
        <f>+C2186&amp;F2186</f>
        <v/>
      </c>
      <c r="F2186" s="80" t="n"/>
      <c r="G2186" s="81" t="n"/>
      <c r="H2186" s="78" t="n"/>
      <c r="I2186" s="78" t="n"/>
      <c r="J2186" s="78" t="n"/>
    </row>
    <row r="2187">
      <c r="A2187" s="84">
        <f>ROW()-6</f>
        <v/>
      </c>
      <c r="B2187" s="85">
        <f>+MATCH(D2187,ARTICULOS!$F$10:$F$699,0)</f>
        <v/>
      </c>
      <c r="C2187" s="86">
        <f>+VLOOKUP(B2187,ARTICULOS!$D$10:$I$699,6)</f>
        <v/>
      </c>
      <c r="D2187" s="212" t="n"/>
      <c r="E2187" s="75">
        <f>+C2187&amp;F2187</f>
        <v/>
      </c>
      <c r="F2187" s="80" t="n"/>
      <c r="G2187" s="81" t="n"/>
      <c r="H2187" s="78" t="n"/>
      <c r="I2187" s="78" t="n"/>
      <c r="J2187" s="78" t="n"/>
    </row>
    <row r="2188">
      <c r="A2188" s="84">
        <f>ROW()-6</f>
        <v/>
      </c>
      <c r="B2188" s="85">
        <f>+MATCH(D2188,ARTICULOS!$F$10:$F$699,0)</f>
        <v/>
      </c>
      <c r="C2188" s="86">
        <f>+VLOOKUP(B2188,ARTICULOS!$D$10:$I$699,6)</f>
        <v/>
      </c>
      <c r="D2188" s="212" t="n"/>
      <c r="E2188" s="75">
        <f>+C2188&amp;F2188</f>
        <v/>
      </c>
      <c r="F2188" s="80" t="n"/>
      <c r="G2188" s="81" t="n"/>
      <c r="H2188" s="78" t="n"/>
      <c r="I2188" s="78" t="n"/>
      <c r="J2188" s="78" t="n"/>
    </row>
    <row r="2189">
      <c r="A2189" s="84">
        <f>ROW()-6</f>
        <v/>
      </c>
      <c r="B2189" s="85">
        <f>+MATCH(D2189,ARTICULOS!$F$10:$F$699,0)</f>
        <v/>
      </c>
      <c r="C2189" s="86">
        <f>+VLOOKUP(B2189,ARTICULOS!$D$10:$I$699,6)</f>
        <v/>
      </c>
      <c r="D2189" s="212" t="n"/>
      <c r="E2189" s="75">
        <f>+C2189&amp;F2189</f>
        <v/>
      </c>
      <c r="F2189" s="80" t="n"/>
      <c r="G2189" s="81" t="n"/>
      <c r="H2189" s="78" t="n"/>
      <c r="I2189" s="78" t="n"/>
      <c r="J2189" s="78" t="n"/>
    </row>
    <row r="2190">
      <c r="A2190" s="84">
        <f>ROW()-6</f>
        <v/>
      </c>
      <c r="B2190" s="85">
        <f>+MATCH(D2190,ARTICULOS!$F$10:$F$699,0)</f>
        <v/>
      </c>
      <c r="C2190" s="86">
        <f>+VLOOKUP(B2190,ARTICULOS!$D$10:$I$699,6)</f>
        <v/>
      </c>
      <c r="D2190" s="212" t="n"/>
      <c r="E2190" s="75">
        <f>+C2190&amp;F2190</f>
        <v/>
      </c>
      <c r="F2190" s="80" t="n"/>
      <c r="G2190" s="81" t="n"/>
      <c r="H2190" s="78" t="n"/>
      <c r="I2190" s="78" t="n"/>
      <c r="J2190" s="78" t="n"/>
    </row>
    <row r="2191">
      <c r="A2191" s="84">
        <f>ROW()-6</f>
        <v/>
      </c>
      <c r="B2191" s="85">
        <f>+MATCH(D2191,ARTICULOS!$F$10:$F$699,0)</f>
        <v/>
      </c>
      <c r="C2191" s="86">
        <f>+VLOOKUP(B2191,ARTICULOS!$D$10:$I$699,6)</f>
        <v/>
      </c>
      <c r="D2191" s="212" t="n"/>
      <c r="E2191" s="75">
        <f>+C2191&amp;F2191</f>
        <v/>
      </c>
      <c r="F2191" s="80" t="n"/>
      <c r="G2191" s="81" t="n"/>
      <c r="H2191" s="78" t="n"/>
      <c r="I2191" s="78" t="n"/>
      <c r="J2191" s="78" t="n"/>
    </row>
    <row r="2192">
      <c r="A2192" s="84">
        <f>ROW()-6</f>
        <v/>
      </c>
      <c r="B2192" s="85">
        <f>+MATCH(D2192,ARTICULOS!$F$10:$F$699,0)</f>
        <v/>
      </c>
      <c r="C2192" s="86">
        <f>+VLOOKUP(B2192,ARTICULOS!$D$10:$I$699,6)</f>
        <v/>
      </c>
      <c r="D2192" s="212" t="n"/>
      <c r="E2192" s="75">
        <f>+C2192&amp;F2192</f>
        <v/>
      </c>
      <c r="F2192" s="80" t="n"/>
      <c r="G2192" s="81" t="n"/>
      <c r="H2192" s="78" t="n"/>
      <c r="I2192" s="78" t="n"/>
      <c r="J2192" s="78" t="n"/>
    </row>
    <row r="2193">
      <c r="A2193" s="84">
        <f>ROW()-6</f>
        <v/>
      </c>
      <c r="B2193" s="85">
        <f>+MATCH(D2193,ARTICULOS!$F$10:$F$699,0)</f>
        <v/>
      </c>
      <c r="C2193" s="86">
        <f>+VLOOKUP(B2193,ARTICULOS!$D$10:$I$699,6)</f>
        <v/>
      </c>
      <c r="D2193" s="212" t="n"/>
      <c r="E2193" s="75">
        <f>+C2193&amp;F2193</f>
        <v/>
      </c>
      <c r="F2193" s="80" t="n"/>
      <c r="G2193" s="81" t="n"/>
      <c r="H2193" s="78" t="n"/>
      <c r="I2193" s="78" t="n"/>
      <c r="J2193" s="78" t="n"/>
    </row>
    <row r="2194">
      <c r="A2194" s="84">
        <f>ROW()-6</f>
        <v/>
      </c>
      <c r="B2194" s="85">
        <f>+MATCH(D2194,ARTICULOS!$F$10:$F$699,0)</f>
        <v/>
      </c>
      <c r="C2194" s="86">
        <f>+VLOOKUP(B2194,ARTICULOS!$D$10:$I$699,6)</f>
        <v/>
      </c>
      <c r="D2194" s="212" t="n"/>
      <c r="E2194" s="75">
        <f>+C2194&amp;F2194</f>
        <v/>
      </c>
      <c r="F2194" s="80" t="n"/>
      <c r="G2194" s="81" t="n"/>
      <c r="H2194" s="78" t="n"/>
      <c r="I2194" s="78" t="n"/>
      <c r="J2194" s="78" t="n"/>
    </row>
    <row r="2195">
      <c r="A2195" s="84">
        <f>ROW()-6</f>
        <v/>
      </c>
      <c r="B2195" s="85">
        <f>+MATCH(D2195,ARTICULOS!$F$10:$F$699,0)</f>
        <v/>
      </c>
      <c r="C2195" s="86">
        <f>+VLOOKUP(B2195,ARTICULOS!$D$10:$I$699,6)</f>
        <v/>
      </c>
      <c r="D2195" s="212" t="n"/>
      <c r="E2195" s="75">
        <f>+C2195&amp;F2195</f>
        <v/>
      </c>
      <c r="F2195" s="80" t="n"/>
      <c r="G2195" s="81" t="n"/>
      <c r="H2195" s="78" t="n"/>
      <c r="I2195" s="78" t="n"/>
      <c r="J2195" s="78" t="n"/>
    </row>
    <row r="2196">
      <c r="A2196" s="84">
        <f>ROW()-6</f>
        <v/>
      </c>
      <c r="B2196" s="85">
        <f>+MATCH(D2196,ARTICULOS!$F$10:$F$699,0)</f>
        <v/>
      </c>
      <c r="C2196" s="86">
        <f>+VLOOKUP(B2196,ARTICULOS!$D$10:$I$699,6)</f>
        <v/>
      </c>
      <c r="D2196" s="212" t="n"/>
      <c r="E2196" s="75">
        <f>+C2196&amp;F2196</f>
        <v/>
      </c>
      <c r="F2196" s="80" t="n"/>
      <c r="G2196" s="81" t="n"/>
      <c r="H2196" s="78" t="n"/>
      <c r="I2196" s="78" t="n"/>
      <c r="J2196" s="78" t="n"/>
    </row>
    <row r="2197">
      <c r="A2197" s="84">
        <f>ROW()-6</f>
        <v/>
      </c>
      <c r="B2197" s="85">
        <f>+MATCH(D2197,ARTICULOS!$F$10:$F$699,0)</f>
        <v/>
      </c>
      <c r="C2197" s="86">
        <f>+VLOOKUP(B2197,ARTICULOS!$D$10:$I$699,6)</f>
        <v/>
      </c>
      <c r="D2197" s="212" t="n"/>
      <c r="E2197" s="75">
        <f>+C2197&amp;F2197</f>
        <v/>
      </c>
      <c r="F2197" s="80" t="n"/>
      <c r="G2197" s="81" t="n"/>
      <c r="H2197" s="78" t="n"/>
      <c r="I2197" s="78" t="n"/>
      <c r="J2197" s="78" t="n"/>
    </row>
    <row r="2198">
      <c r="A2198" s="84">
        <f>ROW()-6</f>
        <v/>
      </c>
      <c r="B2198" s="85">
        <f>+MATCH(D2198,ARTICULOS!$F$10:$F$699,0)</f>
        <v/>
      </c>
      <c r="C2198" s="86">
        <f>+VLOOKUP(B2198,ARTICULOS!$D$10:$I$699,6)</f>
        <v/>
      </c>
      <c r="D2198" s="212" t="n"/>
      <c r="E2198" s="75">
        <f>+C2198&amp;F2198</f>
        <v/>
      </c>
      <c r="F2198" s="80" t="n"/>
      <c r="G2198" s="81" t="n"/>
      <c r="H2198" s="78" t="n"/>
      <c r="I2198" s="78" t="n"/>
      <c r="J2198" s="78" t="n"/>
    </row>
    <row r="2199">
      <c r="A2199" s="84">
        <f>ROW()-6</f>
        <v/>
      </c>
      <c r="B2199" s="85">
        <f>+MATCH(D2199,ARTICULOS!$F$10:$F$699,0)</f>
        <v/>
      </c>
      <c r="C2199" s="86">
        <f>+VLOOKUP(B2199,ARTICULOS!$D$10:$I$699,6)</f>
        <v/>
      </c>
      <c r="D2199" s="212" t="n"/>
      <c r="E2199" s="75">
        <f>+C2199&amp;F2199</f>
        <v/>
      </c>
      <c r="F2199" s="80" t="n"/>
      <c r="G2199" s="81" t="n"/>
      <c r="H2199" s="78" t="n"/>
      <c r="I2199" s="78" t="n"/>
      <c r="J2199" s="78" t="n"/>
    </row>
    <row r="2200">
      <c r="A2200" s="84">
        <f>ROW()-6</f>
        <v/>
      </c>
      <c r="B2200" s="85">
        <f>+MATCH(D2200,ARTICULOS!$F$10:$F$699,0)</f>
        <v/>
      </c>
      <c r="C2200" s="86">
        <f>+VLOOKUP(B2200,ARTICULOS!$D$10:$I$699,6)</f>
        <v/>
      </c>
      <c r="D2200" s="212" t="n"/>
      <c r="E2200" s="75">
        <f>+C2200&amp;F2200</f>
        <v/>
      </c>
      <c r="F2200" s="80" t="n"/>
      <c r="G2200" s="81" t="n"/>
      <c r="H2200" s="78" t="n"/>
      <c r="I2200" s="78" t="n"/>
      <c r="J2200" s="78" t="n"/>
    </row>
    <row r="2201">
      <c r="A2201" s="84">
        <f>ROW()-6</f>
        <v/>
      </c>
      <c r="B2201" s="85">
        <f>+MATCH(D2201,ARTICULOS!$F$10:$F$699,0)</f>
        <v/>
      </c>
      <c r="C2201" s="86">
        <f>+VLOOKUP(B2201,ARTICULOS!$D$10:$I$699,6)</f>
        <v/>
      </c>
      <c r="D2201" s="212" t="n"/>
      <c r="E2201" s="75">
        <f>+C2201&amp;F2201</f>
        <v/>
      </c>
      <c r="F2201" s="80" t="n"/>
      <c r="G2201" s="81" t="n"/>
      <c r="H2201" s="78" t="n"/>
      <c r="I2201" s="78" t="n"/>
      <c r="J2201" s="78" t="n"/>
    </row>
    <row r="2202">
      <c r="A2202" s="84">
        <f>ROW()-6</f>
        <v/>
      </c>
      <c r="B2202" s="85">
        <f>+MATCH(D2202,ARTICULOS!$F$10:$F$699,0)</f>
        <v/>
      </c>
      <c r="C2202" s="86">
        <f>+VLOOKUP(B2202,ARTICULOS!$D$10:$I$699,6)</f>
        <v/>
      </c>
      <c r="D2202" s="212" t="n"/>
      <c r="E2202" s="75">
        <f>+C2202&amp;F2202</f>
        <v/>
      </c>
      <c r="F2202" s="80" t="n"/>
      <c r="G2202" s="81" t="n"/>
      <c r="H2202" s="78" t="n"/>
      <c r="I2202" s="78" t="n"/>
      <c r="J2202" s="78" t="n"/>
    </row>
    <row r="2203">
      <c r="A2203" s="84">
        <f>ROW()-6</f>
        <v/>
      </c>
      <c r="B2203" s="85">
        <f>+MATCH(D2203,ARTICULOS!$F$10:$F$699,0)</f>
        <v/>
      </c>
      <c r="C2203" s="86">
        <f>+VLOOKUP(B2203,ARTICULOS!$D$10:$I$699,6)</f>
        <v/>
      </c>
      <c r="D2203" s="212" t="n"/>
      <c r="E2203" s="75">
        <f>+C2203&amp;F2203</f>
        <v/>
      </c>
      <c r="F2203" s="80" t="n"/>
      <c r="G2203" s="81" t="n"/>
      <c r="H2203" s="78" t="n"/>
      <c r="I2203" s="78" t="n"/>
      <c r="J2203" s="78" t="n"/>
    </row>
    <row r="2204">
      <c r="A2204" s="84">
        <f>ROW()-6</f>
        <v/>
      </c>
      <c r="B2204" s="85">
        <f>+MATCH(D2204,ARTICULOS!$F$10:$F$699,0)</f>
        <v/>
      </c>
      <c r="C2204" s="86">
        <f>+VLOOKUP(B2204,ARTICULOS!$D$10:$I$699,6)</f>
        <v/>
      </c>
      <c r="D2204" s="212" t="n"/>
      <c r="E2204" s="75">
        <f>+C2204&amp;F2204</f>
        <v/>
      </c>
      <c r="F2204" s="80" t="n"/>
      <c r="G2204" s="81" t="n"/>
      <c r="H2204" s="78" t="n"/>
      <c r="I2204" s="78" t="n"/>
      <c r="J2204" s="78" t="n"/>
    </row>
    <row r="2205">
      <c r="A2205" s="84">
        <f>ROW()-6</f>
        <v/>
      </c>
      <c r="B2205" s="85">
        <f>+MATCH(D2205,ARTICULOS!$F$10:$F$699,0)</f>
        <v/>
      </c>
      <c r="C2205" s="86">
        <f>+VLOOKUP(B2205,ARTICULOS!$D$10:$I$699,6)</f>
        <v/>
      </c>
      <c r="D2205" s="212" t="n"/>
      <c r="E2205" s="75">
        <f>+C2205&amp;F2205</f>
        <v/>
      </c>
      <c r="F2205" s="80" t="n"/>
      <c r="G2205" s="81" t="n"/>
      <c r="H2205" s="78" t="n"/>
      <c r="I2205" s="78" t="n"/>
      <c r="J2205" s="78" t="n"/>
    </row>
    <row r="2206">
      <c r="A2206" s="84">
        <f>ROW()-6</f>
        <v/>
      </c>
      <c r="B2206" s="85">
        <f>+MATCH(D2206,ARTICULOS!$F$10:$F$699,0)</f>
        <v/>
      </c>
      <c r="C2206" s="86">
        <f>+VLOOKUP(B2206,ARTICULOS!$D$10:$I$699,6)</f>
        <v/>
      </c>
      <c r="D2206" s="212" t="n"/>
      <c r="E2206" s="75">
        <f>+C2206&amp;F2206</f>
        <v/>
      </c>
      <c r="F2206" s="80" t="n"/>
      <c r="G2206" s="81" t="n"/>
      <c r="H2206" s="78" t="n"/>
      <c r="I2206" s="78" t="n"/>
      <c r="J2206" s="78" t="n"/>
    </row>
    <row r="2207">
      <c r="A2207" s="84">
        <f>ROW()-6</f>
        <v/>
      </c>
      <c r="B2207" s="85">
        <f>+MATCH(D2207,ARTICULOS!$F$10:$F$699,0)</f>
        <v/>
      </c>
      <c r="C2207" s="86">
        <f>+VLOOKUP(B2207,ARTICULOS!$D$10:$I$699,6)</f>
        <v/>
      </c>
      <c r="D2207" s="212" t="n"/>
      <c r="E2207" s="75">
        <f>+C2207&amp;F2207</f>
        <v/>
      </c>
      <c r="F2207" s="80" t="n"/>
      <c r="G2207" s="81" t="n"/>
      <c r="H2207" s="78" t="n"/>
      <c r="I2207" s="78" t="n"/>
      <c r="J2207" s="78" t="n"/>
    </row>
    <row r="2208">
      <c r="A2208" s="84">
        <f>ROW()-6</f>
        <v/>
      </c>
      <c r="B2208" s="85">
        <f>+MATCH(D2208,ARTICULOS!$F$10:$F$699,0)</f>
        <v/>
      </c>
      <c r="C2208" s="86">
        <f>+VLOOKUP(B2208,ARTICULOS!$D$10:$I$699,6)</f>
        <v/>
      </c>
      <c r="D2208" s="212" t="n"/>
      <c r="E2208" s="75">
        <f>+C2208&amp;F2208</f>
        <v/>
      </c>
      <c r="F2208" s="80" t="n"/>
      <c r="G2208" s="81" t="n"/>
      <c r="H2208" s="78" t="n"/>
      <c r="I2208" s="78" t="n"/>
      <c r="J2208" s="78" t="n"/>
    </row>
    <row r="2209">
      <c r="A2209" s="84">
        <f>ROW()-6</f>
        <v/>
      </c>
      <c r="B2209" s="85">
        <f>+MATCH(D2209,ARTICULOS!$F$10:$F$699,0)</f>
        <v/>
      </c>
      <c r="C2209" s="86">
        <f>+VLOOKUP(B2209,ARTICULOS!$D$10:$I$699,6)</f>
        <v/>
      </c>
      <c r="D2209" s="212" t="n"/>
      <c r="E2209" s="75">
        <f>+C2209&amp;F2209</f>
        <v/>
      </c>
      <c r="F2209" s="80" t="n"/>
      <c r="G2209" s="81" t="n"/>
      <c r="H2209" s="78" t="n"/>
      <c r="I2209" s="78" t="n"/>
      <c r="J2209" s="78" t="n"/>
    </row>
    <row r="2210">
      <c r="A2210" s="84">
        <f>ROW()-6</f>
        <v/>
      </c>
      <c r="B2210" s="85">
        <f>+MATCH(D2210,ARTICULOS!$F$10:$F$699,0)</f>
        <v/>
      </c>
      <c r="C2210" s="86">
        <f>+VLOOKUP(B2210,ARTICULOS!$D$10:$I$699,6)</f>
        <v/>
      </c>
      <c r="D2210" s="212" t="n"/>
      <c r="E2210" s="75">
        <f>+C2210&amp;F2210</f>
        <v/>
      </c>
      <c r="F2210" s="80" t="n"/>
      <c r="G2210" s="81" t="n"/>
      <c r="H2210" s="78" t="n"/>
      <c r="I2210" s="78" t="n"/>
      <c r="J2210" s="78" t="n"/>
    </row>
    <row r="2211">
      <c r="A2211" s="84">
        <f>ROW()-6</f>
        <v/>
      </c>
      <c r="B2211" s="85">
        <f>+MATCH(D2211,ARTICULOS!$F$10:$F$699,0)</f>
        <v/>
      </c>
      <c r="C2211" s="86">
        <f>+VLOOKUP(B2211,ARTICULOS!$D$10:$I$699,6)</f>
        <v/>
      </c>
      <c r="D2211" s="212" t="n"/>
      <c r="E2211" s="75">
        <f>+C2211&amp;F2211</f>
        <v/>
      </c>
      <c r="F2211" s="80" t="n"/>
      <c r="G2211" s="81" t="n"/>
      <c r="H2211" s="78" t="n"/>
      <c r="I2211" s="78" t="n"/>
      <c r="J2211" s="78" t="n"/>
    </row>
    <row r="2212">
      <c r="A2212" s="84">
        <f>ROW()-6</f>
        <v/>
      </c>
      <c r="B2212" s="85">
        <f>+MATCH(D2212,ARTICULOS!$F$10:$F$699,0)</f>
        <v/>
      </c>
      <c r="C2212" s="86">
        <f>+VLOOKUP(B2212,ARTICULOS!$D$10:$I$699,6)</f>
        <v/>
      </c>
      <c r="D2212" s="212" t="n"/>
      <c r="E2212" s="75">
        <f>+C2212&amp;F2212</f>
        <v/>
      </c>
      <c r="F2212" s="80" t="n"/>
      <c r="G2212" s="81" t="n"/>
      <c r="H2212" s="78" t="n"/>
      <c r="I2212" s="78" t="n"/>
      <c r="J2212" s="78" t="n"/>
    </row>
    <row r="2213">
      <c r="A2213" s="84">
        <f>ROW()-6</f>
        <v/>
      </c>
      <c r="B2213" s="85">
        <f>+MATCH(D2213,ARTICULOS!$F$10:$F$699,0)</f>
        <v/>
      </c>
      <c r="C2213" s="86">
        <f>+VLOOKUP(B2213,ARTICULOS!$D$10:$I$699,6)</f>
        <v/>
      </c>
      <c r="D2213" s="212" t="n"/>
      <c r="E2213" s="75">
        <f>+C2213&amp;F2213</f>
        <v/>
      </c>
      <c r="F2213" s="80" t="n"/>
      <c r="G2213" s="81" t="n"/>
      <c r="H2213" s="78" t="n"/>
      <c r="I2213" s="78" t="n"/>
      <c r="J2213" s="78" t="n"/>
    </row>
    <row r="2214">
      <c r="A2214" s="84">
        <f>ROW()-6</f>
        <v/>
      </c>
      <c r="B2214" s="85">
        <f>+MATCH(D2214,ARTICULOS!$F$10:$F$699,0)</f>
        <v/>
      </c>
      <c r="C2214" s="86">
        <f>+VLOOKUP(B2214,ARTICULOS!$D$10:$I$699,6)</f>
        <v/>
      </c>
      <c r="D2214" s="212" t="n"/>
      <c r="E2214" s="75">
        <f>+C2214&amp;F2214</f>
        <v/>
      </c>
      <c r="F2214" s="80" t="n"/>
      <c r="G2214" s="81" t="n"/>
      <c r="H2214" s="78" t="n"/>
      <c r="I2214" s="78" t="n"/>
      <c r="J2214" s="78" t="n"/>
    </row>
    <row r="2215">
      <c r="A2215" s="84">
        <f>ROW()-6</f>
        <v/>
      </c>
      <c r="B2215" s="85">
        <f>+MATCH(D2215,ARTICULOS!$F$10:$F$699,0)</f>
        <v/>
      </c>
      <c r="C2215" s="86">
        <f>+VLOOKUP(B2215,ARTICULOS!$D$10:$I$699,6)</f>
        <v/>
      </c>
      <c r="D2215" s="212" t="n"/>
      <c r="E2215" s="75">
        <f>+C2215&amp;F2215</f>
        <v/>
      </c>
      <c r="F2215" s="80" t="n"/>
      <c r="G2215" s="81" t="n"/>
      <c r="H2215" s="78" t="n"/>
      <c r="I2215" s="78" t="n"/>
      <c r="J2215" s="78" t="n"/>
    </row>
    <row r="2216">
      <c r="A2216" s="84">
        <f>ROW()-6</f>
        <v/>
      </c>
      <c r="B2216" s="85">
        <f>+MATCH(D2216,ARTICULOS!$F$10:$F$699,0)</f>
        <v/>
      </c>
      <c r="C2216" s="86">
        <f>+VLOOKUP(B2216,ARTICULOS!$D$10:$I$699,6)</f>
        <v/>
      </c>
      <c r="D2216" s="212" t="n"/>
      <c r="E2216" s="75">
        <f>+C2216&amp;F2216</f>
        <v/>
      </c>
      <c r="F2216" s="80" t="n"/>
      <c r="G2216" s="81" t="n"/>
      <c r="H2216" s="78" t="n"/>
      <c r="I2216" s="78" t="n"/>
      <c r="J2216" s="78" t="n"/>
    </row>
    <row r="2217">
      <c r="A2217" s="84">
        <f>ROW()-6</f>
        <v/>
      </c>
      <c r="B2217" s="85">
        <f>+MATCH(D2217,ARTICULOS!$F$10:$F$699,0)</f>
        <v/>
      </c>
      <c r="C2217" s="86">
        <f>+VLOOKUP(B2217,ARTICULOS!$D$10:$I$699,6)</f>
        <v/>
      </c>
      <c r="D2217" s="212" t="n"/>
      <c r="E2217" s="75">
        <f>+C2217&amp;F2217</f>
        <v/>
      </c>
      <c r="F2217" s="80" t="n"/>
      <c r="G2217" s="81" t="n"/>
      <c r="H2217" s="78" t="n"/>
      <c r="I2217" s="78" t="n"/>
      <c r="J2217" s="78" t="n"/>
    </row>
    <row r="2218">
      <c r="A2218" s="84">
        <f>ROW()-6</f>
        <v/>
      </c>
      <c r="B2218" s="85">
        <f>+MATCH(D2218,ARTICULOS!$F$10:$F$699,0)</f>
        <v/>
      </c>
      <c r="C2218" s="86">
        <f>+VLOOKUP(B2218,ARTICULOS!$D$10:$I$699,6)</f>
        <v/>
      </c>
      <c r="D2218" s="212" t="n"/>
      <c r="E2218" s="75">
        <f>+C2218&amp;F2218</f>
        <v/>
      </c>
      <c r="F2218" s="80" t="n"/>
      <c r="G2218" s="81" t="n"/>
      <c r="H2218" s="78" t="n"/>
      <c r="I2218" s="78" t="n"/>
      <c r="J2218" s="78" t="n"/>
    </row>
    <row r="2219">
      <c r="A2219" s="84">
        <f>ROW()-6</f>
        <v/>
      </c>
      <c r="B2219" s="85">
        <f>+MATCH(D2219,ARTICULOS!$F$10:$F$699,0)</f>
        <v/>
      </c>
      <c r="C2219" s="86">
        <f>+VLOOKUP(B2219,ARTICULOS!$D$10:$I$699,6)</f>
        <v/>
      </c>
      <c r="D2219" s="212" t="n"/>
      <c r="E2219" s="75">
        <f>+C2219&amp;F2219</f>
        <v/>
      </c>
      <c r="F2219" s="80" t="n"/>
      <c r="G2219" s="81" t="n"/>
      <c r="H2219" s="78" t="n"/>
      <c r="I2219" s="78" t="n"/>
      <c r="J2219" s="78" t="n"/>
    </row>
    <row r="2220">
      <c r="A2220" s="84">
        <f>ROW()-6</f>
        <v/>
      </c>
      <c r="B2220" s="85">
        <f>+MATCH(D2220,ARTICULOS!$F$10:$F$699,0)</f>
        <v/>
      </c>
      <c r="C2220" s="86">
        <f>+VLOOKUP(B2220,ARTICULOS!$D$10:$I$699,6)</f>
        <v/>
      </c>
      <c r="D2220" s="212" t="n"/>
      <c r="E2220" s="75">
        <f>+C2220&amp;F2220</f>
        <v/>
      </c>
      <c r="F2220" s="80" t="n"/>
      <c r="G2220" s="81" t="n"/>
      <c r="H2220" s="78" t="n"/>
      <c r="I2220" s="78" t="n"/>
      <c r="J2220" s="78" t="n"/>
    </row>
    <row r="2221">
      <c r="A2221" s="84">
        <f>ROW()-6</f>
        <v/>
      </c>
      <c r="B2221" s="85">
        <f>+MATCH(D2221,ARTICULOS!$F$10:$F$699,0)</f>
        <v/>
      </c>
      <c r="C2221" s="86">
        <f>+VLOOKUP(B2221,ARTICULOS!$D$10:$I$699,6)</f>
        <v/>
      </c>
      <c r="D2221" s="212" t="n"/>
      <c r="E2221" s="75">
        <f>+C2221&amp;F2221</f>
        <v/>
      </c>
      <c r="F2221" s="80" t="n"/>
      <c r="G2221" s="81" t="n"/>
      <c r="H2221" s="78" t="n"/>
      <c r="I2221" s="78" t="n"/>
      <c r="J2221" s="78" t="n"/>
    </row>
    <row r="2222">
      <c r="A2222" s="84">
        <f>ROW()-6</f>
        <v/>
      </c>
      <c r="B2222" s="85">
        <f>+MATCH(D2222,ARTICULOS!$F$10:$F$699,0)</f>
        <v/>
      </c>
      <c r="C2222" s="86">
        <f>+VLOOKUP(B2222,ARTICULOS!$D$10:$I$699,6)</f>
        <v/>
      </c>
      <c r="D2222" s="212" t="n"/>
      <c r="E2222" s="75">
        <f>+C2222&amp;F2222</f>
        <v/>
      </c>
      <c r="F2222" s="80" t="n"/>
      <c r="G2222" s="81" t="n"/>
      <c r="H2222" s="78" t="n"/>
      <c r="I2222" s="78" t="n"/>
      <c r="J2222" s="78" t="n"/>
    </row>
    <row r="2223">
      <c r="A2223" s="84">
        <f>ROW()-6</f>
        <v/>
      </c>
      <c r="B2223" s="85">
        <f>+MATCH(D2223,ARTICULOS!$F$10:$F$699,0)</f>
        <v/>
      </c>
      <c r="C2223" s="86">
        <f>+VLOOKUP(B2223,ARTICULOS!$D$10:$I$699,6)</f>
        <v/>
      </c>
      <c r="D2223" s="212" t="n"/>
      <c r="E2223" s="75">
        <f>+C2223&amp;F2223</f>
        <v/>
      </c>
      <c r="F2223" s="80" t="n"/>
      <c r="G2223" s="81" t="n"/>
      <c r="H2223" s="78" t="n"/>
      <c r="I2223" s="78" t="n"/>
      <c r="J2223" s="78" t="n"/>
    </row>
    <row r="2224">
      <c r="A2224" s="84">
        <f>ROW()-6</f>
        <v/>
      </c>
      <c r="B2224" s="85">
        <f>+MATCH(D2224,ARTICULOS!$F$10:$F$699,0)</f>
        <v/>
      </c>
      <c r="C2224" s="86">
        <f>+VLOOKUP(B2224,ARTICULOS!$D$10:$I$699,6)</f>
        <v/>
      </c>
      <c r="D2224" s="212" t="n"/>
      <c r="E2224" s="75">
        <f>+C2224&amp;F2224</f>
        <v/>
      </c>
      <c r="F2224" s="80" t="n"/>
      <c r="G2224" s="81" t="n"/>
      <c r="H2224" s="78" t="n"/>
      <c r="I2224" s="78" t="n"/>
      <c r="J2224" s="78" t="n"/>
    </row>
    <row r="2225">
      <c r="A2225" s="84">
        <f>ROW()-6</f>
        <v/>
      </c>
      <c r="B2225" s="85">
        <f>+MATCH(D2225,ARTICULOS!$F$10:$F$699,0)</f>
        <v/>
      </c>
      <c r="C2225" s="86">
        <f>+VLOOKUP(B2225,ARTICULOS!$D$10:$I$699,6)</f>
        <v/>
      </c>
      <c r="D2225" s="212" t="n"/>
      <c r="E2225" s="75">
        <f>+C2225&amp;F2225</f>
        <v/>
      </c>
      <c r="F2225" s="80" t="n"/>
      <c r="G2225" s="81" t="n"/>
      <c r="H2225" s="78" t="n"/>
      <c r="I2225" s="78" t="n"/>
      <c r="J2225" s="78" t="n"/>
    </row>
    <row r="2226">
      <c r="A2226" s="84">
        <f>ROW()-6</f>
        <v/>
      </c>
      <c r="B2226" s="85">
        <f>+MATCH(D2226,ARTICULOS!$F$10:$F$699,0)</f>
        <v/>
      </c>
      <c r="C2226" s="86">
        <f>+VLOOKUP(B2226,ARTICULOS!$D$10:$I$699,6)</f>
        <v/>
      </c>
      <c r="D2226" s="212" t="n"/>
      <c r="E2226" s="75">
        <f>+C2226&amp;F2226</f>
        <v/>
      </c>
      <c r="F2226" s="80" t="n"/>
      <c r="G2226" s="81" t="n"/>
      <c r="H2226" s="78" t="n"/>
      <c r="I2226" s="78" t="n"/>
      <c r="J2226" s="78" t="n"/>
    </row>
    <row r="2227">
      <c r="A2227" s="84">
        <f>ROW()-6</f>
        <v/>
      </c>
      <c r="B2227" s="85">
        <f>+MATCH(D2227,ARTICULOS!$F$10:$F$699,0)</f>
        <v/>
      </c>
      <c r="C2227" s="86">
        <f>+VLOOKUP(B2227,ARTICULOS!$D$10:$I$699,6)</f>
        <v/>
      </c>
      <c r="D2227" s="212" t="n"/>
      <c r="E2227" s="75">
        <f>+C2227&amp;F2227</f>
        <v/>
      </c>
      <c r="F2227" s="80" t="n"/>
      <c r="G2227" s="81" t="n"/>
      <c r="H2227" s="78" t="n"/>
      <c r="I2227" s="78" t="n"/>
      <c r="J2227" s="78" t="n"/>
    </row>
    <row r="2228">
      <c r="A2228" s="84">
        <f>ROW()-6</f>
        <v/>
      </c>
      <c r="B2228" s="85">
        <f>+MATCH(D2228,ARTICULOS!$F$10:$F$699,0)</f>
        <v/>
      </c>
      <c r="C2228" s="86">
        <f>+VLOOKUP(B2228,ARTICULOS!$D$10:$I$699,6)</f>
        <v/>
      </c>
      <c r="D2228" s="212" t="n"/>
      <c r="E2228" s="75">
        <f>+C2228&amp;F2228</f>
        <v/>
      </c>
      <c r="F2228" s="80" t="n"/>
      <c r="G2228" s="81" t="n"/>
      <c r="H2228" s="78" t="n"/>
      <c r="I2228" s="78" t="n"/>
      <c r="J2228" s="78" t="n"/>
    </row>
    <row r="2229">
      <c r="A2229" s="84">
        <f>ROW()-6</f>
        <v/>
      </c>
      <c r="B2229" s="85">
        <f>+MATCH(D2229,ARTICULOS!$F$10:$F$699,0)</f>
        <v/>
      </c>
      <c r="C2229" s="86">
        <f>+VLOOKUP(B2229,ARTICULOS!$D$10:$I$699,6)</f>
        <v/>
      </c>
      <c r="D2229" s="212" t="n"/>
      <c r="E2229" s="75">
        <f>+C2229&amp;F2229</f>
        <v/>
      </c>
      <c r="F2229" s="80" t="n"/>
      <c r="G2229" s="81" t="n"/>
      <c r="H2229" s="78" t="n"/>
      <c r="I2229" s="78" t="n"/>
      <c r="J2229" s="78" t="n"/>
    </row>
    <row r="2230">
      <c r="A2230" s="84">
        <f>ROW()-6</f>
        <v/>
      </c>
      <c r="B2230" s="85">
        <f>+MATCH(D2230,ARTICULOS!$F$10:$F$699,0)</f>
        <v/>
      </c>
      <c r="C2230" s="86">
        <f>+VLOOKUP(B2230,ARTICULOS!$D$10:$I$699,6)</f>
        <v/>
      </c>
      <c r="D2230" s="212" t="n"/>
      <c r="E2230" s="75">
        <f>+C2230&amp;F2230</f>
        <v/>
      </c>
      <c r="F2230" s="80" t="n"/>
      <c r="G2230" s="81" t="n"/>
      <c r="H2230" s="78" t="n"/>
      <c r="I2230" s="78" t="n"/>
      <c r="J2230" s="78" t="n"/>
    </row>
    <row r="2231">
      <c r="A2231" s="84">
        <f>ROW()-6</f>
        <v/>
      </c>
      <c r="B2231" s="85">
        <f>+MATCH(D2231,ARTICULOS!$F$10:$F$699,0)</f>
        <v/>
      </c>
      <c r="C2231" s="86">
        <f>+VLOOKUP(B2231,ARTICULOS!$D$10:$I$699,6)</f>
        <v/>
      </c>
      <c r="D2231" s="212" t="n"/>
      <c r="E2231" s="75">
        <f>+C2231&amp;F2231</f>
        <v/>
      </c>
      <c r="F2231" s="80" t="n"/>
      <c r="G2231" s="81" t="n"/>
      <c r="H2231" s="78" t="n"/>
      <c r="I2231" s="78" t="n"/>
      <c r="J2231" s="78" t="n"/>
    </row>
    <row r="2232">
      <c r="A2232" s="84">
        <f>ROW()-6</f>
        <v/>
      </c>
      <c r="B2232" s="85">
        <f>+MATCH(D2232,ARTICULOS!$F$10:$F$699,0)</f>
        <v/>
      </c>
      <c r="C2232" s="86">
        <f>+VLOOKUP(B2232,ARTICULOS!$D$10:$I$699,6)</f>
        <v/>
      </c>
      <c r="D2232" s="212" t="n"/>
      <c r="E2232" s="75">
        <f>+C2232&amp;F2232</f>
        <v/>
      </c>
      <c r="F2232" s="80" t="n"/>
      <c r="G2232" s="81" t="n"/>
      <c r="H2232" s="78" t="n"/>
      <c r="I2232" s="78" t="n"/>
      <c r="J2232" s="78" t="n"/>
    </row>
    <row r="2233">
      <c r="A2233" s="84">
        <f>ROW()-6</f>
        <v/>
      </c>
      <c r="B2233" s="85">
        <f>+MATCH(D2233,ARTICULOS!$F$10:$F$699,0)</f>
        <v/>
      </c>
      <c r="C2233" s="86">
        <f>+VLOOKUP(B2233,ARTICULOS!$D$10:$I$699,6)</f>
        <v/>
      </c>
      <c r="D2233" s="212" t="n"/>
      <c r="E2233" s="75">
        <f>+C2233&amp;F2233</f>
        <v/>
      </c>
      <c r="F2233" s="80" t="n"/>
      <c r="G2233" s="81" t="n"/>
      <c r="H2233" s="78" t="n"/>
      <c r="I2233" s="78" t="n"/>
      <c r="J2233" s="78" t="n"/>
    </row>
    <row r="2234">
      <c r="A2234" s="84">
        <f>ROW()-6</f>
        <v/>
      </c>
      <c r="B2234" s="85">
        <f>+MATCH(D2234,ARTICULOS!$F$10:$F$699,0)</f>
        <v/>
      </c>
      <c r="C2234" s="86">
        <f>+VLOOKUP(B2234,ARTICULOS!$D$10:$I$699,6)</f>
        <v/>
      </c>
      <c r="D2234" s="212" t="n"/>
      <c r="E2234" s="75">
        <f>+C2234&amp;F2234</f>
        <v/>
      </c>
      <c r="F2234" s="80" t="n"/>
      <c r="G2234" s="81" t="n"/>
      <c r="H2234" s="78" t="n"/>
      <c r="I2234" s="78" t="n"/>
      <c r="J2234" s="78" t="n"/>
    </row>
    <row r="2235">
      <c r="A2235" s="84">
        <f>ROW()-6</f>
        <v/>
      </c>
      <c r="B2235" s="85">
        <f>+MATCH(D2235,ARTICULOS!$F$10:$F$699,0)</f>
        <v/>
      </c>
      <c r="C2235" s="86">
        <f>+VLOOKUP(B2235,ARTICULOS!$D$10:$I$699,6)</f>
        <v/>
      </c>
      <c r="D2235" s="212" t="n"/>
      <c r="E2235" s="75">
        <f>+C2235&amp;F2235</f>
        <v/>
      </c>
      <c r="F2235" s="80" t="n"/>
      <c r="G2235" s="81" t="n"/>
      <c r="H2235" s="78" t="n"/>
      <c r="I2235" s="78" t="n"/>
      <c r="J2235" s="78" t="n"/>
    </row>
    <row r="2236">
      <c r="A2236" s="84">
        <f>ROW()-6</f>
        <v/>
      </c>
      <c r="B2236" s="85">
        <f>+MATCH(D2236,ARTICULOS!$F$10:$F$699,0)</f>
        <v/>
      </c>
      <c r="C2236" s="86">
        <f>+VLOOKUP(B2236,ARTICULOS!$D$10:$I$699,6)</f>
        <v/>
      </c>
      <c r="D2236" s="212" t="n"/>
      <c r="E2236" s="75">
        <f>+C2236&amp;F2236</f>
        <v/>
      </c>
      <c r="F2236" s="80" t="n"/>
      <c r="G2236" s="81" t="n"/>
      <c r="H2236" s="78" t="n"/>
      <c r="I2236" s="78" t="n"/>
      <c r="J2236" s="78" t="n"/>
    </row>
    <row r="2237">
      <c r="A2237" s="84">
        <f>ROW()-6</f>
        <v/>
      </c>
      <c r="B2237" s="85">
        <f>+MATCH(D2237,ARTICULOS!$F$10:$F$699,0)</f>
        <v/>
      </c>
      <c r="C2237" s="86">
        <f>+VLOOKUP(B2237,ARTICULOS!$D$10:$I$699,6)</f>
        <v/>
      </c>
      <c r="D2237" s="212" t="n"/>
      <c r="E2237" s="75">
        <f>+C2237&amp;F2237</f>
        <v/>
      </c>
      <c r="F2237" s="80" t="n"/>
      <c r="G2237" s="81" t="n"/>
      <c r="H2237" s="78" t="n"/>
      <c r="I2237" s="78" t="n"/>
      <c r="J2237" s="78" t="n"/>
    </row>
    <row r="2238">
      <c r="A2238" s="84">
        <f>ROW()-6</f>
        <v/>
      </c>
      <c r="B2238" s="85">
        <f>+MATCH(D2238,ARTICULOS!$F$10:$F$699,0)</f>
        <v/>
      </c>
      <c r="C2238" s="86">
        <f>+VLOOKUP(B2238,ARTICULOS!$D$10:$I$699,6)</f>
        <v/>
      </c>
      <c r="D2238" s="212" t="n"/>
      <c r="E2238" s="75">
        <f>+C2238&amp;F2238</f>
        <v/>
      </c>
      <c r="F2238" s="80" t="n"/>
      <c r="G2238" s="81" t="n"/>
      <c r="H2238" s="78" t="n"/>
      <c r="I2238" s="78" t="n"/>
      <c r="J2238" s="78" t="n"/>
    </row>
    <row r="2239">
      <c r="A2239" s="84">
        <f>ROW()-6</f>
        <v/>
      </c>
      <c r="B2239" s="85">
        <f>+MATCH(D2239,ARTICULOS!$F$10:$F$699,0)</f>
        <v/>
      </c>
      <c r="C2239" s="86">
        <f>+VLOOKUP(B2239,ARTICULOS!$D$10:$I$699,6)</f>
        <v/>
      </c>
      <c r="D2239" s="212" t="n"/>
      <c r="E2239" s="75">
        <f>+C2239&amp;F2239</f>
        <v/>
      </c>
      <c r="F2239" s="80" t="n"/>
      <c r="G2239" s="81" t="n"/>
      <c r="H2239" s="78" t="n"/>
      <c r="I2239" s="78" t="n"/>
      <c r="J2239" s="78" t="n"/>
    </row>
    <row r="2240">
      <c r="A2240" s="84">
        <f>ROW()-6</f>
        <v/>
      </c>
      <c r="B2240" s="85">
        <f>+MATCH(D2240,ARTICULOS!$F$10:$F$699,0)</f>
        <v/>
      </c>
      <c r="C2240" s="86">
        <f>+VLOOKUP(B2240,ARTICULOS!$D$10:$I$699,6)</f>
        <v/>
      </c>
      <c r="D2240" s="212" t="n"/>
      <c r="E2240" s="75">
        <f>+C2240&amp;F2240</f>
        <v/>
      </c>
      <c r="F2240" s="80" t="n"/>
      <c r="G2240" s="81" t="n"/>
      <c r="H2240" s="78" t="n"/>
      <c r="I2240" s="78" t="n"/>
      <c r="J2240" s="78" t="n"/>
    </row>
    <row r="2241">
      <c r="A2241" s="84">
        <f>ROW()-6</f>
        <v/>
      </c>
      <c r="B2241" s="85">
        <f>+MATCH(D2241,ARTICULOS!$F$10:$F$699,0)</f>
        <v/>
      </c>
      <c r="C2241" s="86">
        <f>+VLOOKUP(B2241,ARTICULOS!$D$10:$I$699,6)</f>
        <v/>
      </c>
      <c r="D2241" s="212" t="n"/>
      <c r="E2241" s="75">
        <f>+C2241&amp;F2241</f>
        <v/>
      </c>
      <c r="F2241" s="80" t="n"/>
      <c r="G2241" s="81" t="n"/>
      <c r="H2241" s="78" t="n"/>
      <c r="I2241" s="78" t="n"/>
      <c r="J2241" s="78" t="n"/>
    </row>
    <row r="2242">
      <c r="A2242" s="84">
        <f>ROW()-6</f>
        <v/>
      </c>
      <c r="B2242" s="85">
        <f>+MATCH(D2242,ARTICULOS!$F$10:$F$699,0)</f>
        <v/>
      </c>
      <c r="C2242" s="86">
        <f>+VLOOKUP(B2242,ARTICULOS!$D$10:$I$699,6)</f>
        <v/>
      </c>
      <c r="D2242" s="212" t="n"/>
      <c r="E2242" s="75">
        <f>+C2242&amp;F2242</f>
        <v/>
      </c>
      <c r="F2242" s="80" t="n"/>
      <c r="G2242" s="81" t="n"/>
      <c r="H2242" s="78" t="n"/>
      <c r="I2242" s="78" t="n"/>
      <c r="J2242" s="78" t="n"/>
    </row>
    <row r="2243">
      <c r="A2243" s="84">
        <f>ROW()-6</f>
        <v/>
      </c>
      <c r="B2243" s="85">
        <f>+MATCH(D2243,ARTICULOS!$F$10:$F$699,0)</f>
        <v/>
      </c>
      <c r="C2243" s="86">
        <f>+VLOOKUP(B2243,ARTICULOS!$D$10:$I$699,6)</f>
        <v/>
      </c>
      <c r="D2243" s="212" t="n"/>
      <c r="E2243" s="75">
        <f>+C2243&amp;F2243</f>
        <v/>
      </c>
      <c r="F2243" s="80" t="n"/>
      <c r="G2243" s="81" t="n"/>
      <c r="H2243" s="78" t="n"/>
      <c r="I2243" s="78" t="n"/>
      <c r="J2243" s="78" t="n"/>
    </row>
    <row r="2244">
      <c r="A2244" s="84">
        <f>ROW()-6</f>
        <v/>
      </c>
      <c r="B2244" s="85">
        <f>+MATCH(D2244,ARTICULOS!$F$10:$F$699,0)</f>
        <v/>
      </c>
      <c r="C2244" s="86">
        <f>+VLOOKUP(B2244,ARTICULOS!$D$10:$I$699,6)</f>
        <v/>
      </c>
      <c r="D2244" s="212" t="n"/>
      <c r="E2244" s="75">
        <f>+C2244&amp;F2244</f>
        <v/>
      </c>
      <c r="F2244" s="80" t="n"/>
      <c r="G2244" s="81" t="n"/>
      <c r="H2244" s="78" t="n"/>
      <c r="I2244" s="78" t="n"/>
      <c r="J2244" s="78" t="n"/>
    </row>
    <row r="2245">
      <c r="A2245" s="84">
        <f>ROW()-6</f>
        <v/>
      </c>
      <c r="B2245" s="85">
        <f>+MATCH(D2245,ARTICULOS!$F$10:$F$699,0)</f>
        <v/>
      </c>
      <c r="C2245" s="86">
        <f>+VLOOKUP(B2245,ARTICULOS!$D$10:$I$699,6)</f>
        <v/>
      </c>
      <c r="D2245" s="212" t="n"/>
      <c r="E2245" s="75">
        <f>+C2245&amp;F2245</f>
        <v/>
      </c>
      <c r="F2245" s="80" t="n"/>
      <c r="G2245" s="81" t="n"/>
      <c r="H2245" s="78" t="n"/>
      <c r="I2245" s="78" t="n"/>
      <c r="J2245" s="78" t="n"/>
    </row>
    <row r="2246">
      <c r="A2246" s="84">
        <f>ROW()-6</f>
        <v/>
      </c>
      <c r="B2246" s="85">
        <f>+MATCH(D2246,ARTICULOS!$F$10:$F$699,0)</f>
        <v/>
      </c>
      <c r="C2246" s="86">
        <f>+VLOOKUP(B2246,ARTICULOS!$D$10:$I$699,6)</f>
        <v/>
      </c>
      <c r="D2246" s="212" t="n"/>
      <c r="E2246" s="75">
        <f>+C2246&amp;F2246</f>
        <v/>
      </c>
      <c r="F2246" s="80" t="n"/>
      <c r="G2246" s="81" t="n"/>
      <c r="H2246" s="78" t="n"/>
      <c r="I2246" s="78" t="n"/>
      <c r="J2246" s="78" t="n"/>
    </row>
    <row r="2247">
      <c r="A2247" s="84">
        <f>ROW()-6</f>
        <v/>
      </c>
      <c r="B2247" s="85">
        <f>+MATCH(D2247,ARTICULOS!$F$10:$F$699,0)</f>
        <v/>
      </c>
      <c r="C2247" s="86">
        <f>+VLOOKUP(B2247,ARTICULOS!$D$10:$I$699,6)</f>
        <v/>
      </c>
      <c r="D2247" s="212" t="n"/>
      <c r="E2247" s="75">
        <f>+C2247&amp;F2247</f>
        <v/>
      </c>
      <c r="F2247" s="80" t="n"/>
      <c r="G2247" s="81" t="n"/>
      <c r="H2247" s="78" t="n"/>
      <c r="I2247" s="78" t="n"/>
      <c r="J2247" s="78" t="n"/>
    </row>
    <row r="2248">
      <c r="A2248" s="84">
        <f>ROW()-6</f>
        <v/>
      </c>
      <c r="B2248" s="85">
        <f>+MATCH(D2248,ARTICULOS!$F$10:$F$699,0)</f>
        <v/>
      </c>
      <c r="C2248" s="86">
        <f>+VLOOKUP(B2248,ARTICULOS!$D$10:$I$699,6)</f>
        <v/>
      </c>
      <c r="D2248" s="212" t="n"/>
      <c r="E2248" s="75">
        <f>+C2248&amp;F2248</f>
        <v/>
      </c>
      <c r="F2248" s="80" t="n"/>
      <c r="G2248" s="81" t="n"/>
      <c r="H2248" s="78" t="n"/>
      <c r="I2248" s="78" t="n"/>
      <c r="J2248" s="78" t="n"/>
    </row>
    <row r="2249">
      <c r="A2249" s="84">
        <f>ROW()-6</f>
        <v/>
      </c>
      <c r="B2249" s="85">
        <f>+MATCH(D2249,ARTICULOS!$F$10:$F$699,0)</f>
        <v/>
      </c>
      <c r="C2249" s="86">
        <f>+VLOOKUP(B2249,ARTICULOS!$D$10:$I$699,6)</f>
        <v/>
      </c>
      <c r="D2249" s="212" t="n"/>
      <c r="E2249" s="75">
        <f>+C2249&amp;F2249</f>
        <v/>
      </c>
      <c r="F2249" s="80" t="n"/>
      <c r="G2249" s="81" t="n"/>
      <c r="H2249" s="78" t="n"/>
      <c r="I2249" s="78" t="n"/>
      <c r="J2249" s="78" t="n"/>
    </row>
    <row r="2250">
      <c r="A2250" s="84">
        <f>ROW()-6</f>
        <v/>
      </c>
      <c r="B2250" s="85">
        <f>+MATCH(D2250,ARTICULOS!$F$10:$F$699,0)</f>
        <v/>
      </c>
      <c r="C2250" s="86">
        <f>+VLOOKUP(B2250,ARTICULOS!$D$10:$I$699,6)</f>
        <v/>
      </c>
      <c r="D2250" s="212" t="n"/>
      <c r="E2250" s="75">
        <f>+C2250&amp;F2250</f>
        <v/>
      </c>
      <c r="F2250" s="80" t="n"/>
      <c r="G2250" s="81" t="n"/>
      <c r="H2250" s="78" t="n"/>
      <c r="I2250" s="78" t="n"/>
      <c r="J2250" s="78" t="n"/>
    </row>
    <row r="2251">
      <c r="A2251" s="84">
        <f>ROW()-6</f>
        <v/>
      </c>
      <c r="B2251" s="85">
        <f>+MATCH(D2251,ARTICULOS!$F$10:$F$699,0)</f>
        <v/>
      </c>
      <c r="C2251" s="86">
        <f>+VLOOKUP(B2251,ARTICULOS!$D$10:$I$699,6)</f>
        <v/>
      </c>
      <c r="D2251" s="212" t="n"/>
      <c r="E2251" s="75">
        <f>+C2251&amp;F2251</f>
        <v/>
      </c>
      <c r="F2251" s="80" t="n"/>
      <c r="G2251" s="81" t="n"/>
      <c r="H2251" s="78" t="n"/>
      <c r="I2251" s="78" t="n"/>
      <c r="J2251" s="78" t="n"/>
    </row>
    <row r="2252">
      <c r="A2252" s="84">
        <f>ROW()-6</f>
        <v/>
      </c>
      <c r="B2252" s="85">
        <f>+MATCH(D2252,ARTICULOS!$F$10:$F$699,0)</f>
        <v/>
      </c>
      <c r="C2252" s="86">
        <f>+VLOOKUP(B2252,ARTICULOS!$D$10:$I$699,6)</f>
        <v/>
      </c>
      <c r="D2252" s="212" t="n"/>
      <c r="E2252" s="75">
        <f>+C2252&amp;F2252</f>
        <v/>
      </c>
      <c r="F2252" s="80" t="n"/>
      <c r="G2252" s="81" t="n"/>
      <c r="H2252" s="78" t="n"/>
      <c r="I2252" s="78" t="n"/>
      <c r="J2252" s="78" t="n"/>
    </row>
    <row r="2253">
      <c r="A2253" s="84">
        <f>ROW()-6</f>
        <v/>
      </c>
      <c r="B2253" s="85">
        <f>+MATCH(D2253,ARTICULOS!$F$10:$F$699,0)</f>
        <v/>
      </c>
      <c r="C2253" s="86">
        <f>+VLOOKUP(B2253,ARTICULOS!$D$10:$I$699,6)</f>
        <v/>
      </c>
      <c r="D2253" s="212" t="n"/>
      <c r="E2253" s="75">
        <f>+C2253&amp;F2253</f>
        <v/>
      </c>
      <c r="F2253" s="80" t="n"/>
      <c r="G2253" s="81" t="n"/>
      <c r="H2253" s="78" t="n"/>
      <c r="I2253" s="78" t="n"/>
      <c r="J2253" s="78" t="n"/>
    </row>
    <row r="2254">
      <c r="A2254" s="84">
        <f>ROW()-6</f>
        <v/>
      </c>
      <c r="B2254" s="85">
        <f>+MATCH(D2254,ARTICULOS!$F$10:$F$699,0)</f>
        <v/>
      </c>
      <c r="C2254" s="86">
        <f>+VLOOKUP(B2254,ARTICULOS!$D$10:$I$699,6)</f>
        <v/>
      </c>
      <c r="D2254" s="212" t="n"/>
      <c r="E2254" s="75">
        <f>+C2254&amp;F2254</f>
        <v/>
      </c>
      <c r="F2254" s="80" t="n"/>
      <c r="G2254" s="81" t="n"/>
      <c r="H2254" s="78" t="n"/>
      <c r="I2254" s="78" t="n"/>
      <c r="J2254" s="78" t="n"/>
    </row>
    <row r="2255">
      <c r="A2255" s="84">
        <f>ROW()-6</f>
        <v/>
      </c>
      <c r="B2255" s="85">
        <f>+MATCH(D2255,ARTICULOS!$F$10:$F$699,0)</f>
        <v/>
      </c>
      <c r="C2255" s="86">
        <f>+VLOOKUP(B2255,ARTICULOS!$D$10:$I$699,6)</f>
        <v/>
      </c>
      <c r="D2255" s="212" t="n"/>
      <c r="E2255" s="75">
        <f>+C2255&amp;F2255</f>
        <v/>
      </c>
      <c r="F2255" s="80" t="n"/>
      <c r="G2255" s="81" t="n"/>
      <c r="H2255" s="78" t="n"/>
      <c r="I2255" s="78" t="n"/>
      <c r="J2255" s="78" t="n"/>
    </row>
    <row r="2256">
      <c r="A2256" s="84">
        <f>ROW()-6</f>
        <v/>
      </c>
      <c r="B2256" s="85">
        <f>+MATCH(D2256,ARTICULOS!$F$10:$F$699,0)</f>
        <v/>
      </c>
      <c r="C2256" s="86">
        <f>+VLOOKUP(B2256,ARTICULOS!$D$10:$I$699,6)</f>
        <v/>
      </c>
      <c r="D2256" s="212" t="n"/>
      <c r="E2256" s="75">
        <f>+C2256&amp;F2256</f>
        <v/>
      </c>
      <c r="F2256" s="80" t="n"/>
      <c r="G2256" s="81" t="n"/>
      <c r="H2256" s="78" t="n"/>
      <c r="I2256" s="78" t="n"/>
      <c r="J2256" s="78" t="n"/>
    </row>
    <row r="2257">
      <c r="A2257" s="84">
        <f>ROW()-6</f>
        <v/>
      </c>
      <c r="B2257" s="85">
        <f>+MATCH(D2257,ARTICULOS!$F$10:$F$699,0)</f>
        <v/>
      </c>
      <c r="C2257" s="86">
        <f>+VLOOKUP(B2257,ARTICULOS!$D$10:$I$699,6)</f>
        <v/>
      </c>
      <c r="D2257" s="212" t="n"/>
      <c r="E2257" s="75">
        <f>+C2257&amp;F2257</f>
        <v/>
      </c>
      <c r="F2257" s="80" t="n"/>
      <c r="G2257" s="81" t="n"/>
      <c r="H2257" s="78" t="n"/>
      <c r="I2257" s="78" t="n"/>
      <c r="J2257" s="78" t="n"/>
    </row>
    <row r="2258">
      <c r="A2258" s="84">
        <f>ROW()-6</f>
        <v/>
      </c>
      <c r="B2258" s="85">
        <f>+MATCH(D2258,ARTICULOS!$F$10:$F$699,0)</f>
        <v/>
      </c>
      <c r="C2258" s="86">
        <f>+VLOOKUP(B2258,ARTICULOS!$D$10:$I$699,6)</f>
        <v/>
      </c>
      <c r="D2258" s="212" t="n"/>
      <c r="E2258" s="75">
        <f>+C2258&amp;F2258</f>
        <v/>
      </c>
      <c r="F2258" s="80" t="n"/>
      <c r="G2258" s="81" t="n"/>
      <c r="H2258" s="78" t="n"/>
      <c r="I2258" s="78" t="n"/>
      <c r="J2258" s="78" t="n"/>
    </row>
    <row r="2259">
      <c r="A2259" s="84">
        <f>ROW()-6</f>
        <v/>
      </c>
      <c r="B2259" s="85">
        <f>+MATCH(D2259,ARTICULOS!$F$10:$F$699,0)</f>
        <v/>
      </c>
      <c r="C2259" s="86">
        <f>+VLOOKUP(B2259,ARTICULOS!$D$10:$I$699,6)</f>
        <v/>
      </c>
      <c r="D2259" s="212" t="n"/>
      <c r="E2259" s="75">
        <f>+C2259&amp;F2259</f>
        <v/>
      </c>
      <c r="F2259" s="80" t="n"/>
      <c r="G2259" s="81" t="n"/>
      <c r="H2259" s="78" t="n"/>
      <c r="I2259" s="78" t="n"/>
      <c r="J2259" s="78" t="n"/>
    </row>
    <row r="2260">
      <c r="A2260" s="84">
        <f>ROW()-6</f>
        <v/>
      </c>
      <c r="B2260" s="85">
        <f>+MATCH(D2260,ARTICULOS!$F$10:$F$699,0)</f>
        <v/>
      </c>
      <c r="C2260" s="86">
        <f>+VLOOKUP(B2260,ARTICULOS!$D$10:$I$699,6)</f>
        <v/>
      </c>
      <c r="D2260" s="212" t="n"/>
      <c r="E2260" s="75">
        <f>+C2260&amp;F2260</f>
        <v/>
      </c>
      <c r="F2260" s="80" t="n"/>
      <c r="G2260" s="81" t="n"/>
      <c r="H2260" s="78" t="n"/>
      <c r="I2260" s="78" t="n"/>
      <c r="J2260" s="78" t="n"/>
    </row>
    <row r="2261">
      <c r="A2261" s="84">
        <f>ROW()-6</f>
        <v/>
      </c>
      <c r="B2261" s="85">
        <f>+MATCH(D2261,ARTICULOS!$F$10:$F$699,0)</f>
        <v/>
      </c>
      <c r="C2261" s="86">
        <f>+VLOOKUP(B2261,ARTICULOS!$D$10:$I$699,6)</f>
        <v/>
      </c>
      <c r="D2261" s="212" t="n"/>
      <c r="E2261" s="75">
        <f>+C2261&amp;F2261</f>
        <v/>
      </c>
      <c r="F2261" s="80" t="n"/>
      <c r="G2261" s="81" t="n"/>
      <c r="H2261" s="78" t="n"/>
      <c r="I2261" s="78" t="n"/>
      <c r="J2261" s="78" t="n"/>
    </row>
    <row r="2262">
      <c r="A2262" s="84">
        <f>ROW()-6</f>
        <v/>
      </c>
      <c r="B2262" s="85">
        <f>+MATCH(D2262,ARTICULOS!$F$10:$F$699,0)</f>
        <v/>
      </c>
      <c r="C2262" s="86">
        <f>+VLOOKUP(B2262,ARTICULOS!$D$10:$I$699,6)</f>
        <v/>
      </c>
      <c r="D2262" s="212" t="n"/>
      <c r="E2262" s="75">
        <f>+C2262&amp;F2262</f>
        <v/>
      </c>
      <c r="F2262" s="80" t="n"/>
      <c r="G2262" s="81" t="n"/>
      <c r="H2262" s="78" t="n"/>
      <c r="I2262" s="78" t="n"/>
      <c r="J2262" s="78" t="n"/>
    </row>
    <row r="2263">
      <c r="A2263" s="84">
        <f>ROW()-6</f>
        <v/>
      </c>
      <c r="B2263" s="85">
        <f>+MATCH(D2263,ARTICULOS!$F$10:$F$699,0)</f>
        <v/>
      </c>
      <c r="C2263" s="86">
        <f>+VLOOKUP(B2263,ARTICULOS!$D$10:$I$699,6)</f>
        <v/>
      </c>
      <c r="D2263" s="212" t="n"/>
      <c r="E2263" s="75">
        <f>+C2263&amp;F2263</f>
        <v/>
      </c>
      <c r="F2263" s="80" t="n"/>
      <c r="G2263" s="81" t="n"/>
      <c r="H2263" s="78" t="n"/>
      <c r="I2263" s="78" t="n"/>
      <c r="J2263" s="78" t="n"/>
    </row>
    <row r="2264">
      <c r="A2264" s="84">
        <f>ROW()-6</f>
        <v/>
      </c>
      <c r="B2264" s="85">
        <f>+MATCH(D2264,ARTICULOS!$F$10:$F$699,0)</f>
        <v/>
      </c>
      <c r="C2264" s="86">
        <f>+VLOOKUP(B2264,ARTICULOS!$D$10:$I$699,6)</f>
        <v/>
      </c>
      <c r="D2264" s="212" t="n"/>
      <c r="E2264" s="75">
        <f>+C2264&amp;F2264</f>
        <v/>
      </c>
      <c r="F2264" s="80" t="n"/>
      <c r="G2264" s="81" t="n"/>
      <c r="H2264" s="78" t="n"/>
      <c r="I2264" s="78" t="n"/>
      <c r="J2264" s="78" t="n"/>
    </row>
    <row r="2265">
      <c r="A2265" s="84">
        <f>ROW()-6</f>
        <v/>
      </c>
      <c r="B2265" s="85">
        <f>+MATCH(D2265,ARTICULOS!$F$10:$F$699,0)</f>
        <v/>
      </c>
      <c r="C2265" s="86">
        <f>+VLOOKUP(B2265,ARTICULOS!$D$10:$I$699,6)</f>
        <v/>
      </c>
      <c r="D2265" s="212" t="n"/>
      <c r="E2265" s="75">
        <f>+C2265&amp;F2265</f>
        <v/>
      </c>
      <c r="F2265" s="80" t="n"/>
      <c r="G2265" s="81" t="n"/>
      <c r="H2265" s="78" t="n"/>
      <c r="I2265" s="78" t="n"/>
      <c r="J2265" s="78" t="n"/>
    </row>
    <row r="2266">
      <c r="A2266" s="84">
        <f>ROW()-6</f>
        <v/>
      </c>
      <c r="B2266" s="85">
        <f>+MATCH(D2266,ARTICULOS!$F$10:$F$699,0)</f>
        <v/>
      </c>
      <c r="C2266" s="86">
        <f>+VLOOKUP(B2266,ARTICULOS!$D$10:$I$699,6)</f>
        <v/>
      </c>
      <c r="D2266" s="212" t="n"/>
      <c r="E2266" s="75">
        <f>+C2266&amp;F2266</f>
        <v/>
      </c>
      <c r="F2266" s="80" t="n"/>
      <c r="G2266" s="81" t="n"/>
      <c r="H2266" s="78" t="n"/>
      <c r="I2266" s="78" t="n"/>
      <c r="J2266" s="78" t="n"/>
    </row>
    <row r="2267">
      <c r="A2267" s="84">
        <f>ROW()-6</f>
        <v/>
      </c>
      <c r="B2267" s="85">
        <f>+MATCH(D2267,ARTICULOS!$F$10:$F$699,0)</f>
        <v/>
      </c>
      <c r="C2267" s="86">
        <f>+VLOOKUP(B2267,ARTICULOS!$D$10:$I$699,6)</f>
        <v/>
      </c>
      <c r="D2267" s="212" t="n"/>
      <c r="E2267" s="75">
        <f>+C2267&amp;F2267</f>
        <v/>
      </c>
      <c r="F2267" s="80" t="n"/>
      <c r="G2267" s="81" t="n"/>
      <c r="H2267" s="78" t="n"/>
      <c r="I2267" s="78" t="n"/>
      <c r="J2267" s="78" t="n"/>
    </row>
    <row r="2268">
      <c r="A2268" s="84">
        <f>ROW()-6</f>
        <v/>
      </c>
      <c r="B2268" s="85">
        <f>+MATCH(D2268,ARTICULOS!$F$10:$F$699,0)</f>
        <v/>
      </c>
      <c r="C2268" s="86">
        <f>+VLOOKUP(B2268,ARTICULOS!$D$10:$I$699,6)</f>
        <v/>
      </c>
      <c r="D2268" s="212" t="n"/>
      <c r="E2268" s="75">
        <f>+C2268&amp;F2268</f>
        <v/>
      </c>
      <c r="F2268" s="80" t="n"/>
      <c r="G2268" s="81" t="n"/>
      <c r="H2268" s="78" t="n"/>
      <c r="I2268" s="78" t="n"/>
      <c r="J2268" s="78" t="n"/>
    </row>
    <row r="2269">
      <c r="A2269" s="84">
        <f>ROW()-6</f>
        <v/>
      </c>
      <c r="B2269" s="85">
        <f>+MATCH(D2269,ARTICULOS!$F$10:$F$699,0)</f>
        <v/>
      </c>
      <c r="C2269" s="86">
        <f>+VLOOKUP(B2269,ARTICULOS!$D$10:$I$699,6)</f>
        <v/>
      </c>
      <c r="D2269" s="212" t="n"/>
      <c r="E2269" s="75">
        <f>+C2269&amp;F2269</f>
        <v/>
      </c>
      <c r="F2269" s="80" t="n"/>
      <c r="G2269" s="81" t="n"/>
      <c r="H2269" s="78" t="n"/>
      <c r="I2269" s="78" t="n"/>
      <c r="J2269" s="78" t="n"/>
    </row>
    <row r="2270">
      <c r="A2270" s="84">
        <f>ROW()-6</f>
        <v/>
      </c>
      <c r="B2270" s="85">
        <f>+MATCH(D2270,ARTICULOS!$F$10:$F$699,0)</f>
        <v/>
      </c>
      <c r="C2270" s="86">
        <f>+VLOOKUP(B2270,ARTICULOS!$D$10:$I$699,6)</f>
        <v/>
      </c>
      <c r="D2270" s="212" t="n"/>
      <c r="E2270" s="75">
        <f>+C2270&amp;F2270</f>
        <v/>
      </c>
      <c r="F2270" s="80" t="n"/>
      <c r="G2270" s="81" t="n"/>
      <c r="H2270" s="78" t="n"/>
      <c r="I2270" s="78" t="n"/>
      <c r="J2270" s="78" t="n"/>
    </row>
    <row r="2271">
      <c r="A2271" s="84">
        <f>ROW()-6</f>
        <v/>
      </c>
      <c r="B2271" s="85">
        <f>+MATCH(D2271,ARTICULOS!$F$10:$F$699,0)</f>
        <v/>
      </c>
      <c r="C2271" s="86">
        <f>+VLOOKUP(B2271,ARTICULOS!$D$10:$I$699,6)</f>
        <v/>
      </c>
      <c r="D2271" s="212" t="n"/>
      <c r="E2271" s="75">
        <f>+C2271&amp;F2271</f>
        <v/>
      </c>
      <c r="F2271" s="80" t="n"/>
      <c r="G2271" s="81" t="n"/>
      <c r="H2271" s="78" t="n"/>
      <c r="I2271" s="78" t="n"/>
      <c r="J2271" s="78" t="n"/>
    </row>
    <row r="2272">
      <c r="A2272" s="84">
        <f>ROW()-6</f>
        <v/>
      </c>
      <c r="B2272" s="85">
        <f>+MATCH(D2272,ARTICULOS!$F$10:$F$699,0)</f>
        <v/>
      </c>
      <c r="C2272" s="86">
        <f>+VLOOKUP(B2272,ARTICULOS!$D$10:$I$699,6)</f>
        <v/>
      </c>
      <c r="D2272" s="212" t="n"/>
      <c r="E2272" s="75">
        <f>+C2272&amp;F2272</f>
        <v/>
      </c>
      <c r="F2272" s="80" t="n"/>
      <c r="G2272" s="81" t="n"/>
      <c r="H2272" s="78" t="n"/>
      <c r="I2272" s="78" t="n"/>
      <c r="J2272" s="78" t="n"/>
    </row>
    <row r="2273">
      <c r="A2273" s="84">
        <f>ROW()-6</f>
        <v/>
      </c>
      <c r="B2273" s="85">
        <f>+MATCH(D2273,ARTICULOS!$F$10:$F$699,0)</f>
        <v/>
      </c>
      <c r="C2273" s="86">
        <f>+VLOOKUP(B2273,ARTICULOS!$D$10:$I$699,6)</f>
        <v/>
      </c>
      <c r="D2273" s="212" t="n"/>
      <c r="E2273" s="75">
        <f>+C2273&amp;F2273</f>
        <v/>
      </c>
      <c r="F2273" s="80" t="n"/>
      <c r="G2273" s="81" t="n"/>
      <c r="H2273" s="78" t="n"/>
      <c r="I2273" s="78" t="n"/>
      <c r="J2273" s="78" t="n"/>
    </row>
    <row r="2274">
      <c r="A2274" s="84">
        <f>ROW()-6</f>
        <v/>
      </c>
      <c r="B2274" s="85">
        <f>+MATCH(D2274,ARTICULOS!$F$10:$F$699,0)</f>
        <v/>
      </c>
      <c r="C2274" s="86">
        <f>+VLOOKUP(B2274,ARTICULOS!$D$10:$I$699,6)</f>
        <v/>
      </c>
      <c r="D2274" s="212" t="n"/>
      <c r="E2274" s="75">
        <f>+C2274&amp;F2274</f>
        <v/>
      </c>
      <c r="F2274" s="80" t="n"/>
      <c r="G2274" s="81" t="n"/>
      <c r="H2274" s="78" t="n"/>
      <c r="I2274" s="78" t="n"/>
      <c r="J2274" s="78" t="n"/>
    </row>
    <row r="2275">
      <c r="A2275" s="84">
        <f>ROW()-6</f>
        <v/>
      </c>
      <c r="B2275" s="85">
        <f>+MATCH(D2275,ARTICULOS!$F$10:$F$699,0)</f>
        <v/>
      </c>
      <c r="C2275" s="86">
        <f>+VLOOKUP(B2275,ARTICULOS!$D$10:$I$699,6)</f>
        <v/>
      </c>
      <c r="D2275" s="212" t="n"/>
      <c r="E2275" s="75">
        <f>+C2275&amp;F2275</f>
        <v/>
      </c>
      <c r="F2275" s="80" t="n"/>
      <c r="G2275" s="81" t="n"/>
      <c r="H2275" s="78" t="n"/>
      <c r="I2275" s="78" t="n"/>
      <c r="J2275" s="78" t="n"/>
    </row>
    <row r="2276">
      <c r="A2276" s="84">
        <f>ROW()-6</f>
        <v/>
      </c>
      <c r="B2276" s="85">
        <f>+MATCH(D2276,ARTICULOS!$F$10:$F$699,0)</f>
        <v/>
      </c>
      <c r="C2276" s="86">
        <f>+VLOOKUP(B2276,ARTICULOS!$D$10:$I$699,6)</f>
        <v/>
      </c>
      <c r="D2276" s="212" t="n"/>
      <c r="E2276" s="75">
        <f>+C2276&amp;F2276</f>
        <v/>
      </c>
      <c r="F2276" s="80" t="n"/>
      <c r="G2276" s="81" t="n"/>
      <c r="H2276" s="78" t="n"/>
      <c r="I2276" s="78" t="n"/>
      <c r="J2276" s="78" t="n"/>
    </row>
    <row r="2277">
      <c r="A2277" s="84">
        <f>ROW()-6</f>
        <v/>
      </c>
      <c r="B2277" s="85">
        <f>+MATCH(D2277,ARTICULOS!$F$10:$F$699,0)</f>
        <v/>
      </c>
      <c r="C2277" s="86">
        <f>+VLOOKUP(B2277,ARTICULOS!$D$10:$I$699,6)</f>
        <v/>
      </c>
      <c r="D2277" s="212" t="n"/>
      <c r="E2277" s="75">
        <f>+C2277&amp;F2277</f>
        <v/>
      </c>
      <c r="F2277" s="80" t="n"/>
      <c r="G2277" s="81" t="n"/>
      <c r="H2277" s="78" t="n"/>
      <c r="I2277" s="78" t="n"/>
      <c r="J2277" s="78" t="n"/>
    </row>
    <row r="2278">
      <c r="A2278" s="84">
        <f>ROW()-6</f>
        <v/>
      </c>
      <c r="B2278" s="85">
        <f>+MATCH(D2278,ARTICULOS!$F$10:$F$699,0)</f>
        <v/>
      </c>
      <c r="C2278" s="86">
        <f>+VLOOKUP(B2278,ARTICULOS!$D$10:$I$699,6)</f>
        <v/>
      </c>
      <c r="D2278" s="212" t="n"/>
      <c r="E2278" s="75">
        <f>+C2278&amp;F2278</f>
        <v/>
      </c>
      <c r="F2278" s="80" t="n"/>
      <c r="G2278" s="81" t="n"/>
      <c r="H2278" s="78" t="n"/>
      <c r="I2278" s="78" t="n"/>
      <c r="J2278" s="78" t="n"/>
    </row>
    <row r="2279">
      <c r="A2279" s="84">
        <f>ROW()-6</f>
        <v/>
      </c>
      <c r="B2279" s="85">
        <f>+MATCH(D2279,ARTICULOS!$F$10:$F$699,0)</f>
        <v/>
      </c>
      <c r="C2279" s="86">
        <f>+VLOOKUP(B2279,ARTICULOS!$D$10:$I$699,6)</f>
        <v/>
      </c>
      <c r="D2279" s="212" t="n"/>
      <c r="E2279" s="75">
        <f>+C2279&amp;F2279</f>
        <v/>
      </c>
      <c r="F2279" s="80" t="n"/>
      <c r="G2279" s="81" t="n"/>
      <c r="H2279" s="78" t="n"/>
      <c r="I2279" s="78" t="n"/>
      <c r="J2279" s="78" t="n"/>
    </row>
    <row r="2280">
      <c r="A2280" s="84">
        <f>ROW()-6</f>
        <v/>
      </c>
      <c r="B2280" s="85">
        <f>+MATCH(D2280,ARTICULOS!$F$10:$F$699,0)</f>
        <v/>
      </c>
      <c r="C2280" s="86">
        <f>+VLOOKUP(B2280,ARTICULOS!$D$10:$I$699,6)</f>
        <v/>
      </c>
      <c r="D2280" s="212" t="n"/>
      <c r="E2280" s="75">
        <f>+C2280&amp;F2280</f>
        <v/>
      </c>
      <c r="F2280" s="80" t="n"/>
      <c r="G2280" s="81" t="n"/>
      <c r="H2280" s="78" t="n"/>
      <c r="I2280" s="78" t="n"/>
      <c r="J2280" s="78" t="n"/>
    </row>
    <row r="2281">
      <c r="A2281" s="84">
        <f>ROW()-6</f>
        <v/>
      </c>
      <c r="B2281" s="85">
        <f>+MATCH(D2281,ARTICULOS!$F$10:$F$699,0)</f>
        <v/>
      </c>
      <c r="C2281" s="86">
        <f>+VLOOKUP(B2281,ARTICULOS!$D$10:$I$699,6)</f>
        <v/>
      </c>
      <c r="D2281" s="212" t="n"/>
      <c r="E2281" s="75">
        <f>+C2281&amp;F2281</f>
        <v/>
      </c>
      <c r="F2281" s="80" t="n"/>
      <c r="G2281" s="81" t="n"/>
      <c r="H2281" s="78" t="n"/>
      <c r="I2281" s="78" t="n"/>
      <c r="J2281" s="78" t="n"/>
    </row>
    <row r="2282">
      <c r="A2282" s="84">
        <f>ROW()-6</f>
        <v/>
      </c>
      <c r="B2282" s="85">
        <f>+MATCH(D2282,ARTICULOS!$F$10:$F$699,0)</f>
        <v/>
      </c>
      <c r="C2282" s="86">
        <f>+VLOOKUP(B2282,ARTICULOS!$D$10:$I$699,6)</f>
        <v/>
      </c>
      <c r="D2282" s="212" t="n"/>
      <c r="E2282" s="75">
        <f>+C2282&amp;F2282</f>
        <v/>
      </c>
      <c r="F2282" s="80" t="n"/>
      <c r="G2282" s="81" t="n"/>
      <c r="H2282" s="78" t="n"/>
      <c r="I2282" s="78" t="n"/>
      <c r="J2282" s="78" t="n"/>
    </row>
    <row r="2283">
      <c r="A2283" s="84">
        <f>ROW()-6</f>
        <v/>
      </c>
      <c r="B2283" s="85">
        <f>+MATCH(D2283,ARTICULOS!$F$10:$F$699,0)</f>
        <v/>
      </c>
      <c r="C2283" s="86">
        <f>+VLOOKUP(B2283,ARTICULOS!$D$10:$I$699,6)</f>
        <v/>
      </c>
      <c r="D2283" s="212" t="n"/>
      <c r="E2283" s="75">
        <f>+C2283&amp;F2283</f>
        <v/>
      </c>
      <c r="F2283" s="80" t="n"/>
      <c r="G2283" s="81" t="n"/>
      <c r="H2283" s="78" t="n"/>
      <c r="I2283" s="78" t="n"/>
      <c r="J2283" s="78" t="n"/>
    </row>
    <row r="2284">
      <c r="A2284" s="84">
        <f>ROW()-6</f>
        <v/>
      </c>
      <c r="B2284" s="85">
        <f>+MATCH(D2284,ARTICULOS!$F$10:$F$699,0)</f>
        <v/>
      </c>
      <c r="C2284" s="86">
        <f>+VLOOKUP(B2284,ARTICULOS!$D$10:$I$699,6)</f>
        <v/>
      </c>
      <c r="D2284" s="212" t="n"/>
      <c r="E2284" s="75">
        <f>+C2284&amp;F2284</f>
        <v/>
      </c>
      <c r="F2284" s="80" t="n"/>
      <c r="G2284" s="81" t="n"/>
      <c r="H2284" s="78" t="n"/>
      <c r="I2284" s="78" t="n"/>
      <c r="J2284" s="78" t="n"/>
    </row>
    <row r="2285">
      <c r="A2285" s="84">
        <f>ROW()-6</f>
        <v/>
      </c>
      <c r="B2285" s="85">
        <f>+MATCH(D2285,ARTICULOS!$F$10:$F$699,0)</f>
        <v/>
      </c>
      <c r="C2285" s="86">
        <f>+VLOOKUP(B2285,ARTICULOS!$D$10:$I$699,6)</f>
        <v/>
      </c>
      <c r="D2285" s="212" t="n"/>
      <c r="E2285" s="75">
        <f>+C2285&amp;F2285</f>
        <v/>
      </c>
      <c r="F2285" s="80" t="n"/>
      <c r="G2285" s="81" t="n"/>
      <c r="H2285" s="78" t="n"/>
      <c r="I2285" s="78" t="n"/>
      <c r="J2285" s="78" t="n"/>
    </row>
    <row r="2286">
      <c r="A2286" s="84">
        <f>ROW()-6</f>
        <v/>
      </c>
      <c r="B2286" s="85">
        <f>+MATCH(D2286,ARTICULOS!$F$10:$F$699,0)</f>
        <v/>
      </c>
      <c r="C2286" s="86">
        <f>+VLOOKUP(B2286,ARTICULOS!$D$10:$I$699,6)</f>
        <v/>
      </c>
      <c r="D2286" s="212" t="n"/>
      <c r="E2286" s="75">
        <f>+C2286&amp;F2286</f>
        <v/>
      </c>
      <c r="F2286" s="80" t="n"/>
      <c r="G2286" s="81" t="n"/>
      <c r="H2286" s="78" t="n"/>
      <c r="I2286" s="78" t="n"/>
      <c r="J2286" s="78" t="n"/>
    </row>
    <row r="2287">
      <c r="A2287" s="84">
        <f>ROW()-6</f>
        <v/>
      </c>
      <c r="B2287" s="85">
        <f>+MATCH(D2287,ARTICULOS!$F$10:$F$699,0)</f>
        <v/>
      </c>
      <c r="C2287" s="86">
        <f>+VLOOKUP(B2287,ARTICULOS!$D$10:$I$699,6)</f>
        <v/>
      </c>
      <c r="D2287" s="212" t="n"/>
      <c r="E2287" s="75">
        <f>+C2287&amp;F2287</f>
        <v/>
      </c>
      <c r="F2287" s="80" t="n"/>
      <c r="G2287" s="81" t="n"/>
      <c r="H2287" s="78" t="n"/>
      <c r="I2287" s="78" t="n"/>
      <c r="J2287" s="78" t="n"/>
    </row>
    <row r="2288">
      <c r="A2288" s="84">
        <f>ROW()-6</f>
        <v/>
      </c>
      <c r="B2288" s="85">
        <f>+MATCH(D2288,ARTICULOS!$F$10:$F$699,0)</f>
        <v/>
      </c>
      <c r="C2288" s="86">
        <f>+VLOOKUP(B2288,ARTICULOS!$D$10:$I$699,6)</f>
        <v/>
      </c>
      <c r="D2288" s="212" t="n"/>
      <c r="E2288" s="75">
        <f>+C2288&amp;F2288</f>
        <v/>
      </c>
      <c r="F2288" s="80" t="n"/>
      <c r="G2288" s="81" t="n"/>
      <c r="H2288" s="78" t="n"/>
      <c r="I2288" s="78" t="n"/>
      <c r="J2288" s="78" t="n"/>
    </row>
    <row r="2289">
      <c r="A2289" s="84">
        <f>ROW()-6</f>
        <v/>
      </c>
      <c r="B2289" s="85">
        <f>+MATCH(D2289,ARTICULOS!$F$10:$F$699,0)</f>
        <v/>
      </c>
      <c r="C2289" s="86">
        <f>+VLOOKUP(B2289,ARTICULOS!$D$10:$I$699,6)</f>
        <v/>
      </c>
      <c r="D2289" s="212" t="n"/>
      <c r="E2289" s="75">
        <f>+C2289&amp;F2289</f>
        <v/>
      </c>
      <c r="F2289" s="80" t="n"/>
      <c r="G2289" s="81" t="n"/>
      <c r="H2289" s="78" t="n"/>
      <c r="I2289" s="78" t="n"/>
      <c r="J2289" s="78" t="n"/>
    </row>
    <row r="2290">
      <c r="A2290" s="84">
        <f>ROW()-6</f>
        <v/>
      </c>
      <c r="B2290" s="85">
        <f>+MATCH(D2290,ARTICULOS!$F$10:$F$699,0)</f>
        <v/>
      </c>
      <c r="C2290" s="86">
        <f>+VLOOKUP(B2290,ARTICULOS!$D$10:$I$699,6)</f>
        <v/>
      </c>
      <c r="D2290" s="212" t="n"/>
      <c r="E2290" s="75">
        <f>+C2290&amp;F2290</f>
        <v/>
      </c>
      <c r="F2290" s="80" t="n"/>
      <c r="G2290" s="81" t="n"/>
      <c r="H2290" s="78" t="n"/>
      <c r="I2290" s="78" t="n"/>
      <c r="J2290" s="78" t="n"/>
    </row>
    <row r="2291">
      <c r="A2291" s="84">
        <f>ROW()-6</f>
        <v/>
      </c>
      <c r="B2291" s="85">
        <f>+MATCH(D2291,ARTICULOS!$F$10:$F$699,0)</f>
        <v/>
      </c>
      <c r="C2291" s="86">
        <f>+VLOOKUP(B2291,ARTICULOS!$D$10:$I$699,6)</f>
        <v/>
      </c>
      <c r="D2291" s="212" t="n"/>
      <c r="E2291" s="75">
        <f>+C2291&amp;F2291</f>
        <v/>
      </c>
      <c r="F2291" s="80" t="n"/>
      <c r="G2291" s="81" t="n"/>
      <c r="H2291" s="78" t="n"/>
      <c r="I2291" s="78" t="n"/>
      <c r="J2291" s="78" t="n"/>
    </row>
    <row r="2292">
      <c r="A2292" s="84">
        <f>ROW()-6</f>
        <v/>
      </c>
      <c r="B2292" s="85">
        <f>+MATCH(D2292,ARTICULOS!$F$10:$F$699,0)</f>
        <v/>
      </c>
      <c r="C2292" s="86">
        <f>+VLOOKUP(B2292,ARTICULOS!$D$10:$I$699,6)</f>
        <v/>
      </c>
      <c r="D2292" s="212" t="n"/>
      <c r="E2292" s="75">
        <f>+C2292&amp;F2292</f>
        <v/>
      </c>
      <c r="F2292" s="80" t="n"/>
      <c r="G2292" s="81" t="n"/>
      <c r="H2292" s="78" t="n"/>
      <c r="I2292" s="78" t="n"/>
      <c r="J2292" s="78" t="n"/>
    </row>
    <row r="2293">
      <c r="A2293" s="84">
        <f>ROW()-6</f>
        <v/>
      </c>
      <c r="B2293" s="85">
        <f>+MATCH(D2293,ARTICULOS!$F$10:$F$699,0)</f>
        <v/>
      </c>
      <c r="C2293" s="86">
        <f>+VLOOKUP(B2293,ARTICULOS!$D$10:$I$699,6)</f>
        <v/>
      </c>
      <c r="D2293" s="212" t="n"/>
      <c r="E2293" s="75">
        <f>+C2293&amp;F2293</f>
        <v/>
      </c>
      <c r="F2293" s="80" t="n"/>
      <c r="G2293" s="81" t="n"/>
      <c r="H2293" s="78" t="n"/>
      <c r="I2293" s="78" t="n"/>
      <c r="J2293" s="78" t="n"/>
    </row>
    <row r="2294">
      <c r="A2294" s="84">
        <f>ROW()-6</f>
        <v/>
      </c>
      <c r="B2294" s="85">
        <f>+MATCH(D2294,ARTICULOS!$F$10:$F$699,0)</f>
        <v/>
      </c>
      <c r="C2294" s="86">
        <f>+VLOOKUP(B2294,ARTICULOS!$D$10:$I$699,6)</f>
        <v/>
      </c>
      <c r="D2294" s="212" t="n"/>
      <c r="E2294" s="75">
        <f>+C2294&amp;F2294</f>
        <v/>
      </c>
      <c r="F2294" s="80" t="n"/>
      <c r="G2294" s="81" t="n"/>
      <c r="H2294" s="78" t="n"/>
      <c r="I2294" s="78" t="n"/>
      <c r="J2294" s="78" t="n"/>
    </row>
    <row r="2295">
      <c r="A2295" s="84">
        <f>ROW()-6</f>
        <v/>
      </c>
      <c r="B2295" s="85">
        <f>+MATCH(D2295,ARTICULOS!$F$10:$F$699,0)</f>
        <v/>
      </c>
      <c r="C2295" s="86">
        <f>+VLOOKUP(B2295,ARTICULOS!$D$10:$I$699,6)</f>
        <v/>
      </c>
      <c r="D2295" s="212" t="n"/>
      <c r="E2295" s="75">
        <f>+C2295&amp;F2295</f>
        <v/>
      </c>
      <c r="F2295" s="80" t="n"/>
      <c r="G2295" s="81" t="n"/>
      <c r="H2295" s="78" t="n"/>
      <c r="I2295" s="78" t="n"/>
      <c r="J2295" s="78" t="n"/>
    </row>
    <row r="2296">
      <c r="A2296" s="84">
        <f>ROW()-6</f>
        <v/>
      </c>
      <c r="B2296" s="85">
        <f>+MATCH(D2296,ARTICULOS!$F$10:$F$699,0)</f>
        <v/>
      </c>
      <c r="C2296" s="86">
        <f>+VLOOKUP(B2296,ARTICULOS!$D$10:$I$699,6)</f>
        <v/>
      </c>
      <c r="D2296" s="212" t="n"/>
      <c r="E2296" s="75">
        <f>+C2296&amp;F2296</f>
        <v/>
      </c>
      <c r="F2296" s="80" t="n"/>
      <c r="G2296" s="81" t="n"/>
      <c r="H2296" s="78" t="n"/>
      <c r="I2296" s="78" t="n"/>
      <c r="J2296" s="78" t="n"/>
    </row>
    <row r="2297">
      <c r="A2297" s="84">
        <f>ROW()-6</f>
        <v/>
      </c>
      <c r="B2297" s="85">
        <f>+MATCH(D2297,ARTICULOS!$F$10:$F$699,0)</f>
        <v/>
      </c>
      <c r="C2297" s="86">
        <f>+VLOOKUP(B2297,ARTICULOS!$D$10:$I$699,6)</f>
        <v/>
      </c>
      <c r="D2297" s="212" t="n"/>
      <c r="E2297" s="75">
        <f>+C2297&amp;F2297</f>
        <v/>
      </c>
      <c r="F2297" s="80" t="n"/>
      <c r="G2297" s="81" t="n"/>
      <c r="H2297" s="78" t="n"/>
      <c r="I2297" s="78" t="n"/>
      <c r="J2297" s="78" t="n"/>
    </row>
    <row r="2298">
      <c r="A2298" s="84">
        <f>ROW()-6</f>
        <v/>
      </c>
      <c r="B2298" s="85">
        <f>+MATCH(D2298,ARTICULOS!$F$10:$F$699,0)</f>
        <v/>
      </c>
      <c r="C2298" s="86">
        <f>+VLOOKUP(B2298,ARTICULOS!$D$10:$I$699,6)</f>
        <v/>
      </c>
      <c r="D2298" s="212" t="n"/>
      <c r="E2298" s="75">
        <f>+C2298&amp;F2298</f>
        <v/>
      </c>
      <c r="F2298" s="80" t="n"/>
      <c r="G2298" s="81" t="n"/>
      <c r="H2298" s="78" t="n"/>
      <c r="I2298" s="78" t="n"/>
      <c r="J2298" s="78" t="n"/>
    </row>
    <row r="2299">
      <c r="A2299" s="84">
        <f>ROW()-6</f>
        <v/>
      </c>
      <c r="B2299" s="85">
        <f>+MATCH(D2299,ARTICULOS!$F$10:$F$699,0)</f>
        <v/>
      </c>
      <c r="C2299" s="86">
        <f>+VLOOKUP(B2299,ARTICULOS!$D$10:$I$699,6)</f>
        <v/>
      </c>
      <c r="D2299" s="212" t="n"/>
      <c r="E2299" s="75">
        <f>+C2299&amp;F2299</f>
        <v/>
      </c>
      <c r="F2299" s="80" t="n"/>
      <c r="G2299" s="81" t="n"/>
      <c r="H2299" s="78" t="n"/>
      <c r="I2299" s="78" t="n"/>
      <c r="J2299" s="78" t="n"/>
    </row>
    <row r="2300">
      <c r="A2300" s="84">
        <f>ROW()-6</f>
        <v/>
      </c>
      <c r="B2300" s="85">
        <f>+MATCH(D2300,ARTICULOS!$F$10:$F$699,0)</f>
        <v/>
      </c>
      <c r="C2300" s="86">
        <f>+VLOOKUP(B2300,ARTICULOS!$D$10:$I$699,6)</f>
        <v/>
      </c>
      <c r="D2300" s="212" t="n"/>
      <c r="E2300" s="75">
        <f>+C2300&amp;F2300</f>
        <v/>
      </c>
      <c r="F2300" s="80" t="n"/>
      <c r="G2300" s="81" t="n"/>
      <c r="H2300" s="78" t="n"/>
      <c r="I2300" s="78" t="n"/>
      <c r="J2300" s="78" t="n"/>
    </row>
    <row r="2301">
      <c r="A2301" s="84">
        <f>ROW()-6</f>
        <v/>
      </c>
      <c r="B2301" s="85">
        <f>+MATCH(D2301,ARTICULOS!$F$10:$F$699,0)</f>
        <v/>
      </c>
      <c r="C2301" s="86">
        <f>+VLOOKUP(B2301,ARTICULOS!$D$10:$I$699,6)</f>
        <v/>
      </c>
      <c r="D2301" s="212" t="n"/>
      <c r="E2301" s="75">
        <f>+C2301&amp;F2301</f>
        <v/>
      </c>
      <c r="F2301" s="80" t="n"/>
      <c r="G2301" s="81" t="n"/>
      <c r="H2301" s="78" t="n"/>
      <c r="I2301" s="78" t="n"/>
      <c r="J2301" s="78" t="n"/>
    </row>
    <row r="2302">
      <c r="A2302" s="84">
        <f>ROW()-6</f>
        <v/>
      </c>
      <c r="B2302" s="85">
        <f>+MATCH(D2302,ARTICULOS!$F$10:$F$699,0)</f>
        <v/>
      </c>
      <c r="C2302" s="86">
        <f>+VLOOKUP(B2302,ARTICULOS!$D$10:$I$699,6)</f>
        <v/>
      </c>
      <c r="D2302" s="212" t="n"/>
      <c r="E2302" s="75">
        <f>+C2302&amp;F2302</f>
        <v/>
      </c>
      <c r="F2302" s="80" t="n"/>
      <c r="G2302" s="81" t="n"/>
      <c r="H2302" s="78" t="n"/>
      <c r="I2302" s="78" t="n"/>
      <c r="J2302" s="78" t="n"/>
    </row>
    <row r="2303">
      <c r="A2303" s="84">
        <f>ROW()-6</f>
        <v/>
      </c>
      <c r="B2303" s="85">
        <f>+MATCH(D2303,ARTICULOS!$F$10:$F$699,0)</f>
        <v/>
      </c>
      <c r="C2303" s="86">
        <f>+VLOOKUP(B2303,ARTICULOS!$D$10:$I$699,6)</f>
        <v/>
      </c>
      <c r="D2303" s="212" t="n"/>
      <c r="E2303" s="75">
        <f>+C2303&amp;F2303</f>
        <v/>
      </c>
      <c r="F2303" s="80" t="n"/>
      <c r="G2303" s="81" t="n"/>
      <c r="H2303" s="78" t="n"/>
      <c r="I2303" s="78" t="n"/>
      <c r="J2303" s="78" t="n"/>
    </row>
    <row r="2304">
      <c r="A2304" s="84">
        <f>ROW()-6</f>
        <v/>
      </c>
      <c r="B2304" s="85">
        <f>+MATCH(D2304,ARTICULOS!$F$10:$F$699,0)</f>
        <v/>
      </c>
      <c r="C2304" s="86">
        <f>+VLOOKUP(B2304,ARTICULOS!$D$10:$I$699,6)</f>
        <v/>
      </c>
      <c r="D2304" s="212" t="n"/>
      <c r="E2304" s="75">
        <f>+C2304&amp;F2304</f>
        <v/>
      </c>
      <c r="F2304" s="80" t="n"/>
      <c r="G2304" s="81" t="n"/>
      <c r="H2304" s="78" t="n"/>
      <c r="I2304" s="78" t="n"/>
      <c r="J2304" s="78" t="n"/>
    </row>
    <row r="2305">
      <c r="A2305" s="84">
        <f>ROW()-6</f>
        <v/>
      </c>
      <c r="B2305" s="85">
        <f>+MATCH(D2305,ARTICULOS!$F$10:$F$699,0)</f>
        <v/>
      </c>
      <c r="C2305" s="86">
        <f>+VLOOKUP(B2305,ARTICULOS!$D$10:$I$699,6)</f>
        <v/>
      </c>
      <c r="D2305" s="212" t="n"/>
      <c r="E2305" s="75">
        <f>+C2305&amp;F2305</f>
        <v/>
      </c>
      <c r="F2305" s="80" t="n"/>
      <c r="G2305" s="81" t="n"/>
      <c r="H2305" s="78" t="n"/>
      <c r="I2305" s="78" t="n"/>
      <c r="J2305" s="78" t="n"/>
    </row>
    <row r="2306">
      <c r="A2306" s="84">
        <f>ROW()-6</f>
        <v/>
      </c>
      <c r="B2306" s="85">
        <f>+MATCH(D2306,ARTICULOS!$F$10:$F$699,0)</f>
        <v/>
      </c>
      <c r="C2306" s="86">
        <f>+VLOOKUP(B2306,ARTICULOS!$D$10:$I$699,6)</f>
        <v/>
      </c>
      <c r="D2306" s="212" t="n"/>
      <c r="E2306" s="75">
        <f>+C2306&amp;F2306</f>
        <v/>
      </c>
      <c r="F2306" s="80" t="n"/>
      <c r="G2306" s="81" t="n"/>
      <c r="H2306" s="78" t="n"/>
      <c r="I2306" s="78" t="n"/>
      <c r="J2306" s="78" t="n"/>
    </row>
    <row r="2307">
      <c r="A2307" s="84">
        <f>ROW()-6</f>
        <v/>
      </c>
      <c r="B2307" s="85">
        <f>+MATCH(D2307,ARTICULOS!$F$10:$F$699,0)</f>
        <v/>
      </c>
      <c r="C2307" s="86">
        <f>+VLOOKUP(B2307,ARTICULOS!$D$10:$I$699,6)</f>
        <v/>
      </c>
      <c r="D2307" s="212" t="n"/>
      <c r="E2307" s="75">
        <f>+C2307&amp;F2307</f>
        <v/>
      </c>
      <c r="F2307" s="80" t="n"/>
      <c r="G2307" s="81" t="n"/>
      <c r="H2307" s="78" t="n"/>
      <c r="I2307" s="78" t="n"/>
      <c r="J2307" s="78" t="n"/>
    </row>
    <row r="2308">
      <c r="A2308" s="84">
        <f>ROW()-6</f>
        <v/>
      </c>
      <c r="B2308" s="85">
        <f>+MATCH(D2308,ARTICULOS!$F$10:$F$699,0)</f>
        <v/>
      </c>
      <c r="C2308" s="86">
        <f>+VLOOKUP(B2308,ARTICULOS!$D$10:$I$699,6)</f>
        <v/>
      </c>
      <c r="D2308" s="212" t="n"/>
      <c r="E2308" s="75">
        <f>+C2308&amp;F2308</f>
        <v/>
      </c>
      <c r="F2308" s="80" t="n"/>
      <c r="G2308" s="81" t="n"/>
      <c r="H2308" s="78" t="n"/>
      <c r="I2308" s="78" t="n"/>
      <c r="J2308" s="78" t="n"/>
    </row>
    <row r="2309">
      <c r="A2309" s="84">
        <f>ROW()-6</f>
        <v/>
      </c>
      <c r="B2309" s="85">
        <f>+MATCH(D2309,ARTICULOS!$F$10:$F$699,0)</f>
        <v/>
      </c>
      <c r="C2309" s="86">
        <f>+VLOOKUP(B2309,ARTICULOS!$D$10:$I$699,6)</f>
        <v/>
      </c>
      <c r="D2309" s="212" t="n"/>
      <c r="E2309" s="75">
        <f>+C2309&amp;F2309</f>
        <v/>
      </c>
      <c r="F2309" s="80" t="n"/>
      <c r="G2309" s="81" t="n"/>
      <c r="H2309" s="78" t="n"/>
      <c r="I2309" s="78" t="n"/>
      <c r="J2309" s="78" t="n"/>
    </row>
    <row r="2310">
      <c r="A2310" s="84">
        <f>ROW()-6</f>
        <v/>
      </c>
      <c r="B2310" s="85">
        <f>+MATCH(D2310,ARTICULOS!$F$10:$F$699,0)</f>
        <v/>
      </c>
      <c r="C2310" s="86">
        <f>+VLOOKUP(B2310,ARTICULOS!$D$10:$I$699,6)</f>
        <v/>
      </c>
      <c r="D2310" s="212" t="n"/>
      <c r="E2310" s="75">
        <f>+C2310&amp;F2310</f>
        <v/>
      </c>
      <c r="F2310" s="80" t="n"/>
      <c r="G2310" s="81" t="n"/>
      <c r="H2310" s="78" t="n"/>
      <c r="I2310" s="78" t="n"/>
      <c r="J2310" s="78" t="n"/>
    </row>
    <row r="2311">
      <c r="A2311" s="84">
        <f>ROW()-6</f>
        <v/>
      </c>
      <c r="B2311" s="85">
        <f>+MATCH(D2311,ARTICULOS!$F$10:$F$699,0)</f>
        <v/>
      </c>
      <c r="C2311" s="86">
        <f>+VLOOKUP(B2311,ARTICULOS!$D$10:$I$699,6)</f>
        <v/>
      </c>
      <c r="D2311" s="212" t="n"/>
      <c r="E2311" s="75">
        <f>+C2311&amp;F2311</f>
        <v/>
      </c>
      <c r="F2311" s="80" t="n"/>
      <c r="G2311" s="81" t="n"/>
      <c r="H2311" s="78" t="n"/>
      <c r="I2311" s="78" t="n"/>
      <c r="J2311" s="78" t="n"/>
    </row>
    <row r="2312">
      <c r="A2312" s="84">
        <f>ROW()-6</f>
        <v/>
      </c>
      <c r="B2312" s="85">
        <f>+MATCH(D2312,ARTICULOS!$F$10:$F$699,0)</f>
        <v/>
      </c>
      <c r="C2312" s="86">
        <f>+VLOOKUP(B2312,ARTICULOS!$D$10:$I$699,6)</f>
        <v/>
      </c>
      <c r="D2312" s="212" t="n"/>
      <c r="E2312" s="75">
        <f>+C2312&amp;F2312</f>
        <v/>
      </c>
      <c r="F2312" s="80" t="n"/>
      <c r="G2312" s="81" t="n"/>
      <c r="H2312" s="78" t="n"/>
      <c r="I2312" s="78" t="n"/>
      <c r="J2312" s="78" t="n"/>
    </row>
    <row r="2313">
      <c r="A2313" s="84">
        <f>ROW()-6</f>
        <v/>
      </c>
      <c r="B2313" s="85">
        <f>+MATCH(D2313,ARTICULOS!$F$10:$F$699,0)</f>
        <v/>
      </c>
      <c r="C2313" s="86">
        <f>+VLOOKUP(B2313,ARTICULOS!$D$10:$I$699,6)</f>
        <v/>
      </c>
      <c r="D2313" s="212" t="n"/>
      <c r="E2313" s="75">
        <f>+C2313&amp;F2313</f>
        <v/>
      </c>
      <c r="F2313" s="80" t="n"/>
      <c r="G2313" s="81" t="n"/>
      <c r="H2313" s="78" t="n"/>
      <c r="I2313" s="78" t="n"/>
      <c r="J2313" s="78" t="n"/>
    </row>
    <row r="2314">
      <c r="A2314" s="84">
        <f>ROW()-6</f>
        <v/>
      </c>
      <c r="B2314" s="85">
        <f>+MATCH(D2314,ARTICULOS!$F$10:$F$699,0)</f>
        <v/>
      </c>
      <c r="C2314" s="86">
        <f>+VLOOKUP(B2314,ARTICULOS!$D$10:$I$699,6)</f>
        <v/>
      </c>
      <c r="D2314" s="212" t="n"/>
      <c r="E2314" s="75">
        <f>+C2314&amp;F2314</f>
        <v/>
      </c>
      <c r="F2314" s="80" t="n"/>
      <c r="G2314" s="81" t="n"/>
      <c r="H2314" s="78" t="n"/>
      <c r="I2314" s="78" t="n"/>
      <c r="J2314" s="78" t="n"/>
    </row>
    <row r="2315">
      <c r="A2315" s="84">
        <f>ROW()-6</f>
        <v/>
      </c>
      <c r="B2315" s="85">
        <f>+MATCH(D2315,ARTICULOS!$F$10:$F$699,0)</f>
        <v/>
      </c>
      <c r="C2315" s="86">
        <f>+VLOOKUP(B2315,ARTICULOS!$D$10:$I$699,6)</f>
        <v/>
      </c>
      <c r="D2315" s="212" t="n"/>
      <c r="E2315" s="75">
        <f>+C2315&amp;F2315</f>
        <v/>
      </c>
      <c r="F2315" s="80" t="n"/>
      <c r="G2315" s="81" t="n"/>
      <c r="H2315" s="78" t="n"/>
      <c r="I2315" s="78" t="n"/>
      <c r="J2315" s="78" t="n"/>
    </row>
    <row r="2316">
      <c r="A2316" s="84">
        <f>ROW()-6</f>
        <v/>
      </c>
      <c r="B2316" s="85">
        <f>+MATCH(D2316,ARTICULOS!$F$10:$F$699,0)</f>
        <v/>
      </c>
      <c r="C2316" s="86">
        <f>+VLOOKUP(B2316,ARTICULOS!$D$10:$I$699,6)</f>
        <v/>
      </c>
      <c r="D2316" s="212" t="n"/>
      <c r="E2316" s="75">
        <f>+C2316&amp;F2316</f>
        <v/>
      </c>
      <c r="F2316" s="80" t="n"/>
      <c r="G2316" s="81" t="n"/>
      <c r="H2316" s="78" t="n"/>
      <c r="I2316" s="78" t="n"/>
      <c r="J2316" s="78" t="n"/>
    </row>
    <row r="2317">
      <c r="A2317" s="84">
        <f>ROW()-6</f>
        <v/>
      </c>
      <c r="B2317" s="85">
        <f>+MATCH(D2317,ARTICULOS!$F$10:$F$699,0)</f>
        <v/>
      </c>
      <c r="C2317" s="86">
        <f>+VLOOKUP(B2317,ARTICULOS!$D$10:$I$699,6)</f>
        <v/>
      </c>
      <c r="D2317" s="212" t="n"/>
      <c r="E2317" s="75">
        <f>+C2317&amp;F2317</f>
        <v/>
      </c>
      <c r="F2317" s="80" t="n"/>
      <c r="G2317" s="81" t="n"/>
      <c r="H2317" s="78" t="n"/>
      <c r="I2317" s="78" t="n"/>
      <c r="J2317" s="78" t="n"/>
    </row>
    <row r="2318">
      <c r="A2318" s="84">
        <f>ROW()-6</f>
        <v/>
      </c>
      <c r="B2318" s="85">
        <f>+MATCH(D2318,ARTICULOS!$F$10:$F$699,0)</f>
        <v/>
      </c>
      <c r="C2318" s="86">
        <f>+VLOOKUP(B2318,ARTICULOS!$D$10:$I$699,6)</f>
        <v/>
      </c>
      <c r="D2318" s="212" t="n"/>
      <c r="E2318" s="75">
        <f>+C2318&amp;F2318</f>
        <v/>
      </c>
      <c r="F2318" s="80" t="n"/>
      <c r="G2318" s="81" t="n"/>
      <c r="H2318" s="78" t="n"/>
      <c r="I2318" s="78" t="n"/>
      <c r="J2318" s="78" t="n"/>
    </row>
    <row r="2319">
      <c r="A2319" s="84">
        <f>ROW()-6</f>
        <v/>
      </c>
      <c r="B2319" s="85">
        <f>+MATCH(D2319,ARTICULOS!$F$10:$F$699,0)</f>
        <v/>
      </c>
      <c r="C2319" s="86">
        <f>+VLOOKUP(B2319,ARTICULOS!$D$10:$I$699,6)</f>
        <v/>
      </c>
      <c r="D2319" s="212" t="n"/>
      <c r="E2319" s="75">
        <f>+C2319&amp;F2319</f>
        <v/>
      </c>
      <c r="F2319" s="80" t="n"/>
      <c r="G2319" s="81" t="n"/>
      <c r="H2319" s="78" t="n"/>
      <c r="I2319" s="78" t="n"/>
      <c r="J2319" s="78" t="n"/>
    </row>
    <row r="2320">
      <c r="A2320" s="84">
        <f>ROW()-6</f>
        <v/>
      </c>
      <c r="B2320" s="85">
        <f>+MATCH(D2320,ARTICULOS!$F$10:$F$699,0)</f>
        <v/>
      </c>
      <c r="C2320" s="86">
        <f>+VLOOKUP(B2320,ARTICULOS!$D$10:$I$699,6)</f>
        <v/>
      </c>
      <c r="D2320" s="212" t="n"/>
      <c r="E2320" s="75">
        <f>+C2320&amp;F2320</f>
        <v/>
      </c>
      <c r="F2320" s="80" t="n"/>
      <c r="G2320" s="81" t="n"/>
      <c r="H2320" s="78" t="n"/>
      <c r="I2320" s="78" t="n"/>
      <c r="J2320" s="78" t="n"/>
    </row>
    <row r="2321">
      <c r="A2321" s="84">
        <f>ROW()-6</f>
        <v/>
      </c>
      <c r="B2321" s="85">
        <f>+MATCH(D2321,ARTICULOS!$F$10:$F$699,0)</f>
        <v/>
      </c>
      <c r="C2321" s="86">
        <f>+VLOOKUP(B2321,ARTICULOS!$D$10:$I$699,6)</f>
        <v/>
      </c>
      <c r="D2321" s="212" t="n"/>
      <c r="E2321" s="75">
        <f>+C2321&amp;F2321</f>
        <v/>
      </c>
      <c r="F2321" s="80" t="n"/>
      <c r="G2321" s="81" t="n"/>
      <c r="H2321" s="78" t="n"/>
      <c r="I2321" s="78" t="n"/>
      <c r="J2321" s="78" t="n"/>
    </row>
    <row r="2322">
      <c r="A2322" s="84">
        <f>ROW()-6</f>
        <v/>
      </c>
      <c r="B2322" s="85">
        <f>+MATCH(D2322,ARTICULOS!$F$10:$F$699,0)</f>
        <v/>
      </c>
      <c r="C2322" s="86">
        <f>+VLOOKUP(B2322,ARTICULOS!$D$10:$I$699,6)</f>
        <v/>
      </c>
      <c r="D2322" s="212" t="n"/>
      <c r="E2322" s="75">
        <f>+C2322&amp;F2322</f>
        <v/>
      </c>
      <c r="F2322" s="80" t="n"/>
      <c r="G2322" s="81" t="n"/>
      <c r="H2322" s="78" t="n"/>
      <c r="I2322" s="78" t="n"/>
      <c r="J2322" s="78" t="n"/>
    </row>
    <row r="2323">
      <c r="A2323" s="84">
        <f>ROW()-6</f>
        <v/>
      </c>
      <c r="B2323" s="85">
        <f>+MATCH(D2323,ARTICULOS!$F$10:$F$699,0)</f>
        <v/>
      </c>
      <c r="C2323" s="86">
        <f>+VLOOKUP(B2323,ARTICULOS!$D$10:$I$699,6)</f>
        <v/>
      </c>
      <c r="D2323" s="212" t="n"/>
      <c r="E2323" s="75">
        <f>+C2323&amp;F2323</f>
        <v/>
      </c>
      <c r="F2323" s="80" t="n"/>
      <c r="G2323" s="81" t="n"/>
      <c r="H2323" s="78" t="n"/>
      <c r="I2323" s="78" t="n"/>
      <c r="J2323" s="78" t="n"/>
    </row>
    <row r="2324">
      <c r="A2324" s="84">
        <f>ROW()-6</f>
        <v/>
      </c>
      <c r="B2324" s="85">
        <f>+MATCH(D2324,ARTICULOS!$F$10:$F$699,0)</f>
        <v/>
      </c>
      <c r="C2324" s="86">
        <f>+VLOOKUP(B2324,ARTICULOS!$D$10:$I$699,6)</f>
        <v/>
      </c>
      <c r="D2324" s="212" t="n"/>
      <c r="E2324" s="75">
        <f>+C2324&amp;F2324</f>
        <v/>
      </c>
      <c r="F2324" s="80" t="n"/>
      <c r="G2324" s="81" t="n"/>
      <c r="H2324" s="78" t="n"/>
      <c r="I2324" s="78" t="n"/>
      <c r="J2324" s="78" t="n"/>
    </row>
    <row r="2325">
      <c r="A2325" s="84">
        <f>ROW()-6</f>
        <v/>
      </c>
      <c r="B2325" s="85">
        <f>+MATCH(D2325,ARTICULOS!$F$10:$F$699,0)</f>
        <v/>
      </c>
      <c r="C2325" s="86">
        <f>+VLOOKUP(B2325,ARTICULOS!$D$10:$I$699,6)</f>
        <v/>
      </c>
      <c r="D2325" s="212" t="n"/>
      <c r="E2325" s="75">
        <f>+C2325&amp;F2325</f>
        <v/>
      </c>
      <c r="F2325" s="80" t="n"/>
      <c r="G2325" s="81" t="n"/>
      <c r="H2325" s="78" t="n"/>
      <c r="I2325" s="78" t="n"/>
      <c r="J2325" s="78" t="n"/>
    </row>
    <row r="2326">
      <c r="A2326" s="84">
        <f>ROW()-6</f>
        <v/>
      </c>
      <c r="B2326" s="85">
        <f>+MATCH(D2326,ARTICULOS!$F$10:$F$699,0)</f>
        <v/>
      </c>
      <c r="C2326" s="86">
        <f>+VLOOKUP(B2326,ARTICULOS!$D$10:$I$699,6)</f>
        <v/>
      </c>
      <c r="D2326" s="212" t="n"/>
      <c r="E2326" s="75">
        <f>+C2326&amp;F2326</f>
        <v/>
      </c>
      <c r="F2326" s="80" t="n"/>
      <c r="G2326" s="81" t="n"/>
      <c r="H2326" s="78" t="n"/>
      <c r="I2326" s="78" t="n"/>
      <c r="J2326" s="78" t="n"/>
    </row>
    <row r="2327">
      <c r="A2327" s="84">
        <f>ROW()-6</f>
        <v/>
      </c>
      <c r="B2327" s="85">
        <f>+MATCH(D2327,ARTICULOS!$F$10:$F$699,0)</f>
        <v/>
      </c>
      <c r="C2327" s="86">
        <f>+VLOOKUP(B2327,ARTICULOS!$D$10:$I$699,6)</f>
        <v/>
      </c>
      <c r="D2327" s="212" t="n"/>
      <c r="E2327" s="75">
        <f>+C2327&amp;F2327</f>
        <v/>
      </c>
      <c r="F2327" s="80" t="n"/>
      <c r="G2327" s="81" t="n"/>
      <c r="H2327" s="78" t="n"/>
      <c r="I2327" s="78" t="n"/>
      <c r="J2327" s="78" t="n"/>
    </row>
    <row r="2328">
      <c r="A2328" s="84">
        <f>ROW()-6</f>
        <v/>
      </c>
      <c r="B2328" s="85">
        <f>+MATCH(D2328,ARTICULOS!$F$10:$F$699,0)</f>
        <v/>
      </c>
      <c r="C2328" s="86">
        <f>+VLOOKUP(B2328,ARTICULOS!$D$10:$I$699,6)</f>
        <v/>
      </c>
      <c r="D2328" s="212" t="n"/>
      <c r="E2328" s="75">
        <f>+C2328&amp;F2328</f>
        <v/>
      </c>
      <c r="F2328" s="80" t="n"/>
      <c r="G2328" s="81" t="n"/>
      <c r="H2328" s="78" t="n"/>
      <c r="I2328" s="78" t="n"/>
      <c r="J2328" s="78" t="n"/>
    </row>
    <row r="2329">
      <c r="A2329" s="84">
        <f>ROW()-6</f>
        <v/>
      </c>
      <c r="B2329" s="85">
        <f>+MATCH(D2329,ARTICULOS!$F$10:$F$699,0)</f>
        <v/>
      </c>
      <c r="C2329" s="86">
        <f>+VLOOKUP(B2329,ARTICULOS!$D$10:$I$699,6)</f>
        <v/>
      </c>
      <c r="D2329" s="212" t="n"/>
      <c r="E2329" s="75">
        <f>+C2329&amp;F2329</f>
        <v/>
      </c>
      <c r="F2329" s="80" t="n"/>
      <c r="G2329" s="81" t="n"/>
      <c r="H2329" s="78" t="n"/>
      <c r="I2329" s="78" t="n"/>
      <c r="J2329" s="78" t="n"/>
    </row>
    <row r="2330">
      <c r="A2330" s="84">
        <f>ROW()-6</f>
        <v/>
      </c>
      <c r="B2330" s="85">
        <f>+MATCH(D2330,ARTICULOS!$F$10:$F$699,0)</f>
        <v/>
      </c>
      <c r="C2330" s="86">
        <f>+VLOOKUP(B2330,ARTICULOS!$D$10:$I$699,6)</f>
        <v/>
      </c>
      <c r="D2330" s="212" t="n"/>
      <c r="E2330" s="75">
        <f>+C2330&amp;F2330</f>
        <v/>
      </c>
      <c r="F2330" s="80" t="n"/>
      <c r="G2330" s="81" t="n"/>
      <c r="H2330" s="78" t="n"/>
      <c r="I2330" s="78" t="n"/>
      <c r="J2330" s="78" t="n"/>
    </row>
    <row r="2331">
      <c r="A2331" s="84">
        <f>ROW()-6</f>
        <v/>
      </c>
      <c r="B2331" s="85">
        <f>+MATCH(D2331,ARTICULOS!$F$10:$F$699,0)</f>
        <v/>
      </c>
      <c r="C2331" s="86">
        <f>+VLOOKUP(B2331,ARTICULOS!$D$10:$I$699,6)</f>
        <v/>
      </c>
      <c r="D2331" s="212" t="n"/>
      <c r="E2331" s="75">
        <f>+C2331&amp;F2331</f>
        <v/>
      </c>
      <c r="F2331" s="80" t="n"/>
      <c r="G2331" s="81" t="n"/>
      <c r="H2331" s="78" t="n"/>
      <c r="I2331" s="78" t="n"/>
      <c r="J2331" s="78" t="n"/>
    </row>
    <row r="2332">
      <c r="A2332" s="84">
        <f>ROW()-6</f>
        <v/>
      </c>
      <c r="B2332" s="85">
        <f>+MATCH(D2332,ARTICULOS!$F$10:$F$699,0)</f>
        <v/>
      </c>
      <c r="C2332" s="86">
        <f>+VLOOKUP(B2332,ARTICULOS!$D$10:$I$699,6)</f>
        <v/>
      </c>
      <c r="D2332" s="212" t="n"/>
      <c r="E2332" s="75">
        <f>+C2332&amp;F2332</f>
        <v/>
      </c>
      <c r="F2332" s="80" t="n"/>
      <c r="G2332" s="81" t="n"/>
      <c r="H2332" s="78" t="n"/>
      <c r="I2332" s="78" t="n"/>
      <c r="J2332" s="78" t="n"/>
    </row>
    <row r="2333">
      <c r="A2333" s="84">
        <f>ROW()-6</f>
        <v/>
      </c>
      <c r="B2333" s="85">
        <f>+MATCH(D2333,ARTICULOS!$F$10:$F$699,0)</f>
        <v/>
      </c>
      <c r="C2333" s="86">
        <f>+VLOOKUP(B2333,ARTICULOS!$D$10:$I$699,6)</f>
        <v/>
      </c>
      <c r="D2333" s="212" t="n"/>
      <c r="E2333" s="75">
        <f>+C2333&amp;F2333</f>
        <v/>
      </c>
      <c r="F2333" s="80" t="n"/>
      <c r="G2333" s="81" t="n"/>
      <c r="H2333" s="78" t="n"/>
      <c r="I2333" s="78" t="n"/>
      <c r="J2333" s="78" t="n"/>
    </row>
    <row r="2334">
      <c r="A2334" s="84">
        <f>ROW()-6</f>
        <v/>
      </c>
      <c r="B2334" s="85">
        <f>+MATCH(D2334,ARTICULOS!$F$10:$F$699,0)</f>
        <v/>
      </c>
      <c r="C2334" s="86">
        <f>+VLOOKUP(B2334,ARTICULOS!$D$10:$I$699,6)</f>
        <v/>
      </c>
      <c r="D2334" s="212" t="n"/>
      <c r="E2334" s="75">
        <f>+C2334&amp;F2334</f>
        <v/>
      </c>
      <c r="F2334" s="80" t="n"/>
      <c r="G2334" s="81" t="n"/>
      <c r="H2334" s="78" t="n"/>
      <c r="I2334" s="78" t="n"/>
      <c r="J2334" s="78" t="n"/>
    </row>
    <row r="2335">
      <c r="A2335" s="84">
        <f>ROW()-6</f>
        <v/>
      </c>
      <c r="B2335" s="85">
        <f>+MATCH(D2335,ARTICULOS!$F$10:$F$699,0)</f>
        <v/>
      </c>
      <c r="C2335" s="86">
        <f>+VLOOKUP(B2335,ARTICULOS!$D$10:$I$699,6)</f>
        <v/>
      </c>
      <c r="D2335" s="212" t="n"/>
      <c r="E2335" s="75">
        <f>+C2335&amp;F2335</f>
        <v/>
      </c>
      <c r="F2335" s="80" t="n"/>
      <c r="G2335" s="81" t="n"/>
      <c r="H2335" s="78" t="n"/>
      <c r="I2335" s="78" t="n"/>
      <c r="J2335" s="78" t="n"/>
    </row>
    <row r="2336">
      <c r="A2336" s="84">
        <f>ROW()-6</f>
        <v/>
      </c>
      <c r="B2336" s="85">
        <f>+MATCH(D2336,ARTICULOS!$F$10:$F$699,0)</f>
        <v/>
      </c>
      <c r="C2336" s="86">
        <f>+VLOOKUP(B2336,ARTICULOS!$D$10:$I$699,6)</f>
        <v/>
      </c>
      <c r="D2336" s="212" t="n"/>
      <c r="E2336" s="75">
        <f>+C2336&amp;F2336</f>
        <v/>
      </c>
      <c r="F2336" s="80" t="n"/>
      <c r="G2336" s="81" t="n"/>
      <c r="H2336" s="78" t="n"/>
      <c r="I2336" s="78" t="n"/>
      <c r="J2336" s="78" t="n"/>
    </row>
    <row r="2337">
      <c r="A2337" s="84">
        <f>ROW()-6</f>
        <v/>
      </c>
      <c r="B2337" s="85">
        <f>+MATCH(D2337,ARTICULOS!$F$10:$F$699,0)</f>
        <v/>
      </c>
      <c r="C2337" s="86">
        <f>+VLOOKUP(B2337,ARTICULOS!$D$10:$I$699,6)</f>
        <v/>
      </c>
      <c r="D2337" s="212" t="n"/>
      <c r="E2337" s="75">
        <f>+C2337&amp;F2337</f>
        <v/>
      </c>
      <c r="F2337" s="80" t="n"/>
      <c r="G2337" s="81" t="n"/>
      <c r="H2337" s="78" t="n"/>
      <c r="I2337" s="78" t="n"/>
      <c r="J2337" s="78" t="n"/>
    </row>
    <row r="2338">
      <c r="A2338" s="84">
        <f>ROW()-6</f>
        <v/>
      </c>
      <c r="B2338" s="85">
        <f>+MATCH(D2338,ARTICULOS!$F$10:$F$699,0)</f>
        <v/>
      </c>
      <c r="C2338" s="86">
        <f>+VLOOKUP(B2338,ARTICULOS!$D$10:$I$699,6)</f>
        <v/>
      </c>
      <c r="D2338" s="212" t="n"/>
      <c r="E2338" s="75">
        <f>+C2338&amp;F2338</f>
        <v/>
      </c>
      <c r="F2338" s="80" t="n"/>
      <c r="G2338" s="81" t="n"/>
      <c r="H2338" s="78" t="n"/>
      <c r="I2338" s="78" t="n"/>
      <c r="J2338" s="78" t="n"/>
    </row>
    <row r="2339">
      <c r="A2339" s="84">
        <f>ROW()-6</f>
        <v/>
      </c>
      <c r="B2339" s="85">
        <f>+MATCH(D2339,ARTICULOS!$F$10:$F$699,0)</f>
        <v/>
      </c>
      <c r="C2339" s="86">
        <f>+VLOOKUP(B2339,ARTICULOS!$D$10:$I$699,6)</f>
        <v/>
      </c>
      <c r="D2339" s="212" t="n"/>
      <c r="E2339" s="75">
        <f>+C2339&amp;F2339</f>
        <v/>
      </c>
      <c r="F2339" s="80" t="n"/>
      <c r="G2339" s="81" t="n"/>
      <c r="H2339" s="78" t="n"/>
      <c r="I2339" s="78" t="n"/>
      <c r="J2339" s="78" t="n"/>
    </row>
    <row r="2340">
      <c r="A2340" s="84">
        <f>ROW()-6</f>
        <v/>
      </c>
      <c r="B2340" s="85">
        <f>+MATCH(D2340,ARTICULOS!$F$10:$F$699,0)</f>
        <v/>
      </c>
      <c r="C2340" s="86">
        <f>+VLOOKUP(B2340,ARTICULOS!$D$10:$I$699,6)</f>
        <v/>
      </c>
      <c r="D2340" s="212" t="n"/>
      <c r="E2340" s="75">
        <f>+C2340&amp;F2340</f>
        <v/>
      </c>
      <c r="F2340" s="80" t="n"/>
      <c r="G2340" s="81" t="n"/>
      <c r="H2340" s="78" t="n"/>
      <c r="I2340" s="78" t="n"/>
      <c r="J2340" s="78" t="n"/>
    </row>
    <row r="2341">
      <c r="A2341" s="84">
        <f>ROW()-6</f>
        <v/>
      </c>
      <c r="B2341" s="85">
        <f>+MATCH(D2341,ARTICULOS!$F$10:$F$699,0)</f>
        <v/>
      </c>
      <c r="C2341" s="86">
        <f>+VLOOKUP(B2341,ARTICULOS!$D$10:$I$699,6)</f>
        <v/>
      </c>
      <c r="D2341" s="212" t="n"/>
      <c r="E2341" s="75">
        <f>+C2341&amp;F2341</f>
        <v/>
      </c>
      <c r="F2341" s="80" t="n"/>
      <c r="G2341" s="81" t="n"/>
      <c r="H2341" s="78" t="n"/>
      <c r="I2341" s="78" t="n"/>
      <c r="J2341" s="78" t="n"/>
    </row>
    <row r="2342">
      <c r="A2342" s="84">
        <f>ROW()-6</f>
        <v/>
      </c>
      <c r="B2342" s="85">
        <f>+MATCH(D2342,ARTICULOS!$F$10:$F$699,0)</f>
        <v/>
      </c>
      <c r="C2342" s="86">
        <f>+VLOOKUP(B2342,ARTICULOS!$D$10:$I$699,6)</f>
        <v/>
      </c>
      <c r="D2342" s="212" t="n"/>
      <c r="E2342" s="75">
        <f>+C2342&amp;F2342</f>
        <v/>
      </c>
      <c r="F2342" s="80" t="n"/>
      <c r="G2342" s="81" t="n"/>
      <c r="H2342" s="78" t="n"/>
      <c r="I2342" s="78" t="n"/>
      <c r="J2342" s="78" t="n"/>
    </row>
    <row r="2343">
      <c r="A2343" s="84">
        <f>ROW()-6</f>
        <v/>
      </c>
      <c r="B2343" s="85">
        <f>+MATCH(D2343,ARTICULOS!$F$10:$F$699,0)</f>
        <v/>
      </c>
      <c r="C2343" s="86">
        <f>+VLOOKUP(B2343,ARTICULOS!$D$10:$I$699,6)</f>
        <v/>
      </c>
      <c r="D2343" s="212" t="n"/>
      <c r="E2343" s="75">
        <f>+C2343&amp;F2343</f>
        <v/>
      </c>
      <c r="F2343" s="80" t="n"/>
      <c r="G2343" s="81" t="n"/>
      <c r="H2343" s="78" t="n"/>
      <c r="I2343" s="78" t="n"/>
      <c r="J2343" s="78" t="n"/>
    </row>
    <row r="2344">
      <c r="A2344" s="84">
        <f>ROW()-6</f>
        <v/>
      </c>
      <c r="B2344" s="85">
        <f>+MATCH(D2344,ARTICULOS!$F$10:$F$699,0)</f>
        <v/>
      </c>
      <c r="C2344" s="86">
        <f>+VLOOKUP(B2344,ARTICULOS!$D$10:$I$699,6)</f>
        <v/>
      </c>
      <c r="D2344" s="212" t="n"/>
      <c r="E2344" s="75">
        <f>+C2344&amp;F2344</f>
        <v/>
      </c>
      <c r="F2344" s="80" t="n"/>
      <c r="G2344" s="81" t="n"/>
      <c r="H2344" s="78" t="n"/>
      <c r="I2344" s="78" t="n"/>
      <c r="J2344" s="78" t="n"/>
    </row>
    <row r="2345">
      <c r="A2345" s="84">
        <f>ROW()-6</f>
        <v/>
      </c>
      <c r="B2345" s="85">
        <f>+MATCH(D2345,ARTICULOS!$F$10:$F$699,0)</f>
        <v/>
      </c>
      <c r="C2345" s="86">
        <f>+VLOOKUP(B2345,ARTICULOS!$D$10:$I$699,6)</f>
        <v/>
      </c>
      <c r="D2345" s="212" t="n"/>
      <c r="E2345" s="75">
        <f>+C2345&amp;F2345</f>
        <v/>
      </c>
      <c r="F2345" s="80" t="n"/>
      <c r="G2345" s="81" t="n"/>
      <c r="H2345" s="78" t="n"/>
      <c r="I2345" s="78" t="n"/>
      <c r="J2345" s="78" t="n"/>
    </row>
    <row r="2346">
      <c r="A2346" s="84">
        <f>ROW()-6</f>
        <v/>
      </c>
      <c r="B2346" s="85">
        <f>+MATCH(D2346,ARTICULOS!$F$10:$F$699,0)</f>
        <v/>
      </c>
      <c r="C2346" s="86">
        <f>+VLOOKUP(B2346,ARTICULOS!$D$10:$I$699,6)</f>
        <v/>
      </c>
      <c r="D2346" s="212" t="n"/>
      <c r="E2346" s="75">
        <f>+C2346&amp;F2346</f>
        <v/>
      </c>
      <c r="F2346" s="80" t="n"/>
      <c r="G2346" s="81" t="n"/>
      <c r="H2346" s="78" t="n"/>
      <c r="I2346" s="78" t="n"/>
      <c r="J2346" s="78" t="n"/>
    </row>
    <row r="2347">
      <c r="A2347" s="84">
        <f>ROW()-6</f>
        <v/>
      </c>
      <c r="B2347" s="85">
        <f>+MATCH(D2347,ARTICULOS!$F$10:$F$699,0)</f>
        <v/>
      </c>
      <c r="C2347" s="86">
        <f>+VLOOKUP(B2347,ARTICULOS!$D$10:$I$699,6)</f>
        <v/>
      </c>
      <c r="D2347" s="212" t="n"/>
      <c r="E2347" s="75">
        <f>+C2347&amp;F2347</f>
        <v/>
      </c>
      <c r="F2347" s="80" t="n"/>
      <c r="G2347" s="81" t="n"/>
      <c r="H2347" s="78" t="n"/>
      <c r="I2347" s="78" t="n"/>
      <c r="J2347" s="78" t="n"/>
    </row>
    <row r="2348">
      <c r="A2348" s="84">
        <f>ROW()-6</f>
        <v/>
      </c>
      <c r="B2348" s="85">
        <f>+MATCH(D2348,ARTICULOS!$F$10:$F$699,0)</f>
        <v/>
      </c>
      <c r="C2348" s="86">
        <f>+VLOOKUP(B2348,ARTICULOS!$D$10:$I$699,6)</f>
        <v/>
      </c>
      <c r="D2348" s="212" t="n"/>
      <c r="E2348" s="75">
        <f>+C2348&amp;F2348</f>
        <v/>
      </c>
      <c r="F2348" s="80" t="n"/>
      <c r="G2348" s="81" t="n"/>
      <c r="H2348" s="78" t="n"/>
      <c r="I2348" s="78" t="n"/>
      <c r="J2348" s="78" t="n"/>
    </row>
    <row r="2349">
      <c r="A2349" s="84">
        <f>ROW()-6</f>
        <v/>
      </c>
      <c r="B2349" s="85">
        <f>+MATCH(D2349,ARTICULOS!$F$10:$F$699,0)</f>
        <v/>
      </c>
      <c r="C2349" s="86">
        <f>+VLOOKUP(B2349,ARTICULOS!$D$10:$I$699,6)</f>
        <v/>
      </c>
      <c r="D2349" s="212" t="n"/>
      <c r="E2349" s="75">
        <f>+C2349&amp;F2349</f>
        <v/>
      </c>
      <c r="F2349" s="80" t="n"/>
      <c r="G2349" s="81" t="n"/>
      <c r="H2349" s="78" t="n"/>
      <c r="I2349" s="78" t="n"/>
      <c r="J2349" s="78" t="n"/>
    </row>
    <row r="2350">
      <c r="A2350" s="84">
        <f>ROW()-6</f>
        <v/>
      </c>
      <c r="B2350" s="85">
        <f>+MATCH(D2350,ARTICULOS!$F$10:$F$699,0)</f>
        <v/>
      </c>
      <c r="C2350" s="86">
        <f>+VLOOKUP(B2350,ARTICULOS!$D$10:$I$699,6)</f>
        <v/>
      </c>
      <c r="D2350" s="212" t="n"/>
      <c r="E2350" s="75">
        <f>+C2350&amp;F2350</f>
        <v/>
      </c>
      <c r="F2350" s="80" t="n"/>
      <c r="G2350" s="81" t="n"/>
      <c r="H2350" s="78" t="n"/>
      <c r="I2350" s="78" t="n"/>
      <c r="J2350" s="78" t="n"/>
    </row>
    <row r="2351">
      <c r="A2351" s="84">
        <f>ROW()-6</f>
        <v/>
      </c>
      <c r="B2351" s="85">
        <f>+MATCH(D2351,ARTICULOS!$F$10:$F$699,0)</f>
        <v/>
      </c>
      <c r="C2351" s="86">
        <f>+VLOOKUP(B2351,ARTICULOS!$D$10:$I$699,6)</f>
        <v/>
      </c>
      <c r="D2351" s="212" t="n"/>
      <c r="E2351" s="75">
        <f>+C2351&amp;F2351</f>
        <v/>
      </c>
      <c r="F2351" s="80" t="n"/>
      <c r="G2351" s="81" t="n"/>
      <c r="H2351" s="78" t="n"/>
      <c r="I2351" s="78" t="n"/>
      <c r="J2351" s="78" t="n"/>
    </row>
    <row r="2352">
      <c r="A2352" s="84">
        <f>ROW()-6</f>
        <v/>
      </c>
      <c r="B2352" s="85">
        <f>+MATCH(D2352,ARTICULOS!$F$10:$F$699,0)</f>
        <v/>
      </c>
      <c r="C2352" s="86">
        <f>+VLOOKUP(B2352,ARTICULOS!$D$10:$I$699,6)</f>
        <v/>
      </c>
      <c r="D2352" s="212" t="n"/>
      <c r="E2352" s="75">
        <f>+C2352&amp;F2352</f>
        <v/>
      </c>
      <c r="F2352" s="80" t="n"/>
      <c r="G2352" s="81" t="n"/>
      <c r="H2352" s="78" t="n"/>
      <c r="I2352" s="78" t="n"/>
      <c r="J2352" s="78" t="n"/>
    </row>
    <row r="2353">
      <c r="A2353" s="84">
        <f>ROW()-6</f>
        <v/>
      </c>
      <c r="B2353" s="85">
        <f>+MATCH(D2353,ARTICULOS!$F$10:$F$699,0)</f>
        <v/>
      </c>
      <c r="C2353" s="86">
        <f>+VLOOKUP(B2353,ARTICULOS!$D$10:$I$699,6)</f>
        <v/>
      </c>
      <c r="D2353" s="212" t="n"/>
      <c r="E2353" s="75">
        <f>+C2353&amp;F2353</f>
        <v/>
      </c>
      <c r="F2353" s="80" t="n"/>
      <c r="G2353" s="81" t="n"/>
      <c r="H2353" s="78" t="n"/>
      <c r="I2353" s="78" t="n"/>
      <c r="J2353" s="78" t="n"/>
    </row>
    <row r="2354">
      <c r="A2354" s="84">
        <f>ROW()-6</f>
        <v/>
      </c>
      <c r="B2354" s="85">
        <f>+MATCH(D2354,ARTICULOS!$F$10:$F$699,0)</f>
        <v/>
      </c>
      <c r="C2354" s="86">
        <f>+VLOOKUP(B2354,ARTICULOS!$D$10:$I$699,6)</f>
        <v/>
      </c>
      <c r="D2354" s="212" t="n"/>
      <c r="E2354" s="75">
        <f>+C2354&amp;F2354</f>
        <v/>
      </c>
      <c r="F2354" s="80" t="n"/>
      <c r="G2354" s="81" t="n"/>
      <c r="H2354" s="78" t="n"/>
      <c r="I2354" s="78" t="n"/>
      <c r="J2354" s="78" t="n"/>
    </row>
    <row r="2355">
      <c r="A2355" s="84">
        <f>ROW()-6</f>
        <v/>
      </c>
      <c r="B2355" s="85">
        <f>+MATCH(D2355,ARTICULOS!$F$10:$F$699,0)</f>
        <v/>
      </c>
      <c r="C2355" s="86">
        <f>+VLOOKUP(B2355,ARTICULOS!$D$10:$I$699,6)</f>
        <v/>
      </c>
      <c r="D2355" s="212" t="n"/>
      <c r="E2355" s="75">
        <f>+C2355&amp;F2355</f>
        <v/>
      </c>
      <c r="F2355" s="80" t="n"/>
      <c r="G2355" s="81" t="n"/>
      <c r="H2355" s="78" t="n"/>
      <c r="I2355" s="78" t="n"/>
      <c r="J2355" s="78" t="n"/>
    </row>
    <row r="2356">
      <c r="A2356" s="84">
        <f>ROW()-6</f>
        <v/>
      </c>
      <c r="B2356" s="85">
        <f>+MATCH(D2356,ARTICULOS!$F$10:$F$699,0)</f>
        <v/>
      </c>
      <c r="C2356" s="86">
        <f>+VLOOKUP(B2356,ARTICULOS!$D$10:$I$699,6)</f>
        <v/>
      </c>
      <c r="D2356" s="212" t="n"/>
      <c r="E2356" s="75">
        <f>+C2356&amp;F2356</f>
        <v/>
      </c>
      <c r="F2356" s="80" t="n"/>
      <c r="G2356" s="81" t="n"/>
      <c r="H2356" s="78" t="n"/>
      <c r="I2356" s="78" t="n"/>
      <c r="J2356" s="78" t="n"/>
    </row>
    <row r="2357">
      <c r="A2357" s="84">
        <f>ROW()-6</f>
        <v/>
      </c>
      <c r="B2357" s="85">
        <f>+MATCH(D2357,ARTICULOS!$F$10:$F$699,0)</f>
        <v/>
      </c>
      <c r="C2357" s="86">
        <f>+VLOOKUP(B2357,ARTICULOS!$D$10:$I$699,6)</f>
        <v/>
      </c>
      <c r="D2357" s="212" t="n"/>
      <c r="E2357" s="75">
        <f>+C2357&amp;F2357</f>
        <v/>
      </c>
      <c r="F2357" s="80" t="n"/>
      <c r="G2357" s="81" t="n"/>
      <c r="H2357" s="78" t="n"/>
      <c r="I2357" s="78" t="n"/>
      <c r="J2357" s="78" t="n"/>
    </row>
    <row r="2358">
      <c r="A2358" s="84">
        <f>ROW()-6</f>
        <v/>
      </c>
      <c r="B2358" s="85">
        <f>+MATCH(D2358,ARTICULOS!$F$10:$F$699,0)</f>
        <v/>
      </c>
      <c r="C2358" s="86">
        <f>+VLOOKUP(B2358,ARTICULOS!$D$10:$I$699,6)</f>
        <v/>
      </c>
      <c r="D2358" s="212" t="n"/>
      <c r="E2358" s="75">
        <f>+C2358&amp;F2358</f>
        <v/>
      </c>
      <c r="F2358" s="80" t="n"/>
      <c r="G2358" s="81" t="n"/>
      <c r="H2358" s="78" t="n"/>
      <c r="I2358" s="78" t="n"/>
      <c r="J2358" s="78" t="n"/>
    </row>
    <row r="2359">
      <c r="A2359" s="84">
        <f>ROW()-6</f>
        <v/>
      </c>
      <c r="B2359" s="85">
        <f>+MATCH(D2359,ARTICULOS!$F$10:$F$699,0)</f>
        <v/>
      </c>
      <c r="C2359" s="86">
        <f>+VLOOKUP(B2359,ARTICULOS!$D$10:$I$699,6)</f>
        <v/>
      </c>
      <c r="D2359" s="212" t="n"/>
      <c r="E2359" s="75">
        <f>+C2359&amp;F2359</f>
        <v/>
      </c>
      <c r="F2359" s="80" t="n"/>
      <c r="G2359" s="81" t="n"/>
      <c r="H2359" s="78" t="n"/>
      <c r="I2359" s="78" t="n"/>
      <c r="J2359" s="78" t="n"/>
    </row>
    <row r="2360">
      <c r="A2360" s="84">
        <f>ROW()-6</f>
        <v/>
      </c>
      <c r="B2360" s="85">
        <f>+MATCH(D2360,ARTICULOS!$F$10:$F$699,0)</f>
        <v/>
      </c>
      <c r="C2360" s="86">
        <f>+VLOOKUP(B2360,ARTICULOS!$D$10:$I$699,6)</f>
        <v/>
      </c>
      <c r="D2360" s="212" t="n"/>
      <c r="E2360" s="75">
        <f>+C2360&amp;F2360</f>
        <v/>
      </c>
      <c r="F2360" s="80" t="n"/>
      <c r="G2360" s="81" t="n"/>
      <c r="H2360" s="78" t="n"/>
      <c r="I2360" s="78" t="n"/>
      <c r="J2360" s="78" t="n"/>
    </row>
    <row r="2361">
      <c r="A2361" s="84">
        <f>ROW()-6</f>
        <v/>
      </c>
      <c r="B2361" s="85">
        <f>+MATCH(D2361,ARTICULOS!$F$10:$F$699,0)</f>
        <v/>
      </c>
      <c r="C2361" s="86">
        <f>+VLOOKUP(B2361,ARTICULOS!$D$10:$I$699,6)</f>
        <v/>
      </c>
      <c r="D2361" s="212" t="n"/>
      <c r="E2361" s="75">
        <f>+C2361&amp;F2361</f>
        <v/>
      </c>
      <c r="F2361" s="80" t="n"/>
      <c r="G2361" s="81" t="n"/>
      <c r="H2361" s="78" t="n"/>
      <c r="I2361" s="78" t="n"/>
      <c r="J2361" s="78" t="n"/>
    </row>
    <row r="2362">
      <c r="A2362" s="84">
        <f>ROW()-6</f>
        <v/>
      </c>
      <c r="B2362" s="85">
        <f>+MATCH(D2362,ARTICULOS!$F$10:$F$699,0)</f>
        <v/>
      </c>
      <c r="C2362" s="86">
        <f>+VLOOKUP(B2362,ARTICULOS!$D$10:$I$699,6)</f>
        <v/>
      </c>
      <c r="D2362" s="212" t="n"/>
      <c r="E2362" s="75">
        <f>+C2362&amp;F2362</f>
        <v/>
      </c>
      <c r="F2362" s="80" t="n"/>
      <c r="G2362" s="81" t="n"/>
      <c r="H2362" s="78" t="n"/>
      <c r="I2362" s="78" t="n"/>
      <c r="J2362" s="78" t="n"/>
    </row>
    <row r="2363">
      <c r="A2363" s="84">
        <f>ROW()-6</f>
        <v/>
      </c>
      <c r="B2363" s="85">
        <f>+MATCH(D2363,ARTICULOS!$F$10:$F$699,0)</f>
        <v/>
      </c>
      <c r="C2363" s="86">
        <f>+VLOOKUP(B2363,ARTICULOS!$D$10:$I$699,6)</f>
        <v/>
      </c>
      <c r="D2363" s="212" t="n"/>
      <c r="E2363" s="75">
        <f>+C2363&amp;F2363</f>
        <v/>
      </c>
      <c r="F2363" s="80" t="n"/>
      <c r="G2363" s="81" t="n"/>
      <c r="H2363" s="78" t="n"/>
      <c r="I2363" s="78" t="n"/>
      <c r="J2363" s="78" t="n"/>
    </row>
    <row r="2364">
      <c r="A2364" s="84">
        <f>ROW()-6</f>
        <v/>
      </c>
      <c r="B2364" s="85">
        <f>+MATCH(D2364,ARTICULOS!$F$10:$F$699,0)</f>
        <v/>
      </c>
      <c r="C2364" s="86">
        <f>+VLOOKUP(B2364,ARTICULOS!$D$10:$I$699,6)</f>
        <v/>
      </c>
      <c r="D2364" s="212" t="n"/>
      <c r="E2364" s="75">
        <f>+C2364&amp;F2364</f>
        <v/>
      </c>
      <c r="F2364" s="80" t="n"/>
      <c r="G2364" s="81" t="n"/>
      <c r="H2364" s="78" t="n"/>
      <c r="I2364" s="78" t="n"/>
      <c r="J2364" s="78" t="n"/>
    </row>
    <row r="2365">
      <c r="A2365" s="84">
        <f>ROW()-6</f>
        <v/>
      </c>
      <c r="B2365" s="85">
        <f>+MATCH(D2365,ARTICULOS!$F$10:$F$699,0)</f>
        <v/>
      </c>
      <c r="C2365" s="86">
        <f>+VLOOKUP(B2365,ARTICULOS!$D$10:$I$699,6)</f>
        <v/>
      </c>
      <c r="D2365" s="212" t="n"/>
      <c r="E2365" s="75">
        <f>+C2365&amp;F2365</f>
        <v/>
      </c>
      <c r="F2365" s="80" t="n"/>
      <c r="G2365" s="81" t="n"/>
      <c r="H2365" s="78" t="n"/>
      <c r="I2365" s="78" t="n"/>
      <c r="J2365" s="78" t="n"/>
    </row>
    <row r="2366">
      <c r="A2366" s="84">
        <f>ROW()-6</f>
        <v/>
      </c>
      <c r="B2366" s="85">
        <f>+MATCH(D2366,ARTICULOS!$F$10:$F$699,0)</f>
        <v/>
      </c>
      <c r="C2366" s="86">
        <f>+VLOOKUP(B2366,ARTICULOS!$D$10:$I$699,6)</f>
        <v/>
      </c>
      <c r="D2366" s="212" t="n"/>
      <c r="E2366" s="75">
        <f>+C2366&amp;F2366</f>
        <v/>
      </c>
      <c r="F2366" s="80" t="n"/>
      <c r="G2366" s="81" t="n"/>
      <c r="H2366" s="78" t="n"/>
      <c r="I2366" s="78" t="n"/>
      <c r="J2366" s="78" t="n"/>
    </row>
    <row r="2367">
      <c r="A2367" s="84">
        <f>ROW()-6</f>
        <v/>
      </c>
      <c r="B2367" s="85">
        <f>+MATCH(D2367,ARTICULOS!$F$10:$F$699,0)</f>
        <v/>
      </c>
      <c r="C2367" s="86">
        <f>+VLOOKUP(B2367,ARTICULOS!$D$10:$I$699,6)</f>
        <v/>
      </c>
      <c r="D2367" s="212" t="n"/>
      <c r="E2367" s="75">
        <f>+C2367&amp;F2367</f>
        <v/>
      </c>
      <c r="F2367" s="80" t="n"/>
      <c r="G2367" s="81" t="n"/>
      <c r="H2367" s="78" t="n"/>
      <c r="I2367" s="78" t="n"/>
      <c r="J2367" s="78" t="n"/>
    </row>
    <row r="2368">
      <c r="A2368" s="84">
        <f>ROW()-6</f>
        <v/>
      </c>
      <c r="B2368" s="85">
        <f>+MATCH(D2368,ARTICULOS!$F$10:$F$699,0)</f>
        <v/>
      </c>
      <c r="C2368" s="86">
        <f>+VLOOKUP(B2368,ARTICULOS!$D$10:$I$699,6)</f>
        <v/>
      </c>
      <c r="D2368" s="212" t="n"/>
      <c r="E2368" s="75">
        <f>+C2368&amp;F2368</f>
        <v/>
      </c>
      <c r="F2368" s="80" t="n"/>
      <c r="G2368" s="81" t="n"/>
      <c r="H2368" s="78" t="n"/>
      <c r="I2368" s="78" t="n"/>
      <c r="J2368" s="78" t="n"/>
    </row>
    <row r="2369">
      <c r="A2369" s="84">
        <f>ROW()-6</f>
        <v/>
      </c>
      <c r="B2369" s="85">
        <f>+MATCH(D2369,ARTICULOS!$F$10:$F$699,0)</f>
        <v/>
      </c>
      <c r="C2369" s="86">
        <f>+VLOOKUP(B2369,ARTICULOS!$D$10:$I$699,6)</f>
        <v/>
      </c>
      <c r="D2369" s="212" t="n"/>
      <c r="E2369" s="75">
        <f>+C2369&amp;F2369</f>
        <v/>
      </c>
      <c r="F2369" s="80" t="n"/>
      <c r="G2369" s="81" t="n"/>
      <c r="H2369" s="78" t="n"/>
      <c r="I2369" s="78" t="n"/>
      <c r="J2369" s="78" t="n"/>
    </row>
    <row r="2370">
      <c r="A2370" s="84">
        <f>ROW()-6</f>
        <v/>
      </c>
      <c r="B2370" s="85">
        <f>+MATCH(D2370,ARTICULOS!$F$10:$F$699,0)</f>
        <v/>
      </c>
      <c r="C2370" s="86">
        <f>+VLOOKUP(B2370,ARTICULOS!$D$10:$I$699,6)</f>
        <v/>
      </c>
      <c r="D2370" s="212" t="n"/>
      <c r="E2370" s="75">
        <f>+C2370&amp;F2370</f>
        <v/>
      </c>
      <c r="F2370" s="80" t="n"/>
      <c r="G2370" s="81" t="n"/>
      <c r="H2370" s="78" t="n"/>
      <c r="I2370" s="78" t="n"/>
      <c r="J2370" s="78" t="n"/>
    </row>
    <row r="2371">
      <c r="A2371" s="84">
        <f>ROW()-6</f>
        <v/>
      </c>
      <c r="B2371" s="85">
        <f>+MATCH(D2371,ARTICULOS!$F$10:$F$699,0)</f>
        <v/>
      </c>
      <c r="C2371" s="86">
        <f>+VLOOKUP(B2371,ARTICULOS!$D$10:$I$699,6)</f>
        <v/>
      </c>
      <c r="D2371" s="212" t="n"/>
      <c r="E2371" s="75">
        <f>+C2371&amp;F2371</f>
        <v/>
      </c>
      <c r="F2371" s="80" t="n"/>
      <c r="G2371" s="81" t="n"/>
      <c r="H2371" s="78" t="n"/>
      <c r="I2371" s="78" t="n"/>
      <c r="J2371" s="78" t="n"/>
    </row>
    <row r="2372">
      <c r="A2372" s="84">
        <f>ROW()-6</f>
        <v/>
      </c>
      <c r="B2372" s="85">
        <f>+MATCH(D2372,ARTICULOS!$F$10:$F$699,0)</f>
        <v/>
      </c>
      <c r="C2372" s="86">
        <f>+VLOOKUP(B2372,ARTICULOS!$D$10:$I$699,6)</f>
        <v/>
      </c>
      <c r="D2372" s="212" t="n"/>
      <c r="E2372" s="75">
        <f>+C2372&amp;F2372</f>
        <v/>
      </c>
      <c r="F2372" s="80" t="n"/>
      <c r="G2372" s="81" t="n"/>
      <c r="H2372" s="78" t="n"/>
      <c r="I2372" s="78" t="n"/>
      <c r="J2372" s="78" t="n"/>
    </row>
    <row r="2373">
      <c r="A2373" s="84">
        <f>ROW()-6</f>
        <v/>
      </c>
      <c r="B2373" s="85">
        <f>+MATCH(D2373,ARTICULOS!$F$10:$F$699,0)</f>
        <v/>
      </c>
      <c r="C2373" s="86">
        <f>+VLOOKUP(B2373,ARTICULOS!$D$10:$I$699,6)</f>
        <v/>
      </c>
      <c r="D2373" s="212" t="n"/>
      <c r="E2373" s="75">
        <f>+C2373&amp;F2373</f>
        <v/>
      </c>
      <c r="F2373" s="80" t="n"/>
      <c r="G2373" s="81" t="n"/>
      <c r="H2373" s="78" t="n"/>
      <c r="I2373" s="78" t="n"/>
      <c r="J2373" s="78" t="n"/>
    </row>
    <row r="2374">
      <c r="A2374" s="84">
        <f>ROW()-6</f>
        <v/>
      </c>
      <c r="B2374" s="85">
        <f>+MATCH(D2374,ARTICULOS!$F$10:$F$699,0)</f>
        <v/>
      </c>
      <c r="C2374" s="86">
        <f>+VLOOKUP(B2374,ARTICULOS!$D$10:$I$699,6)</f>
        <v/>
      </c>
      <c r="D2374" s="212" t="n"/>
      <c r="E2374" s="75">
        <f>+C2374&amp;F2374</f>
        <v/>
      </c>
      <c r="F2374" s="80" t="n"/>
      <c r="G2374" s="81" t="n"/>
      <c r="H2374" s="78" t="n"/>
      <c r="I2374" s="78" t="n"/>
      <c r="J2374" s="78" t="n"/>
    </row>
    <row r="2375">
      <c r="A2375" s="84">
        <f>ROW()-6</f>
        <v/>
      </c>
      <c r="B2375" s="85">
        <f>+MATCH(D2375,ARTICULOS!$F$10:$F$699,0)</f>
        <v/>
      </c>
      <c r="C2375" s="86">
        <f>+VLOOKUP(B2375,ARTICULOS!$D$10:$I$699,6)</f>
        <v/>
      </c>
      <c r="D2375" s="212" t="n"/>
      <c r="E2375" s="75">
        <f>+C2375&amp;F2375</f>
        <v/>
      </c>
      <c r="F2375" s="80" t="n"/>
      <c r="G2375" s="81" t="n"/>
      <c r="H2375" s="78" t="n"/>
      <c r="I2375" s="78" t="n"/>
      <c r="J2375" s="78" t="n"/>
    </row>
    <row r="2376">
      <c r="A2376" s="84">
        <f>ROW()-6</f>
        <v/>
      </c>
      <c r="B2376" s="85">
        <f>+MATCH(D2376,ARTICULOS!$F$10:$F$699,0)</f>
        <v/>
      </c>
      <c r="C2376" s="86">
        <f>+VLOOKUP(B2376,ARTICULOS!$D$10:$I$699,6)</f>
        <v/>
      </c>
      <c r="D2376" s="212" t="n"/>
      <c r="E2376" s="75">
        <f>+C2376&amp;F2376</f>
        <v/>
      </c>
      <c r="F2376" s="80" t="n"/>
      <c r="G2376" s="81" t="n"/>
      <c r="H2376" s="78" t="n"/>
      <c r="I2376" s="78" t="n"/>
      <c r="J2376" s="78" t="n"/>
    </row>
    <row r="2377">
      <c r="A2377" s="84">
        <f>ROW()-6</f>
        <v/>
      </c>
      <c r="B2377" s="85">
        <f>+MATCH(D2377,ARTICULOS!$F$10:$F$699,0)</f>
        <v/>
      </c>
      <c r="C2377" s="86">
        <f>+VLOOKUP(B2377,ARTICULOS!$D$10:$I$699,6)</f>
        <v/>
      </c>
      <c r="D2377" s="212" t="n"/>
      <c r="E2377" s="75">
        <f>+C2377&amp;F2377</f>
        <v/>
      </c>
      <c r="F2377" s="80" t="n"/>
      <c r="G2377" s="81" t="n"/>
      <c r="H2377" s="78" t="n"/>
      <c r="I2377" s="78" t="n"/>
      <c r="J2377" s="78" t="n"/>
    </row>
    <row r="2378">
      <c r="A2378" s="84">
        <f>ROW()-6</f>
        <v/>
      </c>
      <c r="B2378" s="85">
        <f>+MATCH(D2378,ARTICULOS!$F$10:$F$699,0)</f>
        <v/>
      </c>
      <c r="C2378" s="86">
        <f>+VLOOKUP(B2378,ARTICULOS!$D$10:$I$699,6)</f>
        <v/>
      </c>
      <c r="D2378" s="212" t="n"/>
      <c r="E2378" s="75">
        <f>+C2378&amp;F2378</f>
        <v/>
      </c>
      <c r="F2378" s="80" t="n"/>
      <c r="G2378" s="81" t="n"/>
      <c r="H2378" s="78" t="n"/>
      <c r="I2378" s="78" t="n"/>
      <c r="J2378" s="78" t="n"/>
    </row>
    <row r="2379">
      <c r="A2379" s="84">
        <f>ROW()-6</f>
        <v/>
      </c>
      <c r="B2379" s="85">
        <f>+MATCH(D2379,ARTICULOS!$F$10:$F$699,0)</f>
        <v/>
      </c>
      <c r="C2379" s="86">
        <f>+VLOOKUP(B2379,ARTICULOS!$D$10:$I$699,6)</f>
        <v/>
      </c>
      <c r="D2379" s="212" t="n"/>
      <c r="E2379" s="75">
        <f>+C2379&amp;F2379</f>
        <v/>
      </c>
      <c r="F2379" s="80" t="n"/>
      <c r="G2379" s="81" t="n"/>
      <c r="H2379" s="78" t="n"/>
      <c r="I2379" s="78" t="n"/>
      <c r="J2379" s="78" t="n"/>
    </row>
    <row r="2380">
      <c r="A2380" s="84">
        <f>ROW()-6</f>
        <v/>
      </c>
      <c r="B2380" s="85">
        <f>+MATCH(D2380,ARTICULOS!$F$10:$F$699,0)</f>
        <v/>
      </c>
      <c r="C2380" s="86">
        <f>+VLOOKUP(B2380,ARTICULOS!$D$10:$I$699,6)</f>
        <v/>
      </c>
      <c r="D2380" s="212" t="n"/>
      <c r="E2380" s="75">
        <f>+C2380&amp;F2380</f>
        <v/>
      </c>
      <c r="F2380" s="80" t="n"/>
      <c r="G2380" s="81" t="n"/>
      <c r="H2380" s="78" t="n"/>
      <c r="I2380" s="78" t="n"/>
      <c r="J2380" s="78" t="n"/>
    </row>
    <row r="2381">
      <c r="A2381" s="84">
        <f>ROW()-6</f>
        <v/>
      </c>
      <c r="B2381" s="85">
        <f>+MATCH(D2381,ARTICULOS!$F$10:$F$699,0)</f>
        <v/>
      </c>
      <c r="C2381" s="86">
        <f>+VLOOKUP(B2381,ARTICULOS!$D$10:$I$699,6)</f>
        <v/>
      </c>
      <c r="D2381" s="212" t="n"/>
      <c r="E2381" s="75">
        <f>+C2381&amp;F2381</f>
        <v/>
      </c>
      <c r="F2381" s="80" t="n"/>
      <c r="G2381" s="81" t="n"/>
      <c r="H2381" s="78" t="n"/>
      <c r="I2381" s="78" t="n"/>
      <c r="J2381" s="78" t="n"/>
    </row>
    <row r="2382">
      <c r="A2382" s="84">
        <f>ROW()-6</f>
        <v/>
      </c>
      <c r="B2382" s="85">
        <f>+MATCH(D2382,ARTICULOS!$F$10:$F$699,0)</f>
        <v/>
      </c>
      <c r="C2382" s="86">
        <f>+VLOOKUP(B2382,ARTICULOS!$D$10:$I$699,6)</f>
        <v/>
      </c>
      <c r="D2382" s="212" t="n"/>
      <c r="E2382" s="75">
        <f>+C2382&amp;F2382</f>
        <v/>
      </c>
      <c r="F2382" s="80" t="n"/>
      <c r="G2382" s="81" t="n"/>
      <c r="H2382" s="78" t="n"/>
      <c r="I2382" s="78" t="n"/>
      <c r="J2382" s="78" t="n"/>
    </row>
    <row r="2383">
      <c r="A2383" s="84">
        <f>ROW()-6</f>
        <v/>
      </c>
      <c r="B2383" s="85">
        <f>+MATCH(D2383,ARTICULOS!$F$10:$F$699,0)</f>
        <v/>
      </c>
      <c r="C2383" s="86">
        <f>+VLOOKUP(B2383,ARTICULOS!$D$10:$I$699,6)</f>
        <v/>
      </c>
      <c r="D2383" s="212" t="n"/>
      <c r="E2383" s="75">
        <f>+C2383&amp;F2383</f>
        <v/>
      </c>
      <c r="F2383" s="80" t="n"/>
      <c r="G2383" s="81" t="n"/>
      <c r="H2383" s="78" t="n"/>
      <c r="I2383" s="78" t="n"/>
      <c r="J2383" s="78" t="n"/>
    </row>
    <row r="2384">
      <c r="A2384" s="84">
        <f>ROW()-6</f>
        <v/>
      </c>
      <c r="B2384" s="85">
        <f>+MATCH(D2384,ARTICULOS!$F$10:$F$699,0)</f>
        <v/>
      </c>
      <c r="C2384" s="86">
        <f>+VLOOKUP(B2384,ARTICULOS!$D$10:$I$699,6)</f>
        <v/>
      </c>
      <c r="D2384" s="212" t="n"/>
      <c r="E2384" s="75">
        <f>+C2384&amp;F2384</f>
        <v/>
      </c>
      <c r="F2384" s="80" t="n"/>
      <c r="G2384" s="81" t="n"/>
      <c r="H2384" s="78" t="n"/>
      <c r="I2384" s="78" t="n"/>
      <c r="J2384" s="78" t="n"/>
    </row>
    <row r="2385">
      <c r="A2385" s="84">
        <f>ROW()-6</f>
        <v/>
      </c>
      <c r="B2385" s="85">
        <f>+MATCH(D2385,ARTICULOS!$F$10:$F$699,0)</f>
        <v/>
      </c>
      <c r="C2385" s="86">
        <f>+VLOOKUP(B2385,ARTICULOS!$D$10:$I$699,6)</f>
        <v/>
      </c>
      <c r="D2385" s="212" t="n"/>
      <c r="E2385" s="75">
        <f>+C2385&amp;F2385</f>
        <v/>
      </c>
      <c r="F2385" s="80" t="n"/>
      <c r="G2385" s="81" t="n"/>
      <c r="H2385" s="78" t="n"/>
      <c r="I2385" s="78" t="n"/>
      <c r="J2385" s="78" t="n"/>
    </row>
    <row r="2386">
      <c r="A2386" s="84">
        <f>ROW()-6</f>
        <v/>
      </c>
      <c r="B2386" s="85">
        <f>+MATCH(D2386,ARTICULOS!$F$10:$F$699,0)</f>
        <v/>
      </c>
      <c r="C2386" s="86">
        <f>+VLOOKUP(B2386,ARTICULOS!$D$10:$I$699,6)</f>
        <v/>
      </c>
      <c r="D2386" s="212" t="n"/>
      <c r="E2386" s="75">
        <f>+C2386&amp;F2386</f>
        <v/>
      </c>
      <c r="F2386" s="80" t="n"/>
      <c r="G2386" s="81" t="n"/>
      <c r="H2386" s="78" t="n"/>
      <c r="I2386" s="78" t="n"/>
      <c r="J2386" s="78" t="n"/>
    </row>
    <row r="2387">
      <c r="A2387" s="84">
        <f>ROW()-6</f>
        <v/>
      </c>
      <c r="B2387" s="85">
        <f>+MATCH(D2387,ARTICULOS!$F$10:$F$699,0)</f>
        <v/>
      </c>
      <c r="C2387" s="86">
        <f>+VLOOKUP(B2387,ARTICULOS!$D$10:$I$699,6)</f>
        <v/>
      </c>
      <c r="D2387" s="212" t="n"/>
      <c r="E2387" s="75">
        <f>+C2387&amp;F2387</f>
        <v/>
      </c>
      <c r="F2387" s="80" t="n"/>
      <c r="G2387" s="81" t="n"/>
      <c r="H2387" s="78" t="n"/>
      <c r="I2387" s="78" t="n"/>
      <c r="J2387" s="78" t="n"/>
    </row>
    <row r="2388">
      <c r="A2388" s="84">
        <f>ROW()-6</f>
        <v/>
      </c>
      <c r="B2388" s="85">
        <f>+MATCH(D2388,ARTICULOS!$F$10:$F$699,0)</f>
        <v/>
      </c>
      <c r="C2388" s="86">
        <f>+VLOOKUP(B2388,ARTICULOS!$D$10:$I$699,6)</f>
        <v/>
      </c>
      <c r="D2388" s="212" t="n"/>
      <c r="E2388" s="75">
        <f>+C2388&amp;F2388</f>
        <v/>
      </c>
      <c r="F2388" s="80" t="n"/>
      <c r="G2388" s="81" t="n"/>
      <c r="H2388" s="78" t="n"/>
      <c r="I2388" s="78" t="n"/>
      <c r="J2388" s="78" t="n"/>
    </row>
    <row r="2389">
      <c r="A2389" s="84">
        <f>ROW()-6</f>
        <v/>
      </c>
      <c r="B2389" s="85">
        <f>+MATCH(D2389,ARTICULOS!$F$10:$F$699,0)</f>
        <v/>
      </c>
      <c r="C2389" s="86">
        <f>+VLOOKUP(B2389,ARTICULOS!$D$10:$I$699,6)</f>
        <v/>
      </c>
      <c r="D2389" s="212" t="n"/>
      <c r="E2389" s="75">
        <f>+C2389&amp;F2389</f>
        <v/>
      </c>
      <c r="F2389" s="80" t="n"/>
      <c r="G2389" s="81" t="n"/>
      <c r="H2389" s="78" t="n"/>
      <c r="I2389" s="78" t="n"/>
      <c r="J2389" s="78" t="n"/>
    </row>
    <row r="2390">
      <c r="A2390" s="84">
        <f>ROW()-6</f>
        <v/>
      </c>
      <c r="B2390" s="85">
        <f>+MATCH(D2390,ARTICULOS!$F$10:$F$699,0)</f>
        <v/>
      </c>
      <c r="C2390" s="86">
        <f>+VLOOKUP(B2390,ARTICULOS!$D$10:$I$699,6)</f>
        <v/>
      </c>
      <c r="D2390" s="212" t="n"/>
      <c r="E2390" s="75">
        <f>+C2390&amp;F2390</f>
        <v/>
      </c>
      <c r="F2390" s="80" t="n"/>
      <c r="G2390" s="81" t="n"/>
      <c r="H2390" s="78" t="n"/>
      <c r="I2390" s="78" t="n"/>
      <c r="J2390" s="78" t="n"/>
    </row>
    <row r="2391">
      <c r="A2391" s="84">
        <f>ROW()-6</f>
        <v/>
      </c>
      <c r="B2391" s="85">
        <f>+MATCH(D2391,ARTICULOS!$F$10:$F$699,0)</f>
        <v/>
      </c>
      <c r="C2391" s="86">
        <f>+VLOOKUP(B2391,ARTICULOS!$D$10:$I$699,6)</f>
        <v/>
      </c>
      <c r="D2391" s="212" t="n"/>
      <c r="E2391" s="75">
        <f>+C2391&amp;F2391</f>
        <v/>
      </c>
      <c r="F2391" s="80" t="n"/>
      <c r="G2391" s="81" t="n"/>
      <c r="H2391" s="78" t="n"/>
      <c r="I2391" s="78" t="n"/>
      <c r="J2391" s="78" t="n"/>
    </row>
    <row r="2392">
      <c r="A2392" s="84">
        <f>ROW()-6</f>
        <v/>
      </c>
      <c r="B2392" s="85">
        <f>+MATCH(D2392,ARTICULOS!$F$10:$F$699,0)</f>
        <v/>
      </c>
      <c r="C2392" s="86">
        <f>+VLOOKUP(B2392,ARTICULOS!$D$10:$I$699,6)</f>
        <v/>
      </c>
      <c r="D2392" s="212" t="n"/>
      <c r="E2392" s="75">
        <f>+C2392&amp;F2392</f>
        <v/>
      </c>
      <c r="F2392" s="80" t="n"/>
      <c r="G2392" s="81" t="n"/>
      <c r="H2392" s="78" t="n"/>
      <c r="I2392" s="78" t="n"/>
      <c r="J2392" s="78" t="n"/>
    </row>
    <row r="2393">
      <c r="A2393" s="84">
        <f>ROW()-6</f>
        <v/>
      </c>
      <c r="B2393" s="85">
        <f>+MATCH(D2393,ARTICULOS!$F$10:$F$699,0)</f>
        <v/>
      </c>
      <c r="C2393" s="86">
        <f>+VLOOKUP(B2393,ARTICULOS!$D$10:$I$699,6)</f>
        <v/>
      </c>
      <c r="D2393" s="212" t="n"/>
      <c r="E2393" s="75">
        <f>+C2393&amp;F2393</f>
        <v/>
      </c>
      <c r="F2393" s="80" t="n"/>
      <c r="G2393" s="81" t="n"/>
      <c r="H2393" s="78" t="n"/>
      <c r="I2393" s="78" t="n"/>
      <c r="J2393" s="78" t="n"/>
    </row>
    <row r="2394">
      <c r="A2394" s="84">
        <f>ROW()-6</f>
        <v/>
      </c>
      <c r="B2394" s="85">
        <f>+MATCH(D2394,ARTICULOS!$F$10:$F$699,0)</f>
        <v/>
      </c>
      <c r="C2394" s="86">
        <f>+VLOOKUP(B2394,ARTICULOS!$D$10:$I$699,6)</f>
        <v/>
      </c>
      <c r="D2394" s="212" t="n"/>
      <c r="E2394" s="75">
        <f>+C2394&amp;F2394</f>
        <v/>
      </c>
      <c r="F2394" s="80" t="n"/>
      <c r="G2394" s="81" t="n"/>
      <c r="H2394" s="78" t="n"/>
      <c r="I2394" s="78" t="n"/>
      <c r="J2394" s="78" t="n"/>
    </row>
    <row r="2395">
      <c r="A2395" s="84">
        <f>ROW()-6</f>
        <v/>
      </c>
      <c r="B2395" s="85">
        <f>+MATCH(D2395,ARTICULOS!$F$10:$F$699,0)</f>
        <v/>
      </c>
      <c r="C2395" s="86">
        <f>+VLOOKUP(B2395,ARTICULOS!$D$10:$I$699,6)</f>
        <v/>
      </c>
      <c r="D2395" s="212" t="n"/>
      <c r="E2395" s="75">
        <f>+C2395&amp;F2395</f>
        <v/>
      </c>
      <c r="F2395" s="80" t="n"/>
      <c r="G2395" s="81" t="n"/>
      <c r="H2395" s="78" t="n"/>
      <c r="I2395" s="78" t="n"/>
      <c r="J2395" s="78" t="n"/>
    </row>
    <row r="2396">
      <c r="A2396" s="84">
        <f>ROW()-6</f>
        <v/>
      </c>
      <c r="B2396" s="85">
        <f>+MATCH(D2396,ARTICULOS!$F$10:$F$699,0)</f>
        <v/>
      </c>
      <c r="C2396" s="86">
        <f>+VLOOKUP(B2396,ARTICULOS!$D$10:$I$699,6)</f>
        <v/>
      </c>
      <c r="D2396" s="212" t="n"/>
      <c r="E2396" s="75">
        <f>+C2396&amp;F2396</f>
        <v/>
      </c>
      <c r="F2396" s="80" t="n"/>
      <c r="G2396" s="81" t="n"/>
      <c r="H2396" s="78" t="n"/>
      <c r="I2396" s="78" t="n"/>
      <c r="J2396" s="78" t="n"/>
    </row>
    <row r="2397">
      <c r="A2397" s="84">
        <f>ROW()-6</f>
        <v/>
      </c>
      <c r="B2397" s="85">
        <f>+MATCH(D2397,ARTICULOS!$F$10:$F$699,0)</f>
        <v/>
      </c>
      <c r="C2397" s="86">
        <f>+VLOOKUP(B2397,ARTICULOS!$D$10:$I$699,6)</f>
        <v/>
      </c>
      <c r="D2397" s="212" t="n"/>
      <c r="E2397" s="75">
        <f>+C2397&amp;F2397</f>
        <v/>
      </c>
      <c r="F2397" s="80" t="n"/>
      <c r="G2397" s="81" t="n"/>
      <c r="H2397" s="78" t="n"/>
      <c r="I2397" s="78" t="n"/>
      <c r="J2397" s="78" t="n"/>
    </row>
    <row r="2398">
      <c r="A2398" s="84">
        <f>ROW()-6</f>
        <v/>
      </c>
      <c r="B2398" s="85">
        <f>+MATCH(D2398,ARTICULOS!$F$10:$F$699,0)</f>
        <v/>
      </c>
      <c r="C2398" s="86">
        <f>+VLOOKUP(B2398,ARTICULOS!$D$10:$I$699,6)</f>
        <v/>
      </c>
      <c r="D2398" s="212" t="n"/>
      <c r="E2398" s="75">
        <f>+C2398&amp;F2398</f>
        <v/>
      </c>
      <c r="F2398" s="80" t="n"/>
      <c r="G2398" s="81" t="n"/>
      <c r="H2398" s="78" t="n"/>
      <c r="I2398" s="78" t="n"/>
      <c r="J2398" s="78" t="n"/>
    </row>
    <row r="2399">
      <c r="A2399" s="84">
        <f>ROW()-6</f>
        <v/>
      </c>
      <c r="B2399" s="85">
        <f>+MATCH(D2399,ARTICULOS!$F$10:$F$699,0)</f>
        <v/>
      </c>
      <c r="C2399" s="86">
        <f>+VLOOKUP(B2399,ARTICULOS!$D$10:$I$699,6)</f>
        <v/>
      </c>
      <c r="D2399" s="212" t="n"/>
      <c r="E2399" s="75">
        <f>+C2399&amp;F2399</f>
        <v/>
      </c>
      <c r="F2399" s="80" t="n"/>
      <c r="G2399" s="81" t="n"/>
      <c r="H2399" s="78" t="n"/>
      <c r="I2399" s="78" t="n"/>
      <c r="J2399" s="78" t="n"/>
    </row>
    <row r="2400">
      <c r="A2400" s="84">
        <f>ROW()-6</f>
        <v/>
      </c>
      <c r="B2400" s="85">
        <f>+MATCH(D2400,ARTICULOS!$F$10:$F$699,0)</f>
        <v/>
      </c>
      <c r="C2400" s="86">
        <f>+VLOOKUP(B2400,ARTICULOS!$D$10:$I$699,6)</f>
        <v/>
      </c>
      <c r="D2400" s="212" t="n"/>
      <c r="E2400" s="75">
        <f>+C2400&amp;F2400</f>
        <v/>
      </c>
      <c r="F2400" s="80" t="n"/>
      <c r="G2400" s="81" t="n"/>
      <c r="H2400" s="78" t="n"/>
      <c r="I2400" s="78" t="n"/>
      <c r="J2400" s="78" t="n"/>
    </row>
    <row r="2401">
      <c r="A2401" s="84">
        <f>ROW()-6</f>
        <v/>
      </c>
      <c r="B2401" s="85">
        <f>+MATCH(D2401,ARTICULOS!$F$10:$F$699,0)</f>
        <v/>
      </c>
      <c r="C2401" s="86">
        <f>+VLOOKUP(B2401,ARTICULOS!$D$10:$I$699,6)</f>
        <v/>
      </c>
      <c r="D2401" s="212" t="n"/>
      <c r="E2401" s="75">
        <f>+C2401&amp;F2401</f>
        <v/>
      </c>
      <c r="F2401" s="80" t="n"/>
      <c r="G2401" s="81" t="n"/>
      <c r="H2401" s="78" t="n"/>
      <c r="I2401" s="78" t="n"/>
      <c r="J2401" s="78" t="n"/>
    </row>
    <row r="2402">
      <c r="A2402" s="84">
        <f>ROW()-6</f>
        <v/>
      </c>
      <c r="B2402" s="85">
        <f>+MATCH(D2402,ARTICULOS!$F$10:$F$699,0)</f>
        <v/>
      </c>
      <c r="C2402" s="86">
        <f>+VLOOKUP(B2402,ARTICULOS!$D$10:$I$699,6)</f>
        <v/>
      </c>
      <c r="D2402" s="212" t="n"/>
      <c r="E2402" s="75">
        <f>+C2402&amp;F2402</f>
        <v/>
      </c>
      <c r="F2402" s="80" t="n"/>
      <c r="G2402" s="81" t="n"/>
      <c r="H2402" s="78" t="n"/>
      <c r="I2402" s="78" t="n"/>
      <c r="J2402" s="78" t="n"/>
    </row>
    <row r="2403">
      <c r="A2403" s="84">
        <f>ROW()-6</f>
        <v/>
      </c>
      <c r="B2403" s="85">
        <f>+MATCH(D2403,ARTICULOS!$F$10:$F$699,0)</f>
        <v/>
      </c>
      <c r="C2403" s="86">
        <f>+VLOOKUP(B2403,ARTICULOS!$D$10:$I$699,6)</f>
        <v/>
      </c>
      <c r="D2403" s="212" t="n"/>
      <c r="E2403" s="75">
        <f>+C2403&amp;F2403</f>
        <v/>
      </c>
      <c r="F2403" s="80" t="n"/>
      <c r="G2403" s="81" t="n"/>
      <c r="H2403" s="78" t="n"/>
      <c r="I2403" s="78" t="n"/>
      <c r="J2403" s="78" t="n"/>
    </row>
    <row r="2404">
      <c r="A2404" s="84">
        <f>ROW()-6</f>
        <v/>
      </c>
      <c r="B2404" s="85">
        <f>+MATCH(D2404,ARTICULOS!$F$10:$F$699,0)</f>
        <v/>
      </c>
      <c r="C2404" s="86">
        <f>+VLOOKUP(B2404,ARTICULOS!$D$10:$I$699,6)</f>
        <v/>
      </c>
      <c r="D2404" s="212" t="n"/>
      <c r="E2404" s="75">
        <f>+C2404&amp;F2404</f>
        <v/>
      </c>
      <c r="F2404" s="80" t="n"/>
      <c r="G2404" s="81" t="n"/>
      <c r="H2404" s="78" t="n"/>
      <c r="I2404" s="78" t="n"/>
      <c r="J2404" s="78" t="n"/>
    </row>
    <row r="2405">
      <c r="A2405" s="84">
        <f>ROW()-6</f>
        <v/>
      </c>
      <c r="B2405" s="85">
        <f>+MATCH(D2405,ARTICULOS!$F$10:$F$699,0)</f>
        <v/>
      </c>
      <c r="C2405" s="86">
        <f>+VLOOKUP(B2405,ARTICULOS!$D$10:$I$699,6)</f>
        <v/>
      </c>
      <c r="D2405" s="212" t="n"/>
      <c r="E2405" s="75">
        <f>+C2405&amp;F2405</f>
        <v/>
      </c>
      <c r="F2405" s="80" t="n"/>
      <c r="G2405" s="81" t="n"/>
      <c r="H2405" s="78" t="n"/>
      <c r="I2405" s="78" t="n"/>
      <c r="J2405" s="78" t="n"/>
    </row>
    <row r="2406">
      <c r="A2406" s="84">
        <f>ROW()-6</f>
        <v/>
      </c>
      <c r="B2406" s="85">
        <f>+MATCH(D2406,ARTICULOS!$F$10:$F$699,0)</f>
        <v/>
      </c>
      <c r="C2406" s="86">
        <f>+VLOOKUP(B2406,ARTICULOS!$D$10:$I$699,6)</f>
        <v/>
      </c>
      <c r="D2406" s="212" t="n"/>
      <c r="E2406" s="75">
        <f>+C2406&amp;F2406</f>
        <v/>
      </c>
      <c r="F2406" s="80" t="n"/>
      <c r="G2406" s="81" t="n"/>
      <c r="H2406" s="78" t="n"/>
      <c r="I2406" s="78" t="n"/>
      <c r="J2406" s="78" t="n"/>
    </row>
    <row r="2407">
      <c r="A2407" s="84">
        <f>ROW()-6</f>
        <v/>
      </c>
      <c r="B2407" s="85">
        <f>+MATCH(D2407,ARTICULOS!$F$10:$F$699,0)</f>
        <v/>
      </c>
      <c r="C2407" s="86">
        <f>+VLOOKUP(B2407,ARTICULOS!$D$10:$I$699,6)</f>
        <v/>
      </c>
      <c r="D2407" s="212" t="n"/>
      <c r="E2407" s="75">
        <f>+C2407&amp;F2407</f>
        <v/>
      </c>
      <c r="F2407" s="80" t="n"/>
      <c r="G2407" s="81" t="n"/>
      <c r="H2407" s="78" t="n"/>
      <c r="I2407" s="78" t="n"/>
      <c r="J2407" s="78" t="n"/>
    </row>
    <row r="2408">
      <c r="A2408" s="84">
        <f>ROW()-6</f>
        <v/>
      </c>
      <c r="B2408" s="85">
        <f>+MATCH(D2408,ARTICULOS!$F$10:$F$699,0)</f>
        <v/>
      </c>
      <c r="C2408" s="86">
        <f>+VLOOKUP(B2408,ARTICULOS!$D$10:$I$699,6)</f>
        <v/>
      </c>
      <c r="D2408" s="212" t="n"/>
      <c r="E2408" s="75">
        <f>+C2408&amp;F2408</f>
        <v/>
      </c>
      <c r="F2408" s="80" t="n"/>
      <c r="G2408" s="81" t="n"/>
      <c r="H2408" s="78" t="n"/>
      <c r="I2408" s="78" t="n"/>
      <c r="J2408" s="78" t="n"/>
    </row>
    <row r="2409">
      <c r="A2409" s="84">
        <f>ROW()-6</f>
        <v/>
      </c>
      <c r="B2409" s="85">
        <f>+MATCH(D2409,ARTICULOS!$F$10:$F$699,0)</f>
        <v/>
      </c>
      <c r="C2409" s="86">
        <f>+VLOOKUP(B2409,ARTICULOS!$D$10:$I$699,6)</f>
        <v/>
      </c>
      <c r="D2409" s="212" t="n"/>
      <c r="E2409" s="75">
        <f>+C2409&amp;F2409</f>
        <v/>
      </c>
      <c r="F2409" s="80" t="n"/>
      <c r="G2409" s="81" t="n"/>
      <c r="H2409" s="78" t="n"/>
      <c r="I2409" s="78" t="n"/>
      <c r="J2409" s="78" t="n"/>
    </row>
    <row r="2410">
      <c r="A2410" s="84">
        <f>ROW()-6</f>
        <v/>
      </c>
      <c r="B2410" s="85">
        <f>+MATCH(D2410,ARTICULOS!$F$10:$F$699,0)</f>
        <v/>
      </c>
      <c r="C2410" s="86">
        <f>+VLOOKUP(B2410,ARTICULOS!$D$10:$I$699,6)</f>
        <v/>
      </c>
      <c r="D2410" s="212" t="n"/>
      <c r="E2410" s="75">
        <f>+C2410&amp;F2410</f>
        <v/>
      </c>
      <c r="F2410" s="80" t="n"/>
      <c r="G2410" s="81" t="n"/>
      <c r="H2410" s="78" t="n"/>
      <c r="I2410" s="78" t="n"/>
      <c r="J2410" s="78" t="n"/>
    </row>
    <row r="2411">
      <c r="A2411" s="84">
        <f>ROW()-6</f>
        <v/>
      </c>
      <c r="B2411" s="85">
        <f>+MATCH(D2411,ARTICULOS!$F$10:$F$699,0)</f>
        <v/>
      </c>
      <c r="C2411" s="86">
        <f>+VLOOKUP(B2411,ARTICULOS!$D$10:$I$699,6)</f>
        <v/>
      </c>
      <c r="D2411" s="212" t="n"/>
      <c r="E2411" s="75">
        <f>+C2411&amp;F2411</f>
        <v/>
      </c>
      <c r="F2411" s="80" t="n"/>
      <c r="G2411" s="81" t="n"/>
      <c r="H2411" s="78" t="n"/>
      <c r="I2411" s="78" t="n"/>
      <c r="J2411" s="78" t="n"/>
    </row>
    <row r="2412">
      <c r="A2412" s="84">
        <f>ROW()-6</f>
        <v/>
      </c>
      <c r="B2412" s="85">
        <f>+MATCH(D2412,ARTICULOS!$F$10:$F$699,0)</f>
        <v/>
      </c>
      <c r="C2412" s="86">
        <f>+VLOOKUP(B2412,ARTICULOS!$D$10:$I$699,6)</f>
        <v/>
      </c>
      <c r="D2412" s="212" t="n"/>
      <c r="E2412" s="75">
        <f>+C2412&amp;F2412</f>
        <v/>
      </c>
      <c r="F2412" s="80" t="n"/>
      <c r="G2412" s="81" t="n"/>
      <c r="H2412" s="78" t="n"/>
      <c r="I2412" s="78" t="n"/>
      <c r="J2412" s="78" t="n"/>
    </row>
    <row r="2413">
      <c r="A2413" s="84">
        <f>ROW()-6</f>
        <v/>
      </c>
      <c r="B2413" s="85">
        <f>+MATCH(D2413,ARTICULOS!$F$10:$F$699,0)</f>
        <v/>
      </c>
      <c r="C2413" s="86">
        <f>+VLOOKUP(B2413,ARTICULOS!$D$10:$I$699,6)</f>
        <v/>
      </c>
      <c r="D2413" s="212" t="n"/>
      <c r="E2413" s="75">
        <f>+C2413&amp;F2413</f>
        <v/>
      </c>
      <c r="F2413" s="80" t="n"/>
      <c r="G2413" s="81" t="n"/>
      <c r="H2413" s="78" t="n"/>
      <c r="I2413" s="78" t="n"/>
      <c r="J2413" s="78" t="n"/>
    </row>
    <row r="2414">
      <c r="A2414" s="84">
        <f>ROW()-6</f>
        <v/>
      </c>
      <c r="B2414" s="85">
        <f>+MATCH(D2414,ARTICULOS!$F$10:$F$699,0)</f>
        <v/>
      </c>
      <c r="C2414" s="86">
        <f>+VLOOKUP(B2414,ARTICULOS!$D$10:$I$699,6)</f>
        <v/>
      </c>
      <c r="D2414" s="212" t="n"/>
      <c r="E2414" s="75">
        <f>+C2414&amp;F2414</f>
        <v/>
      </c>
      <c r="F2414" s="80" t="n"/>
      <c r="G2414" s="81" t="n"/>
      <c r="H2414" s="78" t="n"/>
      <c r="I2414" s="78" t="n"/>
      <c r="J2414" s="78" t="n"/>
    </row>
    <row r="2415">
      <c r="A2415" s="84">
        <f>ROW()-6</f>
        <v/>
      </c>
      <c r="B2415" s="85">
        <f>+MATCH(D2415,ARTICULOS!$F$10:$F$699,0)</f>
        <v/>
      </c>
      <c r="C2415" s="86">
        <f>+VLOOKUP(B2415,ARTICULOS!$D$10:$I$699,6)</f>
        <v/>
      </c>
      <c r="D2415" s="212" t="n"/>
      <c r="E2415" s="75">
        <f>+C2415&amp;F2415</f>
        <v/>
      </c>
      <c r="F2415" s="80" t="n"/>
      <c r="G2415" s="81" t="n"/>
      <c r="H2415" s="78" t="n"/>
      <c r="I2415" s="78" t="n"/>
      <c r="J2415" s="78" t="n"/>
    </row>
    <row r="2416">
      <c r="A2416" s="84">
        <f>ROW()-6</f>
        <v/>
      </c>
      <c r="B2416" s="85">
        <f>+MATCH(D2416,ARTICULOS!$F$10:$F$699,0)</f>
        <v/>
      </c>
      <c r="C2416" s="86">
        <f>+VLOOKUP(B2416,ARTICULOS!$D$10:$I$699,6)</f>
        <v/>
      </c>
      <c r="D2416" s="212" t="n"/>
      <c r="E2416" s="75">
        <f>+C2416&amp;F2416</f>
        <v/>
      </c>
      <c r="F2416" s="80" t="n"/>
      <c r="G2416" s="81" t="n"/>
      <c r="H2416" s="78" t="n"/>
      <c r="I2416" s="78" t="n"/>
      <c r="J2416" s="78" t="n"/>
    </row>
    <row r="2417">
      <c r="A2417" s="84">
        <f>ROW()-6</f>
        <v/>
      </c>
      <c r="B2417" s="85">
        <f>+MATCH(D2417,ARTICULOS!$F$10:$F$699,0)</f>
        <v/>
      </c>
      <c r="C2417" s="86">
        <f>+VLOOKUP(B2417,ARTICULOS!$D$10:$I$699,6)</f>
        <v/>
      </c>
      <c r="D2417" s="212" t="n"/>
      <c r="E2417" s="75">
        <f>+C2417&amp;F2417</f>
        <v/>
      </c>
      <c r="F2417" s="80" t="n"/>
      <c r="G2417" s="81" t="n"/>
      <c r="H2417" s="78" t="n"/>
      <c r="I2417" s="78" t="n"/>
      <c r="J2417" s="78" t="n"/>
    </row>
    <row r="2418">
      <c r="A2418" s="84">
        <f>ROW()-6</f>
        <v/>
      </c>
      <c r="B2418" s="85">
        <f>+MATCH(D2418,ARTICULOS!$F$10:$F$699,0)</f>
        <v/>
      </c>
      <c r="C2418" s="86">
        <f>+VLOOKUP(B2418,ARTICULOS!$D$10:$I$699,6)</f>
        <v/>
      </c>
      <c r="D2418" s="212" t="n"/>
      <c r="E2418" s="75">
        <f>+C2418&amp;F2418</f>
        <v/>
      </c>
      <c r="F2418" s="80" t="n"/>
      <c r="G2418" s="81" t="n"/>
      <c r="H2418" s="78" t="n"/>
      <c r="I2418" s="78" t="n"/>
      <c r="J2418" s="78" t="n"/>
    </row>
    <row r="2419">
      <c r="A2419" s="84">
        <f>ROW()-6</f>
        <v/>
      </c>
      <c r="B2419" s="85">
        <f>+MATCH(D2419,ARTICULOS!$F$10:$F$699,0)</f>
        <v/>
      </c>
      <c r="C2419" s="86">
        <f>+VLOOKUP(B2419,ARTICULOS!$D$10:$I$699,6)</f>
        <v/>
      </c>
      <c r="D2419" s="212" t="n"/>
      <c r="E2419" s="75">
        <f>+C2419&amp;F2419</f>
        <v/>
      </c>
      <c r="F2419" s="80" t="n"/>
      <c r="G2419" s="81" t="n"/>
      <c r="H2419" s="78" t="n"/>
      <c r="I2419" s="78" t="n"/>
      <c r="J2419" s="78" t="n"/>
    </row>
    <row r="2420">
      <c r="A2420" s="84">
        <f>ROW()-6</f>
        <v/>
      </c>
      <c r="B2420" s="85">
        <f>+MATCH(D2420,ARTICULOS!$F$10:$F$699,0)</f>
        <v/>
      </c>
      <c r="C2420" s="86">
        <f>+VLOOKUP(B2420,ARTICULOS!$D$10:$I$699,6)</f>
        <v/>
      </c>
      <c r="D2420" s="212" t="n"/>
      <c r="E2420" s="75">
        <f>+C2420&amp;F2420</f>
        <v/>
      </c>
      <c r="F2420" s="80" t="n"/>
      <c r="G2420" s="81" t="n"/>
      <c r="H2420" s="78" t="n"/>
      <c r="I2420" s="78" t="n"/>
      <c r="J2420" s="78" t="n"/>
    </row>
    <row r="2421">
      <c r="A2421" s="84">
        <f>ROW()-6</f>
        <v/>
      </c>
      <c r="B2421" s="85">
        <f>+MATCH(D2421,ARTICULOS!$F$10:$F$699,0)</f>
        <v/>
      </c>
      <c r="C2421" s="86">
        <f>+VLOOKUP(B2421,ARTICULOS!$D$10:$I$699,6)</f>
        <v/>
      </c>
      <c r="D2421" s="212" t="n"/>
      <c r="E2421" s="75">
        <f>+C2421&amp;F2421</f>
        <v/>
      </c>
      <c r="F2421" s="80" t="n"/>
      <c r="G2421" s="81" t="n"/>
      <c r="H2421" s="78" t="n"/>
      <c r="I2421" s="78" t="n"/>
      <c r="J2421" s="78" t="n"/>
    </row>
    <row r="2422">
      <c r="A2422" s="84">
        <f>ROW()-6</f>
        <v/>
      </c>
      <c r="B2422" s="85">
        <f>+MATCH(D2422,ARTICULOS!$F$10:$F$699,0)</f>
        <v/>
      </c>
      <c r="C2422" s="86">
        <f>+VLOOKUP(B2422,ARTICULOS!$D$10:$I$699,6)</f>
        <v/>
      </c>
      <c r="D2422" s="212" t="n"/>
      <c r="E2422" s="75">
        <f>+C2422&amp;F2422</f>
        <v/>
      </c>
      <c r="F2422" s="80" t="n"/>
      <c r="G2422" s="81" t="n"/>
      <c r="H2422" s="78" t="n"/>
      <c r="I2422" s="78" t="n"/>
      <c r="J2422" s="78" t="n"/>
    </row>
    <row r="2423">
      <c r="A2423" s="84">
        <f>ROW()-6</f>
        <v/>
      </c>
      <c r="B2423" s="85">
        <f>+MATCH(D2423,ARTICULOS!$F$10:$F$699,0)</f>
        <v/>
      </c>
      <c r="C2423" s="86">
        <f>+VLOOKUP(B2423,ARTICULOS!$D$10:$I$699,6)</f>
        <v/>
      </c>
      <c r="D2423" s="212" t="n"/>
      <c r="E2423" s="75">
        <f>+C2423&amp;F2423</f>
        <v/>
      </c>
      <c r="F2423" s="80" t="n"/>
      <c r="G2423" s="81" t="n"/>
      <c r="H2423" s="78" t="n"/>
      <c r="I2423" s="78" t="n"/>
      <c r="J2423" s="78" t="n"/>
    </row>
    <row r="2424">
      <c r="A2424" s="84">
        <f>ROW()-6</f>
        <v/>
      </c>
      <c r="B2424" s="85">
        <f>+MATCH(D2424,ARTICULOS!$F$10:$F$699,0)</f>
        <v/>
      </c>
      <c r="C2424" s="86">
        <f>+VLOOKUP(B2424,ARTICULOS!$D$10:$I$699,6)</f>
        <v/>
      </c>
      <c r="D2424" s="212" t="n"/>
      <c r="E2424" s="75">
        <f>+C2424&amp;F2424</f>
        <v/>
      </c>
      <c r="F2424" s="80" t="n"/>
      <c r="G2424" s="81" t="n"/>
      <c r="H2424" s="78" t="n"/>
      <c r="I2424" s="78" t="n"/>
      <c r="J2424" s="78" t="n"/>
    </row>
    <row r="2425">
      <c r="A2425" s="84">
        <f>ROW()-6</f>
        <v/>
      </c>
      <c r="B2425" s="85">
        <f>+MATCH(D2425,ARTICULOS!$F$10:$F$699,0)</f>
        <v/>
      </c>
      <c r="C2425" s="86">
        <f>+VLOOKUP(B2425,ARTICULOS!$D$10:$I$699,6)</f>
        <v/>
      </c>
      <c r="D2425" s="212" t="n"/>
      <c r="E2425" s="75">
        <f>+C2425&amp;F2425</f>
        <v/>
      </c>
      <c r="F2425" s="80" t="n"/>
      <c r="G2425" s="81" t="n"/>
      <c r="H2425" s="78" t="n"/>
      <c r="I2425" s="78" t="n"/>
      <c r="J2425" s="78" t="n"/>
    </row>
    <row r="2426">
      <c r="A2426" s="84">
        <f>ROW()-6</f>
        <v/>
      </c>
      <c r="B2426" s="85">
        <f>+MATCH(D2426,ARTICULOS!$F$10:$F$699,0)</f>
        <v/>
      </c>
      <c r="C2426" s="86">
        <f>+VLOOKUP(B2426,ARTICULOS!$D$10:$I$699,6)</f>
        <v/>
      </c>
      <c r="D2426" s="212" t="n"/>
      <c r="E2426" s="75">
        <f>+C2426&amp;F2426</f>
        <v/>
      </c>
      <c r="F2426" s="80" t="n"/>
      <c r="G2426" s="81" t="n"/>
      <c r="H2426" s="78" t="n"/>
      <c r="I2426" s="78" t="n"/>
      <c r="J2426" s="78" t="n"/>
    </row>
    <row r="2427">
      <c r="A2427" s="84">
        <f>ROW()-6</f>
        <v/>
      </c>
      <c r="B2427" s="85">
        <f>+MATCH(D2427,ARTICULOS!$F$10:$F$699,0)</f>
        <v/>
      </c>
      <c r="C2427" s="86">
        <f>+VLOOKUP(B2427,ARTICULOS!$D$10:$I$699,6)</f>
        <v/>
      </c>
      <c r="D2427" s="212" t="n"/>
      <c r="E2427" s="75">
        <f>+C2427&amp;F2427</f>
        <v/>
      </c>
      <c r="F2427" s="80" t="n"/>
      <c r="G2427" s="81" t="n"/>
      <c r="H2427" s="78" t="n"/>
      <c r="I2427" s="78" t="n"/>
      <c r="J2427" s="78" t="n"/>
    </row>
    <row r="2428">
      <c r="A2428" s="84">
        <f>ROW()-6</f>
        <v/>
      </c>
      <c r="B2428" s="85">
        <f>+MATCH(D2428,ARTICULOS!$F$10:$F$699,0)</f>
        <v/>
      </c>
      <c r="C2428" s="86">
        <f>+VLOOKUP(B2428,ARTICULOS!$D$10:$I$699,6)</f>
        <v/>
      </c>
      <c r="D2428" s="212" t="n"/>
      <c r="E2428" s="75">
        <f>+C2428&amp;F2428</f>
        <v/>
      </c>
      <c r="F2428" s="80" t="n"/>
      <c r="G2428" s="81" t="n"/>
      <c r="H2428" s="78" t="n"/>
      <c r="I2428" s="78" t="n"/>
      <c r="J2428" s="78" t="n"/>
    </row>
    <row r="2429">
      <c r="A2429" s="84">
        <f>ROW()-6</f>
        <v/>
      </c>
      <c r="B2429" s="85">
        <f>+MATCH(D2429,ARTICULOS!$F$10:$F$699,0)</f>
        <v/>
      </c>
      <c r="C2429" s="86">
        <f>+VLOOKUP(B2429,ARTICULOS!$D$10:$I$699,6)</f>
        <v/>
      </c>
      <c r="D2429" s="212" t="n"/>
      <c r="E2429" s="75">
        <f>+C2429&amp;F2429</f>
        <v/>
      </c>
      <c r="F2429" s="80" t="n"/>
      <c r="G2429" s="81" t="n"/>
      <c r="H2429" s="78" t="n"/>
      <c r="I2429" s="78" t="n"/>
      <c r="J2429" s="78" t="n"/>
    </row>
    <row r="2430">
      <c r="A2430" s="84">
        <f>ROW()-6</f>
        <v/>
      </c>
      <c r="B2430" s="85">
        <f>+MATCH(D2430,ARTICULOS!$F$10:$F$699,0)</f>
        <v/>
      </c>
      <c r="C2430" s="86">
        <f>+VLOOKUP(B2430,ARTICULOS!$D$10:$I$699,6)</f>
        <v/>
      </c>
      <c r="D2430" s="212" t="n"/>
      <c r="E2430" s="75">
        <f>+C2430&amp;F2430</f>
        <v/>
      </c>
      <c r="F2430" s="80" t="n"/>
      <c r="G2430" s="81" t="n"/>
      <c r="H2430" s="78" t="n"/>
      <c r="I2430" s="78" t="n"/>
      <c r="J2430" s="78" t="n"/>
    </row>
    <row r="2431">
      <c r="A2431" s="84">
        <f>ROW()-6</f>
        <v/>
      </c>
      <c r="B2431" s="85">
        <f>+MATCH(D2431,ARTICULOS!$F$10:$F$699,0)</f>
        <v/>
      </c>
      <c r="C2431" s="86">
        <f>+VLOOKUP(B2431,ARTICULOS!$D$10:$I$699,6)</f>
        <v/>
      </c>
      <c r="D2431" s="212" t="n"/>
      <c r="E2431" s="75">
        <f>+C2431&amp;F2431</f>
        <v/>
      </c>
      <c r="F2431" s="80" t="n"/>
      <c r="G2431" s="81" t="n"/>
      <c r="H2431" s="78" t="n"/>
      <c r="I2431" s="78" t="n"/>
      <c r="J2431" s="78" t="n"/>
    </row>
    <row r="2432">
      <c r="A2432" s="84">
        <f>ROW()-6</f>
        <v/>
      </c>
      <c r="B2432" s="85">
        <f>+MATCH(D2432,ARTICULOS!$F$10:$F$699,0)</f>
        <v/>
      </c>
      <c r="C2432" s="86">
        <f>+VLOOKUP(B2432,ARTICULOS!$D$10:$I$699,6)</f>
        <v/>
      </c>
      <c r="D2432" s="212" t="n"/>
      <c r="E2432" s="75">
        <f>+C2432&amp;F2432</f>
        <v/>
      </c>
      <c r="F2432" s="80" t="n"/>
      <c r="G2432" s="81" t="n"/>
      <c r="H2432" s="78" t="n"/>
      <c r="I2432" s="78" t="n"/>
      <c r="J2432" s="78" t="n"/>
    </row>
    <row r="2433">
      <c r="A2433" s="84">
        <f>ROW()-6</f>
        <v/>
      </c>
      <c r="B2433" s="85">
        <f>+MATCH(D2433,ARTICULOS!$F$10:$F$699,0)</f>
        <v/>
      </c>
      <c r="C2433" s="86">
        <f>+VLOOKUP(B2433,ARTICULOS!$D$10:$I$699,6)</f>
        <v/>
      </c>
      <c r="D2433" s="212" t="n"/>
      <c r="E2433" s="75">
        <f>+C2433&amp;F2433</f>
        <v/>
      </c>
      <c r="F2433" s="80" t="n"/>
      <c r="G2433" s="81" t="n"/>
      <c r="H2433" s="78" t="n"/>
      <c r="I2433" s="78" t="n"/>
      <c r="J2433" s="78" t="n"/>
    </row>
    <row r="2434">
      <c r="A2434" s="84">
        <f>ROW()-6</f>
        <v/>
      </c>
      <c r="B2434" s="85">
        <f>+MATCH(D2434,ARTICULOS!$F$10:$F$699,0)</f>
        <v/>
      </c>
      <c r="C2434" s="86">
        <f>+VLOOKUP(B2434,ARTICULOS!$D$10:$I$699,6)</f>
        <v/>
      </c>
      <c r="D2434" s="212" t="n"/>
      <c r="E2434" s="75">
        <f>+C2434&amp;F2434</f>
        <v/>
      </c>
      <c r="F2434" s="80" t="n"/>
      <c r="G2434" s="81" t="n"/>
      <c r="H2434" s="78" t="n"/>
      <c r="I2434" s="78" t="n"/>
      <c r="J2434" s="78" t="n"/>
    </row>
    <row r="2435">
      <c r="A2435" s="84">
        <f>ROW()-6</f>
        <v/>
      </c>
      <c r="B2435" s="85">
        <f>+MATCH(D2435,ARTICULOS!$F$10:$F$699,0)</f>
        <v/>
      </c>
      <c r="C2435" s="86">
        <f>+VLOOKUP(B2435,ARTICULOS!$D$10:$I$699,6)</f>
        <v/>
      </c>
      <c r="D2435" s="212" t="n"/>
      <c r="E2435" s="75">
        <f>+C2435&amp;F2435</f>
        <v/>
      </c>
      <c r="F2435" s="80" t="n"/>
      <c r="G2435" s="81" t="n"/>
      <c r="H2435" s="78" t="n"/>
      <c r="I2435" s="78" t="n"/>
      <c r="J2435" s="78" t="n"/>
    </row>
    <row r="2436">
      <c r="A2436" s="84">
        <f>ROW()-6</f>
        <v/>
      </c>
      <c r="B2436" s="85">
        <f>+MATCH(D2436,ARTICULOS!$F$10:$F$699,0)</f>
        <v/>
      </c>
      <c r="C2436" s="86">
        <f>+VLOOKUP(B2436,ARTICULOS!$D$10:$I$699,6)</f>
        <v/>
      </c>
      <c r="D2436" s="212" t="n"/>
      <c r="E2436" s="75">
        <f>+C2436&amp;F2436</f>
        <v/>
      </c>
      <c r="F2436" s="80" t="n"/>
      <c r="G2436" s="81" t="n"/>
      <c r="H2436" s="78" t="n"/>
      <c r="I2436" s="78" t="n"/>
      <c r="J2436" s="78" t="n"/>
    </row>
    <row r="2437">
      <c r="A2437" s="84">
        <f>ROW()-6</f>
        <v/>
      </c>
      <c r="B2437" s="85">
        <f>+MATCH(D2437,ARTICULOS!$F$10:$F$699,0)</f>
        <v/>
      </c>
      <c r="C2437" s="86">
        <f>+VLOOKUP(B2437,ARTICULOS!$D$10:$I$699,6)</f>
        <v/>
      </c>
      <c r="D2437" s="212" t="n"/>
      <c r="E2437" s="75">
        <f>+C2437&amp;F2437</f>
        <v/>
      </c>
      <c r="F2437" s="80" t="n"/>
      <c r="G2437" s="81" t="n"/>
      <c r="H2437" s="78" t="n"/>
      <c r="I2437" s="78" t="n"/>
      <c r="J2437" s="78" t="n"/>
    </row>
    <row r="2438">
      <c r="A2438" s="84">
        <f>ROW()-6</f>
        <v/>
      </c>
      <c r="B2438" s="85">
        <f>+MATCH(D2438,ARTICULOS!$F$10:$F$699,0)</f>
        <v/>
      </c>
      <c r="C2438" s="86">
        <f>+VLOOKUP(B2438,ARTICULOS!$D$10:$I$699,6)</f>
        <v/>
      </c>
      <c r="D2438" s="212" t="n"/>
      <c r="E2438" s="75">
        <f>+C2438&amp;F2438</f>
        <v/>
      </c>
      <c r="F2438" s="80" t="n"/>
      <c r="G2438" s="81" t="n"/>
      <c r="H2438" s="78" t="n"/>
      <c r="I2438" s="78" t="n"/>
      <c r="J2438" s="78" t="n"/>
    </row>
    <row r="2439">
      <c r="A2439" s="84">
        <f>ROW()-6</f>
        <v/>
      </c>
      <c r="B2439" s="85">
        <f>+MATCH(D2439,ARTICULOS!$F$10:$F$699,0)</f>
        <v/>
      </c>
      <c r="C2439" s="86">
        <f>+VLOOKUP(B2439,ARTICULOS!$D$10:$I$699,6)</f>
        <v/>
      </c>
      <c r="D2439" s="212" t="n"/>
      <c r="E2439" s="75">
        <f>+C2439&amp;F2439</f>
        <v/>
      </c>
      <c r="F2439" s="80" t="n"/>
      <c r="G2439" s="81" t="n"/>
      <c r="H2439" s="78" t="n"/>
      <c r="I2439" s="78" t="n"/>
      <c r="J2439" s="78" t="n"/>
    </row>
    <row r="2440">
      <c r="A2440" s="84">
        <f>ROW()-6</f>
        <v/>
      </c>
      <c r="B2440" s="85">
        <f>+MATCH(D2440,ARTICULOS!$F$10:$F$699,0)</f>
        <v/>
      </c>
      <c r="C2440" s="86">
        <f>+VLOOKUP(B2440,ARTICULOS!$D$10:$I$699,6)</f>
        <v/>
      </c>
      <c r="D2440" s="212" t="n"/>
      <c r="E2440" s="75">
        <f>+C2440&amp;F2440</f>
        <v/>
      </c>
      <c r="F2440" s="80" t="n"/>
      <c r="G2440" s="81" t="n"/>
      <c r="H2440" s="78" t="n"/>
      <c r="I2440" s="78" t="n"/>
      <c r="J2440" s="78" t="n"/>
    </row>
    <row r="2441">
      <c r="A2441" s="84">
        <f>ROW()-6</f>
        <v/>
      </c>
      <c r="B2441" s="85">
        <f>+MATCH(D2441,ARTICULOS!$F$10:$F$699,0)</f>
        <v/>
      </c>
      <c r="C2441" s="86">
        <f>+VLOOKUP(B2441,ARTICULOS!$D$10:$I$699,6)</f>
        <v/>
      </c>
      <c r="D2441" s="212" t="n"/>
      <c r="E2441" s="75">
        <f>+C2441&amp;F2441</f>
        <v/>
      </c>
      <c r="F2441" s="80" t="n"/>
      <c r="G2441" s="81" t="n"/>
      <c r="H2441" s="78" t="n"/>
      <c r="I2441" s="78" t="n"/>
      <c r="J2441" s="78" t="n"/>
    </row>
    <row r="2442">
      <c r="A2442" s="84">
        <f>ROW()-6</f>
        <v/>
      </c>
      <c r="B2442" s="85">
        <f>+MATCH(D2442,ARTICULOS!$F$10:$F$699,0)</f>
        <v/>
      </c>
      <c r="C2442" s="86">
        <f>+VLOOKUP(B2442,ARTICULOS!$D$10:$I$699,6)</f>
        <v/>
      </c>
      <c r="D2442" s="212" t="n"/>
      <c r="E2442" s="75">
        <f>+C2442&amp;F2442</f>
        <v/>
      </c>
      <c r="F2442" s="80" t="n"/>
      <c r="G2442" s="81" t="n"/>
      <c r="H2442" s="78" t="n"/>
      <c r="I2442" s="78" t="n"/>
      <c r="J2442" s="78" t="n"/>
    </row>
    <row r="2443">
      <c r="A2443" s="84">
        <f>ROW()-6</f>
        <v/>
      </c>
      <c r="B2443" s="85">
        <f>+MATCH(D2443,ARTICULOS!$F$10:$F$699,0)</f>
        <v/>
      </c>
      <c r="C2443" s="86">
        <f>+VLOOKUP(B2443,ARTICULOS!$D$10:$I$699,6)</f>
        <v/>
      </c>
      <c r="D2443" s="212" t="n"/>
      <c r="E2443" s="75">
        <f>+C2443&amp;F2443</f>
        <v/>
      </c>
      <c r="F2443" s="80" t="n"/>
      <c r="G2443" s="81" t="n"/>
      <c r="H2443" s="78" t="n"/>
      <c r="I2443" s="78" t="n"/>
      <c r="J2443" s="78" t="n"/>
    </row>
    <row r="2444">
      <c r="A2444" s="84">
        <f>ROW()-6</f>
        <v/>
      </c>
      <c r="B2444" s="85">
        <f>+MATCH(D2444,ARTICULOS!$F$10:$F$699,0)</f>
        <v/>
      </c>
      <c r="C2444" s="86">
        <f>+VLOOKUP(B2444,ARTICULOS!$D$10:$I$699,6)</f>
        <v/>
      </c>
      <c r="D2444" s="212" t="n"/>
      <c r="E2444" s="75">
        <f>+C2444&amp;F2444</f>
        <v/>
      </c>
      <c r="F2444" s="80" t="n"/>
      <c r="G2444" s="81" t="n"/>
      <c r="H2444" s="78" t="n"/>
      <c r="I2444" s="78" t="n"/>
      <c r="J2444" s="78" t="n"/>
    </row>
    <row r="2445">
      <c r="A2445" s="84">
        <f>ROW()-6</f>
        <v/>
      </c>
      <c r="B2445" s="85">
        <f>+MATCH(D2445,ARTICULOS!$F$10:$F$699,0)</f>
        <v/>
      </c>
      <c r="C2445" s="86">
        <f>+VLOOKUP(B2445,ARTICULOS!$D$10:$I$699,6)</f>
        <v/>
      </c>
      <c r="D2445" s="212" t="n"/>
      <c r="E2445" s="75">
        <f>+C2445&amp;F2445</f>
        <v/>
      </c>
      <c r="F2445" s="80" t="n"/>
      <c r="G2445" s="81" t="n"/>
      <c r="H2445" s="78" t="n"/>
      <c r="I2445" s="78" t="n"/>
      <c r="J2445" s="78" t="n"/>
    </row>
    <row r="2446">
      <c r="A2446" s="84">
        <f>ROW()-6</f>
        <v/>
      </c>
      <c r="B2446" s="85">
        <f>+MATCH(D2446,ARTICULOS!$F$10:$F$699,0)</f>
        <v/>
      </c>
      <c r="C2446" s="86">
        <f>+VLOOKUP(B2446,ARTICULOS!$D$10:$I$699,6)</f>
        <v/>
      </c>
      <c r="D2446" s="212" t="n"/>
      <c r="E2446" s="75">
        <f>+C2446&amp;F2446</f>
        <v/>
      </c>
      <c r="F2446" s="80" t="n"/>
      <c r="G2446" s="81" t="n"/>
      <c r="H2446" s="78" t="n"/>
      <c r="I2446" s="78" t="n"/>
      <c r="J2446" s="78" t="n"/>
    </row>
    <row r="2447">
      <c r="A2447" s="84">
        <f>ROW()-6</f>
        <v/>
      </c>
      <c r="B2447" s="85">
        <f>+MATCH(D2447,ARTICULOS!$F$10:$F$699,0)</f>
        <v/>
      </c>
      <c r="C2447" s="86">
        <f>+VLOOKUP(B2447,ARTICULOS!$D$10:$I$699,6)</f>
        <v/>
      </c>
      <c r="D2447" s="212" t="n"/>
      <c r="E2447" s="75">
        <f>+C2447&amp;F2447</f>
        <v/>
      </c>
      <c r="F2447" s="80" t="n"/>
      <c r="G2447" s="81" t="n"/>
      <c r="H2447" s="78" t="n"/>
      <c r="I2447" s="78" t="n"/>
      <c r="J2447" s="78" t="n"/>
    </row>
    <row r="2448">
      <c r="A2448" s="84">
        <f>ROW()-6</f>
        <v/>
      </c>
      <c r="B2448" s="85">
        <f>+MATCH(D2448,ARTICULOS!$F$10:$F$699,0)</f>
        <v/>
      </c>
      <c r="C2448" s="86">
        <f>+VLOOKUP(B2448,ARTICULOS!$D$10:$I$699,6)</f>
        <v/>
      </c>
      <c r="D2448" s="212" t="n"/>
      <c r="E2448" s="75">
        <f>+C2448&amp;F2448</f>
        <v/>
      </c>
      <c r="F2448" s="80" t="n"/>
      <c r="G2448" s="81" t="n"/>
      <c r="H2448" s="78" t="n"/>
      <c r="I2448" s="78" t="n"/>
      <c r="J2448" s="78" t="n"/>
    </row>
    <row r="2449">
      <c r="A2449" s="84">
        <f>ROW()-6</f>
        <v/>
      </c>
      <c r="B2449" s="85">
        <f>+MATCH(D2449,ARTICULOS!$F$10:$F$699,0)</f>
        <v/>
      </c>
      <c r="C2449" s="86">
        <f>+VLOOKUP(B2449,ARTICULOS!$D$10:$I$699,6)</f>
        <v/>
      </c>
      <c r="D2449" s="212" t="n"/>
      <c r="E2449" s="75">
        <f>+C2449&amp;F2449</f>
        <v/>
      </c>
      <c r="F2449" s="80" t="n"/>
      <c r="G2449" s="81" t="n"/>
      <c r="H2449" s="78" t="n"/>
      <c r="I2449" s="78" t="n"/>
      <c r="J2449" s="78" t="n"/>
    </row>
    <row r="2450">
      <c r="A2450" s="84">
        <f>ROW()-6</f>
        <v/>
      </c>
      <c r="B2450" s="85">
        <f>+MATCH(D2450,ARTICULOS!$F$10:$F$699,0)</f>
        <v/>
      </c>
      <c r="C2450" s="86">
        <f>+VLOOKUP(B2450,ARTICULOS!$D$10:$I$699,6)</f>
        <v/>
      </c>
      <c r="D2450" s="212" t="n"/>
      <c r="E2450" s="75">
        <f>+C2450&amp;F2450</f>
        <v/>
      </c>
      <c r="F2450" s="80" t="n"/>
      <c r="G2450" s="81" t="n"/>
      <c r="H2450" s="78" t="n"/>
      <c r="I2450" s="78" t="n"/>
      <c r="J2450" s="78" t="n"/>
    </row>
    <row r="2451">
      <c r="A2451" s="84">
        <f>ROW()-6</f>
        <v/>
      </c>
      <c r="B2451" s="85">
        <f>+MATCH(D2451,ARTICULOS!$F$10:$F$699,0)</f>
        <v/>
      </c>
      <c r="C2451" s="86">
        <f>+VLOOKUP(B2451,ARTICULOS!$D$10:$I$699,6)</f>
        <v/>
      </c>
      <c r="D2451" s="212" t="n"/>
      <c r="E2451" s="75">
        <f>+C2451&amp;F2451</f>
        <v/>
      </c>
      <c r="F2451" s="80" t="n"/>
      <c r="G2451" s="81" t="n"/>
      <c r="H2451" s="78" t="n"/>
      <c r="I2451" s="78" t="n"/>
      <c r="J2451" s="78" t="n"/>
    </row>
    <row r="2452">
      <c r="A2452" s="84">
        <f>ROW()-6</f>
        <v/>
      </c>
      <c r="B2452" s="85">
        <f>+MATCH(D2452,ARTICULOS!$F$10:$F$699,0)</f>
        <v/>
      </c>
      <c r="C2452" s="86">
        <f>+VLOOKUP(B2452,ARTICULOS!$D$10:$I$699,6)</f>
        <v/>
      </c>
      <c r="D2452" s="212" t="n"/>
      <c r="E2452" s="75">
        <f>+C2452&amp;F2452</f>
        <v/>
      </c>
      <c r="F2452" s="80" t="n"/>
      <c r="G2452" s="81" t="n"/>
      <c r="H2452" s="78" t="n"/>
      <c r="I2452" s="78" t="n"/>
      <c r="J2452" s="78" t="n"/>
    </row>
    <row r="2453">
      <c r="A2453" s="84">
        <f>ROW()-6</f>
        <v/>
      </c>
      <c r="B2453" s="85">
        <f>+MATCH(D2453,ARTICULOS!$F$10:$F$699,0)</f>
        <v/>
      </c>
      <c r="C2453" s="86">
        <f>+VLOOKUP(B2453,ARTICULOS!$D$10:$I$699,6)</f>
        <v/>
      </c>
      <c r="D2453" s="212" t="n"/>
      <c r="E2453" s="75">
        <f>+C2453&amp;F2453</f>
        <v/>
      </c>
      <c r="F2453" s="80" t="n"/>
      <c r="G2453" s="81" t="n"/>
      <c r="H2453" s="78" t="n"/>
      <c r="I2453" s="78" t="n"/>
      <c r="J2453" s="78" t="n"/>
    </row>
    <row r="2454">
      <c r="A2454" s="84">
        <f>ROW()-6</f>
        <v/>
      </c>
      <c r="B2454" s="85">
        <f>+MATCH(D2454,ARTICULOS!$F$10:$F$699,0)</f>
        <v/>
      </c>
      <c r="C2454" s="86">
        <f>+VLOOKUP(B2454,ARTICULOS!$D$10:$I$699,6)</f>
        <v/>
      </c>
      <c r="D2454" s="212" t="n"/>
      <c r="E2454" s="75">
        <f>+C2454&amp;F2454</f>
        <v/>
      </c>
      <c r="F2454" s="80" t="n"/>
      <c r="G2454" s="81" t="n"/>
      <c r="H2454" s="78" t="n"/>
      <c r="I2454" s="78" t="n"/>
      <c r="J2454" s="78" t="n"/>
    </row>
    <row r="2455">
      <c r="A2455" s="84">
        <f>ROW()-6</f>
        <v/>
      </c>
      <c r="B2455" s="85">
        <f>+MATCH(D2455,ARTICULOS!$F$10:$F$699,0)</f>
        <v/>
      </c>
      <c r="C2455" s="86">
        <f>+VLOOKUP(B2455,ARTICULOS!$D$10:$I$699,6)</f>
        <v/>
      </c>
      <c r="D2455" s="212" t="n"/>
      <c r="E2455" s="75">
        <f>+C2455&amp;F2455</f>
        <v/>
      </c>
      <c r="F2455" s="80" t="n"/>
      <c r="G2455" s="81" t="n"/>
      <c r="H2455" s="78" t="n"/>
      <c r="I2455" s="78" t="n"/>
      <c r="J2455" s="78" t="n"/>
    </row>
    <row r="2456">
      <c r="A2456" s="84">
        <f>ROW()-6</f>
        <v/>
      </c>
      <c r="B2456" s="85">
        <f>+MATCH(D2456,ARTICULOS!$F$10:$F$699,0)</f>
        <v/>
      </c>
      <c r="C2456" s="86">
        <f>+VLOOKUP(B2456,ARTICULOS!$D$10:$I$699,6)</f>
        <v/>
      </c>
      <c r="D2456" s="212" t="n"/>
      <c r="E2456" s="75">
        <f>+C2456&amp;F2456</f>
        <v/>
      </c>
      <c r="F2456" s="80" t="n"/>
      <c r="G2456" s="81" t="n"/>
      <c r="H2456" s="78" t="n"/>
      <c r="I2456" s="78" t="n"/>
      <c r="J2456" s="78" t="n"/>
    </row>
    <row r="2457">
      <c r="A2457" s="84">
        <f>ROW()-6</f>
        <v/>
      </c>
      <c r="B2457" s="85">
        <f>+MATCH(D2457,ARTICULOS!$F$10:$F$699,0)</f>
        <v/>
      </c>
      <c r="C2457" s="86">
        <f>+VLOOKUP(B2457,ARTICULOS!$D$10:$I$699,6)</f>
        <v/>
      </c>
      <c r="D2457" s="212" t="n"/>
      <c r="E2457" s="75">
        <f>+C2457&amp;F2457</f>
        <v/>
      </c>
      <c r="F2457" s="80" t="n"/>
      <c r="G2457" s="81" t="n"/>
      <c r="H2457" s="78" t="n"/>
      <c r="I2457" s="78" t="n"/>
      <c r="J2457" s="78" t="n"/>
    </row>
    <row r="2458">
      <c r="A2458" s="84">
        <f>ROW()-6</f>
        <v/>
      </c>
      <c r="B2458" s="85">
        <f>+MATCH(D2458,ARTICULOS!$F$10:$F$699,0)</f>
        <v/>
      </c>
      <c r="C2458" s="86">
        <f>+VLOOKUP(B2458,ARTICULOS!$D$10:$I$699,6)</f>
        <v/>
      </c>
      <c r="D2458" s="212" t="n"/>
      <c r="E2458" s="75">
        <f>+C2458&amp;F2458</f>
        <v/>
      </c>
      <c r="F2458" s="80" t="n"/>
      <c r="G2458" s="81" t="n"/>
      <c r="H2458" s="78" t="n"/>
      <c r="I2458" s="78" t="n"/>
      <c r="J2458" s="78" t="n"/>
    </row>
    <row r="2459">
      <c r="A2459" s="84">
        <f>ROW()-6</f>
        <v/>
      </c>
      <c r="B2459" s="85">
        <f>+MATCH(D2459,ARTICULOS!$F$10:$F$699,0)</f>
        <v/>
      </c>
      <c r="C2459" s="86">
        <f>+VLOOKUP(B2459,ARTICULOS!$D$10:$I$699,6)</f>
        <v/>
      </c>
      <c r="D2459" s="212" t="n"/>
      <c r="E2459" s="75">
        <f>+C2459&amp;F2459</f>
        <v/>
      </c>
      <c r="F2459" s="80" t="n"/>
      <c r="G2459" s="81" t="n"/>
      <c r="H2459" s="78" t="n"/>
      <c r="I2459" s="78" t="n"/>
      <c r="J2459" s="78" t="n"/>
    </row>
    <row r="2460">
      <c r="A2460" s="84">
        <f>ROW()-6</f>
        <v/>
      </c>
      <c r="B2460" s="85">
        <f>+MATCH(D2460,ARTICULOS!$F$10:$F$699,0)</f>
        <v/>
      </c>
      <c r="C2460" s="86">
        <f>+VLOOKUP(B2460,ARTICULOS!$D$10:$I$699,6)</f>
        <v/>
      </c>
      <c r="D2460" s="212" t="n"/>
      <c r="E2460" s="75">
        <f>+C2460&amp;F2460</f>
        <v/>
      </c>
      <c r="F2460" s="80" t="n"/>
      <c r="G2460" s="81" t="n"/>
      <c r="H2460" s="78" t="n"/>
      <c r="I2460" s="78" t="n"/>
      <c r="J2460" s="78" t="n"/>
    </row>
    <row r="2461">
      <c r="A2461" s="84">
        <f>ROW()-6</f>
        <v/>
      </c>
      <c r="B2461" s="85">
        <f>+MATCH(D2461,ARTICULOS!$F$10:$F$699,0)</f>
        <v/>
      </c>
      <c r="C2461" s="86">
        <f>+VLOOKUP(B2461,ARTICULOS!$D$10:$I$699,6)</f>
        <v/>
      </c>
      <c r="D2461" s="212" t="n"/>
      <c r="E2461" s="75">
        <f>+C2461&amp;F2461</f>
        <v/>
      </c>
      <c r="F2461" s="80" t="n"/>
      <c r="G2461" s="81" t="n"/>
      <c r="H2461" s="78" t="n"/>
      <c r="I2461" s="78" t="n"/>
      <c r="J2461" s="78" t="n"/>
    </row>
    <row r="2462">
      <c r="A2462" s="84">
        <f>ROW()-6</f>
        <v/>
      </c>
      <c r="B2462" s="85">
        <f>+MATCH(D2462,ARTICULOS!$F$10:$F$699,0)</f>
        <v/>
      </c>
      <c r="C2462" s="86">
        <f>+VLOOKUP(B2462,ARTICULOS!$D$10:$I$699,6)</f>
        <v/>
      </c>
      <c r="D2462" s="212" t="n"/>
      <c r="E2462" s="75">
        <f>+C2462&amp;F2462</f>
        <v/>
      </c>
      <c r="F2462" s="80" t="n"/>
      <c r="G2462" s="81" t="n"/>
      <c r="H2462" s="78" t="n"/>
      <c r="I2462" s="78" t="n"/>
      <c r="J2462" s="78" t="n"/>
    </row>
    <row r="2463">
      <c r="A2463" s="84">
        <f>ROW()-6</f>
        <v/>
      </c>
      <c r="B2463" s="85">
        <f>+MATCH(D2463,ARTICULOS!$F$10:$F$699,0)</f>
        <v/>
      </c>
      <c r="C2463" s="86">
        <f>+VLOOKUP(B2463,ARTICULOS!$D$10:$I$699,6)</f>
        <v/>
      </c>
      <c r="D2463" s="212" t="n"/>
      <c r="E2463" s="75">
        <f>+C2463&amp;F2463</f>
        <v/>
      </c>
      <c r="F2463" s="80" t="n"/>
      <c r="G2463" s="81" t="n"/>
      <c r="H2463" s="78" t="n"/>
      <c r="I2463" s="78" t="n"/>
      <c r="J2463" s="78" t="n"/>
    </row>
    <row r="2464">
      <c r="A2464" s="84">
        <f>ROW()-6</f>
        <v/>
      </c>
      <c r="B2464" s="85">
        <f>+MATCH(D2464,ARTICULOS!$F$10:$F$699,0)</f>
        <v/>
      </c>
      <c r="C2464" s="86">
        <f>+VLOOKUP(B2464,ARTICULOS!$D$10:$I$699,6)</f>
        <v/>
      </c>
      <c r="D2464" s="212" t="n"/>
      <c r="E2464" s="75">
        <f>+C2464&amp;F2464</f>
        <v/>
      </c>
      <c r="F2464" s="80" t="n"/>
      <c r="G2464" s="81" t="n"/>
      <c r="H2464" s="78" t="n"/>
      <c r="I2464" s="78" t="n"/>
      <c r="J2464" s="78" t="n"/>
    </row>
    <row r="2465">
      <c r="A2465" s="84">
        <f>ROW()-6</f>
        <v/>
      </c>
      <c r="B2465" s="85">
        <f>+MATCH(D2465,ARTICULOS!$F$10:$F$699,0)</f>
        <v/>
      </c>
      <c r="C2465" s="86">
        <f>+VLOOKUP(B2465,ARTICULOS!$D$10:$I$699,6)</f>
        <v/>
      </c>
      <c r="D2465" s="212" t="n"/>
      <c r="E2465" s="75">
        <f>+C2465&amp;F2465</f>
        <v/>
      </c>
      <c r="F2465" s="80" t="n"/>
      <c r="G2465" s="81" t="n"/>
      <c r="H2465" s="78" t="n"/>
      <c r="I2465" s="78" t="n"/>
      <c r="J2465" s="78" t="n"/>
    </row>
    <row r="2466">
      <c r="A2466" s="84">
        <f>ROW()-6</f>
        <v/>
      </c>
      <c r="B2466" s="85">
        <f>+MATCH(D2466,ARTICULOS!$F$10:$F$699,0)</f>
        <v/>
      </c>
      <c r="C2466" s="86">
        <f>+VLOOKUP(B2466,ARTICULOS!$D$10:$I$699,6)</f>
        <v/>
      </c>
      <c r="D2466" s="212" t="n"/>
      <c r="E2466" s="75">
        <f>+C2466&amp;F2466</f>
        <v/>
      </c>
      <c r="F2466" s="80" t="n"/>
      <c r="G2466" s="81" t="n"/>
      <c r="H2466" s="78" t="n"/>
      <c r="I2466" s="78" t="n"/>
      <c r="J2466" s="78" t="n"/>
    </row>
    <row r="2467">
      <c r="A2467" s="84">
        <f>ROW()-6</f>
        <v/>
      </c>
      <c r="B2467" s="85">
        <f>+MATCH(D2467,ARTICULOS!$F$10:$F$699,0)</f>
        <v/>
      </c>
      <c r="C2467" s="86">
        <f>+VLOOKUP(B2467,ARTICULOS!$D$10:$I$699,6)</f>
        <v/>
      </c>
      <c r="D2467" s="212" t="n"/>
      <c r="E2467" s="75">
        <f>+C2467&amp;F2467</f>
        <v/>
      </c>
      <c r="F2467" s="80" t="n"/>
      <c r="G2467" s="81" t="n"/>
      <c r="H2467" s="78" t="n"/>
      <c r="I2467" s="78" t="n"/>
      <c r="J2467" s="78" t="n"/>
    </row>
    <row r="2468">
      <c r="A2468" s="84">
        <f>ROW()-6</f>
        <v/>
      </c>
      <c r="B2468" s="85">
        <f>+MATCH(D2468,ARTICULOS!$F$10:$F$699,0)</f>
        <v/>
      </c>
      <c r="C2468" s="86">
        <f>+VLOOKUP(B2468,ARTICULOS!$D$10:$I$699,6)</f>
        <v/>
      </c>
      <c r="D2468" s="212" t="n"/>
      <c r="E2468" s="75">
        <f>+C2468&amp;F2468</f>
        <v/>
      </c>
      <c r="F2468" s="80" t="n"/>
      <c r="G2468" s="81" t="n"/>
      <c r="H2468" s="78" t="n"/>
      <c r="I2468" s="78" t="n"/>
      <c r="J2468" s="78" t="n"/>
    </row>
    <row r="2469">
      <c r="A2469" s="84">
        <f>ROW()-6</f>
        <v/>
      </c>
      <c r="B2469" s="85">
        <f>+MATCH(D2469,ARTICULOS!$F$10:$F$699,0)</f>
        <v/>
      </c>
      <c r="C2469" s="86">
        <f>+VLOOKUP(B2469,ARTICULOS!$D$10:$I$699,6)</f>
        <v/>
      </c>
      <c r="D2469" s="212" t="n"/>
      <c r="E2469" s="75">
        <f>+C2469&amp;F2469</f>
        <v/>
      </c>
      <c r="F2469" s="80" t="n"/>
      <c r="G2469" s="81" t="n"/>
      <c r="H2469" s="78" t="n"/>
      <c r="I2469" s="78" t="n"/>
      <c r="J2469" s="78" t="n"/>
    </row>
    <row r="2470">
      <c r="A2470" s="84">
        <f>ROW()-6</f>
        <v/>
      </c>
      <c r="B2470" s="85">
        <f>+MATCH(D2470,ARTICULOS!$F$10:$F$699,0)</f>
        <v/>
      </c>
      <c r="C2470" s="86">
        <f>+VLOOKUP(B2470,ARTICULOS!$D$10:$I$699,6)</f>
        <v/>
      </c>
      <c r="D2470" s="212" t="n"/>
      <c r="E2470" s="75">
        <f>+C2470&amp;F2470</f>
        <v/>
      </c>
      <c r="F2470" s="80" t="n"/>
      <c r="G2470" s="81" t="n"/>
      <c r="H2470" s="78" t="n"/>
      <c r="I2470" s="78" t="n"/>
      <c r="J2470" s="78" t="n"/>
    </row>
    <row r="2471">
      <c r="A2471" s="84">
        <f>ROW()-6</f>
        <v/>
      </c>
      <c r="B2471" s="85">
        <f>+MATCH(D2471,ARTICULOS!$F$10:$F$699,0)</f>
        <v/>
      </c>
      <c r="C2471" s="86">
        <f>+VLOOKUP(B2471,ARTICULOS!$D$10:$I$699,6)</f>
        <v/>
      </c>
      <c r="D2471" s="212" t="n"/>
      <c r="E2471" s="75">
        <f>+C2471&amp;F2471</f>
        <v/>
      </c>
      <c r="F2471" s="80" t="n"/>
      <c r="G2471" s="81" t="n"/>
      <c r="H2471" s="78" t="n"/>
      <c r="I2471" s="78" t="n"/>
      <c r="J2471" s="78" t="n"/>
    </row>
    <row r="2472">
      <c r="A2472" s="84">
        <f>ROW()-6</f>
        <v/>
      </c>
      <c r="B2472" s="85">
        <f>+MATCH(D2472,ARTICULOS!$F$10:$F$699,0)</f>
        <v/>
      </c>
      <c r="C2472" s="86">
        <f>+VLOOKUP(B2472,ARTICULOS!$D$10:$I$699,6)</f>
        <v/>
      </c>
      <c r="D2472" s="212" t="n"/>
      <c r="E2472" s="75">
        <f>+C2472&amp;F2472</f>
        <v/>
      </c>
      <c r="F2472" s="80" t="n"/>
      <c r="G2472" s="81" t="n"/>
      <c r="H2472" s="78" t="n"/>
      <c r="I2472" s="78" t="n"/>
      <c r="J2472" s="78" t="n"/>
    </row>
    <row r="2473">
      <c r="A2473" s="84">
        <f>ROW()-6</f>
        <v/>
      </c>
      <c r="B2473" s="85">
        <f>+MATCH(D2473,ARTICULOS!$F$10:$F$699,0)</f>
        <v/>
      </c>
      <c r="C2473" s="86">
        <f>+VLOOKUP(B2473,ARTICULOS!$D$10:$I$699,6)</f>
        <v/>
      </c>
      <c r="D2473" s="212" t="n"/>
      <c r="E2473" s="75">
        <f>+C2473&amp;F2473</f>
        <v/>
      </c>
      <c r="F2473" s="80" t="n"/>
      <c r="G2473" s="81" t="n"/>
      <c r="H2473" s="78" t="n"/>
      <c r="I2473" s="78" t="n"/>
      <c r="J2473" s="78" t="n"/>
    </row>
    <row r="2474">
      <c r="A2474" s="84">
        <f>ROW()-6</f>
        <v/>
      </c>
      <c r="B2474" s="85">
        <f>+MATCH(D2474,ARTICULOS!$F$10:$F$699,0)</f>
        <v/>
      </c>
      <c r="C2474" s="86">
        <f>+VLOOKUP(B2474,ARTICULOS!$D$10:$I$699,6)</f>
        <v/>
      </c>
      <c r="D2474" s="212" t="n"/>
      <c r="E2474" s="75">
        <f>+C2474&amp;F2474</f>
        <v/>
      </c>
      <c r="F2474" s="80" t="n"/>
      <c r="G2474" s="81" t="n"/>
      <c r="H2474" s="78" t="n"/>
      <c r="I2474" s="78" t="n"/>
      <c r="J2474" s="78" t="n"/>
    </row>
    <row r="2475">
      <c r="A2475" s="84">
        <f>ROW()-6</f>
        <v/>
      </c>
      <c r="B2475" s="85">
        <f>+MATCH(D2475,ARTICULOS!$F$10:$F$699,0)</f>
        <v/>
      </c>
      <c r="C2475" s="86">
        <f>+VLOOKUP(B2475,ARTICULOS!$D$10:$I$699,6)</f>
        <v/>
      </c>
      <c r="D2475" s="212" t="n"/>
      <c r="E2475" s="75">
        <f>+C2475&amp;F2475</f>
        <v/>
      </c>
      <c r="F2475" s="80" t="n"/>
      <c r="G2475" s="81" t="n"/>
      <c r="H2475" s="78" t="n"/>
      <c r="I2475" s="78" t="n"/>
      <c r="J2475" s="78" t="n"/>
    </row>
    <row r="2476">
      <c r="A2476" s="84">
        <f>ROW()-6</f>
        <v/>
      </c>
      <c r="B2476" s="85">
        <f>+MATCH(D2476,ARTICULOS!$F$10:$F$699,0)</f>
        <v/>
      </c>
      <c r="C2476" s="86">
        <f>+VLOOKUP(B2476,ARTICULOS!$D$10:$I$699,6)</f>
        <v/>
      </c>
      <c r="D2476" s="212" t="n"/>
      <c r="E2476" s="75">
        <f>+C2476&amp;F2476</f>
        <v/>
      </c>
      <c r="F2476" s="80" t="n"/>
      <c r="G2476" s="81" t="n"/>
      <c r="H2476" s="78" t="n"/>
      <c r="I2476" s="78" t="n"/>
      <c r="J2476" s="78" t="n"/>
    </row>
    <row r="2477">
      <c r="A2477" s="84">
        <f>ROW()-6</f>
        <v/>
      </c>
      <c r="B2477" s="85">
        <f>+MATCH(D2477,ARTICULOS!$F$10:$F$699,0)</f>
        <v/>
      </c>
      <c r="C2477" s="86">
        <f>+VLOOKUP(B2477,ARTICULOS!$D$10:$I$699,6)</f>
        <v/>
      </c>
      <c r="D2477" s="212" t="n"/>
      <c r="E2477" s="75">
        <f>+C2477&amp;F2477</f>
        <v/>
      </c>
      <c r="F2477" s="80" t="n"/>
      <c r="G2477" s="81" t="n"/>
      <c r="H2477" s="78" t="n"/>
      <c r="I2477" s="78" t="n"/>
      <c r="J2477" s="78" t="n"/>
    </row>
    <row r="2478">
      <c r="A2478" s="84">
        <f>ROW()-6</f>
        <v/>
      </c>
      <c r="B2478" s="85">
        <f>+MATCH(D2478,ARTICULOS!$F$10:$F$699,0)</f>
        <v/>
      </c>
      <c r="C2478" s="86">
        <f>+VLOOKUP(B2478,ARTICULOS!$D$10:$I$699,6)</f>
        <v/>
      </c>
      <c r="D2478" s="212" t="n"/>
      <c r="E2478" s="75">
        <f>+C2478&amp;F2478</f>
        <v/>
      </c>
      <c r="F2478" s="80" t="n"/>
      <c r="G2478" s="81" t="n"/>
      <c r="H2478" s="78" t="n"/>
      <c r="I2478" s="78" t="n"/>
      <c r="J2478" s="78" t="n"/>
    </row>
    <row r="2479">
      <c r="A2479" s="84">
        <f>ROW()-6</f>
        <v/>
      </c>
      <c r="B2479" s="85">
        <f>+MATCH(D2479,ARTICULOS!$F$10:$F$699,0)</f>
        <v/>
      </c>
      <c r="C2479" s="86">
        <f>+VLOOKUP(B2479,ARTICULOS!$D$10:$I$699,6)</f>
        <v/>
      </c>
      <c r="D2479" s="212" t="n"/>
      <c r="E2479" s="75">
        <f>+C2479&amp;F2479</f>
        <v/>
      </c>
      <c r="F2479" s="80" t="n"/>
      <c r="G2479" s="81" t="n"/>
      <c r="H2479" s="78" t="n"/>
      <c r="I2479" s="78" t="n"/>
      <c r="J2479" s="78" t="n"/>
    </row>
    <row r="2480">
      <c r="A2480" s="84">
        <f>ROW()-6</f>
        <v/>
      </c>
      <c r="B2480" s="85">
        <f>+MATCH(D2480,ARTICULOS!$F$10:$F$699,0)</f>
        <v/>
      </c>
      <c r="C2480" s="86">
        <f>+VLOOKUP(B2480,ARTICULOS!$D$10:$I$699,6)</f>
        <v/>
      </c>
      <c r="D2480" s="212" t="n"/>
      <c r="E2480" s="75">
        <f>+C2480&amp;F2480</f>
        <v/>
      </c>
      <c r="F2480" s="80" t="n"/>
      <c r="G2480" s="81" t="n"/>
      <c r="H2480" s="78" t="n"/>
      <c r="I2480" s="78" t="n"/>
      <c r="J2480" s="78" t="n"/>
    </row>
    <row r="2481">
      <c r="A2481" s="84">
        <f>ROW()-6</f>
        <v/>
      </c>
      <c r="B2481" s="85">
        <f>+MATCH(D2481,ARTICULOS!$F$10:$F$699,0)</f>
        <v/>
      </c>
      <c r="C2481" s="86">
        <f>+VLOOKUP(B2481,ARTICULOS!$D$10:$I$699,6)</f>
        <v/>
      </c>
      <c r="D2481" s="212" t="n"/>
      <c r="E2481" s="75">
        <f>+C2481&amp;F2481</f>
        <v/>
      </c>
      <c r="F2481" s="80" t="n"/>
      <c r="G2481" s="81" t="n"/>
      <c r="H2481" s="78" t="n"/>
      <c r="I2481" s="78" t="n"/>
      <c r="J2481" s="78" t="n"/>
    </row>
    <row r="2482">
      <c r="A2482" s="84">
        <f>ROW()-6</f>
        <v/>
      </c>
      <c r="B2482" s="85">
        <f>+MATCH(D2482,ARTICULOS!$F$10:$F$699,0)</f>
        <v/>
      </c>
      <c r="C2482" s="86">
        <f>+VLOOKUP(B2482,ARTICULOS!$D$10:$I$699,6)</f>
        <v/>
      </c>
      <c r="D2482" s="212" t="n"/>
      <c r="E2482" s="75">
        <f>+C2482&amp;F2482</f>
        <v/>
      </c>
      <c r="F2482" s="80" t="n"/>
      <c r="G2482" s="81" t="n"/>
      <c r="H2482" s="78" t="n"/>
      <c r="I2482" s="78" t="n"/>
      <c r="J2482" s="78" t="n"/>
    </row>
    <row r="2483">
      <c r="A2483" s="84">
        <f>ROW()-6</f>
        <v/>
      </c>
      <c r="B2483" s="85">
        <f>+MATCH(D2483,ARTICULOS!$F$10:$F$699,0)</f>
        <v/>
      </c>
      <c r="C2483" s="86">
        <f>+VLOOKUP(B2483,ARTICULOS!$D$10:$I$699,6)</f>
        <v/>
      </c>
      <c r="D2483" s="212" t="n"/>
      <c r="E2483" s="75">
        <f>+C2483&amp;F2483</f>
        <v/>
      </c>
      <c r="F2483" s="80" t="n"/>
      <c r="G2483" s="81" t="n"/>
      <c r="H2483" s="78" t="n"/>
      <c r="I2483" s="78" t="n"/>
      <c r="J2483" s="78" t="n"/>
    </row>
    <row r="2484">
      <c r="A2484" s="84">
        <f>ROW()-6</f>
        <v/>
      </c>
      <c r="B2484" s="85">
        <f>+MATCH(D2484,ARTICULOS!$F$10:$F$699,0)</f>
        <v/>
      </c>
      <c r="C2484" s="86">
        <f>+VLOOKUP(B2484,ARTICULOS!$D$10:$I$699,6)</f>
        <v/>
      </c>
      <c r="D2484" s="212" t="n"/>
      <c r="E2484" s="75">
        <f>+C2484&amp;F2484</f>
        <v/>
      </c>
      <c r="F2484" s="80" t="n"/>
      <c r="G2484" s="81" t="n"/>
      <c r="H2484" s="78" t="n"/>
      <c r="I2484" s="78" t="n"/>
      <c r="J2484" s="78" t="n"/>
    </row>
    <row r="2485">
      <c r="A2485" s="84">
        <f>ROW()-6</f>
        <v/>
      </c>
      <c r="B2485" s="85">
        <f>+MATCH(D2485,ARTICULOS!$F$10:$F$699,0)</f>
        <v/>
      </c>
      <c r="C2485" s="86">
        <f>+VLOOKUP(B2485,ARTICULOS!$D$10:$I$699,6)</f>
        <v/>
      </c>
      <c r="D2485" s="212" t="n"/>
      <c r="E2485" s="75">
        <f>+C2485&amp;F2485</f>
        <v/>
      </c>
      <c r="F2485" s="80" t="n"/>
      <c r="G2485" s="81" t="n"/>
      <c r="H2485" s="78" t="n"/>
      <c r="I2485" s="78" t="n"/>
      <c r="J2485" s="78" t="n"/>
    </row>
    <row r="2486">
      <c r="A2486" s="84">
        <f>ROW()-6</f>
        <v/>
      </c>
      <c r="B2486" s="85">
        <f>+MATCH(D2486,ARTICULOS!$F$10:$F$699,0)</f>
        <v/>
      </c>
      <c r="C2486" s="86">
        <f>+VLOOKUP(B2486,ARTICULOS!$D$10:$I$699,6)</f>
        <v/>
      </c>
      <c r="D2486" s="212" t="n"/>
      <c r="E2486" s="75">
        <f>+C2486&amp;F2486</f>
        <v/>
      </c>
      <c r="F2486" s="80" t="n"/>
      <c r="G2486" s="81" t="n"/>
      <c r="H2486" s="78" t="n"/>
      <c r="I2486" s="78" t="n"/>
      <c r="J2486" s="78" t="n"/>
    </row>
    <row r="2487">
      <c r="A2487" s="84">
        <f>ROW()-6</f>
        <v/>
      </c>
      <c r="B2487" s="85">
        <f>+MATCH(D2487,ARTICULOS!$F$10:$F$699,0)</f>
        <v/>
      </c>
      <c r="C2487" s="86">
        <f>+VLOOKUP(B2487,ARTICULOS!$D$10:$I$699,6)</f>
        <v/>
      </c>
      <c r="D2487" s="212" t="n"/>
      <c r="E2487" s="75">
        <f>+C2487&amp;F2487</f>
        <v/>
      </c>
      <c r="F2487" s="80" t="n"/>
      <c r="G2487" s="81" t="n"/>
      <c r="H2487" s="78" t="n"/>
      <c r="I2487" s="78" t="n"/>
      <c r="J2487" s="78" t="n"/>
    </row>
    <row r="2488">
      <c r="A2488" s="84">
        <f>ROW()-6</f>
        <v/>
      </c>
      <c r="B2488" s="85">
        <f>+MATCH(D2488,ARTICULOS!$F$10:$F$699,0)</f>
        <v/>
      </c>
      <c r="C2488" s="86">
        <f>+VLOOKUP(B2488,ARTICULOS!$D$10:$I$699,6)</f>
        <v/>
      </c>
      <c r="D2488" s="212" t="n"/>
      <c r="E2488" s="75">
        <f>+C2488&amp;F2488</f>
        <v/>
      </c>
      <c r="F2488" s="80" t="n"/>
      <c r="G2488" s="81" t="n"/>
      <c r="H2488" s="78" t="n"/>
      <c r="I2488" s="78" t="n"/>
      <c r="J2488" s="78" t="n"/>
    </row>
    <row r="2489">
      <c r="A2489" s="84">
        <f>ROW()-6</f>
        <v/>
      </c>
      <c r="B2489" s="85">
        <f>+MATCH(D2489,ARTICULOS!$F$10:$F$699,0)</f>
        <v/>
      </c>
      <c r="C2489" s="86">
        <f>+VLOOKUP(B2489,ARTICULOS!$D$10:$I$699,6)</f>
        <v/>
      </c>
      <c r="D2489" s="212" t="n"/>
      <c r="E2489" s="75">
        <f>+C2489&amp;F2489</f>
        <v/>
      </c>
      <c r="F2489" s="80" t="n"/>
      <c r="G2489" s="81" t="n"/>
      <c r="H2489" s="78" t="n"/>
      <c r="I2489" s="78" t="n"/>
      <c r="J2489" s="78" t="n"/>
    </row>
    <row r="2490">
      <c r="A2490" s="84">
        <f>ROW()-6</f>
        <v/>
      </c>
      <c r="B2490" s="85">
        <f>+MATCH(D2490,ARTICULOS!$F$10:$F$699,0)</f>
        <v/>
      </c>
      <c r="C2490" s="86">
        <f>+VLOOKUP(B2490,ARTICULOS!$D$10:$I$699,6)</f>
        <v/>
      </c>
      <c r="D2490" s="212" t="n"/>
      <c r="E2490" s="75">
        <f>+C2490&amp;F2490</f>
        <v/>
      </c>
      <c r="F2490" s="80" t="n"/>
      <c r="G2490" s="81" t="n"/>
      <c r="H2490" s="78" t="n"/>
      <c r="I2490" s="78" t="n"/>
      <c r="J2490" s="78" t="n"/>
    </row>
    <row r="2491">
      <c r="A2491" s="84">
        <f>ROW()-6</f>
        <v/>
      </c>
      <c r="B2491" s="85">
        <f>+MATCH(D2491,ARTICULOS!$F$10:$F$699,0)</f>
        <v/>
      </c>
      <c r="C2491" s="86">
        <f>+VLOOKUP(B2491,ARTICULOS!$D$10:$I$699,6)</f>
        <v/>
      </c>
      <c r="D2491" s="212" t="n"/>
      <c r="E2491" s="75">
        <f>+C2491&amp;F2491</f>
        <v/>
      </c>
      <c r="F2491" s="80" t="n"/>
      <c r="G2491" s="81" t="n"/>
      <c r="H2491" s="78" t="n"/>
      <c r="I2491" s="78" t="n"/>
      <c r="J2491" s="78" t="n"/>
    </row>
    <row r="2492">
      <c r="A2492" s="84">
        <f>ROW()-6</f>
        <v/>
      </c>
      <c r="B2492" s="85">
        <f>+MATCH(D2492,ARTICULOS!$F$10:$F$699,0)</f>
        <v/>
      </c>
      <c r="C2492" s="86">
        <f>+VLOOKUP(B2492,ARTICULOS!$D$10:$I$699,6)</f>
        <v/>
      </c>
      <c r="D2492" s="212" t="n"/>
      <c r="E2492" s="75">
        <f>+C2492&amp;F2492</f>
        <v/>
      </c>
      <c r="F2492" s="80" t="n"/>
      <c r="G2492" s="81" t="n"/>
      <c r="H2492" s="78" t="n"/>
      <c r="I2492" s="78" t="n"/>
      <c r="J2492" s="78" t="n"/>
    </row>
    <row r="2493">
      <c r="A2493" s="84">
        <f>ROW()-6</f>
        <v/>
      </c>
      <c r="B2493" s="85">
        <f>+MATCH(D2493,ARTICULOS!$F$10:$F$699,0)</f>
        <v/>
      </c>
      <c r="C2493" s="86">
        <f>+VLOOKUP(B2493,ARTICULOS!$D$10:$I$699,6)</f>
        <v/>
      </c>
      <c r="D2493" s="212" t="n"/>
      <c r="E2493" s="75">
        <f>+C2493&amp;F2493</f>
        <v/>
      </c>
      <c r="F2493" s="80" t="n"/>
      <c r="G2493" s="81" t="n"/>
      <c r="H2493" s="78" t="n"/>
      <c r="I2493" s="78" t="n"/>
      <c r="J2493" s="78" t="n"/>
    </row>
    <row r="2494">
      <c r="A2494" s="84">
        <f>ROW()-6</f>
        <v/>
      </c>
      <c r="B2494" s="85">
        <f>+MATCH(D2494,ARTICULOS!$F$10:$F$699,0)</f>
        <v/>
      </c>
      <c r="C2494" s="86">
        <f>+VLOOKUP(B2494,ARTICULOS!$D$10:$I$699,6)</f>
        <v/>
      </c>
      <c r="D2494" s="212" t="n"/>
      <c r="E2494" s="75">
        <f>+C2494&amp;F2494</f>
        <v/>
      </c>
      <c r="F2494" s="80" t="n"/>
      <c r="G2494" s="81" t="n"/>
      <c r="H2494" s="78" t="n"/>
      <c r="I2494" s="78" t="n"/>
      <c r="J2494" s="78" t="n"/>
    </row>
    <row r="2495">
      <c r="A2495" s="84">
        <f>ROW()-6</f>
        <v/>
      </c>
      <c r="B2495" s="85">
        <f>+MATCH(D2495,ARTICULOS!$F$10:$F$699,0)</f>
        <v/>
      </c>
      <c r="C2495" s="86">
        <f>+VLOOKUP(B2495,ARTICULOS!$D$10:$I$699,6)</f>
        <v/>
      </c>
      <c r="D2495" s="212" t="n"/>
      <c r="E2495" s="75">
        <f>+C2495&amp;F2495</f>
        <v/>
      </c>
      <c r="F2495" s="80" t="n"/>
      <c r="G2495" s="81" t="n"/>
      <c r="H2495" s="78" t="n"/>
      <c r="I2495" s="78" t="n"/>
      <c r="J2495" s="78" t="n"/>
    </row>
    <row r="2496">
      <c r="A2496" s="84">
        <f>ROW()-6</f>
        <v/>
      </c>
      <c r="B2496" s="85">
        <f>+MATCH(D2496,ARTICULOS!$F$10:$F$699,0)</f>
        <v/>
      </c>
      <c r="C2496" s="86">
        <f>+VLOOKUP(B2496,ARTICULOS!$D$10:$I$699,6)</f>
        <v/>
      </c>
      <c r="D2496" s="212" t="n"/>
      <c r="E2496" s="75">
        <f>+C2496&amp;F2496</f>
        <v/>
      </c>
      <c r="F2496" s="80" t="n"/>
      <c r="G2496" s="81" t="n"/>
      <c r="H2496" s="78" t="n"/>
      <c r="I2496" s="78" t="n"/>
      <c r="J2496" s="78" t="n"/>
    </row>
    <row r="2497">
      <c r="A2497" s="84">
        <f>ROW()-6</f>
        <v/>
      </c>
      <c r="B2497" s="85">
        <f>+MATCH(D2497,ARTICULOS!$F$10:$F$699,0)</f>
        <v/>
      </c>
      <c r="C2497" s="86">
        <f>+VLOOKUP(B2497,ARTICULOS!$D$10:$I$699,6)</f>
        <v/>
      </c>
      <c r="D2497" s="212" t="n"/>
      <c r="E2497" s="75">
        <f>+C2497&amp;F2497</f>
        <v/>
      </c>
      <c r="F2497" s="80" t="n"/>
      <c r="G2497" s="81" t="n"/>
      <c r="H2497" s="78" t="n"/>
      <c r="I2497" s="78" t="n"/>
      <c r="J2497" s="78" t="n"/>
    </row>
    <row r="2498">
      <c r="A2498" s="84">
        <f>ROW()-6</f>
        <v/>
      </c>
      <c r="B2498" s="85">
        <f>+MATCH(D2498,ARTICULOS!$F$10:$F$699,0)</f>
        <v/>
      </c>
      <c r="C2498" s="86">
        <f>+VLOOKUP(B2498,ARTICULOS!$D$10:$I$699,6)</f>
        <v/>
      </c>
      <c r="D2498" s="212" t="n"/>
      <c r="E2498" s="75">
        <f>+C2498&amp;F2498</f>
        <v/>
      </c>
      <c r="F2498" s="80" t="n"/>
      <c r="G2498" s="81" t="n"/>
      <c r="H2498" s="78" t="n"/>
      <c r="I2498" s="78" t="n"/>
      <c r="J2498" s="78" t="n"/>
    </row>
    <row r="2499">
      <c r="A2499" s="84">
        <f>ROW()-6</f>
        <v/>
      </c>
      <c r="B2499" s="85">
        <f>+MATCH(D2499,ARTICULOS!$F$10:$F$699,0)</f>
        <v/>
      </c>
      <c r="C2499" s="86">
        <f>+VLOOKUP(B2499,ARTICULOS!$D$10:$I$699,6)</f>
        <v/>
      </c>
      <c r="D2499" s="212" t="n"/>
      <c r="E2499" s="75">
        <f>+C2499&amp;F2499</f>
        <v/>
      </c>
      <c r="F2499" s="80" t="n"/>
      <c r="G2499" s="81" t="n"/>
      <c r="H2499" s="78" t="n"/>
      <c r="I2499" s="78" t="n"/>
      <c r="J2499" s="78" t="n"/>
    </row>
    <row r="2500">
      <c r="A2500" s="84">
        <f>ROW()-6</f>
        <v/>
      </c>
      <c r="B2500" s="85">
        <f>+MATCH(D2500,ARTICULOS!$F$10:$F$699,0)</f>
        <v/>
      </c>
      <c r="C2500" s="86">
        <f>+VLOOKUP(B2500,ARTICULOS!$D$10:$I$699,6)</f>
        <v/>
      </c>
      <c r="D2500" s="212" t="n"/>
      <c r="E2500" s="75">
        <f>+C2500&amp;F2500</f>
        <v/>
      </c>
      <c r="F2500" s="80" t="n"/>
      <c r="G2500" s="81" t="n"/>
      <c r="H2500" s="78" t="n"/>
      <c r="I2500" s="78" t="n"/>
      <c r="J2500" s="78" t="n"/>
    </row>
    <row r="2501">
      <c r="A2501" s="84">
        <f>ROW()-6</f>
        <v/>
      </c>
      <c r="B2501" s="85">
        <f>+MATCH(D2501,ARTICULOS!$F$10:$F$699,0)</f>
        <v/>
      </c>
      <c r="C2501" s="86">
        <f>+VLOOKUP(B2501,ARTICULOS!$D$10:$I$699,6)</f>
        <v/>
      </c>
      <c r="D2501" s="212" t="n"/>
      <c r="E2501" s="75">
        <f>+C2501&amp;F2501</f>
        <v/>
      </c>
      <c r="F2501" s="80" t="n"/>
      <c r="G2501" s="81" t="n"/>
      <c r="H2501" s="78" t="n"/>
      <c r="I2501" s="78" t="n"/>
      <c r="J2501" s="78" t="n"/>
    </row>
    <row r="2502">
      <c r="A2502" s="84">
        <f>ROW()-6</f>
        <v/>
      </c>
      <c r="B2502" s="85">
        <f>+MATCH(D2502,ARTICULOS!$F$10:$F$699,0)</f>
        <v/>
      </c>
      <c r="C2502" s="86">
        <f>+VLOOKUP(B2502,ARTICULOS!$D$10:$I$699,6)</f>
        <v/>
      </c>
      <c r="D2502" s="212" t="n"/>
      <c r="E2502" s="75">
        <f>+C2502&amp;F2502</f>
        <v/>
      </c>
      <c r="F2502" s="80" t="n"/>
      <c r="G2502" s="81" t="n"/>
      <c r="H2502" s="78" t="n"/>
      <c r="I2502" s="78" t="n"/>
      <c r="J2502" s="78" t="n"/>
    </row>
    <row r="2503">
      <c r="A2503" s="84">
        <f>ROW()-6</f>
        <v/>
      </c>
      <c r="B2503" s="85">
        <f>+MATCH(D2503,ARTICULOS!$F$10:$F$699,0)</f>
        <v/>
      </c>
      <c r="C2503" s="86">
        <f>+VLOOKUP(B2503,ARTICULOS!$D$10:$I$699,6)</f>
        <v/>
      </c>
      <c r="D2503" s="212" t="n"/>
      <c r="E2503" s="75">
        <f>+C2503&amp;F2503</f>
        <v/>
      </c>
      <c r="F2503" s="80" t="n"/>
      <c r="G2503" s="81" t="n"/>
      <c r="H2503" s="78" t="n"/>
      <c r="I2503" s="78" t="n"/>
      <c r="J2503" s="78" t="n"/>
    </row>
    <row r="2504">
      <c r="A2504" s="84">
        <f>ROW()-6</f>
        <v/>
      </c>
      <c r="B2504" s="85">
        <f>+MATCH(D2504,ARTICULOS!$F$10:$F$699,0)</f>
        <v/>
      </c>
      <c r="C2504" s="86">
        <f>+VLOOKUP(B2504,ARTICULOS!$D$10:$I$699,6)</f>
        <v/>
      </c>
      <c r="D2504" s="212" t="n"/>
      <c r="E2504" s="75">
        <f>+C2504&amp;F2504</f>
        <v/>
      </c>
      <c r="F2504" s="80" t="n"/>
      <c r="G2504" s="81" t="n"/>
      <c r="H2504" s="78" t="n"/>
      <c r="I2504" s="78" t="n"/>
      <c r="J2504" s="78" t="n"/>
    </row>
    <row r="2505">
      <c r="A2505" s="84">
        <f>ROW()-6</f>
        <v/>
      </c>
      <c r="B2505" s="85">
        <f>+MATCH(D2505,ARTICULOS!$F$10:$F$699,0)</f>
        <v/>
      </c>
      <c r="C2505" s="86">
        <f>+VLOOKUP(B2505,ARTICULOS!$D$10:$I$699,6)</f>
        <v/>
      </c>
      <c r="D2505" s="212" t="n"/>
      <c r="E2505" s="75">
        <f>+C2505&amp;F2505</f>
        <v/>
      </c>
      <c r="F2505" s="80" t="n"/>
      <c r="G2505" s="81" t="n"/>
      <c r="H2505" s="78" t="n"/>
      <c r="I2505" s="78" t="n"/>
      <c r="J2505" s="78" t="n"/>
    </row>
    <row r="2506">
      <c r="A2506" s="84">
        <f>ROW()-6</f>
        <v/>
      </c>
      <c r="B2506" s="85">
        <f>+MATCH(D2506,ARTICULOS!$F$10:$F$699,0)</f>
        <v/>
      </c>
      <c r="C2506" s="86">
        <f>+VLOOKUP(B2506,ARTICULOS!$D$10:$I$699,6)</f>
        <v/>
      </c>
      <c r="D2506" s="212" t="n"/>
      <c r="E2506" s="75">
        <f>+C2506&amp;F2506</f>
        <v/>
      </c>
      <c r="F2506" s="80" t="n"/>
      <c r="G2506" s="81" t="n"/>
      <c r="H2506" s="78" t="n"/>
      <c r="I2506" s="78" t="n"/>
      <c r="J2506" s="78" t="n"/>
    </row>
    <row r="2507">
      <c r="A2507" s="84">
        <f>ROW()-6</f>
        <v/>
      </c>
      <c r="B2507" s="85">
        <f>+MATCH(D2507,ARTICULOS!$F$10:$F$699,0)</f>
        <v/>
      </c>
      <c r="C2507" s="86">
        <f>+VLOOKUP(B2507,ARTICULOS!$D$10:$I$699,6)</f>
        <v/>
      </c>
      <c r="D2507" s="212" t="n"/>
      <c r="E2507" s="75">
        <f>+C2507&amp;F2507</f>
        <v/>
      </c>
      <c r="F2507" s="80" t="n"/>
      <c r="G2507" s="81" t="n"/>
      <c r="H2507" s="78" t="n"/>
      <c r="I2507" s="78" t="n"/>
      <c r="J2507" s="78" t="n"/>
    </row>
    <row r="2508">
      <c r="A2508" s="84">
        <f>ROW()-6</f>
        <v/>
      </c>
      <c r="B2508" s="85">
        <f>+MATCH(D2508,ARTICULOS!$F$10:$F$699,0)</f>
        <v/>
      </c>
      <c r="C2508" s="86">
        <f>+VLOOKUP(B2508,ARTICULOS!$D$10:$I$699,6)</f>
        <v/>
      </c>
      <c r="D2508" s="212" t="n"/>
      <c r="E2508" s="75">
        <f>+C2508&amp;F2508</f>
        <v/>
      </c>
      <c r="F2508" s="80" t="n"/>
      <c r="G2508" s="81" t="n"/>
      <c r="H2508" s="78" t="n"/>
      <c r="I2508" s="78" t="n"/>
      <c r="J2508" s="78" t="n"/>
    </row>
    <row r="2509">
      <c r="A2509" s="84">
        <f>ROW()-6</f>
        <v/>
      </c>
      <c r="B2509" s="85">
        <f>+MATCH(D2509,ARTICULOS!$F$10:$F$699,0)</f>
        <v/>
      </c>
      <c r="C2509" s="86">
        <f>+VLOOKUP(B2509,ARTICULOS!$D$10:$I$699,6)</f>
        <v/>
      </c>
      <c r="D2509" s="212" t="n"/>
      <c r="E2509" s="75">
        <f>+C2509&amp;F2509</f>
        <v/>
      </c>
      <c r="F2509" s="80" t="n"/>
      <c r="G2509" s="81" t="n"/>
      <c r="H2509" s="78" t="n"/>
      <c r="I2509" s="78" t="n"/>
      <c r="J2509" s="78" t="n"/>
    </row>
    <row r="2510">
      <c r="A2510" s="84">
        <f>ROW()-6</f>
        <v/>
      </c>
      <c r="B2510" s="85">
        <f>+MATCH(D2510,ARTICULOS!$F$10:$F$699,0)</f>
        <v/>
      </c>
      <c r="C2510" s="86">
        <f>+VLOOKUP(B2510,ARTICULOS!$D$10:$I$699,6)</f>
        <v/>
      </c>
      <c r="D2510" s="212" t="n"/>
      <c r="E2510" s="75">
        <f>+C2510&amp;F2510</f>
        <v/>
      </c>
      <c r="F2510" s="80" t="n"/>
      <c r="G2510" s="81" t="n"/>
      <c r="H2510" s="78" t="n"/>
      <c r="I2510" s="78" t="n"/>
      <c r="J2510" s="78" t="n"/>
    </row>
    <row r="2511">
      <c r="A2511" s="84">
        <f>ROW()-6</f>
        <v/>
      </c>
      <c r="B2511" s="85">
        <f>+MATCH(D2511,ARTICULOS!$F$10:$F$699,0)</f>
        <v/>
      </c>
      <c r="C2511" s="86">
        <f>+VLOOKUP(B2511,ARTICULOS!$D$10:$I$699,6)</f>
        <v/>
      </c>
      <c r="D2511" s="212" t="n"/>
      <c r="E2511" s="75">
        <f>+C2511&amp;F2511</f>
        <v/>
      </c>
      <c r="F2511" s="80" t="n"/>
      <c r="G2511" s="81" t="n"/>
      <c r="H2511" s="78" t="n"/>
      <c r="I2511" s="78" t="n"/>
      <c r="J2511" s="78" t="n"/>
    </row>
    <row r="2512">
      <c r="A2512" s="84">
        <f>ROW()-6</f>
        <v/>
      </c>
      <c r="B2512" s="85">
        <f>+MATCH(D2512,ARTICULOS!$F$10:$F$699,0)</f>
        <v/>
      </c>
      <c r="C2512" s="86">
        <f>+VLOOKUP(B2512,ARTICULOS!$D$10:$I$699,6)</f>
        <v/>
      </c>
      <c r="D2512" s="212" t="n"/>
      <c r="E2512" s="75">
        <f>+C2512&amp;F2512</f>
        <v/>
      </c>
      <c r="F2512" s="80" t="n"/>
      <c r="G2512" s="81" t="n"/>
      <c r="H2512" s="78" t="n"/>
      <c r="I2512" s="78" t="n"/>
      <c r="J2512" s="78" t="n"/>
    </row>
    <row r="2513">
      <c r="A2513" s="84">
        <f>ROW()-6</f>
        <v/>
      </c>
      <c r="B2513" s="85">
        <f>+MATCH(D2513,ARTICULOS!$F$10:$F$699,0)</f>
        <v/>
      </c>
      <c r="C2513" s="86">
        <f>+VLOOKUP(B2513,ARTICULOS!$D$10:$I$699,6)</f>
        <v/>
      </c>
      <c r="D2513" s="212" t="n"/>
      <c r="E2513" s="75">
        <f>+C2513&amp;F2513</f>
        <v/>
      </c>
      <c r="F2513" s="80" t="n"/>
      <c r="G2513" s="81" t="n"/>
      <c r="H2513" s="78" t="n"/>
      <c r="I2513" s="78" t="n"/>
      <c r="J2513" s="78" t="n"/>
    </row>
    <row r="2514">
      <c r="A2514" s="84">
        <f>ROW()-6</f>
        <v/>
      </c>
      <c r="B2514" s="85">
        <f>+MATCH(D2514,ARTICULOS!$F$10:$F$699,0)</f>
        <v/>
      </c>
      <c r="C2514" s="86">
        <f>+VLOOKUP(B2514,ARTICULOS!$D$10:$I$699,6)</f>
        <v/>
      </c>
      <c r="D2514" s="212" t="n"/>
      <c r="E2514" s="75">
        <f>+C2514&amp;F2514</f>
        <v/>
      </c>
      <c r="F2514" s="80" t="n"/>
      <c r="G2514" s="81" t="n"/>
      <c r="H2514" s="78" t="n"/>
      <c r="I2514" s="78" t="n"/>
      <c r="J2514" s="78" t="n"/>
    </row>
    <row r="2515">
      <c r="A2515" s="84">
        <f>ROW()-6</f>
        <v/>
      </c>
      <c r="B2515" s="85">
        <f>+MATCH(D2515,ARTICULOS!$F$10:$F$699,0)</f>
        <v/>
      </c>
      <c r="C2515" s="86">
        <f>+VLOOKUP(B2515,ARTICULOS!$D$10:$I$699,6)</f>
        <v/>
      </c>
      <c r="D2515" s="212" t="n"/>
      <c r="E2515" s="75">
        <f>+C2515&amp;F2515</f>
        <v/>
      </c>
      <c r="F2515" s="80" t="n"/>
      <c r="G2515" s="81" t="n"/>
      <c r="H2515" s="78" t="n"/>
      <c r="I2515" s="78" t="n"/>
      <c r="J2515" s="78" t="n"/>
    </row>
    <row r="2516">
      <c r="A2516" s="84">
        <f>ROW()-6</f>
        <v/>
      </c>
      <c r="B2516" s="85">
        <f>+MATCH(D2516,ARTICULOS!$F$10:$F$699,0)</f>
        <v/>
      </c>
      <c r="C2516" s="86">
        <f>+VLOOKUP(B2516,ARTICULOS!$D$10:$I$699,6)</f>
        <v/>
      </c>
      <c r="D2516" s="212" t="n"/>
      <c r="E2516" s="75">
        <f>+C2516&amp;F2516</f>
        <v/>
      </c>
      <c r="F2516" s="80" t="n"/>
      <c r="G2516" s="81" t="n"/>
      <c r="H2516" s="78" t="n"/>
      <c r="I2516" s="78" t="n"/>
      <c r="J2516" s="78" t="n"/>
    </row>
    <row r="2517">
      <c r="A2517" s="84">
        <f>ROW()-6</f>
        <v/>
      </c>
      <c r="B2517" s="85">
        <f>+MATCH(D2517,ARTICULOS!$F$10:$F$699,0)</f>
        <v/>
      </c>
      <c r="C2517" s="86">
        <f>+VLOOKUP(B2517,ARTICULOS!$D$10:$I$699,6)</f>
        <v/>
      </c>
      <c r="D2517" s="212" t="n"/>
      <c r="E2517" s="75">
        <f>+C2517&amp;F2517</f>
        <v/>
      </c>
      <c r="F2517" s="80" t="n"/>
      <c r="G2517" s="81" t="n"/>
      <c r="H2517" s="78" t="n"/>
      <c r="I2517" s="78" t="n"/>
      <c r="J2517" s="78" t="n"/>
    </row>
    <row r="2518">
      <c r="A2518" s="84">
        <f>ROW()-6</f>
        <v/>
      </c>
      <c r="B2518" s="85">
        <f>+MATCH(D2518,ARTICULOS!$F$10:$F$699,0)</f>
        <v/>
      </c>
      <c r="C2518" s="86">
        <f>+VLOOKUP(B2518,ARTICULOS!$D$10:$I$699,6)</f>
        <v/>
      </c>
      <c r="D2518" s="212" t="n"/>
      <c r="E2518" s="75">
        <f>+C2518&amp;F2518</f>
        <v/>
      </c>
      <c r="F2518" s="80" t="n"/>
      <c r="G2518" s="81" t="n"/>
      <c r="H2518" s="78" t="n"/>
      <c r="I2518" s="78" t="n"/>
      <c r="J2518" s="78" t="n"/>
    </row>
    <row r="2519">
      <c r="A2519" s="84">
        <f>ROW()-6</f>
        <v/>
      </c>
      <c r="B2519" s="85">
        <f>+MATCH(D2519,ARTICULOS!$F$10:$F$699,0)</f>
        <v/>
      </c>
      <c r="C2519" s="86">
        <f>+VLOOKUP(B2519,ARTICULOS!$D$10:$I$699,6)</f>
        <v/>
      </c>
      <c r="D2519" s="212" t="n"/>
      <c r="E2519" s="75">
        <f>+C2519&amp;F2519</f>
        <v/>
      </c>
      <c r="F2519" s="80" t="n"/>
      <c r="G2519" s="81" t="n"/>
      <c r="H2519" s="78" t="n"/>
      <c r="I2519" s="78" t="n"/>
      <c r="J2519" s="78" t="n"/>
    </row>
    <row r="2520">
      <c r="A2520" s="84">
        <f>ROW()-6</f>
        <v/>
      </c>
      <c r="B2520" s="85">
        <f>+MATCH(D2520,ARTICULOS!$F$10:$F$699,0)</f>
        <v/>
      </c>
      <c r="C2520" s="86">
        <f>+VLOOKUP(B2520,ARTICULOS!$D$10:$I$699,6)</f>
        <v/>
      </c>
      <c r="D2520" s="212" t="n"/>
      <c r="E2520" s="75">
        <f>+C2520&amp;F2520</f>
        <v/>
      </c>
      <c r="F2520" s="80" t="n"/>
      <c r="G2520" s="81" t="n"/>
      <c r="H2520" s="78" t="n"/>
      <c r="I2520" s="78" t="n"/>
      <c r="J2520" s="78" t="n"/>
    </row>
    <row r="2521">
      <c r="A2521" s="84">
        <f>ROW()-6</f>
        <v/>
      </c>
      <c r="B2521" s="85">
        <f>+MATCH(D2521,ARTICULOS!$F$10:$F$699,0)</f>
        <v/>
      </c>
      <c r="C2521" s="86">
        <f>+VLOOKUP(B2521,ARTICULOS!$D$10:$I$699,6)</f>
        <v/>
      </c>
      <c r="D2521" s="212" t="n"/>
      <c r="E2521" s="75">
        <f>+C2521&amp;F2521</f>
        <v/>
      </c>
      <c r="F2521" s="80" t="n"/>
      <c r="G2521" s="81" t="n"/>
      <c r="H2521" s="78" t="n"/>
      <c r="I2521" s="78" t="n"/>
      <c r="J2521" s="78" t="n"/>
    </row>
    <row r="2522">
      <c r="A2522" s="84">
        <f>ROW()-6</f>
        <v/>
      </c>
      <c r="B2522" s="85">
        <f>+MATCH(D2522,ARTICULOS!$F$10:$F$699,0)</f>
        <v/>
      </c>
      <c r="C2522" s="86">
        <f>+VLOOKUP(B2522,ARTICULOS!$D$10:$I$699,6)</f>
        <v/>
      </c>
      <c r="D2522" s="212" t="n"/>
      <c r="E2522" s="75">
        <f>+C2522&amp;F2522</f>
        <v/>
      </c>
      <c r="F2522" s="80" t="n"/>
      <c r="G2522" s="81" t="n"/>
      <c r="H2522" s="78" t="n"/>
      <c r="I2522" s="78" t="n"/>
      <c r="J2522" s="78" t="n"/>
    </row>
    <row r="2523">
      <c r="A2523" s="84">
        <f>ROW()-6</f>
        <v/>
      </c>
      <c r="B2523" s="85">
        <f>+MATCH(D2523,ARTICULOS!$F$10:$F$699,0)</f>
        <v/>
      </c>
      <c r="C2523" s="86">
        <f>+VLOOKUP(B2523,ARTICULOS!$D$10:$I$699,6)</f>
        <v/>
      </c>
      <c r="D2523" s="212" t="n"/>
      <c r="E2523" s="75">
        <f>+C2523&amp;F2523</f>
        <v/>
      </c>
      <c r="F2523" s="80" t="n"/>
      <c r="G2523" s="81" t="n"/>
      <c r="H2523" s="78" t="n"/>
      <c r="I2523" s="78" t="n"/>
      <c r="J2523" s="78" t="n"/>
    </row>
    <row r="2524">
      <c r="A2524" s="84">
        <f>ROW()-6</f>
        <v/>
      </c>
      <c r="B2524" s="85">
        <f>+MATCH(D2524,ARTICULOS!$F$10:$F$699,0)</f>
        <v/>
      </c>
      <c r="C2524" s="86">
        <f>+VLOOKUP(B2524,ARTICULOS!$D$10:$I$699,6)</f>
        <v/>
      </c>
      <c r="D2524" s="212" t="n"/>
      <c r="E2524" s="75">
        <f>+C2524&amp;F2524</f>
        <v/>
      </c>
      <c r="F2524" s="80" t="n"/>
      <c r="G2524" s="81" t="n"/>
      <c r="H2524" s="78" t="n"/>
      <c r="I2524" s="78" t="n"/>
      <c r="J2524" s="78" t="n"/>
    </row>
    <row r="2525">
      <c r="A2525" s="84">
        <f>ROW()-6</f>
        <v/>
      </c>
      <c r="B2525" s="85">
        <f>+MATCH(D2525,ARTICULOS!$F$10:$F$699,0)</f>
        <v/>
      </c>
      <c r="C2525" s="86">
        <f>+VLOOKUP(B2525,ARTICULOS!$D$10:$I$699,6)</f>
        <v/>
      </c>
      <c r="D2525" s="212" t="n"/>
      <c r="E2525" s="75">
        <f>+C2525&amp;F2525</f>
        <v/>
      </c>
      <c r="F2525" s="80" t="n"/>
      <c r="G2525" s="81" t="n"/>
      <c r="H2525" s="78" t="n"/>
      <c r="I2525" s="78" t="n"/>
      <c r="J2525" s="78" t="n"/>
    </row>
    <row r="2526">
      <c r="A2526" s="84">
        <f>ROW()-6</f>
        <v/>
      </c>
      <c r="B2526" s="85">
        <f>+MATCH(D2526,ARTICULOS!$F$10:$F$699,0)</f>
        <v/>
      </c>
      <c r="C2526" s="86">
        <f>+VLOOKUP(B2526,ARTICULOS!$D$10:$I$699,6)</f>
        <v/>
      </c>
      <c r="D2526" s="212" t="n"/>
      <c r="E2526" s="75">
        <f>+C2526&amp;F2526</f>
        <v/>
      </c>
      <c r="F2526" s="80" t="n"/>
      <c r="G2526" s="81" t="n"/>
      <c r="H2526" s="78" t="n"/>
      <c r="I2526" s="78" t="n"/>
      <c r="J2526" s="78" t="n"/>
    </row>
    <row r="2527">
      <c r="A2527" s="84">
        <f>ROW()-6</f>
        <v/>
      </c>
      <c r="B2527" s="85">
        <f>+MATCH(D2527,ARTICULOS!$F$10:$F$699,0)</f>
        <v/>
      </c>
      <c r="C2527" s="86">
        <f>+VLOOKUP(B2527,ARTICULOS!$D$10:$I$699,6)</f>
        <v/>
      </c>
      <c r="D2527" s="212" t="n"/>
      <c r="E2527" s="75">
        <f>+C2527&amp;F2527</f>
        <v/>
      </c>
      <c r="F2527" s="80" t="n"/>
      <c r="G2527" s="81" t="n"/>
      <c r="H2527" s="78" t="n"/>
      <c r="I2527" s="78" t="n"/>
      <c r="J2527" s="78" t="n"/>
    </row>
    <row r="2528">
      <c r="A2528" s="84">
        <f>ROW()-6</f>
        <v/>
      </c>
      <c r="B2528" s="85">
        <f>+MATCH(D2528,ARTICULOS!$F$10:$F$699,0)</f>
        <v/>
      </c>
      <c r="C2528" s="86">
        <f>+VLOOKUP(B2528,ARTICULOS!$D$10:$I$699,6)</f>
        <v/>
      </c>
      <c r="D2528" s="212" t="n"/>
      <c r="E2528" s="75">
        <f>+C2528&amp;F2528</f>
        <v/>
      </c>
      <c r="F2528" s="80" t="n"/>
      <c r="G2528" s="81" t="n"/>
      <c r="H2528" s="78" t="n"/>
      <c r="I2528" s="78" t="n"/>
      <c r="J2528" s="78" t="n"/>
    </row>
    <row r="2529">
      <c r="A2529" s="84">
        <f>ROW()-6</f>
        <v/>
      </c>
      <c r="B2529" s="85">
        <f>+MATCH(D2529,ARTICULOS!$F$10:$F$699,0)</f>
        <v/>
      </c>
      <c r="C2529" s="86">
        <f>+VLOOKUP(B2529,ARTICULOS!$D$10:$I$699,6)</f>
        <v/>
      </c>
      <c r="D2529" s="212" t="n"/>
      <c r="E2529" s="75">
        <f>+C2529&amp;F2529</f>
        <v/>
      </c>
      <c r="F2529" s="80" t="n"/>
      <c r="G2529" s="81" t="n"/>
      <c r="H2529" s="78" t="n"/>
      <c r="I2529" s="78" t="n"/>
      <c r="J2529" s="78" t="n"/>
    </row>
    <row r="2530">
      <c r="A2530" s="84">
        <f>ROW()-6</f>
        <v/>
      </c>
      <c r="B2530" s="85">
        <f>+MATCH(D2530,ARTICULOS!$F$10:$F$699,0)</f>
        <v/>
      </c>
      <c r="C2530" s="86">
        <f>+VLOOKUP(B2530,ARTICULOS!$D$10:$I$699,6)</f>
        <v/>
      </c>
      <c r="D2530" s="212" t="n"/>
      <c r="E2530" s="75">
        <f>+C2530&amp;F2530</f>
        <v/>
      </c>
      <c r="F2530" s="80" t="n"/>
      <c r="G2530" s="81" t="n"/>
      <c r="H2530" s="78" t="n"/>
      <c r="I2530" s="78" t="n"/>
      <c r="J2530" s="78" t="n"/>
    </row>
    <row r="2531">
      <c r="A2531" s="84">
        <f>ROW()-6</f>
        <v/>
      </c>
      <c r="B2531" s="85">
        <f>+MATCH(D2531,ARTICULOS!$F$10:$F$699,0)</f>
        <v/>
      </c>
      <c r="C2531" s="86">
        <f>+VLOOKUP(B2531,ARTICULOS!$D$10:$I$699,6)</f>
        <v/>
      </c>
      <c r="D2531" s="212" t="n"/>
      <c r="E2531" s="75">
        <f>+C2531&amp;F2531</f>
        <v/>
      </c>
      <c r="F2531" s="80" t="n"/>
      <c r="G2531" s="81" t="n"/>
      <c r="H2531" s="78" t="n"/>
      <c r="I2531" s="78" t="n"/>
      <c r="J2531" s="78" t="n"/>
    </row>
    <row r="2532">
      <c r="A2532" s="84">
        <f>ROW()-6</f>
        <v/>
      </c>
      <c r="B2532" s="85">
        <f>+MATCH(D2532,ARTICULOS!$F$10:$F$699,0)</f>
        <v/>
      </c>
      <c r="C2532" s="86">
        <f>+VLOOKUP(B2532,ARTICULOS!$D$10:$I$699,6)</f>
        <v/>
      </c>
      <c r="D2532" s="212" t="n"/>
      <c r="E2532" s="75">
        <f>+C2532&amp;F2532</f>
        <v/>
      </c>
      <c r="F2532" s="80" t="n"/>
      <c r="G2532" s="81" t="n"/>
      <c r="H2532" s="78" t="n"/>
      <c r="I2532" s="78" t="n"/>
      <c r="J2532" s="78" t="n"/>
    </row>
    <row r="2533">
      <c r="A2533" s="84">
        <f>ROW()-6</f>
        <v/>
      </c>
      <c r="B2533" s="85">
        <f>+MATCH(D2533,ARTICULOS!$F$10:$F$699,0)</f>
        <v/>
      </c>
      <c r="C2533" s="86">
        <f>+VLOOKUP(B2533,ARTICULOS!$D$10:$I$699,6)</f>
        <v/>
      </c>
      <c r="D2533" s="212" t="n"/>
      <c r="E2533" s="75">
        <f>+C2533&amp;F2533</f>
        <v/>
      </c>
      <c r="F2533" s="80" t="n"/>
      <c r="G2533" s="81" t="n"/>
      <c r="H2533" s="78" t="n"/>
      <c r="I2533" s="78" t="n"/>
      <c r="J2533" s="78" t="n"/>
    </row>
    <row r="2534">
      <c r="A2534" s="84">
        <f>ROW()-6</f>
        <v/>
      </c>
      <c r="B2534" s="85">
        <f>+MATCH(D2534,ARTICULOS!$F$10:$F$699,0)</f>
        <v/>
      </c>
      <c r="C2534" s="86">
        <f>+VLOOKUP(B2534,ARTICULOS!$D$10:$I$699,6)</f>
        <v/>
      </c>
      <c r="D2534" s="212" t="n"/>
      <c r="E2534" s="75">
        <f>+C2534&amp;F2534</f>
        <v/>
      </c>
      <c r="F2534" s="80" t="n"/>
      <c r="G2534" s="81" t="n"/>
      <c r="H2534" s="78" t="n"/>
      <c r="I2534" s="78" t="n"/>
      <c r="J2534" s="78" t="n"/>
    </row>
    <row r="2535">
      <c r="A2535" s="84">
        <f>ROW()-6</f>
        <v/>
      </c>
      <c r="B2535" s="85">
        <f>+MATCH(D2535,ARTICULOS!$F$10:$F$699,0)</f>
        <v/>
      </c>
      <c r="C2535" s="86">
        <f>+VLOOKUP(B2535,ARTICULOS!$D$10:$I$699,6)</f>
        <v/>
      </c>
      <c r="D2535" s="212" t="n"/>
      <c r="E2535" s="75">
        <f>+C2535&amp;F2535</f>
        <v/>
      </c>
      <c r="F2535" s="80" t="n"/>
      <c r="G2535" s="81" t="n"/>
      <c r="H2535" s="78" t="n"/>
      <c r="I2535" s="78" t="n"/>
      <c r="J2535" s="78" t="n"/>
    </row>
    <row r="2536">
      <c r="A2536" s="84">
        <f>ROW()-6</f>
        <v/>
      </c>
      <c r="B2536" s="85">
        <f>+MATCH(D2536,ARTICULOS!$F$10:$F$699,0)</f>
        <v/>
      </c>
      <c r="C2536" s="86">
        <f>+VLOOKUP(B2536,ARTICULOS!$D$10:$I$699,6)</f>
        <v/>
      </c>
      <c r="D2536" s="212" t="n"/>
      <c r="E2536" s="75">
        <f>+C2536&amp;F2536</f>
        <v/>
      </c>
      <c r="F2536" s="80" t="n"/>
      <c r="G2536" s="81" t="n"/>
      <c r="H2536" s="78" t="n"/>
      <c r="I2536" s="78" t="n"/>
      <c r="J2536" s="78" t="n"/>
    </row>
    <row r="2537">
      <c r="A2537" s="84">
        <f>ROW()-6</f>
        <v/>
      </c>
      <c r="B2537" s="85">
        <f>+MATCH(D2537,ARTICULOS!$F$10:$F$699,0)</f>
        <v/>
      </c>
      <c r="C2537" s="86">
        <f>+VLOOKUP(B2537,ARTICULOS!$D$10:$I$699,6)</f>
        <v/>
      </c>
      <c r="D2537" s="212" t="n"/>
      <c r="E2537" s="75">
        <f>+C2537&amp;F2537</f>
        <v/>
      </c>
      <c r="F2537" s="80" t="n"/>
      <c r="G2537" s="81" t="n"/>
      <c r="H2537" s="78" t="n"/>
      <c r="I2537" s="78" t="n"/>
      <c r="J2537" s="78" t="n"/>
    </row>
    <row r="2538">
      <c r="A2538" s="84">
        <f>ROW()-6</f>
        <v/>
      </c>
      <c r="B2538" s="85">
        <f>+MATCH(D2538,ARTICULOS!$F$10:$F$699,0)</f>
        <v/>
      </c>
      <c r="C2538" s="86">
        <f>+VLOOKUP(B2538,ARTICULOS!$D$10:$I$699,6)</f>
        <v/>
      </c>
      <c r="D2538" s="212" t="n"/>
      <c r="E2538" s="75">
        <f>+C2538&amp;F2538</f>
        <v/>
      </c>
      <c r="F2538" s="80" t="n"/>
      <c r="G2538" s="81" t="n"/>
      <c r="H2538" s="78" t="n"/>
      <c r="I2538" s="78" t="n"/>
      <c r="J2538" s="78" t="n"/>
    </row>
    <row r="2539">
      <c r="A2539" s="84">
        <f>ROW()-6</f>
        <v/>
      </c>
      <c r="B2539" s="85">
        <f>+MATCH(D2539,ARTICULOS!$F$10:$F$699,0)</f>
        <v/>
      </c>
      <c r="C2539" s="86">
        <f>+VLOOKUP(B2539,ARTICULOS!$D$10:$I$699,6)</f>
        <v/>
      </c>
      <c r="D2539" s="212" t="n"/>
      <c r="E2539" s="75">
        <f>+C2539&amp;F2539</f>
        <v/>
      </c>
      <c r="F2539" s="80" t="n"/>
      <c r="G2539" s="81" t="n"/>
      <c r="H2539" s="78" t="n"/>
      <c r="I2539" s="78" t="n"/>
      <c r="J2539" s="78" t="n"/>
    </row>
    <row r="2540">
      <c r="A2540" s="84">
        <f>ROW()-6</f>
        <v/>
      </c>
      <c r="B2540" s="85">
        <f>+MATCH(D2540,ARTICULOS!$F$10:$F$699,0)</f>
        <v/>
      </c>
      <c r="C2540" s="86">
        <f>+VLOOKUP(B2540,ARTICULOS!$D$10:$I$699,6)</f>
        <v/>
      </c>
      <c r="D2540" s="212" t="n"/>
      <c r="E2540" s="75">
        <f>+C2540&amp;F2540</f>
        <v/>
      </c>
      <c r="F2540" s="80" t="n"/>
      <c r="G2540" s="81" t="n"/>
      <c r="H2540" s="78" t="n"/>
      <c r="I2540" s="78" t="n"/>
      <c r="J2540" s="78" t="n"/>
    </row>
    <row r="2541">
      <c r="A2541" s="84">
        <f>ROW()-6</f>
        <v/>
      </c>
      <c r="B2541" s="85">
        <f>+MATCH(D2541,ARTICULOS!$F$10:$F$699,0)</f>
        <v/>
      </c>
      <c r="C2541" s="86">
        <f>+VLOOKUP(B2541,ARTICULOS!$D$10:$I$699,6)</f>
        <v/>
      </c>
      <c r="D2541" s="212" t="n"/>
      <c r="E2541" s="75">
        <f>+C2541&amp;F2541</f>
        <v/>
      </c>
      <c r="F2541" s="80" t="n"/>
      <c r="G2541" s="81" t="n"/>
      <c r="H2541" s="78" t="n"/>
      <c r="I2541" s="78" t="n"/>
      <c r="J2541" s="78" t="n"/>
    </row>
    <row r="2542">
      <c r="A2542" s="84">
        <f>ROW()-6</f>
        <v/>
      </c>
      <c r="B2542" s="85">
        <f>+MATCH(D2542,ARTICULOS!$F$10:$F$699,0)</f>
        <v/>
      </c>
      <c r="C2542" s="86">
        <f>+VLOOKUP(B2542,ARTICULOS!$D$10:$I$699,6)</f>
        <v/>
      </c>
      <c r="D2542" s="212" t="n"/>
      <c r="E2542" s="75">
        <f>+C2542&amp;F2542</f>
        <v/>
      </c>
      <c r="F2542" s="80" t="n"/>
      <c r="G2542" s="81" t="n"/>
      <c r="H2542" s="78" t="n"/>
      <c r="I2542" s="78" t="n"/>
      <c r="J2542" s="78" t="n"/>
    </row>
    <row r="2543">
      <c r="A2543" s="84">
        <f>ROW()-6</f>
        <v/>
      </c>
      <c r="B2543" s="85">
        <f>+MATCH(D2543,ARTICULOS!$F$10:$F$699,0)</f>
        <v/>
      </c>
      <c r="C2543" s="86">
        <f>+VLOOKUP(B2543,ARTICULOS!$D$10:$I$699,6)</f>
        <v/>
      </c>
      <c r="D2543" s="212" t="n"/>
      <c r="E2543" s="75">
        <f>+C2543&amp;F2543</f>
        <v/>
      </c>
      <c r="F2543" s="80" t="n"/>
      <c r="G2543" s="81" t="n"/>
      <c r="H2543" s="78" t="n"/>
      <c r="I2543" s="78" t="n"/>
      <c r="J2543" s="78" t="n"/>
    </row>
    <row r="2544">
      <c r="A2544" s="84">
        <f>ROW()-6</f>
        <v/>
      </c>
      <c r="B2544" s="85">
        <f>+MATCH(D2544,ARTICULOS!$F$10:$F$699,0)</f>
        <v/>
      </c>
      <c r="C2544" s="86">
        <f>+VLOOKUP(B2544,ARTICULOS!$D$10:$I$699,6)</f>
        <v/>
      </c>
      <c r="D2544" s="212" t="n"/>
      <c r="E2544" s="75">
        <f>+C2544&amp;F2544</f>
        <v/>
      </c>
      <c r="F2544" s="80" t="n"/>
      <c r="G2544" s="81" t="n"/>
      <c r="H2544" s="78" t="n"/>
      <c r="I2544" s="78" t="n"/>
      <c r="J2544" s="78" t="n"/>
    </row>
    <row r="2545">
      <c r="A2545" s="84">
        <f>ROW()-6</f>
        <v/>
      </c>
      <c r="B2545" s="85">
        <f>+MATCH(D2545,ARTICULOS!$F$10:$F$699,0)</f>
        <v/>
      </c>
      <c r="C2545" s="86">
        <f>+VLOOKUP(B2545,ARTICULOS!$D$10:$I$699,6)</f>
        <v/>
      </c>
      <c r="D2545" s="212" t="n"/>
      <c r="E2545" s="75">
        <f>+C2545&amp;F2545</f>
        <v/>
      </c>
      <c r="F2545" s="80" t="n"/>
      <c r="G2545" s="81" t="n"/>
      <c r="H2545" s="78" t="n"/>
      <c r="I2545" s="78" t="n"/>
      <c r="J2545" s="78" t="n"/>
    </row>
    <row r="2546">
      <c r="A2546" s="84">
        <f>ROW()-6</f>
        <v/>
      </c>
      <c r="B2546" s="85">
        <f>+MATCH(D2546,ARTICULOS!$F$10:$F$699,0)</f>
        <v/>
      </c>
      <c r="C2546" s="86">
        <f>+VLOOKUP(B2546,ARTICULOS!$D$10:$I$699,6)</f>
        <v/>
      </c>
      <c r="D2546" s="212" t="n"/>
      <c r="E2546" s="75">
        <f>+C2546&amp;F2546</f>
        <v/>
      </c>
      <c r="F2546" s="80" t="n"/>
      <c r="G2546" s="81" t="n"/>
      <c r="H2546" s="78" t="n"/>
      <c r="I2546" s="78" t="n"/>
      <c r="J2546" s="78" t="n"/>
    </row>
    <row r="2547">
      <c r="A2547" s="84">
        <f>ROW()-6</f>
        <v/>
      </c>
      <c r="B2547" s="85">
        <f>+MATCH(D2547,ARTICULOS!$F$10:$F$699,0)</f>
        <v/>
      </c>
      <c r="C2547" s="86">
        <f>+VLOOKUP(B2547,ARTICULOS!$D$10:$I$699,6)</f>
        <v/>
      </c>
      <c r="D2547" s="212" t="n"/>
      <c r="E2547" s="75">
        <f>+C2547&amp;F2547</f>
        <v/>
      </c>
      <c r="F2547" s="80" t="n"/>
      <c r="G2547" s="81" t="n"/>
      <c r="H2547" s="78" t="n"/>
      <c r="I2547" s="78" t="n"/>
      <c r="J2547" s="78" t="n"/>
    </row>
    <row r="2548">
      <c r="A2548" s="84">
        <f>ROW()-6</f>
        <v/>
      </c>
      <c r="B2548" s="85">
        <f>+MATCH(D2548,ARTICULOS!$F$10:$F$699,0)</f>
        <v/>
      </c>
      <c r="C2548" s="86">
        <f>+VLOOKUP(B2548,ARTICULOS!$D$10:$I$699,6)</f>
        <v/>
      </c>
      <c r="D2548" s="212" t="n"/>
      <c r="E2548" s="75">
        <f>+C2548&amp;F2548</f>
        <v/>
      </c>
      <c r="F2548" s="80" t="n"/>
      <c r="G2548" s="81" t="n"/>
      <c r="H2548" s="78" t="n"/>
      <c r="I2548" s="78" t="n"/>
      <c r="J2548" s="78" t="n"/>
    </row>
    <row r="2549">
      <c r="A2549" s="84">
        <f>ROW()-6</f>
        <v/>
      </c>
      <c r="B2549" s="85">
        <f>+MATCH(D2549,ARTICULOS!$F$10:$F$699,0)</f>
        <v/>
      </c>
      <c r="C2549" s="86">
        <f>+VLOOKUP(B2549,ARTICULOS!$D$10:$I$699,6)</f>
        <v/>
      </c>
      <c r="D2549" s="212" t="n"/>
      <c r="E2549" s="75">
        <f>+C2549&amp;F2549</f>
        <v/>
      </c>
      <c r="F2549" s="80" t="n"/>
      <c r="G2549" s="81" t="n"/>
      <c r="H2549" s="78" t="n"/>
      <c r="I2549" s="78" t="n"/>
      <c r="J2549" s="78" t="n"/>
    </row>
    <row r="2550">
      <c r="A2550" s="84">
        <f>ROW()-6</f>
        <v/>
      </c>
      <c r="B2550" s="85">
        <f>+MATCH(D2550,ARTICULOS!$F$10:$F$699,0)</f>
        <v/>
      </c>
      <c r="C2550" s="86">
        <f>+VLOOKUP(B2550,ARTICULOS!$D$10:$I$699,6)</f>
        <v/>
      </c>
      <c r="D2550" s="212" t="n"/>
      <c r="E2550" s="75">
        <f>+C2550&amp;F2550</f>
        <v/>
      </c>
      <c r="F2550" s="80" t="n"/>
      <c r="G2550" s="81" t="n"/>
      <c r="H2550" s="78" t="n"/>
      <c r="I2550" s="78" t="n"/>
      <c r="J2550" s="78" t="n"/>
    </row>
    <row r="2551">
      <c r="A2551" s="84">
        <f>ROW()-6</f>
        <v/>
      </c>
      <c r="B2551" s="85">
        <f>+MATCH(D2551,ARTICULOS!$F$10:$F$699,0)</f>
        <v/>
      </c>
      <c r="C2551" s="86">
        <f>+VLOOKUP(B2551,ARTICULOS!$D$10:$I$699,6)</f>
        <v/>
      </c>
      <c r="D2551" s="212" t="n"/>
      <c r="E2551" s="75">
        <f>+C2551&amp;F2551</f>
        <v/>
      </c>
      <c r="F2551" s="80" t="n"/>
      <c r="G2551" s="81" t="n"/>
      <c r="H2551" s="78" t="n"/>
      <c r="I2551" s="78" t="n"/>
      <c r="J2551" s="78" t="n"/>
    </row>
    <row r="2552">
      <c r="A2552" s="84">
        <f>ROW()-6</f>
        <v/>
      </c>
      <c r="B2552" s="85">
        <f>+MATCH(D2552,ARTICULOS!$F$10:$F$699,0)</f>
        <v/>
      </c>
      <c r="C2552" s="86">
        <f>+VLOOKUP(B2552,ARTICULOS!$D$10:$I$699,6)</f>
        <v/>
      </c>
      <c r="D2552" s="212" t="n"/>
      <c r="E2552" s="75">
        <f>+C2552&amp;F2552</f>
        <v/>
      </c>
      <c r="F2552" s="80" t="n"/>
      <c r="G2552" s="81" t="n"/>
      <c r="H2552" s="78" t="n"/>
      <c r="I2552" s="78" t="n"/>
      <c r="J2552" s="78" t="n"/>
    </row>
    <row r="2553">
      <c r="A2553" s="84">
        <f>ROW()-6</f>
        <v/>
      </c>
      <c r="B2553" s="85">
        <f>+MATCH(D2553,ARTICULOS!$F$10:$F$699,0)</f>
        <v/>
      </c>
      <c r="C2553" s="86">
        <f>+VLOOKUP(B2553,ARTICULOS!$D$10:$I$699,6)</f>
        <v/>
      </c>
      <c r="D2553" s="212" t="n"/>
      <c r="E2553" s="75">
        <f>+C2553&amp;F2553</f>
        <v/>
      </c>
      <c r="F2553" s="80" t="n"/>
      <c r="G2553" s="81" t="n"/>
      <c r="H2553" s="78" t="n"/>
      <c r="I2553" s="78" t="n"/>
      <c r="J2553" s="78" t="n"/>
    </row>
    <row r="2554">
      <c r="A2554" s="84">
        <f>ROW()-6</f>
        <v/>
      </c>
      <c r="B2554" s="85">
        <f>+MATCH(D2554,ARTICULOS!$F$10:$F$699,0)</f>
        <v/>
      </c>
      <c r="C2554" s="86">
        <f>+VLOOKUP(B2554,ARTICULOS!$D$10:$I$699,6)</f>
        <v/>
      </c>
      <c r="D2554" s="212" t="n"/>
      <c r="E2554" s="75">
        <f>+C2554&amp;F2554</f>
        <v/>
      </c>
      <c r="F2554" s="80" t="n"/>
      <c r="G2554" s="81" t="n"/>
      <c r="H2554" s="78" t="n"/>
      <c r="I2554" s="78" t="n"/>
      <c r="J2554" s="78" t="n"/>
    </row>
    <row r="2555">
      <c r="A2555" s="84">
        <f>ROW()-6</f>
        <v/>
      </c>
      <c r="B2555" s="85">
        <f>+MATCH(D2555,ARTICULOS!$F$10:$F$699,0)</f>
        <v/>
      </c>
      <c r="C2555" s="86">
        <f>+VLOOKUP(B2555,ARTICULOS!$D$10:$I$699,6)</f>
        <v/>
      </c>
      <c r="D2555" s="212" t="n"/>
      <c r="E2555" s="75">
        <f>+C2555&amp;F2555</f>
        <v/>
      </c>
      <c r="F2555" s="80" t="n"/>
      <c r="G2555" s="81" t="n"/>
      <c r="H2555" s="78" t="n"/>
      <c r="I2555" s="78" t="n"/>
      <c r="J2555" s="78" t="n"/>
    </row>
    <row r="2556">
      <c r="A2556" s="84">
        <f>ROW()-6</f>
        <v/>
      </c>
      <c r="B2556" s="85">
        <f>+MATCH(D2556,ARTICULOS!$F$10:$F$699,0)</f>
        <v/>
      </c>
      <c r="C2556" s="86">
        <f>+VLOOKUP(B2556,ARTICULOS!$D$10:$I$699,6)</f>
        <v/>
      </c>
      <c r="D2556" s="212" t="n"/>
      <c r="E2556" s="75">
        <f>+C2556&amp;F2556</f>
        <v/>
      </c>
      <c r="F2556" s="80" t="n"/>
      <c r="G2556" s="81" t="n"/>
      <c r="H2556" s="78" t="n"/>
      <c r="I2556" s="78" t="n"/>
      <c r="J2556" s="78" t="n"/>
    </row>
    <row r="2557">
      <c r="A2557" s="84">
        <f>ROW()-6</f>
        <v/>
      </c>
      <c r="B2557" s="85">
        <f>+MATCH(D2557,ARTICULOS!$F$10:$F$699,0)</f>
        <v/>
      </c>
      <c r="C2557" s="86">
        <f>+VLOOKUP(B2557,ARTICULOS!$D$10:$I$699,6)</f>
        <v/>
      </c>
      <c r="D2557" s="212" t="n"/>
      <c r="E2557" s="75">
        <f>+C2557&amp;F2557</f>
        <v/>
      </c>
      <c r="F2557" s="80" t="n"/>
      <c r="G2557" s="81" t="n"/>
      <c r="H2557" s="78" t="n"/>
      <c r="I2557" s="78" t="n"/>
      <c r="J2557" s="78" t="n"/>
    </row>
    <row r="2558">
      <c r="A2558" s="84">
        <f>ROW()-6</f>
        <v/>
      </c>
      <c r="B2558" s="85">
        <f>+MATCH(D2558,ARTICULOS!$F$10:$F$699,0)</f>
        <v/>
      </c>
      <c r="C2558" s="86">
        <f>+VLOOKUP(B2558,ARTICULOS!$D$10:$I$699,6)</f>
        <v/>
      </c>
      <c r="D2558" s="212" t="n"/>
      <c r="E2558" s="75">
        <f>+C2558&amp;F2558</f>
        <v/>
      </c>
      <c r="F2558" s="80" t="n"/>
      <c r="G2558" s="81" t="n"/>
      <c r="H2558" s="78" t="n"/>
      <c r="I2558" s="78" t="n"/>
      <c r="J2558" s="78" t="n"/>
    </row>
    <row r="2559">
      <c r="A2559" s="84">
        <f>ROW()-6</f>
        <v/>
      </c>
      <c r="B2559" s="85">
        <f>+MATCH(D2559,ARTICULOS!$F$10:$F$699,0)</f>
        <v/>
      </c>
      <c r="C2559" s="86">
        <f>+VLOOKUP(B2559,ARTICULOS!$D$10:$I$699,6)</f>
        <v/>
      </c>
      <c r="D2559" s="212" t="n"/>
      <c r="E2559" s="75">
        <f>+C2559&amp;F2559</f>
        <v/>
      </c>
      <c r="F2559" s="80" t="n"/>
      <c r="G2559" s="81" t="n"/>
      <c r="H2559" s="78" t="n"/>
      <c r="I2559" s="78" t="n"/>
      <c r="J2559" s="78" t="n"/>
    </row>
    <row r="2560">
      <c r="A2560" s="84">
        <f>ROW()-6</f>
        <v/>
      </c>
      <c r="B2560" s="85">
        <f>+MATCH(D2560,ARTICULOS!$F$10:$F$699,0)</f>
        <v/>
      </c>
      <c r="C2560" s="86">
        <f>+VLOOKUP(B2560,ARTICULOS!$D$10:$I$699,6)</f>
        <v/>
      </c>
      <c r="D2560" s="212" t="n"/>
      <c r="E2560" s="75">
        <f>+C2560&amp;F2560</f>
        <v/>
      </c>
      <c r="F2560" s="80" t="n"/>
      <c r="G2560" s="81" t="n"/>
      <c r="H2560" s="78" t="n"/>
      <c r="I2560" s="78" t="n"/>
      <c r="J2560" s="78" t="n"/>
    </row>
    <row r="2561">
      <c r="A2561" s="84">
        <f>ROW()-6</f>
        <v/>
      </c>
      <c r="B2561" s="85">
        <f>+MATCH(D2561,ARTICULOS!$F$10:$F$699,0)</f>
        <v/>
      </c>
      <c r="C2561" s="86">
        <f>+VLOOKUP(B2561,ARTICULOS!$D$10:$I$699,6)</f>
        <v/>
      </c>
      <c r="D2561" s="212" t="n"/>
      <c r="E2561" s="75">
        <f>+C2561&amp;F2561</f>
        <v/>
      </c>
      <c r="F2561" s="80" t="n"/>
      <c r="G2561" s="81" t="n"/>
      <c r="H2561" s="78" t="n"/>
      <c r="I2561" s="78" t="n"/>
      <c r="J2561" s="78" t="n"/>
    </row>
    <row r="2562">
      <c r="A2562" s="84">
        <f>ROW()-6</f>
        <v/>
      </c>
      <c r="B2562" s="85">
        <f>+MATCH(D2562,ARTICULOS!$F$10:$F$699,0)</f>
        <v/>
      </c>
      <c r="C2562" s="86">
        <f>+VLOOKUP(B2562,ARTICULOS!$D$10:$I$699,6)</f>
        <v/>
      </c>
      <c r="D2562" s="212" t="n"/>
      <c r="E2562" s="75">
        <f>+C2562&amp;F2562</f>
        <v/>
      </c>
      <c r="F2562" s="80" t="n"/>
      <c r="G2562" s="81" t="n"/>
      <c r="H2562" s="78" t="n"/>
      <c r="I2562" s="78" t="n"/>
      <c r="J2562" s="78" t="n"/>
    </row>
    <row r="2563">
      <c r="A2563" s="84">
        <f>ROW()-6</f>
        <v/>
      </c>
      <c r="B2563" s="85">
        <f>+MATCH(D2563,ARTICULOS!$F$10:$F$699,0)</f>
        <v/>
      </c>
      <c r="C2563" s="86">
        <f>+VLOOKUP(B2563,ARTICULOS!$D$10:$I$699,6)</f>
        <v/>
      </c>
      <c r="D2563" s="212" t="n"/>
      <c r="E2563" s="75">
        <f>+C2563&amp;F2563</f>
        <v/>
      </c>
      <c r="F2563" s="80" t="n"/>
      <c r="G2563" s="81" t="n"/>
      <c r="H2563" s="78" t="n"/>
      <c r="I2563" s="78" t="n"/>
      <c r="J2563" s="78" t="n"/>
    </row>
    <row r="2564">
      <c r="A2564" s="84">
        <f>ROW()-6</f>
        <v/>
      </c>
      <c r="B2564" s="85">
        <f>+MATCH(D2564,ARTICULOS!$F$10:$F$699,0)</f>
        <v/>
      </c>
      <c r="C2564" s="86">
        <f>+VLOOKUP(B2564,ARTICULOS!$D$10:$I$699,6)</f>
        <v/>
      </c>
      <c r="D2564" s="212" t="n"/>
      <c r="E2564" s="75">
        <f>+C2564&amp;F2564</f>
        <v/>
      </c>
      <c r="F2564" s="80" t="n"/>
      <c r="G2564" s="81" t="n"/>
      <c r="H2564" s="78" t="n"/>
      <c r="I2564" s="78" t="n"/>
      <c r="J2564" s="78" t="n"/>
    </row>
    <row r="2565">
      <c r="A2565" s="84">
        <f>ROW()-6</f>
        <v/>
      </c>
      <c r="B2565" s="85">
        <f>+MATCH(D2565,ARTICULOS!$F$10:$F$699,0)</f>
        <v/>
      </c>
      <c r="C2565" s="86">
        <f>+VLOOKUP(B2565,ARTICULOS!$D$10:$I$699,6)</f>
        <v/>
      </c>
      <c r="D2565" s="212" t="n"/>
      <c r="E2565" s="75">
        <f>+C2565&amp;F2565</f>
        <v/>
      </c>
      <c r="F2565" s="80" t="n"/>
      <c r="G2565" s="81" t="n"/>
      <c r="H2565" s="78" t="n"/>
      <c r="I2565" s="78" t="n"/>
      <c r="J2565" s="78" t="n"/>
    </row>
    <row r="2566">
      <c r="A2566" s="84">
        <f>ROW()-6</f>
        <v/>
      </c>
      <c r="B2566" s="85">
        <f>+MATCH(D2566,ARTICULOS!$F$10:$F$699,0)</f>
        <v/>
      </c>
      <c r="C2566" s="86">
        <f>+VLOOKUP(B2566,ARTICULOS!$D$10:$I$699,6)</f>
        <v/>
      </c>
      <c r="D2566" s="212" t="n"/>
      <c r="E2566" s="75">
        <f>+C2566&amp;F2566</f>
        <v/>
      </c>
      <c r="F2566" s="80" t="n"/>
      <c r="G2566" s="81" t="n"/>
      <c r="H2566" s="78" t="n"/>
      <c r="I2566" s="78" t="n"/>
      <c r="J2566" s="78" t="n"/>
    </row>
    <row r="2567">
      <c r="A2567" s="84">
        <f>ROW()-6</f>
        <v/>
      </c>
      <c r="B2567" s="85">
        <f>+MATCH(D2567,ARTICULOS!$F$10:$F$699,0)</f>
        <v/>
      </c>
      <c r="C2567" s="86">
        <f>+VLOOKUP(B2567,ARTICULOS!$D$10:$I$699,6)</f>
        <v/>
      </c>
      <c r="D2567" s="212" t="n"/>
      <c r="E2567" s="75">
        <f>+C2567&amp;F2567</f>
        <v/>
      </c>
      <c r="F2567" s="80" t="n"/>
      <c r="G2567" s="81" t="n"/>
      <c r="H2567" s="78" t="n"/>
      <c r="I2567" s="78" t="n"/>
      <c r="J2567" s="78" t="n"/>
    </row>
    <row r="2568">
      <c r="A2568" s="84">
        <f>ROW()-6</f>
        <v/>
      </c>
      <c r="B2568" s="85">
        <f>+MATCH(D2568,ARTICULOS!$F$10:$F$699,0)</f>
        <v/>
      </c>
      <c r="C2568" s="86">
        <f>+VLOOKUP(B2568,ARTICULOS!$D$10:$I$699,6)</f>
        <v/>
      </c>
      <c r="D2568" s="212" t="n"/>
      <c r="E2568" s="75">
        <f>+C2568&amp;F2568</f>
        <v/>
      </c>
      <c r="F2568" s="80" t="n"/>
      <c r="G2568" s="81" t="n"/>
      <c r="H2568" s="78" t="n"/>
      <c r="I2568" s="78" t="n"/>
      <c r="J2568" s="78" t="n"/>
    </row>
    <row r="2569">
      <c r="A2569" s="84">
        <f>ROW()-6</f>
        <v/>
      </c>
      <c r="B2569" s="85">
        <f>+MATCH(D2569,ARTICULOS!$F$10:$F$699,0)</f>
        <v/>
      </c>
      <c r="C2569" s="86">
        <f>+VLOOKUP(B2569,ARTICULOS!$D$10:$I$699,6)</f>
        <v/>
      </c>
      <c r="D2569" s="212" t="n"/>
      <c r="E2569" s="75">
        <f>+C2569&amp;F2569</f>
        <v/>
      </c>
      <c r="F2569" s="80" t="n"/>
      <c r="G2569" s="81" t="n"/>
      <c r="H2569" s="78" t="n"/>
      <c r="I2569" s="78" t="n"/>
      <c r="J2569" s="78" t="n"/>
    </row>
    <row r="2570">
      <c r="A2570" s="84">
        <f>ROW()-6</f>
        <v/>
      </c>
      <c r="B2570" s="85">
        <f>+MATCH(D2570,ARTICULOS!$F$10:$F$699,0)</f>
        <v/>
      </c>
      <c r="C2570" s="86">
        <f>+VLOOKUP(B2570,ARTICULOS!$D$10:$I$699,6)</f>
        <v/>
      </c>
      <c r="D2570" s="212" t="n"/>
      <c r="E2570" s="75">
        <f>+C2570&amp;F2570</f>
        <v/>
      </c>
      <c r="F2570" s="80" t="n"/>
      <c r="G2570" s="81" t="n"/>
      <c r="H2570" s="78" t="n"/>
      <c r="I2570" s="78" t="n"/>
      <c r="J2570" s="78" t="n"/>
    </row>
    <row r="2571">
      <c r="A2571" s="84">
        <f>ROW()-6</f>
        <v/>
      </c>
      <c r="B2571" s="85">
        <f>+MATCH(D2571,ARTICULOS!$F$10:$F$699,0)</f>
        <v/>
      </c>
      <c r="C2571" s="86">
        <f>+VLOOKUP(B2571,ARTICULOS!$D$10:$I$699,6)</f>
        <v/>
      </c>
      <c r="D2571" s="212" t="n"/>
      <c r="E2571" s="75">
        <f>+C2571&amp;F2571</f>
        <v/>
      </c>
      <c r="F2571" s="80" t="n"/>
      <c r="G2571" s="81" t="n"/>
      <c r="H2571" s="78" t="n"/>
      <c r="I2571" s="78" t="n"/>
      <c r="J2571" s="78" t="n"/>
    </row>
    <row r="2572">
      <c r="A2572" s="84">
        <f>ROW()-6</f>
        <v/>
      </c>
      <c r="B2572" s="85">
        <f>+MATCH(D2572,ARTICULOS!$F$10:$F$699,0)</f>
        <v/>
      </c>
      <c r="C2572" s="86">
        <f>+VLOOKUP(B2572,ARTICULOS!$D$10:$I$699,6)</f>
        <v/>
      </c>
      <c r="D2572" s="212" t="n"/>
      <c r="E2572" s="75">
        <f>+C2572&amp;F2572</f>
        <v/>
      </c>
      <c r="F2572" s="80" t="n"/>
      <c r="G2572" s="81" t="n"/>
      <c r="H2572" s="78" t="n"/>
      <c r="I2572" s="78" t="n"/>
      <c r="J2572" s="78" t="n"/>
    </row>
    <row r="2573">
      <c r="A2573" s="84">
        <f>ROW()-6</f>
        <v/>
      </c>
      <c r="B2573" s="85">
        <f>+MATCH(D2573,ARTICULOS!$F$10:$F$699,0)</f>
        <v/>
      </c>
      <c r="C2573" s="86">
        <f>+VLOOKUP(B2573,ARTICULOS!$D$10:$I$699,6)</f>
        <v/>
      </c>
      <c r="D2573" s="212" t="n"/>
      <c r="E2573" s="75">
        <f>+C2573&amp;F2573</f>
        <v/>
      </c>
      <c r="F2573" s="80" t="n"/>
      <c r="G2573" s="81" t="n"/>
      <c r="H2573" s="78" t="n"/>
      <c r="I2573" s="78" t="n"/>
      <c r="J2573" s="78" t="n"/>
    </row>
    <row r="2574">
      <c r="A2574" s="84">
        <f>ROW()-6</f>
        <v/>
      </c>
      <c r="B2574" s="85">
        <f>+MATCH(D2574,ARTICULOS!$F$10:$F$699,0)</f>
        <v/>
      </c>
      <c r="C2574" s="86">
        <f>+VLOOKUP(B2574,ARTICULOS!$D$10:$I$699,6)</f>
        <v/>
      </c>
      <c r="D2574" s="212" t="n"/>
      <c r="E2574" s="75">
        <f>+C2574&amp;F2574</f>
        <v/>
      </c>
      <c r="F2574" s="80" t="n"/>
      <c r="G2574" s="81" t="n"/>
      <c r="H2574" s="78" t="n"/>
      <c r="I2574" s="78" t="n"/>
      <c r="J2574" s="78" t="n"/>
    </row>
    <row r="2575">
      <c r="A2575" s="84">
        <f>ROW()-6</f>
        <v/>
      </c>
      <c r="B2575" s="85">
        <f>+MATCH(D2575,ARTICULOS!$F$10:$F$699,0)</f>
        <v/>
      </c>
      <c r="C2575" s="86">
        <f>+VLOOKUP(B2575,ARTICULOS!$D$10:$I$699,6)</f>
        <v/>
      </c>
      <c r="D2575" s="212" t="n"/>
      <c r="E2575" s="75">
        <f>+C2575&amp;F2575</f>
        <v/>
      </c>
      <c r="F2575" s="80" t="n"/>
      <c r="G2575" s="81" t="n"/>
      <c r="H2575" s="78" t="n"/>
      <c r="I2575" s="78" t="n"/>
      <c r="J2575" s="78" t="n"/>
    </row>
    <row r="2576">
      <c r="A2576" s="84">
        <f>ROW()-6</f>
        <v/>
      </c>
      <c r="B2576" s="85">
        <f>+MATCH(D2576,ARTICULOS!$F$10:$F$699,0)</f>
        <v/>
      </c>
      <c r="C2576" s="86">
        <f>+VLOOKUP(B2576,ARTICULOS!$D$10:$I$699,6)</f>
        <v/>
      </c>
      <c r="D2576" s="212" t="n"/>
      <c r="E2576" s="75">
        <f>+C2576&amp;F2576</f>
        <v/>
      </c>
      <c r="F2576" s="80" t="n"/>
      <c r="G2576" s="81" t="n"/>
      <c r="H2576" s="78" t="n"/>
      <c r="I2576" s="78" t="n"/>
      <c r="J2576" s="78" t="n"/>
    </row>
    <row r="2577">
      <c r="A2577" s="84">
        <f>ROW()-6</f>
        <v/>
      </c>
      <c r="B2577" s="85">
        <f>+MATCH(D2577,ARTICULOS!$F$10:$F$699,0)</f>
        <v/>
      </c>
      <c r="C2577" s="86">
        <f>+VLOOKUP(B2577,ARTICULOS!$D$10:$I$699,6)</f>
        <v/>
      </c>
      <c r="D2577" s="212" t="n"/>
      <c r="E2577" s="75">
        <f>+C2577&amp;F2577</f>
        <v/>
      </c>
      <c r="F2577" s="80" t="n"/>
      <c r="G2577" s="81" t="n"/>
      <c r="H2577" s="78" t="n"/>
      <c r="I2577" s="78" t="n"/>
      <c r="J2577" s="78" t="n"/>
    </row>
    <row r="2578">
      <c r="A2578" s="84">
        <f>ROW()-6</f>
        <v/>
      </c>
      <c r="B2578" s="85">
        <f>+MATCH(D2578,ARTICULOS!$F$10:$F$699,0)</f>
        <v/>
      </c>
      <c r="C2578" s="86">
        <f>+VLOOKUP(B2578,ARTICULOS!$D$10:$I$699,6)</f>
        <v/>
      </c>
      <c r="D2578" s="212" t="n"/>
      <c r="E2578" s="75">
        <f>+C2578&amp;F2578</f>
        <v/>
      </c>
      <c r="F2578" s="80" t="n"/>
      <c r="G2578" s="81" t="n"/>
      <c r="H2578" s="78" t="n"/>
      <c r="I2578" s="78" t="n"/>
      <c r="J2578" s="78" t="n"/>
    </row>
    <row r="2579">
      <c r="A2579" s="84">
        <f>ROW()-6</f>
        <v/>
      </c>
      <c r="B2579" s="85">
        <f>+MATCH(D2579,ARTICULOS!$F$10:$F$699,0)</f>
        <v/>
      </c>
      <c r="C2579" s="86">
        <f>+VLOOKUP(B2579,ARTICULOS!$D$10:$I$699,6)</f>
        <v/>
      </c>
      <c r="D2579" s="212" t="n"/>
      <c r="E2579" s="75">
        <f>+C2579&amp;F2579</f>
        <v/>
      </c>
      <c r="F2579" s="80" t="n"/>
      <c r="G2579" s="81" t="n"/>
      <c r="H2579" s="78" t="n"/>
      <c r="I2579" s="78" t="n"/>
      <c r="J2579" s="78" t="n"/>
    </row>
    <row r="2580">
      <c r="A2580" s="84">
        <f>ROW()-6</f>
        <v/>
      </c>
      <c r="B2580" s="85">
        <f>+MATCH(D2580,ARTICULOS!$F$10:$F$699,0)</f>
        <v/>
      </c>
      <c r="C2580" s="86">
        <f>+VLOOKUP(B2580,ARTICULOS!$D$10:$I$699,6)</f>
        <v/>
      </c>
      <c r="D2580" s="212" t="n"/>
      <c r="E2580" s="75">
        <f>+C2580&amp;F2580</f>
        <v/>
      </c>
      <c r="F2580" s="80" t="n"/>
      <c r="G2580" s="81" t="n"/>
      <c r="H2580" s="78" t="n"/>
      <c r="I2580" s="78" t="n"/>
      <c r="J2580" s="78" t="n"/>
    </row>
    <row r="2581">
      <c r="A2581" s="84">
        <f>ROW()-6</f>
        <v/>
      </c>
      <c r="B2581" s="85">
        <f>+MATCH(D2581,ARTICULOS!$F$10:$F$699,0)</f>
        <v/>
      </c>
      <c r="C2581" s="86">
        <f>+VLOOKUP(B2581,ARTICULOS!$D$10:$I$699,6)</f>
        <v/>
      </c>
      <c r="D2581" s="212" t="n"/>
      <c r="E2581" s="75">
        <f>+C2581&amp;F2581</f>
        <v/>
      </c>
      <c r="F2581" s="80" t="n"/>
      <c r="G2581" s="81" t="n"/>
      <c r="H2581" s="78" t="n"/>
      <c r="I2581" s="78" t="n"/>
      <c r="J2581" s="78" t="n"/>
    </row>
    <row r="2582">
      <c r="A2582" s="84">
        <f>ROW()-6</f>
        <v/>
      </c>
      <c r="B2582" s="85">
        <f>+MATCH(D2582,ARTICULOS!$F$10:$F$699,0)</f>
        <v/>
      </c>
      <c r="C2582" s="86">
        <f>+VLOOKUP(B2582,ARTICULOS!$D$10:$I$699,6)</f>
        <v/>
      </c>
      <c r="D2582" s="212" t="n"/>
      <c r="E2582" s="75">
        <f>+C2582&amp;F2582</f>
        <v/>
      </c>
      <c r="F2582" s="80" t="n"/>
      <c r="G2582" s="81" t="n"/>
      <c r="H2582" s="78" t="n"/>
      <c r="I2582" s="78" t="n"/>
      <c r="J2582" s="78" t="n"/>
    </row>
    <row r="2583">
      <c r="A2583" s="84">
        <f>ROW()-6</f>
        <v/>
      </c>
      <c r="B2583" s="85">
        <f>+MATCH(D2583,ARTICULOS!$F$10:$F$699,0)</f>
        <v/>
      </c>
      <c r="C2583" s="86">
        <f>+VLOOKUP(B2583,ARTICULOS!$D$10:$I$699,6)</f>
        <v/>
      </c>
      <c r="D2583" s="212" t="n"/>
      <c r="E2583" s="75">
        <f>+C2583&amp;F2583</f>
        <v/>
      </c>
      <c r="F2583" s="80" t="n"/>
      <c r="G2583" s="81" t="n"/>
      <c r="H2583" s="78" t="n"/>
      <c r="I2583" s="78" t="n"/>
      <c r="J2583" s="78" t="n"/>
    </row>
    <row r="2584">
      <c r="A2584" s="84">
        <f>ROW()-6</f>
        <v/>
      </c>
      <c r="B2584" s="85">
        <f>+MATCH(D2584,ARTICULOS!$F$10:$F$699,0)</f>
        <v/>
      </c>
      <c r="C2584" s="86">
        <f>+VLOOKUP(B2584,ARTICULOS!$D$10:$I$699,6)</f>
        <v/>
      </c>
      <c r="D2584" s="212" t="n"/>
      <c r="E2584" s="75">
        <f>+C2584&amp;F2584</f>
        <v/>
      </c>
      <c r="F2584" s="80" t="n"/>
      <c r="G2584" s="81" t="n"/>
      <c r="H2584" s="78" t="n"/>
      <c r="I2584" s="78" t="n"/>
      <c r="J2584" s="78" t="n"/>
    </row>
    <row r="2585">
      <c r="A2585" s="84">
        <f>ROW()-6</f>
        <v/>
      </c>
      <c r="B2585" s="85">
        <f>+MATCH(D2585,ARTICULOS!$F$10:$F$699,0)</f>
        <v/>
      </c>
      <c r="C2585" s="86">
        <f>+VLOOKUP(B2585,ARTICULOS!$D$10:$I$699,6)</f>
        <v/>
      </c>
      <c r="D2585" s="212" t="n"/>
      <c r="E2585" s="75">
        <f>+C2585&amp;F2585</f>
        <v/>
      </c>
      <c r="F2585" s="80" t="n"/>
      <c r="G2585" s="81" t="n"/>
      <c r="H2585" s="78" t="n"/>
      <c r="I2585" s="78" t="n"/>
      <c r="J2585" s="78" t="n"/>
    </row>
    <row r="2586">
      <c r="A2586" s="84">
        <f>ROW()-6</f>
        <v/>
      </c>
      <c r="B2586" s="85">
        <f>+MATCH(D2586,ARTICULOS!$F$10:$F$699,0)</f>
        <v/>
      </c>
      <c r="C2586" s="86">
        <f>+VLOOKUP(B2586,ARTICULOS!$D$10:$I$699,6)</f>
        <v/>
      </c>
      <c r="D2586" s="212" t="n"/>
      <c r="E2586" s="75">
        <f>+C2586&amp;F2586</f>
        <v/>
      </c>
      <c r="F2586" s="80" t="n"/>
      <c r="G2586" s="81" t="n"/>
      <c r="H2586" s="78" t="n"/>
      <c r="I2586" s="78" t="n"/>
      <c r="J2586" s="78" t="n"/>
    </row>
    <row r="2587">
      <c r="A2587" s="84">
        <f>ROW()-6</f>
        <v/>
      </c>
      <c r="B2587" s="85">
        <f>+MATCH(D2587,ARTICULOS!$F$10:$F$699,0)</f>
        <v/>
      </c>
      <c r="C2587" s="86">
        <f>+VLOOKUP(B2587,ARTICULOS!$D$10:$I$699,6)</f>
        <v/>
      </c>
      <c r="D2587" s="212" t="n"/>
      <c r="E2587" s="75">
        <f>+C2587&amp;F2587</f>
        <v/>
      </c>
      <c r="F2587" s="80" t="n"/>
      <c r="G2587" s="81" t="n"/>
      <c r="H2587" s="78" t="n"/>
      <c r="I2587" s="78" t="n"/>
      <c r="J2587" s="78" t="n"/>
    </row>
    <row r="2588">
      <c r="A2588" s="84">
        <f>ROW()-6</f>
        <v/>
      </c>
      <c r="B2588" s="85">
        <f>+MATCH(D2588,ARTICULOS!$F$10:$F$699,0)</f>
        <v/>
      </c>
      <c r="C2588" s="86">
        <f>+VLOOKUP(B2588,ARTICULOS!$D$10:$I$699,6)</f>
        <v/>
      </c>
      <c r="D2588" s="212" t="n"/>
      <c r="E2588" s="75">
        <f>+C2588&amp;F2588</f>
        <v/>
      </c>
      <c r="F2588" s="80" t="n"/>
      <c r="G2588" s="81" t="n"/>
      <c r="H2588" s="78" t="n"/>
      <c r="I2588" s="78" t="n"/>
      <c r="J2588" s="78" t="n"/>
    </row>
    <row r="2589">
      <c r="A2589" s="84">
        <f>ROW()-6</f>
        <v/>
      </c>
      <c r="B2589" s="85">
        <f>+MATCH(D2589,ARTICULOS!$F$10:$F$699,0)</f>
        <v/>
      </c>
      <c r="C2589" s="86">
        <f>+VLOOKUP(B2589,ARTICULOS!$D$10:$I$699,6)</f>
        <v/>
      </c>
      <c r="D2589" s="212" t="n"/>
      <c r="E2589" s="75">
        <f>+C2589&amp;F2589</f>
        <v/>
      </c>
      <c r="F2589" s="80" t="n"/>
      <c r="G2589" s="81" t="n"/>
      <c r="H2589" s="78" t="n"/>
      <c r="I2589" s="78" t="n"/>
      <c r="J2589" s="78" t="n"/>
    </row>
    <row r="2590">
      <c r="A2590" s="84">
        <f>ROW()-6</f>
        <v/>
      </c>
      <c r="B2590" s="85">
        <f>+MATCH(D2590,ARTICULOS!$F$10:$F$699,0)</f>
        <v/>
      </c>
      <c r="C2590" s="86">
        <f>+VLOOKUP(B2590,ARTICULOS!$D$10:$I$699,6)</f>
        <v/>
      </c>
      <c r="D2590" s="212" t="n"/>
      <c r="E2590" s="75">
        <f>+C2590&amp;F2590</f>
        <v/>
      </c>
      <c r="F2590" s="80" t="n"/>
      <c r="G2590" s="81" t="n"/>
      <c r="H2590" s="78" t="n"/>
      <c r="I2590" s="78" t="n"/>
      <c r="J2590" s="78" t="n"/>
    </row>
    <row r="2591">
      <c r="A2591" s="84">
        <f>ROW()-6</f>
        <v/>
      </c>
      <c r="B2591" s="85">
        <f>+MATCH(D2591,ARTICULOS!$F$10:$F$699,0)</f>
        <v/>
      </c>
      <c r="C2591" s="86">
        <f>+VLOOKUP(B2591,ARTICULOS!$D$10:$I$699,6)</f>
        <v/>
      </c>
      <c r="D2591" s="212" t="n"/>
      <c r="E2591" s="75">
        <f>+C2591&amp;F2591</f>
        <v/>
      </c>
      <c r="F2591" s="80" t="n"/>
      <c r="G2591" s="81" t="n"/>
      <c r="H2591" s="78" t="n"/>
      <c r="I2591" s="78" t="n"/>
      <c r="J2591" s="78" t="n"/>
    </row>
    <row r="2592">
      <c r="A2592" s="84">
        <f>ROW()-6</f>
        <v/>
      </c>
      <c r="B2592" s="85">
        <f>+MATCH(D2592,ARTICULOS!$F$10:$F$699,0)</f>
        <v/>
      </c>
      <c r="C2592" s="86">
        <f>+VLOOKUP(B2592,ARTICULOS!$D$10:$I$699,6)</f>
        <v/>
      </c>
      <c r="D2592" s="212" t="n"/>
      <c r="E2592" s="75">
        <f>+C2592&amp;F2592</f>
        <v/>
      </c>
      <c r="F2592" s="80" t="n"/>
      <c r="G2592" s="81" t="n"/>
      <c r="H2592" s="78" t="n"/>
      <c r="I2592" s="78" t="n"/>
      <c r="J2592" s="78" t="n"/>
    </row>
    <row r="2593">
      <c r="A2593" s="84">
        <f>ROW()-6</f>
        <v/>
      </c>
      <c r="B2593" s="85">
        <f>+MATCH(D2593,ARTICULOS!$F$10:$F$699,0)</f>
        <v/>
      </c>
      <c r="C2593" s="86">
        <f>+VLOOKUP(B2593,ARTICULOS!$D$10:$I$699,6)</f>
        <v/>
      </c>
      <c r="D2593" s="212" t="n"/>
      <c r="E2593" s="75">
        <f>+C2593&amp;F2593</f>
        <v/>
      </c>
      <c r="F2593" s="80" t="n"/>
      <c r="G2593" s="81" t="n"/>
      <c r="H2593" s="78" t="n"/>
      <c r="I2593" s="78" t="n"/>
      <c r="J2593" s="78" t="n"/>
    </row>
    <row r="2594">
      <c r="A2594" s="84">
        <f>ROW()-6</f>
        <v/>
      </c>
      <c r="B2594" s="85">
        <f>+MATCH(D2594,ARTICULOS!$F$10:$F$699,0)</f>
        <v/>
      </c>
      <c r="C2594" s="86">
        <f>+VLOOKUP(B2594,ARTICULOS!$D$10:$I$699,6)</f>
        <v/>
      </c>
      <c r="D2594" s="212" t="n"/>
      <c r="E2594" s="75">
        <f>+C2594&amp;F2594</f>
        <v/>
      </c>
      <c r="F2594" s="80" t="n"/>
      <c r="G2594" s="81" t="n"/>
      <c r="H2594" s="78" t="n"/>
      <c r="I2594" s="78" t="n"/>
      <c r="J2594" s="78" t="n"/>
    </row>
    <row r="2595">
      <c r="A2595" s="84">
        <f>ROW()-6</f>
        <v/>
      </c>
      <c r="B2595" s="85">
        <f>+MATCH(D2595,ARTICULOS!$F$10:$F$699,0)</f>
        <v/>
      </c>
      <c r="C2595" s="86">
        <f>+VLOOKUP(B2595,ARTICULOS!$D$10:$I$699,6)</f>
        <v/>
      </c>
      <c r="D2595" s="212" t="n"/>
      <c r="E2595" s="75">
        <f>+C2595&amp;F2595</f>
        <v/>
      </c>
      <c r="F2595" s="80" t="n"/>
      <c r="G2595" s="81" t="n"/>
      <c r="H2595" s="78" t="n"/>
      <c r="I2595" s="78" t="n"/>
      <c r="J2595" s="78" t="n"/>
    </row>
    <row r="2596">
      <c r="A2596" s="84">
        <f>ROW()-6</f>
        <v/>
      </c>
      <c r="B2596" s="85">
        <f>+MATCH(D2596,ARTICULOS!$F$10:$F$699,0)</f>
        <v/>
      </c>
      <c r="C2596" s="86">
        <f>+VLOOKUP(B2596,ARTICULOS!$D$10:$I$699,6)</f>
        <v/>
      </c>
      <c r="D2596" s="212" t="n"/>
      <c r="E2596" s="75">
        <f>+C2596&amp;F2596</f>
        <v/>
      </c>
      <c r="F2596" s="80" t="n"/>
      <c r="G2596" s="81" t="n"/>
      <c r="H2596" s="78" t="n"/>
      <c r="I2596" s="78" t="n"/>
      <c r="J2596" s="78" t="n"/>
    </row>
    <row r="2597">
      <c r="A2597" s="84">
        <f>ROW()-6</f>
        <v/>
      </c>
      <c r="B2597" s="85">
        <f>+MATCH(D2597,ARTICULOS!$F$10:$F$699,0)</f>
        <v/>
      </c>
      <c r="C2597" s="86">
        <f>+VLOOKUP(B2597,ARTICULOS!$D$10:$I$699,6)</f>
        <v/>
      </c>
      <c r="D2597" s="212" t="n"/>
      <c r="E2597" s="75">
        <f>+C2597&amp;F2597</f>
        <v/>
      </c>
      <c r="F2597" s="80" t="n"/>
      <c r="G2597" s="81" t="n"/>
      <c r="H2597" s="78" t="n"/>
      <c r="I2597" s="78" t="n"/>
      <c r="J2597" s="78" t="n"/>
    </row>
    <row r="2598">
      <c r="A2598" s="84">
        <f>ROW()-6</f>
        <v/>
      </c>
      <c r="B2598" s="85">
        <f>+MATCH(D2598,ARTICULOS!$F$10:$F$699,0)</f>
        <v/>
      </c>
      <c r="C2598" s="86">
        <f>+VLOOKUP(B2598,ARTICULOS!$D$10:$I$699,6)</f>
        <v/>
      </c>
      <c r="D2598" s="212" t="n"/>
      <c r="E2598" s="75">
        <f>+C2598&amp;F2598</f>
        <v/>
      </c>
      <c r="F2598" s="80" t="n"/>
      <c r="G2598" s="81" t="n"/>
      <c r="H2598" s="78" t="n"/>
      <c r="I2598" s="78" t="n"/>
      <c r="J2598" s="78" t="n"/>
    </row>
    <row r="2599">
      <c r="A2599" s="84">
        <f>ROW()-6</f>
        <v/>
      </c>
      <c r="B2599" s="85">
        <f>+MATCH(D2599,ARTICULOS!$F$10:$F$699,0)</f>
        <v/>
      </c>
      <c r="C2599" s="86">
        <f>+VLOOKUP(B2599,ARTICULOS!$D$10:$I$699,6)</f>
        <v/>
      </c>
      <c r="D2599" s="212" t="n"/>
      <c r="E2599" s="75">
        <f>+C2599&amp;F2599</f>
        <v/>
      </c>
      <c r="F2599" s="80" t="n"/>
      <c r="G2599" s="81" t="n"/>
      <c r="H2599" s="78" t="n"/>
      <c r="I2599" s="78" t="n"/>
      <c r="J2599" s="78" t="n"/>
    </row>
    <row r="2600">
      <c r="A2600" s="84">
        <f>ROW()-6</f>
        <v/>
      </c>
      <c r="B2600" s="85">
        <f>+MATCH(D2600,ARTICULOS!$F$10:$F$699,0)</f>
        <v/>
      </c>
      <c r="C2600" s="86">
        <f>+VLOOKUP(B2600,ARTICULOS!$D$10:$I$699,6)</f>
        <v/>
      </c>
      <c r="D2600" s="212" t="n"/>
      <c r="E2600" s="75">
        <f>+C2600&amp;F2600</f>
        <v/>
      </c>
      <c r="F2600" s="80" t="n"/>
      <c r="G2600" s="81" t="n"/>
      <c r="H2600" s="78" t="n"/>
      <c r="I2600" s="78" t="n"/>
      <c r="J2600" s="78" t="n"/>
    </row>
    <row r="2601">
      <c r="A2601" s="84">
        <f>ROW()-6</f>
        <v/>
      </c>
      <c r="B2601" s="85">
        <f>+MATCH(D2601,ARTICULOS!$F$10:$F$699,0)</f>
        <v/>
      </c>
      <c r="C2601" s="86">
        <f>+VLOOKUP(B2601,ARTICULOS!$D$10:$I$699,6)</f>
        <v/>
      </c>
      <c r="D2601" s="212" t="n"/>
      <c r="E2601" s="75">
        <f>+C2601&amp;F2601</f>
        <v/>
      </c>
      <c r="F2601" s="80" t="n"/>
      <c r="G2601" s="81" t="n"/>
      <c r="H2601" s="78" t="n"/>
      <c r="I2601" s="78" t="n"/>
      <c r="J2601" s="78" t="n"/>
    </row>
    <row r="2602">
      <c r="A2602" s="84">
        <f>ROW()-6</f>
        <v/>
      </c>
      <c r="B2602" s="85">
        <f>+MATCH(D2602,ARTICULOS!$F$10:$F$699,0)</f>
        <v/>
      </c>
      <c r="C2602" s="86">
        <f>+VLOOKUP(B2602,ARTICULOS!$D$10:$I$699,6)</f>
        <v/>
      </c>
      <c r="D2602" s="212" t="n"/>
      <c r="E2602" s="75">
        <f>+C2602&amp;F2602</f>
        <v/>
      </c>
      <c r="F2602" s="80" t="n"/>
      <c r="G2602" s="81" t="n"/>
      <c r="H2602" s="78" t="n"/>
      <c r="I2602" s="78" t="n"/>
      <c r="J2602" s="78" t="n"/>
    </row>
    <row r="2603">
      <c r="A2603" s="84">
        <f>ROW()-6</f>
        <v/>
      </c>
      <c r="B2603" s="85">
        <f>+MATCH(D2603,ARTICULOS!$F$10:$F$699,0)</f>
        <v/>
      </c>
      <c r="C2603" s="86">
        <f>+VLOOKUP(B2603,ARTICULOS!$D$10:$I$699,6)</f>
        <v/>
      </c>
      <c r="D2603" s="212" t="n"/>
      <c r="E2603" s="75">
        <f>+C2603&amp;F2603</f>
        <v/>
      </c>
      <c r="F2603" s="80" t="n"/>
      <c r="G2603" s="81" t="n"/>
      <c r="H2603" s="78" t="n"/>
      <c r="I2603" s="78" t="n"/>
      <c r="J2603" s="78" t="n"/>
    </row>
    <row r="2604">
      <c r="A2604" s="84">
        <f>ROW()-6</f>
        <v/>
      </c>
      <c r="B2604" s="85">
        <f>+MATCH(D2604,ARTICULOS!$F$10:$F$699,0)</f>
        <v/>
      </c>
      <c r="C2604" s="86">
        <f>+VLOOKUP(B2604,ARTICULOS!$D$10:$I$699,6)</f>
        <v/>
      </c>
      <c r="D2604" s="212" t="n"/>
      <c r="E2604" s="75">
        <f>+C2604&amp;F2604</f>
        <v/>
      </c>
      <c r="F2604" s="80" t="n"/>
      <c r="G2604" s="81" t="n"/>
      <c r="H2604" s="78" t="n"/>
      <c r="I2604" s="78" t="n"/>
      <c r="J2604" s="78" t="n"/>
    </row>
    <row r="2605">
      <c r="A2605" s="84">
        <f>ROW()-6</f>
        <v/>
      </c>
      <c r="B2605" s="85">
        <f>+MATCH(D2605,ARTICULOS!$F$10:$F$699,0)</f>
        <v/>
      </c>
      <c r="C2605" s="86">
        <f>+VLOOKUP(B2605,ARTICULOS!$D$10:$I$699,6)</f>
        <v/>
      </c>
      <c r="D2605" s="212" t="n"/>
      <c r="E2605" s="75">
        <f>+C2605&amp;F2605</f>
        <v/>
      </c>
      <c r="F2605" s="80" t="n"/>
      <c r="G2605" s="81" t="n"/>
      <c r="H2605" s="78" t="n"/>
      <c r="I2605" s="78" t="n"/>
      <c r="J2605" s="78" t="n"/>
    </row>
    <row r="2606">
      <c r="A2606" s="84">
        <f>ROW()-6</f>
        <v/>
      </c>
      <c r="B2606" s="85">
        <f>+MATCH(D2606,ARTICULOS!$F$10:$F$699,0)</f>
        <v/>
      </c>
      <c r="C2606" s="86">
        <f>+VLOOKUP(B2606,ARTICULOS!$D$10:$I$699,6)</f>
        <v/>
      </c>
      <c r="D2606" s="212" t="n"/>
      <c r="E2606" s="75">
        <f>+C2606&amp;F2606</f>
        <v/>
      </c>
      <c r="F2606" s="80" t="n"/>
      <c r="G2606" s="81" t="n"/>
      <c r="H2606" s="78" t="n"/>
      <c r="I2606" s="78" t="n"/>
      <c r="J2606" s="78" t="n"/>
    </row>
    <row r="2607">
      <c r="A2607" s="84">
        <f>ROW()-6</f>
        <v/>
      </c>
      <c r="B2607" s="85">
        <f>+MATCH(D2607,ARTICULOS!$F$10:$F$699,0)</f>
        <v/>
      </c>
      <c r="C2607" s="86">
        <f>+VLOOKUP(B2607,ARTICULOS!$D$10:$I$699,6)</f>
        <v/>
      </c>
      <c r="D2607" s="212" t="n"/>
      <c r="E2607" s="75">
        <f>+C2607&amp;F2607</f>
        <v/>
      </c>
      <c r="F2607" s="80" t="n"/>
      <c r="G2607" s="81" t="n"/>
      <c r="H2607" s="78" t="n"/>
      <c r="I2607" s="78" t="n"/>
      <c r="J2607" s="78" t="n"/>
    </row>
    <row r="2608">
      <c r="A2608" s="84">
        <f>ROW()-6</f>
        <v/>
      </c>
      <c r="B2608" s="85">
        <f>+MATCH(D2608,ARTICULOS!$F$10:$F$699,0)</f>
        <v/>
      </c>
      <c r="C2608" s="86">
        <f>+VLOOKUP(B2608,ARTICULOS!$D$10:$I$699,6)</f>
        <v/>
      </c>
      <c r="D2608" s="212" t="n"/>
      <c r="E2608" s="75">
        <f>+C2608&amp;F2608</f>
        <v/>
      </c>
      <c r="F2608" s="80" t="n"/>
      <c r="G2608" s="81" t="n"/>
      <c r="H2608" s="78" t="n"/>
      <c r="I2608" s="78" t="n"/>
      <c r="J2608" s="78" t="n"/>
    </row>
    <row r="2609">
      <c r="A2609" s="84">
        <f>ROW()-6</f>
        <v/>
      </c>
      <c r="B2609" s="85">
        <f>+MATCH(D2609,ARTICULOS!$F$10:$F$699,0)</f>
        <v/>
      </c>
      <c r="C2609" s="86">
        <f>+VLOOKUP(B2609,ARTICULOS!$D$10:$I$699,6)</f>
        <v/>
      </c>
      <c r="D2609" s="212" t="n"/>
      <c r="E2609" s="75">
        <f>+C2609&amp;F2609</f>
        <v/>
      </c>
      <c r="F2609" s="80" t="n"/>
      <c r="G2609" s="81" t="n"/>
      <c r="H2609" s="78" t="n"/>
      <c r="I2609" s="78" t="n"/>
      <c r="J2609" s="78" t="n"/>
    </row>
    <row r="2610">
      <c r="A2610" s="84">
        <f>ROW()-6</f>
        <v/>
      </c>
      <c r="B2610" s="85">
        <f>+MATCH(D2610,ARTICULOS!$F$10:$F$699,0)</f>
        <v/>
      </c>
      <c r="C2610" s="86">
        <f>+VLOOKUP(B2610,ARTICULOS!$D$10:$I$699,6)</f>
        <v/>
      </c>
      <c r="D2610" s="212" t="n"/>
      <c r="E2610" s="75">
        <f>+C2610&amp;F2610</f>
        <v/>
      </c>
      <c r="F2610" s="80" t="n"/>
      <c r="G2610" s="81" t="n"/>
      <c r="H2610" s="78" t="n"/>
      <c r="I2610" s="78" t="n"/>
      <c r="J2610" s="78" t="n"/>
    </row>
    <row r="2611">
      <c r="A2611" s="84">
        <f>ROW()-6</f>
        <v/>
      </c>
      <c r="B2611" s="85">
        <f>+MATCH(D2611,ARTICULOS!$F$10:$F$699,0)</f>
        <v/>
      </c>
      <c r="C2611" s="86">
        <f>+VLOOKUP(B2611,ARTICULOS!$D$10:$I$699,6)</f>
        <v/>
      </c>
      <c r="D2611" s="212" t="n"/>
      <c r="E2611" s="75">
        <f>+C2611&amp;F2611</f>
        <v/>
      </c>
      <c r="F2611" s="80" t="n"/>
      <c r="G2611" s="81" t="n"/>
      <c r="H2611" s="78" t="n"/>
      <c r="I2611" s="78" t="n"/>
      <c r="J2611" s="78" t="n"/>
    </row>
    <row r="2612">
      <c r="A2612" s="84">
        <f>ROW()-6</f>
        <v/>
      </c>
      <c r="B2612" s="85">
        <f>+MATCH(D2612,ARTICULOS!$F$10:$F$699,0)</f>
        <v/>
      </c>
      <c r="C2612" s="86">
        <f>+VLOOKUP(B2612,ARTICULOS!$D$10:$I$699,6)</f>
        <v/>
      </c>
      <c r="D2612" s="212" t="n"/>
      <c r="E2612" s="75">
        <f>+C2612&amp;F2612</f>
        <v/>
      </c>
      <c r="F2612" s="80" t="n"/>
      <c r="G2612" s="81" t="n"/>
      <c r="H2612" s="78" t="n"/>
      <c r="I2612" s="78" t="n"/>
      <c r="J2612" s="78" t="n"/>
    </row>
    <row r="2613">
      <c r="A2613" s="84">
        <f>ROW()-6</f>
        <v/>
      </c>
      <c r="B2613" s="85">
        <f>+MATCH(D2613,ARTICULOS!$F$10:$F$699,0)</f>
        <v/>
      </c>
      <c r="C2613" s="86">
        <f>+VLOOKUP(B2613,ARTICULOS!$D$10:$I$699,6)</f>
        <v/>
      </c>
      <c r="D2613" s="212" t="n"/>
      <c r="E2613" s="75">
        <f>+C2613&amp;F2613</f>
        <v/>
      </c>
      <c r="F2613" s="80" t="n"/>
      <c r="G2613" s="81" t="n"/>
      <c r="H2613" s="78" t="n"/>
      <c r="I2613" s="78" t="n"/>
      <c r="J2613" s="78" t="n"/>
    </row>
    <row r="2614">
      <c r="A2614" s="84">
        <f>ROW()-6</f>
        <v/>
      </c>
      <c r="B2614" s="85">
        <f>+MATCH(D2614,ARTICULOS!$F$10:$F$699,0)</f>
        <v/>
      </c>
      <c r="C2614" s="86">
        <f>+VLOOKUP(B2614,ARTICULOS!$D$10:$I$699,6)</f>
        <v/>
      </c>
      <c r="D2614" s="212" t="n"/>
      <c r="E2614" s="75">
        <f>+C2614&amp;F2614</f>
        <v/>
      </c>
      <c r="F2614" s="80" t="n"/>
      <c r="G2614" s="81" t="n"/>
      <c r="H2614" s="78" t="n"/>
      <c r="I2614" s="78" t="n"/>
      <c r="J2614" s="78" t="n"/>
    </row>
    <row r="2615">
      <c r="A2615" s="84">
        <f>ROW()-6</f>
        <v/>
      </c>
      <c r="B2615" s="85">
        <f>+MATCH(D2615,ARTICULOS!$F$10:$F$699,0)</f>
        <v/>
      </c>
      <c r="C2615" s="86">
        <f>+VLOOKUP(B2615,ARTICULOS!$D$10:$I$699,6)</f>
        <v/>
      </c>
      <c r="D2615" s="212" t="n"/>
      <c r="E2615" s="75">
        <f>+C2615&amp;F2615</f>
        <v/>
      </c>
      <c r="F2615" s="80" t="n"/>
      <c r="G2615" s="81" t="n"/>
      <c r="H2615" s="78" t="n"/>
      <c r="I2615" s="78" t="n"/>
      <c r="J2615" s="78" t="n"/>
    </row>
    <row r="2616">
      <c r="A2616" s="84">
        <f>ROW()-6</f>
        <v/>
      </c>
      <c r="B2616" s="85">
        <f>+MATCH(D2616,ARTICULOS!$F$10:$F$699,0)</f>
        <v/>
      </c>
      <c r="C2616" s="86">
        <f>+VLOOKUP(B2616,ARTICULOS!$D$10:$I$699,6)</f>
        <v/>
      </c>
      <c r="D2616" s="212" t="n"/>
      <c r="E2616" s="75">
        <f>+C2616&amp;F2616</f>
        <v/>
      </c>
      <c r="F2616" s="80" t="n"/>
      <c r="G2616" s="81" t="n"/>
      <c r="H2616" s="78" t="n"/>
      <c r="I2616" s="78" t="n"/>
      <c r="J2616" s="78" t="n"/>
    </row>
    <row r="2617">
      <c r="A2617" s="84">
        <f>ROW()-6</f>
        <v/>
      </c>
      <c r="B2617" s="85">
        <f>+MATCH(D2617,ARTICULOS!$F$10:$F$699,0)</f>
        <v/>
      </c>
      <c r="C2617" s="86">
        <f>+VLOOKUP(B2617,ARTICULOS!$D$10:$I$699,6)</f>
        <v/>
      </c>
      <c r="D2617" s="212" t="n"/>
      <c r="E2617" s="75">
        <f>+C2617&amp;F2617</f>
        <v/>
      </c>
      <c r="F2617" s="80" t="n"/>
      <c r="G2617" s="81" t="n"/>
      <c r="H2617" s="78" t="n"/>
      <c r="I2617" s="78" t="n"/>
      <c r="J2617" s="78" t="n"/>
    </row>
    <row r="2618">
      <c r="A2618" s="84">
        <f>ROW()-6</f>
        <v/>
      </c>
      <c r="B2618" s="85">
        <f>+MATCH(D2618,ARTICULOS!$F$10:$F$699,0)</f>
        <v/>
      </c>
      <c r="C2618" s="86">
        <f>+VLOOKUP(B2618,ARTICULOS!$D$10:$I$699,6)</f>
        <v/>
      </c>
      <c r="D2618" s="212" t="n"/>
      <c r="E2618" s="75">
        <f>+C2618&amp;F2618</f>
        <v/>
      </c>
      <c r="F2618" s="80" t="n"/>
      <c r="G2618" s="81" t="n"/>
      <c r="H2618" s="78" t="n"/>
      <c r="I2618" s="78" t="n"/>
      <c r="J2618" s="78" t="n"/>
    </row>
    <row r="2619">
      <c r="A2619" s="84">
        <f>ROW()-6</f>
        <v/>
      </c>
      <c r="B2619" s="85">
        <f>+MATCH(D2619,ARTICULOS!$F$10:$F$699,0)</f>
        <v/>
      </c>
      <c r="C2619" s="86">
        <f>+VLOOKUP(B2619,ARTICULOS!$D$10:$I$699,6)</f>
        <v/>
      </c>
      <c r="D2619" s="212" t="n"/>
      <c r="E2619" s="75">
        <f>+C2619&amp;F2619</f>
        <v/>
      </c>
      <c r="F2619" s="80" t="n"/>
      <c r="G2619" s="81" t="n"/>
      <c r="H2619" s="78" t="n"/>
      <c r="I2619" s="78" t="n"/>
      <c r="J2619" s="78" t="n"/>
    </row>
    <row r="2620">
      <c r="A2620" s="84">
        <f>ROW()-6</f>
        <v/>
      </c>
      <c r="B2620" s="85">
        <f>+MATCH(D2620,ARTICULOS!$F$10:$F$699,0)</f>
        <v/>
      </c>
      <c r="C2620" s="86">
        <f>+VLOOKUP(B2620,ARTICULOS!$D$10:$I$699,6)</f>
        <v/>
      </c>
      <c r="D2620" s="212" t="n"/>
      <c r="E2620" s="75">
        <f>+C2620&amp;F2620</f>
        <v/>
      </c>
      <c r="F2620" s="80" t="n"/>
      <c r="G2620" s="81" t="n"/>
      <c r="H2620" s="78" t="n"/>
      <c r="I2620" s="78" t="n"/>
      <c r="J2620" s="78" t="n"/>
    </row>
    <row r="2621">
      <c r="A2621" s="84">
        <f>ROW()-6</f>
        <v/>
      </c>
      <c r="B2621" s="85">
        <f>+MATCH(D2621,ARTICULOS!$F$10:$F$699,0)</f>
        <v/>
      </c>
      <c r="C2621" s="86">
        <f>+VLOOKUP(B2621,ARTICULOS!$D$10:$I$699,6)</f>
        <v/>
      </c>
      <c r="D2621" s="212" t="n"/>
      <c r="E2621" s="75">
        <f>+C2621&amp;F2621</f>
        <v/>
      </c>
      <c r="F2621" s="80" t="n"/>
      <c r="G2621" s="81" t="n"/>
      <c r="H2621" s="78" t="n"/>
      <c r="I2621" s="78" t="n"/>
      <c r="J2621" s="78" t="n"/>
    </row>
    <row r="2622">
      <c r="A2622" s="84">
        <f>ROW()-6</f>
        <v/>
      </c>
      <c r="B2622" s="85">
        <f>+MATCH(D2622,ARTICULOS!$F$10:$F$699,0)</f>
        <v/>
      </c>
      <c r="C2622" s="86">
        <f>+VLOOKUP(B2622,ARTICULOS!$D$10:$I$699,6)</f>
        <v/>
      </c>
      <c r="D2622" s="212" t="n"/>
      <c r="E2622" s="75">
        <f>+C2622&amp;F2622</f>
        <v/>
      </c>
      <c r="F2622" s="80" t="n"/>
      <c r="G2622" s="81" t="n"/>
      <c r="H2622" s="78" t="n"/>
      <c r="I2622" s="78" t="n"/>
      <c r="J2622" s="78" t="n"/>
    </row>
    <row r="2623">
      <c r="A2623" s="84">
        <f>ROW()-6</f>
        <v/>
      </c>
      <c r="B2623" s="85">
        <f>+MATCH(D2623,ARTICULOS!$F$10:$F$699,0)</f>
        <v/>
      </c>
      <c r="C2623" s="86">
        <f>+VLOOKUP(B2623,ARTICULOS!$D$10:$I$699,6)</f>
        <v/>
      </c>
      <c r="D2623" s="212" t="n"/>
      <c r="E2623" s="75">
        <f>+C2623&amp;F2623</f>
        <v/>
      </c>
      <c r="F2623" s="80" t="n"/>
      <c r="G2623" s="81" t="n"/>
      <c r="H2623" s="78" t="n"/>
      <c r="I2623" s="78" t="n"/>
      <c r="J2623" s="78" t="n"/>
    </row>
    <row r="2624">
      <c r="A2624" s="84">
        <f>ROW()-6</f>
        <v/>
      </c>
      <c r="B2624" s="85">
        <f>+MATCH(D2624,ARTICULOS!$F$10:$F$699,0)</f>
        <v/>
      </c>
      <c r="C2624" s="86">
        <f>+VLOOKUP(B2624,ARTICULOS!$D$10:$I$699,6)</f>
        <v/>
      </c>
      <c r="D2624" s="212" t="n"/>
      <c r="E2624" s="75">
        <f>+C2624&amp;F2624</f>
        <v/>
      </c>
      <c r="F2624" s="80" t="n"/>
      <c r="G2624" s="81" t="n"/>
      <c r="H2624" s="78" t="n"/>
      <c r="I2624" s="78" t="n"/>
      <c r="J2624" s="78" t="n"/>
    </row>
    <row r="2625">
      <c r="A2625" s="84">
        <f>ROW()-6</f>
        <v/>
      </c>
      <c r="B2625" s="85">
        <f>+MATCH(D2625,ARTICULOS!$F$10:$F$699,0)</f>
        <v/>
      </c>
      <c r="C2625" s="86">
        <f>+VLOOKUP(B2625,ARTICULOS!$D$10:$I$699,6)</f>
        <v/>
      </c>
      <c r="D2625" s="212" t="n"/>
      <c r="E2625" s="75">
        <f>+C2625&amp;F2625</f>
        <v/>
      </c>
      <c r="F2625" s="80" t="n"/>
      <c r="G2625" s="81" t="n"/>
      <c r="H2625" s="78" t="n"/>
      <c r="I2625" s="78" t="n"/>
      <c r="J2625" s="78" t="n"/>
    </row>
    <row r="2626">
      <c r="A2626" s="84">
        <f>ROW()-6</f>
        <v/>
      </c>
      <c r="B2626" s="85">
        <f>+MATCH(D2626,ARTICULOS!$F$10:$F$699,0)</f>
        <v/>
      </c>
      <c r="C2626" s="86">
        <f>+VLOOKUP(B2626,ARTICULOS!$D$10:$I$699,6)</f>
        <v/>
      </c>
      <c r="D2626" s="212" t="n"/>
      <c r="E2626" s="75">
        <f>+C2626&amp;F2626</f>
        <v/>
      </c>
      <c r="F2626" s="80" t="n"/>
      <c r="G2626" s="81" t="n"/>
      <c r="H2626" s="78" t="n"/>
      <c r="I2626" s="78" t="n"/>
      <c r="J2626" s="78" t="n"/>
    </row>
    <row r="2627">
      <c r="A2627" s="84">
        <f>ROW()-6</f>
        <v/>
      </c>
      <c r="B2627" s="85">
        <f>+MATCH(D2627,ARTICULOS!$F$10:$F$699,0)</f>
        <v/>
      </c>
      <c r="C2627" s="86">
        <f>+VLOOKUP(B2627,ARTICULOS!$D$10:$I$699,6)</f>
        <v/>
      </c>
      <c r="D2627" s="212" t="n"/>
      <c r="E2627" s="75">
        <f>+C2627&amp;F2627</f>
        <v/>
      </c>
      <c r="F2627" s="80" t="n"/>
      <c r="G2627" s="81" t="n"/>
      <c r="H2627" s="78" t="n"/>
      <c r="I2627" s="78" t="n"/>
      <c r="J2627" s="78" t="n"/>
    </row>
    <row r="2628">
      <c r="A2628" s="84">
        <f>ROW()-6</f>
        <v/>
      </c>
      <c r="B2628" s="85">
        <f>+MATCH(D2628,ARTICULOS!$F$10:$F$699,0)</f>
        <v/>
      </c>
      <c r="C2628" s="86">
        <f>+VLOOKUP(B2628,ARTICULOS!$D$10:$I$699,6)</f>
        <v/>
      </c>
      <c r="D2628" s="212" t="n"/>
      <c r="E2628" s="75">
        <f>+C2628&amp;F2628</f>
        <v/>
      </c>
      <c r="F2628" s="80" t="n"/>
      <c r="G2628" s="81" t="n"/>
      <c r="H2628" s="78" t="n"/>
      <c r="I2628" s="78" t="n"/>
      <c r="J2628" s="78" t="n"/>
    </row>
    <row r="2629">
      <c r="A2629" s="84">
        <f>ROW()-6</f>
        <v/>
      </c>
      <c r="B2629" s="85">
        <f>+MATCH(D2629,ARTICULOS!$F$10:$F$699,0)</f>
        <v/>
      </c>
      <c r="C2629" s="86">
        <f>+VLOOKUP(B2629,ARTICULOS!$D$10:$I$699,6)</f>
        <v/>
      </c>
      <c r="D2629" s="212" t="n"/>
      <c r="E2629" s="75">
        <f>+C2629&amp;F2629</f>
        <v/>
      </c>
      <c r="F2629" s="80" t="n"/>
      <c r="G2629" s="81" t="n"/>
      <c r="H2629" s="78" t="n"/>
      <c r="I2629" s="78" t="n"/>
      <c r="J2629" s="78" t="n"/>
    </row>
    <row r="2630">
      <c r="A2630" s="84">
        <f>ROW()-6</f>
        <v/>
      </c>
      <c r="B2630" s="85">
        <f>+MATCH(D2630,ARTICULOS!$F$10:$F$699,0)</f>
        <v/>
      </c>
      <c r="C2630" s="86">
        <f>+VLOOKUP(B2630,ARTICULOS!$D$10:$I$699,6)</f>
        <v/>
      </c>
      <c r="D2630" s="212" t="n"/>
      <c r="E2630" s="75">
        <f>+C2630&amp;F2630</f>
        <v/>
      </c>
      <c r="F2630" s="80" t="n"/>
      <c r="G2630" s="81" t="n"/>
      <c r="H2630" s="78" t="n"/>
      <c r="I2630" s="78" t="n"/>
      <c r="J2630" s="78" t="n"/>
    </row>
    <row r="2631">
      <c r="A2631" s="84">
        <f>ROW()-6</f>
        <v/>
      </c>
      <c r="B2631" s="85">
        <f>+MATCH(D2631,ARTICULOS!$F$10:$F$699,0)</f>
        <v/>
      </c>
      <c r="C2631" s="86">
        <f>+VLOOKUP(B2631,ARTICULOS!$D$10:$I$699,6)</f>
        <v/>
      </c>
      <c r="D2631" s="212" t="n"/>
      <c r="E2631" s="75">
        <f>+C2631&amp;F2631</f>
        <v/>
      </c>
      <c r="F2631" s="80" t="n"/>
      <c r="G2631" s="81" t="n"/>
      <c r="H2631" s="78" t="n"/>
      <c r="I2631" s="78" t="n"/>
      <c r="J2631" s="78" t="n"/>
    </row>
    <row r="2632">
      <c r="A2632" s="84">
        <f>ROW()-6</f>
        <v/>
      </c>
      <c r="B2632" s="85">
        <f>+MATCH(D2632,ARTICULOS!$F$10:$F$699,0)</f>
        <v/>
      </c>
      <c r="C2632" s="86">
        <f>+VLOOKUP(B2632,ARTICULOS!$D$10:$I$699,6)</f>
        <v/>
      </c>
      <c r="D2632" s="212" t="n"/>
      <c r="E2632" s="75">
        <f>+C2632&amp;F2632</f>
        <v/>
      </c>
      <c r="F2632" s="80" t="n"/>
      <c r="G2632" s="81" t="n"/>
      <c r="H2632" s="78" t="n"/>
      <c r="I2632" s="78" t="n"/>
      <c r="J2632" s="78" t="n"/>
    </row>
    <row r="2633">
      <c r="A2633" s="84">
        <f>ROW()-6</f>
        <v/>
      </c>
      <c r="B2633" s="85">
        <f>+MATCH(D2633,ARTICULOS!$F$10:$F$699,0)</f>
        <v/>
      </c>
      <c r="C2633" s="86">
        <f>+VLOOKUP(B2633,ARTICULOS!$D$10:$I$699,6)</f>
        <v/>
      </c>
      <c r="D2633" s="212" t="n"/>
      <c r="E2633" s="75">
        <f>+C2633&amp;F2633</f>
        <v/>
      </c>
      <c r="F2633" s="80" t="n"/>
      <c r="G2633" s="81" t="n"/>
      <c r="H2633" s="78" t="n"/>
      <c r="I2633" s="78" t="n"/>
      <c r="J2633" s="78" t="n"/>
    </row>
    <row r="2634">
      <c r="A2634" s="84">
        <f>ROW()-6</f>
        <v/>
      </c>
      <c r="B2634" s="85">
        <f>+MATCH(D2634,ARTICULOS!$F$10:$F$699,0)</f>
        <v/>
      </c>
      <c r="C2634" s="86">
        <f>+VLOOKUP(B2634,ARTICULOS!$D$10:$I$699,6)</f>
        <v/>
      </c>
      <c r="D2634" s="212" t="n"/>
      <c r="E2634" s="75">
        <f>+C2634&amp;F2634</f>
        <v/>
      </c>
      <c r="F2634" s="80" t="n"/>
      <c r="G2634" s="81" t="n"/>
      <c r="H2634" s="78" t="n"/>
      <c r="I2634" s="78" t="n"/>
      <c r="J2634" s="78" t="n"/>
    </row>
    <row r="2635">
      <c r="A2635" s="84">
        <f>ROW()-6</f>
        <v/>
      </c>
      <c r="B2635" s="85">
        <f>+MATCH(D2635,ARTICULOS!$F$10:$F$699,0)</f>
        <v/>
      </c>
      <c r="C2635" s="86">
        <f>+VLOOKUP(B2635,ARTICULOS!$D$10:$I$699,6)</f>
        <v/>
      </c>
      <c r="D2635" s="212" t="n"/>
      <c r="E2635" s="75">
        <f>+C2635&amp;F2635</f>
        <v/>
      </c>
      <c r="F2635" s="80" t="n"/>
      <c r="G2635" s="81" t="n"/>
      <c r="H2635" s="78" t="n"/>
      <c r="I2635" s="78" t="n"/>
      <c r="J2635" s="78" t="n"/>
    </row>
    <row r="2636">
      <c r="A2636" s="84">
        <f>ROW()-6</f>
        <v/>
      </c>
      <c r="B2636" s="85">
        <f>+MATCH(D2636,ARTICULOS!$F$10:$F$699,0)</f>
        <v/>
      </c>
      <c r="C2636" s="86">
        <f>+VLOOKUP(B2636,ARTICULOS!$D$10:$I$699,6)</f>
        <v/>
      </c>
      <c r="D2636" s="212" t="n"/>
      <c r="E2636" s="75">
        <f>+C2636&amp;F2636</f>
        <v/>
      </c>
      <c r="F2636" s="80" t="n"/>
      <c r="G2636" s="81" t="n"/>
      <c r="H2636" s="78" t="n"/>
      <c r="I2636" s="78" t="n"/>
      <c r="J2636" s="78" t="n"/>
    </row>
    <row r="2637">
      <c r="A2637" s="84">
        <f>ROW()-6</f>
        <v/>
      </c>
      <c r="B2637" s="85">
        <f>+MATCH(D2637,ARTICULOS!$F$10:$F$699,0)</f>
        <v/>
      </c>
      <c r="C2637" s="86">
        <f>+VLOOKUP(B2637,ARTICULOS!$D$10:$I$699,6)</f>
        <v/>
      </c>
      <c r="D2637" s="212" t="n"/>
      <c r="E2637" s="75">
        <f>+C2637&amp;F2637</f>
        <v/>
      </c>
      <c r="F2637" s="80" t="n"/>
      <c r="G2637" s="81" t="n"/>
      <c r="H2637" s="78" t="n"/>
      <c r="I2637" s="78" t="n"/>
      <c r="J2637" s="78" t="n"/>
    </row>
    <row r="2638">
      <c r="A2638" s="84">
        <f>ROW()-6</f>
        <v/>
      </c>
      <c r="B2638" s="85">
        <f>+MATCH(D2638,ARTICULOS!$F$10:$F$699,0)</f>
        <v/>
      </c>
      <c r="C2638" s="86">
        <f>+VLOOKUP(B2638,ARTICULOS!$D$10:$I$699,6)</f>
        <v/>
      </c>
      <c r="D2638" s="212" t="n"/>
      <c r="E2638" s="75">
        <f>+C2638&amp;F2638</f>
        <v/>
      </c>
      <c r="F2638" s="80" t="n"/>
      <c r="G2638" s="81" t="n"/>
      <c r="H2638" s="78" t="n"/>
      <c r="I2638" s="78" t="n"/>
      <c r="J2638" s="78" t="n"/>
    </row>
    <row r="2639">
      <c r="A2639" s="84">
        <f>ROW()-6</f>
        <v/>
      </c>
      <c r="B2639" s="85">
        <f>+MATCH(D2639,ARTICULOS!$F$10:$F$699,0)</f>
        <v/>
      </c>
      <c r="C2639" s="86">
        <f>+VLOOKUP(B2639,ARTICULOS!$D$10:$I$699,6)</f>
        <v/>
      </c>
      <c r="D2639" s="212" t="n"/>
      <c r="E2639" s="75">
        <f>+C2639&amp;F2639</f>
        <v/>
      </c>
      <c r="F2639" s="80" t="n"/>
      <c r="G2639" s="81" t="n"/>
      <c r="H2639" s="78" t="n"/>
      <c r="I2639" s="78" t="n"/>
      <c r="J2639" s="78" t="n"/>
    </row>
    <row r="2640">
      <c r="A2640" s="84">
        <f>ROW()-6</f>
        <v/>
      </c>
      <c r="B2640" s="85">
        <f>+MATCH(D2640,ARTICULOS!$F$10:$F$699,0)</f>
        <v/>
      </c>
      <c r="C2640" s="86">
        <f>+VLOOKUP(B2640,ARTICULOS!$D$10:$I$699,6)</f>
        <v/>
      </c>
      <c r="D2640" s="212" t="n"/>
      <c r="E2640" s="75">
        <f>+C2640&amp;F2640</f>
        <v/>
      </c>
      <c r="F2640" s="80" t="n"/>
      <c r="G2640" s="81" t="n"/>
      <c r="H2640" s="78" t="n"/>
      <c r="I2640" s="78" t="n"/>
      <c r="J2640" s="78" t="n"/>
    </row>
    <row r="2641">
      <c r="A2641" s="84">
        <f>ROW()-6</f>
        <v/>
      </c>
      <c r="B2641" s="85">
        <f>+MATCH(D2641,ARTICULOS!$F$10:$F$699,0)</f>
        <v/>
      </c>
      <c r="C2641" s="86">
        <f>+VLOOKUP(B2641,ARTICULOS!$D$10:$I$699,6)</f>
        <v/>
      </c>
      <c r="D2641" s="212" t="n"/>
      <c r="E2641" s="75">
        <f>+C2641&amp;F2641</f>
        <v/>
      </c>
      <c r="F2641" s="80" t="n"/>
      <c r="G2641" s="81" t="n"/>
      <c r="H2641" s="78" t="n"/>
      <c r="I2641" s="78" t="n"/>
      <c r="J2641" s="78" t="n"/>
    </row>
    <row r="2642">
      <c r="A2642" s="84">
        <f>ROW()-6</f>
        <v/>
      </c>
      <c r="B2642" s="85">
        <f>+MATCH(D2642,ARTICULOS!$F$10:$F$699,0)</f>
        <v/>
      </c>
      <c r="C2642" s="86">
        <f>+VLOOKUP(B2642,ARTICULOS!$D$10:$I$699,6)</f>
        <v/>
      </c>
      <c r="D2642" s="212" t="n"/>
      <c r="E2642" s="75">
        <f>+C2642&amp;F2642</f>
        <v/>
      </c>
      <c r="F2642" s="80" t="n"/>
      <c r="G2642" s="81" t="n"/>
      <c r="H2642" s="78" t="n"/>
      <c r="I2642" s="78" t="n"/>
      <c r="J2642" s="78" t="n"/>
    </row>
    <row r="2643">
      <c r="A2643" s="84">
        <f>ROW()-6</f>
        <v/>
      </c>
      <c r="B2643" s="85">
        <f>+MATCH(D2643,ARTICULOS!$F$10:$F$699,0)</f>
        <v/>
      </c>
      <c r="C2643" s="86">
        <f>+VLOOKUP(B2643,ARTICULOS!$D$10:$I$699,6)</f>
        <v/>
      </c>
      <c r="D2643" s="212" t="n"/>
      <c r="E2643" s="75">
        <f>+C2643&amp;F2643</f>
        <v/>
      </c>
      <c r="F2643" s="80" t="n"/>
      <c r="G2643" s="81" t="n"/>
      <c r="H2643" s="78" t="n"/>
      <c r="I2643" s="78" t="n"/>
      <c r="J2643" s="78" t="n"/>
    </row>
    <row r="2644">
      <c r="A2644" s="84">
        <f>ROW()-6</f>
        <v/>
      </c>
      <c r="B2644" s="85">
        <f>+MATCH(D2644,ARTICULOS!$F$10:$F$699,0)</f>
        <v/>
      </c>
      <c r="C2644" s="86">
        <f>+VLOOKUP(B2644,ARTICULOS!$D$10:$I$699,6)</f>
        <v/>
      </c>
      <c r="D2644" s="212" t="n"/>
      <c r="E2644" s="75">
        <f>+C2644&amp;F2644</f>
        <v/>
      </c>
      <c r="F2644" s="80" t="n"/>
      <c r="G2644" s="81" t="n"/>
      <c r="H2644" s="78" t="n"/>
      <c r="I2644" s="78" t="n"/>
      <c r="J2644" s="78" t="n"/>
    </row>
    <row r="2645">
      <c r="A2645" s="84">
        <f>ROW()-6</f>
        <v/>
      </c>
      <c r="B2645" s="85">
        <f>+MATCH(D2645,ARTICULOS!$F$10:$F$699,0)</f>
        <v/>
      </c>
      <c r="C2645" s="86">
        <f>+VLOOKUP(B2645,ARTICULOS!$D$10:$I$699,6)</f>
        <v/>
      </c>
      <c r="D2645" s="212" t="n"/>
      <c r="E2645" s="75">
        <f>+C2645&amp;F2645</f>
        <v/>
      </c>
      <c r="F2645" s="80" t="n"/>
      <c r="G2645" s="81" t="n"/>
      <c r="H2645" s="78" t="n"/>
      <c r="I2645" s="78" t="n"/>
      <c r="J2645" s="78" t="n"/>
    </row>
    <row r="2646">
      <c r="A2646" s="84">
        <f>ROW()-6</f>
        <v/>
      </c>
      <c r="B2646" s="85">
        <f>+MATCH(D2646,ARTICULOS!$F$10:$F$699,0)</f>
        <v/>
      </c>
      <c r="C2646" s="86">
        <f>+VLOOKUP(B2646,ARTICULOS!$D$10:$I$699,6)</f>
        <v/>
      </c>
      <c r="D2646" s="212" t="n"/>
      <c r="E2646" s="75">
        <f>+C2646&amp;F2646</f>
        <v/>
      </c>
      <c r="F2646" s="80" t="n"/>
      <c r="G2646" s="81" t="n"/>
      <c r="H2646" s="78" t="n"/>
      <c r="I2646" s="78" t="n"/>
      <c r="J2646" s="78" t="n"/>
    </row>
    <row r="2647">
      <c r="A2647" s="84">
        <f>ROW()-6</f>
        <v/>
      </c>
      <c r="B2647" s="85">
        <f>+MATCH(D2647,ARTICULOS!$F$10:$F$699,0)</f>
        <v/>
      </c>
      <c r="C2647" s="86">
        <f>+VLOOKUP(B2647,ARTICULOS!$D$10:$I$699,6)</f>
        <v/>
      </c>
      <c r="D2647" s="212" t="n"/>
      <c r="E2647" s="75">
        <f>+C2647&amp;F2647</f>
        <v/>
      </c>
      <c r="F2647" s="80" t="n"/>
      <c r="G2647" s="81" t="n"/>
      <c r="H2647" s="78" t="n"/>
      <c r="I2647" s="78" t="n"/>
      <c r="J2647" s="78" t="n"/>
    </row>
    <row r="2648">
      <c r="A2648" s="84">
        <f>ROW()-6</f>
        <v/>
      </c>
      <c r="B2648" s="85">
        <f>+MATCH(D2648,ARTICULOS!$F$10:$F$699,0)</f>
        <v/>
      </c>
      <c r="C2648" s="86">
        <f>+VLOOKUP(B2648,ARTICULOS!$D$10:$I$699,6)</f>
        <v/>
      </c>
      <c r="D2648" s="212" t="n"/>
      <c r="E2648" s="75">
        <f>+C2648&amp;F2648</f>
        <v/>
      </c>
      <c r="F2648" s="80" t="n"/>
      <c r="G2648" s="81" t="n"/>
      <c r="H2648" s="78" t="n"/>
      <c r="I2648" s="78" t="n"/>
      <c r="J2648" s="78" t="n"/>
    </row>
    <row r="2649">
      <c r="A2649" s="84">
        <f>ROW()-6</f>
        <v/>
      </c>
      <c r="B2649" s="85">
        <f>+MATCH(D2649,ARTICULOS!$F$10:$F$699,0)</f>
        <v/>
      </c>
      <c r="C2649" s="86">
        <f>+VLOOKUP(B2649,ARTICULOS!$D$10:$I$699,6)</f>
        <v/>
      </c>
      <c r="D2649" s="212" t="n"/>
      <c r="E2649" s="75">
        <f>+C2649&amp;F2649</f>
        <v/>
      </c>
      <c r="F2649" s="80" t="n"/>
      <c r="G2649" s="81" t="n"/>
      <c r="H2649" s="78" t="n"/>
      <c r="I2649" s="78" t="n"/>
      <c r="J2649" s="78" t="n"/>
    </row>
    <row r="2650">
      <c r="A2650" s="84">
        <f>ROW()-6</f>
        <v/>
      </c>
      <c r="B2650" s="85">
        <f>+MATCH(D2650,ARTICULOS!$F$10:$F$699,0)</f>
        <v/>
      </c>
      <c r="C2650" s="86">
        <f>+VLOOKUP(B2650,ARTICULOS!$D$10:$I$699,6)</f>
        <v/>
      </c>
      <c r="D2650" s="212" t="n"/>
      <c r="E2650" s="75">
        <f>+C2650&amp;F2650</f>
        <v/>
      </c>
      <c r="F2650" s="80" t="n"/>
      <c r="G2650" s="81" t="n"/>
      <c r="H2650" s="78" t="n"/>
      <c r="I2650" s="78" t="n"/>
      <c r="J2650" s="78" t="n"/>
    </row>
    <row r="2651">
      <c r="A2651" s="84">
        <f>ROW()-6</f>
        <v/>
      </c>
      <c r="B2651" s="85">
        <f>+MATCH(D2651,ARTICULOS!$F$10:$F$699,0)</f>
        <v/>
      </c>
      <c r="C2651" s="86">
        <f>+VLOOKUP(B2651,ARTICULOS!$D$10:$I$699,6)</f>
        <v/>
      </c>
      <c r="D2651" s="212" t="n"/>
      <c r="E2651" s="75">
        <f>+C2651&amp;F2651</f>
        <v/>
      </c>
      <c r="F2651" s="80" t="n"/>
      <c r="G2651" s="81" t="n"/>
      <c r="H2651" s="78" t="n"/>
      <c r="I2651" s="78" t="n"/>
      <c r="J2651" s="78" t="n"/>
    </row>
    <row r="2652">
      <c r="A2652" s="84">
        <f>ROW()-6</f>
        <v/>
      </c>
      <c r="B2652" s="85">
        <f>+MATCH(D2652,ARTICULOS!$F$10:$F$699,0)</f>
        <v/>
      </c>
      <c r="C2652" s="86">
        <f>+VLOOKUP(B2652,ARTICULOS!$D$10:$I$699,6)</f>
        <v/>
      </c>
      <c r="D2652" s="212" t="n"/>
      <c r="E2652" s="75">
        <f>+C2652&amp;F2652</f>
        <v/>
      </c>
      <c r="F2652" s="80" t="n"/>
      <c r="G2652" s="81" t="n"/>
      <c r="H2652" s="78" t="n"/>
      <c r="I2652" s="78" t="n"/>
      <c r="J2652" s="78" t="n"/>
    </row>
    <row r="2653">
      <c r="A2653" s="84">
        <f>ROW()-6</f>
        <v/>
      </c>
      <c r="B2653" s="85">
        <f>+MATCH(D2653,ARTICULOS!$F$10:$F$699,0)</f>
        <v/>
      </c>
      <c r="C2653" s="86">
        <f>+VLOOKUP(B2653,ARTICULOS!$D$10:$I$699,6)</f>
        <v/>
      </c>
      <c r="D2653" s="212" t="n"/>
      <c r="E2653" s="75">
        <f>+C2653&amp;F2653</f>
        <v/>
      </c>
      <c r="F2653" s="80" t="n"/>
      <c r="G2653" s="81" t="n"/>
      <c r="H2653" s="78" t="n"/>
      <c r="I2653" s="78" t="n"/>
      <c r="J2653" s="78" t="n"/>
    </row>
    <row r="2654">
      <c r="A2654" s="84">
        <f>ROW()-6</f>
        <v/>
      </c>
      <c r="B2654" s="85">
        <f>+MATCH(D2654,ARTICULOS!$F$10:$F$699,0)</f>
        <v/>
      </c>
      <c r="C2654" s="86">
        <f>+VLOOKUP(B2654,ARTICULOS!$D$10:$I$699,6)</f>
        <v/>
      </c>
      <c r="D2654" s="212" t="n"/>
      <c r="E2654" s="75">
        <f>+C2654&amp;F2654</f>
        <v/>
      </c>
      <c r="F2654" s="80" t="n"/>
      <c r="G2654" s="81" t="n"/>
      <c r="H2654" s="78" t="n"/>
      <c r="I2654" s="78" t="n"/>
      <c r="J2654" s="78" t="n"/>
    </row>
    <row r="2655">
      <c r="A2655" s="84">
        <f>ROW()-6</f>
        <v/>
      </c>
      <c r="B2655" s="85">
        <f>+MATCH(D2655,ARTICULOS!$F$10:$F$699,0)</f>
        <v/>
      </c>
      <c r="C2655" s="86">
        <f>+VLOOKUP(B2655,ARTICULOS!$D$10:$I$699,6)</f>
        <v/>
      </c>
      <c r="D2655" s="212" t="n"/>
      <c r="E2655" s="75">
        <f>+C2655&amp;F2655</f>
        <v/>
      </c>
      <c r="F2655" s="80" t="n"/>
      <c r="G2655" s="81" t="n"/>
      <c r="H2655" s="78" t="n"/>
      <c r="I2655" s="78" t="n"/>
      <c r="J2655" s="78" t="n"/>
    </row>
    <row r="2656">
      <c r="A2656" s="84">
        <f>ROW()-6</f>
        <v/>
      </c>
      <c r="B2656" s="85">
        <f>+MATCH(D2656,ARTICULOS!$F$10:$F$699,0)</f>
        <v/>
      </c>
      <c r="C2656" s="86">
        <f>+VLOOKUP(B2656,ARTICULOS!$D$10:$I$699,6)</f>
        <v/>
      </c>
      <c r="D2656" s="212" t="n"/>
      <c r="E2656" s="75">
        <f>+C2656&amp;F2656</f>
        <v/>
      </c>
      <c r="F2656" s="80" t="n"/>
      <c r="G2656" s="81" t="n"/>
      <c r="H2656" s="78" t="n"/>
      <c r="I2656" s="78" t="n"/>
      <c r="J2656" s="78" t="n"/>
    </row>
    <row r="2657">
      <c r="A2657" s="84">
        <f>ROW()-6</f>
        <v/>
      </c>
      <c r="B2657" s="85">
        <f>+MATCH(D2657,ARTICULOS!$F$10:$F$699,0)</f>
        <v/>
      </c>
      <c r="C2657" s="86">
        <f>+VLOOKUP(B2657,ARTICULOS!$D$10:$I$699,6)</f>
        <v/>
      </c>
      <c r="D2657" s="212" t="n"/>
      <c r="E2657" s="75">
        <f>+C2657&amp;F2657</f>
        <v/>
      </c>
      <c r="F2657" s="80" t="n"/>
      <c r="G2657" s="81" t="n"/>
      <c r="H2657" s="78" t="n"/>
      <c r="I2657" s="78" t="n"/>
      <c r="J2657" s="78" t="n"/>
    </row>
    <row r="2658">
      <c r="A2658" s="84">
        <f>ROW()-6</f>
        <v/>
      </c>
      <c r="B2658" s="85">
        <f>+MATCH(D2658,ARTICULOS!$F$10:$F$699,0)</f>
        <v/>
      </c>
      <c r="C2658" s="86">
        <f>+VLOOKUP(B2658,ARTICULOS!$D$10:$I$699,6)</f>
        <v/>
      </c>
      <c r="D2658" s="212" t="n"/>
      <c r="E2658" s="75">
        <f>+C2658&amp;F2658</f>
        <v/>
      </c>
      <c r="F2658" s="80" t="n"/>
      <c r="G2658" s="81" t="n"/>
      <c r="H2658" s="78" t="n"/>
      <c r="I2658" s="78" t="n"/>
      <c r="J2658" s="78" t="n"/>
    </row>
    <row r="2659">
      <c r="A2659" s="84">
        <f>ROW()-6</f>
        <v/>
      </c>
      <c r="B2659" s="85">
        <f>+MATCH(D2659,ARTICULOS!$F$10:$F$699,0)</f>
        <v/>
      </c>
      <c r="C2659" s="86">
        <f>+VLOOKUP(B2659,ARTICULOS!$D$10:$I$699,6)</f>
        <v/>
      </c>
      <c r="D2659" s="212" t="n"/>
      <c r="E2659" s="75">
        <f>+C2659&amp;F2659</f>
        <v/>
      </c>
      <c r="F2659" s="80" t="n"/>
      <c r="G2659" s="81" t="n"/>
      <c r="H2659" s="78" t="n"/>
      <c r="I2659" s="78" t="n"/>
      <c r="J2659" s="78" t="n"/>
    </row>
    <row r="2660">
      <c r="A2660" s="84">
        <f>ROW()-6</f>
        <v/>
      </c>
      <c r="B2660" s="85">
        <f>+MATCH(D2660,ARTICULOS!$F$10:$F$699,0)</f>
        <v/>
      </c>
      <c r="C2660" s="86">
        <f>+VLOOKUP(B2660,ARTICULOS!$D$10:$I$699,6)</f>
        <v/>
      </c>
      <c r="D2660" s="212" t="n"/>
      <c r="E2660" s="75">
        <f>+C2660&amp;F2660</f>
        <v/>
      </c>
      <c r="F2660" s="80" t="n"/>
      <c r="G2660" s="81" t="n"/>
      <c r="H2660" s="78" t="n"/>
      <c r="I2660" s="78" t="n"/>
      <c r="J2660" s="78" t="n"/>
    </row>
    <row r="2661">
      <c r="A2661" s="84">
        <f>ROW()-6</f>
        <v/>
      </c>
      <c r="B2661" s="85">
        <f>+MATCH(D2661,ARTICULOS!$F$10:$F$699,0)</f>
        <v/>
      </c>
      <c r="C2661" s="86">
        <f>+VLOOKUP(B2661,ARTICULOS!$D$10:$I$699,6)</f>
        <v/>
      </c>
      <c r="D2661" s="212" t="n"/>
      <c r="E2661" s="75">
        <f>+C2661&amp;F2661</f>
        <v/>
      </c>
      <c r="F2661" s="80" t="n"/>
      <c r="G2661" s="81" t="n"/>
      <c r="H2661" s="78" t="n"/>
      <c r="I2661" s="78" t="n"/>
      <c r="J2661" s="78" t="n"/>
    </row>
    <row r="2662">
      <c r="A2662" s="84">
        <f>ROW()-6</f>
        <v/>
      </c>
      <c r="B2662" s="85">
        <f>+MATCH(D2662,ARTICULOS!$F$10:$F$699,0)</f>
        <v/>
      </c>
      <c r="C2662" s="86">
        <f>+VLOOKUP(B2662,ARTICULOS!$D$10:$I$699,6)</f>
        <v/>
      </c>
      <c r="D2662" s="212" t="n"/>
      <c r="E2662" s="75">
        <f>+C2662&amp;F2662</f>
        <v/>
      </c>
      <c r="F2662" s="80" t="n"/>
      <c r="G2662" s="81" t="n"/>
      <c r="H2662" s="78" t="n"/>
      <c r="I2662" s="78" t="n"/>
      <c r="J2662" s="78" t="n"/>
    </row>
    <row r="2663">
      <c r="A2663" s="84">
        <f>ROW()-6</f>
        <v/>
      </c>
      <c r="B2663" s="85">
        <f>+MATCH(D2663,ARTICULOS!$F$10:$F$699,0)</f>
        <v/>
      </c>
      <c r="C2663" s="86">
        <f>+VLOOKUP(B2663,ARTICULOS!$D$10:$I$699,6)</f>
        <v/>
      </c>
      <c r="D2663" s="212" t="n"/>
      <c r="E2663" s="75">
        <f>+C2663&amp;F2663</f>
        <v/>
      </c>
      <c r="F2663" s="80" t="n"/>
      <c r="G2663" s="81" t="n"/>
      <c r="H2663" s="78" t="n"/>
      <c r="I2663" s="78" t="n"/>
      <c r="J2663" s="78" t="n"/>
    </row>
    <row r="2664">
      <c r="A2664" s="84">
        <f>ROW()-6</f>
        <v/>
      </c>
      <c r="B2664" s="85">
        <f>+MATCH(D2664,ARTICULOS!$F$10:$F$699,0)</f>
        <v/>
      </c>
      <c r="C2664" s="86">
        <f>+VLOOKUP(B2664,ARTICULOS!$D$10:$I$699,6)</f>
        <v/>
      </c>
      <c r="D2664" s="212" t="n"/>
      <c r="E2664" s="75">
        <f>+C2664&amp;F2664</f>
        <v/>
      </c>
      <c r="F2664" s="80" t="n"/>
      <c r="G2664" s="81" t="n"/>
      <c r="H2664" s="78" t="n"/>
      <c r="I2664" s="78" t="n"/>
      <c r="J2664" s="78" t="n"/>
    </row>
    <row r="2665">
      <c r="A2665" s="84">
        <f>ROW()-6</f>
        <v/>
      </c>
      <c r="B2665" s="85">
        <f>+MATCH(D2665,ARTICULOS!$F$10:$F$699,0)</f>
        <v/>
      </c>
      <c r="C2665" s="86">
        <f>+VLOOKUP(B2665,ARTICULOS!$D$10:$I$699,6)</f>
        <v/>
      </c>
      <c r="D2665" s="212" t="n"/>
      <c r="E2665" s="75">
        <f>+C2665&amp;F2665</f>
        <v/>
      </c>
      <c r="F2665" s="80" t="n"/>
      <c r="G2665" s="81" t="n"/>
      <c r="H2665" s="78" t="n"/>
      <c r="I2665" s="78" t="n"/>
      <c r="J2665" s="78" t="n"/>
    </row>
    <row r="2666">
      <c r="A2666" s="84">
        <f>ROW()-6</f>
        <v/>
      </c>
      <c r="B2666" s="85">
        <f>+MATCH(D2666,ARTICULOS!$F$10:$F$699,0)</f>
        <v/>
      </c>
      <c r="C2666" s="86">
        <f>+VLOOKUP(B2666,ARTICULOS!$D$10:$I$699,6)</f>
        <v/>
      </c>
      <c r="D2666" s="212" t="n"/>
      <c r="E2666" s="75">
        <f>+C2666&amp;F2666</f>
        <v/>
      </c>
      <c r="F2666" s="80" t="n"/>
      <c r="G2666" s="81" t="n"/>
      <c r="H2666" s="78" t="n"/>
      <c r="I2666" s="78" t="n"/>
      <c r="J2666" s="78" t="n"/>
    </row>
    <row r="2667">
      <c r="A2667" s="84">
        <f>ROW()-6</f>
        <v/>
      </c>
      <c r="B2667" s="85">
        <f>+MATCH(D2667,ARTICULOS!$F$10:$F$699,0)</f>
        <v/>
      </c>
      <c r="C2667" s="86">
        <f>+VLOOKUP(B2667,ARTICULOS!$D$10:$I$699,6)</f>
        <v/>
      </c>
      <c r="D2667" s="212" t="n"/>
      <c r="E2667" s="75">
        <f>+C2667&amp;F2667</f>
        <v/>
      </c>
      <c r="F2667" s="80" t="n"/>
      <c r="G2667" s="81" t="n"/>
      <c r="H2667" s="78" t="n"/>
      <c r="I2667" s="78" t="n"/>
      <c r="J2667" s="78" t="n"/>
    </row>
    <row r="2668">
      <c r="A2668" s="84">
        <f>ROW()-6</f>
        <v/>
      </c>
      <c r="B2668" s="85">
        <f>+MATCH(D2668,ARTICULOS!$F$10:$F$699,0)</f>
        <v/>
      </c>
      <c r="C2668" s="86">
        <f>+VLOOKUP(B2668,ARTICULOS!$D$10:$I$699,6)</f>
        <v/>
      </c>
      <c r="D2668" s="212" t="n"/>
      <c r="E2668" s="75">
        <f>+C2668&amp;F2668</f>
        <v/>
      </c>
      <c r="F2668" s="80" t="n"/>
      <c r="G2668" s="81" t="n"/>
      <c r="H2668" s="78" t="n"/>
      <c r="I2668" s="78" t="n"/>
      <c r="J2668" s="78" t="n"/>
    </row>
    <row r="2669">
      <c r="A2669" s="84">
        <f>ROW()-6</f>
        <v/>
      </c>
      <c r="B2669" s="85">
        <f>+MATCH(D2669,ARTICULOS!$F$10:$F$699,0)</f>
        <v/>
      </c>
      <c r="C2669" s="86">
        <f>+VLOOKUP(B2669,ARTICULOS!$D$10:$I$699,6)</f>
        <v/>
      </c>
      <c r="D2669" s="212" t="n"/>
      <c r="E2669" s="75">
        <f>+C2669&amp;F2669</f>
        <v/>
      </c>
      <c r="F2669" s="80" t="n"/>
      <c r="G2669" s="81" t="n"/>
      <c r="H2669" s="78" t="n"/>
      <c r="I2669" s="78" t="n"/>
      <c r="J2669" s="78" t="n"/>
    </row>
    <row r="2670">
      <c r="A2670" s="84">
        <f>ROW()-6</f>
        <v/>
      </c>
      <c r="B2670" s="85">
        <f>+MATCH(D2670,ARTICULOS!$F$10:$F$699,0)</f>
        <v/>
      </c>
      <c r="C2670" s="86">
        <f>+VLOOKUP(B2670,ARTICULOS!$D$10:$I$699,6)</f>
        <v/>
      </c>
      <c r="D2670" s="212" t="n"/>
      <c r="E2670" s="75">
        <f>+C2670&amp;F2670</f>
        <v/>
      </c>
      <c r="F2670" s="80" t="n"/>
      <c r="G2670" s="81" t="n"/>
      <c r="H2670" s="78" t="n"/>
      <c r="I2670" s="78" t="n"/>
      <c r="J2670" s="78" t="n"/>
    </row>
    <row r="2671">
      <c r="A2671" s="84">
        <f>ROW()-6</f>
        <v/>
      </c>
      <c r="B2671" s="85">
        <f>+MATCH(D2671,ARTICULOS!$F$10:$F$699,0)</f>
        <v/>
      </c>
      <c r="C2671" s="86">
        <f>+VLOOKUP(B2671,ARTICULOS!$D$10:$I$699,6)</f>
        <v/>
      </c>
      <c r="D2671" s="212" t="n"/>
      <c r="E2671" s="75">
        <f>+C2671&amp;F2671</f>
        <v/>
      </c>
      <c r="F2671" s="80" t="n"/>
      <c r="G2671" s="81" t="n"/>
      <c r="H2671" s="78" t="n"/>
      <c r="I2671" s="78" t="n"/>
      <c r="J2671" s="78" t="n"/>
    </row>
    <row r="2672">
      <c r="A2672" s="84">
        <f>ROW()-6</f>
        <v/>
      </c>
      <c r="B2672" s="85">
        <f>+MATCH(D2672,ARTICULOS!$F$10:$F$699,0)</f>
        <v/>
      </c>
      <c r="C2672" s="86">
        <f>+VLOOKUP(B2672,ARTICULOS!$D$10:$I$699,6)</f>
        <v/>
      </c>
      <c r="D2672" s="212" t="n"/>
      <c r="E2672" s="75">
        <f>+C2672&amp;F2672</f>
        <v/>
      </c>
      <c r="F2672" s="80" t="n"/>
      <c r="G2672" s="81" t="n"/>
      <c r="H2672" s="78" t="n"/>
      <c r="I2672" s="78" t="n"/>
      <c r="J2672" s="78" t="n"/>
    </row>
    <row r="2673">
      <c r="A2673" s="84">
        <f>ROW()-6</f>
        <v/>
      </c>
      <c r="B2673" s="85">
        <f>+MATCH(D2673,ARTICULOS!$F$10:$F$699,0)</f>
        <v/>
      </c>
      <c r="C2673" s="86">
        <f>+VLOOKUP(B2673,ARTICULOS!$D$10:$I$699,6)</f>
        <v/>
      </c>
      <c r="D2673" s="212" t="n"/>
      <c r="E2673" s="75">
        <f>+C2673&amp;F2673</f>
        <v/>
      </c>
      <c r="F2673" s="80" t="n"/>
      <c r="G2673" s="81" t="n"/>
      <c r="H2673" s="78" t="n"/>
      <c r="I2673" s="78" t="n"/>
      <c r="J2673" s="78" t="n"/>
    </row>
    <row r="2674">
      <c r="A2674" s="84">
        <f>ROW()-6</f>
        <v/>
      </c>
      <c r="B2674" s="85">
        <f>+MATCH(D2674,ARTICULOS!$F$10:$F$699,0)</f>
        <v/>
      </c>
      <c r="C2674" s="86">
        <f>+VLOOKUP(B2674,ARTICULOS!$D$10:$I$699,6)</f>
        <v/>
      </c>
      <c r="D2674" s="212" t="n"/>
      <c r="E2674" s="75">
        <f>+C2674&amp;F2674</f>
        <v/>
      </c>
      <c r="F2674" s="80" t="n"/>
      <c r="G2674" s="81" t="n"/>
      <c r="H2674" s="78" t="n"/>
      <c r="I2674" s="78" t="n"/>
      <c r="J2674" s="78" t="n"/>
    </row>
    <row r="2675">
      <c r="A2675" s="84">
        <f>ROW()-6</f>
        <v/>
      </c>
      <c r="B2675" s="85">
        <f>+MATCH(D2675,ARTICULOS!$F$10:$F$699,0)</f>
        <v/>
      </c>
      <c r="C2675" s="86">
        <f>+VLOOKUP(B2675,ARTICULOS!$D$10:$I$699,6)</f>
        <v/>
      </c>
      <c r="D2675" s="212" t="n"/>
      <c r="E2675" s="75">
        <f>+C2675&amp;F2675</f>
        <v/>
      </c>
      <c r="F2675" s="80" t="n"/>
      <c r="G2675" s="81" t="n"/>
      <c r="H2675" s="78" t="n"/>
      <c r="I2675" s="78" t="n"/>
      <c r="J2675" s="78" t="n"/>
    </row>
    <row r="2676">
      <c r="A2676" s="84">
        <f>ROW()-6</f>
        <v/>
      </c>
      <c r="B2676" s="85">
        <f>+MATCH(D2676,ARTICULOS!$F$10:$F$699,0)</f>
        <v/>
      </c>
      <c r="C2676" s="86">
        <f>+VLOOKUP(B2676,ARTICULOS!$D$10:$I$699,6)</f>
        <v/>
      </c>
      <c r="D2676" s="212" t="n"/>
      <c r="E2676" s="75">
        <f>+C2676&amp;F2676</f>
        <v/>
      </c>
      <c r="F2676" s="80" t="n"/>
      <c r="G2676" s="81" t="n"/>
      <c r="H2676" s="78" t="n"/>
      <c r="I2676" s="78" t="n"/>
      <c r="J2676" s="78" t="n"/>
    </row>
    <row r="2677">
      <c r="A2677" s="84">
        <f>ROW()-6</f>
        <v/>
      </c>
      <c r="B2677" s="85">
        <f>+MATCH(D2677,ARTICULOS!$F$10:$F$699,0)</f>
        <v/>
      </c>
      <c r="C2677" s="86">
        <f>+VLOOKUP(B2677,ARTICULOS!$D$10:$I$699,6)</f>
        <v/>
      </c>
      <c r="D2677" s="212" t="n"/>
      <c r="E2677" s="75">
        <f>+C2677&amp;F2677</f>
        <v/>
      </c>
      <c r="F2677" s="80" t="n"/>
      <c r="G2677" s="81" t="n"/>
      <c r="H2677" s="78" t="n"/>
      <c r="I2677" s="78" t="n"/>
      <c r="J2677" s="78" t="n"/>
    </row>
    <row r="2678">
      <c r="A2678" s="84">
        <f>ROW()-6</f>
        <v/>
      </c>
      <c r="B2678" s="85">
        <f>+MATCH(D2678,ARTICULOS!$F$10:$F$699,0)</f>
        <v/>
      </c>
      <c r="C2678" s="86">
        <f>+VLOOKUP(B2678,ARTICULOS!$D$10:$I$699,6)</f>
        <v/>
      </c>
      <c r="D2678" s="212" t="n"/>
      <c r="E2678" s="75">
        <f>+C2678&amp;F2678</f>
        <v/>
      </c>
      <c r="F2678" s="80" t="n"/>
      <c r="G2678" s="81" t="n"/>
      <c r="H2678" s="78" t="n"/>
      <c r="I2678" s="78" t="n"/>
      <c r="J2678" s="78" t="n"/>
    </row>
    <row r="2679">
      <c r="A2679" s="84">
        <f>ROW()-6</f>
        <v/>
      </c>
      <c r="B2679" s="85">
        <f>+MATCH(D2679,ARTICULOS!$F$10:$F$699,0)</f>
        <v/>
      </c>
      <c r="C2679" s="86">
        <f>+VLOOKUP(B2679,ARTICULOS!$D$10:$I$699,6)</f>
        <v/>
      </c>
      <c r="D2679" s="212" t="n"/>
      <c r="E2679" s="75">
        <f>+C2679&amp;F2679</f>
        <v/>
      </c>
      <c r="F2679" s="80" t="n"/>
      <c r="G2679" s="81" t="n"/>
      <c r="H2679" s="78" t="n"/>
      <c r="I2679" s="78" t="n"/>
      <c r="J2679" s="78" t="n"/>
    </row>
    <row r="2680">
      <c r="A2680" s="84">
        <f>ROW()-6</f>
        <v/>
      </c>
      <c r="B2680" s="85">
        <f>+MATCH(D2680,ARTICULOS!$F$10:$F$699,0)</f>
        <v/>
      </c>
      <c r="C2680" s="86">
        <f>+VLOOKUP(B2680,ARTICULOS!$D$10:$I$699,6)</f>
        <v/>
      </c>
      <c r="D2680" s="212" t="n"/>
      <c r="E2680" s="75">
        <f>+C2680&amp;F2680</f>
        <v/>
      </c>
      <c r="F2680" s="80" t="n"/>
      <c r="G2680" s="81" t="n"/>
      <c r="H2680" s="78" t="n"/>
      <c r="I2680" s="78" t="n"/>
      <c r="J2680" s="78" t="n"/>
    </row>
    <row r="2681">
      <c r="A2681" s="84">
        <f>ROW()-6</f>
        <v/>
      </c>
      <c r="B2681" s="85">
        <f>+MATCH(D2681,ARTICULOS!$F$10:$F$699,0)</f>
        <v/>
      </c>
      <c r="C2681" s="86">
        <f>+VLOOKUP(B2681,ARTICULOS!$D$10:$I$699,6)</f>
        <v/>
      </c>
      <c r="D2681" s="212" t="n"/>
      <c r="E2681" s="75">
        <f>+C2681&amp;F2681</f>
        <v/>
      </c>
      <c r="F2681" s="80" t="n"/>
      <c r="G2681" s="81" t="n"/>
      <c r="H2681" s="78" t="n"/>
      <c r="I2681" s="78" t="n"/>
      <c r="J2681" s="78" t="n"/>
    </row>
    <row r="2682">
      <c r="A2682" s="84">
        <f>ROW()-6</f>
        <v/>
      </c>
      <c r="B2682" s="85">
        <f>+MATCH(D2682,ARTICULOS!$F$10:$F$699,0)</f>
        <v/>
      </c>
      <c r="C2682" s="86">
        <f>+VLOOKUP(B2682,ARTICULOS!$D$10:$I$699,6)</f>
        <v/>
      </c>
      <c r="D2682" s="212" t="n"/>
      <c r="E2682" s="75">
        <f>+C2682&amp;F2682</f>
        <v/>
      </c>
      <c r="F2682" s="80" t="n"/>
      <c r="G2682" s="81" t="n"/>
      <c r="H2682" s="78" t="n"/>
      <c r="I2682" s="78" t="n"/>
      <c r="J2682" s="78" t="n"/>
    </row>
    <row r="2683">
      <c r="A2683" s="84">
        <f>ROW()-6</f>
        <v/>
      </c>
      <c r="B2683" s="85">
        <f>+MATCH(D2683,ARTICULOS!$F$10:$F$699,0)</f>
        <v/>
      </c>
      <c r="C2683" s="86">
        <f>+VLOOKUP(B2683,ARTICULOS!$D$10:$I$699,6)</f>
        <v/>
      </c>
      <c r="D2683" s="212" t="n"/>
      <c r="E2683" s="75">
        <f>+C2683&amp;F2683</f>
        <v/>
      </c>
      <c r="F2683" s="80" t="n"/>
      <c r="G2683" s="81" t="n"/>
      <c r="H2683" s="78" t="n"/>
      <c r="I2683" s="78" t="n"/>
      <c r="J2683" s="78" t="n"/>
    </row>
    <row r="2684">
      <c r="A2684" s="84">
        <f>ROW()-6</f>
        <v/>
      </c>
      <c r="B2684" s="85">
        <f>+MATCH(D2684,ARTICULOS!$F$10:$F$699,0)</f>
        <v/>
      </c>
      <c r="C2684" s="86">
        <f>+VLOOKUP(B2684,ARTICULOS!$D$10:$I$699,6)</f>
        <v/>
      </c>
      <c r="D2684" s="212" t="n"/>
      <c r="E2684" s="75">
        <f>+C2684&amp;F2684</f>
        <v/>
      </c>
      <c r="F2684" s="80" t="n"/>
      <c r="G2684" s="81" t="n"/>
      <c r="H2684" s="78" t="n"/>
      <c r="I2684" s="78" t="n"/>
      <c r="J2684" s="78" t="n"/>
    </row>
    <row r="2685">
      <c r="A2685" s="84">
        <f>ROW()-6</f>
        <v/>
      </c>
      <c r="B2685" s="85">
        <f>+MATCH(D2685,ARTICULOS!$F$10:$F$699,0)</f>
        <v/>
      </c>
      <c r="C2685" s="86">
        <f>+VLOOKUP(B2685,ARTICULOS!$D$10:$I$699,6)</f>
        <v/>
      </c>
      <c r="D2685" s="212" t="n"/>
      <c r="E2685" s="75">
        <f>+C2685&amp;F2685</f>
        <v/>
      </c>
      <c r="F2685" s="80" t="n"/>
      <c r="G2685" s="81" t="n"/>
      <c r="H2685" s="78" t="n"/>
      <c r="I2685" s="78" t="n"/>
      <c r="J2685" s="78" t="n"/>
    </row>
    <row r="2686">
      <c r="A2686" s="84">
        <f>ROW()-6</f>
        <v/>
      </c>
      <c r="B2686" s="85">
        <f>+MATCH(D2686,ARTICULOS!$F$10:$F$699,0)</f>
        <v/>
      </c>
      <c r="C2686" s="86">
        <f>+VLOOKUP(B2686,ARTICULOS!$D$10:$I$699,6)</f>
        <v/>
      </c>
      <c r="D2686" s="212" t="n"/>
      <c r="E2686" s="75">
        <f>+C2686&amp;F2686</f>
        <v/>
      </c>
      <c r="F2686" s="80" t="n"/>
      <c r="G2686" s="81" t="n"/>
      <c r="H2686" s="78" t="n"/>
      <c r="I2686" s="78" t="n"/>
      <c r="J2686" s="78" t="n"/>
    </row>
    <row r="2687">
      <c r="A2687" s="84">
        <f>ROW()-6</f>
        <v/>
      </c>
      <c r="B2687" s="85">
        <f>+MATCH(D2687,ARTICULOS!$F$10:$F$699,0)</f>
        <v/>
      </c>
      <c r="C2687" s="86">
        <f>+VLOOKUP(B2687,ARTICULOS!$D$10:$I$699,6)</f>
        <v/>
      </c>
      <c r="D2687" s="212" t="n"/>
      <c r="E2687" s="75">
        <f>+C2687&amp;F2687</f>
        <v/>
      </c>
      <c r="F2687" s="80" t="n"/>
      <c r="G2687" s="81" t="n"/>
      <c r="H2687" s="78" t="n"/>
      <c r="I2687" s="78" t="n"/>
      <c r="J2687" s="78" t="n"/>
    </row>
    <row r="2688">
      <c r="A2688" s="84">
        <f>ROW()-6</f>
        <v/>
      </c>
      <c r="B2688" s="85">
        <f>+MATCH(D2688,ARTICULOS!$F$10:$F$699,0)</f>
        <v/>
      </c>
      <c r="C2688" s="86">
        <f>+VLOOKUP(B2688,ARTICULOS!$D$10:$I$699,6)</f>
        <v/>
      </c>
      <c r="D2688" s="212" t="n"/>
      <c r="E2688" s="75">
        <f>+C2688&amp;F2688</f>
        <v/>
      </c>
      <c r="F2688" s="80" t="n"/>
      <c r="G2688" s="81" t="n"/>
      <c r="H2688" s="78" t="n"/>
      <c r="I2688" s="78" t="n"/>
      <c r="J2688" s="78" t="n"/>
    </row>
    <row r="2689">
      <c r="A2689" s="84">
        <f>ROW()-6</f>
        <v/>
      </c>
      <c r="B2689" s="85">
        <f>+MATCH(D2689,ARTICULOS!$F$10:$F$699,0)</f>
        <v/>
      </c>
      <c r="C2689" s="86">
        <f>+VLOOKUP(B2689,ARTICULOS!$D$10:$I$699,6)</f>
        <v/>
      </c>
      <c r="D2689" s="212" t="n"/>
      <c r="E2689" s="75">
        <f>+C2689&amp;F2689</f>
        <v/>
      </c>
      <c r="F2689" s="80" t="n"/>
      <c r="G2689" s="81" t="n"/>
      <c r="H2689" s="78" t="n"/>
      <c r="I2689" s="78" t="n"/>
      <c r="J2689" s="78" t="n"/>
    </row>
    <row r="2690">
      <c r="A2690" s="84">
        <f>ROW()-6</f>
        <v/>
      </c>
      <c r="B2690" s="85">
        <f>+MATCH(D2690,ARTICULOS!$F$10:$F$699,0)</f>
        <v/>
      </c>
      <c r="C2690" s="86">
        <f>+VLOOKUP(B2690,ARTICULOS!$D$10:$I$699,6)</f>
        <v/>
      </c>
      <c r="D2690" s="212" t="n"/>
      <c r="E2690" s="75">
        <f>+C2690&amp;F2690</f>
        <v/>
      </c>
      <c r="F2690" s="80" t="n"/>
      <c r="G2690" s="81" t="n"/>
      <c r="H2690" s="78" t="n"/>
      <c r="I2690" s="78" t="n"/>
      <c r="J2690" s="78" t="n"/>
    </row>
    <row r="2691">
      <c r="A2691" s="84">
        <f>ROW()-6</f>
        <v/>
      </c>
      <c r="B2691" s="85">
        <f>+MATCH(D2691,ARTICULOS!$F$10:$F$699,0)</f>
        <v/>
      </c>
      <c r="C2691" s="86">
        <f>+VLOOKUP(B2691,ARTICULOS!$D$10:$I$699,6)</f>
        <v/>
      </c>
      <c r="D2691" s="212" t="n"/>
      <c r="E2691" s="75">
        <f>+C2691&amp;F2691</f>
        <v/>
      </c>
      <c r="F2691" s="80" t="n"/>
      <c r="G2691" s="81" t="n"/>
      <c r="H2691" s="78" t="n"/>
      <c r="I2691" s="78" t="n"/>
      <c r="J2691" s="78" t="n"/>
    </row>
    <row r="2692">
      <c r="A2692" s="84">
        <f>ROW()-6</f>
        <v/>
      </c>
      <c r="B2692" s="85">
        <f>+MATCH(D2692,ARTICULOS!$F$10:$F$699,0)</f>
        <v/>
      </c>
      <c r="C2692" s="86">
        <f>+VLOOKUP(B2692,ARTICULOS!$D$10:$I$699,6)</f>
        <v/>
      </c>
      <c r="D2692" s="212" t="n"/>
      <c r="E2692" s="75">
        <f>+C2692&amp;F2692</f>
        <v/>
      </c>
      <c r="F2692" s="80" t="n"/>
      <c r="G2692" s="81" t="n"/>
      <c r="H2692" s="78" t="n"/>
      <c r="I2692" s="78" t="n"/>
      <c r="J2692" s="78" t="n"/>
    </row>
    <row r="2693">
      <c r="A2693" s="84">
        <f>ROW()-6</f>
        <v/>
      </c>
      <c r="B2693" s="85">
        <f>+MATCH(D2693,ARTICULOS!$F$10:$F$699,0)</f>
        <v/>
      </c>
      <c r="C2693" s="86">
        <f>+VLOOKUP(B2693,ARTICULOS!$D$10:$I$699,6)</f>
        <v/>
      </c>
      <c r="D2693" s="212" t="n"/>
      <c r="E2693" s="75">
        <f>+C2693&amp;F2693</f>
        <v/>
      </c>
      <c r="F2693" s="80" t="n"/>
      <c r="G2693" s="81" t="n"/>
      <c r="H2693" s="78" t="n"/>
      <c r="I2693" s="78" t="n"/>
      <c r="J2693" s="78" t="n"/>
    </row>
    <row r="2694">
      <c r="A2694" s="84">
        <f>ROW()-6</f>
        <v/>
      </c>
      <c r="B2694" s="85">
        <f>+MATCH(D2694,ARTICULOS!$F$10:$F$699,0)</f>
        <v/>
      </c>
      <c r="C2694" s="86">
        <f>+VLOOKUP(B2694,ARTICULOS!$D$10:$I$699,6)</f>
        <v/>
      </c>
      <c r="D2694" s="212" t="n"/>
      <c r="E2694" s="75">
        <f>+C2694&amp;F2694</f>
        <v/>
      </c>
      <c r="F2694" s="80" t="n"/>
      <c r="G2694" s="81" t="n"/>
      <c r="H2694" s="78" t="n"/>
      <c r="I2694" s="78" t="n"/>
      <c r="J2694" s="78" t="n"/>
    </row>
    <row r="2695">
      <c r="A2695" s="84">
        <f>ROW()-6</f>
        <v/>
      </c>
      <c r="B2695" s="85">
        <f>+MATCH(D2695,ARTICULOS!$F$10:$F$699,0)</f>
        <v/>
      </c>
      <c r="C2695" s="86">
        <f>+VLOOKUP(B2695,ARTICULOS!$D$10:$I$699,6)</f>
        <v/>
      </c>
      <c r="D2695" s="212" t="n"/>
      <c r="E2695" s="75">
        <f>+C2695&amp;F2695</f>
        <v/>
      </c>
      <c r="F2695" s="80" t="n"/>
      <c r="G2695" s="81" t="n"/>
      <c r="H2695" s="78" t="n"/>
      <c r="I2695" s="78" t="n"/>
      <c r="J2695" s="78" t="n"/>
    </row>
    <row r="2696">
      <c r="A2696" s="84">
        <f>ROW()-6</f>
        <v/>
      </c>
      <c r="B2696" s="85">
        <f>+MATCH(D2696,ARTICULOS!$F$10:$F$699,0)</f>
        <v/>
      </c>
      <c r="C2696" s="86">
        <f>+VLOOKUP(B2696,ARTICULOS!$D$10:$I$699,6)</f>
        <v/>
      </c>
      <c r="D2696" s="212" t="n"/>
      <c r="E2696" s="75">
        <f>+C2696&amp;F2696</f>
        <v/>
      </c>
      <c r="F2696" s="80" t="n"/>
      <c r="G2696" s="81" t="n"/>
      <c r="H2696" s="78" t="n"/>
      <c r="I2696" s="78" t="n"/>
      <c r="J2696" s="78" t="n"/>
    </row>
    <row r="2697">
      <c r="A2697" s="84">
        <f>ROW()-6</f>
        <v/>
      </c>
      <c r="B2697" s="85">
        <f>+MATCH(D2697,ARTICULOS!$F$10:$F$699,0)</f>
        <v/>
      </c>
      <c r="C2697" s="86">
        <f>+VLOOKUP(B2697,ARTICULOS!$D$10:$I$699,6)</f>
        <v/>
      </c>
      <c r="D2697" s="212" t="n"/>
      <c r="E2697" s="75">
        <f>+C2697&amp;F2697</f>
        <v/>
      </c>
      <c r="F2697" s="80" t="n"/>
      <c r="G2697" s="81" t="n"/>
      <c r="H2697" s="78" t="n"/>
      <c r="I2697" s="78" t="n"/>
      <c r="J2697" s="78" t="n"/>
    </row>
    <row r="2698">
      <c r="A2698" s="84">
        <f>ROW()-6</f>
        <v/>
      </c>
      <c r="B2698" s="85">
        <f>+MATCH(D2698,ARTICULOS!$F$10:$F$699,0)</f>
        <v/>
      </c>
      <c r="C2698" s="86">
        <f>+VLOOKUP(B2698,ARTICULOS!$D$10:$I$699,6)</f>
        <v/>
      </c>
      <c r="D2698" s="212" t="n"/>
      <c r="E2698" s="75">
        <f>+C2698&amp;F2698</f>
        <v/>
      </c>
      <c r="F2698" s="80" t="n"/>
      <c r="G2698" s="81" t="n"/>
      <c r="H2698" s="78" t="n"/>
      <c r="I2698" s="78" t="n"/>
      <c r="J2698" s="78" t="n"/>
    </row>
    <row r="2699">
      <c r="A2699" s="84">
        <f>ROW()-6</f>
        <v/>
      </c>
      <c r="B2699" s="85">
        <f>+MATCH(D2699,ARTICULOS!$F$10:$F$699,0)</f>
        <v/>
      </c>
      <c r="C2699" s="86">
        <f>+VLOOKUP(B2699,ARTICULOS!$D$10:$I$699,6)</f>
        <v/>
      </c>
      <c r="D2699" s="212" t="n"/>
      <c r="E2699" s="75">
        <f>+C2699&amp;F2699</f>
        <v/>
      </c>
      <c r="F2699" s="80" t="n"/>
      <c r="G2699" s="81" t="n"/>
      <c r="H2699" s="78" t="n"/>
      <c r="I2699" s="78" t="n"/>
      <c r="J2699" s="78" t="n"/>
    </row>
    <row r="2700">
      <c r="A2700" s="84">
        <f>ROW()-6</f>
        <v/>
      </c>
      <c r="B2700" s="85">
        <f>+MATCH(D2700,ARTICULOS!$F$10:$F$699,0)</f>
        <v/>
      </c>
      <c r="C2700" s="86">
        <f>+VLOOKUP(B2700,ARTICULOS!$D$10:$I$699,6)</f>
        <v/>
      </c>
      <c r="D2700" s="212" t="n"/>
      <c r="E2700" s="75">
        <f>+C2700&amp;F2700</f>
        <v/>
      </c>
      <c r="F2700" s="80" t="n"/>
      <c r="G2700" s="81" t="n"/>
      <c r="H2700" s="78" t="n"/>
      <c r="I2700" s="78" t="n"/>
      <c r="J2700" s="78" t="n"/>
    </row>
    <row r="2701">
      <c r="A2701" s="84">
        <f>ROW()-6</f>
        <v/>
      </c>
      <c r="B2701" s="85">
        <f>+MATCH(D2701,ARTICULOS!$F$10:$F$699,0)</f>
        <v/>
      </c>
      <c r="C2701" s="86">
        <f>+VLOOKUP(B2701,ARTICULOS!$D$10:$I$699,6)</f>
        <v/>
      </c>
      <c r="D2701" s="212" t="n"/>
      <c r="E2701" s="75">
        <f>+C2701&amp;F2701</f>
        <v/>
      </c>
      <c r="F2701" s="80" t="n"/>
      <c r="G2701" s="81" t="n"/>
      <c r="H2701" s="78" t="n"/>
      <c r="I2701" s="78" t="n"/>
      <c r="J2701" s="78" t="n"/>
    </row>
    <row r="2702">
      <c r="A2702" s="84">
        <f>ROW()-6</f>
        <v/>
      </c>
      <c r="B2702" s="85">
        <f>+MATCH(D2702,ARTICULOS!$F$10:$F$699,0)</f>
        <v/>
      </c>
      <c r="C2702" s="86">
        <f>+VLOOKUP(B2702,ARTICULOS!$D$10:$I$699,6)</f>
        <v/>
      </c>
      <c r="D2702" s="212" t="n"/>
      <c r="E2702" s="75">
        <f>+C2702&amp;F2702</f>
        <v/>
      </c>
      <c r="F2702" s="80" t="n"/>
      <c r="G2702" s="81" t="n"/>
      <c r="H2702" s="78" t="n"/>
      <c r="I2702" s="78" t="n"/>
      <c r="J2702" s="78" t="n"/>
    </row>
    <row r="2703">
      <c r="A2703" s="84">
        <f>ROW()-6</f>
        <v/>
      </c>
      <c r="B2703" s="85">
        <f>+MATCH(D2703,ARTICULOS!$F$10:$F$699,0)</f>
        <v/>
      </c>
      <c r="C2703" s="86">
        <f>+VLOOKUP(B2703,ARTICULOS!$D$10:$I$699,6)</f>
        <v/>
      </c>
      <c r="D2703" s="212" t="n"/>
      <c r="E2703" s="75">
        <f>+C2703&amp;F2703</f>
        <v/>
      </c>
      <c r="F2703" s="80" t="n"/>
      <c r="G2703" s="81" t="n"/>
      <c r="H2703" s="78" t="n"/>
      <c r="I2703" s="78" t="n"/>
      <c r="J2703" s="78" t="n"/>
    </row>
    <row r="2704">
      <c r="A2704" s="84">
        <f>ROW()-6</f>
        <v/>
      </c>
      <c r="B2704" s="85">
        <f>+MATCH(D2704,ARTICULOS!$F$10:$F$699,0)</f>
        <v/>
      </c>
      <c r="C2704" s="86">
        <f>+VLOOKUP(B2704,ARTICULOS!$D$10:$I$699,6)</f>
        <v/>
      </c>
      <c r="D2704" s="212" t="n"/>
      <c r="E2704" s="75">
        <f>+C2704&amp;F2704</f>
        <v/>
      </c>
      <c r="F2704" s="80" t="n"/>
      <c r="G2704" s="81" t="n"/>
      <c r="H2704" s="78" t="n"/>
      <c r="I2704" s="78" t="n"/>
      <c r="J2704" s="78" t="n"/>
    </row>
    <row r="2705">
      <c r="A2705" s="84">
        <f>ROW()-6</f>
        <v/>
      </c>
      <c r="B2705" s="85">
        <f>+MATCH(D2705,ARTICULOS!$F$10:$F$699,0)</f>
        <v/>
      </c>
      <c r="C2705" s="86">
        <f>+VLOOKUP(B2705,ARTICULOS!$D$10:$I$699,6)</f>
        <v/>
      </c>
      <c r="D2705" s="212" t="n"/>
      <c r="E2705" s="75">
        <f>+C2705&amp;F2705</f>
        <v/>
      </c>
      <c r="F2705" s="80" t="n"/>
      <c r="G2705" s="81" t="n"/>
      <c r="H2705" s="78" t="n"/>
      <c r="I2705" s="78" t="n"/>
      <c r="J2705" s="78" t="n"/>
    </row>
    <row r="2706">
      <c r="A2706" s="84">
        <f>ROW()-6</f>
        <v/>
      </c>
      <c r="B2706" s="85">
        <f>+MATCH(D2706,ARTICULOS!$F$10:$F$699,0)</f>
        <v/>
      </c>
      <c r="C2706" s="86">
        <f>+VLOOKUP(B2706,ARTICULOS!$D$10:$I$699,6)</f>
        <v/>
      </c>
      <c r="D2706" s="212" t="n"/>
      <c r="E2706" s="75">
        <f>+C2706&amp;F2706</f>
        <v/>
      </c>
      <c r="F2706" s="80" t="n"/>
      <c r="G2706" s="81" t="n"/>
      <c r="H2706" s="78" t="n"/>
      <c r="I2706" s="78" t="n"/>
      <c r="J2706" s="78" t="n"/>
    </row>
    <row r="2707">
      <c r="A2707" s="84">
        <f>ROW()-6</f>
        <v/>
      </c>
      <c r="B2707" s="85">
        <f>+MATCH(D2707,ARTICULOS!$F$10:$F$699,0)</f>
        <v/>
      </c>
      <c r="C2707" s="86">
        <f>+VLOOKUP(B2707,ARTICULOS!$D$10:$I$699,6)</f>
        <v/>
      </c>
      <c r="D2707" s="212" t="n"/>
      <c r="E2707" s="75">
        <f>+C2707&amp;F2707</f>
        <v/>
      </c>
      <c r="F2707" s="80" t="n"/>
      <c r="G2707" s="81" t="n"/>
      <c r="H2707" s="78" t="n"/>
      <c r="I2707" s="78" t="n"/>
      <c r="J2707" s="78" t="n"/>
    </row>
    <row r="2708">
      <c r="A2708" s="84">
        <f>ROW()-6</f>
        <v/>
      </c>
      <c r="B2708" s="85">
        <f>+MATCH(D2708,ARTICULOS!$F$10:$F$699,0)</f>
        <v/>
      </c>
      <c r="C2708" s="86">
        <f>+VLOOKUP(B2708,ARTICULOS!$D$10:$I$699,6)</f>
        <v/>
      </c>
      <c r="D2708" s="212" t="n"/>
      <c r="E2708" s="75">
        <f>+C2708&amp;F2708</f>
        <v/>
      </c>
      <c r="F2708" s="80" t="n"/>
      <c r="G2708" s="81" t="n"/>
      <c r="H2708" s="78" t="n"/>
      <c r="I2708" s="78" t="n"/>
      <c r="J2708" s="78" t="n"/>
    </row>
    <row r="2709">
      <c r="A2709" s="84">
        <f>ROW()-6</f>
        <v/>
      </c>
      <c r="B2709" s="85">
        <f>+MATCH(D2709,ARTICULOS!$F$10:$F$699,0)</f>
        <v/>
      </c>
      <c r="C2709" s="86">
        <f>+VLOOKUP(B2709,ARTICULOS!$D$10:$I$699,6)</f>
        <v/>
      </c>
      <c r="D2709" s="212" t="n"/>
      <c r="E2709" s="75">
        <f>+C2709&amp;F2709</f>
        <v/>
      </c>
      <c r="F2709" s="80" t="n"/>
      <c r="G2709" s="81" t="n"/>
      <c r="H2709" s="78" t="n"/>
      <c r="I2709" s="78" t="n"/>
      <c r="J2709" s="78" t="n"/>
    </row>
    <row r="2710">
      <c r="A2710" s="84">
        <f>ROW()-6</f>
        <v/>
      </c>
      <c r="B2710" s="85">
        <f>+MATCH(D2710,ARTICULOS!$F$10:$F$699,0)</f>
        <v/>
      </c>
      <c r="C2710" s="86">
        <f>+VLOOKUP(B2710,ARTICULOS!$D$10:$I$699,6)</f>
        <v/>
      </c>
      <c r="D2710" s="212" t="n"/>
      <c r="E2710" s="75">
        <f>+C2710&amp;F2710</f>
        <v/>
      </c>
      <c r="F2710" s="80" t="n"/>
      <c r="G2710" s="81" t="n"/>
      <c r="H2710" s="78" t="n"/>
      <c r="I2710" s="78" t="n"/>
      <c r="J2710" s="78" t="n"/>
    </row>
    <row r="2711">
      <c r="A2711" s="84">
        <f>ROW()-6</f>
        <v/>
      </c>
      <c r="B2711" s="85">
        <f>+MATCH(D2711,ARTICULOS!$F$10:$F$699,0)</f>
        <v/>
      </c>
      <c r="C2711" s="86">
        <f>+VLOOKUP(B2711,ARTICULOS!$D$10:$I$699,6)</f>
        <v/>
      </c>
      <c r="D2711" s="212" t="n"/>
      <c r="E2711" s="75">
        <f>+C2711&amp;F2711</f>
        <v/>
      </c>
      <c r="F2711" s="80" t="n"/>
      <c r="G2711" s="81" t="n"/>
      <c r="H2711" s="78" t="n"/>
      <c r="I2711" s="78" t="n"/>
      <c r="J2711" s="78" t="n"/>
    </row>
    <row r="2712">
      <c r="A2712" s="84">
        <f>ROW()-6</f>
        <v/>
      </c>
      <c r="B2712" s="85">
        <f>+MATCH(D2712,ARTICULOS!$F$10:$F$699,0)</f>
        <v/>
      </c>
      <c r="C2712" s="86">
        <f>+VLOOKUP(B2712,ARTICULOS!$D$10:$I$699,6)</f>
        <v/>
      </c>
      <c r="D2712" s="212" t="n"/>
      <c r="E2712" s="75">
        <f>+C2712&amp;F2712</f>
        <v/>
      </c>
      <c r="F2712" s="80" t="n"/>
      <c r="G2712" s="81" t="n"/>
      <c r="H2712" s="78" t="n"/>
      <c r="I2712" s="78" t="n"/>
      <c r="J2712" s="78" t="n"/>
    </row>
    <row r="2713">
      <c r="A2713" s="84">
        <f>ROW()-6</f>
        <v/>
      </c>
      <c r="B2713" s="85">
        <f>+MATCH(D2713,ARTICULOS!$F$10:$F$699,0)</f>
        <v/>
      </c>
      <c r="C2713" s="86">
        <f>+VLOOKUP(B2713,ARTICULOS!$D$10:$I$699,6)</f>
        <v/>
      </c>
      <c r="D2713" s="212" t="n"/>
      <c r="E2713" s="75">
        <f>+C2713&amp;F2713</f>
        <v/>
      </c>
      <c r="F2713" s="80" t="n"/>
      <c r="G2713" s="81" t="n"/>
      <c r="H2713" s="78" t="n"/>
      <c r="I2713" s="78" t="n"/>
      <c r="J2713" s="78" t="n"/>
    </row>
    <row r="2714">
      <c r="A2714" s="84">
        <f>ROW()-6</f>
        <v/>
      </c>
      <c r="B2714" s="85">
        <f>+MATCH(D2714,ARTICULOS!$F$10:$F$699,0)</f>
        <v/>
      </c>
      <c r="C2714" s="86">
        <f>+VLOOKUP(B2714,ARTICULOS!$D$10:$I$699,6)</f>
        <v/>
      </c>
      <c r="D2714" s="212" t="n"/>
      <c r="E2714" s="75">
        <f>+C2714&amp;F2714</f>
        <v/>
      </c>
      <c r="F2714" s="80" t="n"/>
      <c r="G2714" s="81" t="n"/>
      <c r="H2714" s="78" t="n"/>
      <c r="I2714" s="78" t="n"/>
      <c r="J2714" s="78" t="n"/>
    </row>
    <row r="2715">
      <c r="A2715" s="84">
        <f>ROW()-6</f>
        <v/>
      </c>
      <c r="B2715" s="85">
        <f>+MATCH(D2715,ARTICULOS!$F$10:$F$699,0)</f>
        <v/>
      </c>
      <c r="C2715" s="86">
        <f>+VLOOKUP(B2715,ARTICULOS!$D$10:$I$699,6)</f>
        <v/>
      </c>
      <c r="D2715" s="212" t="n"/>
      <c r="E2715" s="75">
        <f>+C2715&amp;F2715</f>
        <v/>
      </c>
      <c r="F2715" s="80" t="n"/>
      <c r="G2715" s="81" t="n"/>
      <c r="H2715" s="78" t="n"/>
      <c r="I2715" s="78" t="n"/>
      <c r="J2715" s="78" t="n"/>
    </row>
    <row r="2716">
      <c r="A2716" s="84">
        <f>ROW()-6</f>
        <v/>
      </c>
      <c r="B2716" s="85">
        <f>+MATCH(D2716,ARTICULOS!$F$10:$F$699,0)</f>
        <v/>
      </c>
      <c r="C2716" s="86">
        <f>+VLOOKUP(B2716,ARTICULOS!$D$10:$I$699,6)</f>
        <v/>
      </c>
      <c r="D2716" s="212" t="n"/>
      <c r="E2716" s="75">
        <f>+C2716&amp;F2716</f>
        <v/>
      </c>
      <c r="F2716" s="80" t="n"/>
      <c r="G2716" s="81" t="n"/>
      <c r="H2716" s="78" t="n"/>
      <c r="I2716" s="78" t="n"/>
      <c r="J2716" s="78" t="n"/>
    </row>
    <row r="2717">
      <c r="A2717" s="84">
        <f>ROW()-6</f>
        <v/>
      </c>
      <c r="B2717" s="85">
        <f>+MATCH(D2717,ARTICULOS!$F$10:$F$699,0)</f>
        <v/>
      </c>
      <c r="C2717" s="86">
        <f>+VLOOKUP(B2717,ARTICULOS!$D$10:$I$699,6)</f>
        <v/>
      </c>
      <c r="D2717" s="212" t="n"/>
      <c r="E2717" s="75">
        <f>+C2717&amp;F2717</f>
        <v/>
      </c>
      <c r="F2717" s="80" t="n"/>
      <c r="G2717" s="81" t="n"/>
      <c r="H2717" s="78" t="n"/>
      <c r="I2717" s="78" t="n"/>
      <c r="J2717" s="78" t="n"/>
    </row>
    <row r="2718">
      <c r="A2718" s="84">
        <f>ROW()-6</f>
        <v/>
      </c>
      <c r="B2718" s="85">
        <f>+MATCH(D2718,ARTICULOS!$F$10:$F$699,0)</f>
        <v/>
      </c>
      <c r="C2718" s="86">
        <f>+VLOOKUP(B2718,ARTICULOS!$D$10:$I$699,6)</f>
        <v/>
      </c>
      <c r="D2718" s="212" t="n"/>
      <c r="E2718" s="75">
        <f>+C2718&amp;F2718</f>
        <v/>
      </c>
      <c r="F2718" s="80" t="n"/>
      <c r="G2718" s="81" t="n"/>
      <c r="H2718" s="78" t="n"/>
      <c r="I2718" s="78" t="n"/>
      <c r="J2718" s="78" t="n"/>
    </row>
    <row r="2719">
      <c r="A2719" s="84">
        <f>ROW()-6</f>
        <v/>
      </c>
      <c r="B2719" s="85">
        <f>+MATCH(D2719,ARTICULOS!$F$10:$F$699,0)</f>
        <v/>
      </c>
      <c r="C2719" s="86">
        <f>+VLOOKUP(B2719,ARTICULOS!$D$10:$I$699,6)</f>
        <v/>
      </c>
      <c r="D2719" s="212" t="n"/>
      <c r="E2719" s="75">
        <f>+C2719&amp;F2719</f>
        <v/>
      </c>
      <c r="F2719" s="80" t="n"/>
      <c r="G2719" s="81" t="n"/>
      <c r="H2719" s="78" t="n"/>
      <c r="I2719" s="78" t="n"/>
      <c r="J2719" s="78" t="n"/>
    </row>
    <row r="2720">
      <c r="A2720" s="84">
        <f>ROW()-6</f>
        <v/>
      </c>
      <c r="B2720" s="85">
        <f>+MATCH(D2720,ARTICULOS!$F$10:$F$699,0)</f>
        <v/>
      </c>
      <c r="C2720" s="86">
        <f>+VLOOKUP(B2720,ARTICULOS!$D$10:$I$699,6)</f>
        <v/>
      </c>
      <c r="D2720" s="212" t="n"/>
      <c r="E2720" s="75">
        <f>+C2720&amp;F2720</f>
        <v/>
      </c>
      <c r="F2720" s="80" t="n"/>
      <c r="G2720" s="81" t="n"/>
      <c r="H2720" s="78" t="n"/>
      <c r="I2720" s="78" t="n"/>
      <c r="J2720" s="78" t="n"/>
    </row>
    <row r="2721">
      <c r="A2721" s="84">
        <f>ROW()-6</f>
        <v/>
      </c>
      <c r="B2721" s="85">
        <f>+MATCH(D2721,ARTICULOS!$F$10:$F$699,0)</f>
        <v/>
      </c>
      <c r="C2721" s="86">
        <f>+VLOOKUP(B2721,ARTICULOS!$D$10:$I$699,6)</f>
        <v/>
      </c>
      <c r="D2721" s="212" t="n"/>
      <c r="E2721" s="75">
        <f>+C2721&amp;F2721</f>
        <v/>
      </c>
      <c r="F2721" s="80" t="n"/>
      <c r="G2721" s="81" t="n"/>
      <c r="H2721" s="78" t="n"/>
      <c r="I2721" s="78" t="n"/>
      <c r="J2721" s="78" t="n"/>
    </row>
    <row r="2722">
      <c r="A2722" s="84">
        <f>ROW()-6</f>
        <v/>
      </c>
      <c r="B2722" s="85">
        <f>+MATCH(D2722,ARTICULOS!$F$10:$F$699,0)</f>
        <v/>
      </c>
      <c r="C2722" s="86">
        <f>+VLOOKUP(B2722,ARTICULOS!$D$10:$I$699,6)</f>
        <v/>
      </c>
      <c r="D2722" s="212" t="n"/>
      <c r="E2722" s="75">
        <f>+C2722&amp;F2722</f>
        <v/>
      </c>
      <c r="F2722" s="80" t="n"/>
      <c r="G2722" s="81" t="n"/>
      <c r="H2722" s="78" t="n"/>
      <c r="I2722" s="78" t="n"/>
      <c r="J2722" s="78" t="n"/>
    </row>
    <row r="2723">
      <c r="A2723" s="84">
        <f>ROW()-6</f>
        <v/>
      </c>
      <c r="B2723" s="85">
        <f>+MATCH(D2723,ARTICULOS!$F$10:$F$699,0)</f>
        <v/>
      </c>
      <c r="C2723" s="86">
        <f>+VLOOKUP(B2723,ARTICULOS!$D$10:$I$699,6)</f>
        <v/>
      </c>
      <c r="D2723" s="212" t="n"/>
      <c r="E2723" s="75">
        <f>+C2723&amp;F2723</f>
        <v/>
      </c>
      <c r="F2723" s="80" t="n"/>
      <c r="G2723" s="81" t="n"/>
      <c r="H2723" s="78" t="n"/>
      <c r="I2723" s="78" t="n"/>
      <c r="J2723" s="78" t="n"/>
    </row>
    <row r="2724">
      <c r="A2724" s="84">
        <f>ROW()-6</f>
        <v/>
      </c>
      <c r="B2724" s="85">
        <f>+MATCH(D2724,ARTICULOS!$F$10:$F$699,0)</f>
        <v/>
      </c>
      <c r="C2724" s="86">
        <f>+VLOOKUP(B2724,ARTICULOS!$D$10:$I$699,6)</f>
        <v/>
      </c>
      <c r="D2724" s="212" t="n"/>
      <c r="E2724" s="75">
        <f>+C2724&amp;F2724</f>
        <v/>
      </c>
      <c r="F2724" s="80" t="n"/>
      <c r="G2724" s="81" t="n"/>
      <c r="H2724" s="78" t="n"/>
      <c r="I2724" s="78" t="n"/>
      <c r="J2724" s="78" t="n"/>
    </row>
    <row r="2725">
      <c r="A2725" s="84">
        <f>ROW()-6</f>
        <v/>
      </c>
      <c r="B2725" s="85">
        <f>+MATCH(D2725,ARTICULOS!$F$10:$F$699,0)</f>
        <v/>
      </c>
      <c r="C2725" s="86">
        <f>+VLOOKUP(B2725,ARTICULOS!$D$10:$I$699,6)</f>
        <v/>
      </c>
      <c r="D2725" s="212" t="n"/>
      <c r="E2725" s="75">
        <f>+C2725&amp;F2725</f>
        <v/>
      </c>
      <c r="F2725" s="80" t="n"/>
      <c r="G2725" s="81" t="n"/>
      <c r="H2725" s="78" t="n"/>
      <c r="I2725" s="78" t="n"/>
      <c r="J2725" s="78" t="n"/>
    </row>
    <row r="2726">
      <c r="A2726" s="84">
        <f>ROW()-6</f>
        <v/>
      </c>
      <c r="B2726" s="85">
        <f>+MATCH(D2726,ARTICULOS!$F$10:$F$699,0)</f>
        <v/>
      </c>
      <c r="C2726" s="86">
        <f>+VLOOKUP(B2726,ARTICULOS!$D$10:$I$699,6)</f>
        <v/>
      </c>
      <c r="D2726" s="212" t="n"/>
      <c r="E2726" s="75">
        <f>+C2726&amp;F2726</f>
        <v/>
      </c>
      <c r="F2726" s="80" t="n"/>
      <c r="G2726" s="81" t="n"/>
      <c r="H2726" s="78" t="n"/>
      <c r="I2726" s="78" t="n"/>
      <c r="J2726" s="78" t="n"/>
    </row>
    <row r="2727">
      <c r="A2727" s="84">
        <f>ROW()-6</f>
        <v/>
      </c>
      <c r="B2727" s="85">
        <f>+MATCH(D2727,ARTICULOS!$F$10:$F$699,0)</f>
        <v/>
      </c>
      <c r="C2727" s="86">
        <f>+VLOOKUP(B2727,ARTICULOS!$D$10:$I$699,6)</f>
        <v/>
      </c>
      <c r="D2727" s="212" t="n"/>
      <c r="E2727" s="75">
        <f>+C2727&amp;F2727</f>
        <v/>
      </c>
      <c r="F2727" s="80" t="n"/>
      <c r="G2727" s="81" t="n"/>
      <c r="H2727" s="78" t="n"/>
      <c r="I2727" s="78" t="n"/>
      <c r="J2727" s="78" t="n"/>
    </row>
    <row r="2728">
      <c r="A2728" s="84">
        <f>ROW()-6</f>
        <v/>
      </c>
      <c r="B2728" s="85">
        <f>+MATCH(D2728,ARTICULOS!$F$10:$F$699,0)</f>
        <v/>
      </c>
      <c r="C2728" s="86">
        <f>+VLOOKUP(B2728,ARTICULOS!$D$10:$I$699,6)</f>
        <v/>
      </c>
      <c r="D2728" s="212" t="n"/>
      <c r="E2728" s="75">
        <f>+C2728&amp;F2728</f>
        <v/>
      </c>
      <c r="F2728" s="80" t="n"/>
      <c r="G2728" s="81" t="n"/>
      <c r="H2728" s="78" t="n"/>
      <c r="I2728" s="78" t="n"/>
      <c r="J2728" s="78" t="n"/>
    </row>
    <row r="2729">
      <c r="A2729" s="84">
        <f>ROW()-6</f>
        <v/>
      </c>
      <c r="B2729" s="85">
        <f>+MATCH(D2729,ARTICULOS!$F$10:$F$699,0)</f>
        <v/>
      </c>
      <c r="C2729" s="86">
        <f>+VLOOKUP(B2729,ARTICULOS!$D$10:$I$699,6)</f>
        <v/>
      </c>
      <c r="D2729" s="212" t="n"/>
      <c r="E2729" s="75">
        <f>+C2729&amp;F2729</f>
        <v/>
      </c>
      <c r="F2729" s="80" t="n"/>
      <c r="G2729" s="81" t="n"/>
      <c r="H2729" s="78" t="n"/>
      <c r="I2729" s="78" t="n"/>
      <c r="J2729" s="78" t="n"/>
    </row>
    <row r="2730">
      <c r="A2730" s="84">
        <f>ROW()-6</f>
        <v/>
      </c>
      <c r="B2730" s="85">
        <f>+MATCH(D2730,ARTICULOS!$F$10:$F$699,0)</f>
        <v/>
      </c>
      <c r="C2730" s="86">
        <f>+VLOOKUP(B2730,ARTICULOS!$D$10:$I$699,6)</f>
        <v/>
      </c>
      <c r="D2730" s="212" t="n"/>
      <c r="E2730" s="75">
        <f>+C2730&amp;F2730</f>
        <v/>
      </c>
      <c r="F2730" s="80" t="n"/>
      <c r="G2730" s="81" t="n"/>
      <c r="H2730" s="78" t="n"/>
      <c r="I2730" s="78" t="n"/>
      <c r="J2730" s="78" t="n"/>
    </row>
    <row r="2731">
      <c r="A2731" s="84">
        <f>ROW()-6</f>
        <v/>
      </c>
      <c r="B2731" s="85">
        <f>+MATCH(D2731,ARTICULOS!$F$10:$F$699,0)</f>
        <v/>
      </c>
      <c r="C2731" s="86">
        <f>+VLOOKUP(B2731,ARTICULOS!$D$10:$I$699,6)</f>
        <v/>
      </c>
      <c r="D2731" s="212" t="n"/>
      <c r="E2731" s="75">
        <f>+C2731&amp;F2731</f>
        <v/>
      </c>
      <c r="F2731" s="80" t="n"/>
      <c r="G2731" s="81" t="n"/>
      <c r="H2731" s="78" t="n"/>
      <c r="I2731" s="78" t="n"/>
      <c r="J2731" s="78" t="n"/>
    </row>
    <row r="2732">
      <c r="A2732" s="84">
        <f>ROW()-6</f>
        <v/>
      </c>
      <c r="B2732" s="85">
        <f>+MATCH(D2732,ARTICULOS!$F$10:$F$699,0)</f>
        <v/>
      </c>
      <c r="C2732" s="86">
        <f>+VLOOKUP(B2732,ARTICULOS!$D$10:$I$699,6)</f>
        <v/>
      </c>
      <c r="D2732" s="212" t="n"/>
      <c r="E2732" s="75">
        <f>+C2732&amp;F2732</f>
        <v/>
      </c>
      <c r="F2732" s="80" t="n"/>
      <c r="G2732" s="81" t="n"/>
      <c r="H2732" s="78" t="n"/>
      <c r="I2732" s="78" t="n"/>
      <c r="J2732" s="78" t="n"/>
    </row>
    <row r="2733">
      <c r="A2733" s="84">
        <f>ROW()-6</f>
        <v/>
      </c>
      <c r="B2733" s="85">
        <f>+MATCH(D2733,ARTICULOS!$F$10:$F$699,0)</f>
        <v/>
      </c>
      <c r="C2733" s="86">
        <f>+VLOOKUP(B2733,ARTICULOS!$D$10:$I$699,6)</f>
        <v/>
      </c>
      <c r="D2733" s="212" t="n"/>
      <c r="E2733" s="75">
        <f>+C2733&amp;F2733</f>
        <v/>
      </c>
      <c r="F2733" s="80" t="n"/>
      <c r="G2733" s="81" t="n"/>
      <c r="H2733" s="78" t="n"/>
      <c r="I2733" s="78" t="n"/>
      <c r="J2733" s="78" t="n"/>
    </row>
    <row r="2734">
      <c r="A2734" s="84">
        <f>ROW()-6</f>
        <v/>
      </c>
      <c r="B2734" s="85">
        <f>+MATCH(D2734,ARTICULOS!$F$10:$F$699,0)</f>
        <v/>
      </c>
      <c r="C2734" s="86">
        <f>+VLOOKUP(B2734,ARTICULOS!$D$10:$I$699,6)</f>
        <v/>
      </c>
      <c r="D2734" s="212" t="n"/>
      <c r="E2734" s="75">
        <f>+C2734&amp;F2734</f>
        <v/>
      </c>
      <c r="F2734" s="80" t="n"/>
      <c r="G2734" s="81" t="n"/>
      <c r="H2734" s="78" t="n"/>
      <c r="I2734" s="78" t="n"/>
      <c r="J2734" s="78" t="n"/>
    </row>
    <row r="2735">
      <c r="A2735" s="84">
        <f>ROW()-6</f>
        <v/>
      </c>
      <c r="B2735" s="85">
        <f>+MATCH(D2735,ARTICULOS!$F$10:$F$699,0)</f>
        <v/>
      </c>
      <c r="C2735" s="86">
        <f>+VLOOKUP(B2735,ARTICULOS!$D$10:$I$699,6)</f>
        <v/>
      </c>
      <c r="D2735" s="212" t="n"/>
      <c r="E2735" s="75">
        <f>+C2735&amp;F2735</f>
        <v/>
      </c>
      <c r="F2735" s="80" t="n"/>
      <c r="G2735" s="81" t="n"/>
      <c r="H2735" s="78" t="n"/>
      <c r="I2735" s="78" t="n"/>
      <c r="J2735" s="78" t="n"/>
    </row>
    <row r="2736">
      <c r="A2736" s="84">
        <f>ROW()-6</f>
        <v/>
      </c>
      <c r="B2736" s="85">
        <f>+MATCH(D2736,ARTICULOS!$F$10:$F$699,0)</f>
        <v/>
      </c>
      <c r="C2736" s="86">
        <f>+VLOOKUP(B2736,ARTICULOS!$D$10:$I$699,6)</f>
        <v/>
      </c>
      <c r="D2736" s="212" t="n"/>
      <c r="E2736" s="75">
        <f>+C2736&amp;F2736</f>
        <v/>
      </c>
      <c r="F2736" s="80" t="n"/>
      <c r="G2736" s="81" t="n"/>
      <c r="H2736" s="78" t="n"/>
      <c r="I2736" s="78" t="n"/>
      <c r="J2736" s="78" t="n"/>
    </row>
    <row r="2737">
      <c r="A2737" s="84">
        <f>ROW()-6</f>
        <v/>
      </c>
      <c r="B2737" s="85">
        <f>+MATCH(D2737,ARTICULOS!$F$10:$F$699,0)</f>
        <v/>
      </c>
      <c r="C2737" s="86">
        <f>+VLOOKUP(B2737,ARTICULOS!$D$10:$I$699,6)</f>
        <v/>
      </c>
      <c r="D2737" s="212" t="n"/>
      <c r="E2737" s="75">
        <f>+C2737&amp;F2737</f>
        <v/>
      </c>
      <c r="F2737" s="80" t="n"/>
      <c r="G2737" s="81" t="n"/>
      <c r="H2737" s="78" t="n"/>
      <c r="I2737" s="78" t="n"/>
      <c r="J2737" s="78" t="n"/>
    </row>
    <row r="2738">
      <c r="A2738" s="84">
        <f>ROW()-6</f>
        <v/>
      </c>
      <c r="B2738" s="85">
        <f>+MATCH(D2738,ARTICULOS!$F$10:$F$699,0)</f>
        <v/>
      </c>
      <c r="C2738" s="86">
        <f>+VLOOKUP(B2738,ARTICULOS!$D$10:$I$699,6)</f>
        <v/>
      </c>
      <c r="D2738" s="212" t="n"/>
      <c r="E2738" s="75">
        <f>+C2738&amp;F2738</f>
        <v/>
      </c>
      <c r="F2738" s="80" t="n"/>
      <c r="G2738" s="81" t="n"/>
      <c r="H2738" s="78" t="n"/>
      <c r="I2738" s="78" t="n"/>
      <c r="J2738" s="78" t="n"/>
    </row>
    <row r="2739">
      <c r="A2739" s="84">
        <f>ROW()-6</f>
        <v/>
      </c>
      <c r="B2739" s="85">
        <f>+MATCH(D2739,ARTICULOS!$F$10:$F$699,0)</f>
        <v/>
      </c>
      <c r="C2739" s="86">
        <f>+VLOOKUP(B2739,ARTICULOS!$D$10:$I$699,6)</f>
        <v/>
      </c>
      <c r="D2739" s="212" t="n"/>
      <c r="E2739" s="75">
        <f>+C2739&amp;F2739</f>
        <v/>
      </c>
      <c r="F2739" s="80" t="n"/>
      <c r="G2739" s="81" t="n"/>
      <c r="H2739" s="78" t="n"/>
      <c r="I2739" s="78" t="n"/>
      <c r="J2739" s="78" t="n"/>
    </row>
    <row r="2740">
      <c r="A2740" s="84">
        <f>ROW()-6</f>
        <v/>
      </c>
      <c r="B2740" s="85">
        <f>+MATCH(D2740,ARTICULOS!$F$10:$F$699,0)</f>
        <v/>
      </c>
      <c r="C2740" s="86">
        <f>+VLOOKUP(B2740,ARTICULOS!$D$10:$I$699,6)</f>
        <v/>
      </c>
      <c r="D2740" s="212" t="n"/>
      <c r="E2740" s="75">
        <f>+C2740&amp;F2740</f>
        <v/>
      </c>
      <c r="F2740" s="80" t="n"/>
      <c r="G2740" s="81" t="n"/>
      <c r="H2740" s="78" t="n"/>
      <c r="I2740" s="78" t="n"/>
      <c r="J2740" s="78" t="n"/>
    </row>
    <row r="2741">
      <c r="A2741" s="84">
        <f>ROW()-6</f>
        <v/>
      </c>
      <c r="B2741" s="85">
        <f>+MATCH(D2741,ARTICULOS!$F$10:$F$699,0)</f>
        <v/>
      </c>
      <c r="C2741" s="86">
        <f>+VLOOKUP(B2741,ARTICULOS!$D$10:$I$699,6)</f>
        <v/>
      </c>
      <c r="D2741" s="212" t="n"/>
      <c r="E2741" s="75">
        <f>+C2741&amp;F2741</f>
        <v/>
      </c>
      <c r="F2741" s="80" t="n"/>
      <c r="G2741" s="81" t="n"/>
      <c r="H2741" s="78" t="n"/>
      <c r="I2741" s="78" t="n"/>
      <c r="J2741" s="78" t="n"/>
    </row>
    <row r="2742">
      <c r="A2742" s="84">
        <f>ROW()-6</f>
        <v/>
      </c>
      <c r="B2742" s="85">
        <f>+MATCH(D2742,ARTICULOS!$F$10:$F$699,0)</f>
        <v/>
      </c>
      <c r="C2742" s="86">
        <f>+VLOOKUP(B2742,ARTICULOS!$D$10:$I$699,6)</f>
        <v/>
      </c>
      <c r="D2742" s="212" t="n"/>
      <c r="E2742" s="75">
        <f>+C2742&amp;F2742</f>
        <v/>
      </c>
      <c r="F2742" s="80" t="n"/>
      <c r="G2742" s="81" t="n"/>
      <c r="H2742" s="78" t="n"/>
      <c r="I2742" s="78" t="n"/>
      <c r="J2742" s="78" t="n"/>
    </row>
    <row r="2743">
      <c r="A2743" s="84">
        <f>ROW()-6</f>
        <v/>
      </c>
      <c r="B2743" s="85">
        <f>+MATCH(D2743,ARTICULOS!$F$10:$F$699,0)</f>
        <v/>
      </c>
      <c r="C2743" s="86">
        <f>+VLOOKUP(B2743,ARTICULOS!$D$10:$I$699,6)</f>
        <v/>
      </c>
      <c r="D2743" s="212" t="n"/>
      <c r="E2743" s="75">
        <f>+C2743&amp;F2743</f>
        <v/>
      </c>
      <c r="F2743" s="80" t="n"/>
      <c r="G2743" s="81" t="n"/>
      <c r="H2743" s="78" t="n"/>
      <c r="I2743" s="78" t="n"/>
      <c r="J2743" s="78" t="n"/>
    </row>
    <row r="2744">
      <c r="A2744" s="84">
        <f>ROW()-6</f>
        <v/>
      </c>
      <c r="B2744" s="85">
        <f>+MATCH(D2744,ARTICULOS!$F$10:$F$699,0)</f>
        <v/>
      </c>
      <c r="C2744" s="86">
        <f>+VLOOKUP(B2744,ARTICULOS!$D$10:$I$699,6)</f>
        <v/>
      </c>
      <c r="D2744" s="212" t="n"/>
      <c r="E2744" s="75">
        <f>+C2744&amp;F2744</f>
        <v/>
      </c>
      <c r="F2744" s="80" t="n"/>
      <c r="G2744" s="81" t="n"/>
      <c r="H2744" s="78" t="n"/>
      <c r="I2744" s="78" t="n"/>
      <c r="J2744" s="78" t="n"/>
    </row>
    <row r="2745">
      <c r="A2745" s="84">
        <f>ROW()-6</f>
        <v/>
      </c>
      <c r="B2745" s="85">
        <f>+MATCH(D2745,ARTICULOS!$F$10:$F$699,0)</f>
        <v/>
      </c>
      <c r="C2745" s="86">
        <f>+VLOOKUP(B2745,ARTICULOS!$D$10:$I$699,6)</f>
        <v/>
      </c>
      <c r="D2745" s="212" t="n"/>
      <c r="E2745" s="75">
        <f>+C2745&amp;F2745</f>
        <v/>
      </c>
      <c r="F2745" s="80" t="n"/>
      <c r="G2745" s="81" t="n"/>
      <c r="H2745" s="78" t="n"/>
      <c r="I2745" s="78" t="n"/>
      <c r="J2745" s="78" t="n"/>
    </row>
    <row r="2746">
      <c r="A2746" s="84">
        <f>ROW()-6</f>
        <v/>
      </c>
      <c r="B2746" s="85">
        <f>+MATCH(D2746,ARTICULOS!$F$10:$F$699,0)</f>
        <v/>
      </c>
      <c r="C2746" s="86">
        <f>+VLOOKUP(B2746,ARTICULOS!$D$10:$I$699,6)</f>
        <v/>
      </c>
      <c r="D2746" s="212" t="n"/>
      <c r="E2746" s="75">
        <f>+C2746&amp;F2746</f>
        <v/>
      </c>
      <c r="F2746" s="80" t="n"/>
      <c r="G2746" s="81" t="n"/>
      <c r="H2746" s="78" t="n"/>
      <c r="I2746" s="78" t="n"/>
      <c r="J2746" s="78" t="n"/>
    </row>
    <row r="2747">
      <c r="A2747" s="84">
        <f>ROW()-6</f>
        <v/>
      </c>
      <c r="B2747" s="85">
        <f>+MATCH(D2747,ARTICULOS!$F$10:$F$699,0)</f>
        <v/>
      </c>
      <c r="C2747" s="86">
        <f>+VLOOKUP(B2747,ARTICULOS!$D$10:$I$699,6)</f>
        <v/>
      </c>
      <c r="D2747" s="212" t="n"/>
      <c r="E2747" s="75">
        <f>+C2747&amp;F2747</f>
        <v/>
      </c>
      <c r="F2747" s="80" t="n"/>
      <c r="G2747" s="81" t="n"/>
      <c r="H2747" s="78" t="n"/>
      <c r="I2747" s="78" t="n"/>
      <c r="J2747" s="78" t="n"/>
    </row>
    <row r="2748">
      <c r="A2748" s="84">
        <f>ROW()-6</f>
        <v/>
      </c>
      <c r="B2748" s="85">
        <f>+MATCH(D2748,ARTICULOS!$F$10:$F$699,0)</f>
        <v/>
      </c>
      <c r="C2748" s="86">
        <f>+VLOOKUP(B2748,ARTICULOS!$D$10:$I$699,6)</f>
        <v/>
      </c>
      <c r="D2748" s="212" t="n"/>
      <c r="E2748" s="75">
        <f>+C2748&amp;F2748</f>
        <v/>
      </c>
      <c r="F2748" s="80" t="n"/>
      <c r="G2748" s="81" t="n"/>
      <c r="H2748" s="78" t="n"/>
      <c r="I2748" s="78" t="n"/>
      <c r="J2748" s="78" t="n"/>
    </row>
    <row r="2749">
      <c r="A2749" s="84">
        <f>ROW()-6</f>
        <v/>
      </c>
      <c r="B2749" s="85">
        <f>+MATCH(D2749,ARTICULOS!$F$10:$F$699,0)</f>
        <v/>
      </c>
      <c r="C2749" s="86">
        <f>+VLOOKUP(B2749,ARTICULOS!$D$10:$I$699,6)</f>
        <v/>
      </c>
      <c r="D2749" s="212" t="n"/>
      <c r="E2749" s="75">
        <f>+C2749&amp;F2749</f>
        <v/>
      </c>
      <c r="F2749" s="80" t="n"/>
      <c r="G2749" s="81" t="n"/>
      <c r="H2749" s="78" t="n"/>
      <c r="I2749" s="78" t="n"/>
      <c r="J2749" s="78" t="n"/>
    </row>
    <row r="2750">
      <c r="A2750" s="84">
        <f>ROW()-6</f>
        <v/>
      </c>
      <c r="B2750" s="85">
        <f>+MATCH(D2750,ARTICULOS!$F$10:$F$699,0)</f>
        <v/>
      </c>
      <c r="C2750" s="86">
        <f>+VLOOKUP(B2750,ARTICULOS!$D$10:$I$699,6)</f>
        <v/>
      </c>
      <c r="D2750" s="212" t="n"/>
      <c r="E2750" s="75">
        <f>+C2750&amp;F2750</f>
        <v/>
      </c>
      <c r="F2750" s="80" t="n"/>
      <c r="G2750" s="81" t="n"/>
      <c r="H2750" s="78" t="n"/>
      <c r="I2750" s="78" t="n"/>
      <c r="J2750" s="78" t="n"/>
    </row>
    <row r="2751">
      <c r="A2751" s="84">
        <f>ROW()-6</f>
        <v/>
      </c>
      <c r="B2751" s="85">
        <f>+MATCH(D2751,ARTICULOS!$F$10:$F$699,0)</f>
        <v/>
      </c>
      <c r="C2751" s="86">
        <f>+VLOOKUP(B2751,ARTICULOS!$D$10:$I$699,6)</f>
        <v/>
      </c>
      <c r="D2751" s="212" t="n"/>
      <c r="E2751" s="75">
        <f>+C2751&amp;F2751</f>
        <v/>
      </c>
      <c r="F2751" s="80" t="n"/>
      <c r="G2751" s="81" t="n"/>
      <c r="H2751" s="78" t="n"/>
      <c r="I2751" s="78" t="n"/>
      <c r="J2751" s="78" t="n"/>
    </row>
    <row r="2752">
      <c r="A2752" s="84">
        <f>ROW()-6</f>
        <v/>
      </c>
      <c r="B2752" s="85">
        <f>+MATCH(D2752,ARTICULOS!$F$10:$F$699,0)</f>
        <v/>
      </c>
      <c r="C2752" s="86">
        <f>+VLOOKUP(B2752,ARTICULOS!$D$10:$I$699,6)</f>
        <v/>
      </c>
      <c r="D2752" s="212" t="n"/>
      <c r="E2752" s="75">
        <f>+C2752&amp;F2752</f>
        <v/>
      </c>
      <c r="F2752" s="80" t="n"/>
      <c r="G2752" s="81" t="n"/>
      <c r="H2752" s="78" t="n"/>
      <c r="I2752" s="78" t="n"/>
      <c r="J2752" s="78" t="n"/>
    </row>
    <row r="2753">
      <c r="A2753" s="84">
        <f>ROW()-6</f>
        <v/>
      </c>
      <c r="B2753" s="85">
        <f>+MATCH(D2753,ARTICULOS!$F$10:$F$699,0)</f>
        <v/>
      </c>
      <c r="C2753" s="86">
        <f>+VLOOKUP(B2753,ARTICULOS!$D$10:$I$699,6)</f>
        <v/>
      </c>
      <c r="D2753" s="212" t="n"/>
      <c r="E2753" s="75">
        <f>+C2753&amp;F2753</f>
        <v/>
      </c>
      <c r="F2753" s="80" t="n"/>
      <c r="G2753" s="81" t="n"/>
      <c r="H2753" s="78" t="n"/>
      <c r="I2753" s="78" t="n"/>
      <c r="J2753" s="78" t="n"/>
    </row>
    <row r="2754">
      <c r="A2754" s="84">
        <f>ROW()-6</f>
        <v/>
      </c>
      <c r="B2754" s="85">
        <f>+MATCH(D2754,ARTICULOS!$F$10:$F$699,0)</f>
        <v/>
      </c>
      <c r="C2754" s="86">
        <f>+VLOOKUP(B2754,ARTICULOS!$D$10:$I$699,6)</f>
        <v/>
      </c>
      <c r="D2754" s="212" t="n"/>
      <c r="E2754" s="75">
        <f>+C2754&amp;F2754</f>
        <v/>
      </c>
      <c r="F2754" s="80" t="n"/>
      <c r="G2754" s="81" t="n"/>
      <c r="H2754" s="78" t="n"/>
      <c r="I2754" s="78" t="n"/>
      <c r="J2754" s="78" t="n"/>
    </row>
    <row r="2755">
      <c r="A2755" s="84">
        <f>ROW()-6</f>
        <v/>
      </c>
      <c r="B2755" s="85">
        <f>+MATCH(D2755,ARTICULOS!$F$10:$F$699,0)</f>
        <v/>
      </c>
      <c r="C2755" s="86">
        <f>+VLOOKUP(B2755,ARTICULOS!$D$10:$I$699,6)</f>
        <v/>
      </c>
      <c r="D2755" s="212" t="n"/>
      <c r="E2755" s="75">
        <f>+C2755&amp;F2755</f>
        <v/>
      </c>
      <c r="F2755" s="80" t="n"/>
      <c r="G2755" s="81" t="n"/>
      <c r="H2755" s="78" t="n"/>
      <c r="I2755" s="78" t="n"/>
      <c r="J2755" s="78" t="n"/>
    </row>
    <row r="2756">
      <c r="A2756" s="84">
        <f>ROW()-6</f>
        <v/>
      </c>
      <c r="B2756" s="85">
        <f>+MATCH(D2756,ARTICULOS!$F$10:$F$699,0)</f>
        <v/>
      </c>
      <c r="C2756" s="86">
        <f>+VLOOKUP(B2756,ARTICULOS!$D$10:$I$699,6)</f>
        <v/>
      </c>
      <c r="D2756" s="212" t="n"/>
      <c r="E2756" s="75">
        <f>+C2756&amp;F2756</f>
        <v/>
      </c>
      <c r="F2756" s="80" t="n"/>
      <c r="G2756" s="81" t="n"/>
      <c r="H2756" s="78" t="n"/>
      <c r="I2756" s="78" t="n"/>
      <c r="J2756" s="78" t="n"/>
    </row>
    <row r="2757">
      <c r="A2757" s="84">
        <f>ROW()-6</f>
        <v/>
      </c>
      <c r="B2757" s="85">
        <f>+MATCH(D2757,ARTICULOS!$F$10:$F$699,0)</f>
        <v/>
      </c>
      <c r="C2757" s="86">
        <f>+VLOOKUP(B2757,ARTICULOS!$D$10:$I$699,6)</f>
        <v/>
      </c>
      <c r="D2757" s="212" t="n"/>
      <c r="E2757" s="75">
        <f>+C2757&amp;F2757</f>
        <v/>
      </c>
      <c r="F2757" s="80" t="n"/>
      <c r="G2757" s="81" t="n"/>
      <c r="H2757" s="78" t="n"/>
      <c r="I2757" s="78" t="n"/>
      <c r="J2757" s="78" t="n"/>
    </row>
    <row r="2758">
      <c r="A2758" s="84">
        <f>ROW()-6</f>
        <v/>
      </c>
      <c r="B2758" s="85">
        <f>+MATCH(D2758,ARTICULOS!$F$10:$F$699,0)</f>
        <v/>
      </c>
      <c r="C2758" s="86">
        <f>+VLOOKUP(B2758,ARTICULOS!$D$10:$I$699,6)</f>
        <v/>
      </c>
      <c r="D2758" s="212" t="n"/>
      <c r="E2758" s="75">
        <f>+C2758&amp;F2758</f>
        <v/>
      </c>
      <c r="F2758" s="80" t="n"/>
      <c r="G2758" s="81" t="n"/>
      <c r="H2758" s="78" t="n"/>
      <c r="I2758" s="78" t="n"/>
      <c r="J2758" s="78" t="n"/>
    </row>
    <row r="2759">
      <c r="A2759" s="84">
        <f>ROW()-6</f>
        <v/>
      </c>
      <c r="B2759" s="85">
        <f>+MATCH(D2759,ARTICULOS!$F$10:$F$699,0)</f>
        <v/>
      </c>
      <c r="C2759" s="86">
        <f>+VLOOKUP(B2759,ARTICULOS!$D$10:$I$699,6)</f>
        <v/>
      </c>
      <c r="D2759" s="212" t="n"/>
      <c r="E2759" s="75">
        <f>+C2759&amp;F2759</f>
        <v/>
      </c>
      <c r="F2759" s="80" t="n"/>
      <c r="G2759" s="81" t="n"/>
      <c r="H2759" s="78" t="n"/>
      <c r="I2759" s="78" t="n"/>
      <c r="J2759" s="78" t="n"/>
    </row>
    <row r="2760">
      <c r="A2760" s="84">
        <f>ROW()-6</f>
        <v/>
      </c>
      <c r="B2760" s="85">
        <f>+MATCH(D2760,ARTICULOS!$F$10:$F$699,0)</f>
        <v/>
      </c>
      <c r="C2760" s="86">
        <f>+VLOOKUP(B2760,ARTICULOS!$D$10:$I$699,6)</f>
        <v/>
      </c>
      <c r="D2760" s="212" t="n"/>
      <c r="E2760" s="75">
        <f>+C2760&amp;F2760</f>
        <v/>
      </c>
      <c r="F2760" s="80" t="n"/>
      <c r="G2760" s="81" t="n"/>
      <c r="H2760" s="78" t="n"/>
      <c r="I2760" s="78" t="n"/>
      <c r="J2760" s="78" t="n"/>
    </row>
    <row r="2761">
      <c r="A2761" s="84">
        <f>ROW()-6</f>
        <v/>
      </c>
      <c r="B2761" s="85">
        <f>+MATCH(D2761,ARTICULOS!$F$10:$F$699,0)</f>
        <v/>
      </c>
      <c r="C2761" s="86">
        <f>+VLOOKUP(B2761,ARTICULOS!$D$10:$I$699,6)</f>
        <v/>
      </c>
      <c r="D2761" s="212" t="n"/>
      <c r="E2761" s="75">
        <f>+C2761&amp;F2761</f>
        <v/>
      </c>
      <c r="F2761" s="80" t="n"/>
      <c r="G2761" s="81" t="n"/>
      <c r="H2761" s="78" t="n"/>
      <c r="I2761" s="78" t="n"/>
      <c r="J2761" s="78" t="n"/>
    </row>
    <row r="2762">
      <c r="A2762" s="84">
        <f>ROW()-6</f>
        <v/>
      </c>
      <c r="B2762" s="85">
        <f>+MATCH(D2762,ARTICULOS!$F$10:$F$699,0)</f>
        <v/>
      </c>
      <c r="C2762" s="86">
        <f>+VLOOKUP(B2762,ARTICULOS!$D$10:$I$699,6)</f>
        <v/>
      </c>
      <c r="D2762" s="212" t="n"/>
      <c r="E2762" s="75">
        <f>+C2762&amp;F2762</f>
        <v/>
      </c>
      <c r="F2762" s="80" t="n"/>
      <c r="G2762" s="81" t="n"/>
      <c r="H2762" s="78" t="n"/>
      <c r="I2762" s="78" t="n"/>
      <c r="J2762" s="78" t="n"/>
    </row>
    <row r="2763">
      <c r="A2763" s="84">
        <f>ROW()-6</f>
        <v/>
      </c>
      <c r="B2763" s="85">
        <f>+MATCH(D2763,ARTICULOS!$F$10:$F$699,0)</f>
        <v/>
      </c>
      <c r="C2763" s="86">
        <f>+VLOOKUP(B2763,ARTICULOS!$D$10:$I$699,6)</f>
        <v/>
      </c>
      <c r="D2763" s="212" t="n"/>
      <c r="E2763" s="75">
        <f>+C2763&amp;F2763</f>
        <v/>
      </c>
      <c r="F2763" s="80" t="n"/>
      <c r="G2763" s="81" t="n"/>
      <c r="H2763" s="78" t="n"/>
      <c r="I2763" s="78" t="n"/>
      <c r="J2763" s="78" t="n"/>
    </row>
    <row r="2764">
      <c r="A2764" s="84">
        <f>ROW()-6</f>
        <v/>
      </c>
      <c r="B2764" s="85">
        <f>+MATCH(D2764,ARTICULOS!$F$10:$F$699,0)</f>
        <v/>
      </c>
      <c r="C2764" s="86">
        <f>+VLOOKUP(B2764,ARTICULOS!$D$10:$I$699,6)</f>
        <v/>
      </c>
      <c r="D2764" s="212" t="n"/>
      <c r="E2764" s="75">
        <f>+C2764&amp;F2764</f>
        <v/>
      </c>
      <c r="F2764" s="80" t="n"/>
      <c r="G2764" s="81" t="n"/>
      <c r="H2764" s="78" t="n"/>
      <c r="I2764" s="78" t="n"/>
      <c r="J2764" s="78" t="n"/>
    </row>
    <row r="2765">
      <c r="A2765" s="84">
        <f>ROW()-6</f>
        <v/>
      </c>
      <c r="B2765" s="85">
        <f>+MATCH(D2765,ARTICULOS!$F$10:$F$699,0)</f>
        <v/>
      </c>
      <c r="C2765" s="86">
        <f>+VLOOKUP(B2765,ARTICULOS!$D$10:$I$699,6)</f>
        <v/>
      </c>
      <c r="D2765" s="212" t="n"/>
      <c r="E2765" s="75">
        <f>+C2765&amp;F2765</f>
        <v/>
      </c>
      <c r="F2765" s="80" t="n"/>
      <c r="G2765" s="81" t="n"/>
      <c r="H2765" s="78" t="n"/>
      <c r="I2765" s="78" t="n"/>
      <c r="J2765" s="78" t="n"/>
    </row>
    <row r="2766">
      <c r="A2766" s="84">
        <f>ROW()-6</f>
        <v/>
      </c>
      <c r="B2766" s="85">
        <f>+MATCH(D2766,ARTICULOS!$F$10:$F$699,0)</f>
        <v/>
      </c>
      <c r="C2766" s="86">
        <f>+VLOOKUP(B2766,ARTICULOS!$D$10:$I$699,6)</f>
        <v/>
      </c>
      <c r="D2766" s="212" t="n"/>
      <c r="E2766" s="75">
        <f>+C2766&amp;F2766</f>
        <v/>
      </c>
      <c r="F2766" s="80" t="n"/>
      <c r="G2766" s="81" t="n"/>
      <c r="H2766" s="78" t="n"/>
      <c r="I2766" s="78" t="n"/>
      <c r="J2766" s="78" t="n"/>
    </row>
    <row r="2767">
      <c r="A2767" s="84">
        <f>ROW()-6</f>
        <v/>
      </c>
      <c r="B2767" s="85">
        <f>+MATCH(D2767,ARTICULOS!$F$10:$F$699,0)</f>
        <v/>
      </c>
      <c r="C2767" s="86">
        <f>+VLOOKUP(B2767,ARTICULOS!$D$10:$I$699,6)</f>
        <v/>
      </c>
      <c r="D2767" s="212" t="n"/>
      <c r="E2767" s="75">
        <f>+C2767&amp;F2767</f>
        <v/>
      </c>
      <c r="F2767" s="80" t="n"/>
      <c r="G2767" s="81" t="n"/>
      <c r="H2767" s="78" t="n"/>
      <c r="I2767" s="78" t="n"/>
      <c r="J2767" s="78" t="n"/>
    </row>
    <row r="2768">
      <c r="A2768" s="84">
        <f>ROW()-6</f>
        <v/>
      </c>
      <c r="B2768" s="85">
        <f>+MATCH(D2768,ARTICULOS!$F$10:$F$699,0)</f>
        <v/>
      </c>
      <c r="C2768" s="86">
        <f>+VLOOKUP(B2768,ARTICULOS!$D$10:$I$699,6)</f>
        <v/>
      </c>
      <c r="D2768" s="212" t="n"/>
      <c r="E2768" s="75">
        <f>+C2768&amp;F2768</f>
        <v/>
      </c>
      <c r="F2768" s="80" t="n"/>
      <c r="G2768" s="81" t="n"/>
      <c r="H2768" s="78" t="n"/>
      <c r="I2768" s="78" t="n"/>
      <c r="J2768" s="78" t="n"/>
    </row>
    <row r="2769">
      <c r="A2769" s="84">
        <f>ROW()-6</f>
        <v/>
      </c>
      <c r="B2769" s="85">
        <f>+MATCH(D2769,ARTICULOS!$F$10:$F$699,0)</f>
        <v/>
      </c>
      <c r="C2769" s="86">
        <f>+VLOOKUP(B2769,ARTICULOS!$D$10:$I$699,6)</f>
        <v/>
      </c>
      <c r="D2769" s="212" t="n"/>
      <c r="E2769" s="75">
        <f>+C2769&amp;F2769</f>
        <v/>
      </c>
      <c r="F2769" s="80" t="n"/>
      <c r="G2769" s="81" t="n"/>
      <c r="H2769" s="78" t="n"/>
      <c r="I2769" s="78" t="n"/>
      <c r="J2769" s="78" t="n"/>
    </row>
    <row r="2770">
      <c r="A2770" s="84">
        <f>ROW()-6</f>
        <v/>
      </c>
      <c r="B2770" s="85">
        <f>+MATCH(D2770,ARTICULOS!$F$10:$F$699,0)</f>
        <v/>
      </c>
      <c r="C2770" s="86">
        <f>+VLOOKUP(B2770,ARTICULOS!$D$10:$I$699,6)</f>
        <v/>
      </c>
      <c r="D2770" s="212" t="n"/>
      <c r="E2770" s="75">
        <f>+C2770&amp;F2770</f>
        <v/>
      </c>
      <c r="F2770" s="80" t="n"/>
      <c r="G2770" s="81" t="n"/>
      <c r="H2770" s="78" t="n"/>
      <c r="I2770" s="78" t="n"/>
      <c r="J2770" s="78" t="n"/>
    </row>
    <row r="2771">
      <c r="A2771" s="84">
        <f>ROW()-6</f>
        <v/>
      </c>
      <c r="B2771" s="85">
        <f>+MATCH(D2771,ARTICULOS!$F$10:$F$699,0)</f>
        <v/>
      </c>
      <c r="C2771" s="86">
        <f>+VLOOKUP(B2771,ARTICULOS!$D$10:$I$699,6)</f>
        <v/>
      </c>
      <c r="D2771" s="212" t="n"/>
      <c r="E2771" s="75">
        <f>+C2771&amp;F2771</f>
        <v/>
      </c>
      <c r="F2771" s="80" t="n"/>
      <c r="G2771" s="81" t="n"/>
      <c r="H2771" s="78" t="n"/>
      <c r="I2771" s="78" t="n"/>
      <c r="J2771" s="78" t="n"/>
    </row>
    <row r="2772">
      <c r="A2772" s="84">
        <f>ROW()-6</f>
        <v/>
      </c>
      <c r="B2772" s="85">
        <f>+MATCH(D2772,ARTICULOS!$F$10:$F$699,0)</f>
        <v/>
      </c>
      <c r="C2772" s="86">
        <f>+VLOOKUP(B2772,ARTICULOS!$D$10:$I$699,6)</f>
        <v/>
      </c>
      <c r="D2772" s="212" t="n"/>
      <c r="E2772" s="75">
        <f>+C2772&amp;F2772</f>
        <v/>
      </c>
      <c r="F2772" s="80" t="n"/>
      <c r="G2772" s="81" t="n"/>
      <c r="H2772" s="78" t="n"/>
      <c r="I2772" s="78" t="n"/>
      <c r="J2772" s="78" t="n"/>
    </row>
    <row r="2773">
      <c r="A2773" s="84">
        <f>ROW()-6</f>
        <v/>
      </c>
      <c r="B2773" s="85">
        <f>+MATCH(D2773,ARTICULOS!$F$10:$F$699,0)</f>
        <v/>
      </c>
      <c r="C2773" s="86">
        <f>+VLOOKUP(B2773,ARTICULOS!$D$10:$I$699,6)</f>
        <v/>
      </c>
      <c r="D2773" s="212" t="n"/>
      <c r="E2773" s="75">
        <f>+C2773&amp;F2773</f>
        <v/>
      </c>
      <c r="F2773" s="80" t="n"/>
      <c r="G2773" s="81" t="n"/>
      <c r="H2773" s="78" t="n"/>
      <c r="I2773" s="78" t="n"/>
      <c r="J2773" s="78" t="n"/>
    </row>
    <row r="2774">
      <c r="A2774" s="84">
        <f>ROW()-6</f>
        <v/>
      </c>
      <c r="B2774" s="85">
        <f>+MATCH(D2774,ARTICULOS!$F$10:$F$699,0)</f>
        <v/>
      </c>
      <c r="C2774" s="86">
        <f>+VLOOKUP(B2774,ARTICULOS!$D$10:$I$699,6)</f>
        <v/>
      </c>
      <c r="D2774" s="212" t="n"/>
      <c r="E2774" s="75">
        <f>+C2774&amp;F2774</f>
        <v/>
      </c>
      <c r="F2774" s="80" t="n"/>
      <c r="G2774" s="81" t="n"/>
      <c r="H2774" s="78" t="n"/>
      <c r="I2774" s="78" t="n"/>
      <c r="J2774" s="78" t="n"/>
    </row>
    <row r="2775">
      <c r="A2775" s="84">
        <f>ROW()-6</f>
        <v/>
      </c>
      <c r="B2775" s="85">
        <f>+MATCH(D2775,ARTICULOS!$F$10:$F$699,0)</f>
        <v/>
      </c>
      <c r="C2775" s="86">
        <f>+VLOOKUP(B2775,ARTICULOS!$D$10:$I$699,6)</f>
        <v/>
      </c>
      <c r="D2775" s="212" t="n"/>
      <c r="E2775" s="75">
        <f>+C2775&amp;F2775</f>
        <v/>
      </c>
      <c r="F2775" s="80" t="n"/>
      <c r="G2775" s="81" t="n"/>
      <c r="H2775" s="78" t="n"/>
      <c r="I2775" s="78" t="n"/>
      <c r="J2775" s="78" t="n"/>
    </row>
    <row r="2776">
      <c r="A2776" s="84">
        <f>ROW()-6</f>
        <v/>
      </c>
      <c r="B2776" s="85">
        <f>+MATCH(D2776,ARTICULOS!$F$10:$F$699,0)</f>
        <v/>
      </c>
      <c r="C2776" s="86">
        <f>+VLOOKUP(B2776,ARTICULOS!$D$10:$I$699,6)</f>
        <v/>
      </c>
      <c r="D2776" s="212" t="n"/>
      <c r="E2776" s="75">
        <f>+C2776&amp;F2776</f>
        <v/>
      </c>
      <c r="F2776" s="80" t="n"/>
      <c r="G2776" s="81" t="n"/>
      <c r="H2776" s="78" t="n"/>
      <c r="I2776" s="78" t="n"/>
      <c r="J2776" s="78" t="n"/>
    </row>
    <row r="2777">
      <c r="A2777" s="84">
        <f>ROW()-6</f>
        <v/>
      </c>
      <c r="B2777" s="85">
        <f>+MATCH(D2777,ARTICULOS!$F$10:$F$699,0)</f>
        <v/>
      </c>
      <c r="C2777" s="86">
        <f>+VLOOKUP(B2777,ARTICULOS!$D$10:$I$699,6)</f>
        <v/>
      </c>
      <c r="D2777" s="212" t="n"/>
      <c r="E2777" s="75">
        <f>+C2777&amp;F2777</f>
        <v/>
      </c>
      <c r="F2777" s="80" t="n"/>
      <c r="G2777" s="81" t="n"/>
      <c r="H2777" s="78" t="n"/>
      <c r="I2777" s="78" t="n"/>
      <c r="J2777" s="78" t="n"/>
    </row>
    <row r="2778">
      <c r="A2778" s="84">
        <f>ROW()-6</f>
        <v/>
      </c>
      <c r="B2778" s="85">
        <f>+MATCH(D2778,ARTICULOS!$F$10:$F$699,0)</f>
        <v/>
      </c>
      <c r="C2778" s="86">
        <f>+VLOOKUP(B2778,ARTICULOS!$D$10:$I$699,6)</f>
        <v/>
      </c>
      <c r="D2778" s="212" t="n"/>
      <c r="E2778" s="75">
        <f>+C2778&amp;F2778</f>
        <v/>
      </c>
      <c r="F2778" s="80" t="n"/>
      <c r="G2778" s="81" t="n"/>
      <c r="H2778" s="78" t="n"/>
      <c r="I2778" s="78" t="n"/>
      <c r="J2778" s="78" t="n"/>
    </row>
    <row r="2779">
      <c r="A2779" s="84">
        <f>ROW()-6</f>
        <v/>
      </c>
      <c r="B2779" s="85">
        <f>+MATCH(D2779,ARTICULOS!$F$10:$F$699,0)</f>
        <v/>
      </c>
      <c r="C2779" s="86">
        <f>+VLOOKUP(B2779,ARTICULOS!$D$10:$I$699,6)</f>
        <v/>
      </c>
      <c r="D2779" s="212" t="n"/>
      <c r="E2779" s="75">
        <f>+C2779&amp;F2779</f>
        <v/>
      </c>
      <c r="F2779" s="80" t="n"/>
      <c r="G2779" s="81" t="n"/>
      <c r="H2779" s="78" t="n"/>
      <c r="I2779" s="78" t="n"/>
      <c r="J2779" s="78" t="n"/>
    </row>
    <row r="2780">
      <c r="A2780" s="84">
        <f>ROW()-6</f>
        <v/>
      </c>
      <c r="B2780" s="85">
        <f>+MATCH(D2780,ARTICULOS!$F$10:$F$699,0)</f>
        <v/>
      </c>
      <c r="C2780" s="86">
        <f>+VLOOKUP(B2780,ARTICULOS!$D$10:$I$699,6)</f>
        <v/>
      </c>
      <c r="D2780" s="212" t="n"/>
      <c r="E2780" s="75">
        <f>+C2780&amp;F2780</f>
        <v/>
      </c>
      <c r="F2780" s="80" t="n"/>
      <c r="G2780" s="81" t="n"/>
      <c r="H2780" s="78" t="n"/>
      <c r="I2780" s="78" t="n"/>
      <c r="J2780" s="78" t="n"/>
    </row>
    <row r="2781">
      <c r="A2781" s="84">
        <f>ROW()-6</f>
        <v/>
      </c>
      <c r="B2781" s="85">
        <f>+MATCH(D2781,ARTICULOS!$F$10:$F$699,0)</f>
        <v/>
      </c>
      <c r="C2781" s="86">
        <f>+VLOOKUP(B2781,ARTICULOS!$D$10:$I$699,6)</f>
        <v/>
      </c>
      <c r="D2781" s="212" t="n"/>
      <c r="E2781" s="75">
        <f>+C2781&amp;F2781</f>
        <v/>
      </c>
      <c r="F2781" s="80" t="n"/>
      <c r="G2781" s="81" t="n"/>
      <c r="H2781" s="78" t="n"/>
      <c r="I2781" s="78" t="n"/>
      <c r="J2781" s="78" t="n"/>
    </row>
    <row r="2782">
      <c r="A2782" s="84">
        <f>ROW()-6</f>
        <v/>
      </c>
      <c r="B2782" s="85">
        <f>+MATCH(D2782,ARTICULOS!$F$10:$F$699,0)</f>
        <v/>
      </c>
      <c r="C2782" s="86">
        <f>+VLOOKUP(B2782,ARTICULOS!$D$10:$I$699,6)</f>
        <v/>
      </c>
      <c r="D2782" s="212" t="n"/>
      <c r="E2782" s="75">
        <f>+C2782&amp;F2782</f>
        <v/>
      </c>
      <c r="F2782" s="80" t="n"/>
      <c r="G2782" s="81" t="n"/>
      <c r="H2782" s="78" t="n"/>
      <c r="I2782" s="78" t="n"/>
      <c r="J2782" s="78" t="n"/>
    </row>
    <row r="2783">
      <c r="A2783" s="84">
        <f>ROW()-6</f>
        <v/>
      </c>
      <c r="B2783" s="85">
        <f>+MATCH(D2783,ARTICULOS!$F$10:$F$699,0)</f>
        <v/>
      </c>
      <c r="C2783" s="86">
        <f>+VLOOKUP(B2783,ARTICULOS!$D$10:$I$699,6)</f>
        <v/>
      </c>
      <c r="D2783" s="212" t="n"/>
      <c r="E2783" s="75">
        <f>+C2783&amp;F2783</f>
        <v/>
      </c>
      <c r="F2783" s="80" t="n"/>
      <c r="G2783" s="81" t="n"/>
      <c r="H2783" s="78" t="n"/>
      <c r="I2783" s="78" t="n"/>
      <c r="J2783" s="78" t="n"/>
    </row>
    <row r="2784">
      <c r="A2784" s="84">
        <f>ROW()-6</f>
        <v/>
      </c>
      <c r="B2784" s="85">
        <f>+MATCH(D2784,ARTICULOS!$F$10:$F$699,0)</f>
        <v/>
      </c>
      <c r="C2784" s="86">
        <f>+VLOOKUP(B2784,ARTICULOS!$D$10:$I$699,6)</f>
        <v/>
      </c>
      <c r="D2784" s="212" t="n"/>
      <c r="E2784" s="75">
        <f>+C2784&amp;F2784</f>
        <v/>
      </c>
      <c r="F2784" s="80" t="n"/>
      <c r="G2784" s="81" t="n"/>
      <c r="H2784" s="78" t="n"/>
      <c r="I2784" s="78" t="n"/>
      <c r="J2784" s="78" t="n"/>
    </row>
    <row r="2785">
      <c r="A2785" s="84">
        <f>ROW()-6</f>
        <v/>
      </c>
      <c r="B2785" s="85">
        <f>+MATCH(D2785,ARTICULOS!$F$10:$F$699,0)</f>
        <v/>
      </c>
      <c r="C2785" s="86">
        <f>+VLOOKUP(B2785,ARTICULOS!$D$10:$I$699,6)</f>
        <v/>
      </c>
      <c r="D2785" s="212" t="n"/>
      <c r="E2785" s="75">
        <f>+C2785&amp;F2785</f>
        <v/>
      </c>
      <c r="F2785" s="80" t="n"/>
      <c r="G2785" s="81" t="n"/>
      <c r="H2785" s="78" t="n"/>
      <c r="I2785" s="78" t="n"/>
      <c r="J2785" s="78" t="n"/>
    </row>
    <row r="2786">
      <c r="A2786" s="84">
        <f>ROW()-6</f>
        <v/>
      </c>
      <c r="B2786" s="85">
        <f>+MATCH(D2786,ARTICULOS!$F$10:$F$699,0)</f>
        <v/>
      </c>
      <c r="C2786" s="86">
        <f>+VLOOKUP(B2786,ARTICULOS!$D$10:$I$699,6)</f>
        <v/>
      </c>
      <c r="D2786" s="212" t="n"/>
      <c r="E2786" s="75">
        <f>+C2786&amp;F2786</f>
        <v/>
      </c>
      <c r="F2786" s="80" t="n"/>
      <c r="G2786" s="81" t="n"/>
      <c r="H2786" s="78" t="n"/>
      <c r="I2786" s="78" t="n"/>
      <c r="J2786" s="78" t="n"/>
    </row>
    <row r="2787">
      <c r="A2787" s="84">
        <f>ROW()-6</f>
        <v/>
      </c>
      <c r="B2787" s="85">
        <f>+MATCH(D2787,ARTICULOS!$F$10:$F$699,0)</f>
        <v/>
      </c>
      <c r="C2787" s="86">
        <f>+VLOOKUP(B2787,ARTICULOS!$D$10:$I$699,6)</f>
        <v/>
      </c>
      <c r="D2787" s="212" t="n"/>
      <c r="E2787" s="75">
        <f>+C2787&amp;F2787</f>
        <v/>
      </c>
      <c r="F2787" s="80" t="n"/>
      <c r="G2787" s="81" t="n"/>
      <c r="H2787" s="78" t="n"/>
      <c r="I2787" s="78" t="n"/>
      <c r="J2787" s="78" t="n"/>
    </row>
    <row r="2788">
      <c r="A2788" s="84">
        <f>ROW()-6</f>
        <v/>
      </c>
      <c r="B2788" s="85">
        <f>+MATCH(D2788,ARTICULOS!$F$10:$F$699,0)</f>
        <v/>
      </c>
      <c r="C2788" s="86">
        <f>+VLOOKUP(B2788,ARTICULOS!$D$10:$I$699,6)</f>
        <v/>
      </c>
      <c r="D2788" s="212" t="n"/>
      <c r="E2788" s="75">
        <f>+C2788&amp;F2788</f>
        <v/>
      </c>
      <c r="F2788" s="80" t="n"/>
      <c r="G2788" s="81" t="n"/>
      <c r="H2788" s="78" t="n"/>
      <c r="I2788" s="78" t="n"/>
      <c r="J2788" s="78" t="n"/>
    </row>
    <row r="2789">
      <c r="A2789" s="84">
        <f>ROW()-6</f>
        <v/>
      </c>
      <c r="B2789" s="85">
        <f>+MATCH(D2789,ARTICULOS!$F$10:$F$699,0)</f>
        <v/>
      </c>
      <c r="C2789" s="86">
        <f>+VLOOKUP(B2789,ARTICULOS!$D$10:$I$699,6)</f>
        <v/>
      </c>
      <c r="D2789" s="212" t="n"/>
      <c r="E2789" s="75">
        <f>+C2789&amp;F2789</f>
        <v/>
      </c>
      <c r="F2789" s="80" t="n"/>
      <c r="G2789" s="81" t="n"/>
      <c r="H2789" s="78" t="n"/>
      <c r="I2789" s="78" t="n"/>
      <c r="J2789" s="78" t="n"/>
    </row>
    <row r="2790">
      <c r="A2790" s="84">
        <f>ROW()-6</f>
        <v/>
      </c>
      <c r="B2790" s="85">
        <f>+MATCH(D2790,ARTICULOS!$F$10:$F$699,0)</f>
        <v/>
      </c>
      <c r="C2790" s="86">
        <f>+VLOOKUP(B2790,ARTICULOS!$D$10:$I$699,6)</f>
        <v/>
      </c>
      <c r="D2790" s="212" t="n"/>
      <c r="E2790" s="75">
        <f>+C2790&amp;F2790</f>
        <v/>
      </c>
      <c r="F2790" s="80" t="n"/>
      <c r="G2790" s="81" t="n"/>
      <c r="H2790" s="78" t="n"/>
      <c r="I2790" s="78" t="n"/>
      <c r="J2790" s="78" t="n"/>
    </row>
    <row r="2791">
      <c r="A2791" s="84">
        <f>ROW()-6</f>
        <v/>
      </c>
      <c r="B2791" s="85">
        <f>+MATCH(D2791,ARTICULOS!$F$10:$F$699,0)</f>
        <v/>
      </c>
      <c r="C2791" s="86">
        <f>+VLOOKUP(B2791,ARTICULOS!$D$10:$I$699,6)</f>
        <v/>
      </c>
      <c r="D2791" s="212" t="n"/>
      <c r="E2791" s="75">
        <f>+C2791&amp;F2791</f>
        <v/>
      </c>
      <c r="F2791" s="80" t="n"/>
      <c r="G2791" s="81" t="n"/>
      <c r="H2791" s="78" t="n"/>
      <c r="I2791" s="78" t="n"/>
      <c r="J2791" s="78" t="n"/>
    </row>
    <row r="2792">
      <c r="A2792" s="84">
        <f>ROW()-6</f>
        <v/>
      </c>
      <c r="B2792" s="85">
        <f>+MATCH(D2792,ARTICULOS!$F$10:$F$699,0)</f>
        <v/>
      </c>
      <c r="C2792" s="86">
        <f>+VLOOKUP(B2792,ARTICULOS!$D$10:$I$699,6)</f>
        <v/>
      </c>
      <c r="D2792" s="212" t="n"/>
      <c r="E2792" s="75">
        <f>+C2792&amp;F2792</f>
        <v/>
      </c>
      <c r="F2792" s="80" t="n"/>
      <c r="G2792" s="81" t="n"/>
      <c r="H2792" s="78" t="n"/>
      <c r="I2792" s="78" t="n"/>
      <c r="J2792" s="78" t="n"/>
    </row>
    <row r="2793">
      <c r="A2793" s="84">
        <f>ROW()-6</f>
        <v/>
      </c>
      <c r="B2793" s="85">
        <f>+MATCH(D2793,ARTICULOS!$F$10:$F$699,0)</f>
        <v/>
      </c>
      <c r="C2793" s="86">
        <f>+VLOOKUP(B2793,ARTICULOS!$D$10:$I$699,6)</f>
        <v/>
      </c>
      <c r="D2793" s="212" t="n"/>
      <c r="E2793" s="75">
        <f>+C2793&amp;F2793</f>
        <v/>
      </c>
      <c r="F2793" s="80" t="n"/>
      <c r="G2793" s="81" t="n"/>
      <c r="H2793" s="78" t="n"/>
      <c r="I2793" s="78" t="n"/>
      <c r="J2793" s="78" t="n"/>
    </row>
    <row r="2794">
      <c r="A2794" s="84">
        <f>ROW()-6</f>
        <v/>
      </c>
      <c r="B2794" s="85">
        <f>+MATCH(D2794,ARTICULOS!$F$10:$F$699,0)</f>
        <v/>
      </c>
      <c r="C2794" s="86">
        <f>+VLOOKUP(B2794,ARTICULOS!$D$10:$I$699,6)</f>
        <v/>
      </c>
      <c r="D2794" s="212" t="n"/>
      <c r="E2794" s="75">
        <f>+C2794&amp;F2794</f>
        <v/>
      </c>
      <c r="F2794" s="80" t="n"/>
      <c r="G2794" s="81" t="n"/>
      <c r="H2794" s="78" t="n"/>
      <c r="I2794" s="78" t="n"/>
      <c r="J2794" s="78" t="n"/>
    </row>
    <row r="2795">
      <c r="A2795" s="84">
        <f>ROW()-6</f>
        <v/>
      </c>
      <c r="B2795" s="85">
        <f>+MATCH(D2795,ARTICULOS!$F$10:$F$699,0)</f>
        <v/>
      </c>
      <c r="C2795" s="86">
        <f>+VLOOKUP(B2795,ARTICULOS!$D$10:$I$699,6)</f>
        <v/>
      </c>
      <c r="D2795" s="212" t="n"/>
      <c r="E2795" s="75">
        <f>+C2795&amp;F2795</f>
        <v/>
      </c>
      <c r="F2795" s="80" t="n"/>
      <c r="G2795" s="81" t="n"/>
      <c r="H2795" s="78" t="n"/>
      <c r="I2795" s="78" t="n"/>
      <c r="J2795" s="78" t="n"/>
    </row>
    <row r="2796">
      <c r="A2796" s="84">
        <f>ROW()-6</f>
        <v/>
      </c>
      <c r="B2796" s="85">
        <f>+MATCH(D2796,ARTICULOS!$F$10:$F$699,0)</f>
        <v/>
      </c>
      <c r="C2796" s="86">
        <f>+VLOOKUP(B2796,ARTICULOS!$D$10:$I$699,6)</f>
        <v/>
      </c>
      <c r="D2796" s="212" t="n"/>
      <c r="E2796" s="75">
        <f>+C2796&amp;F2796</f>
        <v/>
      </c>
      <c r="F2796" s="80" t="n"/>
      <c r="G2796" s="81" t="n"/>
      <c r="H2796" s="78" t="n"/>
      <c r="I2796" s="78" t="n"/>
      <c r="J2796" s="78" t="n"/>
    </row>
    <row r="2797">
      <c r="A2797" s="84">
        <f>ROW()-6</f>
        <v/>
      </c>
      <c r="B2797" s="85">
        <f>+MATCH(D2797,ARTICULOS!$F$10:$F$699,0)</f>
        <v/>
      </c>
      <c r="C2797" s="86">
        <f>+VLOOKUP(B2797,ARTICULOS!$D$10:$I$699,6)</f>
        <v/>
      </c>
      <c r="D2797" s="212" t="n"/>
      <c r="E2797" s="75">
        <f>+C2797&amp;F2797</f>
        <v/>
      </c>
      <c r="F2797" s="80" t="n"/>
      <c r="G2797" s="81" t="n"/>
      <c r="H2797" s="78" t="n"/>
      <c r="I2797" s="78" t="n"/>
      <c r="J2797" s="78" t="n"/>
    </row>
    <row r="2798">
      <c r="A2798" s="84">
        <f>ROW()-6</f>
        <v/>
      </c>
      <c r="B2798" s="85">
        <f>+MATCH(D2798,ARTICULOS!$F$10:$F$699,0)</f>
        <v/>
      </c>
      <c r="C2798" s="86">
        <f>+VLOOKUP(B2798,ARTICULOS!$D$10:$I$699,6)</f>
        <v/>
      </c>
      <c r="D2798" s="212" t="n"/>
      <c r="E2798" s="75">
        <f>+C2798&amp;F2798</f>
        <v/>
      </c>
      <c r="F2798" s="80" t="n"/>
      <c r="G2798" s="81" t="n"/>
      <c r="H2798" s="78" t="n"/>
      <c r="I2798" s="78" t="n"/>
      <c r="J2798" s="78" t="n"/>
    </row>
    <row r="2799">
      <c r="A2799" s="84">
        <f>ROW()-6</f>
        <v/>
      </c>
      <c r="B2799" s="85">
        <f>+MATCH(D2799,ARTICULOS!$F$10:$F$699,0)</f>
        <v/>
      </c>
      <c r="C2799" s="86">
        <f>+VLOOKUP(B2799,ARTICULOS!$D$10:$I$699,6)</f>
        <v/>
      </c>
      <c r="D2799" s="212" t="n"/>
      <c r="E2799" s="75">
        <f>+C2799&amp;F2799</f>
        <v/>
      </c>
      <c r="F2799" s="80" t="n"/>
      <c r="G2799" s="81" t="n"/>
      <c r="H2799" s="78" t="n"/>
      <c r="I2799" s="78" t="n"/>
      <c r="J2799" s="78" t="n"/>
    </row>
    <row r="2800">
      <c r="A2800" s="84">
        <f>ROW()-6</f>
        <v/>
      </c>
      <c r="B2800" s="85">
        <f>+MATCH(D2800,ARTICULOS!$F$10:$F$699,0)</f>
        <v/>
      </c>
      <c r="C2800" s="86">
        <f>+VLOOKUP(B2800,ARTICULOS!$D$10:$I$699,6)</f>
        <v/>
      </c>
      <c r="D2800" s="212" t="n"/>
      <c r="E2800" s="75">
        <f>+C2800&amp;F2800</f>
        <v/>
      </c>
      <c r="F2800" s="80" t="n"/>
      <c r="G2800" s="81" t="n"/>
      <c r="H2800" s="78" t="n"/>
      <c r="I2800" s="78" t="n"/>
      <c r="J2800" s="78" t="n"/>
    </row>
    <row r="2801">
      <c r="A2801" s="84">
        <f>ROW()-6</f>
        <v/>
      </c>
      <c r="B2801" s="85">
        <f>+MATCH(D2801,ARTICULOS!$F$10:$F$699,0)</f>
        <v/>
      </c>
      <c r="C2801" s="86">
        <f>+VLOOKUP(B2801,ARTICULOS!$D$10:$I$699,6)</f>
        <v/>
      </c>
      <c r="D2801" s="212" t="n"/>
      <c r="E2801" s="75">
        <f>+C2801&amp;F2801</f>
        <v/>
      </c>
      <c r="F2801" s="80" t="n"/>
      <c r="G2801" s="81" t="n"/>
      <c r="H2801" s="78" t="n"/>
      <c r="I2801" s="78" t="n"/>
      <c r="J2801" s="78" t="n"/>
    </row>
    <row r="2802">
      <c r="A2802" s="84">
        <f>ROW()-6</f>
        <v/>
      </c>
      <c r="B2802" s="85">
        <f>+MATCH(D2802,ARTICULOS!$F$10:$F$699,0)</f>
        <v/>
      </c>
      <c r="C2802" s="86">
        <f>+VLOOKUP(B2802,ARTICULOS!$D$10:$I$699,6)</f>
        <v/>
      </c>
      <c r="D2802" s="212" t="n"/>
      <c r="E2802" s="75">
        <f>+C2802&amp;F2802</f>
        <v/>
      </c>
      <c r="F2802" s="80" t="n"/>
      <c r="G2802" s="81" t="n"/>
      <c r="H2802" s="78" t="n"/>
      <c r="I2802" s="78" t="n"/>
      <c r="J2802" s="78" t="n"/>
    </row>
    <row r="2803">
      <c r="A2803" s="84">
        <f>ROW()-6</f>
        <v/>
      </c>
      <c r="B2803" s="85">
        <f>+MATCH(D2803,ARTICULOS!$F$10:$F$699,0)</f>
        <v/>
      </c>
      <c r="C2803" s="86">
        <f>+VLOOKUP(B2803,ARTICULOS!$D$10:$I$699,6)</f>
        <v/>
      </c>
      <c r="D2803" s="212" t="n"/>
      <c r="E2803" s="75">
        <f>+C2803&amp;F2803</f>
        <v/>
      </c>
      <c r="F2803" s="80" t="n"/>
      <c r="G2803" s="81" t="n"/>
      <c r="H2803" s="78" t="n"/>
      <c r="I2803" s="78" t="n"/>
      <c r="J2803" s="78" t="n"/>
    </row>
    <row r="2804">
      <c r="A2804" s="84">
        <f>ROW()-6</f>
        <v/>
      </c>
      <c r="B2804" s="85">
        <f>+MATCH(D2804,ARTICULOS!$F$10:$F$699,0)</f>
        <v/>
      </c>
      <c r="C2804" s="86">
        <f>+VLOOKUP(B2804,ARTICULOS!$D$10:$I$699,6)</f>
        <v/>
      </c>
      <c r="D2804" s="212" t="n"/>
      <c r="E2804" s="75">
        <f>+C2804&amp;F2804</f>
        <v/>
      </c>
      <c r="F2804" s="80" t="n"/>
      <c r="G2804" s="81" t="n"/>
      <c r="H2804" s="78" t="n"/>
      <c r="I2804" s="78" t="n"/>
      <c r="J2804" s="78" t="n"/>
    </row>
    <row r="2805">
      <c r="A2805" s="84">
        <f>ROW()-6</f>
        <v/>
      </c>
      <c r="B2805" s="85">
        <f>+MATCH(D2805,ARTICULOS!$F$10:$F$699,0)</f>
        <v/>
      </c>
      <c r="C2805" s="86">
        <f>+VLOOKUP(B2805,ARTICULOS!$D$10:$I$699,6)</f>
        <v/>
      </c>
      <c r="D2805" s="212" t="n"/>
      <c r="E2805" s="75">
        <f>+C2805&amp;F2805</f>
        <v/>
      </c>
      <c r="F2805" s="80" t="n"/>
      <c r="G2805" s="81" t="n"/>
      <c r="H2805" s="78" t="n"/>
      <c r="I2805" s="78" t="n"/>
      <c r="J2805" s="78" t="n"/>
    </row>
    <row r="2806">
      <c r="A2806" s="84">
        <f>ROW()-6</f>
        <v/>
      </c>
      <c r="B2806" s="85">
        <f>+MATCH(D2806,ARTICULOS!$F$10:$F$699,0)</f>
        <v/>
      </c>
      <c r="C2806" s="86">
        <f>+VLOOKUP(B2806,ARTICULOS!$D$10:$I$699,6)</f>
        <v/>
      </c>
      <c r="D2806" s="212" t="n"/>
      <c r="E2806" s="75">
        <f>+C2806&amp;F2806</f>
        <v/>
      </c>
      <c r="F2806" s="80" t="n"/>
      <c r="G2806" s="81" t="n"/>
      <c r="H2806" s="78" t="n"/>
      <c r="I2806" s="78" t="n"/>
      <c r="J2806" s="78" t="n"/>
    </row>
    <row r="2807">
      <c r="A2807" s="84">
        <f>ROW()-6</f>
        <v/>
      </c>
      <c r="B2807" s="85">
        <f>+MATCH(D2807,ARTICULOS!$F$10:$F$699,0)</f>
        <v/>
      </c>
      <c r="C2807" s="86">
        <f>+VLOOKUP(B2807,ARTICULOS!$D$10:$I$699,6)</f>
        <v/>
      </c>
      <c r="D2807" s="212" t="n"/>
      <c r="E2807" s="75">
        <f>+C2807&amp;F2807</f>
        <v/>
      </c>
      <c r="F2807" s="80" t="n"/>
      <c r="G2807" s="81" t="n"/>
      <c r="H2807" s="78" t="n"/>
      <c r="I2807" s="78" t="n"/>
      <c r="J2807" s="78" t="n"/>
    </row>
    <row r="2808">
      <c r="A2808" s="84">
        <f>ROW()-6</f>
        <v/>
      </c>
      <c r="B2808" s="85">
        <f>+MATCH(D2808,ARTICULOS!$F$10:$F$699,0)</f>
        <v/>
      </c>
      <c r="C2808" s="86">
        <f>+VLOOKUP(B2808,ARTICULOS!$D$10:$I$699,6)</f>
        <v/>
      </c>
      <c r="D2808" s="212" t="n"/>
      <c r="E2808" s="75">
        <f>+C2808&amp;F2808</f>
        <v/>
      </c>
      <c r="F2808" s="80" t="n"/>
      <c r="G2808" s="81" t="n"/>
      <c r="H2808" s="78" t="n"/>
      <c r="I2808" s="78" t="n"/>
      <c r="J2808" s="78" t="n"/>
    </row>
    <row r="2809">
      <c r="A2809" s="84">
        <f>ROW()-6</f>
        <v/>
      </c>
      <c r="B2809" s="85">
        <f>+MATCH(D2809,ARTICULOS!$F$10:$F$699,0)</f>
        <v/>
      </c>
      <c r="C2809" s="86">
        <f>+VLOOKUP(B2809,ARTICULOS!$D$10:$I$699,6)</f>
        <v/>
      </c>
      <c r="D2809" s="212" t="n"/>
      <c r="E2809" s="75">
        <f>+C2809&amp;F2809</f>
        <v/>
      </c>
      <c r="F2809" s="80" t="n"/>
      <c r="G2809" s="81" t="n"/>
      <c r="H2809" s="78" t="n"/>
      <c r="I2809" s="78" t="n"/>
      <c r="J2809" s="78" t="n"/>
    </row>
    <row r="2810">
      <c r="A2810" s="84">
        <f>ROW()-6</f>
        <v/>
      </c>
      <c r="B2810" s="85">
        <f>+MATCH(D2810,ARTICULOS!$F$10:$F$699,0)</f>
        <v/>
      </c>
      <c r="C2810" s="86">
        <f>+VLOOKUP(B2810,ARTICULOS!$D$10:$I$699,6)</f>
        <v/>
      </c>
      <c r="D2810" s="212" t="n"/>
      <c r="E2810" s="75">
        <f>+C2810&amp;F2810</f>
        <v/>
      </c>
      <c r="F2810" s="80" t="n"/>
      <c r="G2810" s="81" t="n"/>
      <c r="H2810" s="78" t="n"/>
      <c r="I2810" s="78" t="n"/>
      <c r="J2810" s="78" t="n"/>
    </row>
    <row r="2811">
      <c r="A2811" s="84">
        <f>ROW()-6</f>
        <v/>
      </c>
      <c r="B2811" s="85">
        <f>+MATCH(D2811,ARTICULOS!$F$10:$F$699,0)</f>
        <v/>
      </c>
      <c r="C2811" s="86">
        <f>+VLOOKUP(B2811,ARTICULOS!$D$10:$I$699,6)</f>
        <v/>
      </c>
      <c r="D2811" s="212" t="n"/>
      <c r="E2811" s="75">
        <f>+C2811&amp;F2811</f>
        <v/>
      </c>
      <c r="F2811" s="80" t="n"/>
      <c r="G2811" s="81" t="n"/>
      <c r="H2811" s="78" t="n"/>
      <c r="I2811" s="78" t="n"/>
      <c r="J2811" s="78" t="n"/>
    </row>
    <row r="2812">
      <c r="A2812" s="84">
        <f>ROW()-6</f>
        <v/>
      </c>
      <c r="B2812" s="85">
        <f>+MATCH(D2812,ARTICULOS!$F$10:$F$699,0)</f>
        <v/>
      </c>
      <c r="C2812" s="86">
        <f>+VLOOKUP(B2812,ARTICULOS!$D$10:$I$699,6)</f>
        <v/>
      </c>
      <c r="D2812" s="212" t="n"/>
      <c r="E2812" s="75">
        <f>+C2812&amp;F2812</f>
        <v/>
      </c>
      <c r="F2812" s="80" t="n"/>
      <c r="G2812" s="81" t="n"/>
      <c r="H2812" s="78" t="n"/>
      <c r="I2812" s="78" t="n"/>
      <c r="J2812" s="78" t="n"/>
    </row>
    <row r="2813">
      <c r="A2813" s="84">
        <f>ROW()-6</f>
        <v/>
      </c>
      <c r="B2813" s="85">
        <f>+MATCH(D2813,ARTICULOS!$F$10:$F$699,0)</f>
        <v/>
      </c>
      <c r="C2813" s="86">
        <f>+VLOOKUP(B2813,ARTICULOS!$D$10:$I$699,6)</f>
        <v/>
      </c>
      <c r="D2813" s="212" t="n"/>
      <c r="E2813" s="75">
        <f>+C2813&amp;F2813</f>
        <v/>
      </c>
      <c r="F2813" s="80" t="n"/>
      <c r="G2813" s="81" t="n"/>
      <c r="H2813" s="78" t="n"/>
      <c r="I2813" s="78" t="n"/>
      <c r="J2813" s="78" t="n"/>
    </row>
    <row r="2814">
      <c r="A2814" s="84">
        <f>ROW()-6</f>
        <v/>
      </c>
      <c r="B2814" s="85">
        <f>+MATCH(D2814,ARTICULOS!$F$10:$F$699,0)</f>
        <v/>
      </c>
      <c r="C2814" s="86">
        <f>+VLOOKUP(B2814,ARTICULOS!$D$10:$I$699,6)</f>
        <v/>
      </c>
      <c r="D2814" s="212" t="n"/>
      <c r="E2814" s="75">
        <f>+C2814&amp;F2814</f>
        <v/>
      </c>
      <c r="F2814" s="80" t="n"/>
      <c r="G2814" s="81" t="n"/>
      <c r="H2814" s="78" t="n"/>
      <c r="I2814" s="78" t="n"/>
      <c r="J2814" s="78" t="n"/>
    </row>
    <row r="2815">
      <c r="A2815" s="84">
        <f>ROW()-6</f>
        <v/>
      </c>
      <c r="B2815" s="85">
        <f>+MATCH(D2815,ARTICULOS!$F$10:$F$699,0)</f>
        <v/>
      </c>
      <c r="C2815" s="86">
        <f>+VLOOKUP(B2815,ARTICULOS!$D$10:$I$699,6)</f>
        <v/>
      </c>
      <c r="D2815" s="212" t="n"/>
      <c r="E2815" s="75">
        <f>+C2815&amp;F2815</f>
        <v/>
      </c>
      <c r="F2815" s="80" t="n"/>
      <c r="G2815" s="81" t="n"/>
      <c r="H2815" s="78" t="n"/>
      <c r="I2815" s="78" t="n"/>
      <c r="J2815" s="78" t="n"/>
    </row>
    <row r="2816">
      <c r="A2816" s="84">
        <f>ROW()-6</f>
        <v/>
      </c>
      <c r="B2816" s="85">
        <f>+MATCH(D2816,ARTICULOS!$F$10:$F$699,0)</f>
        <v/>
      </c>
      <c r="C2816" s="86">
        <f>+VLOOKUP(B2816,ARTICULOS!$D$10:$I$699,6)</f>
        <v/>
      </c>
      <c r="D2816" s="212" t="n"/>
      <c r="E2816" s="75">
        <f>+C2816&amp;F2816</f>
        <v/>
      </c>
      <c r="F2816" s="80" t="n"/>
      <c r="G2816" s="81" t="n"/>
      <c r="H2816" s="78" t="n"/>
      <c r="I2816" s="78" t="n"/>
      <c r="J2816" s="78" t="n"/>
    </row>
    <row r="2817">
      <c r="A2817" s="84">
        <f>ROW()-6</f>
        <v/>
      </c>
      <c r="B2817" s="85">
        <f>+MATCH(D2817,ARTICULOS!$F$10:$F$699,0)</f>
        <v/>
      </c>
      <c r="C2817" s="86">
        <f>+VLOOKUP(B2817,ARTICULOS!$D$10:$I$699,6)</f>
        <v/>
      </c>
      <c r="D2817" s="212" t="n"/>
      <c r="E2817" s="75">
        <f>+C2817&amp;F2817</f>
        <v/>
      </c>
      <c r="F2817" s="80" t="n"/>
      <c r="G2817" s="81" t="n"/>
      <c r="H2817" s="78" t="n"/>
      <c r="I2817" s="78" t="n"/>
      <c r="J2817" s="78" t="n"/>
    </row>
    <row r="2818">
      <c r="A2818" s="84">
        <f>ROW()-6</f>
        <v/>
      </c>
      <c r="B2818" s="85">
        <f>+MATCH(D2818,ARTICULOS!$F$10:$F$699,0)</f>
        <v/>
      </c>
      <c r="C2818" s="86">
        <f>+VLOOKUP(B2818,ARTICULOS!$D$10:$I$699,6)</f>
        <v/>
      </c>
      <c r="D2818" s="212" t="n"/>
      <c r="E2818" s="75">
        <f>+C2818&amp;F2818</f>
        <v/>
      </c>
      <c r="F2818" s="80" t="n"/>
      <c r="G2818" s="81" t="n"/>
      <c r="H2818" s="78" t="n"/>
      <c r="I2818" s="78" t="n"/>
      <c r="J2818" s="78" t="n"/>
    </row>
    <row r="2819">
      <c r="A2819" s="84">
        <f>ROW()-6</f>
        <v/>
      </c>
      <c r="B2819" s="85">
        <f>+MATCH(D2819,ARTICULOS!$F$10:$F$699,0)</f>
        <v/>
      </c>
      <c r="C2819" s="86">
        <f>+VLOOKUP(B2819,ARTICULOS!$D$10:$I$699,6)</f>
        <v/>
      </c>
      <c r="D2819" s="212" t="n"/>
      <c r="E2819" s="75">
        <f>+C2819&amp;F2819</f>
        <v/>
      </c>
      <c r="F2819" s="80" t="n"/>
      <c r="G2819" s="81" t="n"/>
      <c r="H2819" s="78" t="n"/>
      <c r="I2819" s="78" t="n"/>
      <c r="J2819" s="78" t="n"/>
    </row>
    <row r="2820">
      <c r="A2820" s="84">
        <f>ROW()-6</f>
        <v/>
      </c>
      <c r="B2820" s="85">
        <f>+MATCH(D2820,ARTICULOS!$F$10:$F$699,0)</f>
        <v/>
      </c>
      <c r="C2820" s="86">
        <f>+VLOOKUP(B2820,ARTICULOS!$D$10:$I$699,6)</f>
        <v/>
      </c>
      <c r="D2820" s="212" t="n"/>
      <c r="E2820" s="75">
        <f>+C2820&amp;F2820</f>
        <v/>
      </c>
      <c r="F2820" s="80" t="n"/>
      <c r="G2820" s="81" t="n"/>
      <c r="H2820" s="78" t="n"/>
      <c r="I2820" s="78" t="n"/>
      <c r="J2820" s="78" t="n"/>
    </row>
    <row r="2821">
      <c r="A2821" s="84">
        <f>ROW()-6</f>
        <v/>
      </c>
      <c r="B2821" s="85">
        <f>+MATCH(D2821,ARTICULOS!$F$10:$F$699,0)</f>
        <v/>
      </c>
      <c r="C2821" s="86">
        <f>+VLOOKUP(B2821,ARTICULOS!$D$10:$I$699,6)</f>
        <v/>
      </c>
      <c r="D2821" s="212" t="n"/>
      <c r="E2821" s="75">
        <f>+C2821&amp;F2821</f>
        <v/>
      </c>
      <c r="F2821" s="80" t="n"/>
      <c r="G2821" s="81" t="n"/>
      <c r="H2821" s="78" t="n"/>
      <c r="I2821" s="78" t="n"/>
      <c r="J2821" s="78" t="n"/>
    </row>
    <row r="2822">
      <c r="A2822" s="84">
        <f>ROW()-6</f>
        <v/>
      </c>
      <c r="B2822" s="85">
        <f>+MATCH(D2822,ARTICULOS!$F$10:$F$699,0)</f>
        <v/>
      </c>
      <c r="C2822" s="86">
        <f>+VLOOKUP(B2822,ARTICULOS!$D$10:$I$699,6)</f>
        <v/>
      </c>
      <c r="D2822" s="212" t="n"/>
      <c r="E2822" s="75">
        <f>+C2822&amp;F2822</f>
        <v/>
      </c>
      <c r="F2822" s="80" t="n"/>
      <c r="G2822" s="81" t="n"/>
      <c r="H2822" s="78" t="n"/>
      <c r="I2822" s="78" t="n"/>
      <c r="J2822" s="78" t="n"/>
    </row>
    <row r="2823">
      <c r="A2823" s="84">
        <f>ROW()-6</f>
        <v/>
      </c>
      <c r="B2823" s="85">
        <f>+MATCH(D2823,ARTICULOS!$F$10:$F$699,0)</f>
        <v/>
      </c>
      <c r="C2823" s="86">
        <f>+VLOOKUP(B2823,ARTICULOS!$D$10:$I$699,6)</f>
        <v/>
      </c>
      <c r="D2823" s="212" t="n"/>
      <c r="E2823" s="75">
        <f>+C2823&amp;F2823</f>
        <v/>
      </c>
      <c r="F2823" s="80" t="n"/>
      <c r="G2823" s="81" t="n"/>
      <c r="H2823" s="78" t="n"/>
      <c r="I2823" s="78" t="n"/>
      <c r="J2823" s="78" t="n"/>
    </row>
    <row r="2824">
      <c r="A2824" s="84">
        <f>ROW()-6</f>
        <v/>
      </c>
      <c r="B2824" s="85">
        <f>+MATCH(D2824,ARTICULOS!$F$10:$F$699,0)</f>
        <v/>
      </c>
      <c r="C2824" s="86">
        <f>+VLOOKUP(B2824,ARTICULOS!$D$10:$I$699,6)</f>
        <v/>
      </c>
      <c r="D2824" s="212" t="n"/>
      <c r="E2824" s="75">
        <f>+C2824&amp;F2824</f>
        <v/>
      </c>
      <c r="F2824" s="80" t="n"/>
      <c r="G2824" s="81" t="n"/>
      <c r="H2824" s="78" t="n"/>
      <c r="I2824" s="78" t="n"/>
      <c r="J2824" s="78" t="n"/>
    </row>
    <row r="2825">
      <c r="A2825" s="84">
        <f>ROW()-6</f>
        <v/>
      </c>
      <c r="B2825" s="85">
        <f>+MATCH(D2825,ARTICULOS!$F$10:$F$699,0)</f>
        <v/>
      </c>
      <c r="C2825" s="86">
        <f>+VLOOKUP(B2825,ARTICULOS!$D$10:$I$699,6)</f>
        <v/>
      </c>
      <c r="D2825" s="212" t="n"/>
      <c r="E2825" s="75">
        <f>+C2825&amp;F2825</f>
        <v/>
      </c>
      <c r="F2825" s="80" t="n"/>
      <c r="G2825" s="81" t="n"/>
      <c r="H2825" s="78" t="n"/>
      <c r="I2825" s="78" t="n"/>
      <c r="J2825" s="78" t="n"/>
    </row>
    <row r="2826">
      <c r="A2826" s="84">
        <f>ROW()-6</f>
        <v/>
      </c>
      <c r="B2826" s="85">
        <f>+MATCH(D2826,ARTICULOS!$F$10:$F$699,0)</f>
        <v/>
      </c>
      <c r="C2826" s="86">
        <f>+VLOOKUP(B2826,ARTICULOS!$D$10:$I$699,6)</f>
        <v/>
      </c>
      <c r="D2826" s="212" t="n"/>
      <c r="E2826" s="75">
        <f>+C2826&amp;F2826</f>
        <v/>
      </c>
      <c r="F2826" s="80" t="n"/>
      <c r="G2826" s="81" t="n"/>
      <c r="H2826" s="78" t="n"/>
      <c r="I2826" s="78" t="n"/>
      <c r="J2826" s="78" t="n"/>
    </row>
    <row r="2827">
      <c r="A2827" s="84">
        <f>ROW()-6</f>
        <v/>
      </c>
      <c r="B2827" s="85">
        <f>+MATCH(D2827,ARTICULOS!$F$10:$F$699,0)</f>
        <v/>
      </c>
      <c r="C2827" s="86">
        <f>+VLOOKUP(B2827,ARTICULOS!$D$10:$I$699,6)</f>
        <v/>
      </c>
      <c r="D2827" s="212" t="n"/>
      <c r="E2827" s="75">
        <f>+C2827&amp;F2827</f>
        <v/>
      </c>
      <c r="F2827" s="80" t="n"/>
      <c r="G2827" s="81" t="n"/>
      <c r="H2827" s="78" t="n"/>
      <c r="I2827" s="78" t="n"/>
      <c r="J2827" s="78" t="n"/>
    </row>
    <row r="2828">
      <c r="A2828" s="84">
        <f>ROW()-6</f>
        <v/>
      </c>
      <c r="B2828" s="85">
        <f>+MATCH(D2828,ARTICULOS!$F$10:$F$699,0)</f>
        <v/>
      </c>
      <c r="C2828" s="86">
        <f>+VLOOKUP(B2828,ARTICULOS!$D$10:$I$699,6)</f>
        <v/>
      </c>
      <c r="D2828" s="212" t="n"/>
      <c r="E2828" s="75">
        <f>+C2828&amp;F2828</f>
        <v/>
      </c>
      <c r="F2828" s="80" t="n"/>
      <c r="G2828" s="81" t="n"/>
      <c r="H2828" s="78" t="n"/>
      <c r="I2828" s="78" t="n"/>
      <c r="J2828" s="78" t="n"/>
    </row>
    <row r="2829">
      <c r="A2829" s="84">
        <f>ROW()-6</f>
        <v/>
      </c>
      <c r="B2829" s="85">
        <f>+MATCH(D2829,ARTICULOS!$F$10:$F$699,0)</f>
        <v/>
      </c>
      <c r="C2829" s="86">
        <f>+VLOOKUP(B2829,ARTICULOS!$D$10:$I$699,6)</f>
        <v/>
      </c>
      <c r="D2829" s="212" t="n"/>
      <c r="E2829" s="75">
        <f>+C2829&amp;F2829</f>
        <v/>
      </c>
      <c r="F2829" s="80" t="n"/>
      <c r="G2829" s="81" t="n"/>
      <c r="H2829" s="78" t="n"/>
      <c r="I2829" s="78" t="n"/>
      <c r="J2829" s="78" t="n"/>
    </row>
    <row r="2830">
      <c r="A2830" s="84">
        <f>ROW()-6</f>
        <v/>
      </c>
      <c r="B2830" s="85">
        <f>+MATCH(D2830,ARTICULOS!$F$10:$F$699,0)</f>
        <v/>
      </c>
      <c r="C2830" s="86">
        <f>+VLOOKUP(B2830,ARTICULOS!$D$10:$I$699,6)</f>
        <v/>
      </c>
      <c r="D2830" s="212" t="n"/>
      <c r="E2830" s="75">
        <f>+C2830&amp;F2830</f>
        <v/>
      </c>
      <c r="F2830" s="80" t="n"/>
      <c r="G2830" s="81" t="n"/>
      <c r="H2830" s="78" t="n"/>
      <c r="I2830" s="78" t="n"/>
      <c r="J2830" s="78" t="n"/>
    </row>
    <row r="2831">
      <c r="A2831" s="84">
        <f>ROW()-6</f>
        <v/>
      </c>
      <c r="B2831" s="85">
        <f>+MATCH(D2831,ARTICULOS!$F$10:$F$699,0)</f>
        <v/>
      </c>
      <c r="C2831" s="86">
        <f>+VLOOKUP(B2831,ARTICULOS!$D$10:$I$699,6)</f>
        <v/>
      </c>
      <c r="D2831" s="212" t="n"/>
      <c r="E2831" s="75">
        <f>+C2831&amp;F2831</f>
        <v/>
      </c>
      <c r="F2831" s="80" t="n"/>
      <c r="G2831" s="81" t="n"/>
      <c r="H2831" s="78" t="n"/>
      <c r="I2831" s="78" t="n"/>
      <c r="J2831" s="78" t="n"/>
    </row>
    <row r="2832">
      <c r="A2832" s="84">
        <f>ROW()-6</f>
        <v/>
      </c>
      <c r="B2832" s="85">
        <f>+MATCH(D2832,ARTICULOS!$F$10:$F$699,0)</f>
        <v/>
      </c>
      <c r="C2832" s="86">
        <f>+VLOOKUP(B2832,ARTICULOS!$D$10:$I$699,6)</f>
        <v/>
      </c>
      <c r="D2832" s="212" t="n"/>
      <c r="E2832" s="75">
        <f>+C2832&amp;F2832</f>
        <v/>
      </c>
      <c r="F2832" s="80" t="n"/>
      <c r="G2832" s="81" t="n"/>
      <c r="H2832" s="78" t="n"/>
      <c r="I2832" s="78" t="n"/>
      <c r="J2832" s="78" t="n"/>
    </row>
    <row r="2833">
      <c r="A2833" s="84">
        <f>ROW()-6</f>
        <v/>
      </c>
      <c r="B2833" s="85">
        <f>+MATCH(D2833,ARTICULOS!$F$10:$F$699,0)</f>
        <v/>
      </c>
      <c r="C2833" s="86">
        <f>+VLOOKUP(B2833,ARTICULOS!$D$10:$I$699,6)</f>
        <v/>
      </c>
      <c r="D2833" s="212" t="n"/>
      <c r="E2833" s="75">
        <f>+C2833&amp;F2833</f>
        <v/>
      </c>
      <c r="F2833" s="80" t="n"/>
      <c r="G2833" s="81" t="n"/>
      <c r="H2833" s="78" t="n"/>
      <c r="I2833" s="78" t="n"/>
      <c r="J2833" s="78" t="n"/>
    </row>
    <row r="2834">
      <c r="A2834" s="84">
        <f>ROW()-6</f>
        <v/>
      </c>
      <c r="B2834" s="85">
        <f>+MATCH(D2834,ARTICULOS!$F$10:$F$699,0)</f>
        <v/>
      </c>
      <c r="C2834" s="86">
        <f>+VLOOKUP(B2834,ARTICULOS!$D$10:$I$699,6)</f>
        <v/>
      </c>
      <c r="D2834" s="212" t="n"/>
      <c r="E2834" s="75">
        <f>+C2834&amp;F2834</f>
        <v/>
      </c>
      <c r="F2834" s="80" t="n"/>
      <c r="G2834" s="81" t="n"/>
      <c r="H2834" s="78" t="n"/>
      <c r="I2834" s="78" t="n"/>
      <c r="J2834" s="78" t="n"/>
    </row>
    <row r="2835">
      <c r="A2835" s="84">
        <f>ROW()-6</f>
        <v/>
      </c>
      <c r="B2835" s="85">
        <f>+MATCH(D2835,ARTICULOS!$F$10:$F$699,0)</f>
        <v/>
      </c>
      <c r="C2835" s="86">
        <f>+VLOOKUP(B2835,ARTICULOS!$D$10:$I$699,6)</f>
        <v/>
      </c>
      <c r="D2835" s="212" t="n"/>
      <c r="E2835" s="75">
        <f>+C2835&amp;F2835</f>
        <v/>
      </c>
      <c r="F2835" s="80" t="n"/>
      <c r="G2835" s="81" t="n"/>
      <c r="H2835" s="78" t="n"/>
      <c r="I2835" s="78" t="n"/>
      <c r="J2835" s="78" t="n"/>
    </row>
    <row r="2836">
      <c r="A2836" s="84">
        <f>ROW()-6</f>
        <v/>
      </c>
      <c r="B2836" s="85">
        <f>+MATCH(D2836,ARTICULOS!$F$10:$F$699,0)</f>
        <v/>
      </c>
      <c r="C2836" s="86">
        <f>+VLOOKUP(B2836,ARTICULOS!$D$10:$I$699,6)</f>
        <v/>
      </c>
      <c r="D2836" s="212" t="n"/>
      <c r="E2836" s="75">
        <f>+C2836&amp;F2836</f>
        <v/>
      </c>
      <c r="F2836" s="80" t="n"/>
      <c r="G2836" s="81" t="n"/>
      <c r="H2836" s="78" t="n"/>
      <c r="I2836" s="78" t="n"/>
      <c r="J2836" s="78" t="n"/>
    </row>
    <row r="2837">
      <c r="A2837" s="84">
        <f>ROW()-6</f>
        <v/>
      </c>
      <c r="B2837" s="85">
        <f>+MATCH(D2837,ARTICULOS!$F$10:$F$699,0)</f>
        <v/>
      </c>
      <c r="C2837" s="86">
        <f>+VLOOKUP(B2837,ARTICULOS!$D$10:$I$699,6)</f>
        <v/>
      </c>
      <c r="D2837" s="212" t="n"/>
      <c r="E2837" s="75">
        <f>+C2837&amp;F2837</f>
        <v/>
      </c>
      <c r="F2837" s="80" t="n"/>
      <c r="G2837" s="81" t="n"/>
      <c r="H2837" s="78" t="n"/>
      <c r="I2837" s="78" t="n"/>
      <c r="J2837" s="78" t="n"/>
    </row>
    <row r="2838">
      <c r="A2838" s="84">
        <f>ROW()-6</f>
        <v/>
      </c>
      <c r="B2838" s="85">
        <f>+MATCH(D2838,ARTICULOS!$F$10:$F$699,0)</f>
        <v/>
      </c>
      <c r="C2838" s="86">
        <f>+VLOOKUP(B2838,ARTICULOS!$D$10:$I$699,6)</f>
        <v/>
      </c>
      <c r="D2838" s="212" t="n"/>
      <c r="E2838" s="75">
        <f>+C2838&amp;F2838</f>
        <v/>
      </c>
      <c r="F2838" s="80" t="n"/>
      <c r="G2838" s="81" t="n"/>
      <c r="H2838" s="78" t="n"/>
      <c r="I2838" s="78" t="n"/>
      <c r="J2838" s="78" t="n"/>
    </row>
    <row r="2839">
      <c r="A2839" s="84">
        <f>ROW()-6</f>
        <v/>
      </c>
      <c r="B2839" s="85">
        <f>+MATCH(D2839,ARTICULOS!$F$10:$F$699,0)</f>
        <v/>
      </c>
      <c r="C2839" s="86">
        <f>+VLOOKUP(B2839,ARTICULOS!$D$10:$I$699,6)</f>
        <v/>
      </c>
      <c r="D2839" s="212" t="n"/>
      <c r="E2839" s="75">
        <f>+C2839&amp;F2839</f>
        <v/>
      </c>
      <c r="F2839" s="80" t="n"/>
      <c r="G2839" s="81" t="n"/>
      <c r="H2839" s="78" t="n"/>
      <c r="I2839" s="78" t="n"/>
      <c r="J2839" s="78" t="n"/>
    </row>
    <row r="2840">
      <c r="A2840" s="84">
        <f>ROW()-6</f>
        <v/>
      </c>
      <c r="B2840" s="85">
        <f>+MATCH(D2840,ARTICULOS!$F$10:$F$699,0)</f>
        <v/>
      </c>
      <c r="C2840" s="86">
        <f>+VLOOKUP(B2840,ARTICULOS!$D$10:$I$699,6)</f>
        <v/>
      </c>
      <c r="D2840" s="212" t="n"/>
      <c r="E2840" s="75">
        <f>+C2840&amp;F2840</f>
        <v/>
      </c>
      <c r="F2840" s="80" t="n"/>
      <c r="G2840" s="81" t="n"/>
      <c r="H2840" s="78" t="n"/>
      <c r="I2840" s="78" t="n"/>
      <c r="J2840" s="78" t="n"/>
    </row>
    <row r="2841">
      <c r="A2841" s="84">
        <f>ROW()-6</f>
        <v/>
      </c>
      <c r="B2841" s="85">
        <f>+MATCH(D2841,ARTICULOS!$F$10:$F$699,0)</f>
        <v/>
      </c>
      <c r="C2841" s="86">
        <f>+VLOOKUP(B2841,ARTICULOS!$D$10:$I$699,6)</f>
        <v/>
      </c>
      <c r="D2841" s="212" t="n"/>
      <c r="E2841" s="75">
        <f>+C2841&amp;F2841</f>
        <v/>
      </c>
      <c r="F2841" s="80" t="n"/>
      <c r="G2841" s="81" t="n"/>
      <c r="H2841" s="78" t="n"/>
      <c r="I2841" s="78" t="n"/>
      <c r="J2841" s="78" t="n"/>
    </row>
    <row r="2842">
      <c r="A2842" s="84">
        <f>ROW()-6</f>
        <v/>
      </c>
      <c r="B2842" s="85">
        <f>+MATCH(D2842,ARTICULOS!$F$10:$F$699,0)</f>
        <v/>
      </c>
      <c r="C2842" s="86">
        <f>+VLOOKUP(B2842,ARTICULOS!$D$10:$I$699,6)</f>
        <v/>
      </c>
      <c r="D2842" s="212" t="n"/>
      <c r="E2842" s="75">
        <f>+C2842&amp;F2842</f>
        <v/>
      </c>
      <c r="F2842" s="80" t="n"/>
      <c r="G2842" s="81" t="n"/>
      <c r="H2842" s="78" t="n"/>
      <c r="I2842" s="78" t="n"/>
      <c r="J2842" s="78" t="n"/>
    </row>
    <row r="2843">
      <c r="A2843" s="84">
        <f>ROW()-6</f>
        <v/>
      </c>
      <c r="B2843" s="85">
        <f>+MATCH(D2843,ARTICULOS!$F$10:$F$699,0)</f>
        <v/>
      </c>
      <c r="C2843" s="86">
        <f>+VLOOKUP(B2843,ARTICULOS!$D$10:$I$699,6)</f>
        <v/>
      </c>
      <c r="D2843" s="212" t="n"/>
      <c r="E2843" s="75">
        <f>+C2843&amp;F2843</f>
        <v/>
      </c>
      <c r="F2843" s="80" t="n"/>
      <c r="G2843" s="81" t="n"/>
      <c r="H2843" s="78" t="n"/>
      <c r="I2843" s="78" t="n"/>
      <c r="J2843" s="78" t="n"/>
    </row>
    <row r="2844">
      <c r="A2844" s="84">
        <f>ROW()-6</f>
        <v/>
      </c>
      <c r="B2844" s="85">
        <f>+MATCH(D2844,ARTICULOS!$F$10:$F$699,0)</f>
        <v/>
      </c>
      <c r="C2844" s="86">
        <f>+VLOOKUP(B2844,ARTICULOS!$D$10:$I$699,6)</f>
        <v/>
      </c>
      <c r="D2844" s="212" t="n"/>
      <c r="E2844" s="75">
        <f>+C2844&amp;F2844</f>
        <v/>
      </c>
      <c r="F2844" s="80" t="n"/>
      <c r="G2844" s="81" t="n"/>
      <c r="H2844" s="78" t="n"/>
      <c r="I2844" s="78" t="n"/>
      <c r="J2844" s="78" t="n"/>
    </row>
    <row r="2845">
      <c r="A2845" s="84">
        <f>ROW()-6</f>
        <v/>
      </c>
      <c r="B2845" s="85">
        <f>+MATCH(D2845,ARTICULOS!$F$10:$F$699,0)</f>
        <v/>
      </c>
      <c r="C2845" s="86">
        <f>+VLOOKUP(B2845,ARTICULOS!$D$10:$I$699,6)</f>
        <v/>
      </c>
      <c r="D2845" s="212" t="n"/>
      <c r="E2845" s="75">
        <f>+C2845&amp;F2845</f>
        <v/>
      </c>
      <c r="F2845" s="80" t="n"/>
      <c r="G2845" s="81" t="n"/>
      <c r="H2845" s="78" t="n"/>
      <c r="I2845" s="78" t="n"/>
      <c r="J2845" s="78" t="n"/>
    </row>
    <row r="2846">
      <c r="A2846" s="84">
        <f>ROW()-6</f>
        <v/>
      </c>
      <c r="B2846" s="85">
        <f>+MATCH(D2846,ARTICULOS!$F$10:$F$699,0)</f>
        <v/>
      </c>
      <c r="C2846" s="86">
        <f>+VLOOKUP(B2846,ARTICULOS!$D$10:$I$699,6)</f>
        <v/>
      </c>
      <c r="D2846" s="212" t="n"/>
      <c r="E2846" s="75">
        <f>+C2846&amp;F2846</f>
        <v/>
      </c>
      <c r="F2846" s="80" t="n"/>
      <c r="G2846" s="81" t="n"/>
      <c r="H2846" s="78" t="n"/>
      <c r="I2846" s="78" t="n"/>
      <c r="J2846" s="78" t="n"/>
    </row>
    <row r="2847">
      <c r="A2847" s="84">
        <f>ROW()-6</f>
        <v/>
      </c>
      <c r="B2847" s="85">
        <f>+MATCH(D2847,ARTICULOS!$F$10:$F$699,0)</f>
        <v/>
      </c>
      <c r="C2847" s="86">
        <f>+VLOOKUP(B2847,ARTICULOS!$D$10:$I$699,6)</f>
        <v/>
      </c>
      <c r="D2847" s="212" t="n"/>
      <c r="E2847" s="75">
        <f>+C2847&amp;F2847</f>
        <v/>
      </c>
      <c r="F2847" s="80" t="n"/>
      <c r="G2847" s="81" t="n"/>
      <c r="H2847" s="78" t="n"/>
      <c r="I2847" s="78" t="n"/>
      <c r="J2847" s="78" t="n"/>
    </row>
    <row r="2848">
      <c r="A2848" s="84">
        <f>ROW()-6</f>
        <v/>
      </c>
      <c r="B2848" s="85">
        <f>+MATCH(D2848,ARTICULOS!$F$10:$F$699,0)</f>
        <v/>
      </c>
      <c r="C2848" s="86">
        <f>+VLOOKUP(B2848,ARTICULOS!$D$10:$I$699,6)</f>
        <v/>
      </c>
      <c r="D2848" s="212" t="n"/>
      <c r="E2848" s="75">
        <f>+C2848&amp;F2848</f>
        <v/>
      </c>
      <c r="F2848" s="80" t="n"/>
      <c r="G2848" s="81" t="n"/>
      <c r="H2848" s="78" t="n"/>
      <c r="I2848" s="78" t="n"/>
      <c r="J2848" s="78" t="n"/>
    </row>
    <row r="2849">
      <c r="A2849" s="84">
        <f>ROW()-6</f>
        <v/>
      </c>
      <c r="B2849" s="85">
        <f>+MATCH(D2849,ARTICULOS!$F$10:$F$699,0)</f>
        <v/>
      </c>
      <c r="C2849" s="86">
        <f>+VLOOKUP(B2849,ARTICULOS!$D$10:$I$699,6)</f>
        <v/>
      </c>
      <c r="D2849" s="212" t="n"/>
      <c r="E2849" s="75">
        <f>+C2849&amp;F2849</f>
        <v/>
      </c>
      <c r="F2849" s="80" t="n"/>
      <c r="G2849" s="81" t="n"/>
      <c r="H2849" s="78" t="n"/>
      <c r="I2849" s="78" t="n"/>
      <c r="J2849" s="78" t="n"/>
    </row>
    <row r="2850">
      <c r="A2850" s="84">
        <f>ROW()-6</f>
        <v/>
      </c>
      <c r="B2850" s="85">
        <f>+MATCH(D2850,ARTICULOS!$F$10:$F$699,0)</f>
        <v/>
      </c>
      <c r="C2850" s="86">
        <f>+VLOOKUP(B2850,ARTICULOS!$D$10:$I$699,6)</f>
        <v/>
      </c>
      <c r="D2850" s="212" t="n"/>
      <c r="E2850" s="75">
        <f>+C2850&amp;F2850</f>
        <v/>
      </c>
      <c r="F2850" s="80" t="n"/>
      <c r="G2850" s="81" t="n"/>
      <c r="H2850" s="78" t="n"/>
      <c r="I2850" s="78" t="n"/>
      <c r="J2850" s="78" t="n"/>
    </row>
    <row r="2851">
      <c r="A2851" s="84">
        <f>ROW()-6</f>
        <v/>
      </c>
      <c r="B2851" s="85">
        <f>+MATCH(D2851,ARTICULOS!$F$10:$F$699,0)</f>
        <v/>
      </c>
      <c r="C2851" s="86">
        <f>+VLOOKUP(B2851,ARTICULOS!$D$10:$I$699,6)</f>
        <v/>
      </c>
      <c r="D2851" s="212" t="n"/>
      <c r="E2851" s="75">
        <f>+C2851&amp;F2851</f>
        <v/>
      </c>
      <c r="F2851" s="80" t="n"/>
      <c r="G2851" s="81" t="n"/>
      <c r="H2851" s="78" t="n"/>
      <c r="I2851" s="78" t="n"/>
      <c r="J2851" s="78" t="n"/>
    </row>
    <row r="2852">
      <c r="A2852" s="84">
        <f>ROW()-6</f>
        <v/>
      </c>
      <c r="B2852" s="85">
        <f>+MATCH(D2852,ARTICULOS!$F$10:$F$699,0)</f>
        <v/>
      </c>
      <c r="C2852" s="86">
        <f>+VLOOKUP(B2852,ARTICULOS!$D$10:$I$699,6)</f>
        <v/>
      </c>
      <c r="D2852" s="212" t="n"/>
      <c r="E2852" s="75">
        <f>+C2852&amp;F2852</f>
        <v/>
      </c>
      <c r="F2852" s="80" t="n"/>
      <c r="G2852" s="81" t="n"/>
      <c r="H2852" s="78" t="n"/>
      <c r="I2852" s="78" t="n"/>
      <c r="J2852" s="78" t="n"/>
    </row>
    <row r="2853">
      <c r="A2853" s="84">
        <f>ROW()-6</f>
        <v/>
      </c>
      <c r="B2853" s="85">
        <f>+MATCH(D2853,ARTICULOS!$F$10:$F$699,0)</f>
        <v/>
      </c>
      <c r="C2853" s="86">
        <f>+VLOOKUP(B2853,ARTICULOS!$D$10:$I$699,6)</f>
        <v/>
      </c>
      <c r="D2853" s="212" t="n"/>
      <c r="E2853" s="75">
        <f>+C2853&amp;F2853</f>
        <v/>
      </c>
      <c r="F2853" s="80" t="n"/>
      <c r="G2853" s="81" t="n"/>
      <c r="H2853" s="78" t="n"/>
      <c r="I2853" s="78" t="n"/>
      <c r="J2853" s="78" t="n"/>
    </row>
    <row r="2854">
      <c r="A2854" s="84">
        <f>ROW()-6</f>
        <v/>
      </c>
      <c r="B2854" s="85">
        <f>+MATCH(D2854,ARTICULOS!$F$10:$F$699,0)</f>
        <v/>
      </c>
      <c r="C2854" s="86">
        <f>+VLOOKUP(B2854,ARTICULOS!$D$10:$I$699,6)</f>
        <v/>
      </c>
      <c r="D2854" s="212" t="n"/>
      <c r="E2854" s="75">
        <f>+C2854&amp;F2854</f>
        <v/>
      </c>
      <c r="F2854" s="80" t="n"/>
      <c r="G2854" s="81" t="n"/>
      <c r="H2854" s="78" t="n"/>
      <c r="I2854" s="78" t="n"/>
      <c r="J2854" s="78" t="n"/>
    </row>
    <row r="2855">
      <c r="A2855" s="84">
        <f>ROW()-6</f>
        <v/>
      </c>
      <c r="B2855" s="85">
        <f>+MATCH(D2855,ARTICULOS!$F$10:$F$699,0)</f>
        <v/>
      </c>
      <c r="C2855" s="86">
        <f>+VLOOKUP(B2855,ARTICULOS!$D$10:$I$699,6)</f>
        <v/>
      </c>
      <c r="D2855" s="212" t="n"/>
      <c r="E2855" s="75">
        <f>+C2855&amp;F2855</f>
        <v/>
      </c>
      <c r="F2855" s="80" t="n"/>
      <c r="G2855" s="81" t="n"/>
      <c r="H2855" s="78" t="n"/>
      <c r="I2855" s="78" t="n"/>
      <c r="J2855" s="78" t="n"/>
    </row>
    <row r="2856">
      <c r="A2856" s="84">
        <f>ROW()-6</f>
        <v/>
      </c>
      <c r="B2856" s="85">
        <f>+MATCH(D2856,ARTICULOS!$F$10:$F$699,0)</f>
        <v/>
      </c>
      <c r="C2856" s="86">
        <f>+VLOOKUP(B2856,ARTICULOS!$D$10:$I$699,6)</f>
        <v/>
      </c>
      <c r="D2856" s="212" t="n"/>
      <c r="E2856" s="75">
        <f>+C2856&amp;F2856</f>
        <v/>
      </c>
      <c r="F2856" s="80" t="n"/>
      <c r="G2856" s="81" t="n"/>
      <c r="H2856" s="78" t="n"/>
      <c r="I2856" s="78" t="n"/>
      <c r="J2856" s="78" t="n"/>
    </row>
    <row r="2857">
      <c r="A2857" s="84">
        <f>ROW()-6</f>
        <v/>
      </c>
      <c r="B2857" s="85">
        <f>+MATCH(D2857,ARTICULOS!$F$10:$F$699,0)</f>
        <v/>
      </c>
      <c r="C2857" s="86">
        <f>+VLOOKUP(B2857,ARTICULOS!$D$10:$I$699,6)</f>
        <v/>
      </c>
      <c r="D2857" s="212" t="n"/>
      <c r="E2857" s="75">
        <f>+C2857&amp;F2857</f>
        <v/>
      </c>
      <c r="F2857" s="80" t="n"/>
      <c r="G2857" s="81" t="n"/>
      <c r="H2857" s="78" t="n"/>
      <c r="I2857" s="78" t="n"/>
      <c r="J2857" s="78" t="n"/>
    </row>
    <row r="2858">
      <c r="A2858" s="84">
        <f>ROW()-6</f>
        <v/>
      </c>
      <c r="B2858" s="85">
        <f>+MATCH(D2858,ARTICULOS!$F$10:$F$699,0)</f>
        <v/>
      </c>
      <c r="C2858" s="86">
        <f>+VLOOKUP(B2858,ARTICULOS!$D$10:$I$699,6)</f>
        <v/>
      </c>
      <c r="D2858" s="212" t="n"/>
      <c r="E2858" s="75">
        <f>+C2858&amp;F2858</f>
        <v/>
      </c>
      <c r="F2858" s="80" t="n"/>
      <c r="G2858" s="81" t="n"/>
      <c r="H2858" s="78" t="n"/>
      <c r="I2858" s="78" t="n"/>
      <c r="J2858" s="78" t="n"/>
    </row>
    <row r="2859">
      <c r="A2859" s="84">
        <f>ROW()-6</f>
        <v/>
      </c>
      <c r="B2859" s="85">
        <f>+MATCH(D2859,ARTICULOS!$F$10:$F$699,0)</f>
        <v/>
      </c>
      <c r="C2859" s="86">
        <f>+VLOOKUP(B2859,ARTICULOS!$D$10:$I$699,6)</f>
        <v/>
      </c>
      <c r="D2859" s="212" t="n"/>
      <c r="E2859" s="75">
        <f>+C2859&amp;F2859</f>
        <v/>
      </c>
      <c r="F2859" s="80" t="n"/>
      <c r="G2859" s="81" t="n"/>
      <c r="H2859" s="78" t="n"/>
      <c r="I2859" s="78" t="n"/>
      <c r="J2859" s="78" t="n"/>
    </row>
    <row r="2860">
      <c r="A2860" s="84">
        <f>ROW()-6</f>
        <v/>
      </c>
      <c r="B2860" s="85">
        <f>+MATCH(D2860,ARTICULOS!$F$10:$F$699,0)</f>
        <v/>
      </c>
      <c r="C2860" s="86">
        <f>+VLOOKUP(B2860,ARTICULOS!$D$10:$I$699,6)</f>
        <v/>
      </c>
      <c r="D2860" s="212" t="n"/>
      <c r="E2860" s="75">
        <f>+C2860&amp;F2860</f>
        <v/>
      </c>
      <c r="F2860" s="80" t="n"/>
      <c r="G2860" s="81" t="n"/>
      <c r="H2860" s="78" t="n"/>
      <c r="I2860" s="78" t="n"/>
      <c r="J2860" s="78" t="n"/>
    </row>
    <row r="2861">
      <c r="A2861" s="84">
        <f>ROW()-6</f>
        <v/>
      </c>
      <c r="B2861" s="85">
        <f>+MATCH(D2861,ARTICULOS!$F$10:$F$699,0)</f>
        <v/>
      </c>
      <c r="C2861" s="86">
        <f>+VLOOKUP(B2861,ARTICULOS!$D$10:$I$699,6)</f>
        <v/>
      </c>
      <c r="D2861" s="212" t="n"/>
      <c r="E2861" s="75">
        <f>+C2861&amp;F2861</f>
        <v/>
      </c>
      <c r="F2861" s="80" t="n"/>
      <c r="G2861" s="81" t="n"/>
      <c r="H2861" s="78" t="n"/>
      <c r="I2861" s="78" t="n"/>
      <c r="J2861" s="78" t="n"/>
    </row>
    <row r="2862">
      <c r="A2862" s="84">
        <f>ROW()-6</f>
        <v/>
      </c>
      <c r="B2862" s="85">
        <f>+MATCH(D2862,ARTICULOS!$F$10:$F$699,0)</f>
        <v/>
      </c>
      <c r="C2862" s="86">
        <f>+VLOOKUP(B2862,ARTICULOS!$D$10:$I$699,6)</f>
        <v/>
      </c>
      <c r="D2862" s="212" t="n"/>
      <c r="E2862" s="75">
        <f>+C2862&amp;F2862</f>
        <v/>
      </c>
      <c r="F2862" s="80" t="n"/>
      <c r="G2862" s="81" t="n"/>
      <c r="H2862" s="78" t="n"/>
      <c r="I2862" s="78" t="n"/>
      <c r="J2862" s="78" t="n"/>
    </row>
    <row r="2863">
      <c r="A2863" s="84">
        <f>ROW()-6</f>
        <v/>
      </c>
      <c r="B2863" s="85">
        <f>+MATCH(D2863,ARTICULOS!$F$10:$F$699,0)</f>
        <v/>
      </c>
      <c r="C2863" s="86">
        <f>+VLOOKUP(B2863,ARTICULOS!$D$10:$I$699,6)</f>
        <v/>
      </c>
      <c r="D2863" s="212" t="n"/>
      <c r="E2863" s="75">
        <f>+C2863&amp;F2863</f>
        <v/>
      </c>
      <c r="F2863" s="80" t="n"/>
      <c r="G2863" s="81" t="n"/>
      <c r="H2863" s="78" t="n"/>
      <c r="I2863" s="78" t="n"/>
      <c r="J2863" s="78" t="n"/>
    </row>
    <row r="2864">
      <c r="A2864" s="84">
        <f>ROW()-6</f>
        <v/>
      </c>
      <c r="B2864" s="85">
        <f>+MATCH(D2864,ARTICULOS!$F$10:$F$699,0)</f>
        <v/>
      </c>
      <c r="C2864" s="86">
        <f>+VLOOKUP(B2864,ARTICULOS!$D$10:$I$699,6)</f>
        <v/>
      </c>
      <c r="D2864" s="212" t="n"/>
      <c r="E2864" s="75">
        <f>+C2864&amp;F2864</f>
        <v/>
      </c>
      <c r="F2864" s="80" t="n"/>
      <c r="G2864" s="81" t="n"/>
      <c r="H2864" s="78" t="n"/>
      <c r="I2864" s="78" t="n"/>
      <c r="J2864" s="78" t="n"/>
    </row>
    <row r="2865">
      <c r="A2865" s="84">
        <f>ROW()-6</f>
        <v/>
      </c>
      <c r="B2865" s="85">
        <f>+MATCH(D2865,ARTICULOS!$F$10:$F$699,0)</f>
        <v/>
      </c>
      <c r="C2865" s="86">
        <f>+VLOOKUP(B2865,ARTICULOS!$D$10:$I$699,6)</f>
        <v/>
      </c>
      <c r="D2865" s="212" t="n"/>
      <c r="E2865" s="75">
        <f>+C2865&amp;F2865</f>
        <v/>
      </c>
      <c r="F2865" s="80" t="n"/>
      <c r="G2865" s="81" t="n"/>
      <c r="H2865" s="78" t="n"/>
      <c r="I2865" s="78" t="n"/>
      <c r="J2865" s="78" t="n"/>
    </row>
    <row r="2866">
      <c r="A2866" s="84">
        <f>ROW()-6</f>
        <v/>
      </c>
      <c r="B2866" s="85">
        <f>+MATCH(D2866,ARTICULOS!$F$10:$F$699,0)</f>
        <v/>
      </c>
      <c r="C2866" s="86">
        <f>+VLOOKUP(B2866,ARTICULOS!$D$10:$I$699,6)</f>
        <v/>
      </c>
      <c r="D2866" s="212" t="n"/>
      <c r="E2866" s="75">
        <f>+C2866&amp;F2866</f>
        <v/>
      </c>
      <c r="F2866" s="80" t="n"/>
      <c r="G2866" s="81" t="n"/>
      <c r="H2866" s="78" t="n"/>
      <c r="I2866" s="78" t="n"/>
      <c r="J2866" s="78" t="n"/>
    </row>
    <row r="2867">
      <c r="A2867" s="84">
        <f>ROW()-6</f>
        <v/>
      </c>
      <c r="B2867" s="85">
        <f>+MATCH(D2867,ARTICULOS!$F$10:$F$699,0)</f>
        <v/>
      </c>
      <c r="C2867" s="86">
        <f>+VLOOKUP(B2867,ARTICULOS!$D$10:$I$699,6)</f>
        <v/>
      </c>
      <c r="D2867" s="212" t="n"/>
      <c r="E2867" s="75">
        <f>+C2867&amp;F2867</f>
        <v/>
      </c>
      <c r="F2867" s="80" t="n"/>
      <c r="G2867" s="81" t="n"/>
      <c r="H2867" s="78" t="n"/>
      <c r="I2867" s="78" t="n"/>
      <c r="J2867" s="78" t="n"/>
    </row>
    <row r="2868">
      <c r="A2868" s="84">
        <f>ROW()-6</f>
        <v/>
      </c>
      <c r="B2868" s="85">
        <f>+MATCH(D2868,ARTICULOS!$F$10:$F$699,0)</f>
        <v/>
      </c>
      <c r="C2868" s="86">
        <f>+VLOOKUP(B2868,ARTICULOS!$D$10:$I$699,6)</f>
        <v/>
      </c>
      <c r="D2868" s="212" t="n"/>
      <c r="E2868" s="75">
        <f>+C2868&amp;F2868</f>
        <v/>
      </c>
      <c r="F2868" s="80" t="n"/>
      <c r="G2868" s="81" t="n"/>
      <c r="H2868" s="78" t="n"/>
      <c r="I2868" s="78" t="n"/>
      <c r="J2868" s="78" t="n"/>
    </row>
    <row r="2869">
      <c r="A2869" s="84">
        <f>ROW()-6</f>
        <v/>
      </c>
      <c r="B2869" s="85">
        <f>+MATCH(D2869,ARTICULOS!$F$10:$F$699,0)</f>
        <v/>
      </c>
      <c r="C2869" s="86">
        <f>+VLOOKUP(B2869,ARTICULOS!$D$10:$I$699,6)</f>
        <v/>
      </c>
      <c r="D2869" s="212" t="n"/>
      <c r="E2869" s="75">
        <f>+C2869&amp;F2869</f>
        <v/>
      </c>
      <c r="F2869" s="80" t="n"/>
      <c r="G2869" s="81" t="n"/>
      <c r="H2869" s="78" t="n"/>
      <c r="I2869" s="78" t="n"/>
      <c r="J2869" s="78" t="n"/>
    </row>
    <row r="2870">
      <c r="A2870" s="84">
        <f>ROW()-6</f>
        <v/>
      </c>
      <c r="B2870" s="85">
        <f>+MATCH(D2870,ARTICULOS!$F$10:$F$699,0)</f>
        <v/>
      </c>
      <c r="C2870" s="86">
        <f>+VLOOKUP(B2870,ARTICULOS!$D$10:$I$699,6)</f>
        <v/>
      </c>
      <c r="D2870" s="212" t="n"/>
      <c r="E2870" s="75">
        <f>+C2870&amp;F2870</f>
        <v/>
      </c>
      <c r="F2870" s="80" t="n"/>
      <c r="G2870" s="81" t="n"/>
      <c r="H2870" s="78" t="n"/>
      <c r="I2870" s="78" t="n"/>
      <c r="J2870" s="78" t="n"/>
    </row>
    <row r="2871">
      <c r="A2871" s="84">
        <f>ROW()-6</f>
        <v/>
      </c>
      <c r="B2871" s="85">
        <f>+MATCH(D2871,ARTICULOS!$F$10:$F$699,0)</f>
        <v/>
      </c>
      <c r="C2871" s="86">
        <f>+VLOOKUP(B2871,ARTICULOS!$D$10:$I$699,6)</f>
        <v/>
      </c>
      <c r="D2871" s="212" t="n"/>
      <c r="E2871" s="75">
        <f>+C2871&amp;F2871</f>
        <v/>
      </c>
      <c r="F2871" s="80" t="n"/>
      <c r="G2871" s="81" t="n"/>
      <c r="H2871" s="78" t="n"/>
      <c r="I2871" s="78" t="n"/>
      <c r="J2871" s="78" t="n"/>
    </row>
    <row r="2872">
      <c r="A2872" s="84">
        <f>ROW()-6</f>
        <v/>
      </c>
      <c r="B2872" s="85">
        <f>+MATCH(D2872,ARTICULOS!$F$10:$F$699,0)</f>
        <v/>
      </c>
      <c r="C2872" s="86">
        <f>+VLOOKUP(B2872,ARTICULOS!$D$10:$I$699,6)</f>
        <v/>
      </c>
      <c r="D2872" s="212" t="n"/>
      <c r="E2872" s="75">
        <f>+C2872&amp;F2872</f>
        <v/>
      </c>
      <c r="F2872" s="80" t="n"/>
      <c r="G2872" s="81" t="n"/>
      <c r="H2872" s="78" t="n"/>
      <c r="I2872" s="78" t="n"/>
      <c r="J2872" s="78" t="n"/>
    </row>
    <row r="2873">
      <c r="A2873" s="84">
        <f>ROW()-6</f>
        <v/>
      </c>
      <c r="B2873" s="85">
        <f>+MATCH(D2873,ARTICULOS!$F$10:$F$699,0)</f>
        <v/>
      </c>
      <c r="C2873" s="86">
        <f>+VLOOKUP(B2873,ARTICULOS!$D$10:$I$699,6)</f>
        <v/>
      </c>
      <c r="D2873" s="212" t="n"/>
      <c r="E2873" s="75">
        <f>+C2873&amp;F2873</f>
        <v/>
      </c>
      <c r="F2873" s="80" t="n"/>
      <c r="G2873" s="81" t="n"/>
      <c r="H2873" s="78" t="n"/>
      <c r="I2873" s="78" t="n"/>
      <c r="J2873" s="78" t="n"/>
    </row>
    <row r="2874">
      <c r="A2874" s="84">
        <f>ROW()-6</f>
        <v/>
      </c>
      <c r="B2874" s="85">
        <f>+MATCH(D2874,ARTICULOS!$F$10:$F$699,0)</f>
        <v/>
      </c>
      <c r="C2874" s="86">
        <f>+VLOOKUP(B2874,ARTICULOS!$D$10:$I$699,6)</f>
        <v/>
      </c>
      <c r="D2874" s="212" t="n"/>
      <c r="E2874" s="75">
        <f>+C2874&amp;F2874</f>
        <v/>
      </c>
      <c r="F2874" s="80" t="n"/>
      <c r="G2874" s="81" t="n"/>
      <c r="H2874" s="78" t="n"/>
      <c r="I2874" s="78" t="n"/>
      <c r="J2874" s="78" t="n"/>
    </row>
    <row r="2875">
      <c r="A2875" s="84">
        <f>ROW()-6</f>
        <v/>
      </c>
      <c r="B2875" s="85">
        <f>+MATCH(D2875,ARTICULOS!$F$10:$F$699,0)</f>
        <v/>
      </c>
      <c r="C2875" s="86">
        <f>+VLOOKUP(B2875,ARTICULOS!$D$10:$I$699,6)</f>
        <v/>
      </c>
      <c r="D2875" s="212" t="n"/>
      <c r="E2875" s="75">
        <f>+C2875&amp;F2875</f>
        <v/>
      </c>
      <c r="F2875" s="80" t="n"/>
      <c r="G2875" s="81" t="n"/>
      <c r="H2875" s="78" t="n"/>
      <c r="I2875" s="78" t="n"/>
      <c r="J2875" s="78" t="n"/>
    </row>
    <row r="2876">
      <c r="A2876" s="84">
        <f>ROW()-6</f>
        <v/>
      </c>
      <c r="B2876" s="85">
        <f>+MATCH(D2876,ARTICULOS!$F$10:$F$699,0)</f>
        <v/>
      </c>
      <c r="C2876" s="86">
        <f>+VLOOKUP(B2876,ARTICULOS!$D$10:$I$699,6)</f>
        <v/>
      </c>
      <c r="D2876" s="212" t="n"/>
      <c r="E2876" s="75">
        <f>+C2876&amp;F2876</f>
        <v/>
      </c>
      <c r="F2876" s="80" t="n"/>
      <c r="G2876" s="81" t="n"/>
      <c r="H2876" s="78" t="n"/>
      <c r="I2876" s="78" t="n"/>
      <c r="J2876" s="78" t="n"/>
    </row>
    <row r="2877">
      <c r="A2877" s="84">
        <f>ROW()-6</f>
        <v/>
      </c>
      <c r="B2877" s="85">
        <f>+MATCH(D2877,ARTICULOS!$F$10:$F$699,0)</f>
        <v/>
      </c>
      <c r="C2877" s="86">
        <f>+VLOOKUP(B2877,ARTICULOS!$D$10:$I$699,6)</f>
        <v/>
      </c>
      <c r="D2877" s="212" t="n"/>
      <c r="E2877" s="75">
        <f>+C2877&amp;F2877</f>
        <v/>
      </c>
      <c r="F2877" s="80" t="n"/>
      <c r="G2877" s="81" t="n"/>
      <c r="H2877" s="78" t="n"/>
      <c r="I2877" s="78" t="n"/>
      <c r="J2877" s="78" t="n"/>
    </row>
    <row r="2878">
      <c r="A2878" s="84">
        <f>ROW()-6</f>
        <v/>
      </c>
      <c r="B2878" s="85">
        <f>+MATCH(D2878,ARTICULOS!$F$10:$F$699,0)</f>
        <v/>
      </c>
      <c r="C2878" s="86">
        <f>+VLOOKUP(B2878,ARTICULOS!$D$10:$I$699,6)</f>
        <v/>
      </c>
      <c r="D2878" s="212" t="n"/>
      <c r="E2878" s="75">
        <f>+C2878&amp;F2878</f>
        <v/>
      </c>
      <c r="F2878" s="80" t="n"/>
      <c r="G2878" s="81" t="n"/>
      <c r="H2878" s="78" t="n"/>
      <c r="I2878" s="78" t="n"/>
      <c r="J2878" s="78" t="n"/>
    </row>
    <row r="2879">
      <c r="A2879" s="84">
        <f>ROW()-6</f>
        <v/>
      </c>
      <c r="B2879" s="85">
        <f>+MATCH(D2879,ARTICULOS!$F$10:$F$699,0)</f>
        <v/>
      </c>
      <c r="C2879" s="86">
        <f>+VLOOKUP(B2879,ARTICULOS!$D$10:$I$699,6)</f>
        <v/>
      </c>
      <c r="D2879" s="212" t="n"/>
      <c r="E2879" s="75">
        <f>+C2879&amp;F2879</f>
        <v/>
      </c>
      <c r="F2879" s="80" t="n"/>
      <c r="G2879" s="81" t="n"/>
      <c r="H2879" s="78" t="n"/>
      <c r="I2879" s="78" t="n"/>
      <c r="J2879" s="78" t="n"/>
    </row>
    <row r="2880">
      <c r="A2880" s="84">
        <f>ROW()-6</f>
        <v/>
      </c>
      <c r="B2880" s="85">
        <f>+MATCH(D2880,ARTICULOS!$F$10:$F$699,0)</f>
        <v/>
      </c>
      <c r="C2880" s="86">
        <f>+VLOOKUP(B2880,ARTICULOS!$D$10:$I$699,6)</f>
        <v/>
      </c>
      <c r="D2880" s="212" t="n"/>
      <c r="E2880" s="75">
        <f>+C2880&amp;F2880</f>
        <v/>
      </c>
      <c r="F2880" s="80" t="n"/>
      <c r="G2880" s="81" t="n"/>
      <c r="H2880" s="78" t="n"/>
      <c r="I2880" s="78" t="n"/>
      <c r="J2880" s="78" t="n"/>
    </row>
    <row r="2881">
      <c r="A2881" s="84">
        <f>ROW()-6</f>
        <v/>
      </c>
      <c r="B2881" s="85">
        <f>+MATCH(D2881,ARTICULOS!$F$10:$F$699,0)</f>
        <v/>
      </c>
      <c r="C2881" s="86">
        <f>+VLOOKUP(B2881,ARTICULOS!$D$10:$I$699,6)</f>
        <v/>
      </c>
      <c r="D2881" s="212" t="n"/>
      <c r="E2881" s="75">
        <f>+C2881&amp;F2881</f>
        <v/>
      </c>
      <c r="F2881" s="80" t="n"/>
      <c r="G2881" s="81" t="n"/>
      <c r="H2881" s="78" t="n"/>
      <c r="I2881" s="78" t="n"/>
      <c r="J2881" s="78" t="n"/>
    </row>
    <row r="2882">
      <c r="A2882" s="84">
        <f>ROW()-6</f>
        <v/>
      </c>
      <c r="B2882" s="85">
        <f>+MATCH(D2882,ARTICULOS!$F$10:$F$699,0)</f>
        <v/>
      </c>
      <c r="C2882" s="86">
        <f>+VLOOKUP(B2882,ARTICULOS!$D$10:$I$699,6)</f>
        <v/>
      </c>
      <c r="D2882" s="212" t="n"/>
      <c r="E2882" s="75">
        <f>+C2882&amp;F2882</f>
        <v/>
      </c>
      <c r="F2882" s="80" t="n"/>
      <c r="G2882" s="81" t="n"/>
      <c r="H2882" s="78" t="n"/>
      <c r="I2882" s="78" t="n"/>
      <c r="J2882" s="78" t="n"/>
    </row>
    <row r="2883">
      <c r="A2883" s="84">
        <f>ROW()-6</f>
        <v/>
      </c>
      <c r="B2883" s="85">
        <f>+MATCH(D2883,ARTICULOS!$F$10:$F$699,0)</f>
        <v/>
      </c>
      <c r="C2883" s="86">
        <f>+VLOOKUP(B2883,ARTICULOS!$D$10:$I$699,6)</f>
        <v/>
      </c>
      <c r="D2883" s="212" t="n"/>
      <c r="E2883" s="75">
        <f>+C2883&amp;F2883</f>
        <v/>
      </c>
      <c r="F2883" s="80" t="n"/>
      <c r="G2883" s="81" t="n"/>
      <c r="H2883" s="78" t="n"/>
      <c r="I2883" s="78" t="n"/>
      <c r="J2883" s="78" t="n"/>
    </row>
    <row r="2884">
      <c r="A2884" s="84">
        <f>ROW()-6</f>
        <v/>
      </c>
      <c r="B2884" s="85">
        <f>+MATCH(D2884,ARTICULOS!$F$10:$F$699,0)</f>
        <v/>
      </c>
      <c r="C2884" s="86">
        <f>+VLOOKUP(B2884,ARTICULOS!$D$10:$I$699,6)</f>
        <v/>
      </c>
      <c r="D2884" s="212" t="n"/>
      <c r="E2884" s="75">
        <f>+C2884&amp;F2884</f>
        <v/>
      </c>
      <c r="F2884" s="80" t="n"/>
      <c r="G2884" s="81" t="n"/>
      <c r="H2884" s="78" t="n"/>
      <c r="I2884" s="78" t="n"/>
      <c r="J2884" s="78" t="n"/>
    </row>
    <row r="2885">
      <c r="A2885" s="84">
        <f>ROW()-6</f>
        <v/>
      </c>
      <c r="B2885" s="85">
        <f>+MATCH(D2885,ARTICULOS!$F$10:$F$699,0)</f>
        <v/>
      </c>
      <c r="C2885" s="86">
        <f>+VLOOKUP(B2885,ARTICULOS!$D$10:$I$699,6)</f>
        <v/>
      </c>
      <c r="D2885" s="212" t="n"/>
      <c r="E2885" s="75">
        <f>+C2885&amp;F2885</f>
        <v/>
      </c>
      <c r="F2885" s="80" t="n"/>
      <c r="G2885" s="81" t="n"/>
      <c r="H2885" s="78" t="n"/>
      <c r="I2885" s="78" t="n"/>
      <c r="J2885" s="78" t="n"/>
    </row>
    <row r="2886">
      <c r="A2886" s="84">
        <f>ROW()-6</f>
        <v/>
      </c>
      <c r="B2886" s="85">
        <f>+MATCH(D2886,ARTICULOS!$F$10:$F$699,0)</f>
        <v/>
      </c>
      <c r="C2886" s="86">
        <f>+VLOOKUP(B2886,ARTICULOS!$D$10:$I$699,6)</f>
        <v/>
      </c>
      <c r="D2886" s="212" t="n"/>
      <c r="E2886" s="75">
        <f>+C2886&amp;F2886</f>
        <v/>
      </c>
      <c r="F2886" s="80" t="n"/>
      <c r="G2886" s="81" t="n"/>
      <c r="H2886" s="78" t="n"/>
      <c r="I2886" s="78" t="n"/>
      <c r="J2886" s="78" t="n"/>
    </row>
    <row r="2887">
      <c r="A2887" s="84">
        <f>ROW()-6</f>
        <v/>
      </c>
      <c r="B2887" s="85">
        <f>+MATCH(D2887,ARTICULOS!$F$10:$F$699,0)</f>
        <v/>
      </c>
      <c r="C2887" s="86">
        <f>+VLOOKUP(B2887,ARTICULOS!$D$10:$I$699,6)</f>
        <v/>
      </c>
      <c r="D2887" s="212" t="n"/>
      <c r="E2887" s="75">
        <f>+C2887&amp;F2887</f>
        <v/>
      </c>
      <c r="F2887" s="80" t="n"/>
      <c r="G2887" s="81" t="n"/>
      <c r="H2887" s="78" t="n"/>
      <c r="I2887" s="78" t="n"/>
      <c r="J2887" s="78" t="n"/>
    </row>
    <row r="2888">
      <c r="A2888" s="84">
        <f>ROW()-6</f>
        <v/>
      </c>
      <c r="B2888" s="85">
        <f>+MATCH(D2888,ARTICULOS!$F$10:$F$699,0)</f>
        <v/>
      </c>
      <c r="C2888" s="86">
        <f>+VLOOKUP(B2888,ARTICULOS!$D$10:$I$699,6)</f>
        <v/>
      </c>
      <c r="D2888" s="212" t="n"/>
      <c r="E2888" s="75">
        <f>+C2888&amp;F2888</f>
        <v/>
      </c>
      <c r="F2888" s="80" t="n"/>
      <c r="G2888" s="81" t="n"/>
      <c r="H2888" s="78" t="n"/>
      <c r="I2888" s="78" t="n"/>
      <c r="J2888" s="78" t="n"/>
    </row>
    <row r="2889">
      <c r="A2889" s="84">
        <f>ROW()-6</f>
        <v/>
      </c>
      <c r="B2889" s="85">
        <f>+MATCH(D2889,ARTICULOS!$F$10:$F$699,0)</f>
        <v/>
      </c>
      <c r="C2889" s="86">
        <f>+VLOOKUP(B2889,ARTICULOS!$D$10:$I$699,6)</f>
        <v/>
      </c>
      <c r="D2889" s="212" t="n"/>
      <c r="E2889" s="75">
        <f>+C2889&amp;F2889</f>
        <v/>
      </c>
      <c r="F2889" s="80" t="n"/>
      <c r="G2889" s="81" t="n"/>
      <c r="H2889" s="78" t="n"/>
      <c r="I2889" s="78" t="n"/>
      <c r="J2889" s="78" t="n"/>
    </row>
    <row r="2890">
      <c r="A2890" s="84">
        <f>ROW()-6</f>
        <v/>
      </c>
      <c r="B2890" s="85">
        <f>+MATCH(D2890,ARTICULOS!$F$10:$F$699,0)</f>
        <v/>
      </c>
      <c r="C2890" s="86">
        <f>+VLOOKUP(B2890,ARTICULOS!$D$10:$I$699,6)</f>
        <v/>
      </c>
      <c r="D2890" s="212" t="n"/>
      <c r="E2890" s="75">
        <f>+C2890&amp;F2890</f>
        <v/>
      </c>
      <c r="F2890" s="80" t="n"/>
      <c r="G2890" s="81" t="n"/>
      <c r="H2890" s="78" t="n"/>
      <c r="I2890" s="78" t="n"/>
      <c r="J2890" s="78" t="n"/>
    </row>
    <row r="2891">
      <c r="A2891" s="84">
        <f>ROW()-6</f>
        <v/>
      </c>
      <c r="B2891" s="85">
        <f>+MATCH(D2891,ARTICULOS!$F$10:$F$699,0)</f>
        <v/>
      </c>
      <c r="C2891" s="86">
        <f>+VLOOKUP(B2891,ARTICULOS!$D$10:$I$699,6)</f>
        <v/>
      </c>
      <c r="D2891" s="212" t="n"/>
      <c r="E2891" s="75">
        <f>+C2891&amp;F2891</f>
        <v/>
      </c>
      <c r="F2891" s="80" t="n"/>
      <c r="G2891" s="81" t="n"/>
      <c r="H2891" s="78" t="n"/>
      <c r="I2891" s="78" t="n"/>
      <c r="J2891" s="78" t="n"/>
    </row>
    <row r="2892">
      <c r="A2892" s="84">
        <f>ROW()-6</f>
        <v/>
      </c>
      <c r="B2892" s="85">
        <f>+MATCH(D2892,ARTICULOS!$F$10:$F$699,0)</f>
        <v/>
      </c>
      <c r="C2892" s="86">
        <f>+VLOOKUP(B2892,ARTICULOS!$D$10:$I$699,6)</f>
        <v/>
      </c>
      <c r="D2892" s="212" t="n"/>
      <c r="E2892" s="75">
        <f>+C2892&amp;F2892</f>
        <v/>
      </c>
      <c r="F2892" s="80" t="n"/>
      <c r="G2892" s="81" t="n"/>
      <c r="H2892" s="78" t="n"/>
      <c r="I2892" s="78" t="n"/>
      <c r="J2892" s="78" t="n"/>
    </row>
    <row r="2893">
      <c r="A2893" s="84">
        <f>ROW()-6</f>
        <v/>
      </c>
      <c r="B2893" s="85">
        <f>+MATCH(D2893,ARTICULOS!$F$10:$F$699,0)</f>
        <v/>
      </c>
      <c r="C2893" s="86">
        <f>+VLOOKUP(B2893,ARTICULOS!$D$10:$I$699,6)</f>
        <v/>
      </c>
      <c r="D2893" s="212" t="n"/>
      <c r="E2893" s="75">
        <f>+C2893&amp;F2893</f>
        <v/>
      </c>
      <c r="F2893" s="80" t="n"/>
      <c r="G2893" s="81" t="n"/>
      <c r="H2893" s="78" t="n"/>
      <c r="I2893" s="78" t="n"/>
      <c r="J2893" s="78" t="n"/>
    </row>
    <row r="2894">
      <c r="A2894" s="84">
        <f>ROW()-6</f>
        <v/>
      </c>
      <c r="B2894" s="85">
        <f>+MATCH(D2894,ARTICULOS!$F$10:$F$699,0)</f>
        <v/>
      </c>
      <c r="C2894" s="86">
        <f>+VLOOKUP(B2894,ARTICULOS!$D$10:$I$699,6)</f>
        <v/>
      </c>
      <c r="D2894" s="212" t="n"/>
      <c r="E2894" s="75">
        <f>+C2894&amp;F2894</f>
        <v/>
      </c>
      <c r="F2894" s="80" t="n"/>
      <c r="G2894" s="81" t="n"/>
      <c r="H2894" s="78" t="n"/>
      <c r="I2894" s="78" t="n"/>
      <c r="J2894" s="78" t="n"/>
    </row>
    <row r="2895">
      <c r="A2895" s="84">
        <f>ROW()-6</f>
        <v/>
      </c>
      <c r="B2895" s="85">
        <f>+MATCH(D2895,ARTICULOS!$F$10:$F$699,0)</f>
        <v/>
      </c>
      <c r="C2895" s="86">
        <f>+VLOOKUP(B2895,ARTICULOS!$D$10:$I$699,6)</f>
        <v/>
      </c>
      <c r="D2895" s="212" t="n"/>
      <c r="E2895" s="75">
        <f>+C2895&amp;F2895</f>
        <v/>
      </c>
      <c r="F2895" s="80" t="n"/>
      <c r="G2895" s="81" t="n"/>
      <c r="H2895" s="78" t="n"/>
      <c r="I2895" s="78" t="n"/>
      <c r="J2895" s="78" t="n"/>
    </row>
    <row r="2896">
      <c r="A2896" s="84">
        <f>ROW()-6</f>
        <v/>
      </c>
      <c r="B2896" s="85">
        <f>+MATCH(D2896,ARTICULOS!$F$10:$F$699,0)</f>
        <v/>
      </c>
      <c r="C2896" s="86">
        <f>+VLOOKUP(B2896,ARTICULOS!$D$10:$I$699,6)</f>
        <v/>
      </c>
      <c r="D2896" s="212" t="n"/>
      <c r="E2896" s="75">
        <f>+C2896&amp;F2896</f>
        <v/>
      </c>
      <c r="F2896" s="80" t="n"/>
      <c r="G2896" s="81" t="n"/>
      <c r="H2896" s="78" t="n"/>
      <c r="I2896" s="78" t="n"/>
      <c r="J2896" s="78" t="n"/>
    </row>
    <row r="2897">
      <c r="A2897" s="84">
        <f>ROW()-6</f>
        <v/>
      </c>
      <c r="B2897" s="85">
        <f>+MATCH(D2897,ARTICULOS!$F$10:$F$699,0)</f>
        <v/>
      </c>
      <c r="C2897" s="86">
        <f>+VLOOKUP(B2897,ARTICULOS!$D$10:$I$699,6)</f>
        <v/>
      </c>
      <c r="D2897" s="212" t="n"/>
      <c r="E2897" s="75">
        <f>+C2897&amp;F2897</f>
        <v/>
      </c>
      <c r="F2897" s="80" t="n"/>
      <c r="G2897" s="81" t="n"/>
      <c r="H2897" s="78" t="n"/>
      <c r="I2897" s="78" t="n"/>
      <c r="J2897" s="78" t="n"/>
    </row>
    <row r="2898">
      <c r="A2898" s="84">
        <f>ROW()-6</f>
        <v/>
      </c>
      <c r="B2898" s="85">
        <f>+MATCH(D2898,ARTICULOS!$F$10:$F$699,0)</f>
        <v/>
      </c>
      <c r="C2898" s="86">
        <f>+VLOOKUP(B2898,ARTICULOS!$D$10:$I$699,6)</f>
        <v/>
      </c>
      <c r="D2898" s="212" t="n"/>
      <c r="E2898" s="75">
        <f>+C2898&amp;F2898</f>
        <v/>
      </c>
      <c r="F2898" s="80" t="n"/>
      <c r="G2898" s="81" t="n"/>
      <c r="H2898" s="78" t="n"/>
      <c r="I2898" s="78" t="n"/>
      <c r="J2898" s="78" t="n"/>
    </row>
    <row r="2899">
      <c r="A2899" s="84">
        <f>ROW()-6</f>
        <v/>
      </c>
      <c r="B2899" s="85">
        <f>+MATCH(D2899,ARTICULOS!$F$10:$F$699,0)</f>
        <v/>
      </c>
      <c r="C2899" s="86">
        <f>+VLOOKUP(B2899,ARTICULOS!$D$10:$I$699,6)</f>
        <v/>
      </c>
      <c r="D2899" s="212" t="n"/>
      <c r="E2899" s="75">
        <f>+C2899&amp;F2899</f>
        <v/>
      </c>
      <c r="F2899" s="80" t="n"/>
      <c r="G2899" s="81" t="n"/>
      <c r="H2899" s="78" t="n"/>
      <c r="I2899" s="78" t="n"/>
      <c r="J2899" s="78" t="n"/>
    </row>
    <row r="2900">
      <c r="A2900" s="84">
        <f>ROW()-6</f>
        <v/>
      </c>
      <c r="B2900" s="85">
        <f>+MATCH(D2900,ARTICULOS!$F$10:$F$699,0)</f>
        <v/>
      </c>
      <c r="C2900" s="86">
        <f>+VLOOKUP(B2900,ARTICULOS!$D$10:$I$699,6)</f>
        <v/>
      </c>
      <c r="D2900" s="212" t="n"/>
      <c r="E2900" s="75">
        <f>+C2900&amp;F2900</f>
        <v/>
      </c>
      <c r="F2900" s="80" t="n"/>
      <c r="G2900" s="81" t="n"/>
      <c r="H2900" s="78" t="n"/>
      <c r="I2900" s="78" t="n"/>
      <c r="J2900" s="78" t="n"/>
    </row>
    <row r="2901">
      <c r="A2901" s="84">
        <f>ROW()-6</f>
        <v/>
      </c>
      <c r="B2901" s="85">
        <f>+MATCH(D2901,ARTICULOS!$F$10:$F$699,0)</f>
        <v/>
      </c>
      <c r="C2901" s="86">
        <f>+VLOOKUP(B2901,ARTICULOS!$D$10:$I$699,6)</f>
        <v/>
      </c>
      <c r="D2901" s="212" t="n"/>
      <c r="E2901" s="75">
        <f>+C2901&amp;F2901</f>
        <v/>
      </c>
      <c r="F2901" s="80" t="n"/>
      <c r="G2901" s="81" t="n"/>
      <c r="H2901" s="78" t="n"/>
      <c r="I2901" s="78" t="n"/>
      <c r="J2901" s="78" t="n"/>
    </row>
    <row r="2902">
      <c r="A2902" s="84">
        <f>ROW()-6</f>
        <v/>
      </c>
      <c r="B2902" s="85">
        <f>+MATCH(D2902,ARTICULOS!$F$10:$F$699,0)</f>
        <v/>
      </c>
      <c r="C2902" s="86">
        <f>+VLOOKUP(B2902,ARTICULOS!$D$10:$I$699,6)</f>
        <v/>
      </c>
      <c r="D2902" s="212" t="n"/>
      <c r="E2902" s="75">
        <f>+C2902&amp;F2902</f>
        <v/>
      </c>
      <c r="F2902" s="80" t="n"/>
      <c r="G2902" s="81" t="n"/>
      <c r="H2902" s="78" t="n"/>
      <c r="I2902" s="78" t="n"/>
      <c r="J2902" s="78" t="n"/>
    </row>
    <row r="2903">
      <c r="A2903" s="84">
        <f>ROW()-6</f>
        <v/>
      </c>
      <c r="B2903" s="85">
        <f>+MATCH(D2903,ARTICULOS!$F$10:$F$699,0)</f>
        <v/>
      </c>
      <c r="C2903" s="86">
        <f>+VLOOKUP(B2903,ARTICULOS!$D$10:$I$699,6)</f>
        <v/>
      </c>
      <c r="D2903" s="212" t="n"/>
      <c r="E2903" s="75">
        <f>+C2903&amp;F2903</f>
        <v/>
      </c>
      <c r="F2903" s="80" t="n"/>
      <c r="G2903" s="81" t="n"/>
      <c r="H2903" s="78" t="n"/>
      <c r="I2903" s="78" t="n"/>
      <c r="J2903" s="78" t="n"/>
    </row>
    <row r="2904">
      <c r="A2904" s="84">
        <f>ROW()-6</f>
        <v/>
      </c>
      <c r="B2904" s="85">
        <f>+MATCH(D2904,ARTICULOS!$F$10:$F$699,0)</f>
        <v/>
      </c>
      <c r="C2904" s="86">
        <f>+VLOOKUP(B2904,ARTICULOS!$D$10:$I$699,6)</f>
        <v/>
      </c>
      <c r="D2904" s="212" t="n"/>
      <c r="E2904" s="75">
        <f>+C2904&amp;F2904</f>
        <v/>
      </c>
      <c r="F2904" s="80" t="n"/>
      <c r="G2904" s="81" t="n"/>
      <c r="H2904" s="78" t="n"/>
      <c r="I2904" s="78" t="n"/>
      <c r="J2904" s="78" t="n"/>
    </row>
    <row r="2905">
      <c r="A2905" s="84">
        <f>ROW()-6</f>
        <v/>
      </c>
      <c r="B2905" s="85">
        <f>+MATCH(D2905,ARTICULOS!$F$10:$F$699,0)</f>
        <v/>
      </c>
      <c r="C2905" s="86">
        <f>+VLOOKUP(B2905,ARTICULOS!$D$10:$I$699,6)</f>
        <v/>
      </c>
      <c r="D2905" s="212" t="n"/>
      <c r="E2905" s="75">
        <f>+C2905&amp;F2905</f>
        <v/>
      </c>
      <c r="F2905" s="80" t="n"/>
      <c r="G2905" s="81" t="n"/>
      <c r="H2905" s="78" t="n"/>
      <c r="I2905" s="78" t="n"/>
      <c r="J2905" s="78" t="n"/>
    </row>
    <row r="2906">
      <c r="A2906" s="84">
        <f>ROW()-6</f>
        <v/>
      </c>
      <c r="B2906" s="85">
        <f>+MATCH(D2906,ARTICULOS!$F$10:$F$699,0)</f>
        <v/>
      </c>
      <c r="C2906" s="86">
        <f>+VLOOKUP(B2906,ARTICULOS!$D$10:$I$699,6)</f>
        <v/>
      </c>
      <c r="D2906" s="212" t="n"/>
      <c r="E2906" s="75">
        <f>+C2906&amp;F2906</f>
        <v/>
      </c>
      <c r="F2906" s="80" t="n"/>
      <c r="G2906" s="81" t="n"/>
      <c r="H2906" s="78" t="n"/>
      <c r="I2906" s="78" t="n"/>
      <c r="J2906" s="78" t="n"/>
    </row>
    <row r="2907">
      <c r="A2907" s="84">
        <f>ROW()-6</f>
        <v/>
      </c>
      <c r="B2907" s="85">
        <f>+MATCH(D2907,ARTICULOS!$F$10:$F$699,0)</f>
        <v/>
      </c>
      <c r="C2907" s="86">
        <f>+VLOOKUP(B2907,ARTICULOS!$D$10:$I$699,6)</f>
        <v/>
      </c>
      <c r="D2907" s="212" t="n"/>
      <c r="E2907" s="75">
        <f>+C2907&amp;F2907</f>
        <v/>
      </c>
      <c r="F2907" s="80" t="n"/>
      <c r="G2907" s="81" t="n"/>
      <c r="H2907" s="78" t="n"/>
      <c r="I2907" s="78" t="n"/>
      <c r="J2907" s="78" t="n"/>
    </row>
    <row r="2908">
      <c r="A2908" s="84">
        <f>ROW()-6</f>
        <v/>
      </c>
      <c r="B2908" s="85">
        <f>+MATCH(D2908,ARTICULOS!$F$10:$F$699,0)</f>
        <v/>
      </c>
      <c r="C2908" s="86">
        <f>+VLOOKUP(B2908,ARTICULOS!$D$10:$I$699,6)</f>
        <v/>
      </c>
      <c r="D2908" s="212" t="n"/>
      <c r="E2908" s="75">
        <f>+C2908&amp;F2908</f>
        <v/>
      </c>
      <c r="F2908" s="80" t="n"/>
      <c r="G2908" s="81" t="n"/>
      <c r="H2908" s="78" t="n"/>
      <c r="I2908" s="78" t="n"/>
      <c r="J2908" s="78" t="n"/>
    </row>
    <row r="2909">
      <c r="A2909" s="84">
        <f>ROW()-6</f>
        <v/>
      </c>
      <c r="B2909" s="85">
        <f>+MATCH(D2909,ARTICULOS!$F$10:$F$699,0)</f>
        <v/>
      </c>
      <c r="C2909" s="86">
        <f>+VLOOKUP(B2909,ARTICULOS!$D$10:$I$699,6)</f>
        <v/>
      </c>
      <c r="D2909" s="212" t="n"/>
      <c r="E2909" s="75">
        <f>+C2909&amp;F2909</f>
        <v/>
      </c>
      <c r="F2909" s="80" t="n"/>
      <c r="G2909" s="81" t="n"/>
      <c r="H2909" s="78" t="n"/>
      <c r="I2909" s="78" t="n"/>
      <c r="J2909" s="78" t="n"/>
    </row>
    <row r="2910">
      <c r="A2910" s="84">
        <f>ROW()-6</f>
        <v/>
      </c>
      <c r="B2910" s="85">
        <f>+MATCH(D2910,ARTICULOS!$F$10:$F$699,0)</f>
        <v/>
      </c>
      <c r="C2910" s="86">
        <f>+VLOOKUP(B2910,ARTICULOS!$D$10:$I$699,6)</f>
        <v/>
      </c>
      <c r="D2910" s="212" t="n"/>
      <c r="E2910" s="75">
        <f>+C2910&amp;F2910</f>
        <v/>
      </c>
      <c r="F2910" s="80" t="n"/>
      <c r="G2910" s="81" t="n"/>
      <c r="H2910" s="78" t="n"/>
      <c r="I2910" s="78" t="n"/>
      <c r="J2910" s="78" t="n"/>
    </row>
    <row r="2911">
      <c r="A2911" s="84">
        <f>ROW()-6</f>
        <v/>
      </c>
      <c r="B2911" s="85">
        <f>+MATCH(D2911,ARTICULOS!$F$10:$F$699,0)</f>
        <v/>
      </c>
      <c r="C2911" s="86">
        <f>+VLOOKUP(B2911,ARTICULOS!$D$10:$I$699,6)</f>
        <v/>
      </c>
      <c r="D2911" s="212" t="n"/>
      <c r="E2911" s="75">
        <f>+C2911&amp;F2911</f>
        <v/>
      </c>
      <c r="F2911" s="80" t="n"/>
      <c r="G2911" s="81" t="n"/>
      <c r="H2911" s="78" t="n"/>
      <c r="I2911" s="78" t="n"/>
      <c r="J2911" s="78" t="n"/>
    </row>
    <row r="2912">
      <c r="A2912" s="84">
        <f>ROW()-6</f>
        <v/>
      </c>
      <c r="B2912" s="85">
        <f>+MATCH(D2912,ARTICULOS!$F$10:$F$699,0)</f>
        <v/>
      </c>
      <c r="C2912" s="86">
        <f>+VLOOKUP(B2912,ARTICULOS!$D$10:$I$699,6)</f>
        <v/>
      </c>
      <c r="D2912" s="212" t="n"/>
      <c r="E2912" s="75">
        <f>+C2912&amp;F2912</f>
        <v/>
      </c>
      <c r="F2912" s="80" t="n"/>
      <c r="G2912" s="81" t="n"/>
      <c r="H2912" s="78" t="n"/>
      <c r="I2912" s="78" t="n"/>
      <c r="J2912" s="78" t="n"/>
    </row>
    <row r="2913">
      <c r="A2913" s="84">
        <f>ROW()-6</f>
        <v/>
      </c>
      <c r="B2913" s="85">
        <f>+MATCH(D2913,ARTICULOS!$F$10:$F$699,0)</f>
        <v/>
      </c>
      <c r="C2913" s="86">
        <f>+VLOOKUP(B2913,ARTICULOS!$D$10:$I$699,6)</f>
        <v/>
      </c>
      <c r="D2913" s="212" t="n"/>
      <c r="E2913" s="75">
        <f>+C2913&amp;F2913</f>
        <v/>
      </c>
      <c r="F2913" s="80" t="n"/>
      <c r="G2913" s="81" t="n"/>
      <c r="H2913" s="78" t="n"/>
      <c r="I2913" s="78" t="n"/>
      <c r="J2913" s="78" t="n"/>
    </row>
    <row r="2914">
      <c r="A2914" s="84">
        <f>ROW()-6</f>
        <v/>
      </c>
      <c r="B2914" s="85">
        <f>+MATCH(D2914,ARTICULOS!$F$10:$F$699,0)</f>
        <v/>
      </c>
      <c r="C2914" s="86">
        <f>+VLOOKUP(B2914,ARTICULOS!$D$10:$I$699,6)</f>
        <v/>
      </c>
      <c r="D2914" s="212" t="n"/>
      <c r="E2914" s="75">
        <f>+C2914&amp;F2914</f>
        <v/>
      </c>
      <c r="F2914" s="80" t="n"/>
      <c r="G2914" s="81" t="n"/>
      <c r="H2914" s="78" t="n"/>
      <c r="I2914" s="78" t="n"/>
      <c r="J2914" s="78" t="n"/>
    </row>
    <row r="2915">
      <c r="A2915" s="84">
        <f>ROW()-6</f>
        <v/>
      </c>
      <c r="B2915" s="85">
        <f>+MATCH(D2915,ARTICULOS!$F$10:$F$699,0)</f>
        <v/>
      </c>
      <c r="C2915" s="86">
        <f>+VLOOKUP(B2915,ARTICULOS!$D$10:$I$699,6)</f>
        <v/>
      </c>
      <c r="D2915" s="212" t="n"/>
      <c r="E2915" s="75">
        <f>+C2915&amp;F2915</f>
        <v/>
      </c>
      <c r="F2915" s="80" t="n"/>
      <c r="G2915" s="81" t="n"/>
      <c r="H2915" s="78" t="n"/>
      <c r="I2915" s="78" t="n"/>
      <c r="J2915" s="78" t="n"/>
    </row>
    <row r="2916">
      <c r="A2916" s="84">
        <f>ROW()-6</f>
        <v/>
      </c>
      <c r="B2916" s="85">
        <f>+MATCH(D2916,ARTICULOS!$F$10:$F$699,0)</f>
        <v/>
      </c>
      <c r="C2916" s="86">
        <f>+VLOOKUP(B2916,ARTICULOS!$D$10:$I$699,6)</f>
        <v/>
      </c>
      <c r="D2916" s="212" t="n"/>
      <c r="E2916" s="75">
        <f>+C2916&amp;F2916</f>
        <v/>
      </c>
      <c r="F2916" s="80" t="n"/>
      <c r="G2916" s="81" t="n"/>
      <c r="H2916" s="78" t="n"/>
      <c r="I2916" s="78" t="n"/>
      <c r="J2916" s="78" t="n"/>
    </row>
    <row r="2917">
      <c r="A2917" s="84">
        <f>ROW()-6</f>
        <v/>
      </c>
      <c r="B2917" s="85">
        <f>+MATCH(D2917,ARTICULOS!$F$10:$F$699,0)</f>
        <v/>
      </c>
      <c r="C2917" s="86">
        <f>+VLOOKUP(B2917,ARTICULOS!$D$10:$I$699,6)</f>
        <v/>
      </c>
      <c r="D2917" s="212" t="n"/>
      <c r="E2917" s="75">
        <f>+C2917&amp;F2917</f>
        <v/>
      </c>
      <c r="F2917" s="80" t="n"/>
      <c r="G2917" s="81" t="n"/>
      <c r="H2917" s="78" t="n"/>
      <c r="I2917" s="78" t="n"/>
      <c r="J2917" s="78" t="n"/>
    </row>
    <row r="2918">
      <c r="A2918" s="84">
        <f>ROW()-6</f>
        <v/>
      </c>
      <c r="B2918" s="85">
        <f>+MATCH(D2918,ARTICULOS!$F$10:$F$699,0)</f>
        <v/>
      </c>
      <c r="C2918" s="86">
        <f>+VLOOKUP(B2918,ARTICULOS!$D$10:$I$699,6)</f>
        <v/>
      </c>
      <c r="D2918" s="212" t="n"/>
      <c r="E2918" s="75">
        <f>+C2918&amp;F2918</f>
        <v/>
      </c>
      <c r="F2918" s="80" t="n"/>
      <c r="G2918" s="81" t="n"/>
      <c r="H2918" s="78" t="n"/>
      <c r="I2918" s="78" t="n"/>
      <c r="J2918" s="78" t="n"/>
    </row>
    <row r="2919">
      <c r="A2919" s="84">
        <f>ROW()-6</f>
        <v/>
      </c>
      <c r="B2919" s="85">
        <f>+MATCH(D2919,ARTICULOS!$F$10:$F$699,0)</f>
        <v/>
      </c>
      <c r="C2919" s="86">
        <f>+VLOOKUP(B2919,ARTICULOS!$D$10:$I$699,6)</f>
        <v/>
      </c>
      <c r="D2919" s="212" t="n"/>
      <c r="E2919" s="75">
        <f>+C2919&amp;F2919</f>
        <v/>
      </c>
      <c r="F2919" s="80" t="n"/>
      <c r="G2919" s="81" t="n"/>
      <c r="H2919" s="78" t="n"/>
      <c r="I2919" s="78" t="n"/>
      <c r="J2919" s="78" t="n"/>
    </row>
    <row r="2920">
      <c r="A2920" s="84">
        <f>ROW()-6</f>
        <v/>
      </c>
      <c r="B2920" s="85">
        <f>+MATCH(D2920,ARTICULOS!$F$10:$F$699,0)</f>
        <v/>
      </c>
      <c r="C2920" s="86">
        <f>+VLOOKUP(B2920,ARTICULOS!$D$10:$I$699,6)</f>
        <v/>
      </c>
      <c r="D2920" s="212" t="n"/>
      <c r="E2920" s="75">
        <f>+C2920&amp;F2920</f>
        <v/>
      </c>
      <c r="F2920" s="80" t="n"/>
      <c r="G2920" s="81" t="n"/>
      <c r="H2920" s="78" t="n"/>
      <c r="I2920" s="78" t="n"/>
      <c r="J2920" s="78" t="n"/>
    </row>
    <row r="2921">
      <c r="A2921" s="84">
        <f>ROW()-6</f>
        <v/>
      </c>
      <c r="B2921" s="85">
        <f>+MATCH(D2921,ARTICULOS!$F$10:$F$699,0)</f>
        <v/>
      </c>
      <c r="C2921" s="86">
        <f>+VLOOKUP(B2921,ARTICULOS!$D$10:$I$699,6)</f>
        <v/>
      </c>
      <c r="D2921" s="212" t="n"/>
      <c r="E2921" s="75">
        <f>+C2921&amp;F2921</f>
        <v/>
      </c>
      <c r="F2921" s="80" t="n"/>
      <c r="G2921" s="81" t="n"/>
      <c r="H2921" s="78" t="n"/>
      <c r="I2921" s="78" t="n"/>
      <c r="J2921" s="78" t="n"/>
    </row>
    <row r="2922">
      <c r="A2922" s="84">
        <f>ROW()-6</f>
        <v/>
      </c>
      <c r="B2922" s="85">
        <f>+MATCH(D2922,ARTICULOS!$F$10:$F$699,0)</f>
        <v/>
      </c>
      <c r="C2922" s="86">
        <f>+VLOOKUP(B2922,ARTICULOS!$D$10:$I$699,6)</f>
        <v/>
      </c>
      <c r="D2922" s="212" t="n"/>
      <c r="E2922" s="75">
        <f>+C2922&amp;F2922</f>
        <v/>
      </c>
      <c r="F2922" s="80" t="n"/>
      <c r="G2922" s="81" t="n"/>
      <c r="H2922" s="78" t="n"/>
      <c r="I2922" s="78" t="n"/>
      <c r="J2922" s="78" t="n"/>
    </row>
    <row r="2923">
      <c r="A2923" s="84">
        <f>ROW()-6</f>
        <v/>
      </c>
      <c r="B2923" s="85">
        <f>+MATCH(D2923,ARTICULOS!$F$10:$F$699,0)</f>
        <v/>
      </c>
      <c r="C2923" s="86">
        <f>+VLOOKUP(B2923,ARTICULOS!$D$10:$I$699,6)</f>
        <v/>
      </c>
      <c r="D2923" s="212" t="n"/>
      <c r="E2923" s="75">
        <f>+C2923&amp;F2923</f>
        <v/>
      </c>
      <c r="F2923" s="80" t="n"/>
      <c r="G2923" s="81" t="n"/>
      <c r="H2923" s="78" t="n"/>
      <c r="I2923" s="78" t="n"/>
      <c r="J2923" s="78" t="n"/>
    </row>
    <row r="2924">
      <c r="A2924" s="84">
        <f>ROW()-6</f>
        <v/>
      </c>
      <c r="B2924" s="85">
        <f>+MATCH(D2924,ARTICULOS!$F$10:$F$699,0)</f>
        <v/>
      </c>
      <c r="C2924" s="86">
        <f>+VLOOKUP(B2924,ARTICULOS!$D$10:$I$699,6)</f>
        <v/>
      </c>
      <c r="D2924" s="212" t="n"/>
      <c r="E2924" s="75">
        <f>+C2924&amp;F2924</f>
        <v/>
      </c>
      <c r="F2924" s="80" t="n"/>
      <c r="G2924" s="81" t="n"/>
      <c r="H2924" s="78" t="n"/>
      <c r="I2924" s="78" t="n"/>
      <c r="J2924" s="78" t="n"/>
    </row>
    <row r="2925">
      <c r="A2925" s="84">
        <f>ROW()-6</f>
        <v/>
      </c>
      <c r="B2925" s="85">
        <f>+MATCH(D2925,ARTICULOS!$F$10:$F$699,0)</f>
        <v/>
      </c>
      <c r="C2925" s="86">
        <f>+VLOOKUP(B2925,ARTICULOS!$D$10:$I$699,6)</f>
        <v/>
      </c>
      <c r="D2925" s="212" t="n"/>
      <c r="E2925" s="75">
        <f>+C2925&amp;F2925</f>
        <v/>
      </c>
      <c r="F2925" s="80" t="n"/>
      <c r="G2925" s="81" t="n"/>
      <c r="H2925" s="78" t="n"/>
      <c r="I2925" s="78" t="n"/>
      <c r="J2925" s="78" t="n"/>
    </row>
    <row r="2926">
      <c r="A2926" s="84">
        <f>ROW()-6</f>
        <v/>
      </c>
      <c r="B2926" s="85">
        <f>+MATCH(D2926,ARTICULOS!$F$10:$F$699,0)</f>
        <v/>
      </c>
      <c r="C2926" s="86">
        <f>+VLOOKUP(B2926,ARTICULOS!$D$10:$I$699,6)</f>
        <v/>
      </c>
      <c r="D2926" s="212" t="n"/>
      <c r="E2926" s="75">
        <f>+C2926&amp;F2926</f>
        <v/>
      </c>
      <c r="F2926" s="80" t="n"/>
      <c r="G2926" s="81" t="n"/>
      <c r="H2926" s="78" t="n"/>
      <c r="I2926" s="78" t="n"/>
      <c r="J2926" s="78" t="n"/>
    </row>
    <row r="2927">
      <c r="A2927" s="84">
        <f>ROW()-6</f>
        <v/>
      </c>
      <c r="B2927" s="85">
        <f>+MATCH(D2927,ARTICULOS!$F$10:$F$699,0)</f>
        <v/>
      </c>
      <c r="C2927" s="86">
        <f>+VLOOKUP(B2927,ARTICULOS!$D$10:$I$699,6)</f>
        <v/>
      </c>
      <c r="D2927" s="212" t="n"/>
      <c r="E2927" s="75">
        <f>+C2927&amp;F2927</f>
        <v/>
      </c>
      <c r="F2927" s="80" t="n"/>
      <c r="G2927" s="81" t="n"/>
      <c r="H2927" s="78" t="n"/>
      <c r="I2927" s="78" t="n"/>
      <c r="J2927" s="78" t="n"/>
    </row>
    <row r="2928">
      <c r="A2928" s="84">
        <f>ROW()-6</f>
        <v/>
      </c>
      <c r="B2928" s="85">
        <f>+MATCH(D2928,ARTICULOS!$F$10:$F$699,0)</f>
        <v/>
      </c>
      <c r="C2928" s="86">
        <f>+VLOOKUP(B2928,ARTICULOS!$D$10:$I$699,6)</f>
        <v/>
      </c>
      <c r="D2928" s="212" t="n"/>
      <c r="E2928" s="75">
        <f>+C2928&amp;F2928</f>
        <v/>
      </c>
      <c r="F2928" s="80" t="n"/>
      <c r="G2928" s="81" t="n"/>
      <c r="H2928" s="78" t="n"/>
      <c r="I2928" s="78" t="n"/>
      <c r="J2928" s="78" t="n"/>
    </row>
    <row r="2929">
      <c r="A2929" s="84">
        <f>ROW()-6</f>
        <v/>
      </c>
      <c r="B2929" s="85">
        <f>+MATCH(D2929,ARTICULOS!$F$10:$F$699,0)</f>
        <v/>
      </c>
      <c r="C2929" s="86">
        <f>+VLOOKUP(B2929,ARTICULOS!$D$10:$I$699,6)</f>
        <v/>
      </c>
      <c r="D2929" s="212" t="n"/>
      <c r="E2929" s="75">
        <f>+C2929&amp;F2929</f>
        <v/>
      </c>
      <c r="F2929" s="80" t="n"/>
      <c r="G2929" s="81" t="n"/>
      <c r="H2929" s="78" t="n"/>
      <c r="I2929" s="78" t="n"/>
      <c r="J2929" s="78" t="n"/>
    </row>
    <row r="2930">
      <c r="A2930" s="84">
        <f>ROW()-6</f>
        <v/>
      </c>
      <c r="B2930" s="85">
        <f>+MATCH(D2930,ARTICULOS!$F$10:$F$699,0)</f>
        <v/>
      </c>
      <c r="C2930" s="86">
        <f>+VLOOKUP(B2930,ARTICULOS!$D$10:$I$699,6)</f>
        <v/>
      </c>
      <c r="D2930" s="212" t="n"/>
      <c r="E2930" s="75">
        <f>+C2930&amp;F2930</f>
        <v/>
      </c>
      <c r="F2930" s="80" t="n"/>
      <c r="G2930" s="81" t="n"/>
      <c r="H2930" s="78" t="n"/>
      <c r="I2930" s="78" t="n"/>
      <c r="J2930" s="78" t="n"/>
    </row>
    <row r="2931">
      <c r="A2931" s="84">
        <f>ROW()-6</f>
        <v/>
      </c>
      <c r="B2931" s="85">
        <f>+MATCH(D2931,ARTICULOS!$F$10:$F$699,0)</f>
        <v/>
      </c>
      <c r="C2931" s="86">
        <f>+VLOOKUP(B2931,ARTICULOS!$D$10:$I$699,6)</f>
        <v/>
      </c>
      <c r="D2931" s="212" t="n"/>
      <c r="E2931" s="75">
        <f>+C2931&amp;F2931</f>
        <v/>
      </c>
      <c r="F2931" s="80" t="n"/>
      <c r="G2931" s="81" t="n"/>
      <c r="H2931" s="78" t="n"/>
      <c r="I2931" s="78" t="n"/>
      <c r="J2931" s="78" t="n"/>
    </row>
    <row r="2932">
      <c r="A2932" s="84">
        <f>ROW()-6</f>
        <v/>
      </c>
      <c r="B2932" s="85">
        <f>+MATCH(D2932,ARTICULOS!$F$10:$F$699,0)</f>
        <v/>
      </c>
      <c r="C2932" s="86">
        <f>+VLOOKUP(B2932,ARTICULOS!$D$10:$I$699,6)</f>
        <v/>
      </c>
      <c r="D2932" s="212" t="n"/>
      <c r="E2932" s="75">
        <f>+C2932&amp;F2932</f>
        <v/>
      </c>
      <c r="F2932" s="80" t="n"/>
      <c r="G2932" s="81" t="n"/>
      <c r="H2932" s="78" t="n"/>
      <c r="I2932" s="78" t="n"/>
      <c r="J2932" s="78" t="n"/>
    </row>
    <row r="2933">
      <c r="A2933" s="84">
        <f>ROW()-6</f>
        <v/>
      </c>
      <c r="B2933" s="85">
        <f>+MATCH(D2933,ARTICULOS!$F$10:$F$699,0)</f>
        <v/>
      </c>
      <c r="C2933" s="86">
        <f>+VLOOKUP(B2933,ARTICULOS!$D$10:$I$699,6)</f>
        <v/>
      </c>
      <c r="D2933" s="212" t="n"/>
      <c r="E2933" s="75">
        <f>+C2933&amp;F2933</f>
        <v/>
      </c>
      <c r="F2933" s="80" t="n"/>
      <c r="G2933" s="81" t="n"/>
      <c r="H2933" s="78" t="n"/>
      <c r="I2933" s="78" t="n"/>
      <c r="J2933" s="78" t="n"/>
    </row>
    <row r="2934">
      <c r="A2934" s="84">
        <f>ROW()-6</f>
        <v/>
      </c>
      <c r="B2934" s="85">
        <f>+MATCH(D2934,ARTICULOS!$F$10:$F$699,0)</f>
        <v/>
      </c>
      <c r="C2934" s="86">
        <f>+VLOOKUP(B2934,ARTICULOS!$D$10:$I$699,6)</f>
        <v/>
      </c>
      <c r="D2934" s="212" t="n"/>
      <c r="E2934" s="75">
        <f>+C2934&amp;F2934</f>
        <v/>
      </c>
      <c r="F2934" s="80" t="n"/>
      <c r="G2934" s="81" t="n"/>
      <c r="H2934" s="78" t="n"/>
      <c r="I2934" s="78" t="n"/>
      <c r="J2934" s="78" t="n"/>
    </row>
    <row r="2935">
      <c r="A2935" s="84">
        <f>ROW()-6</f>
        <v/>
      </c>
      <c r="B2935" s="85">
        <f>+MATCH(D2935,ARTICULOS!$F$10:$F$699,0)</f>
        <v/>
      </c>
      <c r="C2935" s="86">
        <f>+VLOOKUP(B2935,ARTICULOS!$D$10:$I$699,6)</f>
        <v/>
      </c>
      <c r="D2935" s="212" t="n"/>
      <c r="E2935" s="75">
        <f>+C2935&amp;F2935</f>
        <v/>
      </c>
      <c r="F2935" s="80" t="n"/>
      <c r="G2935" s="81" t="n"/>
      <c r="H2935" s="78" t="n"/>
      <c r="I2935" s="78" t="n"/>
      <c r="J2935" s="78" t="n"/>
    </row>
    <row r="2936">
      <c r="A2936" s="84">
        <f>ROW()-6</f>
        <v/>
      </c>
      <c r="B2936" s="85">
        <f>+MATCH(D2936,ARTICULOS!$F$10:$F$699,0)</f>
        <v/>
      </c>
      <c r="C2936" s="86">
        <f>+VLOOKUP(B2936,ARTICULOS!$D$10:$I$699,6)</f>
        <v/>
      </c>
      <c r="D2936" s="212" t="n"/>
      <c r="E2936" s="75">
        <f>+C2936&amp;F2936</f>
        <v/>
      </c>
      <c r="F2936" s="80" t="n"/>
      <c r="G2936" s="81" t="n"/>
      <c r="H2936" s="78" t="n"/>
      <c r="I2936" s="78" t="n"/>
      <c r="J2936" s="78" t="n"/>
    </row>
    <row r="2937">
      <c r="A2937" s="84">
        <f>ROW()-6</f>
        <v/>
      </c>
      <c r="B2937" s="85">
        <f>+MATCH(D2937,ARTICULOS!$F$10:$F$699,0)</f>
        <v/>
      </c>
      <c r="C2937" s="86">
        <f>+VLOOKUP(B2937,ARTICULOS!$D$10:$I$699,6)</f>
        <v/>
      </c>
      <c r="D2937" s="212" t="n"/>
      <c r="E2937" s="75">
        <f>+C2937&amp;F2937</f>
        <v/>
      </c>
      <c r="F2937" s="80" t="n"/>
      <c r="G2937" s="81" t="n"/>
      <c r="H2937" s="78" t="n"/>
      <c r="I2937" s="78" t="n"/>
      <c r="J2937" s="78" t="n"/>
    </row>
    <row r="2938">
      <c r="A2938" s="84">
        <f>ROW()-6</f>
        <v/>
      </c>
      <c r="B2938" s="85">
        <f>+MATCH(D2938,ARTICULOS!$F$10:$F$699,0)</f>
        <v/>
      </c>
      <c r="C2938" s="86">
        <f>+VLOOKUP(B2938,ARTICULOS!$D$10:$I$699,6)</f>
        <v/>
      </c>
      <c r="D2938" s="212" t="n"/>
      <c r="E2938" s="75">
        <f>+C2938&amp;F2938</f>
        <v/>
      </c>
      <c r="F2938" s="80" t="n"/>
      <c r="G2938" s="81" t="n"/>
      <c r="H2938" s="78" t="n"/>
      <c r="I2938" s="78" t="n"/>
      <c r="J2938" s="78" t="n"/>
    </row>
    <row r="2939">
      <c r="A2939" s="84">
        <f>ROW()-6</f>
        <v/>
      </c>
      <c r="B2939" s="85">
        <f>+MATCH(D2939,ARTICULOS!$F$10:$F$699,0)</f>
        <v/>
      </c>
      <c r="C2939" s="86">
        <f>+VLOOKUP(B2939,ARTICULOS!$D$10:$I$699,6)</f>
        <v/>
      </c>
      <c r="D2939" s="212" t="n"/>
      <c r="E2939" s="75">
        <f>+C2939&amp;F2939</f>
        <v/>
      </c>
      <c r="F2939" s="80" t="n"/>
      <c r="G2939" s="81" t="n"/>
      <c r="H2939" s="78" t="n"/>
      <c r="I2939" s="78" t="n"/>
      <c r="J2939" s="78" t="n"/>
    </row>
    <row r="2940">
      <c r="A2940" s="84">
        <f>ROW()-6</f>
        <v/>
      </c>
      <c r="B2940" s="85">
        <f>+MATCH(D2940,ARTICULOS!$F$10:$F$699,0)</f>
        <v/>
      </c>
      <c r="C2940" s="86">
        <f>+VLOOKUP(B2940,ARTICULOS!$D$10:$I$699,6)</f>
        <v/>
      </c>
      <c r="D2940" s="212" t="n"/>
      <c r="E2940" s="75">
        <f>+C2940&amp;F2940</f>
        <v/>
      </c>
      <c r="F2940" s="80" t="n"/>
      <c r="G2940" s="81" t="n"/>
      <c r="H2940" s="78" t="n"/>
      <c r="I2940" s="78" t="n"/>
      <c r="J2940" s="78" t="n"/>
    </row>
    <row r="2941">
      <c r="A2941" s="84">
        <f>ROW()-6</f>
        <v/>
      </c>
      <c r="B2941" s="85">
        <f>+MATCH(D2941,ARTICULOS!$F$10:$F$699,0)</f>
        <v/>
      </c>
      <c r="C2941" s="86">
        <f>+VLOOKUP(B2941,ARTICULOS!$D$10:$I$699,6)</f>
        <v/>
      </c>
      <c r="D2941" s="212" t="n"/>
      <c r="E2941" s="75">
        <f>+C2941&amp;F2941</f>
        <v/>
      </c>
      <c r="F2941" s="80" t="n"/>
      <c r="G2941" s="81" t="n"/>
      <c r="H2941" s="78" t="n"/>
      <c r="I2941" s="78" t="n"/>
      <c r="J2941" s="78" t="n"/>
    </row>
    <row r="2942">
      <c r="A2942" s="84">
        <f>ROW()-6</f>
        <v/>
      </c>
      <c r="B2942" s="85">
        <f>+MATCH(D2942,ARTICULOS!$F$10:$F$699,0)</f>
        <v/>
      </c>
      <c r="C2942" s="86">
        <f>+VLOOKUP(B2942,ARTICULOS!$D$10:$I$699,6)</f>
        <v/>
      </c>
      <c r="D2942" s="212" t="n"/>
      <c r="E2942" s="75">
        <f>+C2942&amp;F2942</f>
        <v/>
      </c>
      <c r="F2942" s="80" t="n"/>
      <c r="G2942" s="81" t="n"/>
      <c r="H2942" s="78" t="n"/>
      <c r="I2942" s="78" t="n"/>
      <c r="J2942" s="78" t="n"/>
    </row>
    <row r="2943">
      <c r="A2943" s="84">
        <f>ROW()-6</f>
        <v/>
      </c>
      <c r="B2943" s="85">
        <f>+MATCH(D2943,ARTICULOS!$F$10:$F$699,0)</f>
        <v/>
      </c>
      <c r="C2943" s="86">
        <f>+VLOOKUP(B2943,ARTICULOS!$D$10:$I$699,6)</f>
        <v/>
      </c>
      <c r="D2943" s="212" t="n"/>
      <c r="E2943" s="75">
        <f>+C2943&amp;F2943</f>
        <v/>
      </c>
      <c r="F2943" s="80" t="n"/>
      <c r="G2943" s="81" t="n"/>
      <c r="H2943" s="78" t="n"/>
      <c r="I2943" s="78" t="n"/>
      <c r="J2943" s="78" t="n"/>
    </row>
    <row r="2944">
      <c r="A2944" s="84">
        <f>ROW()-6</f>
        <v/>
      </c>
      <c r="B2944" s="85">
        <f>+MATCH(D2944,ARTICULOS!$F$10:$F$699,0)</f>
        <v/>
      </c>
      <c r="C2944" s="86">
        <f>+VLOOKUP(B2944,ARTICULOS!$D$10:$I$699,6)</f>
        <v/>
      </c>
      <c r="D2944" s="212" t="n"/>
      <c r="E2944" s="75">
        <f>+C2944&amp;F2944</f>
        <v/>
      </c>
      <c r="F2944" s="80" t="n"/>
      <c r="G2944" s="81" t="n"/>
      <c r="H2944" s="78" t="n"/>
      <c r="I2944" s="78" t="n"/>
      <c r="J2944" s="78" t="n"/>
    </row>
    <row r="2945">
      <c r="A2945" s="84">
        <f>ROW()-6</f>
        <v/>
      </c>
      <c r="B2945" s="85">
        <f>+MATCH(D2945,ARTICULOS!$F$10:$F$699,0)</f>
        <v/>
      </c>
      <c r="C2945" s="86">
        <f>+VLOOKUP(B2945,ARTICULOS!$D$10:$I$699,6)</f>
        <v/>
      </c>
      <c r="D2945" s="212" t="n"/>
      <c r="E2945" s="75">
        <f>+C2945&amp;F2945</f>
        <v/>
      </c>
      <c r="F2945" s="80" t="n"/>
      <c r="G2945" s="81" t="n"/>
      <c r="H2945" s="78" t="n"/>
      <c r="I2945" s="78" t="n"/>
      <c r="J2945" s="78" t="n"/>
    </row>
    <row r="2946">
      <c r="A2946" s="84">
        <f>ROW()-6</f>
        <v/>
      </c>
      <c r="B2946" s="85">
        <f>+MATCH(D2946,ARTICULOS!$F$10:$F$699,0)</f>
        <v/>
      </c>
      <c r="C2946" s="86">
        <f>+VLOOKUP(B2946,ARTICULOS!$D$10:$I$699,6)</f>
        <v/>
      </c>
      <c r="D2946" s="212" t="n"/>
      <c r="E2946" s="75">
        <f>+C2946&amp;F2946</f>
        <v/>
      </c>
      <c r="F2946" s="80" t="n"/>
      <c r="G2946" s="81" t="n"/>
      <c r="H2946" s="78" t="n"/>
      <c r="I2946" s="78" t="n"/>
      <c r="J2946" s="78" t="n"/>
    </row>
    <row r="2947">
      <c r="A2947" s="84">
        <f>ROW()-6</f>
        <v/>
      </c>
      <c r="B2947" s="85">
        <f>+MATCH(D2947,ARTICULOS!$F$10:$F$699,0)</f>
        <v/>
      </c>
      <c r="C2947" s="86">
        <f>+VLOOKUP(B2947,ARTICULOS!$D$10:$I$699,6)</f>
        <v/>
      </c>
      <c r="D2947" s="212" t="n"/>
      <c r="E2947" s="75">
        <f>+C2947&amp;F2947</f>
        <v/>
      </c>
      <c r="F2947" s="80" t="n"/>
      <c r="G2947" s="81" t="n"/>
      <c r="H2947" s="78" t="n"/>
      <c r="I2947" s="78" t="n"/>
      <c r="J2947" s="78" t="n"/>
    </row>
    <row r="2948">
      <c r="A2948" s="84">
        <f>ROW()-6</f>
        <v/>
      </c>
      <c r="B2948" s="85">
        <f>+MATCH(D2948,ARTICULOS!$F$10:$F$699,0)</f>
        <v/>
      </c>
      <c r="C2948" s="86">
        <f>+VLOOKUP(B2948,ARTICULOS!$D$10:$I$699,6)</f>
        <v/>
      </c>
      <c r="D2948" s="212" t="n"/>
      <c r="E2948" s="75">
        <f>+C2948&amp;F2948</f>
        <v/>
      </c>
      <c r="F2948" s="80" t="n"/>
      <c r="G2948" s="81" t="n"/>
      <c r="H2948" s="78" t="n"/>
      <c r="I2948" s="78" t="n"/>
      <c r="J2948" s="78" t="n"/>
    </row>
    <row r="2949">
      <c r="A2949" s="84">
        <f>ROW()-6</f>
        <v/>
      </c>
      <c r="B2949" s="85">
        <f>+MATCH(D2949,ARTICULOS!$F$10:$F$699,0)</f>
        <v/>
      </c>
      <c r="C2949" s="86">
        <f>+VLOOKUP(B2949,ARTICULOS!$D$10:$I$699,6)</f>
        <v/>
      </c>
      <c r="D2949" s="212" t="n"/>
      <c r="E2949" s="75">
        <f>+C2949&amp;F2949</f>
        <v/>
      </c>
      <c r="F2949" s="80" t="n"/>
      <c r="G2949" s="81" t="n"/>
      <c r="H2949" s="78" t="n"/>
      <c r="I2949" s="78" t="n"/>
      <c r="J2949" s="78" t="n"/>
    </row>
    <row r="2950">
      <c r="A2950" s="84">
        <f>ROW()-6</f>
        <v/>
      </c>
      <c r="B2950" s="85">
        <f>+MATCH(D2950,ARTICULOS!$F$10:$F$699,0)</f>
        <v/>
      </c>
      <c r="C2950" s="86">
        <f>+VLOOKUP(B2950,ARTICULOS!$D$10:$I$699,6)</f>
        <v/>
      </c>
      <c r="D2950" s="212" t="n"/>
      <c r="E2950" s="75">
        <f>+C2950&amp;F2950</f>
        <v/>
      </c>
      <c r="F2950" s="80" t="n"/>
      <c r="G2950" s="81" t="n"/>
      <c r="H2950" s="78" t="n"/>
      <c r="I2950" s="78" t="n"/>
      <c r="J2950" s="78" t="n"/>
    </row>
    <row r="2951">
      <c r="A2951" s="84">
        <f>ROW()-6</f>
        <v/>
      </c>
      <c r="B2951" s="85">
        <f>+MATCH(D2951,ARTICULOS!$F$10:$F$699,0)</f>
        <v/>
      </c>
      <c r="C2951" s="86">
        <f>+VLOOKUP(B2951,ARTICULOS!$D$10:$I$699,6)</f>
        <v/>
      </c>
      <c r="D2951" s="212" t="n"/>
      <c r="E2951" s="75">
        <f>+C2951&amp;F2951</f>
        <v/>
      </c>
      <c r="F2951" s="80" t="n"/>
      <c r="G2951" s="81" t="n"/>
      <c r="H2951" s="78" t="n"/>
      <c r="I2951" s="78" t="n"/>
      <c r="J2951" s="78" t="n"/>
    </row>
    <row r="2952">
      <c r="A2952" s="84">
        <f>ROW()-6</f>
        <v/>
      </c>
      <c r="B2952" s="85">
        <f>+MATCH(D2952,ARTICULOS!$F$10:$F$699,0)</f>
        <v/>
      </c>
      <c r="C2952" s="86">
        <f>+VLOOKUP(B2952,ARTICULOS!$D$10:$I$699,6)</f>
        <v/>
      </c>
      <c r="D2952" s="212" t="n"/>
      <c r="E2952" s="75">
        <f>+C2952&amp;F2952</f>
        <v/>
      </c>
      <c r="F2952" s="80" t="n"/>
      <c r="G2952" s="81" t="n"/>
      <c r="H2952" s="78" t="n"/>
      <c r="I2952" s="78" t="n"/>
      <c r="J2952" s="78" t="n"/>
    </row>
    <row r="2953">
      <c r="A2953" s="84">
        <f>ROW()-6</f>
        <v/>
      </c>
      <c r="B2953" s="85">
        <f>+MATCH(D2953,ARTICULOS!$F$10:$F$699,0)</f>
        <v/>
      </c>
      <c r="C2953" s="86">
        <f>+VLOOKUP(B2953,ARTICULOS!$D$10:$I$699,6)</f>
        <v/>
      </c>
      <c r="D2953" s="212" t="n"/>
      <c r="E2953" s="75">
        <f>+C2953&amp;F2953</f>
        <v/>
      </c>
      <c r="F2953" s="80" t="n"/>
      <c r="G2953" s="81" t="n"/>
      <c r="H2953" s="78" t="n"/>
      <c r="I2953" s="78" t="n"/>
      <c r="J2953" s="78" t="n"/>
    </row>
    <row r="2954">
      <c r="A2954" s="84">
        <f>ROW()-6</f>
        <v/>
      </c>
      <c r="B2954" s="85">
        <f>+MATCH(D2954,ARTICULOS!$F$10:$F$699,0)</f>
        <v/>
      </c>
      <c r="C2954" s="86">
        <f>+VLOOKUP(B2954,ARTICULOS!$D$10:$I$699,6)</f>
        <v/>
      </c>
      <c r="D2954" s="212" t="n"/>
      <c r="E2954" s="75">
        <f>+C2954&amp;F2954</f>
        <v/>
      </c>
      <c r="F2954" s="80" t="n"/>
      <c r="G2954" s="81" t="n"/>
      <c r="H2954" s="78" t="n"/>
      <c r="I2954" s="78" t="n"/>
      <c r="J2954" s="78" t="n"/>
    </row>
    <row r="2955">
      <c r="A2955" s="84">
        <f>ROW()-6</f>
        <v/>
      </c>
      <c r="B2955" s="85">
        <f>+MATCH(D2955,ARTICULOS!$F$10:$F$699,0)</f>
        <v/>
      </c>
      <c r="C2955" s="86">
        <f>+VLOOKUP(B2955,ARTICULOS!$D$10:$I$699,6)</f>
        <v/>
      </c>
      <c r="D2955" s="212" t="n"/>
      <c r="E2955" s="75">
        <f>+C2955&amp;F2955</f>
        <v/>
      </c>
      <c r="F2955" s="80" t="n"/>
      <c r="G2955" s="81" t="n"/>
      <c r="H2955" s="78" t="n"/>
      <c r="I2955" s="78" t="n"/>
      <c r="J2955" s="78" t="n"/>
    </row>
    <row r="2956">
      <c r="A2956" s="84">
        <f>ROW()-6</f>
        <v/>
      </c>
      <c r="B2956" s="85">
        <f>+MATCH(D2956,ARTICULOS!$F$10:$F$699,0)</f>
        <v/>
      </c>
      <c r="C2956" s="86">
        <f>+VLOOKUP(B2956,ARTICULOS!$D$10:$I$699,6)</f>
        <v/>
      </c>
      <c r="D2956" s="212" t="n"/>
      <c r="E2956" s="75">
        <f>+C2956&amp;F2956</f>
        <v/>
      </c>
      <c r="F2956" s="80" t="n"/>
      <c r="G2956" s="81" t="n"/>
      <c r="H2956" s="78" t="n"/>
      <c r="I2956" s="78" t="n"/>
      <c r="J2956" s="78" t="n"/>
    </row>
    <row r="2957">
      <c r="A2957" s="84">
        <f>ROW()-6</f>
        <v/>
      </c>
      <c r="B2957" s="85">
        <f>+MATCH(D2957,ARTICULOS!$F$10:$F$699,0)</f>
        <v/>
      </c>
      <c r="C2957" s="86">
        <f>+VLOOKUP(B2957,ARTICULOS!$D$10:$I$699,6)</f>
        <v/>
      </c>
      <c r="D2957" s="212" t="n"/>
      <c r="E2957" s="75">
        <f>+C2957&amp;F2957</f>
        <v/>
      </c>
      <c r="F2957" s="80" t="n"/>
      <c r="G2957" s="81" t="n"/>
      <c r="H2957" s="78" t="n"/>
      <c r="I2957" s="78" t="n"/>
      <c r="J2957" s="78" t="n"/>
    </row>
    <row r="2958">
      <c r="A2958" s="84">
        <f>ROW()-6</f>
        <v/>
      </c>
      <c r="B2958" s="85">
        <f>+MATCH(D2958,ARTICULOS!$F$10:$F$699,0)</f>
        <v/>
      </c>
      <c r="C2958" s="86">
        <f>+VLOOKUP(B2958,ARTICULOS!$D$10:$I$699,6)</f>
        <v/>
      </c>
      <c r="D2958" s="212" t="n"/>
      <c r="E2958" s="75">
        <f>+C2958&amp;F2958</f>
        <v/>
      </c>
      <c r="F2958" s="80" t="n"/>
      <c r="G2958" s="81" t="n"/>
      <c r="H2958" s="78" t="n"/>
      <c r="I2958" s="78" t="n"/>
      <c r="J2958" s="78" t="n"/>
    </row>
    <row r="2959">
      <c r="A2959" s="84">
        <f>ROW()-6</f>
        <v/>
      </c>
      <c r="B2959" s="85">
        <f>+MATCH(D2959,ARTICULOS!$F$10:$F$699,0)</f>
        <v/>
      </c>
      <c r="C2959" s="86">
        <f>+VLOOKUP(B2959,ARTICULOS!$D$10:$I$699,6)</f>
        <v/>
      </c>
      <c r="D2959" s="212" t="n"/>
      <c r="E2959" s="75">
        <f>+C2959&amp;F2959</f>
        <v/>
      </c>
      <c r="F2959" s="80" t="n"/>
      <c r="G2959" s="81" t="n"/>
      <c r="H2959" s="78" t="n"/>
      <c r="I2959" s="78" t="n"/>
      <c r="J2959" s="78" t="n"/>
    </row>
    <row r="2960">
      <c r="A2960" s="84">
        <f>ROW()-6</f>
        <v/>
      </c>
      <c r="B2960" s="85">
        <f>+MATCH(D2960,ARTICULOS!$F$10:$F$699,0)</f>
        <v/>
      </c>
      <c r="C2960" s="86">
        <f>+VLOOKUP(B2960,ARTICULOS!$D$10:$I$699,6)</f>
        <v/>
      </c>
      <c r="D2960" s="212" t="n"/>
      <c r="E2960" s="75">
        <f>+C2960&amp;F2960</f>
        <v/>
      </c>
      <c r="F2960" s="80" t="n"/>
      <c r="G2960" s="81" t="n"/>
      <c r="H2960" s="78" t="n"/>
      <c r="I2960" s="78" t="n"/>
      <c r="J2960" s="78" t="n"/>
    </row>
    <row r="2961">
      <c r="A2961" s="84">
        <f>ROW()-6</f>
        <v/>
      </c>
      <c r="B2961" s="85">
        <f>+MATCH(D2961,ARTICULOS!$F$10:$F$699,0)</f>
        <v/>
      </c>
      <c r="C2961" s="86">
        <f>+VLOOKUP(B2961,ARTICULOS!$D$10:$I$699,6)</f>
        <v/>
      </c>
      <c r="D2961" s="212" t="n"/>
      <c r="E2961" s="75">
        <f>+C2961&amp;F2961</f>
        <v/>
      </c>
      <c r="F2961" s="80" t="n"/>
      <c r="G2961" s="81" t="n"/>
      <c r="H2961" s="78" t="n"/>
      <c r="I2961" s="78" t="n"/>
      <c r="J2961" s="78" t="n"/>
    </row>
    <row r="2962">
      <c r="A2962" s="84">
        <f>ROW()-6</f>
        <v/>
      </c>
      <c r="B2962" s="85">
        <f>+MATCH(D2962,ARTICULOS!$F$10:$F$699,0)</f>
        <v/>
      </c>
      <c r="C2962" s="86">
        <f>+VLOOKUP(B2962,ARTICULOS!$D$10:$I$699,6)</f>
        <v/>
      </c>
      <c r="D2962" s="212" t="n"/>
      <c r="E2962" s="75">
        <f>+C2962&amp;F2962</f>
        <v/>
      </c>
      <c r="F2962" s="80" t="n"/>
      <c r="G2962" s="81" t="n"/>
      <c r="H2962" s="78" t="n"/>
      <c r="I2962" s="78" t="n"/>
      <c r="J2962" s="78" t="n"/>
    </row>
    <row r="2963">
      <c r="A2963" s="84">
        <f>ROW()-6</f>
        <v/>
      </c>
      <c r="B2963" s="85">
        <f>+MATCH(D2963,ARTICULOS!$F$10:$F$699,0)</f>
        <v/>
      </c>
      <c r="C2963" s="86">
        <f>+VLOOKUP(B2963,ARTICULOS!$D$10:$I$699,6)</f>
        <v/>
      </c>
      <c r="D2963" s="212" t="n"/>
      <c r="E2963" s="75">
        <f>+C2963&amp;F2963</f>
        <v/>
      </c>
      <c r="F2963" s="80" t="n"/>
      <c r="G2963" s="81" t="n"/>
      <c r="H2963" s="78" t="n"/>
      <c r="I2963" s="78" t="n"/>
      <c r="J2963" s="78" t="n"/>
    </row>
    <row r="2964">
      <c r="A2964" s="84">
        <f>ROW()-6</f>
        <v/>
      </c>
      <c r="B2964" s="85">
        <f>+MATCH(D2964,ARTICULOS!$F$10:$F$699,0)</f>
        <v/>
      </c>
      <c r="C2964" s="86">
        <f>+VLOOKUP(B2964,ARTICULOS!$D$10:$I$699,6)</f>
        <v/>
      </c>
      <c r="D2964" s="212" t="n"/>
      <c r="E2964" s="75">
        <f>+C2964&amp;F2964</f>
        <v/>
      </c>
      <c r="F2964" s="80" t="n"/>
      <c r="G2964" s="81" t="n"/>
      <c r="H2964" s="78" t="n"/>
      <c r="I2964" s="78" t="n"/>
      <c r="J2964" s="78" t="n"/>
    </row>
    <row r="2965">
      <c r="A2965" s="84">
        <f>ROW()-6</f>
        <v/>
      </c>
      <c r="B2965" s="85">
        <f>+MATCH(D2965,ARTICULOS!$F$10:$F$699,0)</f>
        <v/>
      </c>
      <c r="C2965" s="86">
        <f>+VLOOKUP(B2965,ARTICULOS!$D$10:$I$699,6)</f>
        <v/>
      </c>
      <c r="D2965" s="212" t="n"/>
      <c r="E2965" s="75">
        <f>+C2965&amp;F2965</f>
        <v/>
      </c>
      <c r="F2965" s="80" t="n"/>
      <c r="G2965" s="81" t="n"/>
      <c r="H2965" s="78" t="n"/>
      <c r="I2965" s="78" t="n"/>
      <c r="J2965" s="78" t="n"/>
    </row>
    <row r="2966">
      <c r="A2966" s="84">
        <f>ROW()-6</f>
        <v/>
      </c>
      <c r="B2966" s="85">
        <f>+MATCH(D2966,ARTICULOS!$F$10:$F$699,0)</f>
        <v/>
      </c>
      <c r="C2966" s="86">
        <f>+VLOOKUP(B2966,ARTICULOS!$D$10:$I$699,6)</f>
        <v/>
      </c>
      <c r="D2966" s="212" t="n"/>
      <c r="E2966" s="75">
        <f>+C2966&amp;F2966</f>
        <v/>
      </c>
      <c r="F2966" s="80" t="n"/>
      <c r="G2966" s="81" t="n"/>
      <c r="H2966" s="78" t="n"/>
      <c r="I2966" s="78" t="n"/>
      <c r="J2966" s="78" t="n"/>
    </row>
    <row r="2967">
      <c r="A2967" s="84">
        <f>ROW()-6</f>
        <v/>
      </c>
      <c r="B2967" s="85">
        <f>+MATCH(D2967,ARTICULOS!$F$10:$F$699,0)</f>
        <v/>
      </c>
      <c r="C2967" s="86">
        <f>+VLOOKUP(B2967,ARTICULOS!$D$10:$I$699,6)</f>
        <v/>
      </c>
      <c r="D2967" s="212" t="n"/>
      <c r="E2967" s="75">
        <f>+C2967&amp;F2967</f>
        <v/>
      </c>
      <c r="F2967" s="80" t="n"/>
      <c r="G2967" s="81" t="n"/>
      <c r="H2967" s="78" t="n"/>
      <c r="I2967" s="78" t="n"/>
      <c r="J2967" s="78" t="n"/>
    </row>
    <row r="2968">
      <c r="A2968" s="84">
        <f>ROW()-6</f>
        <v/>
      </c>
      <c r="B2968" s="85">
        <f>+MATCH(D2968,ARTICULOS!$F$10:$F$699,0)</f>
        <v/>
      </c>
      <c r="C2968" s="86">
        <f>+VLOOKUP(B2968,ARTICULOS!$D$10:$I$699,6)</f>
        <v/>
      </c>
      <c r="D2968" s="212" t="n"/>
      <c r="E2968" s="75">
        <f>+C2968&amp;F2968</f>
        <v/>
      </c>
      <c r="F2968" s="80" t="n"/>
      <c r="G2968" s="81" t="n"/>
      <c r="H2968" s="78" t="n"/>
      <c r="I2968" s="78" t="n"/>
      <c r="J2968" s="78" t="n"/>
    </row>
    <row r="2969">
      <c r="A2969" s="84">
        <f>ROW()-6</f>
        <v/>
      </c>
      <c r="B2969" s="85">
        <f>+MATCH(D2969,ARTICULOS!$F$10:$F$699,0)</f>
        <v/>
      </c>
      <c r="C2969" s="86">
        <f>+VLOOKUP(B2969,ARTICULOS!$D$10:$I$699,6)</f>
        <v/>
      </c>
      <c r="D2969" s="212" t="n"/>
      <c r="E2969" s="75">
        <f>+C2969&amp;F2969</f>
        <v/>
      </c>
      <c r="F2969" s="80" t="n"/>
      <c r="G2969" s="81" t="n"/>
      <c r="H2969" s="78" t="n"/>
      <c r="I2969" s="78" t="n"/>
      <c r="J2969" s="78" t="n"/>
    </row>
    <row r="2970">
      <c r="A2970" s="84">
        <f>ROW()-6</f>
        <v/>
      </c>
      <c r="B2970" s="85">
        <f>+MATCH(D2970,ARTICULOS!$F$10:$F$699,0)</f>
        <v/>
      </c>
      <c r="C2970" s="86">
        <f>+VLOOKUP(B2970,ARTICULOS!$D$10:$I$699,6)</f>
        <v/>
      </c>
      <c r="D2970" s="212" t="n"/>
      <c r="E2970" s="75">
        <f>+C2970&amp;F2970</f>
        <v/>
      </c>
      <c r="F2970" s="80" t="n"/>
      <c r="G2970" s="81" t="n"/>
      <c r="H2970" s="78" t="n"/>
      <c r="I2970" s="78" t="n"/>
      <c r="J2970" s="78" t="n"/>
    </row>
    <row r="2971">
      <c r="A2971" s="84">
        <f>ROW()-6</f>
        <v/>
      </c>
      <c r="B2971" s="85">
        <f>+MATCH(D2971,ARTICULOS!$F$10:$F$699,0)</f>
        <v/>
      </c>
      <c r="C2971" s="86">
        <f>+VLOOKUP(B2971,ARTICULOS!$D$10:$I$699,6)</f>
        <v/>
      </c>
      <c r="D2971" s="212" t="n"/>
      <c r="E2971" s="75">
        <f>+C2971&amp;F2971</f>
        <v/>
      </c>
      <c r="F2971" s="80" t="n"/>
      <c r="G2971" s="81" t="n"/>
      <c r="H2971" s="78" t="n"/>
      <c r="I2971" s="78" t="n"/>
      <c r="J2971" s="78" t="n"/>
    </row>
    <row r="2972">
      <c r="A2972" s="84">
        <f>ROW()-6</f>
        <v/>
      </c>
      <c r="B2972" s="85">
        <f>+MATCH(D2972,ARTICULOS!$F$10:$F$699,0)</f>
        <v/>
      </c>
      <c r="C2972" s="86">
        <f>+VLOOKUP(B2972,ARTICULOS!$D$10:$I$699,6)</f>
        <v/>
      </c>
      <c r="D2972" s="212" t="n"/>
      <c r="E2972" s="75">
        <f>+C2972&amp;F2972</f>
        <v/>
      </c>
      <c r="F2972" s="80" t="n"/>
      <c r="G2972" s="81" t="n"/>
      <c r="H2972" s="78" t="n"/>
      <c r="I2972" s="78" t="n"/>
      <c r="J2972" s="78" t="n"/>
    </row>
    <row r="2973">
      <c r="A2973" s="84">
        <f>ROW()-6</f>
        <v/>
      </c>
      <c r="B2973" s="85">
        <f>+MATCH(D2973,ARTICULOS!$F$10:$F$699,0)</f>
        <v/>
      </c>
      <c r="C2973" s="86">
        <f>+VLOOKUP(B2973,ARTICULOS!$D$10:$I$699,6)</f>
        <v/>
      </c>
      <c r="D2973" s="212" t="n"/>
      <c r="E2973" s="75">
        <f>+C2973&amp;F2973</f>
        <v/>
      </c>
      <c r="F2973" s="80" t="n"/>
      <c r="G2973" s="81" t="n"/>
      <c r="H2973" s="78" t="n"/>
      <c r="I2973" s="78" t="n"/>
      <c r="J2973" s="78" t="n"/>
    </row>
    <row r="2974">
      <c r="A2974" s="84">
        <f>ROW()-6</f>
        <v/>
      </c>
      <c r="B2974" s="85">
        <f>+MATCH(D2974,ARTICULOS!$F$10:$F$699,0)</f>
        <v/>
      </c>
      <c r="C2974" s="86">
        <f>+VLOOKUP(B2974,ARTICULOS!$D$10:$I$699,6)</f>
        <v/>
      </c>
      <c r="D2974" s="212" t="n"/>
      <c r="E2974" s="75">
        <f>+C2974&amp;F2974</f>
        <v/>
      </c>
      <c r="F2974" s="80" t="n"/>
      <c r="G2974" s="81" t="n"/>
      <c r="H2974" s="78" t="n"/>
      <c r="I2974" s="78" t="n"/>
      <c r="J2974" s="78" t="n"/>
    </row>
    <row r="2975">
      <c r="A2975" s="84">
        <f>ROW()-6</f>
        <v/>
      </c>
      <c r="B2975" s="85">
        <f>+MATCH(D2975,ARTICULOS!$F$10:$F$699,0)</f>
        <v/>
      </c>
      <c r="C2975" s="86">
        <f>+VLOOKUP(B2975,ARTICULOS!$D$10:$I$699,6)</f>
        <v/>
      </c>
      <c r="D2975" s="212" t="n"/>
      <c r="E2975" s="75">
        <f>+C2975&amp;F2975</f>
        <v/>
      </c>
      <c r="F2975" s="80" t="n"/>
      <c r="G2975" s="81" t="n"/>
      <c r="H2975" s="78" t="n"/>
      <c r="I2975" s="78" t="n"/>
      <c r="J2975" s="78" t="n"/>
    </row>
    <row r="2976">
      <c r="A2976" s="84">
        <f>ROW()-6</f>
        <v/>
      </c>
      <c r="B2976" s="85">
        <f>+MATCH(D2976,ARTICULOS!$F$10:$F$699,0)</f>
        <v/>
      </c>
      <c r="C2976" s="86">
        <f>+VLOOKUP(B2976,ARTICULOS!$D$10:$I$699,6)</f>
        <v/>
      </c>
      <c r="D2976" s="212" t="n"/>
      <c r="E2976" s="75">
        <f>+C2976&amp;F2976</f>
        <v/>
      </c>
      <c r="F2976" s="80" t="n"/>
      <c r="G2976" s="81" t="n"/>
      <c r="H2976" s="78" t="n"/>
      <c r="I2976" s="78" t="n"/>
      <c r="J2976" s="78" t="n"/>
    </row>
    <row r="2977">
      <c r="A2977" s="84">
        <f>ROW()-6</f>
        <v/>
      </c>
      <c r="B2977" s="85">
        <f>+MATCH(D2977,ARTICULOS!$F$10:$F$699,0)</f>
        <v/>
      </c>
      <c r="C2977" s="86">
        <f>+VLOOKUP(B2977,ARTICULOS!$D$10:$I$699,6)</f>
        <v/>
      </c>
      <c r="D2977" s="212" t="n"/>
      <c r="E2977" s="75">
        <f>+C2977&amp;F2977</f>
        <v/>
      </c>
      <c r="F2977" s="80" t="n"/>
      <c r="G2977" s="81" t="n"/>
      <c r="H2977" s="78" t="n"/>
      <c r="I2977" s="78" t="n"/>
      <c r="J2977" s="78" t="n"/>
    </row>
    <row r="2978">
      <c r="A2978" s="84">
        <f>ROW()-6</f>
        <v/>
      </c>
      <c r="B2978" s="85">
        <f>+MATCH(D2978,ARTICULOS!$F$10:$F$699,0)</f>
        <v/>
      </c>
      <c r="C2978" s="86">
        <f>+VLOOKUP(B2978,ARTICULOS!$D$10:$I$699,6)</f>
        <v/>
      </c>
      <c r="D2978" s="212" t="n"/>
      <c r="E2978" s="75">
        <f>+C2978&amp;F2978</f>
        <v/>
      </c>
      <c r="F2978" s="80" t="n"/>
      <c r="G2978" s="81" t="n"/>
      <c r="H2978" s="78" t="n"/>
      <c r="I2978" s="78" t="n"/>
      <c r="J2978" s="78" t="n"/>
    </row>
    <row r="2979">
      <c r="A2979" s="84">
        <f>ROW()-6</f>
        <v/>
      </c>
      <c r="B2979" s="85">
        <f>+MATCH(D2979,ARTICULOS!$F$10:$F$699,0)</f>
        <v/>
      </c>
      <c r="C2979" s="86">
        <f>+VLOOKUP(B2979,ARTICULOS!$D$10:$I$699,6)</f>
        <v/>
      </c>
      <c r="D2979" s="212" t="n"/>
      <c r="E2979" s="75">
        <f>+C2979&amp;F2979</f>
        <v/>
      </c>
      <c r="F2979" s="80" t="n"/>
      <c r="G2979" s="81" t="n"/>
      <c r="H2979" s="78" t="n"/>
      <c r="I2979" s="78" t="n"/>
      <c r="J2979" s="78" t="n"/>
    </row>
    <row r="2980">
      <c r="A2980" s="84">
        <f>ROW()-6</f>
        <v/>
      </c>
      <c r="B2980" s="85">
        <f>+MATCH(D2980,ARTICULOS!$F$10:$F$699,0)</f>
        <v/>
      </c>
      <c r="C2980" s="86">
        <f>+VLOOKUP(B2980,ARTICULOS!$D$10:$I$699,6)</f>
        <v/>
      </c>
      <c r="D2980" s="212" t="n"/>
      <c r="E2980" s="75">
        <f>+C2980&amp;F2980</f>
        <v/>
      </c>
      <c r="F2980" s="80" t="n"/>
      <c r="G2980" s="81" t="n"/>
      <c r="H2980" s="78" t="n"/>
      <c r="I2980" s="78" t="n"/>
      <c r="J2980" s="78" t="n"/>
    </row>
    <row r="2981">
      <c r="A2981" s="84">
        <f>ROW()-6</f>
        <v/>
      </c>
      <c r="B2981" s="85">
        <f>+MATCH(D2981,ARTICULOS!$F$10:$F$699,0)</f>
        <v/>
      </c>
      <c r="C2981" s="86">
        <f>+VLOOKUP(B2981,ARTICULOS!$D$10:$I$699,6)</f>
        <v/>
      </c>
      <c r="D2981" s="212" t="n"/>
      <c r="E2981" s="75">
        <f>+C2981&amp;F2981</f>
        <v/>
      </c>
      <c r="F2981" s="80" t="n"/>
      <c r="G2981" s="81" t="n"/>
      <c r="H2981" s="78" t="n"/>
      <c r="I2981" s="78" t="n"/>
      <c r="J2981" s="78" t="n"/>
    </row>
    <row r="2982">
      <c r="A2982" s="84">
        <f>ROW()-6</f>
        <v/>
      </c>
      <c r="B2982" s="85">
        <f>+MATCH(D2982,ARTICULOS!$F$10:$F$699,0)</f>
        <v/>
      </c>
      <c r="C2982" s="86">
        <f>+VLOOKUP(B2982,ARTICULOS!$D$10:$I$699,6)</f>
        <v/>
      </c>
      <c r="D2982" s="212" t="n"/>
      <c r="E2982" s="75">
        <f>+C2982&amp;F2982</f>
        <v/>
      </c>
      <c r="F2982" s="80" t="n"/>
      <c r="G2982" s="81" t="n"/>
      <c r="H2982" s="78" t="n"/>
      <c r="I2982" s="78" t="n"/>
      <c r="J2982" s="78" t="n"/>
    </row>
    <row r="2983">
      <c r="A2983" s="84">
        <f>ROW()-6</f>
        <v/>
      </c>
      <c r="B2983" s="85">
        <f>+MATCH(D2983,ARTICULOS!$F$10:$F$699,0)</f>
        <v/>
      </c>
      <c r="C2983" s="86">
        <f>+VLOOKUP(B2983,ARTICULOS!$D$10:$I$699,6)</f>
        <v/>
      </c>
      <c r="D2983" s="212" t="n"/>
      <c r="E2983" s="75">
        <f>+C2983&amp;F2983</f>
        <v/>
      </c>
      <c r="F2983" s="80" t="n"/>
      <c r="G2983" s="81" t="n"/>
      <c r="H2983" s="78" t="n"/>
      <c r="I2983" s="78" t="n"/>
      <c r="J2983" s="78" t="n"/>
    </row>
    <row r="2984">
      <c r="A2984" s="84">
        <f>ROW()-6</f>
        <v/>
      </c>
      <c r="B2984" s="85">
        <f>+MATCH(D2984,ARTICULOS!$F$10:$F$699,0)</f>
        <v/>
      </c>
      <c r="C2984" s="86">
        <f>+VLOOKUP(B2984,ARTICULOS!$D$10:$I$699,6)</f>
        <v/>
      </c>
      <c r="D2984" s="212" t="n"/>
      <c r="E2984" s="75">
        <f>+C2984&amp;F2984</f>
        <v/>
      </c>
      <c r="F2984" s="80" t="n"/>
      <c r="G2984" s="81" t="n"/>
      <c r="H2984" s="78" t="n"/>
      <c r="I2984" s="78" t="n"/>
      <c r="J2984" s="78" t="n"/>
    </row>
    <row r="2985">
      <c r="A2985" s="84">
        <f>ROW()-6</f>
        <v/>
      </c>
      <c r="B2985" s="85">
        <f>+MATCH(D2985,ARTICULOS!$F$10:$F$699,0)</f>
        <v/>
      </c>
      <c r="C2985" s="86">
        <f>+VLOOKUP(B2985,ARTICULOS!$D$10:$I$699,6)</f>
        <v/>
      </c>
      <c r="D2985" s="212" t="n"/>
      <c r="E2985" s="75">
        <f>+C2985&amp;F2985</f>
        <v/>
      </c>
      <c r="F2985" s="80" t="n"/>
      <c r="G2985" s="81" t="n"/>
      <c r="H2985" s="78" t="n"/>
      <c r="I2985" s="78" t="n"/>
      <c r="J2985" s="78" t="n"/>
    </row>
    <row r="2986">
      <c r="A2986" s="84">
        <f>ROW()-6</f>
        <v/>
      </c>
      <c r="B2986" s="85">
        <f>+MATCH(D2986,ARTICULOS!$F$10:$F$699,0)</f>
        <v/>
      </c>
      <c r="C2986" s="86">
        <f>+VLOOKUP(B2986,ARTICULOS!$D$10:$I$699,6)</f>
        <v/>
      </c>
      <c r="D2986" s="212" t="n"/>
      <c r="E2986" s="75">
        <f>+C2986&amp;F2986</f>
        <v/>
      </c>
      <c r="F2986" s="80" t="n"/>
      <c r="G2986" s="81" t="n"/>
      <c r="H2986" s="78" t="n"/>
      <c r="I2986" s="78" t="n"/>
      <c r="J2986" s="78" t="n"/>
    </row>
    <row r="2987">
      <c r="A2987" s="84">
        <f>ROW()-6</f>
        <v/>
      </c>
      <c r="B2987" s="85">
        <f>+MATCH(D2987,ARTICULOS!$F$10:$F$699,0)</f>
        <v/>
      </c>
      <c r="C2987" s="86">
        <f>+VLOOKUP(B2987,ARTICULOS!$D$10:$I$699,6)</f>
        <v/>
      </c>
      <c r="D2987" s="212" t="n"/>
      <c r="E2987" s="75">
        <f>+C2987&amp;F2987</f>
        <v/>
      </c>
      <c r="F2987" s="80" t="n"/>
      <c r="G2987" s="81" t="n"/>
      <c r="H2987" s="78" t="n"/>
      <c r="I2987" s="78" t="n"/>
      <c r="J2987" s="78" t="n"/>
    </row>
    <row r="2988">
      <c r="A2988" s="84">
        <f>ROW()-6</f>
        <v/>
      </c>
      <c r="B2988" s="85">
        <f>+MATCH(D2988,ARTICULOS!$F$10:$F$699,0)</f>
        <v/>
      </c>
      <c r="C2988" s="86">
        <f>+VLOOKUP(B2988,ARTICULOS!$D$10:$I$699,6)</f>
        <v/>
      </c>
      <c r="D2988" s="212" t="n"/>
      <c r="E2988" s="75">
        <f>+C2988&amp;F2988</f>
        <v/>
      </c>
      <c r="F2988" s="80" t="n"/>
      <c r="G2988" s="81" t="n"/>
      <c r="H2988" s="78" t="n"/>
      <c r="I2988" s="78" t="n"/>
      <c r="J2988" s="78" t="n"/>
    </row>
    <row r="2989">
      <c r="A2989" s="84">
        <f>ROW()-6</f>
        <v/>
      </c>
      <c r="B2989" s="85">
        <f>+MATCH(D2989,ARTICULOS!$F$10:$F$699,0)</f>
        <v/>
      </c>
      <c r="C2989" s="86">
        <f>+VLOOKUP(B2989,ARTICULOS!$D$10:$I$699,6)</f>
        <v/>
      </c>
      <c r="D2989" s="212" t="n"/>
      <c r="E2989" s="75">
        <f>+C2989&amp;F2989</f>
        <v/>
      </c>
      <c r="F2989" s="80" t="n"/>
      <c r="G2989" s="81" t="n"/>
      <c r="H2989" s="78" t="n"/>
      <c r="I2989" s="78" t="n"/>
      <c r="J2989" s="78" t="n"/>
    </row>
    <row r="2990">
      <c r="A2990" s="84">
        <f>ROW()-6</f>
        <v/>
      </c>
      <c r="B2990" s="85">
        <f>+MATCH(D2990,ARTICULOS!$F$10:$F$699,0)</f>
        <v/>
      </c>
      <c r="C2990" s="86">
        <f>+VLOOKUP(B2990,ARTICULOS!$D$10:$I$699,6)</f>
        <v/>
      </c>
      <c r="D2990" s="212" t="n"/>
      <c r="E2990" s="75">
        <f>+C2990&amp;F2990</f>
        <v/>
      </c>
      <c r="F2990" s="80" t="n"/>
      <c r="G2990" s="81" t="n"/>
      <c r="H2990" s="78" t="n"/>
      <c r="I2990" s="78" t="n"/>
      <c r="J2990" s="78" t="n"/>
    </row>
    <row r="2991">
      <c r="A2991" s="84">
        <f>ROW()-6</f>
        <v/>
      </c>
      <c r="B2991" s="85">
        <f>+MATCH(D2991,ARTICULOS!$F$10:$F$699,0)</f>
        <v/>
      </c>
      <c r="C2991" s="86">
        <f>+VLOOKUP(B2991,ARTICULOS!$D$10:$I$699,6)</f>
        <v/>
      </c>
      <c r="D2991" s="212" t="n"/>
      <c r="E2991" s="75">
        <f>+C2991&amp;F2991</f>
        <v/>
      </c>
      <c r="F2991" s="80" t="n"/>
      <c r="G2991" s="81" t="n"/>
      <c r="H2991" s="78" t="n"/>
      <c r="I2991" s="78" t="n"/>
      <c r="J2991" s="78" t="n"/>
    </row>
    <row r="2992">
      <c r="A2992" s="84">
        <f>ROW()-6</f>
        <v/>
      </c>
      <c r="B2992" s="85">
        <f>+MATCH(D2992,ARTICULOS!$F$10:$F$699,0)</f>
        <v/>
      </c>
      <c r="C2992" s="86">
        <f>+VLOOKUP(B2992,ARTICULOS!$D$10:$I$699,6)</f>
        <v/>
      </c>
      <c r="D2992" s="212" t="n"/>
      <c r="E2992" s="75">
        <f>+C2992&amp;F2992</f>
        <v/>
      </c>
      <c r="F2992" s="80" t="n"/>
      <c r="G2992" s="81" t="n"/>
      <c r="H2992" s="78" t="n"/>
      <c r="I2992" s="78" t="n"/>
      <c r="J2992" s="78" t="n"/>
    </row>
    <row r="2993">
      <c r="A2993" s="84">
        <f>ROW()-6</f>
        <v/>
      </c>
      <c r="B2993" s="85">
        <f>+MATCH(D2993,ARTICULOS!$F$10:$F$699,0)</f>
        <v/>
      </c>
      <c r="C2993" s="86">
        <f>+VLOOKUP(B2993,ARTICULOS!$D$10:$I$699,6)</f>
        <v/>
      </c>
      <c r="D2993" s="212" t="n"/>
      <c r="E2993" s="75">
        <f>+C2993&amp;F2993</f>
        <v/>
      </c>
      <c r="F2993" s="80" t="n"/>
      <c r="G2993" s="81" t="n"/>
      <c r="H2993" s="78" t="n"/>
      <c r="I2993" s="78" t="n"/>
      <c r="J2993" s="78" t="n"/>
    </row>
    <row r="2994">
      <c r="A2994" s="84">
        <f>ROW()-6</f>
        <v/>
      </c>
      <c r="B2994" s="85">
        <f>+MATCH(D2994,ARTICULOS!$F$10:$F$699,0)</f>
        <v/>
      </c>
      <c r="C2994" s="86">
        <f>+VLOOKUP(B2994,ARTICULOS!$D$10:$I$699,6)</f>
        <v/>
      </c>
      <c r="D2994" s="212" t="n"/>
      <c r="E2994" s="75">
        <f>+C2994&amp;F2994</f>
        <v/>
      </c>
      <c r="F2994" s="80" t="n"/>
      <c r="G2994" s="81" t="n"/>
      <c r="H2994" s="78" t="n"/>
      <c r="I2994" s="78" t="n"/>
      <c r="J2994" s="78" t="n"/>
    </row>
    <row r="2995">
      <c r="A2995" s="84">
        <f>ROW()-6</f>
        <v/>
      </c>
      <c r="B2995" s="85">
        <f>+MATCH(D2995,ARTICULOS!$F$10:$F$699,0)</f>
        <v/>
      </c>
      <c r="C2995" s="86">
        <f>+VLOOKUP(B2995,ARTICULOS!$D$10:$I$699,6)</f>
        <v/>
      </c>
      <c r="D2995" s="212" t="n"/>
      <c r="E2995" s="75">
        <f>+C2995&amp;F2995</f>
        <v/>
      </c>
      <c r="F2995" s="80" t="n"/>
      <c r="G2995" s="81" t="n"/>
      <c r="H2995" s="78" t="n"/>
      <c r="I2995" s="78" t="n"/>
      <c r="J2995" s="78" t="n"/>
    </row>
    <row r="2996">
      <c r="A2996" s="84">
        <f>ROW()-6</f>
        <v/>
      </c>
      <c r="B2996" s="85">
        <f>+MATCH(D2996,ARTICULOS!$F$10:$F$699,0)</f>
        <v/>
      </c>
      <c r="C2996" s="86">
        <f>+VLOOKUP(B2996,ARTICULOS!$D$10:$I$699,6)</f>
        <v/>
      </c>
      <c r="D2996" s="212" t="n"/>
      <c r="E2996" s="75">
        <f>+C2996&amp;F2996</f>
        <v/>
      </c>
      <c r="F2996" s="80" t="n"/>
      <c r="G2996" s="81" t="n"/>
      <c r="H2996" s="78" t="n"/>
      <c r="I2996" s="78" t="n"/>
      <c r="J2996" s="78" t="n"/>
    </row>
    <row r="2997">
      <c r="A2997" s="84">
        <f>ROW()-6</f>
        <v/>
      </c>
      <c r="B2997" s="85">
        <f>+MATCH(D2997,ARTICULOS!$F$10:$F$699,0)</f>
        <v/>
      </c>
      <c r="C2997" s="86">
        <f>+VLOOKUP(B2997,ARTICULOS!$D$10:$I$699,6)</f>
        <v/>
      </c>
      <c r="D2997" s="212" t="n"/>
      <c r="E2997" s="75">
        <f>+C2997&amp;F2997</f>
        <v/>
      </c>
      <c r="F2997" s="80" t="n"/>
      <c r="G2997" s="81" t="n"/>
      <c r="H2997" s="78" t="n"/>
      <c r="I2997" s="78" t="n"/>
      <c r="J2997" s="78" t="n"/>
    </row>
    <row r="2998">
      <c r="A2998" s="84">
        <f>ROW()-6</f>
        <v/>
      </c>
      <c r="B2998" s="85">
        <f>+MATCH(D2998,ARTICULOS!$F$10:$F$699,0)</f>
        <v/>
      </c>
      <c r="C2998" s="86">
        <f>+VLOOKUP(B2998,ARTICULOS!$D$10:$I$699,6)</f>
        <v/>
      </c>
      <c r="D2998" s="212" t="n"/>
      <c r="E2998" s="75">
        <f>+C2998&amp;F2998</f>
        <v/>
      </c>
      <c r="F2998" s="80" t="n"/>
      <c r="G2998" s="81" t="n"/>
      <c r="H2998" s="78" t="n"/>
      <c r="I2998" s="78" t="n"/>
      <c r="J2998" s="78" t="n"/>
    </row>
    <row r="2999">
      <c r="A2999" s="84">
        <f>ROW()-6</f>
        <v/>
      </c>
      <c r="B2999" s="85">
        <f>+MATCH(D2999,ARTICULOS!$F$10:$F$699,0)</f>
        <v/>
      </c>
      <c r="C2999" s="86">
        <f>+VLOOKUP(B2999,ARTICULOS!$D$10:$I$699,6)</f>
        <v/>
      </c>
      <c r="D2999" s="212" t="n"/>
      <c r="E2999" s="75">
        <f>+C2999&amp;F2999</f>
        <v/>
      </c>
      <c r="F2999" s="80" t="n"/>
      <c r="G2999" s="81" t="n"/>
      <c r="H2999" s="78" t="n"/>
      <c r="I2999" s="78" t="n"/>
      <c r="J2999" s="78" t="n"/>
    </row>
    <row r="3000">
      <c r="A3000" s="84">
        <f>ROW()-6</f>
        <v/>
      </c>
      <c r="B3000" s="85">
        <f>+MATCH(D3000,ARTICULOS!$F$10:$F$699,0)</f>
        <v/>
      </c>
      <c r="C3000" s="86">
        <f>+VLOOKUP(B3000,ARTICULOS!$D$10:$I$699,6)</f>
        <v/>
      </c>
      <c r="D3000" s="212" t="n"/>
      <c r="E3000" s="75">
        <f>+C3000&amp;F3000</f>
        <v/>
      </c>
      <c r="F3000" s="80" t="n"/>
      <c r="G3000" s="81" t="n"/>
      <c r="H3000" s="78" t="n"/>
      <c r="I3000" s="78" t="n"/>
      <c r="J3000" s="78" t="n"/>
    </row>
    <row r="3001">
      <c r="A3001" s="84">
        <f>ROW()-6</f>
        <v/>
      </c>
      <c r="B3001" s="85">
        <f>+MATCH(D3001,ARTICULOS!$F$10:$F$699,0)</f>
        <v/>
      </c>
      <c r="C3001" s="86">
        <f>+VLOOKUP(B3001,ARTICULOS!$D$10:$I$699,6)</f>
        <v/>
      </c>
      <c r="D3001" s="212" t="n"/>
      <c r="E3001" s="75">
        <f>+C3001&amp;F3001</f>
        <v/>
      </c>
      <c r="F3001" s="80" t="n"/>
      <c r="G3001" s="81" t="n"/>
      <c r="H3001" s="78" t="n"/>
      <c r="I3001" s="78" t="n"/>
      <c r="J3001" s="78" t="n"/>
    </row>
    <row r="3002">
      <c r="A3002" s="84">
        <f>ROW()-6</f>
        <v/>
      </c>
      <c r="B3002" s="85">
        <f>+MATCH(D3002,ARTICULOS!$F$10:$F$699,0)</f>
        <v/>
      </c>
      <c r="C3002" s="86">
        <f>+VLOOKUP(B3002,ARTICULOS!$D$10:$I$699,6)</f>
        <v/>
      </c>
      <c r="D3002" s="212" t="n"/>
      <c r="E3002" s="75">
        <f>+C3002&amp;F3002</f>
        <v/>
      </c>
      <c r="F3002" s="80" t="n"/>
      <c r="G3002" s="81" t="n"/>
      <c r="H3002" s="78" t="n"/>
      <c r="I3002" s="78" t="n"/>
      <c r="J3002" s="78" t="n"/>
    </row>
    <row r="3003">
      <c r="A3003" s="84">
        <f>ROW()-6</f>
        <v/>
      </c>
      <c r="B3003" s="85">
        <f>+MATCH(D3003,ARTICULOS!$F$10:$F$699,0)</f>
        <v/>
      </c>
      <c r="C3003" s="86">
        <f>+VLOOKUP(B3003,ARTICULOS!$D$10:$I$699,6)</f>
        <v/>
      </c>
      <c r="D3003" s="212" t="n"/>
      <c r="E3003" s="75">
        <f>+C3003&amp;F3003</f>
        <v/>
      </c>
      <c r="F3003" s="80" t="n"/>
      <c r="G3003" s="81" t="n"/>
      <c r="H3003" s="78" t="n"/>
      <c r="I3003" s="78" t="n"/>
      <c r="J3003" s="78" t="n"/>
    </row>
    <row r="3004">
      <c r="A3004" s="84">
        <f>ROW()-6</f>
        <v/>
      </c>
      <c r="B3004" s="85">
        <f>+MATCH(D3004,ARTICULOS!$F$10:$F$699,0)</f>
        <v/>
      </c>
      <c r="C3004" s="86">
        <f>+VLOOKUP(B3004,ARTICULOS!$D$10:$I$699,6)</f>
        <v/>
      </c>
      <c r="D3004" s="212" t="n"/>
      <c r="E3004" s="75">
        <f>+C3004&amp;F3004</f>
        <v/>
      </c>
      <c r="F3004" s="80" t="n"/>
      <c r="G3004" s="81" t="n"/>
      <c r="H3004" s="78" t="n"/>
      <c r="I3004" s="78" t="n"/>
      <c r="J3004" s="78" t="n"/>
    </row>
    <row r="3005">
      <c r="A3005" s="84">
        <f>ROW()-6</f>
        <v/>
      </c>
      <c r="B3005" s="85">
        <f>+MATCH(D3005,ARTICULOS!$F$10:$F$699,0)</f>
        <v/>
      </c>
      <c r="C3005" s="86">
        <f>+VLOOKUP(B3005,ARTICULOS!$D$10:$I$699,6)</f>
        <v/>
      </c>
      <c r="D3005" s="212" t="n"/>
      <c r="E3005" s="75">
        <f>+C3005&amp;F3005</f>
        <v/>
      </c>
      <c r="F3005" s="80" t="n"/>
      <c r="G3005" s="81" t="n"/>
      <c r="H3005" s="78" t="n"/>
      <c r="I3005" s="78" t="n"/>
      <c r="J3005" s="78" t="n"/>
    </row>
    <row r="3006">
      <c r="A3006" s="84">
        <f>ROW()-6</f>
        <v/>
      </c>
      <c r="B3006" s="85">
        <f>+MATCH(D3006,ARTICULOS!$F$10:$F$699,0)</f>
        <v/>
      </c>
      <c r="C3006" s="86">
        <f>+VLOOKUP(B3006,ARTICULOS!$D$10:$I$699,6)</f>
        <v/>
      </c>
      <c r="D3006" s="212" t="n"/>
      <c r="E3006" s="75">
        <f>+C3006&amp;F3006</f>
        <v/>
      </c>
      <c r="F3006" s="80" t="n"/>
      <c r="G3006" s="81" t="n"/>
      <c r="H3006" s="78" t="n"/>
      <c r="I3006" s="78" t="n"/>
      <c r="J3006" s="78" t="n"/>
    </row>
    <row r="3007">
      <c r="A3007" s="84">
        <f>ROW()-6</f>
        <v/>
      </c>
      <c r="B3007" s="85">
        <f>+MATCH(D3007,ARTICULOS!$F$10:$F$699,0)</f>
        <v/>
      </c>
      <c r="C3007" s="86">
        <f>+VLOOKUP(B3007,ARTICULOS!$D$10:$I$699,6)</f>
        <v/>
      </c>
      <c r="D3007" s="212" t="n"/>
      <c r="E3007" s="75">
        <f>+C3007&amp;F3007</f>
        <v/>
      </c>
      <c r="F3007" s="80" t="n"/>
      <c r="G3007" s="81" t="n"/>
      <c r="H3007" s="78" t="n"/>
      <c r="I3007" s="78" t="n"/>
      <c r="J3007" s="78" t="n"/>
    </row>
    <row r="3008">
      <c r="A3008" s="84">
        <f>ROW()-6</f>
        <v/>
      </c>
      <c r="B3008" s="85">
        <f>+MATCH(D3008,ARTICULOS!$F$10:$F$699,0)</f>
        <v/>
      </c>
      <c r="C3008" s="86">
        <f>+VLOOKUP(B3008,ARTICULOS!$D$10:$I$699,6)</f>
        <v/>
      </c>
      <c r="D3008" s="212" t="n"/>
      <c r="E3008" s="75">
        <f>+C3008&amp;F3008</f>
        <v/>
      </c>
      <c r="F3008" s="80" t="n"/>
      <c r="G3008" s="81" t="n"/>
      <c r="H3008" s="78" t="n"/>
      <c r="I3008" s="78" t="n"/>
      <c r="J3008" s="78" t="n"/>
    </row>
    <row r="3009">
      <c r="A3009" s="84">
        <f>ROW()-6</f>
        <v/>
      </c>
      <c r="B3009" s="85">
        <f>+MATCH(D3009,ARTICULOS!$F$10:$F$699,0)</f>
        <v/>
      </c>
      <c r="C3009" s="86">
        <f>+VLOOKUP(B3009,ARTICULOS!$D$10:$I$699,6)</f>
        <v/>
      </c>
      <c r="D3009" s="212" t="n"/>
      <c r="E3009" s="75">
        <f>+C3009&amp;F3009</f>
        <v/>
      </c>
      <c r="F3009" s="80" t="n"/>
      <c r="G3009" s="81" t="n"/>
      <c r="H3009" s="78" t="n"/>
      <c r="I3009" s="78" t="n"/>
      <c r="J3009" s="78" t="n"/>
    </row>
    <row r="3010">
      <c r="A3010" s="84">
        <f>ROW()-6</f>
        <v/>
      </c>
      <c r="B3010" s="85">
        <f>+MATCH(D3010,ARTICULOS!$F$10:$F$699,0)</f>
        <v/>
      </c>
      <c r="C3010" s="86">
        <f>+VLOOKUP(B3010,ARTICULOS!$D$10:$I$699,6)</f>
        <v/>
      </c>
      <c r="D3010" s="212" t="n"/>
      <c r="E3010" s="75">
        <f>+C3010&amp;F3010</f>
        <v/>
      </c>
      <c r="F3010" s="80" t="n"/>
      <c r="G3010" s="81" t="n"/>
      <c r="H3010" s="78" t="n"/>
      <c r="I3010" s="78" t="n"/>
      <c r="J3010" s="78" t="n"/>
    </row>
    <row r="3011">
      <c r="A3011" s="84">
        <f>ROW()-6</f>
        <v/>
      </c>
      <c r="B3011" s="85">
        <f>+MATCH(D3011,ARTICULOS!$F$10:$F$699,0)</f>
        <v/>
      </c>
      <c r="C3011" s="86">
        <f>+VLOOKUP(B3011,ARTICULOS!$D$10:$I$699,6)</f>
        <v/>
      </c>
      <c r="D3011" s="212" t="n"/>
      <c r="E3011" s="75">
        <f>+C3011&amp;F3011</f>
        <v/>
      </c>
      <c r="F3011" s="80" t="n"/>
      <c r="G3011" s="81" t="n"/>
      <c r="H3011" s="78" t="n"/>
      <c r="I3011" s="78" t="n"/>
      <c r="J3011" s="78" t="n"/>
    </row>
    <row r="3012">
      <c r="A3012" s="84">
        <f>ROW()-6</f>
        <v/>
      </c>
      <c r="B3012" s="85">
        <f>+MATCH(D3012,ARTICULOS!$F$10:$F$699,0)</f>
        <v/>
      </c>
      <c r="C3012" s="86">
        <f>+VLOOKUP(B3012,ARTICULOS!$D$10:$I$699,6)</f>
        <v/>
      </c>
      <c r="D3012" s="212" t="n"/>
      <c r="E3012" s="75">
        <f>+C3012&amp;F3012</f>
        <v/>
      </c>
      <c r="F3012" s="80" t="n"/>
      <c r="G3012" s="81" t="n"/>
      <c r="H3012" s="78" t="n"/>
      <c r="I3012" s="78" t="n"/>
      <c r="J3012" s="78" t="n"/>
    </row>
    <row r="3013">
      <c r="A3013" s="84">
        <f>ROW()-6</f>
        <v/>
      </c>
      <c r="B3013" s="85">
        <f>+MATCH(D3013,ARTICULOS!$F$10:$F$699,0)</f>
        <v/>
      </c>
      <c r="C3013" s="86">
        <f>+VLOOKUP(B3013,ARTICULOS!$D$10:$I$699,6)</f>
        <v/>
      </c>
      <c r="D3013" s="212" t="n"/>
      <c r="E3013" s="75">
        <f>+C3013&amp;F3013</f>
        <v/>
      </c>
      <c r="F3013" s="80" t="n"/>
      <c r="G3013" s="81" t="n"/>
      <c r="H3013" s="78" t="n"/>
      <c r="I3013" s="78" t="n"/>
      <c r="J3013" s="78" t="n"/>
    </row>
    <row r="3014">
      <c r="A3014" s="84">
        <f>ROW()-6</f>
        <v/>
      </c>
      <c r="B3014" s="85">
        <f>+MATCH(D3014,ARTICULOS!$F$10:$F$699,0)</f>
        <v/>
      </c>
      <c r="C3014" s="86">
        <f>+VLOOKUP(B3014,ARTICULOS!$D$10:$I$699,6)</f>
        <v/>
      </c>
      <c r="D3014" s="212" t="n"/>
      <c r="E3014" s="75">
        <f>+C3014&amp;F3014</f>
        <v/>
      </c>
      <c r="F3014" s="80" t="n"/>
      <c r="G3014" s="81" t="n"/>
      <c r="H3014" s="78" t="n"/>
      <c r="I3014" s="78" t="n"/>
      <c r="J3014" s="78" t="n"/>
    </row>
    <row r="3015">
      <c r="A3015" s="84">
        <f>ROW()-6</f>
        <v/>
      </c>
      <c r="B3015" s="85">
        <f>+MATCH(D3015,ARTICULOS!$F$10:$F$699,0)</f>
        <v/>
      </c>
      <c r="C3015" s="86">
        <f>+VLOOKUP(B3015,ARTICULOS!$D$10:$I$699,6)</f>
        <v/>
      </c>
      <c r="D3015" s="212" t="n"/>
      <c r="E3015" s="75">
        <f>+C3015&amp;F3015</f>
        <v/>
      </c>
      <c r="F3015" s="80" t="n"/>
      <c r="G3015" s="81" t="n"/>
      <c r="H3015" s="78" t="n"/>
      <c r="I3015" s="78" t="n"/>
      <c r="J3015" s="78" t="n"/>
    </row>
    <row r="3016">
      <c r="A3016" s="84">
        <f>ROW()-6</f>
        <v/>
      </c>
      <c r="B3016" s="85">
        <f>+MATCH(D3016,ARTICULOS!$F$10:$F$699,0)</f>
        <v/>
      </c>
      <c r="C3016" s="86">
        <f>+VLOOKUP(B3016,ARTICULOS!$D$10:$I$699,6)</f>
        <v/>
      </c>
      <c r="D3016" s="212" t="n"/>
      <c r="E3016" s="75">
        <f>+C3016&amp;F3016</f>
        <v/>
      </c>
      <c r="F3016" s="80" t="n"/>
      <c r="G3016" s="81" t="n"/>
      <c r="H3016" s="78" t="n"/>
      <c r="I3016" s="78" t="n"/>
      <c r="J3016" s="78" t="n"/>
    </row>
    <row r="3017">
      <c r="A3017" s="84">
        <f>ROW()-6</f>
        <v/>
      </c>
      <c r="B3017" s="85">
        <f>+MATCH(D3017,ARTICULOS!$F$10:$F$699,0)</f>
        <v/>
      </c>
      <c r="C3017" s="86">
        <f>+VLOOKUP(B3017,ARTICULOS!$D$10:$I$699,6)</f>
        <v/>
      </c>
      <c r="D3017" s="212" t="n"/>
      <c r="E3017" s="75">
        <f>+C3017&amp;F3017</f>
        <v/>
      </c>
      <c r="F3017" s="80" t="n"/>
      <c r="G3017" s="81" t="n"/>
      <c r="H3017" s="78" t="n"/>
      <c r="I3017" s="78" t="n"/>
      <c r="J3017" s="78" t="n"/>
    </row>
    <row r="3018">
      <c r="A3018" s="84">
        <f>ROW()-6</f>
        <v/>
      </c>
      <c r="B3018" s="85">
        <f>+MATCH(D3018,ARTICULOS!$F$10:$F$699,0)</f>
        <v/>
      </c>
      <c r="C3018" s="86">
        <f>+VLOOKUP(B3018,ARTICULOS!$D$10:$I$699,6)</f>
        <v/>
      </c>
      <c r="D3018" s="212" t="n"/>
      <c r="E3018" s="75">
        <f>+C3018&amp;F3018</f>
        <v/>
      </c>
      <c r="F3018" s="80" t="n"/>
      <c r="G3018" s="81" t="n"/>
      <c r="H3018" s="78" t="n"/>
      <c r="I3018" s="78" t="n"/>
      <c r="J3018" s="78" t="n"/>
    </row>
    <row r="3019">
      <c r="A3019" s="84">
        <f>ROW()-6</f>
        <v/>
      </c>
      <c r="B3019" s="85">
        <f>+MATCH(D3019,ARTICULOS!$F$10:$F$699,0)</f>
        <v/>
      </c>
      <c r="C3019" s="86">
        <f>+VLOOKUP(B3019,ARTICULOS!$D$10:$I$699,6)</f>
        <v/>
      </c>
      <c r="D3019" s="212" t="n"/>
      <c r="E3019" s="75">
        <f>+C3019&amp;F3019</f>
        <v/>
      </c>
      <c r="F3019" s="80" t="n"/>
      <c r="G3019" s="81" t="n"/>
      <c r="H3019" s="78" t="n"/>
      <c r="I3019" s="78" t="n"/>
      <c r="J3019" s="78" t="n"/>
    </row>
    <row r="3020">
      <c r="A3020" s="84">
        <f>ROW()-6</f>
        <v/>
      </c>
      <c r="B3020" s="85">
        <f>+MATCH(D3020,ARTICULOS!$F$10:$F$699,0)</f>
        <v/>
      </c>
      <c r="C3020" s="86">
        <f>+VLOOKUP(B3020,ARTICULOS!$D$10:$I$699,6)</f>
        <v/>
      </c>
      <c r="D3020" s="212" t="n"/>
      <c r="E3020" s="75">
        <f>+C3020&amp;F3020</f>
        <v/>
      </c>
      <c r="F3020" s="80" t="n"/>
      <c r="G3020" s="81" t="n"/>
      <c r="H3020" s="78" t="n"/>
      <c r="I3020" s="78" t="n"/>
      <c r="J3020" s="78" t="n"/>
    </row>
    <row r="3021">
      <c r="A3021" s="84">
        <f>ROW()-6</f>
        <v/>
      </c>
      <c r="B3021" s="85">
        <f>+MATCH(D3021,ARTICULOS!$F$10:$F$699,0)</f>
        <v/>
      </c>
      <c r="C3021" s="86">
        <f>+VLOOKUP(B3021,ARTICULOS!$D$10:$I$699,6)</f>
        <v/>
      </c>
      <c r="D3021" s="212" t="n"/>
      <c r="E3021" s="75">
        <f>+C3021&amp;F3021</f>
        <v/>
      </c>
      <c r="F3021" s="80" t="n"/>
      <c r="G3021" s="81" t="n"/>
      <c r="H3021" s="78" t="n"/>
      <c r="I3021" s="78" t="n"/>
      <c r="J3021" s="78" t="n"/>
    </row>
    <row r="3022">
      <c r="A3022" s="84">
        <f>ROW()-6</f>
        <v/>
      </c>
      <c r="B3022" s="85">
        <f>+MATCH(D3022,ARTICULOS!$F$10:$F$699,0)</f>
        <v/>
      </c>
      <c r="C3022" s="86">
        <f>+VLOOKUP(B3022,ARTICULOS!$D$10:$I$699,6)</f>
        <v/>
      </c>
      <c r="D3022" s="212" t="n"/>
      <c r="E3022" s="75">
        <f>+C3022&amp;F3022</f>
        <v/>
      </c>
      <c r="F3022" s="80" t="n"/>
      <c r="G3022" s="81" t="n"/>
      <c r="H3022" s="78" t="n"/>
      <c r="I3022" s="78" t="n"/>
      <c r="J3022" s="78" t="n"/>
    </row>
    <row r="3023">
      <c r="A3023" s="84">
        <f>ROW()-6</f>
        <v/>
      </c>
      <c r="B3023" s="85">
        <f>+MATCH(D3023,ARTICULOS!$F$10:$F$699,0)</f>
        <v/>
      </c>
      <c r="C3023" s="86">
        <f>+VLOOKUP(B3023,ARTICULOS!$D$10:$I$699,6)</f>
        <v/>
      </c>
      <c r="D3023" s="212" t="n"/>
      <c r="E3023" s="75">
        <f>+C3023&amp;F3023</f>
        <v/>
      </c>
      <c r="F3023" s="80" t="n"/>
      <c r="G3023" s="81" t="n"/>
      <c r="H3023" s="78" t="n"/>
      <c r="I3023" s="78" t="n"/>
      <c r="J3023" s="78" t="n"/>
    </row>
    <row r="3024">
      <c r="A3024" s="84">
        <f>ROW()-6</f>
        <v/>
      </c>
      <c r="B3024" s="85">
        <f>+MATCH(D3024,ARTICULOS!$F$10:$F$699,0)</f>
        <v/>
      </c>
      <c r="C3024" s="86">
        <f>+VLOOKUP(B3024,ARTICULOS!$D$10:$I$699,6)</f>
        <v/>
      </c>
      <c r="D3024" s="212" t="n"/>
      <c r="E3024" s="75">
        <f>+C3024&amp;F3024</f>
        <v/>
      </c>
      <c r="F3024" s="80" t="n"/>
      <c r="G3024" s="81" t="n"/>
      <c r="H3024" s="78" t="n"/>
      <c r="I3024" s="78" t="n"/>
      <c r="J3024" s="78" t="n"/>
    </row>
    <row r="3025">
      <c r="A3025" s="84">
        <f>ROW()-6</f>
        <v/>
      </c>
      <c r="B3025" s="85">
        <f>+MATCH(D3025,ARTICULOS!$F$10:$F$699,0)</f>
        <v/>
      </c>
      <c r="C3025" s="86">
        <f>+VLOOKUP(B3025,ARTICULOS!$D$10:$I$699,6)</f>
        <v/>
      </c>
      <c r="D3025" s="212" t="n"/>
      <c r="E3025" s="75">
        <f>+C3025&amp;F3025</f>
        <v/>
      </c>
      <c r="F3025" s="80" t="n"/>
      <c r="G3025" s="81" t="n"/>
      <c r="H3025" s="78" t="n"/>
      <c r="I3025" s="78" t="n"/>
      <c r="J3025" s="78" t="n"/>
    </row>
    <row r="3026">
      <c r="A3026" s="84">
        <f>ROW()-6</f>
        <v/>
      </c>
      <c r="B3026" s="85">
        <f>+MATCH(D3026,ARTICULOS!$F$10:$F$699,0)</f>
        <v/>
      </c>
      <c r="C3026" s="86">
        <f>+VLOOKUP(B3026,ARTICULOS!$D$10:$I$699,6)</f>
        <v/>
      </c>
      <c r="D3026" s="212" t="n"/>
      <c r="E3026" s="75">
        <f>+C3026&amp;F3026</f>
        <v/>
      </c>
      <c r="F3026" s="80" t="n"/>
      <c r="G3026" s="81" t="n"/>
      <c r="H3026" s="78" t="n"/>
      <c r="I3026" s="78" t="n"/>
      <c r="J3026" s="78" t="n"/>
    </row>
    <row r="3027">
      <c r="A3027" s="84">
        <f>ROW()-6</f>
        <v/>
      </c>
      <c r="B3027" s="85">
        <f>+MATCH(D3027,ARTICULOS!$F$10:$F$699,0)</f>
        <v/>
      </c>
      <c r="C3027" s="86">
        <f>+VLOOKUP(B3027,ARTICULOS!$D$10:$I$699,6)</f>
        <v/>
      </c>
      <c r="D3027" s="212" t="n"/>
      <c r="E3027" s="75">
        <f>+C3027&amp;F3027</f>
        <v/>
      </c>
      <c r="F3027" s="80" t="n"/>
      <c r="G3027" s="81" t="n"/>
      <c r="H3027" s="78" t="n"/>
      <c r="I3027" s="78" t="n"/>
      <c r="J3027" s="78" t="n"/>
    </row>
    <row r="3028">
      <c r="A3028" s="84">
        <f>ROW()-6</f>
        <v/>
      </c>
      <c r="B3028" s="85">
        <f>+MATCH(D3028,ARTICULOS!$F$10:$F$699,0)</f>
        <v/>
      </c>
      <c r="C3028" s="86">
        <f>+VLOOKUP(B3028,ARTICULOS!$D$10:$I$699,6)</f>
        <v/>
      </c>
      <c r="D3028" s="212" t="n"/>
      <c r="E3028" s="75">
        <f>+C3028&amp;F3028</f>
        <v/>
      </c>
      <c r="F3028" s="80" t="n"/>
      <c r="G3028" s="81" t="n"/>
      <c r="H3028" s="78" t="n"/>
      <c r="I3028" s="78" t="n"/>
      <c r="J3028" s="78" t="n"/>
    </row>
    <row r="3029">
      <c r="A3029" s="84">
        <f>ROW()-6</f>
        <v/>
      </c>
      <c r="B3029" s="85">
        <f>+MATCH(D3029,ARTICULOS!$F$10:$F$699,0)</f>
        <v/>
      </c>
      <c r="C3029" s="86">
        <f>+VLOOKUP(B3029,ARTICULOS!$D$10:$I$699,6)</f>
        <v/>
      </c>
      <c r="D3029" s="212" t="n"/>
      <c r="E3029" s="75">
        <f>+C3029&amp;F3029</f>
        <v/>
      </c>
      <c r="F3029" s="80" t="n"/>
      <c r="G3029" s="81" t="n"/>
      <c r="H3029" s="78" t="n"/>
      <c r="I3029" s="78" t="n"/>
      <c r="J3029" s="78" t="n"/>
    </row>
    <row r="3030">
      <c r="A3030" s="84">
        <f>ROW()-6</f>
        <v/>
      </c>
      <c r="B3030" s="85">
        <f>+MATCH(D3030,ARTICULOS!$F$10:$F$699,0)</f>
        <v/>
      </c>
      <c r="C3030" s="86">
        <f>+VLOOKUP(B3030,ARTICULOS!$D$10:$I$699,6)</f>
        <v/>
      </c>
      <c r="D3030" s="212" t="n"/>
      <c r="E3030" s="75">
        <f>+C3030&amp;F3030</f>
        <v/>
      </c>
      <c r="F3030" s="80" t="n"/>
      <c r="G3030" s="81" t="n"/>
      <c r="H3030" s="78" t="n"/>
      <c r="I3030" s="78" t="n"/>
      <c r="J3030" s="78" t="n"/>
    </row>
    <row r="3031">
      <c r="A3031" s="84">
        <f>ROW()-6</f>
        <v/>
      </c>
      <c r="B3031" s="85">
        <f>+MATCH(D3031,ARTICULOS!$F$10:$F$699,0)</f>
        <v/>
      </c>
      <c r="C3031" s="86">
        <f>+VLOOKUP(B3031,ARTICULOS!$D$10:$I$699,6)</f>
        <v/>
      </c>
      <c r="D3031" s="212" t="n"/>
      <c r="E3031" s="75">
        <f>+C3031&amp;F3031</f>
        <v/>
      </c>
      <c r="F3031" s="80" t="n"/>
      <c r="G3031" s="81" t="n"/>
      <c r="H3031" s="78" t="n"/>
      <c r="I3031" s="78" t="n"/>
      <c r="J3031" s="78" t="n"/>
    </row>
    <row r="3032">
      <c r="A3032" s="84">
        <f>ROW()-6</f>
        <v/>
      </c>
      <c r="B3032" s="85">
        <f>+MATCH(D3032,ARTICULOS!$F$10:$F$699,0)</f>
        <v/>
      </c>
      <c r="C3032" s="86">
        <f>+VLOOKUP(B3032,ARTICULOS!$D$10:$I$699,6)</f>
        <v/>
      </c>
      <c r="D3032" s="212" t="n"/>
      <c r="E3032" s="75">
        <f>+C3032&amp;F3032</f>
        <v/>
      </c>
      <c r="F3032" s="80" t="n"/>
      <c r="G3032" s="81" t="n"/>
      <c r="H3032" s="78" t="n"/>
      <c r="I3032" s="78" t="n"/>
      <c r="J3032" s="78" t="n"/>
    </row>
    <row r="3033">
      <c r="A3033" s="84">
        <f>ROW()-6</f>
        <v/>
      </c>
      <c r="B3033" s="85">
        <f>+MATCH(D3033,ARTICULOS!$F$10:$F$699,0)</f>
        <v/>
      </c>
      <c r="C3033" s="86">
        <f>+VLOOKUP(B3033,ARTICULOS!$D$10:$I$699,6)</f>
        <v/>
      </c>
      <c r="D3033" s="212" t="n"/>
      <c r="E3033" s="75">
        <f>+C3033&amp;F3033</f>
        <v/>
      </c>
      <c r="F3033" s="80" t="n"/>
      <c r="G3033" s="81" t="n"/>
      <c r="H3033" s="78" t="n"/>
      <c r="I3033" s="78" t="n"/>
      <c r="J3033" s="78" t="n"/>
    </row>
    <row r="3034">
      <c r="A3034" s="84">
        <f>ROW()-6</f>
        <v/>
      </c>
      <c r="B3034" s="85">
        <f>+MATCH(D3034,ARTICULOS!$F$10:$F$699,0)</f>
        <v/>
      </c>
      <c r="C3034" s="86">
        <f>+VLOOKUP(B3034,ARTICULOS!$D$10:$I$699,6)</f>
        <v/>
      </c>
      <c r="D3034" s="212" t="n"/>
      <c r="E3034" s="75">
        <f>+C3034&amp;F3034</f>
        <v/>
      </c>
      <c r="F3034" s="80" t="n"/>
      <c r="G3034" s="81" t="n"/>
      <c r="H3034" s="78" t="n"/>
      <c r="I3034" s="78" t="n"/>
      <c r="J3034" s="78" t="n"/>
    </row>
    <row r="3035">
      <c r="A3035" s="84">
        <f>ROW()-6</f>
        <v/>
      </c>
      <c r="B3035" s="85">
        <f>+MATCH(D3035,ARTICULOS!$F$10:$F$699,0)</f>
        <v/>
      </c>
      <c r="C3035" s="86">
        <f>+VLOOKUP(B3035,ARTICULOS!$D$10:$I$699,6)</f>
        <v/>
      </c>
      <c r="D3035" s="212" t="n"/>
      <c r="E3035" s="75">
        <f>+C3035&amp;F3035</f>
        <v/>
      </c>
      <c r="F3035" s="80" t="n"/>
      <c r="G3035" s="81" t="n"/>
      <c r="H3035" s="78" t="n"/>
      <c r="I3035" s="78" t="n"/>
      <c r="J3035" s="78" t="n"/>
    </row>
    <row r="3036">
      <c r="A3036" s="84">
        <f>ROW()-6</f>
        <v/>
      </c>
      <c r="B3036" s="85">
        <f>+MATCH(D3036,ARTICULOS!$F$10:$F$699,0)</f>
        <v/>
      </c>
      <c r="C3036" s="86">
        <f>+VLOOKUP(B3036,ARTICULOS!$D$10:$I$699,6)</f>
        <v/>
      </c>
      <c r="D3036" s="212" t="n"/>
      <c r="E3036" s="75">
        <f>+C3036&amp;F3036</f>
        <v/>
      </c>
      <c r="F3036" s="80" t="n"/>
      <c r="G3036" s="81" t="n"/>
      <c r="H3036" s="78" t="n"/>
      <c r="I3036" s="78" t="n"/>
      <c r="J3036" s="78" t="n"/>
    </row>
    <row r="3037">
      <c r="A3037" s="84">
        <f>ROW()-6</f>
        <v/>
      </c>
      <c r="B3037" s="85">
        <f>+MATCH(D3037,ARTICULOS!$F$10:$F$699,0)</f>
        <v/>
      </c>
      <c r="C3037" s="86">
        <f>+VLOOKUP(B3037,ARTICULOS!$D$10:$I$699,6)</f>
        <v/>
      </c>
      <c r="D3037" s="212" t="n"/>
      <c r="E3037" s="75">
        <f>+C3037&amp;F3037</f>
        <v/>
      </c>
      <c r="F3037" s="80" t="n"/>
      <c r="G3037" s="81" t="n"/>
      <c r="H3037" s="78" t="n"/>
      <c r="I3037" s="78" t="n"/>
      <c r="J3037" s="78" t="n"/>
    </row>
    <row r="3038">
      <c r="A3038" s="84">
        <f>ROW()-6</f>
        <v/>
      </c>
      <c r="B3038" s="85">
        <f>+MATCH(D3038,ARTICULOS!$F$10:$F$699,0)</f>
        <v/>
      </c>
      <c r="C3038" s="86">
        <f>+VLOOKUP(B3038,ARTICULOS!$D$10:$I$699,6)</f>
        <v/>
      </c>
      <c r="D3038" s="212" t="n"/>
      <c r="E3038" s="75">
        <f>+C3038&amp;F3038</f>
        <v/>
      </c>
      <c r="F3038" s="80" t="n"/>
      <c r="G3038" s="81" t="n"/>
      <c r="H3038" s="78" t="n"/>
      <c r="I3038" s="78" t="n"/>
      <c r="J3038" s="78" t="n"/>
    </row>
    <row r="3039">
      <c r="A3039" s="84">
        <f>ROW()-6</f>
        <v/>
      </c>
      <c r="B3039" s="85">
        <f>+MATCH(D3039,ARTICULOS!$F$10:$F$699,0)</f>
        <v/>
      </c>
      <c r="C3039" s="86">
        <f>+VLOOKUP(B3039,ARTICULOS!$D$10:$I$699,6)</f>
        <v/>
      </c>
      <c r="D3039" s="212" t="n"/>
      <c r="E3039" s="75">
        <f>+C3039&amp;F3039</f>
        <v/>
      </c>
      <c r="F3039" s="80" t="n"/>
      <c r="G3039" s="81" t="n"/>
      <c r="H3039" s="78" t="n"/>
      <c r="I3039" s="78" t="n"/>
      <c r="J3039" s="78" t="n"/>
    </row>
    <row r="3040">
      <c r="A3040" s="84">
        <f>ROW()-6</f>
        <v/>
      </c>
      <c r="B3040" s="85">
        <f>+MATCH(D3040,ARTICULOS!$F$10:$F$699,0)</f>
        <v/>
      </c>
      <c r="C3040" s="86">
        <f>+VLOOKUP(B3040,ARTICULOS!$D$10:$I$699,6)</f>
        <v/>
      </c>
      <c r="D3040" s="212" t="n"/>
      <c r="E3040" s="75">
        <f>+C3040&amp;F3040</f>
        <v/>
      </c>
      <c r="F3040" s="80" t="n"/>
      <c r="G3040" s="81" t="n"/>
      <c r="H3040" s="78" t="n"/>
      <c r="I3040" s="78" t="n"/>
      <c r="J3040" s="78" t="n"/>
    </row>
    <row r="3041">
      <c r="A3041" s="84">
        <f>ROW()-6</f>
        <v/>
      </c>
      <c r="B3041" s="85">
        <f>+MATCH(D3041,ARTICULOS!$F$10:$F$699,0)</f>
        <v/>
      </c>
      <c r="C3041" s="86">
        <f>+VLOOKUP(B3041,ARTICULOS!$D$10:$I$699,6)</f>
        <v/>
      </c>
      <c r="D3041" s="212" t="n"/>
      <c r="E3041" s="75">
        <f>+C3041&amp;F3041</f>
        <v/>
      </c>
      <c r="F3041" s="80" t="n"/>
      <c r="G3041" s="81" t="n"/>
      <c r="H3041" s="78" t="n"/>
      <c r="I3041" s="78" t="n"/>
      <c r="J3041" s="78" t="n"/>
    </row>
    <row r="3042">
      <c r="A3042" s="84">
        <f>ROW()-6</f>
        <v/>
      </c>
      <c r="B3042" s="85">
        <f>+MATCH(D3042,ARTICULOS!$F$10:$F$699,0)</f>
        <v/>
      </c>
      <c r="C3042" s="86">
        <f>+VLOOKUP(B3042,ARTICULOS!$D$10:$I$699,6)</f>
        <v/>
      </c>
      <c r="D3042" s="212" t="n"/>
      <c r="E3042" s="75">
        <f>+C3042&amp;F3042</f>
        <v/>
      </c>
      <c r="F3042" s="80" t="n"/>
      <c r="G3042" s="81" t="n"/>
      <c r="H3042" s="78" t="n"/>
      <c r="I3042" s="78" t="n"/>
      <c r="J3042" s="78" t="n"/>
    </row>
    <row r="3043">
      <c r="A3043" s="84">
        <f>ROW()-6</f>
        <v/>
      </c>
      <c r="B3043" s="85">
        <f>+MATCH(D3043,ARTICULOS!$F$10:$F$699,0)</f>
        <v/>
      </c>
      <c r="C3043" s="86">
        <f>+VLOOKUP(B3043,ARTICULOS!$D$10:$I$699,6)</f>
        <v/>
      </c>
      <c r="D3043" s="212" t="n"/>
      <c r="E3043" s="75">
        <f>+C3043&amp;F3043</f>
        <v/>
      </c>
      <c r="F3043" s="80" t="n"/>
      <c r="G3043" s="81" t="n"/>
      <c r="H3043" s="78" t="n"/>
      <c r="I3043" s="78" t="n"/>
      <c r="J3043" s="78" t="n"/>
    </row>
    <row r="3044">
      <c r="A3044" s="84">
        <f>ROW()-6</f>
        <v/>
      </c>
      <c r="B3044" s="85">
        <f>+MATCH(D3044,ARTICULOS!$F$10:$F$699,0)</f>
        <v/>
      </c>
      <c r="C3044" s="86">
        <f>+VLOOKUP(B3044,ARTICULOS!$D$10:$I$699,6)</f>
        <v/>
      </c>
      <c r="D3044" s="212" t="n"/>
      <c r="E3044" s="75">
        <f>+C3044&amp;F3044</f>
        <v/>
      </c>
      <c r="F3044" s="80" t="n"/>
      <c r="G3044" s="81" t="n"/>
      <c r="H3044" s="78" t="n"/>
      <c r="I3044" s="78" t="n"/>
      <c r="J3044" s="78" t="n"/>
    </row>
    <row r="3045">
      <c r="A3045" s="84">
        <f>ROW()-6</f>
        <v/>
      </c>
      <c r="B3045" s="85">
        <f>+MATCH(D3045,ARTICULOS!$F$10:$F$699,0)</f>
        <v/>
      </c>
      <c r="C3045" s="86">
        <f>+VLOOKUP(B3045,ARTICULOS!$D$10:$I$699,6)</f>
        <v/>
      </c>
      <c r="D3045" s="212" t="n"/>
      <c r="E3045" s="75">
        <f>+C3045&amp;F3045</f>
        <v/>
      </c>
      <c r="F3045" s="80" t="n"/>
      <c r="G3045" s="81" t="n"/>
      <c r="H3045" s="78" t="n"/>
      <c r="I3045" s="78" t="n"/>
      <c r="J3045" s="78" t="n"/>
    </row>
    <row r="3046">
      <c r="A3046" s="84">
        <f>ROW()-6</f>
        <v/>
      </c>
      <c r="B3046" s="85">
        <f>+MATCH(D3046,ARTICULOS!$F$10:$F$699,0)</f>
        <v/>
      </c>
      <c r="C3046" s="86">
        <f>+VLOOKUP(B3046,ARTICULOS!$D$10:$I$699,6)</f>
        <v/>
      </c>
      <c r="D3046" s="212" t="n"/>
      <c r="E3046" s="75">
        <f>+C3046&amp;F3046</f>
        <v/>
      </c>
      <c r="F3046" s="80" t="n"/>
      <c r="G3046" s="81" t="n"/>
      <c r="H3046" s="78" t="n"/>
      <c r="I3046" s="78" t="n"/>
      <c r="J3046" s="78" t="n"/>
    </row>
    <row r="3047">
      <c r="A3047" s="84">
        <f>ROW()-6</f>
        <v/>
      </c>
      <c r="B3047" s="85">
        <f>+MATCH(D3047,ARTICULOS!$F$10:$F$699,0)</f>
        <v/>
      </c>
      <c r="C3047" s="86">
        <f>+VLOOKUP(B3047,ARTICULOS!$D$10:$I$699,6)</f>
        <v/>
      </c>
      <c r="D3047" s="212" t="n"/>
      <c r="E3047" s="75">
        <f>+C3047&amp;F3047</f>
        <v/>
      </c>
      <c r="F3047" s="80" t="n"/>
      <c r="G3047" s="81" t="n"/>
      <c r="H3047" s="78" t="n"/>
      <c r="I3047" s="78" t="n"/>
      <c r="J3047" s="78" t="n"/>
    </row>
    <row r="3048">
      <c r="A3048" s="84">
        <f>ROW()-6</f>
        <v/>
      </c>
      <c r="B3048" s="85">
        <f>+MATCH(D3048,ARTICULOS!$F$10:$F$699,0)</f>
        <v/>
      </c>
      <c r="C3048" s="86">
        <f>+VLOOKUP(B3048,ARTICULOS!$D$10:$I$699,6)</f>
        <v/>
      </c>
      <c r="D3048" s="212" t="n"/>
      <c r="E3048" s="75">
        <f>+C3048&amp;F3048</f>
        <v/>
      </c>
      <c r="F3048" s="80" t="n"/>
      <c r="G3048" s="81" t="n"/>
      <c r="H3048" s="78" t="n"/>
      <c r="I3048" s="78" t="n"/>
      <c r="J3048" s="78" t="n"/>
    </row>
    <row r="3049">
      <c r="A3049" s="84">
        <f>ROW()-6</f>
        <v/>
      </c>
      <c r="B3049" s="85">
        <f>+MATCH(D3049,ARTICULOS!$F$10:$F$699,0)</f>
        <v/>
      </c>
      <c r="C3049" s="86">
        <f>+VLOOKUP(B3049,ARTICULOS!$D$10:$I$699,6)</f>
        <v/>
      </c>
      <c r="D3049" s="212" t="n"/>
      <c r="E3049" s="75">
        <f>+C3049&amp;F3049</f>
        <v/>
      </c>
      <c r="F3049" s="80" t="n"/>
      <c r="G3049" s="81" t="n"/>
      <c r="H3049" s="78" t="n"/>
      <c r="I3049" s="78" t="n"/>
      <c r="J3049" s="78" t="n"/>
    </row>
    <row r="3050">
      <c r="A3050" s="84">
        <f>ROW()-6</f>
        <v/>
      </c>
      <c r="B3050" s="85">
        <f>+MATCH(D3050,ARTICULOS!$F$10:$F$699,0)</f>
        <v/>
      </c>
      <c r="C3050" s="86">
        <f>+VLOOKUP(B3050,ARTICULOS!$D$10:$I$699,6)</f>
        <v/>
      </c>
      <c r="D3050" s="212" t="n"/>
      <c r="E3050" s="75">
        <f>+C3050&amp;F3050</f>
        <v/>
      </c>
      <c r="F3050" s="80" t="n"/>
      <c r="G3050" s="81" t="n"/>
      <c r="H3050" s="78" t="n"/>
      <c r="I3050" s="78" t="n"/>
      <c r="J3050" s="78" t="n"/>
    </row>
    <row r="3051">
      <c r="A3051" s="84">
        <f>ROW()-6</f>
        <v/>
      </c>
      <c r="B3051" s="85">
        <f>+MATCH(D3051,ARTICULOS!$F$10:$F$699,0)</f>
        <v/>
      </c>
      <c r="C3051" s="86">
        <f>+VLOOKUP(B3051,ARTICULOS!$D$10:$I$699,6)</f>
        <v/>
      </c>
      <c r="D3051" s="212" t="n"/>
      <c r="E3051" s="75">
        <f>+C3051&amp;F3051</f>
        <v/>
      </c>
      <c r="F3051" s="80" t="n"/>
      <c r="G3051" s="81" t="n"/>
      <c r="H3051" s="78" t="n"/>
      <c r="I3051" s="78" t="n"/>
      <c r="J3051" s="78" t="n"/>
    </row>
    <row r="3052">
      <c r="A3052" s="84">
        <f>ROW()-6</f>
        <v/>
      </c>
      <c r="B3052" s="85">
        <f>+MATCH(D3052,ARTICULOS!$F$10:$F$699,0)</f>
        <v/>
      </c>
      <c r="C3052" s="86">
        <f>+VLOOKUP(B3052,ARTICULOS!$D$10:$I$699,6)</f>
        <v/>
      </c>
      <c r="D3052" s="212" t="n"/>
      <c r="E3052" s="75">
        <f>+C3052&amp;F3052</f>
        <v/>
      </c>
      <c r="F3052" s="80" t="n"/>
      <c r="G3052" s="81" t="n"/>
      <c r="H3052" s="78" t="n"/>
      <c r="I3052" s="78" t="n"/>
      <c r="J3052" s="78" t="n"/>
    </row>
    <row r="3053">
      <c r="A3053" s="84">
        <f>ROW()-6</f>
        <v/>
      </c>
      <c r="B3053" s="85">
        <f>+MATCH(D3053,ARTICULOS!$F$10:$F$699,0)</f>
        <v/>
      </c>
      <c r="C3053" s="86">
        <f>+VLOOKUP(B3053,ARTICULOS!$D$10:$I$699,6)</f>
        <v/>
      </c>
      <c r="D3053" s="212" t="n"/>
      <c r="E3053" s="75">
        <f>+C3053&amp;F3053</f>
        <v/>
      </c>
      <c r="F3053" s="80" t="n"/>
      <c r="G3053" s="81" t="n"/>
      <c r="H3053" s="78" t="n"/>
      <c r="I3053" s="78" t="n"/>
      <c r="J3053" s="78" t="n"/>
    </row>
    <row r="3054">
      <c r="A3054" s="84">
        <f>ROW()-6</f>
        <v/>
      </c>
      <c r="B3054" s="85">
        <f>+MATCH(D3054,ARTICULOS!$F$10:$F$699,0)</f>
        <v/>
      </c>
      <c r="C3054" s="86">
        <f>+VLOOKUP(B3054,ARTICULOS!$D$10:$I$699,6)</f>
        <v/>
      </c>
      <c r="D3054" s="212" t="n"/>
      <c r="E3054" s="75">
        <f>+C3054&amp;F3054</f>
        <v/>
      </c>
      <c r="F3054" s="80" t="n"/>
      <c r="G3054" s="81" t="n"/>
      <c r="H3054" s="78" t="n"/>
      <c r="I3054" s="78" t="n"/>
      <c r="J3054" s="78" t="n"/>
    </row>
    <row r="3055">
      <c r="A3055" s="84">
        <f>ROW()-6</f>
        <v/>
      </c>
      <c r="B3055" s="85">
        <f>+MATCH(D3055,ARTICULOS!$F$10:$F$699,0)</f>
        <v/>
      </c>
      <c r="C3055" s="86">
        <f>+VLOOKUP(B3055,ARTICULOS!$D$10:$I$699,6)</f>
        <v/>
      </c>
      <c r="D3055" s="212" t="n"/>
      <c r="E3055" s="75">
        <f>+C3055&amp;F3055</f>
        <v/>
      </c>
      <c r="F3055" s="80" t="n"/>
      <c r="G3055" s="81" t="n"/>
      <c r="H3055" s="78" t="n"/>
      <c r="I3055" s="78" t="n"/>
      <c r="J3055" s="78" t="n"/>
    </row>
    <row r="3056">
      <c r="A3056" s="84">
        <f>ROW()-6</f>
        <v/>
      </c>
      <c r="B3056" s="85">
        <f>+MATCH(D3056,ARTICULOS!$F$10:$F$699,0)</f>
        <v/>
      </c>
      <c r="C3056" s="86">
        <f>+VLOOKUP(B3056,ARTICULOS!$D$10:$I$699,6)</f>
        <v/>
      </c>
      <c r="D3056" s="212" t="n"/>
      <c r="E3056" s="75">
        <f>+C3056&amp;F3056</f>
        <v/>
      </c>
      <c r="F3056" s="80" t="n"/>
      <c r="G3056" s="81" t="n"/>
      <c r="H3056" s="78" t="n"/>
      <c r="I3056" s="78" t="n"/>
      <c r="J3056" s="78" t="n"/>
    </row>
    <row r="3057">
      <c r="A3057" s="84">
        <f>ROW()-6</f>
        <v/>
      </c>
      <c r="B3057" s="85">
        <f>+MATCH(D3057,ARTICULOS!$F$10:$F$699,0)</f>
        <v/>
      </c>
      <c r="C3057" s="86">
        <f>+VLOOKUP(B3057,ARTICULOS!$D$10:$I$699,6)</f>
        <v/>
      </c>
      <c r="D3057" s="212" t="n"/>
      <c r="E3057" s="75">
        <f>+C3057&amp;F3057</f>
        <v/>
      </c>
      <c r="F3057" s="80" t="n"/>
      <c r="G3057" s="81" t="n"/>
      <c r="H3057" s="78" t="n"/>
      <c r="I3057" s="78" t="n"/>
      <c r="J3057" s="78" t="n"/>
    </row>
    <row r="3058">
      <c r="A3058" s="84">
        <f>ROW()-6</f>
        <v/>
      </c>
      <c r="B3058" s="85">
        <f>+MATCH(D3058,ARTICULOS!$F$10:$F$699,0)</f>
        <v/>
      </c>
      <c r="C3058" s="86">
        <f>+VLOOKUP(B3058,ARTICULOS!$D$10:$I$699,6)</f>
        <v/>
      </c>
      <c r="D3058" s="212" t="n"/>
      <c r="E3058" s="75">
        <f>+C3058&amp;F3058</f>
        <v/>
      </c>
      <c r="F3058" s="80" t="n"/>
      <c r="G3058" s="81" t="n"/>
      <c r="H3058" s="78" t="n"/>
      <c r="I3058" s="78" t="n"/>
      <c r="J3058" s="78" t="n"/>
    </row>
    <row r="3059">
      <c r="A3059" s="84">
        <f>ROW()-6</f>
        <v/>
      </c>
      <c r="B3059" s="85">
        <f>+MATCH(D3059,ARTICULOS!$F$10:$F$699,0)</f>
        <v/>
      </c>
      <c r="C3059" s="86">
        <f>+VLOOKUP(B3059,ARTICULOS!$D$10:$I$699,6)</f>
        <v/>
      </c>
      <c r="D3059" s="212" t="n"/>
      <c r="E3059" s="75">
        <f>+C3059&amp;F3059</f>
        <v/>
      </c>
      <c r="F3059" s="80" t="n"/>
      <c r="G3059" s="81" t="n"/>
      <c r="H3059" s="78" t="n"/>
      <c r="I3059" s="78" t="n"/>
      <c r="J3059" s="78" t="n"/>
    </row>
    <row r="3060">
      <c r="A3060" s="84">
        <f>ROW()-6</f>
        <v/>
      </c>
      <c r="B3060" s="85">
        <f>+MATCH(D3060,ARTICULOS!$F$10:$F$699,0)</f>
        <v/>
      </c>
      <c r="C3060" s="86">
        <f>+VLOOKUP(B3060,ARTICULOS!$D$10:$I$699,6)</f>
        <v/>
      </c>
      <c r="D3060" s="212" t="n"/>
      <c r="E3060" s="75">
        <f>+C3060&amp;F3060</f>
        <v/>
      </c>
      <c r="F3060" s="80" t="n"/>
      <c r="G3060" s="81" t="n"/>
      <c r="H3060" s="78" t="n"/>
      <c r="I3060" s="78" t="n"/>
      <c r="J3060" s="78" t="n"/>
    </row>
    <row r="3061">
      <c r="A3061" s="84">
        <f>ROW()-6</f>
        <v/>
      </c>
      <c r="B3061" s="85">
        <f>+MATCH(D3061,ARTICULOS!$F$10:$F$699,0)</f>
        <v/>
      </c>
      <c r="C3061" s="86">
        <f>+VLOOKUP(B3061,ARTICULOS!$D$10:$I$699,6)</f>
        <v/>
      </c>
      <c r="D3061" s="212" t="n"/>
      <c r="E3061" s="75">
        <f>+C3061&amp;F3061</f>
        <v/>
      </c>
      <c r="F3061" s="80" t="n"/>
      <c r="G3061" s="81" t="n"/>
      <c r="H3061" s="78" t="n"/>
      <c r="I3061" s="78" t="n"/>
      <c r="J3061" s="78" t="n"/>
    </row>
    <row r="3062">
      <c r="A3062" s="84">
        <f>ROW()-6</f>
        <v/>
      </c>
      <c r="B3062" s="85">
        <f>+MATCH(D3062,ARTICULOS!$F$10:$F$699,0)</f>
        <v/>
      </c>
      <c r="C3062" s="86">
        <f>+VLOOKUP(B3062,ARTICULOS!$D$10:$I$699,6)</f>
        <v/>
      </c>
      <c r="D3062" s="212" t="n"/>
      <c r="E3062" s="75">
        <f>+C3062&amp;F3062</f>
        <v/>
      </c>
      <c r="F3062" s="80" t="n"/>
      <c r="G3062" s="81" t="n"/>
      <c r="H3062" s="78" t="n"/>
      <c r="I3062" s="78" t="n"/>
      <c r="J3062" s="78" t="n"/>
    </row>
    <row r="3063">
      <c r="A3063" s="84">
        <f>ROW()-6</f>
        <v/>
      </c>
      <c r="B3063" s="85">
        <f>+MATCH(D3063,ARTICULOS!$F$10:$F$699,0)</f>
        <v/>
      </c>
      <c r="C3063" s="86">
        <f>+VLOOKUP(B3063,ARTICULOS!$D$10:$I$699,6)</f>
        <v/>
      </c>
      <c r="D3063" s="212" t="n"/>
      <c r="E3063" s="75">
        <f>+C3063&amp;F3063</f>
        <v/>
      </c>
      <c r="F3063" s="80" t="n"/>
      <c r="G3063" s="81" t="n"/>
      <c r="H3063" s="78" t="n"/>
      <c r="I3063" s="78" t="n"/>
      <c r="J3063" s="78" t="n"/>
    </row>
    <row r="3064">
      <c r="A3064" s="84">
        <f>ROW()-6</f>
        <v/>
      </c>
      <c r="B3064" s="85">
        <f>+MATCH(D3064,ARTICULOS!$F$10:$F$699,0)</f>
        <v/>
      </c>
      <c r="C3064" s="86">
        <f>+VLOOKUP(B3064,ARTICULOS!$D$10:$I$699,6)</f>
        <v/>
      </c>
      <c r="D3064" s="212" t="n"/>
      <c r="E3064" s="75">
        <f>+C3064&amp;F3064</f>
        <v/>
      </c>
      <c r="F3064" s="80" t="n"/>
      <c r="G3064" s="81" t="n"/>
      <c r="H3064" s="78" t="n"/>
      <c r="I3064" s="78" t="n"/>
      <c r="J3064" s="78" t="n"/>
    </row>
    <row r="3065">
      <c r="A3065" s="84">
        <f>ROW()-6</f>
        <v/>
      </c>
      <c r="B3065" s="85">
        <f>+MATCH(D3065,ARTICULOS!$F$10:$F$699,0)</f>
        <v/>
      </c>
      <c r="C3065" s="86">
        <f>+VLOOKUP(B3065,ARTICULOS!$D$10:$I$699,6)</f>
        <v/>
      </c>
      <c r="D3065" s="212" t="n"/>
      <c r="E3065" s="75">
        <f>+C3065&amp;F3065</f>
        <v/>
      </c>
      <c r="F3065" s="80" t="n"/>
      <c r="G3065" s="81" t="n"/>
      <c r="H3065" s="78" t="n"/>
      <c r="I3065" s="78" t="n"/>
      <c r="J3065" s="78" t="n"/>
    </row>
    <row r="3066">
      <c r="A3066" s="84">
        <f>ROW()-6</f>
        <v/>
      </c>
      <c r="B3066" s="85">
        <f>+MATCH(D3066,ARTICULOS!$F$10:$F$699,0)</f>
        <v/>
      </c>
      <c r="C3066" s="86">
        <f>+VLOOKUP(B3066,ARTICULOS!$D$10:$I$699,6)</f>
        <v/>
      </c>
      <c r="D3066" s="212" t="n"/>
      <c r="E3066" s="75">
        <f>+C3066&amp;F3066</f>
        <v/>
      </c>
      <c r="F3066" s="80" t="n"/>
      <c r="G3066" s="81" t="n"/>
      <c r="H3066" s="78" t="n"/>
      <c r="I3066" s="78" t="n"/>
      <c r="J3066" s="78" t="n"/>
    </row>
    <row r="3067">
      <c r="A3067" s="84">
        <f>ROW()-6</f>
        <v/>
      </c>
      <c r="B3067" s="85">
        <f>+MATCH(D3067,ARTICULOS!$F$10:$F$699,0)</f>
        <v/>
      </c>
      <c r="C3067" s="86">
        <f>+VLOOKUP(B3067,ARTICULOS!$D$10:$I$699,6)</f>
        <v/>
      </c>
      <c r="D3067" s="212" t="n"/>
      <c r="E3067" s="75">
        <f>+C3067&amp;F3067</f>
        <v/>
      </c>
      <c r="F3067" s="80" t="n"/>
      <c r="G3067" s="81" t="n"/>
      <c r="H3067" s="78" t="n"/>
      <c r="I3067" s="78" t="n"/>
      <c r="J3067" s="78" t="n"/>
    </row>
    <row r="3068">
      <c r="A3068" s="84">
        <f>ROW()-6</f>
        <v/>
      </c>
      <c r="B3068" s="85">
        <f>+MATCH(D3068,ARTICULOS!$F$10:$F$699,0)</f>
        <v/>
      </c>
      <c r="C3068" s="86">
        <f>+VLOOKUP(B3068,ARTICULOS!$D$10:$I$699,6)</f>
        <v/>
      </c>
      <c r="D3068" s="212" t="n"/>
      <c r="E3068" s="75">
        <f>+C3068&amp;F3068</f>
        <v/>
      </c>
      <c r="F3068" s="80" t="n"/>
      <c r="G3068" s="81" t="n"/>
      <c r="H3068" s="78" t="n"/>
      <c r="I3068" s="78" t="n"/>
      <c r="J3068" s="78" t="n"/>
    </row>
    <row r="3069">
      <c r="A3069" s="84">
        <f>ROW()-6</f>
        <v/>
      </c>
      <c r="B3069" s="85">
        <f>+MATCH(D3069,ARTICULOS!$F$10:$F$699,0)</f>
        <v/>
      </c>
      <c r="C3069" s="86">
        <f>+VLOOKUP(B3069,ARTICULOS!$D$10:$I$699,6)</f>
        <v/>
      </c>
      <c r="D3069" s="212" t="n"/>
      <c r="E3069" s="75">
        <f>+C3069&amp;F3069</f>
        <v/>
      </c>
      <c r="F3069" s="80" t="n"/>
      <c r="G3069" s="81" t="n"/>
      <c r="H3069" s="78" t="n"/>
      <c r="I3069" s="78" t="n"/>
      <c r="J3069" s="78" t="n"/>
    </row>
    <row r="3070">
      <c r="A3070" s="84">
        <f>ROW()-6</f>
        <v/>
      </c>
      <c r="B3070" s="85">
        <f>+MATCH(D3070,ARTICULOS!$F$10:$F$699,0)</f>
        <v/>
      </c>
      <c r="C3070" s="86">
        <f>+VLOOKUP(B3070,ARTICULOS!$D$10:$I$699,6)</f>
        <v/>
      </c>
      <c r="D3070" s="212" t="n"/>
      <c r="E3070" s="75">
        <f>+C3070&amp;F3070</f>
        <v/>
      </c>
      <c r="F3070" s="80" t="n"/>
      <c r="G3070" s="81" t="n"/>
      <c r="H3070" s="78" t="n"/>
      <c r="I3070" s="78" t="n"/>
      <c r="J3070" s="78" t="n"/>
    </row>
    <row r="3071">
      <c r="A3071" s="84">
        <f>ROW()-6</f>
        <v/>
      </c>
      <c r="B3071" s="85">
        <f>+MATCH(D3071,ARTICULOS!$F$10:$F$699,0)</f>
        <v/>
      </c>
      <c r="C3071" s="86">
        <f>+VLOOKUP(B3071,ARTICULOS!$D$10:$I$699,6)</f>
        <v/>
      </c>
      <c r="D3071" s="212" t="n"/>
      <c r="E3071" s="75">
        <f>+C3071&amp;F3071</f>
        <v/>
      </c>
      <c r="F3071" s="80" t="n"/>
      <c r="G3071" s="81" t="n"/>
      <c r="H3071" s="78" t="n"/>
      <c r="I3071" s="78" t="n"/>
      <c r="J3071" s="78" t="n"/>
    </row>
    <row r="3072">
      <c r="A3072" s="84">
        <f>ROW()-6</f>
        <v/>
      </c>
      <c r="B3072" s="85">
        <f>+MATCH(D3072,ARTICULOS!$F$10:$F$699,0)</f>
        <v/>
      </c>
      <c r="C3072" s="86">
        <f>+VLOOKUP(B3072,ARTICULOS!$D$10:$I$699,6)</f>
        <v/>
      </c>
      <c r="D3072" s="212" t="n"/>
      <c r="E3072" s="75">
        <f>+C3072&amp;F3072</f>
        <v/>
      </c>
      <c r="F3072" s="80" t="n"/>
      <c r="G3072" s="81" t="n"/>
      <c r="H3072" s="78" t="n"/>
      <c r="I3072" s="78" t="n"/>
      <c r="J3072" s="78" t="n"/>
    </row>
    <row r="3073">
      <c r="A3073" s="84">
        <f>ROW()-6</f>
        <v/>
      </c>
      <c r="B3073" s="85">
        <f>+MATCH(D3073,ARTICULOS!$F$10:$F$699,0)</f>
        <v/>
      </c>
      <c r="C3073" s="86">
        <f>+VLOOKUP(B3073,ARTICULOS!$D$10:$I$699,6)</f>
        <v/>
      </c>
      <c r="D3073" s="212" t="n"/>
      <c r="E3073" s="75">
        <f>+C3073&amp;F3073</f>
        <v/>
      </c>
      <c r="F3073" s="80" t="n"/>
      <c r="G3073" s="81" t="n"/>
      <c r="H3073" s="78" t="n"/>
      <c r="I3073" s="78" t="n"/>
      <c r="J3073" s="78" t="n"/>
    </row>
    <row r="3074">
      <c r="A3074" s="84">
        <f>ROW()-6</f>
        <v/>
      </c>
      <c r="B3074" s="85">
        <f>+MATCH(D3074,ARTICULOS!$F$10:$F$699,0)</f>
        <v/>
      </c>
      <c r="C3074" s="86">
        <f>+VLOOKUP(B3074,ARTICULOS!$D$10:$I$699,6)</f>
        <v/>
      </c>
      <c r="D3074" s="212" t="n"/>
      <c r="E3074" s="75">
        <f>+C3074&amp;F3074</f>
        <v/>
      </c>
      <c r="F3074" s="80" t="n"/>
      <c r="G3074" s="81" t="n"/>
      <c r="H3074" s="78" t="n"/>
      <c r="I3074" s="78" t="n"/>
      <c r="J3074" s="78" t="n"/>
    </row>
    <row r="3075">
      <c r="A3075" s="84">
        <f>ROW()-6</f>
        <v/>
      </c>
      <c r="B3075" s="85">
        <f>+MATCH(D3075,ARTICULOS!$F$10:$F$699,0)</f>
        <v/>
      </c>
      <c r="C3075" s="86">
        <f>+VLOOKUP(B3075,ARTICULOS!$D$10:$I$699,6)</f>
        <v/>
      </c>
      <c r="D3075" s="212" t="n"/>
      <c r="E3075" s="75">
        <f>+C3075&amp;F3075</f>
        <v/>
      </c>
      <c r="F3075" s="80" t="n"/>
      <c r="G3075" s="81" t="n"/>
      <c r="H3075" s="78" t="n"/>
      <c r="I3075" s="78" t="n"/>
      <c r="J3075" s="78" t="n"/>
    </row>
    <row r="3076">
      <c r="A3076" s="84">
        <f>ROW()-6</f>
        <v/>
      </c>
      <c r="B3076" s="85">
        <f>+MATCH(D3076,ARTICULOS!$F$10:$F$699,0)</f>
        <v/>
      </c>
      <c r="C3076" s="86">
        <f>+VLOOKUP(B3076,ARTICULOS!$D$10:$I$699,6)</f>
        <v/>
      </c>
      <c r="D3076" s="212" t="n"/>
      <c r="E3076" s="75">
        <f>+C3076&amp;F3076</f>
        <v/>
      </c>
      <c r="F3076" s="80" t="n"/>
      <c r="G3076" s="81" t="n"/>
      <c r="H3076" s="78" t="n"/>
      <c r="I3076" s="78" t="n"/>
      <c r="J3076" s="78" t="n"/>
    </row>
    <row r="3077">
      <c r="A3077" s="84">
        <f>ROW()-6</f>
        <v/>
      </c>
      <c r="B3077" s="85">
        <f>+MATCH(D3077,ARTICULOS!$F$10:$F$699,0)</f>
        <v/>
      </c>
      <c r="C3077" s="86">
        <f>+VLOOKUP(B3077,ARTICULOS!$D$10:$I$699,6)</f>
        <v/>
      </c>
      <c r="D3077" s="212" t="n"/>
      <c r="E3077" s="75">
        <f>+C3077&amp;F3077</f>
        <v/>
      </c>
      <c r="F3077" s="80" t="n"/>
      <c r="G3077" s="81" t="n"/>
      <c r="H3077" s="78" t="n"/>
      <c r="I3077" s="78" t="n"/>
      <c r="J3077" s="78" t="n"/>
    </row>
    <row r="3078">
      <c r="A3078" s="84">
        <f>ROW()-6</f>
        <v/>
      </c>
      <c r="B3078" s="85">
        <f>+MATCH(D3078,ARTICULOS!$F$10:$F$699,0)</f>
        <v/>
      </c>
      <c r="C3078" s="86">
        <f>+VLOOKUP(B3078,ARTICULOS!$D$10:$I$699,6)</f>
        <v/>
      </c>
      <c r="D3078" s="212" t="n"/>
      <c r="E3078" s="75">
        <f>+C3078&amp;F3078</f>
        <v/>
      </c>
      <c r="F3078" s="80" t="n"/>
      <c r="G3078" s="81" t="n"/>
      <c r="H3078" s="78" t="n"/>
      <c r="I3078" s="78" t="n"/>
      <c r="J3078" s="78" t="n"/>
    </row>
    <row r="3079">
      <c r="A3079" s="84">
        <f>ROW()-6</f>
        <v/>
      </c>
      <c r="B3079" s="85">
        <f>+MATCH(D3079,ARTICULOS!$F$10:$F$699,0)</f>
        <v/>
      </c>
      <c r="C3079" s="86">
        <f>+VLOOKUP(B3079,ARTICULOS!$D$10:$I$699,6)</f>
        <v/>
      </c>
      <c r="D3079" s="212" t="n"/>
      <c r="E3079" s="75">
        <f>+C3079&amp;F3079</f>
        <v/>
      </c>
      <c r="F3079" s="80" t="n"/>
      <c r="G3079" s="81" t="n"/>
      <c r="H3079" s="78" t="n"/>
      <c r="I3079" s="78" t="n"/>
      <c r="J3079" s="78" t="n"/>
    </row>
    <row r="3080">
      <c r="A3080" s="84">
        <f>ROW()-6</f>
        <v/>
      </c>
      <c r="B3080" s="85">
        <f>+MATCH(D3080,ARTICULOS!$F$10:$F$699,0)</f>
        <v/>
      </c>
      <c r="C3080" s="86">
        <f>+VLOOKUP(B3080,ARTICULOS!$D$10:$I$699,6)</f>
        <v/>
      </c>
      <c r="D3080" s="212" t="n"/>
      <c r="E3080" s="75">
        <f>+C3080&amp;F3080</f>
        <v/>
      </c>
      <c r="F3080" s="80" t="n"/>
      <c r="G3080" s="81" t="n"/>
      <c r="H3080" s="78" t="n"/>
      <c r="I3080" s="78" t="n"/>
      <c r="J3080" s="78" t="n"/>
    </row>
    <row r="3081">
      <c r="A3081" s="84">
        <f>ROW()-6</f>
        <v/>
      </c>
      <c r="B3081" s="85">
        <f>+MATCH(D3081,ARTICULOS!$F$10:$F$699,0)</f>
        <v/>
      </c>
      <c r="C3081" s="86">
        <f>+VLOOKUP(B3081,ARTICULOS!$D$10:$I$699,6)</f>
        <v/>
      </c>
      <c r="D3081" s="212" t="n"/>
      <c r="E3081" s="75">
        <f>+C3081&amp;F3081</f>
        <v/>
      </c>
      <c r="F3081" s="80" t="n"/>
      <c r="G3081" s="81" t="n"/>
      <c r="H3081" s="78" t="n"/>
      <c r="I3081" s="78" t="n"/>
      <c r="J3081" s="78" t="n"/>
    </row>
    <row r="3082">
      <c r="A3082" s="84">
        <f>ROW()-6</f>
        <v/>
      </c>
      <c r="B3082" s="85">
        <f>+MATCH(D3082,ARTICULOS!$F$10:$F$699,0)</f>
        <v/>
      </c>
      <c r="C3082" s="86">
        <f>+VLOOKUP(B3082,ARTICULOS!$D$10:$I$699,6)</f>
        <v/>
      </c>
      <c r="D3082" s="212" t="n"/>
      <c r="E3082" s="75">
        <f>+C3082&amp;F3082</f>
        <v/>
      </c>
      <c r="F3082" s="80" t="n"/>
      <c r="G3082" s="81" t="n"/>
      <c r="H3082" s="78" t="n"/>
      <c r="I3082" s="78" t="n"/>
      <c r="J3082" s="78" t="n"/>
    </row>
    <row r="3083">
      <c r="A3083" s="84">
        <f>ROW()-6</f>
        <v/>
      </c>
      <c r="B3083" s="85">
        <f>+MATCH(D3083,ARTICULOS!$F$10:$F$699,0)</f>
        <v/>
      </c>
      <c r="C3083" s="86">
        <f>+VLOOKUP(B3083,ARTICULOS!$D$10:$I$699,6)</f>
        <v/>
      </c>
      <c r="D3083" s="212" t="n"/>
      <c r="E3083" s="75">
        <f>+C3083&amp;F3083</f>
        <v/>
      </c>
      <c r="F3083" s="80" t="n"/>
      <c r="G3083" s="81" t="n"/>
      <c r="H3083" s="78" t="n"/>
      <c r="I3083" s="78" t="n"/>
      <c r="J3083" s="78" t="n"/>
    </row>
    <row r="3084">
      <c r="A3084" s="84">
        <f>ROW()-6</f>
        <v/>
      </c>
      <c r="B3084" s="85">
        <f>+MATCH(D3084,ARTICULOS!$F$10:$F$699,0)</f>
        <v/>
      </c>
      <c r="C3084" s="86">
        <f>+VLOOKUP(B3084,ARTICULOS!$D$10:$I$699,6)</f>
        <v/>
      </c>
      <c r="D3084" s="212" t="n"/>
      <c r="E3084" s="75">
        <f>+C3084&amp;F3084</f>
        <v/>
      </c>
      <c r="F3084" s="80" t="n"/>
      <c r="G3084" s="81" t="n"/>
      <c r="H3084" s="78" t="n"/>
      <c r="I3084" s="78" t="n"/>
      <c r="J3084" s="78" t="n"/>
    </row>
    <row r="3085">
      <c r="A3085" s="84">
        <f>ROW()-6</f>
        <v/>
      </c>
      <c r="B3085" s="85">
        <f>+MATCH(D3085,ARTICULOS!$F$10:$F$699,0)</f>
        <v/>
      </c>
      <c r="C3085" s="86">
        <f>+VLOOKUP(B3085,ARTICULOS!$D$10:$I$699,6)</f>
        <v/>
      </c>
      <c r="D3085" s="212" t="n"/>
      <c r="E3085" s="75">
        <f>+C3085&amp;F3085</f>
        <v/>
      </c>
      <c r="F3085" s="80" t="n"/>
      <c r="G3085" s="81" t="n"/>
      <c r="H3085" s="78" t="n"/>
      <c r="I3085" s="78" t="n"/>
      <c r="J3085" s="78" t="n"/>
    </row>
    <row r="3086">
      <c r="A3086" s="84">
        <f>ROW()-6</f>
        <v/>
      </c>
      <c r="B3086" s="85">
        <f>+MATCH(D3086,ARTICULOS!$F$10:$F$699,0)</f>
        <v/>
      </c>
      <c r="C3086" s="86">
        <f>+VLOOKUP(B3086,ARTICULOS!$D$10:$I$699,6)</f>
        <v/>
      </c>
      <c r="D3086" s="212" t="n"/>
      <c r="E3086" s="75">
        <f>+C3086&amp;F3086</f>
        <v/>
      </c>
      <c r="F3086" s="80" t="n"/>
      <c r="G3086" s="81" t="n"/>
      <c r="H3086" s="78" t="n"/>
      <c r="I3086" s="78" t="n"/>
      <c r="J3086" s="78" t="n"/>
    </row>
    <row r="3087">
      <c r="A3087" s="84">
        <f>ROW()-6</f>
        <v/>
      </c>
      <c r="B3087" s="85">
        <f>+MATCH(D3087,ARTICULOS!$F$10:$F$699,0)</f>
        <v/>
      </c>
      <c r="C3087" s="86">
        <f>+VLOOKUP(B3087,ARTICULOS!$D$10:$I$699,6)</f>
        <v/>
      </c>
      <c r="D3087" s="212" t="n"/>
      <c r="E3087" s="75">
        <f>+C3087&amp;F3087</f>
        <v/>
      </c>
      <c r="F3087" s="80" t="n"/>
      <c r="G3087" s="81" t="n"/>
      <c r="H3087" s="78" t="n"/>
      <c r="I3087" s="78" t="n"/>
      <c r="J3087" s="78" t="n"/>
    </row>
    <row r="3088">
      <c r="A3088" s="84">
        <f>ROW()-6</f>
        <v/>
      </c>
      <c r="B3088" s="85">
        <f>+MATCH(D3088,ARTICULOS!$F$10:$F$699,0)</f>
        <v/>
      </c>
      <c r="C3088" s="86">
        <f>+VLOOKUP(B3088,ARTICULOS!$D$10:$I$699,6)</f>
        <v/>
      </c>
      <c r="D3088" s="212" t="n"/>
      <c r="E3088" s="75">
        <f>+C3088&amp;F3088</f>
        <v/>
      </c>
      <c r="F3088" s="80" t="n"/>
      <c r="G3088" s="81" t="n"/>
      <c r="H3088" s="78" t="n"/>
      <c r="I3088" s="78" t="n"/>
      <c r="J3088" s="78" t="n"/>
    </row>
    <row r="3089">
      <c r="A3089" s="84">
        <f>ROW()-6</f>
        <v/>
      </c>
      <c r="B3089" s="85">
        <f>+MATCH(D3089,ARTICULOS!$F$10:$F$699,0)</f>
        <v/>
      </c>
      <c r="C3089" s="86">
        <f>+VLOOKUP(B3089,ARTICULOS!$D$10:$I$699,6)</f>
        <v/>
      </c>
      <c r="D3089" s="212" t="n"/>
      <c r="E3089" s="75">
        <f>+C3089&amp;F3089</f>
        <v/>
      </c>
      <c r="F3089" s="80" t="n"/>
      <c r="G3089" s="81" t="n"/>
      <c r="H3089" s="78" t="n"/>
      <c r="I3089" s="78" t="n"/>
      <c r="J3089" s="78" t="n"/>
    </row>
    <row r="3090">
      <c r="A3090" s="84">
        <f>ROW()-6</f>
        <v/>
      </c>
      <c r="B3090" s="85">
        <f>+MATCH(D3090,ARTICULOS!$F$10:$F$699,0)</f>
        <v/>
      </c>
      <c r="C3090" s="86">
        <f>+VLOOKUP(B3090,ARTICULOS!$D$10:$I$699,6)</f>
        <v/>
      </c>
      <c r="D3090" s="212" t="n"/>
      <c r="E3090" s="75">
        <f>+C3090&amp;F3090</f>
        <v/>
      </c>
      <c r="F3090" s="80" t="n"/>
      <c r="G3090" s="81" t="n"/>
      <c r="H3090" s="78" t="n"/>
      <c r="I3090" s="78" t="n"/>
      <c r="J3090" s="78" t="n"/>
    </row>
    <row r="3091">
      <c r="A3091" s="84">
        <f>ROW()-6</f>
        <v/>
      </c>
      <c r="B3091" s="85">
        <f>+MATCH(D3091,ARTICULOS!$F$10:$F$699,0)</f>
        <v/>
      </c>
      <c r="C3091" s="86">
        <f>+VLOOKUP(B3091,ARTICULOS!$D$10:$I$699,6)</f>
        <v/>
      </c>
      <c r="D3091" s="212" t="n"/>
      <c r="E3091" s="75">
        <f>+C3091&amp;F3091</f>
        <v/>
      </c>
      <c r="F3091" s="80" t="n"/>
      <c r="G3091" s="81" t="n"/>
      <c r="H3091" s="78" t="n"/>
      <c r="I3091" s="78" t="n"/>
      <c r="J3091" s="78" t="n"/>
    </row>
    <row r="3092">
      <c r="A3092" s="84">
        <f>ROW()-6</f>
        <v/>
      </c>
      <c r="B3092" s="85">
        <f>+MATCH(D3092,ARTICULOS!$F$10:$F$699,0)</f>
        <v/>
      </c>
      <c r="C3092" s="86">
        <f>+VLOOKUP(B3092,ARTICULOS!$D$10:$I$699,6)</f>
        <v/>
      </c>
      <c r="D3092" s="212" t="n"/>
      <c r="E3092" s="75">
        <f>+C3092&amp;F3092</f>
        <v/>
      </c>
      <c r="F3092" s="80" t="n"/>
      <c r="G3092" s="81" t="n"/>
      <c r="H3092" s="78" t="n"/>
      <c r="I3092" s="78" t="n"/>
      <c r="J3092" s="78" t="n"/>
    </row>
    <row r="3093">
      <c r="A3093" s="84">
        <f>ROW()-6</f>
        <v/>
      </c>
      <c r="B3093" s="85">
        <f>+MATCH(D3093,ARTICULOS!$F$10:$F$699,0)</f>
        <v/>
      </c>
      <c r="C3093" s="86">
        <f>+VLOOKUP(B3093,ARTICULOS!$D$10:$I$699,6)</f>
        <v/>
      </c>
      <c r="D3093" s="212" t="n"/>
      <c r="E3093" s="75">
        <f>+C3093&amp;F3093</f>
        <v/>
      </c>
      <c r="F3093" s="80" t="n"/>
      <c r="G3093" s="81" t="n"/>
      <c r="H3093" s="78" t="n"/>
      <c r="I3093" s="78" t="n"/>
      <c r="J3093" s="78" t="n"/>
    </row>
    <row r="3094">
      <c r="A3094" s="84">
        <f>ROW()-6</f>
        <v/>
      </c>
      <c r="B3094" s="85">
        <f>+MATCH(D3094,ARTICULOS!$F$10:$F$699,0)</f>
        <v/>
      </c>
      <c r="C3094" s="86">
        <f>+VLOOKUP(B3094,ARTICULOS!$D$10:$I$699,6)</f>
        <v/>
      </c>
      <c r="D3094" s="212" t="n"/>
      <c r="E3094" s="75">
        <f>+C3094&amp;F3094</f>
        <v/>
      </c>
      <c r="F3094" s="80" t="n"/>
      <c r="G3094" s="81" t="n"/>
      <c r="H3094" s="78" t="n"/>
      <c r="I3094" s="78" t="n"/>
      <c r="J3094" s="78" t="n"/>
    </row>
    <row r="3095">
      <c r="A3095" s="84">
        <f>ROW()-6</f>
        <v/>
      </c>
      <c r="B3095" s="85">
        <f>+MATCH(D3095,ARTICULOS!$F$10:$F$699,0)</f>
        <v/>
      </c>
      <c r="C3095" s="86">
        <f>+VLOOKUP(B3095,ARTICULOS!$D$10:$I$699,6)</f>
        <v/>
      </c>
      <c r="D3095" s="212" t="n"/>
      <c r="E3095" s="75">
        <f>+C3095&amp;F3095</f>
        <v/>
      </c>
      <c r="F3095" s="80" t="n"/>
      <c r="G3095" s="81" t="n"/>
      <c r="H3095" s="78" t="n"/>
      <c r="I3095" s="78" t="n"/>
      <c r="J3095" s="78" t="n"/>
    </row>
    <row r="3096">
      <c r="A3096" s="84">
        <f>ROW()-6</f>
        <v/>
      </c>
      <c r="B3096" s="85">
        <f>+MATCH(D3096,ARTICULOS!$F$10:$F$699,0)</f>
        <v/>
      </c>
      <c r="C3096" s="86">
        <f>+VLOOKUP(B3096,ARTICULOS!$D$10:$I$699,6)</f>
        <v/>
      </c>
      <c r="D3096" s="212" t="n"/>
      <c r="E3096" s="75">
        <f>+C3096&amp;F3096</f>
        <v/>
      </c>
      <c r="F3096" s="80" t="n"/>
      <c r="G3096" s="81" t="n"/>
      <c r="H3096" s="78" t="n"/>
      <c r="I3096" s="78" t="n"/>
      <c r="J3096" s="78" t="n"/>
    </row>
    <row r="3097">
      <c r="A3097" s="84">
        <f>ROW()-6</f>
        <v/>
      </c>
      <c r="B3097" s="85">
        <f>+MATCH(D3097,ARTICULOS!$F$10:$F$699,0)</f>
        <v/>
      </c>
      <c r="C3097" s="86">
        <f>+VLOOKUP(B3097,ARTICULOS!$D$10:$I$699,6)</f>
        <v/>
      </c>
      <c r="D3097" s="212" t="n"/>
      <c r="E3097" s="75">
        <f>+C3097&amp;F3097</f>
        <v/>
      </c>
      <c r="F3097" s="80" t="n"/>
      <c r="G3097" s="81" t="n"/>
      <c r="H3097" s="78" t="n"/>
      <c r="I3097" s="78" t="n"/>
      <c r="J3097" s="78" t="n"/>
    </row>
    <row r="3098">
      <c r="A3098" s="84">
        <f>ROW()-6</f>
        <v/>
      </c>
      <c r="B3098" s="85">
        <f>+MATCH(D3098,ARTICULOS!$F$10:$F$699,0)</f>
        <v/>
      </c>
      <c r="C3098" s="86">
        <f>+VLOOKUP(B3098,ARTICULOS!$D$10:$I$699,6)</f>
        <v/>
      </c>
      <c r="D3098" s="212" t="n"/>
      <c r="E3098" s="75">
        <f>+C3098&amp;F3098</f>
        <v/>
      </c>
      <c r="F3098" s="80" t="n"/>
      <c r="G3098" s="81" t="n"/>
      <c r="H3098" s="78" t="n"/>
      <c r="I3098" s="78" t="n"/>
      <c r="J3098" s="78" t="n"/>
    </row>
    <row r="3099">
      <c r="A3099" s="84">
        <f>ROW()-6</f>
        <v/>
      </c>
      <c r="B3099" s="85">
        <f>+MATCH(D3099,ARTICULOS!$F$10:$F$699,0)</f>
        <v/>
      </c>
      <c r="C3099" s="86">
        <f>+VLOOKUP(B3099,ARTICULOS!$D$10:$I$699,6)</f>
        <v/>
      </c>
      <c r="D3099" s="212" t="n"/>
      <c r="E3099" s="75">
        <f>+C3099&amp;F3099</f>
        <v/>
      </c>
      <c r="F3099" s="80" t="n"/>
      <c r="G3099" s="81" t="n"/>
      <c r="H3099" s="78" t="n"/>
      <c r="I3099" s="78" t="n"/>
      <c r="J3099" s="78" t="n"/>
    </row>
    <row r="3100">
      <c r="A3100" s="84">
        <f>ROW()-6</f>
        <v/>
      </c>
      <c r="B3100" s="85">
        <f>+MATCH(D3100,ARTICULOS!$F$10:$F$699,0)</f>
        <v/>
      </c>
      <c r="C3100" s="86">
        <f>+VLOOKUP(B3100,ARTICULOS!$D$10:$I$699,6)</f>
        <v/>
      </c>
      <c r="D3100" s="212" t="n"/>
      <c r="E3100" s="75">
        <f>+C3100&amp;F3100</f>
        <v/>
      </c>
      <c r="F3100" s="80" t="n"/>
      <c r="G3100" s="81" t="n"/>
      <c r="H3100" s="78" t="n"/>
      <c r="I3100" s="78" t="n"/>
      <c r="J3100" s="78" t="n"/>
    </row>
    <row r="3101">
      <c r="A3101" s="84">
        <f>ROW()-6</f>
        <v/>
      </c>
      <c r="B3101" s="85">
        <f>+MATCH(D3101,ARTICULOS!$F$10:$F$699,0)</f>
        <v/>
      </c>
      <c r="C3101" s="86">
        <f>+VLOOKUP(B3101,ARTICULOS!$D$10:$I$699,6)</f>
        <v/>
      </c>
      <c r="D3101" s="212" t="n"/>
      <c r="E3101" s="75">
        <f>+C3101&amp;F3101</f>
        <v/>
      </c>
      <c r="F3101" s="80" t="n"/>
      <c r="G3101" s="81" t="n"/>
      <c r="H3101" s="78" t="n"/>
      <c r="I3101" s="78" t="n"/>
      <c r="J3101" s="78" t="n"/>
    </row>
    <row r="3102">
      <c r="A3102" s="84">
        <f>ROW()-6</f>
        <v/>
      </c>
      <c r="B3102" s="85">
        <f>+MATCH(D3102,ARTICULOS!$F$10:$F$699,0)</f>
        <v/>
      </c>
      <c r="C3102" s="86">
        <f>+VLOOKUP(B3102,ARTICULOS!$D$10:$I$699,6)</f>
        <v/>
      </c>
      <c r="D3102" s="212" t="n"/>
      <c r="E3102" s="75">
        <f>+C3102&amp;F3102</f>
        <v/>
      </c>
      <c r="F3102" s="80" t="n"/>
      <c r="G3102" s="81" t="n"/>
      <c r="H3102" s="78" t="n"/>
      <c r="I3102" s="78" t="n"/>
      <c r="J3102" s="78" t="n"/>
    </row>
    <row r="3103">
      <c r="A3103" s="84">
        <f>ROW()-6</f>
        <v/>
      </c>
      <c r="B3103" s="85">
        <f>+MATCH(D3103,ARTICULOS!$F$10:$F$699,0)</f>
        <v/>
      </c>
      <c r="C3103" s="86">
        <f>+VLOOKUP(B3103,ARTICULOS!$D$10:$I$699,6)</f>
        <v/>
      </c>
      <c r="D3103" s="212" t="n"/>
      <c r="E3103" s="75">
        <f>+C3103&amp;F3103</f>
        <v/>
      </c>
      <c r="F3103" s="80" t="n"/>
      <c r="G3103" s="81" t="n"/>
      <c r="H3103" s="78" t="n"/>
      <c r="I3103" s="78" t="n"/>
      <c r="J3103" s="78" t="n"/>
    </row>
    <row r="3104">
      <c r="A3104" s="84">
        <f>ROW()-6</f>
        <v/>
      </c>
      <c r="B3104" s="85">
        <f>+MATCH(D3104,ARTICULOS!$F$10:$F$699,0)</f>
        <v/>
      </c>
      <c r="C3104" s="86">
        <f>+VLOOKUP(B3104,ARTICULOS!$D$10:$I$699,6)</f>
        <v/>
      </c>
      <c r="D3104" s="212" t="n"/>
      <c r="E3104" s="75">
        <f>+C3104&amp;F3104</f>
        <v/>
      </c>
      <c r="F3104" s="80" t="n"/>
      <c r="G3104" s="81" t="n"/>
      <c r="H3104" s="78" t="n"/>
      <c r="I3104" s="78" t="n"/>
      <c r="J3104" s="78" t="n"/>
    </row>
    <row r="3105">
      <c r="A3105" s="84">
        <f>ROW()-6</f>
        <v/>
      </c>
      <c r="B3105" s="85">
        <f>+MATCH(D3105,ARTICULOS!$F$10:$F$699,0)</f>
        <v/>
      </c>
      <c r="C3105" s="86">
        <f>+VLOOKUP(B3105,ARTICULOS!$D$10:$I$699,6)</f>
        <v/>
      </c>
      <c r="D3105" s="212" t="n"/>
      <c r="E3105" s="75">
        <f>+C3105&amp;F3105</f>
        <v/>
      </c>
      <c r="F3105" s="80" t="n"/>
      <c r="G3105" s="81" t="n"/>
      <c r="H3105" s="78" t="n"/>
      <c r="I3105" s="78" t="n"/>
      <c r="J3105" s="78" t="n"/>
    </row>
    <row r="3106">
      <c r="A3106" s="84">
        <f>ROW()-6</f>
        <v/>
      </c>
      <c r="B3106" s="85">
        <f>+MATCH(D3106,ARTICULOS!$F$10:$F$699,0)</f>
        <v/>
      </c>
      <c r="C3106" s="86">
        <f>+VLOOKUP(B3106,ARTICULOS!$D$10:$I$699,6)</f>
        <v/>
      </c>
      <c r="D3106" s="212" t="n"/>
      <c r="E3106" s="75">
        <f>+C3106&amp;F3106</f>
        <v/>
      </c>
      <c r="F3106" s="80" t="n"/>
      <c r="G3106" s="81" t="n"/>
      <c r="H3106" s="78" t="n"/>
      <c r="I3106" s="78" t="n"/>
      <c r="J3106" s="78" t="n"/>
    </row>
    <row r="3107">
      <c r="A3107" s="84">
        <f>ROW()-6</f>
        <v/>
      </c>
      <c r="B3107" s="85">
        <f>+MATCH(D3107,ARTICULOS!$F$10:$F$699,0)</f>
        <v/>
      </c>
      <c r="C3107" s="86">
        <f>+VLOOKUP(B3107,ARTICULOS!$D$10:$I$699,6)</f>
        <v/>
      </c>
      <c r="D3107" s="212" t="n"/>
      <c r="E3107" s="75">
        <f>+C3107&amp;F3107</f>
        <v/>
      </c>
      <c r="F3107" s="80" t="n"/>
      <c r="G3107" s="81" t="n"/>
      <c r="H3107" s="78" t="n"/>
      <c r="I3107" s="78" t="n"/>
      <c r="J3107" s="78" t="n"/>
    </row>
    <row r="3108">
      <c r="A3108" s="84">
        <f>ROW()-6</f>
        <v/>
      </c>
      <c r="B3108" s="85">
        <f>+MATCH(D3108,ARTICULOS!$F$10:$F$699,0)</f>
        <v/>
      </c>
      <c r="C3108" s="86">
        <f>+VLOOKUP(B3108,ARTICULOS!$D$10:$I$699,6)</f>
        <v/>
      </c>
      <c r="D3108" s="212" t="n"/>
      <c r="E3108" s="75">
        <f>+C3108&amp;F3108</f>
        <v/>
      </c>
      <c r="F3108" s="80" t="n"/>
      <c r="G3108" s="81" t="n"/>
      <c r="H3108" s="78" t="n"/>
      <c r="I3108" s="78" t="n"/>
      <c r="J3108" s="78" t="n"/>
    </row>
    <row r="3109">
      <c r="A3109" s="84">
        <f>ROW()-6</f>
        <v/>
      </c>
      <c r="B3109" s="85">
        <f>+MATCH(D3109,ARTICULOS!$F$10:$F$699,0)</f>
        <v/>
      </c>
      <c r="C3109" s="86">
        <f>+VLOOKUP(B3109,ARTICULOS!$D$10:$I$699,6)</f>
        <v/>
      </c>
      <c r="D3109" s="212" t="n"/>
      <c r="E3109" s="75">
        <f>+C3109&amp;F3109</f>
        <v/>
      </c>
      <c r="F3109" s="80" t="n"/>
      <c r="G3109" s="81" t="n"/>
      <c r="H3109" s="78" t="n"/>
      <c r="I3109" s="78" t="n"/>
      <c r="J3109" s="78" t="n"/>
    </row>
    <row r="3110">
      <c r="A3110" s="84">
        <f>ROW()-6</f>
        <v/>
      </c>
      <c r="B3110" s="85">
        <f>+MATCH(D3110,ARTICULOS!$F$10:$F$699,0)</f>
        <v/>
      </c>
      <c r="C3110" s="86">
        <f>+VLOOKUP(B3110,ARTICULOS!$D$10:$I$699,6)</f>
        <v/>
      </c>
      <c r="D3110" s="212" t="n"/>
      <c r="E3110" s="75">
        <f>+C3110&amp;F3110</f>
        <v/>
      </c>
      <c r="F3110" s="80" t="n"/>
      <c r="G3110" s="81" t="n"/>
      <c r="H3110" s="78" t="n"/>
      <c r="I3110" s="78" t="n"/>
      <c r="J3110" s="78" t="n"/>
    </row>
    <row r="3111">
      <c r="A3111" s="84">
        <f>ROW()-6</f>
        <v/>
      </c>
      <c r="B3111" s="85">
        <f>+MATCH(D3111,ARTICULOS!$F$10:$F$699,0)</f>
        <v/>
      </c>
      <c r="C3111" s="86">
        <f>+VLOOKUP(B3111,ARTICULOS!$D$10:$I$699,6)</f>
        <v/>
      </c>
      <c r="D3111" s="212" t="n"/>
      <c r="E3111" s="75">
        <f>+C3111&amp;F3111</f>
        <v/>
      </c>
      <c r="F3111" s="80" t="n"/>
      <c r="G3111" s="81" t="n"/>
      <c r="H3111" s="78" t="n"/>
      <c r="I3111" s="78" t="n"/>
      <c r="J3111" s="78" t="n"/>
    </row>
    <row r="3112">
      <c r="A3112" s="84">
        <f>ROW()-6</f>
        <v/>
      </c>
      <c r="B3112" s="85">
        <f>+MATCH(D3112,ARTICULOS!$F$10:$F$699,0)</f>
        <v/>
      </c>
      <c r="C3112" s="86">
        <f>+VLOOKUP(B3112,ARTICULOS!$D$10:$I$699,6)</f>
        <v/>
      </c>
      <c r="D3112" s="212" t="n"/>
      <c r="E3112" s="75">
        <f>+C3112&amp;F3112</f>
        <v/>
      </c>
      <c r="F3112" s="80" t="n"/>
      <c r="G3112" s="81" t="n"/>
      <c r="H3112" s="78" t="n"/>
      <c r="I3112" s="78" t="n"/>
      <c r="J3112" s="78" t="n"/>
    </row>
    <row r="3113">
      <c r="A3113" s="84">
        <f>ROW()-6</f>
        <v/>
      </c>
      <c r="B3113" s="85">
        <f>+MATCH(D3113,ARTICULOS!$F$10:$F$699,0)</f>
        <v/>
      </c>
      <c r="C3113" s="86">
        <f>+VLOOKUP(B3113,ARTICULOS!$D$10:$I$699,6)</f>
        <v/>
      </c>
      <c r="D3113" s="212" t="n"/>
      <c r="E3113" s="75">
        <f>+C3113&amp;F3113</f>
        <v/>
      </c>
      <c r="F3113" s="80" t="n"/>
      <c r="G3113" s="81" t="n"/>
      <c r="H3113" s="78" t="n"/>
      <c r="I3113" s="78" t="n"/>
      <c r="J3113" s="78" t="n"/>
    </row>
    <row r="3114">
      <c r="A3114" s="84">
        <f>ROW()-6</f>
        <v/>
      </c>
      <c r="B3114" s="85">
        <f>+MATCH(D3114,ARTICULOS!$F$10:$F$699,0)</f>
        <v/>
      </c>
      <c r="C3114" s="86">
        <f>+VLOOKUP(B3114,ARTICULOS!$D$10:$I$699,6)</f>
        <v/>
      </c>
      <c r="D3114" s="212" t="n"/>
      <c r="E3114" s="75">
        <f>+C3114&amp;F3114</f>
        <v/>
      </c>
      <c r="F3114" s="80" t="n"/>
      <c r="G3114" s="81" t="n"/>
      <c r="H3114" s="78" t="n"/>
      <c r="I3114" s="78" t="n"/>
      <c r="J3114" s="78" t="n"/>
    </row>
    <row r="3115">
      <c r="A3115" s="84">
        <f>ROW()-6</f>
        <v/>
      </c>
      <c r="B3115" s="85">
        <f>+MATCH(D3115,ARTICULOS!$F$10:$F$699,0)</f>
        <v/>
      </c>
      <c r="C3115" s="86">
        <f>+VLOOKUP(B3115,ARTICULOS!$D$10:$I$699,6)</f>
        <v/>
      </c>
      <c r="D3115" s="212" t="n"/>
      <c r="E3115" s="75">
        <f>+C3115&amp;F3115</f>
        <v/>
      </c>
      <c r="F3115" s="80" t="n"/>
      <c r="G3115" s="81" t="n"/>
      <c r="H3115" s="78" t="n"/>
      <c r="I3115" s="78" t="n"/>
      <c r="J3115" s="78" t="n"/>
    </row>
    <row r="3116">
      <c r="A3116" s="84">
        <f>ROW()-6</f>
        <v/>
      </c>
      <c r="B3116" s="85">
        <f>+MATCH(D3116,ARTICULOS!$F$10:$F$699,0)</f>
        <v/>
      </c>
      <c r="C3116" s="86">
        <f>+VLOOKUP(B3116,ARTICULOS!$D$10:$I$699,6)</f>
        <v/>
      </c>
      <c r="D3116" s="212" t="n"/>
      <c r="E3116" s="75">
        <f>+C3116&amp;F3116</f>
        <v/>
      </c>
      <c r="F3116" s="80" t="n"/>
      <c r="G3116" s="81" t="n"/>
      <c r="H3116" s="78" t="n"/>
      <c r="I3116" s="78" t="n"/>
      <c r="J3116" s="78" t="n"/>
    </row>
    <row r="3117">
      <c r="A3117" s="84">
        <f>ROW()-6</f>
        <v/>
      </c>
      <c r="B3117" s="85">
        <f>+MATCH(D3117,ARTICULOS!$F$10:$F$699,0)</f>
        <v/>
      </c>
      <c r="C3117" s="86">
        <f>+VLOOKUP(B3117,ARTICULOS!$D$10:$I$699,6)</f>
        <v/>
      </c>
      <c r="D3117" s="212" t="n"/>
      <c r="E3117" s="75">
        <f>+C3117&amp;F3117</f>
        <v/>
      </c>
      <c r="F3117" s="80" t="n"/>
      <c r="G3117" s="81" t="n"/>
      <c r="H3117" s="78" t="n"/>
      <c r="I3117" s="78" t="n"/>
      <c r="J3117" s="78" t="n"/>
    </row>
    <row r="3118">
      <c r="A3118" s="84">
        <f>ROW()-6</f>
        <v/>
      </c>
      <c r="B3118" s="85">
        <f>+MATCH(D3118,ARTICULOS!$F$10:$F$699,0)</f>
        <v/>
      </c>
      <c r="C3118" s="86">
        <f>+VLOOKUP(B3118,ARTICULOS!$D$10:$I$699,6)</f>
        <v/>
      </c>
      <c r="D3118" s="212" t="n"/>
      <c r="E3118" s="75">
        <f>+C3118&amp;F3118</f>
        <v/>
      </c>
      <c r="F3118" s="80" t="n"/>
      <c r="G3118" s="81" t="n"/>
      <c r="H3118" s="78" t="n"/>
      <c r="I3118" s="78" t="n"/>
      <c r="J3118" s="78" t="n"/>
    </row>
    <row r="3119">
      <c r="A3119" s="84">
        <f>ROW()-6</f>
        <v/>
      </c>
      <c r="B3119" s="85">
        <f>+MATCH(D3119,ARTICULOS!$F$10:$F$699,0)</f>
        <v/>
      </c>
      <c r="C3119" s="86">
        <f>+VLOOKUP(B3119,ARTICULOS!$D$10:$I$699,6)</f>
        <v/>
      </c>
      <c r="D3119" s="212" t="n"/>
      <c r="E3119" s="75">
        <f>+C3119&amp;F3119</f>
        <v/>
      </c>
      <c r="F3119" s="80" t="n"/>
      <c r="G3119" s="81" t="n"/>
      <c r="H3119" s="78" t="n"/>
      <c r="I3119" s="78" t="n"/>
      <c r="J3119" s="78" t="n"/>
    </row>
    <row r="3120">
      <c r="A3120" s="84">
        <f>ROW()-6</f>
        <v/>
      </c>
      <c r="B3120" s="85">
        <f>+MATCH(D3120,ARTICULOS!$F$10:$F$699,0)</f>
        <v/>
      </c>
      <c r="C3120" s="86">
        <f>+VLOOKUP(B3120,ARTICULOS!$D$10:$I$699,6)</f>
        <v/>
      </c>
      <c r="D3120" s="212" t="n"/>
      <c r="E3120" s="75">
        <f>+C3120&amp;F3120</f>
        <v/>
      </c>
      <c r="F3120" s="80" t="n"/>
      <c r="G3120" s="81" t="n"/>
      <c r="H3120" s="78" t="n"/>
      <c r="I3120" s="78" t="n"/>
      <c r="J3120" s="78" t="n"/>
    </row>
    <row r="3121">
      <c r="A3121" s="84">
        <f>ROW()-6</f>
        <v/>
      </c>
      <c r="B3121" s="85">
        <f>+MATCH(D3121,ARTICULOS!$F$10:$F$699,0)</f>
        <v/>
      </c>
      <c r="C3121" s="86">
        <f>+VLOOKUP(B3121,ARTICULOS!$D$10:$I$699,6)</f>
        <v/>
      </c>
      <c r="D3121" s="212" t="n"/>
      <c r="E3121" s="75">
        <f>+C3121&amp;F3121</f>
        <v/>
      </c>
      <c r="F3121" s="80" t="n"/>
      <c r="G3121" s="81" t="n"/>
      <c r="H3121" s="78" t="n"/>
      <c r="I3121" s="78" t="n"/>
      <c r="J3121" s="78" t="n"/>
    </row>
    <row r="3122">
      <c r="A3122" s="84">
        <f>ROW()-6</f>
        <v/>
      </c>
      <c r="B3122" s="85">
        <f>+MATCH(D3122,ARTICULOS!$F$10:$F$699,0)</f>
        <v/>
      </c>
      <c r="C3122" s="86">
        <f>+VLOOKUP(B3122,ARTICULOS!$D$10:$I$699,6)</f>
        <v/>
      </c>
      <c r="D3122" s="212" t="n"/>
      <c r="E3122" s="75">
        <f>+C3122&amp;F3122</f>
        <v/>
      </c>
      <c r="F3122" s="80" t="n"/>
      <c r="G3122" s="81" t="n"/>
      <c r="H3122" s="78" t="n"/>
      <c r="I3122" s="78" t="n"/>
      <c r="J3122" s="78" t="n"/>
    </row>
    <row r="3123">
      <c r="A3123" s="84">
        <f>ROW()-6</f>
        <v/>
      </c>
      <c r="B3123" s="85">
        <f>+MATCH(D3123,ARTICULOS!$F$10:$F$699,0)</f>
        <v/>
      </c>
      <c r="C3123" s="86">
        <f>+VLOOKUP(B3123,ARTICULOS!$D$10:$I$699,6)</f>
        <v/>
      </c>
      <c r="D3123" s="212" t="n"/>
      <c r="E3123" s="75">
        <f>+C3123&amp;F3123</f>
        <v/>
      </c>
      <c r="F3123" s="80" t="n"/>
      <c r="G3123" s="81" t="n"/>
      <c r="H3123" s="78" t="n"/>
      <c r="I3123" s="78" t="n"/>
      <c r="J3123" s="78" t="n"/>
    </row>
    <row r="3124">
      <c r="A3124" s="84">
        <f>ROW()-6</f>
        <v/>
      </c>
      <c r="B3124" s="85">
        <f>+MATCH(D3124,ARTICULOS!$F$10:$F$699,0)</f>
        <v/>
      </c>
      <c r="C3124" s="86">
        <f>+VLOOKUP(B3124,ARTICULOS!$D$10:$I$699,6)</f>
        <v/>
      </c>
      <c r="D3124" s="212" t="n"/>
      <c r="E3124" s="75">
        <f>+C3124&amp;F3124</f>
        <v/>
      </c>
      <c r="F3124" s="80" t="n"/>
      <c r="G3124" s="81" t="n"/>
      <c r="H3124" s="78" t="n"/>
      <c r="I3124" s="78" t="n"/>
      <c r="J3124" s="78" t="n"/>
    </row>
    <row r="3125">
      <c r="A3125" s="84">
        <f>ROW()-6</f>
        <v/>
      </c>
      <c r="B3125" s="85">
        <f>+MATCH(D3125,ARTICULOS!$F$10:$F$699,0)</f>
        <v/>
      </c>
      <c r="C3125" s="86">
        <f>+VLOOKUP(B3125,ARTICULOS!$D$10:$I$699,6)</f>
        <v/>
      </c>
      <c r="D3125" s="212" t="n"/>
      <c r="E3125" s="75">
        <f>+C3125&amp;F3125</f>
        <v/>
      </c>
      <c r="F3125" s="80" t="n"/>
      <c r="G3125" s="81" t="n"/>
      <c r="H3125" s="78" t="n"/>
      <c r="I3125" s="78" t="n"/>
      <c r="J3125" s="78" t="n"/>
    </row>
    <row r="3126">
      <c r="A3126" s="84">
        <f>ROW()-6</f>
        <v/>
      </c>
      <c r="B3126" s="85">
        <f>+MATCH(D3126,ARTICULOS!$F$10:$F$699,0)</f>
        <v/>
      </c>
      <c r="C3126" s="86">
        <f>+VLOOKUP(B3126,ARTICULOS!$D$10:$I$699,6)</f>
        <v/>
      </c>
      <c r="D3126" s="212" t="n"/>
      <c r="E3126" s="75">
        <f>+C3126&amp;F3126</f>
        <v/>
      </c>
      <c r="F3126" s="80" t="n"/>
      <c r="G3126" s="81" t="n"/>
      <c r="H3126" s="78" t="n"/>
      <c r="I3126" s="78" t="n"/>
      <c r="J3126" s="78" t="n"/>
    </row>
    <row r="3127">
      <c r="A3127" s="84">
        <f>ROW()-6</f>
        <v/>
      </c>
      <c r="B3127" s="85">
        <f>+MATCH(D3127,ARTICULOS!$F$10:$F$699,0)</f>
        <v/>
      </c>
      <c r="C3127" s="86">
        <f>+VLOOKUP(B3127,ARTICULOS!$D$10:$I$699,6)</f>
        <v/>
      </c>
      <c r="D3127" s="212" t="n"/>
      <c r="E3127" s="75">
        <f>+C3127&amp;F3127</f>
        <v/>
      </c>
      <c r="F3127" s="80" t="n"/>
      <c r="G3127" s="81" t="n"/>
      <c r="H3127" s="78" t="n"/>
      <c r="I3127" s="78" t="n"/>
      <c r="J3127" s="78" t="n"/>
    </row>
    <row r="3128">
      <c r="A3128" s="84">
        <f>ROW()-6</f>
        <v/>
      </c>
      <c r="B3128" s="85">
        <f>+MATCH(D3128,ARTICULOS!$F$10:$F$699,0)</f>
        <v/>
      </c>
      <c r="C3128" s="86">
        <f>+VLOOKUP(B3128,ARTICULOS!$D$10:$I$699,6)</f>
        <v/>
      </c>
      <c r="D3128" s="212" t="n"/>
      <c r="E3128" s="75">
        <f>+C3128&amp;F3128</f>
        <v/>
      </c>
      <c r="F3128" s="80" t="n"/>
      <c r="G3128" s="81" t="n"/>
      <c r="H3128" s="78" t="n"/>
      <c r="I3128" s="78" t="n"/>
      <c r="J3128" s="78" t="n"/>
    </row>
    <row r="3129">
      <c r="A3129" s="84">
        <f>ROW()-6</f>
        <v/>
      </c>
      <c r="B3129" s="85">
        <f>+MATCH(D3129,ARTICULOS!$F$10:$F$699,0)</f>
        <v/>
      </c>
      <c r="C3129" s="86">
        <f>+VLOOKUP(B3129,ARTICULOS!$D$10:$I$699,6)</f>
        <v/>
      </c>
      <c r="D3129" s="212" t="n"/>
      <c r="E3129" s="75">
        <f>+C3129&amp;F3129</f>
        <v/>
      </c>
      <c r="F3129" s="80" t="n"/>
      <c r="G3129" s="81" t="n"/>
      <c r="H3129" s="78" t="n"/>
      <c r="I3129" s="78" t="n"/>
      <c r="J3129" s="78" t="n"/>
    </row>
    <row r="3130">
      <c r="A3130" s="84">
        <f>ROW()-6</f>
        <v/>
      </c>
      <c r="B3130" s="85">
        <f>+MATCH(D3130,ARTICULOS!$F$10:$F$699,0)</f>
        <v/>
      </c>
      <c r="C3130" s="86">
        <f>+VLOOKUP(B3130,ARTICULOS!$D$10:$I$699,6)</f>
        <v/>
      </c>
      <c r="D3130" s="212" t="n"/>
      <c r="E3130" s="75">
        <f>+C3130&amp;F3130</f>
        <v/>
      </c>
      <c r="F3130" s="80" t="n"/>
      <c r="G3130" s="81" t="n"/>
      <c r="H3130" s="78" t="n"/>
      <c r="I3130" s="78" t="n"/>
      <c r="J3130" s="78" t="n"/>
    </row>
    <row r="3131">
      <c r="A3131" s="84">
        <f>ROW()-6</f>
        <v/>
      </c>
      <c r="B3131" s="85">
        <f>+MATCH(D3131,ARTICULOS!$F$10:$F$699,0)</f>
        <v/>
      </c>
      <c r="C3131" s="86">
        <f>+VLOOKUP(B3131,ARTICULOS!$D$10:$I$699,6)</f>
        <v/>
      </c>
      <c r="D3131" s="212" t="n"/>
      <c r="E3131" s="75">
        <f>+C3131&amp;F3131</f>
        <v/>
      </c>
      <c r="F3131" s="80" t="n"/>
      <c r="G3131" s="81" t="n"/>
      <c r="H3131" s="78" t="n"/>
      <c r="I3131" s="78" t="n"/>
      <c r="J3131" s="78" t="n"/>
    </row>
    <row r="3132">
      <c r="A3132" s="84">
        <f>ROW()-6</f>
        <v/>
      </c>
      <c r="B3132" s="85">
        <f>+MATCH(D3132,ARTICULOS!$F$10:$F$699,0)</f>
        <v/>
      </c>
      <c r="C3132" s="86">
        <f>+VLOOKUP(B3132,ARTICULOS!$D$10:$I$699,6)</f>
        <v/>
      </c>
      <c r="D3132" s="212" t="n"/>
      <c r="E3132" s="75">
        <f>+C3132&amp;F3132</f>
        <v/>
      </c>
      <c r="F3132" s="80" t="n"/>
      <c r="G3132" s="81" t="n"/>
      <c r="H3132" s="78" t="n"/>
      <c r="I3132" s="78" t="n"/>
      <c r="J3132" s="78" t="n"/>
    </row>
    <row r="3133">
      <c r="A3133" s="84">
        <f>ROW()-6</f>
        <v/>
      </c>
      <c r="B3133" s="85">
        <f>+MATCH(D3133,ARTICULOS!$F$10:$F$699,0)</f>
        <v/>
      </c>
      <c r="C3133" s="86">
        <f>+VLOOKUP(B3133,ARTICULOS!$D$10:$I$699,6)</f>
        <v/>
      </c>
      <c r="D3133" s="212" t="n"/>
      <c r="E3133" s="75">
        <f>+C3133&amp;F3133</f>
        <v/>
      </c>
      <c r="F3133" s="80" t="n"/>
      <c r="G3133" s="81" t="n"/>
      <c r="H3133" s="78" t="n"/>
      <c r="I3133" s="78" t="n"/>
      <c r="J3133" s="78" t="n"/>
    </row>
    <row r="3134">
      <c r="A3134" s="84">
        <f>ROW()-6</f>
        <v/>
      </c>
      <c r="B3134" s="85">
        <f>+MATCH(D3134,ARTICULOS!$F$10:$F$699,0)</f>
        <v/>
      </c>
      <c r="C3134" s="86">
        <f>+VLOOKUP(B3134,ARTICULOS!$D$10:$I$699,6)</f>
        <v/>
      </c>
      <c r="D3134" s="212" t="n"/>
      <c r="E3134" s="75">
        <f>+C3134&amp;F3134</f>
        <v/>
      </c>
      <c r="F3134" s="80" t="n"/>
      <c r="G3134" s="81" t="n"/>
      <c r="H3134" s="78" t="n"/>
      <c r="I3134" s="78" t="n"/>
      <c r="J3134" s="78" t="n"/>
    </row>
    <row r="3135">
      <c r="A3135" s="84">
        <f>ROW()-6</f>
        <v/>
      </c>
      <c r="B3135" s="85">
        <f>+MATCH(D3135,ARTICULOS!$F$10:$F$699,0)</f>
        <v/>
      </c>
      <c r="C3135" s="86">
        <f>+VLOOKUP(B3135,ARTICULOS!$D$10:$I$699,6)</f>
        <v/>
      </c>
      <c r="D3135" s="212" t="n"/>
      <c r="E3135" s="75">
        <f>+C3135&amp;F3135</f>
        <v/>
      </c>
      <c r="F3135" s="80" t="n"/>
      <c r="G3135" s="81" t="n"/>
      <c r="H3135" s="78" t="n"/>
      <c r="I3135" s="78" t="n"/>
      <c r="J3135" s="78" t="n"/>
    </row>
    <row r="3136">
      <c r="A3136" s="84">
        <f>ROW()-6</f>
        <v/>
      </c>
      <c r="B3136" s="85">
        <f>+MATCH(D3136,ARTICULOS!$F$10:$F$699,0)</f>
        <v/>
      </c>
      <c r="C3136" s="86">
        <f>+VLOOKUP(B3136,ARTICULOS!$D$10:$I$699,6)</f>
        <v/>
      </c>
      <c r="D3136" s="212" t="n"/>
      <c r="E3136" s="75">
        <f>+C3136&amp;F3136</f>
        <v/>
      </c>
      <c r="F3136" s="80" t="n"/>
      <c r="G3136" s="81" t="n"/>
      <c r="H3136" s="78" t="n"/>
      <c r="I3136" s="78" t="n"/>
      <c r="J3136" s="78" t="n"/>
    </row>
    <row r="3137">
      <c r="A3137" s="84">
        <f>ROW()-6</f>
        <v/>
      </c>
      <c r="B3137" s="85">
        <f>+MATCH(D3137,ARTICULOS!$F$10:$F$699,0)</f>
        <v/>
      </c>
      <c r="C3137" s="86">
        <f>+VLOOKUP(B3137,ARTICULOS!$D$10:$I$699,6)</f>
        <v/>
      </c>
      <c r="D3137" s="212" t="n"/>
      <c r="E3137" s="75">
        <f>+C3137&amp;F3137</f>
        <v/>
      </c>
      <c r="F3137" s="80" t="n"/>
      <c r="G3137" s="81" t="n"/>
      <c r="H3137" s="78" t="n"/>
      <c r="I3137" s="78" t="n"/>
      <c r="J3137" s="78" t="n"/>
    </row>
    <row r="3138">
      <c r="A3138" s="84">
        <f>ROW()-6</f>
        <v/>
      </c>
      <c r="B3138" s="85">
        <f>+MATCH(D3138,ARTICULOS!$F$10:$F$699,0)</f>
        <v/>
      </c>
      <c r="C3138" s="86">
        <f>+VLOOKUP(B3138,ARTICULOS!$D$10:$I$699,6)</f>
        <v/>
      </c>
      <c r="D3138" s="212" t="n"/>
      <c r="E3138" s="75">
        <f>+C3138&amp;F3138</f>
        <v/>
      </c>
      <c r="F3138" s="80" t="n"/>
      <c r="G3138" s="81" t="n"/>
      <c r="H3138" s="78" t="n"/>
      <c r="I3138" s="78" t="n"/>
      <c r="J3138" s="78" t="n"/>
    </row>
    <row r="3139">
      <c r="A3139" s="84">
        <f>ROW()-6</f>
        <v/>
      </c>
      <c r="B3139" s="85">
        <f>+MATCH(D3139,ARTICULOS!$F$10:$F$699,0)</f>
        <v/>
      </c>
      <c r="C3139" s="86">
        <f>+VLOOKUP(B3139,ARTICULOS!$D$10:$I$699,6)</f>
        <v/>
      </c>
      <c r="D3139" s="212" t="n"/>
      <c r="E3139" s="75">
        <f>+C3139&amp;F3139</f>
        <v/>
      </c>
      <c r="F3139" s="80" t="n"/>
      <c r="G3139" s="81" t="n"/>
      <c r="H3139" s="78" t="n"/>
      <c r="I3139" s="78" t="n"/>
      <c r="J3139" s="78" t="n"/>
    </row>
    <row r="3140">
      <c r="A3140" s="84">
        <f>ROW()-6</f>
        <v/>
      </c>
      <c r="B3140" s="85">
        <f>+MATCH(D3140,ARTICULOS!$F$10:$F$699,0)</f>
        <v/>
      </c>
      <c r="C3140" s="86">
        <f>+VLOOKUP(B3140,ARTICULOS!$D$10:$I$699,6)</f>
        <v/>
      </c>
      <c r="D3140" s="212" t="n"/>
      <c r="E3140" s="75">
        <f>+C3140&amp;F3140</f>
        <v/>
      </c>
      <c r="F3140" s="80" t="n"/>
      <c r="G3140" s="81" t="n"/>
      <c r="H3140" s="78" t="n"/>
      <c r="I3140" s="78" t="n"/>
      <c r="J3140" s="78" t="n"/>
    </row>
    <row r="3141">
      <c r="A3141" s="84">
        <f>ROW()-6</f>
        <v/>
      </c>
      <c r="B3141" s="85">
        <f>+MATCH(D3141,ARTICULOS!$F$10:$F$699,0)</f>
        <v/>
      </c>
      <c r="C3141" s="86">
        <f>+VLOOKUP(B3141,ARTICULOS!$D$10:$I$699,6)</f>
        <v/>
      </c>
      <c r="D3141" s="212" t="n"/>
      <c r="E3141" s="75">
        <f>+C3141&amp;F3141</f>
        <v/>
      </c>
      <c r="F3141" s="80" t="n"/>
      <c r="G3141" s="81" t="n"/>
      <c r="H3141" s="78" t="n"/>
      <c r="I3141" s="78" t="n"/>
      <c r="J3141" s="78" t="n"/>
    </row>
    <row r="3142">
      <c r="A3142" s="84">
        <f>ROW()-6</f>
        <v/>
      </c>
      <c r="B3142" s="85">
        <f>+MATCH(D3142,ARTICULOS!$F$10:$F$699,0)</f>
        <v/>
      </c>
      <c r="C3142" s="86">
        <f>+VLOOKUP(B3142,ARTICULOS!$D$10:$I$699,6)</f>
        <v/>
      </c>
      <c r="D3142" s="212" t="n"/>
      <c r="E3142" s="75">
        <f>+C3142&amp;F3142</f>
        <v/>
      </c>
      <c r="F3142" s="80" t="n"/>
      <c r="G3142" s="81" t="n"/>
      <c r="H3142" s="78" t="n"/>
      <c r="I3142" s="78" t="n"/>
      <c r="J3142" s="78" t="n"/>
    </row>
    <row r="3143">
      <c r="A3143" s="84">
        <f>ROW()-6</f>
        <v/>
      </c>
      <c r="B3143" s="85">
        <f>+MATCH(D3143,ARTICULOS!$F$10:$F$699,0)</f>
        <v/>
      </c>
      <c r="C3143" s="86">
        <f>+VLOOKUP(B3143,ARTICULOS!$D$10:$I$699,6)</f>
        <v/>
      </c>
      <c r="D3143" s="212" t="n"/>
      <c r="E3143" s="75">
        <f>+C3143&amp;F3143</f>
        <v/>
      </c>
      <c r="F3143" s="80" t="n"/>
      <c r="G3143" s="81" t="n"/>
      <c r="H3143" s="78" t="n"/>
      <c r="I3143" s="78" t="n"/>
      <c r="J3143" s="78" t="n"/>
    </row>
    <row r="3144">
      <c r="A3144" s="84">
        <f>ROW()-6</f>
        <v/>
      </c>
      <c r="B3144" s="85">
        <f>+MATCH(D3144,ARTICULOS!$F$10:$F$699,0)</f>
        <v/>
      </c>
      <c r="C3144" s="86">
        <f>+VLOOKUP(B3144,ARTICULOS!$D$10:$I$699,6)</f>
        <v/>
      </c>
      <c r="D3144" s="212" t="n"/>
      <c r="E3144" s="75">
        <f>+C3144&amp;F3144</f>
        <v/>
      </c>
      <c r="F3144" s="80" t="n"/>
      <c r="G3144" s="81" t="n"/>
      <c r="H3144" s="78" t="n"/>
      <c r="I3144" s="78" t="n"/>
      <c r="J3144" s="78" t="n"/>
    </row>
    <row r="3145">
      <c r="A3145" s="84">
        <f>ROW()-6</f>
        <v/>
      </c>
      <c r="B3145" s="85">
        <f>+MATCH(D3145,ARTICULOS!$F$10:$F$699,0)</f>
        <v/>
      </c>
      <c r="C3145" s="86">
        <f>+VLOOKUP(B3145,ARTICULOS!$D$10:$I$699,6)</f>
        <v/>
      </c>
      <c r="D3145" s="212" t="n"/>
      <c r="E3145" s="75">
        <f>+C3145&amp;F3145</f>
        <v/>
      </c>
      <c r="F3145" s="80" t="n"/>
      <c r="G3145" s="81" t="n"/>
      <c r="H3145" s="78" t="n"/>
      <c r="I3145" s="78" t="n"/>
      <c r="J3145" s="78" t="n"/>
    </row>
    <row r="3146">
      <c r="A3146" s="84">
        <f>ROW()-6</f>
        <v/>
      </c>
      <c r="B3146" s="85">
        <f>+MATCH(D3146,ARTICULOS!$F$10:$F$699,0)</f>
        <v/>
      </c>
      <c r="C3146" s="86">
        <f>+VLOOKUP(B3146,ARTICULOS!$D$10:$I$699,6)</f>
        <v/>
      </c>
      <c r="D3146" s="212" t="n"/>
      <c r="E3146" s="75">
        <f>+C3146&amp;F3146</f>
        <v/>
      </c>
      <c r="F3146" s="80" t="n"/>
      <c r="G3146" s="81" t="n"/>
      <c r="H3146" s="78" t="n"/>
      <c r="I3146" s="78" t="n"/>
      <c r="J3146" s="78" t="n"/>
    </row>
    <row r="3147">
      <c r="A3147" s="84">
        <f>ROW()-6</f>
        <v/>
      </c>
      <c r="B3147" s="85">
        <f>+MATCH(D3147,ARTICULOS!$F$10:$F$699,0)</f>
        <v/>
      </c>
      <c r="C3147" s="86">
        <f>+VLOOKUP(B3147,ARTICULOS!$D$10:$I$699,6)</f>
        <v/>
      </c>
      <c r="D3147" s="212" t="n"/>
      <c r="E3147" s="75">
        <f>+C3147&amp;F3147</f>
        <v/>
      </c>
      <c r="F3147" s="80" t="n"/>
      <c r="G3147" s="81" t="n"/>
      <c r="H3147" s="78" t="n"/>
      <c r="I3147" s="78" t="n"/>
      <c r="J3147" s="78" t="n"/>
    </row>
    <row r="3148">
      <c r="A3148" s="84">
        <f>ROW()-6</f>
        <v/>
      </c>
      <c r="B3148" s="85">
        <f>+MATCH(D3148,ARTICULOS!$F$10:$F$699,0)</f>
        <v/>
      </c>
      <c r="C3148" s="86">
        <f>+VLOOKUP(B3148,ARTICULOS!$D$10:$I$699,6)</f>
        <v/>
      </c>
      <c r="D3148" s="212" t="n"/>
      <c r="E3148" s="75">
        <f>+C3148&amp;F3148</f>
        <v/>
      </c>
      <c r="F3148" s="80" t="n"/>
      <c r="G3148" s="81" t="n"/>
      <c r="H3148" s="78" t="n"/>
      <c r="I3148" s="78" t="n"/>
      <c r="J3148" s="78" t="n"/>
    </row>
    <row r="3149">
      <c r="A3149" s="84">
        <f>ROW()-6</f>
        <v/>
      </c>
      <c r="B3149" s="85">
        <f>+MATCH(D3149,ARTICULOS!$F$10:$F$699,0)</f>
        <v/>
      </c>
      <c r="C3149" s="86">
        <f>+VLOOKUP(B3149,ARTICULOS!$D$10:$I$699,6)</f>
        <v/>
      </c>
      <c r="D3149" s="212" t="n"/>
      <c r="E3149" s="75">
        <f>+C3149&amp;F3149</f>
        <v/>
      </c>
      <c r="F3149" s="80" t="n"/>
      <c r="G3149" s="81" t="n"/>
      <c r="H3149" s="78" t="n"/>
      <c r="I3149" s="78" t="n"/>
      <c r="J3149" s="78" t="n"/>
    </row>
    <row r="3150">
      <c r="A3150" s="84">
        <f>ROW()-6</f>
        <v/>
      </c>
      <c r="B3150" s="85">
        <f>+MATCH(D3150,ARTICULOS!$F$10:$F$699,0)</f>
        <v/>
      </c>
      <c r="C3150" s="86">
        <f>+VLOOKUP(B3150,ARTICULOS!$D$10:$I$699,6)</f>
        <v/>
      </c>
      <c r="D3150" s="212" t="n"/>
      <c r="E3150" s="75">
        <f>+C3150&amp;F3150</f>
        <v/>
      </c>
      <c r="F3150" s="80" t="n"/>
      <c r="G3150" s="81" t="n"/>
      <c r="H3150" s="78" t="n"/>
      <c r="I3150" s="78" t="n"/>
      <c r="J3150" s="78" t="n"/>
    </row>
    <row r="3151">
      <c r="A3151" s="84">
        <f>ROW()-6</f>
        <v/>
      </c>
      <c r="B3151" s="85">
        <f>+MATCH(D3151,ARTICULOS!$F$10:$F$699,0)</f>
        <v/>
      </c>
      <c r="C3151" s="86">
        <f>+VLOOKUP(B3151,ARTICULOS!$D$10:$I$699,6)</f>
        <v/>
      </c>
      <c r="D3151" s="212" t="n"/>
      <c r="E3151" s="75">
        <f>+C3151&amp;F3151</f>
        <v/>
      </c>
      <c r="F3151" s="80" t="n"/>
      <c r="G3151" s="81" t="n"/>
      <c r="H3151" s="78" t="n"/>
      <c r="I3151" s="78" t="n"/>
      <c r="J3151" s="78" t="n"/>
    </row>
    <row r="3152">
      <c r="A3152" s="84">
        <f>ROW()-6</f>
        <v/>
      </c>
      <c r="B3152" s="85">
        <f>+MATCH(D3152,ARTICULOS!$F$10:$F$699,0)</f>
        <v/>
      </c>
      <c r="C3152" s="86">
        <f>+VLOOKUP(B3152,ARTICULOS!$D$10:$I$699,6)</f>
        <v/>
      </c>
      <c r="D3152" s="212" t="n"/>
      <c r="E3152" s="75">
        <f>+C3152&amp;F3152</f>
        <v/>
      </c>
      <c r="F3152" s="80" t="n"/>
      <c r="G3152" s="81" t="n"/>
      <c r="H3152" s="78" t="n"/>
      <c r="I3152" s="78" t="n"/>
      <c r="J3152" s="78" t="n"/>
    </row>
    <row r="3153">
      <c r="A3153" s="84">
        <f>ROW()-6</f>
        <v/>
      </c>
      <c r="B3153" s="85">
        <f>+MATCH(D3153,ARTICULOS!$F$10:$F$699,0)</f>
        <v/>
      </c>
      <c r="C3153" s="86">
        <f>+VLOOKUP(B3153,ARTICULOS!$D$10:$I$699,6)</f>
        <v/>
      </c>
      <c r="D3153" s="212" t="n"/>
      <c r="E3153" s="75">
        <f>+C3153&amp;F3153</f>
        <v/>
      </c>
      <c r="F3153" s="80" t="n"/>
      <c r="G3153" s="81" t="n"/>
      <c r="H3153" s="78" t="n"/>
      <c r="I3153" s="78" t="n"/>
      <c r="J3153" s="78" t="n"/>
    </row>
    <row r="3154">
      <c r="A3154" s="84">
        <f>ROW()-6</f>
        <v/>
      </c>
      <c r="B3154" s="85">
        <f>+MATCH(D3154,ARTICULOS!$F$10:$F$699,0)</f>
        <v/>
      </c>
      <c r="C3154" s="86">
        <f>+VLOOKUP(B3154,ARTICULOS!$D$10:$I$699,6)</f>
        <v/>
      </c>
      <c r="D3154" s="212" t="n"/>
      <c r="E3154" s="75">
        <f>+C3154&amp;F3154</f>
        <v/>
      </c>
      <c r="F3154" s="80" t="n"/>
      <c r="G3154" s="81" t="n"/>
      <c r="H3154" s="78" t="n"/>
      <c r="I3154" s="78" t="n"/>
      <c r="J3154" s="78" t="n"/>
    </row>
    <row r="3155">
      <c r="A3155" s="84">
        <f>ROW()-6</f>
        <v/>
      </c>
      <c r="B3155" s="85">
        <f>+MATCH(D3155,ARTICULOS!$F$10:$F$699,0)</f>
        <v/>
      </c>
      <c r="C3155" s="86">
        <f>+VLOOKUP(B3155,ARTICULOS!$D$10:$I$699,6)</f>
        <v/>
      </c>
      <c r="D3155" s="212" t="n"/>
      <c r="E3155" s="75">
        <f>+C3155&amp;F3155</f>
        <v/>
      </c>
      <c r="F3155" s="80" t="n"/>
      <c r="G3155" s="81" t="n"/>
      <c r="H3155" s="78" t="n"/>
      <c r="I3155" s="78" t="n"/>
      <c r="J3155" s="78" t="n"/>
    </row>
    <row r="3156">
      <c r="A3156" s="84">
        <f>ROW()-6</f>
        <v/>
      </c>
      <c r="B3156" s="85">
        <f>+MATCH(D3156,ARTICULOS!$F$10:$F$699,0)</f>
        <v/>
      </c>
      <c r="C3156" s="86">
        <f>+VLOOKUP(B3156,ARTICULOS!$D$10:$I$699,6)</f>
        <v/>
      </c>
      <c r="D3156" s="212" t="n"/>
      <c r="E3156" s="75">
        <f>+C3156&amp;F3156</f>
        <v/>
      </c>
      <c r="F3156" s="80" t="n"/>
      <c r="G3156" s="81" t="n"/>
      <c r="H3156" s="78" t="n"/>
      <c r="I3156" s="78" t="n"/>
      <c r="J3156" s="78" t="n"/>
    </row>
    <row r="3157">
      <c r="A3157" s="84">
        <f>ROW()-6</f>
        <v/>
      </c>
      <c r="B3157" s="85">
        <f>+MATCH(D3157,ARTICULOS!$F$10:$F$699,0)</f>
        <v/>
      </c>
      <c r="C3157" s="86">
        <f>+VLOOKUP(B3157,ARTICULOS!$D$10:$I$699,6)</f>
        <v/>
      </c>
      <c r="D3157" s="212" t="n"/>
      <c r="E3157" s="75">
        <f>+C3157&amp;F3157</f>
        <v/>
      </c>
      <c r="F3157" s="80" t="n"/>
      <c r="G3157" s="81" t="n"/>
      <c r="H3157" s="78" t="n"/>
      <c r="I3157" s="78" t="n"/>
      <c r="J3157" s="78" t="n"/>
    </row>
    <row r="3158">
      <c r="A3158" s="84">
        <f>ROW()-6</f>
        <v/>
      </c>
      <c r="B3158" s="85">
        <f>+MATCH(D3158,ARTICULOS!$F$10:$F$699,0)</f>
        <v/>
      </c>
      <c r="C3158" s="86">
        <f>+VLOOKUP(B3158,ARTICULOS!$D$10:$I$699,6)</f>
        <v/>
      </c>
      <c r="D3158" s="212" t="n"/>
      <c r="E3158" s="75">
        <f>+C3158&amp;F3158</f>
        <v/>
      </c>
      <c r="F3158" s="80" t="n"/>
      <c r="G3158" s="81" t="n"/>
      <c r="H3158" s="78" t="n"/>
      <c r="I3158" s="78" t="n"/>
      <c r="J3158" s="78" t="n"/>
    </row>
    <row r="3159">
      <c r="A3159" s="84">
        <f>ROW()-6</f>
        <v/>
      </c>
      <c r="B3159" s="85">
        <f>+MATCH(D3159,ARTICULOS!$F$10:$F$699,0)</f>
        <v/>
      </c>
      <c r="C3159" s="86">
        <f>+VLOOKUP(B3159,ARTICULOS!$D$10:$I$699,6)</f>
        <v/>
      </c>
      <c r="D3159" s="212" t="n"/>
      <c r="E3159" s="75">
        <f>+C3159&amp;F3159</f>
        <v/>
      </c>
      <c r="F3159" s="80" t="n"/>
      <c r="G3159" s="81" t="n"/>
      <c r="H3159" s="78" t="n"/>
      <c r="I3159" s="78" t="n"/>
      <c r="J3159" s="78" t="n"/>
    </row>
    <row r="3160">
      <c r="A3160" s="84">
        <f>ROW()-6</f>
        <v/>
      </c>
      <c r="B3160" s="85">
        <f>+MATCH(D3160,ARTICULOS!$F$10:$F$699,0)</f>
        <v/>
      </c>
      <c r="C3160" s="86">
        <f>+VLOOKUP(B3160,ARTICULOS!$D$10:$I$699,6)</f>
        <v/>
      </c>
      <c r="D3160" s="212" t="n"/>
      <c r="E3160" s="75">
        <f>+C3160&amp;F3160</f>
        <v/>
      </c>
      <c r="F3160" s="80" t="n"/>
      <c r="G3160" s="81" t="n"/>
      <c r="H3160" s="78" t="n"/>
      <c r="I3160" s="78" t="n"/>
      <c r="J3160" s="78" t="n"/>
    </row>
    <row r="3161">
      <c r="A3161" s="84">
        <f>ROW()-6</f>
        <v/>
      </c>
      <c r="B3161" s="85">
        <f>+MATCH(D3161,ARTICULOS!$F$10:$F$699,0)</f>
        <v/>
      </c>
      <c r="C3161" s="86">
        <f>+VLOOKUP(B3161,ARTICULOS!$D$10:$I$699,6)</f>
        <v/>
      </c>
      <c r="D3161" s="212" t="n"/>
      <c r="E3161" s="75">
        <f>+C3161&amp;F3161</f>
        <v/>
      </c>
      <c r="F3161" s="80" t="n"/>
      <c r="G3161" s="81" t="n"/>
      <c r="H3161" s="78" t="n"/>
      <c r="I3161" s="78" t="n"/>
      <c r="J3161" s="78" t="n"/>
    </row>
    <row r="3162">
      <c r="A3162" s="84">
        <f>ROW()-6</f>
        <v/>
      </c>
      <c r="B3162" s="85">
        <f>+MATCH(D3162,ARTICULOS!$F$10:$F$699,0)</f>
        <v/>
      </c>
      <c r="C3162" s="86">
        <f>+VLOOKUP(B3162,ARTICULOS!$D$10:$I$699,6)</f>
        <v/>
      </c>
      <c r="D3162" s="212" t="n"/>
      <c r="E3162" s="75">
        <f>+C3162&amp;F3162</f>
        <v/>
      </c>
      <c r="F3162" s="80" t="n"/>
      <c r="G3162" s="81" t="n"/>
      <c r="H3162" s="78" t="n"/>
      <c r="I3162" s="78" t="n"/>
      <c r="J3162" s="78" t="n"/>
    </row>
    <row r="3163">
      <c r="A3163" s="84">
        <f>ROW()-6</f>
        <v/>
      </c>
      <c r="B3163" s="85">
        <f>+MATCH(D3163,ARTICULOS!$F$10:$F$699,0)</f>
        <v/>
      </c>
      <c r="C3163" s="86">
        <f>+VLOOKUP(B3163,ARTICULOS!$D$10:$I$699,6)</f>
        <v/>
      </c>
      <c r="D3163" s="212" t="n"/>
      <c r="E3163" s="75">
        <f>+C3163&amp;F3163</f>
        <v/>
      </c>
      <c r="F3163" s="80" t="n"/>
      <c r="G3163" s="81" t="n"/>
      <c r="H3163" s="78" t="n"/>
      <c r="I3163" s="78" t="n"/>
      <c r="J3163" s="78" t="n"/>
    </row>
    <row r="3164">
      <c r="A3164" s="84">
        <f>ROW()-6</f>
        <v/>
      </c>
      <c r="B3164" s="85">
        <f>+MATCH(D3164,ARTICULOS!$F$10:$F$699,0)</f>
        <v/>
      </c>
      <c r="C3164" s="86">
        <f>+VLOOKUP(B3164,ARTICULOS!$D$10:$I$699,6)</f>
        <v/>
      </c>
      <c r="D3164" s="212" t="n"/>
      <c r="E3164" s="75">
        <f>+C3164&amp;F3164</f>
        <v/>
      </c>
      <c r="F3164" s="80" t="n"/>
      <c r="G3164" s="81" t="n"/>
      <c r="H3164" s="78" t="n"/>
      <c r="I3164" s="78" t="n"/>
      <c r="J3164" s="78" t="n"/>
    </row>
    <row r="3165">
      <c r="A3165" s="84">
        <f>ROW()-6</f>
        <v/>
      </c>
      <c r="B3165" s="85">
        <f>+MATCH(D3165,ARTICULOS!$F$10:$F$699,0)</f>
        <v/>
      </c>
      <c r="C3165" s="86">
        <f>+VLOOKUP(B3165,ARTICULOS!$D$10:$I$699,6)</f>
        <v/>
      </c>
      <c r="D3165" s="212" t="n"/>
      <c r="E3165" s="75">
        <f>+C3165&amp;F3165</f>
        <v/>
      </c>
      <c r="F3165" s="80" t="n"/>
      <c r="G3165" s="81" t="n"/>
      <c r="H3165" s="78" t="n"/>
      <c r="I3165" s="78" t="n"/>
      <c r="J3165" s="78" t="n"/>
    </row>
    <row r="3166">
      <c r="A3166" s="84">
        <f>ROW()-6</f>
        <v/>
      </c>
      <c r="B3166" s="85">
        <f>+MATCH(D3166,ARTICULOS!$F$10:$F$699,0)</f>
        <v/>
      </c>
      <c r="C3166" s="86">
        <f>+VLOOKUP(B3166,ARTICULOS!$D$10:$I$699,6)</f>
        <v/>
      </c>
      <c r="D3166" s="212" t="n"/>
      <c r="E3166" s="75">
        <f>+C3166&amp;F3166</f>
        <v/>
      </c>
      <c r="F3166" s="80" t="n"/>
      <c r="G3166" s="81" t="n"/>
      <c r="H3166" s="78" t="n"/>
      <c r="I3166" s="78" t="n"/>
      <c r="J3166" s="78" t="n"/>
    </row>
    <row r="3167">
      <c r="A3167" s="84">
        <f>ROW()-6</f>
        <v/>
      </c>
      <c r="B3167" s="85">
        <f>+MATCH(D3167,ARTICULOS!$F$10:$F$699,0)</f>
        <v/>
      </c>
      <c r="C3167" s="86">
        <f>+VLOOKUP(B3167,ARTICULOS!$D$10:$I$699,6)</f>
        <v/>
      </c>
      <c r="D3167" s="212" t="n"/>
      <c r="E3167" s="75">
        <f>+C3167&amp;F3167</f>
        <v/>
      </c>
      <c r="F3167" s="80" t="n"/>
      <c r="G3167" s="81" t="n"/>
      <c r="H3167" s="78" t="n"/>
      <c r="I3167" s="78" t="n"/>
      <c r="J3167" s="78" t="n"/>
    </row>
    <row r="3168">
      <c r="A3168" s="84">
        <f>ROW()-6</f>
        <v/>
      </c>
      <c r="B3168" s="85">
        <f>+MATCH(D3168,ARTICULOS!$F$10:$F$699,0)</f>
        <v/>
      </c>
      <c r="C3168" s="86">
        <f>+VLOOKUP(B3168,ARTICULOS!$D$10:$I$699,6)</f>
        <v/>
      </c>
      <c r="D3168" s="212" t="n"/>
      <c r="E3168" s="75">
        <f>+C3168&amp;F3168</f>
        <v/>
      </c>
      <c r="F3168" s="80" t="n"/>
      <c r="G3168" s="81" t="n"/>
      <c r="H3168" s="78" t="n"/>
      <c r="I3168" s="78" t="n"/>
      <c r="J3168" s="78" t="n"/>
    </row>
    <row r="3169">
      <c r="A3169" s="84">
        <f>ROW()-6</f>
        <v/>
      </c>
      <c r="B3169" s="85">
        <f>+MATCH(D3169,ARTICULOS!$F$10:$F$699,0)</f>
        <v/>
      </c>
      <c r="C3169" s="86">
        <f>+VLOOKUP(B3169,ARTICULOS!$D$10:$I$699,6)</f>
        <v/>
      </c>
      <c r="D3169" s="212" t="n"/>
      <c r="E3169" s="75">
        <f>+C3169&amp;F3169</f>
        <v/>
      </c>
      <c r="F3169" s="80" t="n"/>
      <c r="G3169" s="81" t="n"/>
      <c r="H3169" s="78" t="n"/>
      <c r="I3169" s="78" t="n"/>
      <c r="J3169" s="78" t="n"/>
    </row>
    <row r="3170">
      <c r="A3170" s="84">
        <f>ROW()-6</f>
        <v/>
      </c>
      <c r="B3170" s="85">
        <f>+MATCH(D3170,ARTICULOS!$F$10:$F$699,0)</f>
        <v/>
      </c>
      <c r="C3170" s="86">
        <f>+VLOOKUP(B3170,ARTICULOS!$D$10:$I$699,6)</f>
        <v/>
      </c>
      <c r="D3170" s="212" t="n"/>
      <c r="E3170" s="75">
        <f>+C3170&amp;F3170</f>
        <v/>
      </c>
      <c r="F3170" s="80" t="n"/>
      <c r="G3170" s="81" t="n"/>
      <c r="H3170" s="78" t="n"/>
      <c r="I3170" s="78" t="n"/>
      <c r="J3170" s="78" t="n"/>
    </row>
    <row r="3171">
      <c r="A3171" s="84">
        <f>ROW()-6</f>
        <v/>
      </c>
      <c r="B3171" s="85">
        <f>+MATCH(D3171,ARTICULOS!$F$10:$F$699,0)</f>
        <v/>
      </c>
      <c r="C3171" s="86">
        <f>+VLOOKUP(B3171,ARTICULOS!$D$10:$I$699,6)</f>
        <v/>
      </c>
      <c r="D3171" s="212" t="n"/>
      <c r="E3171" s="75">
        <f>+C3171&amp;F3171</f>
        <v/>
      </c>
      <c r="F3171" s="80" t="n"/>
      <c r="G3171" s="81" t="n"/>
      <c r="H3171" s="78" t="n"/>
      <c r="I3171" s="78" t="n"/>
      <c r="J3171" s="78" t="n"/>
    </row>
    <row r="3172">
      <c r="A3172" s="84">
        <f>ROW()-6</f>
        <v/>
      </c>
      <c r="B3172" s="85">
        <f>+MATCH(D3172,ARTICULOS!$F$10:$F$699,0)</f>
        <v/>
      </c>
      <c r="C3172" s="86">
        <f>+VLOOKUP(B3172,ARTICULOS!$D$10:$I$699,6)</f>
        <v/>
      </c>
      <c r="D3172" s="212" t="n"/>
      <c r="E3172" s="75">
        <f>+C3172&amp;F3172</f>
        <v/>
      </c>
      <c r="F3172" s="80" t="n"/>
      <c r="G3172" s="81" t="n"/>
      <c r="H3172" s="78" t="n"/>
      <c r="I3172" s="78" t="n"/>
      <c r="J3172" s="78" t="n"/>
    </row>
    <row r="3173">
      <c r="A3173" s="84">
        <f>ROW()-6</f>
        <v/>
      </c>
      <c r="B3173" s="85">
        <f>+MATCH(D3173,ARTICULOS!$F$10:$F$699,0)</f>
        <v/>
      </c>
      <c r="C3173" s="86">
        <f>+VLOOKUP(B3173,ARTICULOS!$D$10:$I$699,6)</f>
        <v/>
      </c>
      <c r="D3173" s="212" t="n"/>
      <c r="E3173" s="75">
        <f>+C3173&amp;F3173</f>
        <v/>
      </c>
      <c r="F3173" s="80" t="n"/>
      <c r="G3173" s="81" t="n"/>
      <c r="H3173" s="78" t="n"/>
      <c r="I3173" s="78" t="n"/>
      <c r="J3173" s="78" t="n"/>
    </row>
    <row r="3174">
      <c r="A3174" s="84">
        <f>ROW()-6</f>
        <v/>
      </c>
      <c r="B3174" s="85">
        <f>+MATCH(D3174,ARTICULOS!$F$10:$F$699,0)</f>
        <v/>
      </c>
      <c r="C3174" s="86">
        <f>+VLOOKUP(B3174,ARTICULOS!$D$10:$I$699,6)</f>
        <v/>
      </c>
      <c r="D3174" s="212" t="n"/>
      <c r="E3174" s="75">
        <f>+C3174&amp;F3174</f>
        <v/>
      </c>
      <c r="F3174" s="80" t="n"/>
      <c r="G3174" s="81" t="n"/>
      <c r="H3174" s="78" t="n"/>
      <c r="I3174" s="78" t="n"/>
      <c r="J3174" s="78" t="n"/>
    </row>
    <row r="3175">
      <c r="A3175" s="84">
        <f>ROW()-6</f>
        <v/>
      </c>
      <c r="B3175" s="85">
        <f>+MATCH(D3175,ARTICULOS!$F$10:$F$699,0)</f>
        <v/>
      </c>
      <c r="C3175" s="86">
        <f>+VLOOKUP(B3175,ARTICULOS!$D$10:$I$699,6)</f>
        <v/>
      </c>
      <c r="D3175" s="212" t="n"/>
      <c r="E3175" s="75">
        <f>+C3175&amp;F3175</f>
        <v/>
      </c>
      <c r="F3175" s="80" t="n"/>
      <c r="G3175" s="81" t="n"/>
      <c r="H3175" s="78" t="n"/>
      <c r="I3175" s="78" t="n"/>
      <c r="J3175" s="78" t="n"/>
    </row>
    <row r="3176">
      <c r="A3176" s="84">
        <f>ROW()-6</f>
        <v/>
      </c>
      <c r="B3176" s="85">
        <f>+MATCH(D3176,ARTICULOS!$F$10:$F$699,0)</f>
        <v/>
      </c>
      <c r="C3176" s="86">
        <f>+VLOOKUP(B3176,ARTICULOS!$D$10:$I$699,6)</f>
        <v/>
      </c>
      <c r="D3176" s="212" t="n"/>
      <c r="E3176" s="75">
        <f>+C3176&amp;F3176</f>
        <v/>
      </c>
      <c r="F3176" s="80" t="n"/>
      <c r="G3176" s="81" t="n"/>
      <c r="H3176" s="78" t="n"/>
      <c r="I3176" s="78" t="n"/>
      <c r="J3176" s="78" t="n"/>
    </row>
    <row r="3177">
      <c r="A3177" s="84">
        <f>ROW()-6</f>
        <v/>
      </c>
      <c r="B3177" s="85">
        <f>+MATCH(D3177,ARTICULOS!$F$10:$F$699,0)</f>
        <v/>
      </c>
      <c r="C3177" s="86">
        <f>+VLOOKUP(B3177,ARTICULOS!$D$10:$I$699,6)</f>
        <v/>
      </c>
      <c r="D3177" s="212" t="n"/>
      <c r="E3177" s="75">
        <f>+C3177&amp;F3177</f>
        <v/>
      </c>
      <c r="F3177" s="80" t="n"/>
      <c r="G3177" s="81" t="n"/>
      <c r="H3177" s="78" t="n"/>
      <c r="I3177" s="78" t="n"/>
      <c r="J3177" s="78" t="n"/>
    </row>
    <row r="3178">
      <c r="A3178" s="84">
        <f>ROW()-6</f>
        <v/>
      </c>
      <c r="B3178" s="85">
        <f>+MATCH(D3178,ARTICULOS!$F$10:$F$699,0)</f>
        <v/>
      </c>
      <c r="C3178" s="86">
        <f>+VLOOKUP(B3178,ARTICULOS!$D$10:$I$699,6)</f>
        <v/>
      </c>
      <c r="D3178" s="212" t="n"/>
      <c r="E3178" s="75">
        <f>+C3178&amp;F3178</f>
        <v/>
      </c>
      <c r="F3178" s="80" t="n"/>
      <c r="G3178" s="81" t="n"/>
      <c r="H3178" s="78" t="n"/>
      <c r="I3178" s="78" t="n"/>
      <c r="J3178" s="78" t="n"/>
    </row>
    <row r="3179">
      <c r="A3179" s="84">
        <f>ROW()-6</f>
        <v/>
      </c>
      <c r="B3179" s="85">
        <f>+MATCH(D3179,ARTICULOS!$F$10:$F$699,0)</f>
        <v/>
      </c>
      <c r="C3179" s="86">
        <f>+VLOOKUP(B3179,ARTICULOS!$D$10:$I$699,6)</f>
        <v/>
      </c>
      <c r="D3179" s="212" t="n"/>
      <c r="E3179" s="75">
        <f>+C3179&amp;F3179</f>
        <v/>
      </c>
      <c r="F3179" s="80" t="n"/>
      <c r="G3179" s="81" t="n"/>
      <c r="H3179" s="78" t="n"/>
      <c r="I3179" s="78" t="n"/>
      <c r="J3179" s="78" t="n"/>
    </row>
    <row r="3180">
      <c r="A3180" s="84">
        <f>ROW()-6</f>
        <v/>
      </c>
      <c r="B3180" s="85">
        <f>+MATCH(D3180,ARTICULOS!$F$10:$F$699,0)</f>
        <v/>
      </c>
      <c r="C3180" s="86">
        <f>+VLOOKUP(B3180,ARTICULOS!$D$10:$I$699,6)</f>
        <v/>
      </c>
      <c r="D3180" s="212" t="n"/>
      <c r="E3180" s="75">
        <f>+C3180&amp;F3180</f>
        <v/>
      </c>
      <c r="F3180" s="80" t="n"/>
      <c r="G3180" s="81" t="n"/>
      <c r="H3180" s="78" t="n"/>
      <c r="I3180" s="78" t="n"/>
      <c r="J3180" s="78" t="n"/>
    </row>
    <row r="3181">
      <c r="A3181" s="84">
        <f>ROW()-6</f>
        <v/>
      </c>
      <c r="B3181" s="85">
        <f>+MATCH(D3181,ARTICULOS!$F$10:$F$699,0)</f>
        <v/>
      </c>
      <c r="C3181" s="86">
        <f>+VLOOKUP(B3181,ARTICULOS!$D$10:$I$699,6)</f>
        <v/>
      </c>
      <c r="D3181" s="212" t="n"/>
      <c r="E3181" s="75">
        <f>+C3181&amp;F3181</f>
        <v/>
      </c>
      <c r="F3181" s="80" t="n"/>
      <c r="G3181" s="81" t="n"/>
      <c r="H3181" s="78" t="n"/>
      <c r="I3181" s="78" t="n"/>
      <c r="J3181" s="78" t="n"/>
    </row>
    <row r="3182">
      <c r="A3182" s="84">
        <f>ROW()-6</f>
        <v/>
      </c>
      <c r="B3182" s="85">
        <f>+MATCH(D3182,ARTICULOS!$F$10:$F$699,0)</f>
        <v/>
      </c>
      <c r="C3182" s="86">
        <f>+VLOOKUP(B3182,ARTICULOS!$D$10:$I$699,6)</f>
        <v/>
      </c>
      <c r="D3182" s="212" t="n"/>
      <c r="E3182" s="75">
        <f>+C3182&amp;F3182</f>
        <v/>
      </c>
      <c r="F3182" s="80" t="n"/>
      <c r="G3182" s="81" t="n"/>
      <c r="H3182" s="78" t="n"/>
      <c r="I3182" s="78" t="n"/>
      <c r="J3182" s="78" t="n"/>
    </row>
    <row r="3183">
      <c r="A3183" s="84">
        <f>ROW()-6</f>
        <v/>
      </c>
      <c r="B3183" s="85">
        <f>+MATCH(D3183,ARTICULOS!$F$10:$F$699,0)</f>
        <v/>
      </c>
      <c r="C3183" s="86">
        <f>+VLOOKUP(B3183,ARTICULOS!$D$10:$I$699,6)</f>
        <v/>
      </c>
      <c r="D3183" s="212" t="n"/>
      <c r="E3183" s="75">
        <f>+C3183&amp;F3183</f>
        <v/>
      </c>
      <c r="F3183" s="80" t="n"/>
      <c r="G3183" s="81" t="n"/>
      <c r="H3183" s="78" t="n"/>
      <c r="I3183" s="78" t="n"/>
      <c r="J3183" s="78" t="n"/>
    </row>
    <row r="3184">
      <c r="A3184" s="84">
        <f>ROW()-6</f>
        <v/>
      </c>
      <c r="B3184" s="85">
        <f>+MATCH(D3184,ARTICULOS!$F$10:$F$699,0)</f>
        <v/>
      </c>
      <c r="C3184" s="86">
        <f>+VLOOKUP(B3184,ARTICULOS!$D$10:$I$699,6)</f>
        <v/>
      </c>
      <c r="D3184" s="212" t="n"/>
      <c r="E3184" s="75">
        <f>+C3184&amp;F3184</f>
        <v/>
      </c>
      <c r="F3184" s="80" t="n"/>
      <c r="G3184" s="81" t="n"/>
      <c r="H3184" s="78" t="n"/>
      <c r="I3184" s="78" t="n"/>
      <c r="J3184" s="78" t="n"/>
    </row>
    <row r="3185">
      <c r="A3185" s="84">
        <f>ROW()-6</f>
        <v/>
      </c>
      <c r="B3185" s="85">
        <f>+MATCH(D3185,ARTICULOS!$F$10:$F$699,0)</f>
        <v/>
      </c>
      <c r="C3185" s="86">
        <f>+VLOOKUP(B3185,ARTICULOS!$D$10:$I$699,6)</f>
        <v/>
      </c>
      <c r="D3185" s="212" t="n"/>
      <c r="E3185" s="75">
        <f>+C3185&amp;F3185</f>
        <v/>
      </c>
      <c r="F3185" s="80" t="n"/>
      <c r="G3185" s="81" t="n"/>
      <c r="H3185" s="78" t="n"/>
      <c r="I3185" s="78" t="n"/>
      <c r="J3185" s="78" t="n"/>
    </row>
    <row r="3186">
      <c r="A3186" s="84">
        <f>ROW()-6</f>
        <v/>
      </c>
      <c r="B3186" s="85">
        <f>+MATCH(D3186,ARTICULOS!$F$10:$F$699,0)</f>
        <v/>
      </c>
      <c r="C3186" s="86">
        <f>+VLOOKUP(B3186,ARTICULOS!$D$10:$I$699,6)</f>
        <v/>
      </c>
      <c r="D3186" s="212" t="n"/>
      <c r="E3186" s="75">
        <f>+C3186&amp;F3186</f>
        <v/>
      </c>
      <c r="F3186" s="80" t="n"/>
      <c r="G3186" s="81" t="n"/>
      <c r="H3186" s="78" t="n"/>
      <c r="I3186" s="78" t="n"/>
      <c r="J3186" s="78" t="n"/>
    </row>
    <row r="3187">
      <c r="A3187" s="84">
        <f>ROW()-6</f>
        <v/>
      </c>
      <c r="B3187" s="85">
        <f>+MATCH(D3187,ARTICULOS!$F$10:$F$699,0)</f>
        <v/>
      </c>
      <c r="C3187" s="86">
        <f>+VLOOKUP(B3187,ARTICULOS!$D$10:$I$699,6)</f>
        <v/>
      </c>
      <c r="D3187" s="212" t="n"/>
      <c r="E3187" s="75">
        <f>+C3187&amp;F3187</f>
        <v/>
      </c>
      <c r="F3187" s="80" t="n"/>
      <c r="G3187" s="81" t="n"/>
      <c r="H3187" s="78" t="n"/>
      <c r="I3187" s="78" t="n"/>
      <c r="J3187" s="78" t="n"/>
    </row>
    <row r="3188">
      <c r="A3188" s="84">
        <f>ROW()-6</f>
        <v/>
      </c>
      <c r="B3188" s="85">
        <f>+MATCH(D3188,ARTICULOS!$F$10:$F$699,0)</f>
        <v/>
      </c>
      <c r="C3188" s="86">
        <f>+VLOOKUP(B3188,ARTICULOS!$D$10:$I$699,6)</f>
        <v/>
      </c>
      <c r="D3188" s="212" t="n"/>
      <c r="E3188" s="75">
        <f>+C3188&amp;F3188</f>
        <v/>
      </c>
      <c r="F3188" s="80" t="n"/>
      <c r="G3188" s="81" t="n"/>
      <c r="H3188" s="78" t="n"/>
      <c r="I3188" s="78" t="n"/>
      <c r="J3188" s="78" t="n"/>
    </row>
    <row r="3189">
      <c r="A3189" s="84">
        <f>ROW()-6</f>
        <v/>
      </c>
      <c r="B3189" s="85">
        <f>+MATCH(D3189,ARTICULOS!$F$10:$F$699,0)</f>
        <v/>
      </c>
      <c r="C3189" s="86">
        <f>+VLOOKUP(B3189,ARTICULOS!$D$10:$I$699,6)</f>
        <v/>
      </c>
      <c r="D3189" s="212" t="n"/>
      <c r="E3189" s="75">
        <f>+C3189&amp;F3189</f>
        <v/>
      </c>
      <c r="F3189" s="80" t="n"/>
      <c r="G3189" s="81" t="n"/>
      <c r="H3189" s="78" t="n"/>
      <c r="I3189" s="78" t="n"/>
      <c r="J3189" s="78" t="n"/>
    </row>
    <row r="3190">
      <c r="A3190" s="84">
        <f>ROW()-6</f>
        <v/>
      </c>
      <c r="B3190" s="85">
        <f>+MATCH(D3190,ARTICULOS!$F$10:$F$699,0)</f>
        <v/>
      </c>
      <c r="C3190" s="86">
        <f>+VLOOKUP(B3190,ARTICULOS!$D$10:$I$699,6)</f>
        <v/>
      </c>
      <c r="D3190" s="212" t="n"/>
      <c r="E3190" s="75">
        <f>+C3190&amp;F3190</f>
        <v/>
      </c>
      <c r="F3190" s="80" t="n"/>
      <c r="G3190" s="81" t="n"/>
      <c r="H3190" s="78" t="n"/>
      <c r="I3190" s="78" t="n"/>
      <c r="J3190" s="78" t="n"/>
    </row>
    <row r="3191">
      <c r="A3191" s="84">
        <f>ROW()-6</f>
        <v/>
      </c>
      <c r="B3191" s="85">
        <f>+MATCH(D3191,ARTICULOS!$F$10:$F$699,0)</f>
        <v/>
      </c>
      <c r="C3191" s="86">
        <f>+VLOOKUP(B3191,ARTICULOS!$D$10:$I$699,6)</f>
        <v/>
      </c>
      <c r="D3191" s="212" t="n"/>
      <c r="E3191" s="75">
        <f>+C3191&amp;F3191</f>
        <v/>
      </c>
      <c r="F3191" s="80" t="n"/>
      <c r="G3191" s="81" t="n"/>
      <c r="H3191" s="78" t="n"/>
      <c r="I3191" s="78" t="n"/>
      <c r="J3191" s="78" t="n"/>
    </row>
    <row r="3192">
      <c r="A3192" s="84">
        <f>ROW()-6</f>
        <v/>
      </c>
      <c r="B3192" s="85">
        <f>+MATCH(D3192,ARTICULOS!$F$10:$F$699,0)</f>
        <v/>
      </c>
      <c r="C3192" s="86">
        <f>+VLOOKUP(B3192,ARTICULOS!$D$10:$I$699,6)</f>
        <v/>
      </c>
      <c r="D3192" s="212" t="n"/>
      <c r="E3192" s="75">
        <f>+C3192&amp;F3192</f>
        <v/>
      </c>
      <c r="F3192" s="80" t="n"/>
      <c r="G3192" s="81" t="n"/>
      <c r="H3192" s="78" t="n"/>
      <c r="I3192" s="78" t="n"/>
      <c r="J3192" s="78" t="n"/>
    </row>
    <row r="3193">
      <c r="A3193" s="84">
        <f>ROW()-6</f>
        <v/>
      </c>
      <c r="B3193" s="85">
        <f>+MATCH(D3193,ARTICULOS!$F$10:$F$699,0)</f>
        <v/>
      </c>
      <c r="C3193" s="86">
        <f>+VLOOKUP(B3193,ARTICULOS!$D$10:$I$699,6)</f>
        <v/>
      </c>
      <c r="D3193" s="212" t="n"/>
      <c r="E3193" s="75">
        <f>+C3193&amp;F3193</f>
        <v/>
      </c>
      <c r="F3193" s="80" t="n"/>
      <c r="G3193" s="81" t="n"/>
      <c r="H3193" s="78" t="n"/>
      <c r="I3193" s="78" t="n"/>
      <c r="J3193" s="78" t="n"/>
    </row>
    <row r="3194">
      <c r="A3194" s="84">
        <f>ROW()-6</f>
        <v/>
      </c>
      <c r="B3194" s="85">
        <f>+MATCH(D3194,ARTICULOS!$F$10:$F$699,0)</f>
        <v/>
      </c>
      <c r="C3194" s="86">
        <f>+VLOOKUP(B3194,ARTICULOS!$D$10:$I$699,6)</f>
        <v/>
      </c>
      <c r="D3194" s="212" t="n"/>
      <c r="E3194" s="75">
        <f>+C3194&amp;F3194</f>
        <v/>
      </c>
      <c r="F3194" s="80" t="n"/>
      <c r="G3194" s="81" t="n"/>
      <c r="H3194" s="78" t="n"/>
      <c r="I3194" s="78" t="n"/>
      <c r="J3194" s="78" t="n"/>
    </row>
    <row r="3195">
      <c r="A3195" s="84">
        <f>ROW()-6</f>
        <v/>
      </c>
      <c r="B3195" s="85">
        <f>+MATCH(D3195,ARTICULOS!$F$10:$F$699,0)</f>
        <v/>
      </c>
      <c r="C3195" s="86">
        <f>+VLOOKUP(B3195,ARTICULOS!$D$10:$I$699,6)</f>
        <v/>
      </c>
      <c r="D3195" s="212" t="n"/>
      <c r="E3195" s="75">
        <f>+C3195&amp;F3195</f>
        <v/>
      </c>
      <c r="F3195" s="80" t="n"/>
      <c r="G3195" s="81" t="n"/>
      <c r="H3195" s="78" t="n"/>
      <c r="I3195" s="78" t="n"/>
      <c r="J3195" s="78" t="n"/>
    </row>
    <row r="3196">
      <c r="A3196" s="84">
        <f>ROW()-6</f>
        <v/>
      </c>
      <c r="B3196" s="85">
        <f>+MATCH(D3196,ARTICULOS!$F$10:$F$699,0)</f>
        <v/>
      </c>
      <c r="C3196" s="86">
        <f>+VLOOKUP(B3196,ARTICULOS!$D$10:$I$699,6)</f>
        <v/>
      </c>
      <c r="D3196" s="212" t="n"/>
      <c r="E3196" s="75">
        <f>+C3196&amp;F3196</f>
        <v/>
      </c>
      <c r="F3196" s="80" t="n"/>
      <c r="G3196" s="81" t="n"/>
      <c r="H3196" s="78" t="n"/>
      <c r="I3196" s="78" t="n"/>
      <c r="J3196" s="78" t="n"/>
    </row>
    <row r="3197">
      <c r="A3197" s="84">
        <f>ROW()-6</f>
        <v/>
      </c>
      <c r="B3197" s="85">
        <f>+MATCH(D3197,ARTICULOS!$F$10:$F$699,0)</f>
        <v/>
      </c>
      <c r="C3197" s="86">
        <f>+VLOOKUP(B3197,ARTICULOS!$D$10:$I$699,6)</f>
        <v/>
      </c>
      <c r="D3197" s="212" t="n"/>
      <c r="E3197" s="75">
        <f>+C3197&amp;F3197</f>
        <v/>
      </c>
      <c r="F3197" s="80" t="n"/>
      <c r="G3197" s="81" t="n"/>
      <c r="H3197" s="78" t="n"/>
      <c r="I3197" s="78" t="n"/>
      <c r="J3197" s="78" t="n"/>
    </row>
    <row r="3198">
      <c r="A3198" s="84">
        <f>ROW()-6</f>
        <v/>
      </c>
      <c r="B3198" s="85">
        <f>+MATCH(D3198,ARTICULOS!$F$10:$F$699,0)</f>
        <v/>
      </c>
      <c r="C3198" s="86">
        <f>+VLOOKUP(B3198,ARTICULOS!$D$10:$I$699,6)</f>
        <v/>
      </c>
      <c r="D3198" s="212" t="n"/>
      <c r="E3198" s="75">
        <f>+C3198&amp;F3198</f>
        <v/>
      </c>
      <c r="F3198" s="80" t="n"/>
      <c r="G3198" s="81" t="n"/>
      <c r="H3198" s="78" t="n"/>
      <c r="I3198" s="78" t="n"/>
      <c r="J3198" s="78" t="n"/>
    </row>
    <row r="3199">
      <c r="A3199" s="84">
        <f>ROW()-6</f>
        <v/>
      </c>
      <c r="B3199" s="85">
        <f>+MATCH(D3199,ARTICULOS!$F$10:$F$699,0)</f>
        <v/>
      </c>
      <c r="C3199" s="86">
        <f>+VLOOKUP(B3199,ARTICULOS!$D$10:$I$699,6)</f>
        <v/>
      </c>
      <c r="D3199" s="212" t="n"/>
      <c r="E3199" s="75">
        <f>+C3199&amp;F3199</f>
        <v/>
      </c>
      <c r="F3199" s="80" t="n"/>
      <c r="G3199" s="81" t="n"/>
      <c r="H3199" s="78" t="n"/>
      <c r="I3199" s="78" t="n"/>
      <c r="J3199" s="78" t="n"/>
    </row>
    <row r="3200">
      <c r="A3200" s="84">
        <f>ROW()-6</f>
        <v/>
      </c>
      <c r="B3200" s="85">
        <f>+MATCH(D3200,ARTICULOS!$F$10:$F$699,0)</f>
        <v/>
      </c>
      <c r="C3200" s="86">
        <f>+VLOOKUP(B3200,ARTICULOS!$D$10:$I$699,6)</f>
        <v/>
      </c>
      <c r="D3200" s="212" t="n"/>
      <c r="E3200" s="75">
        <f>+C3200&amp;F3200</f>
        <v/>
      </c>
      <c r="F3200" s="80" t="n"/>
      <c r="G3200" s="81" t="n"/>
      <c r="H3200" s="78" t="n"/>
      <c r="I3200" s="78" t="n"/>
      <c r="J3200" s="78" t="n"/>
    </row>
    <row r="3201">
      <c r="A3201" s="84">
        <f>ROW()-6</f>
        <v/>
      </c>
      <c r="B3201" s="85">
        <f>+MATCH(D3201,ARTICULOS!$F$10:$F$699,0)</f>
        <v/>
      </c>
      <c r="C3201" s="86">
        <f>+VLOOKUP(B3201,ARTICULOS!$D$10:$I$699,6)</f>
        <v/>
      </c>
      <c r="D3201" s="212" t="n"/>
      <c r="E3201" s="75">
        <f>+C3201&amp;F3201</f>
        <v/>
      </c>
      <c r="F3201" s="80" t="n"/>
      <c r="G3201" s="81" t="n"/>
      <c r="H3201" s="78" t="n"/>
      <c r="I3201" s="78" t="n"/>
      <c r="J3201" s="78" t="n"/>
    </row>
    <row r="3202">
      <c r="A3202" s="84">
        <f>ROW()-6</f>
        <v/>
      </c>
      <c r="B3202" s="85">
        <f>+MATCH(D3202,ARTICULOS!$F$10:$F$699,0)</f>
        <v/>
      </c>
      <c r="C3202" s="86">
        <f>+VLOOKUP(B3202,ARTICULOS!$D$10:$I$699,6)</f>
        <v/>
      </c>
      <c r="D3202" s="212" t="n"/>
      <c r="E3202" s="75">
        <f>+C3202&amp;F3202</f>
        <v/>
      </c>
      <c r="F3202" s="80" t="n"/>
      <c r="G3202" s="81" t="n"/>
      <c r="H3202" s="78" t="n"/>
      <c r="I3202" s="78" t="n"/>
      <c r="J3202" s="78" t="n"/>
    </row>
    <row r="3203">
      <c r="A3203" s="84">
        <f>ROW()-6</f>
        <v/>
      </c>
      <c r="B3203" s="85">
        <f>+MATCH(D3203,ARTICULOS!$F$10:$F$699,0)</f>
        <v/>
      </c>
      <c r="C3203" s="86">
        <f>+VLOOKUP(B3203,ARTICULOS!$D$10:$I$699,6)</f>
        <v/>
      </c>
      <c r="D3203" s="212" t="n"/>
      <c r="E3203" s="75">
        <f>+C3203&amp;F3203</f>
        <v/>
      </c>
      <c r="F3203" s="80" t="n"/>
      <c r="G3203" s="81" t="n"/>
      <c r="H3203" s="78" t="n"/>
      <c r="I3203" s="78" t="n"/>
      <c r="J3203" s="78" t="n"/>
    </row>
    <row r="3204">
      <c r="A3204" s="84">
        <f>ROW()-6</f>
        <v/>
      </c>
      <c r="B3204" s="85">
        <f>+MATCH(D3204,ARTICULOS!$F$10:$F$699,0)</f>
        <v/>
      </c>
      <c r="C3204" s="86">
        <f>+VLOOKUP(B3204,ARTICULOS!$D$10:$I$699,6)</f>
        <v/>
      </c>
      <c r="D3204" s="212" t="n"/>
      <c r="E3204" s="75">
        <f>+C3204&amp;F3204</f>
        <v/>
      </c>
      <c r="F3204" s="80" t="n"/>
      <c r="G3204" s="81" t="n"/>
      <c r="H3204" s="78" t="n"/>
      <c r="I3204" s="78" t="n"/>
      <c r="J3204" s="78" t="n"/>
    </row>
    <row r="3205">
      <c r="A3205" s="84">
        <f>ROW()-6</f>
        <v/>
      </c>
      <c r="B3205" s="85">
        <f>+MATCH(D3205,ARTICULOS!$F$10:$F$699,0)</f>
        <v/>
      </c>
      <c r="C3205" s="86">
        <f>+VLOOKUP(B3205,ARTICULOS!$D$10:$I$699,6)</f>
        <v/>
      </c>
      <c r="D3205" s="212" t="n"/>
      <c r="E3205" s="75">
        <f>+C3205&amp;F3205</f>
        <v/>
      </c>
      <c r="F3205" s="80" t="n"/>
      <c r="G3205" s="81" t="n"/>
      <c r="H3205" s="78" t="n"/>
      <c r="I3205" s="78" t="n"/>
      <c r="J3205" s="78" t="n"/>
    </row>
    <row r="3206">
      <c r="A3206" s="84">
        <f>ROW()-6</f>
        <v/>
      </c>
      <c r="B3206" s="85">
        <f>+MATCH(D3206,ARTICULOS!$F$10:$F$699,0)</f>
        <v/>
      </c>
      <c r="C3206" s="86">
        <f>+VLOOKUP(B3206,ARTICULOS!$D$10:$I$699,6)</f>
        <v/>
      </c>
      <c r="D3206" s="212" t="n"/>
      <c r="E3206" s="75">
        <f>+C3206&amp;F3206</f>
        <v/>
      </c>
      <c r="F3206" s="80" t="n"/>
      <c r="G3206" s="81" t="n"/>
      <c r="H3206" s="78" t="n"/>
      <c r="I3206" s="78" t="n"/>
      <c r="J3206" s="78" t="n"/>
    </row>
    <row r="3207">
      <c r="A3207" s="84">
        <f>ROW()-6</f>
        <v/>
      </c>
      <c r="B3207" s="85">
        <f>+MATCH(D3207,ARTICULOS!$F$10:$F$699,0)</f>
        <v/>
      </c>
      <c r="C3207" s="86">
        <f>+VLOOKUP(B3207,ARTICULOS!$D$10:$I$699,6)</f>
        <v/>
      </c>
      <c r="D3207" s="212" t="n"/>
      <c r="E3207" s="75">
        <f>+C3207&amp;F3207</f>
        <v/>
      </c>
      <c r="F3207" s="80" t="n"/>
      <c r="G3207" s="81" t="n"/>
      <c r="H3207" s="78" t="n"/>
      <c r="I3207" s="78" t="n"/>
      <c r="J3207" s="78" t="n"/>
    </row>
    <row r="3208">
      <c r="A3208" s="84">
        <f>ROW()-6</f>
        <v/>
      </c>
      <c r="B3208" s="85">
        <f>+MATCH(D3208,ARTICULOS!$F$10:$F$699,0)</f>
        <v/>
      </c>
      <c r="C3208" s="86">
        <f>+VLOOKUP(B3208,ARTICULOS!$D$10:$I$699,6)</f>
        <v/>
      </c>
      <c r="D3208" s="212" t="n"/>
      <c r="E3208" s="75">
        <f>+C3208&amp;F3208</f>
        <v/>
      </c>
      <c r="F3208" s="80" t="n"/>
      <c r="G3208" s="81" t="n"/>
      <c r="H3208" s="78" t="n"/>
      <c r="I3208" s="78" t="n"/>
      <c r="J3208" s="78" t="n"/>
    </row>
    <row r="3209">
      <c r="A3209" s="84">
        <f>ROW()-6</f>
        <v/>
      </c>
      <c r="B3209" s="85">
        <f>+MATCH(D3209,ARTICULOS!$F$10:$F$699,0)</f>
        <v/>
      </c>
      <c r="C3209" s="86">
        <f>+VLOOKUP(B3209,ARTICULOS!$D$10:$I$699,6)</f>
        <v/>
      </c>
      <c r="D3209" s="212" t="n"/>
      <c r="E3209" s="75">
        <f>+C3209&amp;F3209</f>
        <v/>
      </c>
      <c r="F3209" s="80" t="n"/>
      <c r="G3209" s="81" t="n"/>
      <c r="H3209" s="78" t="n"/>
      <c r="I3209" s="78" t="n"/>
      <c r="J3209" s="78" t="n"/>
    </row>
    <row r="3210">
      <c r="A3210" s="84">
        <f>ROW()-6</f>
        <v/>
      </c>
      <c r="B3210" s="85">
        <f>+MATCH(D3210,ARTICULOS!$F$10:$F$699,0)</f>
        <v/>
      </c>
      <c r="C3210" s="86">
        <f>+VLOOKUP(B3210,ARTICULOS!$D$10:$I$699,6)</f>
        <v/>
      </c>
      <c r="D3210" s="212" t="n"/>
      <c r="E3210" s="75">
        <f>+C3210&amp;F3210</f>
        <v/>
      </c>
      <c r="F3210" s="80" t="n"/>
      <c r="G3210" s="81" t="n"/>
      <c r="H3210" s="78" t="n"/>
      <c r="I3210" s="78" t="n"/>
      <c r="J3210" s="78" t="n"/>
    </row>
    <row r="3211">
      <c r="A3211" s="84">
        <f>ROW()-6</f>
        <v/>
      </c>
      <c r="B3211" s="85">
        <f>+MATCH(D3211,ARTICULOS!$F$10:$F$699,0)</f>
        <v/>
      </c>
      <c r="C3211" s="86">
        <f>+VLOOKUP(B3211,ARTICULOS!$D$10:$I$699,6)</f>
        <v/>
      </c>
      <c r="D3211" s="212" t="n"/>
      <c r="E3211" s="75">
        <f>+C3211&amp;F3211</f>
        <v/>
      </c>
      <c r="F3211" s="80" t="n"/>
      <c r="G3211" s="81" t="n"/>
      <c r="H3211" s="78" t="n"/>
      <c r="I3211" s="78" t="n"/>
      <c r="J3211" s="78" t="n"/>
    </row>
    <row r="3212">
      <c r="A3212" s="84">
        <f>ROW()-6</f>
        <v/>
      </c>
      <c r="B3212" s="85">
        <f>+MATCH(D3212,ARTICULOS!$F$10:$F$699,0)</f>
        <v/>
      </c>
      <c r="C3212" s="86">
        <f>+VLOOKUP(B3212,ARTICULOS!$D$10:$I$699,6)</f>
        <v/>
      </c>
      <c r="D3212" s="212" t="n"/>
      <c r="E3212" s="75">
        <f>+C3212&amp;F3212</f>
        <v/>
      </c>
      <c r="F3212" s="80" t="n"/>
      <c r="G3212" s="81" t="n"/>
      <c r="H3212" s="78" t="n"/>
      <c r="I3212" s="78" t="n"/>
      <c r="J3212" s="78" t="n"/>
    </row>
    <row r="3213">
      <c r="A3213" s="84">
        <f>ROW()-6</f>
        <v/>
      </c>
      <c r="B3213" s="85">
        <f>+MATCH(D3213,ARTICULOS!$F$10:$F$699,0)</f>
        <v/>
      </c>
      <c r="C3213" s="86">
        <f>+VLOOKUP(B3213,ARTICULOS!$D$10:$I$699,6)</f>
        <v/>
      </c>
      <c r="D3213" s="212" t="n"/>
      <c r="E3213" s="75">
        <f>+C3213&amp;F3213</f>
        <v/>
      </c>
      <c r="F3213" s="80" t="n"/>
      <c r="G3213" s="81" t="n"/>
      <c r="H3213" s="78" t="n"/>
      <c r="I3213" s="78" t="n"/>
      <c r="J3213" s="78" t="n"/>
    </row>
    <row r="3214">
      <c r="A3214" s="84">
        <f>ROW()-6</f>
        <v/>
      </c>
      <c r="B3214" s="85">
        <f>+MATCH(D3214,ARTICULOS!$F$10:$F$699,0)</f>
        <v/>
      </c>
      <c r="C3214" s="86">
        <f>+VLOOKUP(B3214,ARTICULOS!$D$10:$I$699,6)</f>
        <v/>
      </c>
      <c r="D3214" s="212" t="n"/>
      <c r="E3214" s="75">
        <f>+C3214&amp;F3214</f>
        <v/>
      </c>
      <c r="F3214" s="80" t="n"/>
      <c r="G3214" s="81" t="n"/>
      <c r="H3214" s="78" t="n"/>
      <c r="I3214" s="78" t="n"/>
      <c r="J3214" s="78" t="n"/>
    </row>
    <row r="3215">
      <c r="A3215" s="84">
        <f>ROW()-6</f>
        <v/>
      </c>
      <c r="B3215" s="85">
        <f>+MATCH(D3215,ARTICULOS!$F$10:$F$699,0)</f>
        <v/>
      </c>
      <c r="C3215" s="86">
        <f>+VLOOKUP(B3215,ARTICULOS!$D$10:$I$699,6)</f>
        <v/>
      </c>
      <c r="D3215" s="212" t="n"/>
      <c r="E3215" s="75">
        <f>+C3215&amp;F3215</f>
        <v/>
      </c>
      <c r="F3215" s="80" t="n"/>
      <c r="G3215" s="81" t="n"/>
      <c r="H3215" s="78" t="n"/>
      <c r="I3215" s="78" t="n"/>
      <c r="J3215" s="78" t="n"/>
    </row>
    <row r="3216">
      <c r="A3216" s="84">
        <f>ROW()-6</f>
        <v/>
      </c>
      <c r="B3216" s="85">
        <f>+MATCH(D3216,ARTICULOS!$F$10:$F$699,0)</f>
        <v/>
      </c>
      <c r="C3216" s="86">
        <f>+VLOOKUP(B3216,ARTICULOS!$D$10:$I$699,6)</f>
        <v/>
      </c>
      <c r="D3216" s="212" t="n"/>
      <c r="E3216" s="75">
        <f>+C3216&amp;F3216</f>
        <v/>
      </c>
      <c r="F3216" s="80" t="n"/>
      <c r="G3216" s="81" t="n"/>
      <c r="H3216" s="78" t="n"/>
      <c r="I3216" s="78" t="n"/>
      <c r="J3216" s="78" t="n"/>
    </row>
    <row r="3217">
      <c r="A3217" s="84">
        <f>ROW()-6</f>
        <v/>
      </c>
      <c r="B3217" s="85">
        <f>+MATCH(D3217,ARTICULOS!$F$10:$F$699,0)</f>
        <v/>
      </c>
      <c r="C3217" s="86">
        <f>+VLOOKUP(B3217,ARTICULOS!$D$10:$I$699,6)</f>
        <v/>
      </c>
      <c r="D3217" s="212" t="n"/>
      <c r="E3217" s="75">
        <f>+C3217&amp;F3217</f>
        <v/>
      </c>
      <c r="F3217" s="80" t="n"/>
      <c r="G3217" s="81" t="n"/>
      <c r="H3217" s="78" t="n"/>
      <c r="I3217" s="78" t="n"/>
      <c r="J3217" s="78" t="n"/>
    </row>
    <row r="3218">
      <c r="A3218" s="84">
        <f>ROW()-6</f>
        <v/>
      </c>
      <c r="B3218" s="85">
        <f>+MATCH(D3218,ARTICULOS!$F$10:$F$699,0)</f>
        <v/>
      </c>
      <c r="C3218" s="86">
        <f>+VLOOKUP(B3218,ARTICULOS!$D$10:$I$699,6)</f>
        <v/>
      </c>
      <c r="D3218" s="212" t="n"/>
      <c r="E3218" s="75">
        <f>+C3218&amp;F3218</f>
        <v/>
      </c>
      <c r="F3218" s="80" t="n"/>
      <c r="G3218" s="81" t="n"/>
      <c r="H3218" s="78" t="n"/>
      <c r="I3218" s="78" t="n"/>
      <c r="J3218" s="78" t="n"/>
    </row>
    <row r="3219">
      <c r="A3219" s="84">
        <f>ROW()-6</f>
        <v/>
      </c>
      <c r="B3219" s="85">
        <f>+MATCH(D3219,ARTICULOS!$F$10:$F$699,0)</f>
        <v/>
      </c>
      <c r="C3219" s="86">
        <f>+VLOOKUP(B3219,ARTICULOS!$D$10:$I$699,6)</f>
        <v/>
      </c>
      <c r="D3219" s="212" t="n"/>
      <c r="E3219" s="75">
        <f>+C3219&amp;F3219</f>
        <v/>
      </c>
      <c r="F3219" s="80" t="n"/>
      <c r="G3219" s="81" t="n"/>
      <c r="H3219" s="78" t="n"/>
      <c r="I3219" s="78" t="n"/>
      <c r="J3219" s="78" t="n"/>
    </row>
    <row r="3220">
      <c r="A3220" s="84">
        <f>ROW()-6</f>
        <v/>
      </c>
      <c r="B3220" s="85">
        <f>+MATCH(D3220,ARTICULOS!$F$10:$F$699,0)</f>
        <v/>
      </c>
      <c r="C3220" s="86">
        <f>+VLOOKUP(B3220,ARTICULOS!$D$10:$I$699,6)</f>
        <v/>
      </c>
      <c r="D3220" s="212" t="n"/>
      <c r="E3220" s="75">
        <f>+C3220&amp;F3220</f>
        <v/>
      </c>
      <c r="F3220" s="80" t="n"/>
      <c r="G3220" s="81" t="n"/>
      <c r="H3220" s="78" t="n"/>
      <c r="I3220" s="78" t="n"/>
      <c r="J3220" s="78" t="n"/>
    </row>
    <row r="3221">
      <c r="A3221" s="84">
        <f>ROW()-6</f>
        <v/>
      </c>
      <c r="B3221" s="85">
        <f>+MATCH(D3221,ARTICULOS!$F$10:$F$699,0)</f>
        <v/>
      </c>
      <c r="C3221" s="86">
        <f>+VLOOKUP(B3221,ARTICULOS!$D$10:$I$699,6)</f>
        <v/>
      </c>
      <c r="D3221" s="212" t="n"/>
      <c r="E3221" s="75">
        <f>+C3221&amp;F3221</f>
        <v/>
      </c>
      <c r="F3221" s="80" t="n"/>
      <c r="G3221" s="81" t="n"/>
      <c r="H3221" s="78" t="n"/>
      <c r="I3221" s="78" t="n"/>
      <c r="J3221" s="78" t="n"/>
    </row>
    <row r="3222">
      <c r="A3222" s="84">
        <f>ROW()-6</f>
        <v/>
      </c>
      <c r="B3222" s="85">
        <f>+MATCH(D3222,ARTICULOS!$F$10:$F$699,0)</f>
        <v/>
      </c>
      <c r="C3222" s="86">
        <f>+VLOOKUP(B3222,ARTICULOS!$D$10:$I$699,6)</f>
        <v/>
      </c>
      <c r="D3222" s="212" t="n"/>
      <c r="E3222" s="75">
        <f>+C3222&amp;F3222</f>
        <v/>
      </c>
      <c r="F3222" s="80" t="n"/>
      <c r="G3222" s="81" t="n"/>
      <c r="H3222" s="78" t="n"/>
      <c r="I3222" s="78" t="n"/>
      <c r="J3222" s="78" t="n"/>
    </row>
    <row r="3223">
      <c r="A3223" s="84">
        <f>ROW()-6</f>
        <v/>
      </c>
      <c r="B3223" s="85">
        <f>+MATCH(D3223,ARTICULOS!$F$10:$F$699,0)</f>
        <v/>
      </c>
      <c r="C3223" s="86">
        <f>+VLOOKUP(B3223,ARTICULOS!$D$10:$I$699,6)</f>
        <v/>
      </c>
      <c r="D3223" s="212" t="n"/>
      <c r="E3223" s="75">
        <f>+C3223&amp;F3223</f>
        <v/>
      </c>
      <c r="F3223" s="80" t="n"/>
      <c r="G3223" s="81" t="n"/>
      <c r="H3223" s="78" t="n"/>
      <c r="I3223" s="78" t="n"/>
      <c r="J3223" s="78" t="n"/>
    </row>
    <row r="3224">
      <c r="A3224" s="84">
        <f>ROW()-6</f>
        <v/>
      </c>
      <c r="B3224" s="85">
        <f>+MATCH(D3224,ARTICULOS!$F$10:$F$699,0)</f>
        <v/>
      </c>
      <c r="C3224" s="86">
        <f>+VLOOKUP(B3224,ARTICULOS!$D$10:$I$699,6)</f>
        <v/>
      </c>
      <c r="D3224" s="212" t="n"/>
      <c r="E3224" s="75">
        <f>+C3224&amp;F3224</f>
        <v/>
      </c>
      <c r="F3224" s="80" t="n"/>
      <c r="G3224" s="81" t="n"/>
      <c r="H3224" s="78" t="n"/>
      <c r="I3224" s="78" t="n"/>
      <c r="J3224" s="78" t="n"/>
    </row>
    <row r="3225">
      <c r="A3225" s="84">
        <f>ROW()-6</f>
        <v/>
      </c>
      <c r="B3225" s="85">
        <f>+MATCH(D3225,ARTICULOS!$F$10:$F$699,0)</f>
        <v/>
      </c>
      <c r="C3225" s="86">
        <f>+VLOOKUP(B3225,ARTICULOS!$D$10:$I$699,6)</f>
        <v/>
      </c>
      <c r="D3225" s="212" t="n"/>
      <c r="E3225" s="75">
        <f>+C3225&amp;F3225</f>
        <v/>
      </c>
      <c r="F3225" s="80" t="n"/>
      <c r="G3225" s="81" t="n"/>
      <c r="H3225" s="78" t="n"/>
      <c r="I3225" s="78" t="n"/>
      <c r="J3225" s="78" t="n"/>
    </row>
    <row r="3226">
      <c r="A3226" s="84">
        <f>ROW()-6</f>
        <v/>
      </c>
      <c r="B3226" s="85">
        <f>+MATCH(D3226,ARTICULOS!$F$10:$F$699,0)</f>
        <v/>
      </c>
      <c r="C3226" s="86">
        <f>+VLOOKUP(B3226,ARTICULOS!$D$10:$I$699,6)</f>
        <v/>
      </c>
      <c r="D3226" s="212" t="n"/>
      <c r="E3226" s="75">
        <f>+C3226&amp;F3226</f>
        <v/>
      </c>
      <c r="F3226" s="80" t="n"/>
      <c r="G3226" s="81" t="n"/>
      <c r="H3226" s="78" t="n"/>
      <c r="I3226" s="78" t="n"/>
      <c r="J3226" s="78" t="n"/>
    </row>
    <row r="3227">
      <c r="A3227" s="84">
        <f>ROW()-6</f>
        <v/>
      </c>
      <c r="B3227" s="85">
        <f>+MATCH(D3227,ARTICULOS!$F$10:$F$699,0)</f>
        <v/>
      </c>
      <c r="C3227" s="86">
        <f>+VLOOKUP(B3227,ARTICULOS!$D$10:$I$699,6)</f>
        <v/>
      </c>
      <c r="D3227" s="212" t="n"/>
      <c r="E3227" s="75">
        <f>+C3227&amp;F3227</f>
        <v/>
      </c>
      <c r="F3227" s="80" t="n"/>
      <c r="G3227" s="81" t="n"/>
      <c r="H3227" s="78" t="n"/>
      <c r="I3227" s="78" t="n"/>
      <c r="J3227" s="78" t="n"/>
    </row>
    <row r="3228">
      <c r="A3228" s="84">
        <f>ROW()-6</f>
        <v/>
      </c>
      <c r="B3228" s="85">
        <f>+MATCH(D3228,ARTICULOS!$F$10:$F$699,0)</f>
        <v/>
      </c>
      <c r="C3228" s="86">
        <f>+VLOOKUP(B3228,ARTICULOS!$D$10:$I$699,6)</f>
        <v/>
      </c>
      <c r="D3228" s="212" t="n"/>
      <c r="E3228" s="75">
        <f>+C3228&amp;F3228</f>
        <v/>
      </c>
      <c r="F3228" s="80" t="n"/>
      <c r="G3228" s="81" t="n"/>
      <c r="H3228" s="78" t="n"/>
      <c r="I3228" s="78" t="n"/>
      <c r="J3228" s="78" t="n"/>
    </row>
    <row r="3229">
      <c r="A3229" s="84">
        <f>ROW()-6</f>
        <v/>
      </c>
      <c r="B3229" s="85">
        <f>+MATCH(D3229,ARTICULOS!$F$10:$F$699,0)</f>
        <v/>
      </c>
      <c r="C3229" s="86">
        <f>+VLOOKUP(B3229,ARTICULOS!$D$10:$I$699,6)</f>
        <v/>
      </c>
      <c r="D3229" s="212" t="n"/>
      <c r="E3229" s="75">
        <f>+C3229&amp;F3229</f>
        <v/>
      </c>
      <c r="F3229" s="80" t="n"/>
      <c r="G3229" s="81" t="n"/>
      <c r="H3229" s="78" t="n"/>
      <c r="I3229" s="78" t="n"/>
      <c r="J3229" s="78" t="n"/>
    </row>
    <row r="3230">
      <c r="A3230" s="84">
        <f>ROW()-6</f>
        <v/>
      </c>
      <c r="B3230" s="85">
        <f>+MATCH(D3230,ARTICULOS!$F$10:$F$699,0)</f>
        <v/>
      </c>
      <c r="C3230" s="86">
        <f>+VLOOKUP(B3230,ARTICULOS!$D$10:$I$699,6)</f>
        <v/>
      </c>
      <c r="D3230" s="212" t="n"/>
      <c r="E3230" s="75">
        <f>+C3230&amp;F3230</f>
        <v/>
      </c>
      <c r="F3230" s="80" t="n"/>
      <c r="G3230" s="81" t="n"/>
      <c r="H3230" s="78" t="n"/>
      <c r="I3230" s="78" t="n"/>
      <c r="J3230" s="78" t="n"/>
    </row>
    <row r="3231">
      <c r="A3231" s="84">
        <f>ROW()-6</f>
        <v/>
      </c>
      <c r="B3231" s="85">
        <f>+MATCH(D3231,ARTICULOS!$F$10:$F$699,0)</f>
        <v/>
      </c>
      <c r="C3231" s="86">
        <f>+VLOOKUP(B3231,ARTICULOS!$D$10:$I$699,6)</f>
        <v/>
      </c>
      <c r="D3231" s="212" t="n"/>
      <c r="E3231" s="75">
        <f>+C3231&amp;F3231</f>
        <v/>
      </c>
      <c r="F3231" s="80" t="n"/>
      <c r="G3231" s="81" t="n"/>
      <c r="H3231" s="78" t="n"/>
      <c r="I3231" s="78" t="n"/>
      <c r="J3231" s="78" t="n"/>
    </row>
    <row r="3232">
      <c r="A3232" s="84">
        <f>ROW()-6</f>
        <v/>
      </c>
      <c r="B3232" s="85">
        <f>+MATCH(D3232,ARTICULOS!$F$10:$F$699,0)</f>
        <v/>
      </c>
      <c r="C3232" s="86">
        <f>+VLOOKUP(B3232,ARTICULOS!$D$10:$I$699,6)</f>
        <v/>
      </c>
      <c r="D3232" s="212" t="n"/>
      <c r="E3232" s="75">
        <f>+C3232&amp;F3232</f>
        <v/>
      </c>
      <c r="F3232" s="80" t="n"/>
      <c r="G3232" s="81" t="n"/>
      <c r="H3232" s="78" t="n"/>
      <c r="I3232" s="78" t="n"/>
      <c r="J3232" s="78" t="n"/>
    </row>
    <row r="3233">
      <c r="A3233" s="84">
        <f>ROW()-6</f>
        <v/>
      </c>
      <c r="B3233" s="85">
        <f>+MATCH(D3233,ARTICULOS!$F$10:$F$699,0)</f>
        <v/>
      </c>
      <c r="C3233" s="86">
        <f>+VLOOKUP(B3233,ARTICULOS!$D$10:$I$699,6)</f>
        <v/>
      </c>
      <c r="D3233" s="212" t="n"/>
      <c r="E3233" s="75">
        <f>+C3233&amp;F3233</f>
        <v/>
      </c>
      <c r="F3233" s="80" t="n"/>
      <c r="G3233" s="81" t="n"/>
      <c r="H3233" s="78" t="n"/>
      <c r="I3233" s="78" t="n"/>
      <c r="J3233" s="78" t="n"/>
    </row>
    <row r="3234">
      <c r="A3234" s="84">
        <f>ROW()-6</f>
        <v/>
      </c>
      <c r="B3234" s="85">
        <f>+MATCH(D3234,ARTICULOS!$F$10:$F$699,0)</f>
        <v/>
      </c>
      <c r="C3234" s="86">
        <f>+VLOOKUP(B3234,ARTICULOS!$D$10:$I$699,6)</f>
        <v/>
      </c>
      <c r="D3234" s="212" t="n"/>
      <c r="E3234" s="75">
        <f>+C3234&amp;F3234</f>
        <v/>
      </c>
      <c r="F3234" s="80" t="n"/>
      <c r="G3234" s="81" t="n"/>
      <c r="H3234" s="78" t="n"/>
      <c r="I3234" s="78" t="n"/>
      <c r="J3234" s="78" t="n"/>
    </row>
    <row r="3235">
      <c r="A3235" s="84">
        <f>ROW()-6</f>
        <v/>
      </c>
      <c r="B3235" s="85">
        <f>+MATCH(D3235,ARTICULOS!$F$10:$F$699,0)</f>
        <v/>
      </c>
      <c r="C3235" s="86">
        <f>+VLOOKUP(B3235,ARTICULOS!$D$10:$I$699,6)</f>
        <v/>
      </c>
      <c r="D3235" s="212" t="n"/>
      <c r="E3235" s="75">
        <f>+C3235&amp;F3235</f>
        <v/>
      </c>
      <c r="F3235" s="80" t="n"/>
      <c r="G3235" s="81" t="n"/>
      <c r="H3235" s="78" t="n"/>
      <c r="I3235" s="78" t="n"/>
      <c r="J3235" s="78" t="n"/>
    </row>
    <row r="3236">
      <c r="A3236" s="84">
        <f>ROW()-6</f>
        <v/>
      </c>
      <c r="B3236" s="85">
        <f>+MATCH(D3236,ARTICULOS!$F$10:$F$699,0)</f>
        <v/>
      </c>
      <c r="C3236" s="86">
        <f>+VLOOKUP(B3236,ARTICULOS!$D$10:$I$699,6)</f>
        <v/>
      </c>
      <c r="D3236" s="212" t="n"/>
      <c r="E3236" s="75">
        <f>+C3236&amp;F3236</f>
        <v/>
      </c>
      <c r="F3236" s="80" t="n"/>
      <c r="G3236" s="81" t="n"/>
      <c r="H3236" s="78" t="n"/>
      <c r="I3236" s="78" t="n"/>
      <c r="J3236" s="78" t="n"/>
    </row>
    <row r="3237">
      <c r="A3237" s="84">
        <f>ROW()-6</f>
        <v/>
      </c>
      <c r="B3237" s="85">
        <f>+MATCH(D3237,ARTICULOS!$F$10:$F$699,0)</f>
        <v/>
      </c>
      <c r="C3237" s="86">
        <f>+VLOOKUP(B3237,ARTICULOS!$D$10:$I$699,6)</f>
        <v/>
      </c>
      <c r="D3237" s="212" t="n"/>
      <c r="E3237" s="75">
        <f>+C3237&amp;F3237</f>
        <v/>
      </c>
      <c r="F3237" s="80" t="n"/>
      <c r="G3237" s="81" t="n"/>
      <c r="H3237" s="78" t="n"/>
      <c r="I3237" s="78" t="n"/>
      <c r="J3237" s="78" t="n"/>
    </row>
    <row r="3238">
      <c r="A3238" s="84">
        <f>ROW()-6</f>
        <v/>
      </c>
      <c r="B3238" s="85">
        <f>+MATCH(D3238,ARTICULOS!$F$10:$F$699,0)</f>
        <v/>
      </c>
      <c r="C3238" s="86">
        <f>+VLOOKUP(B3238,ARTICULOS!$D$10:$I$699,6)</f>
        <v/>
      </c>
      <c r="D3238" s="212" t="n"/>
      <c r="E3238" s="75">
        <f>+C3238&amp;F3238</f>
        <v/>
      </c>
      <c r="F3238" s="80" t="n"/>
      <c r="G3238" s="81" t="n"/>
      <c r="H3238" s="78" t="n"/>
      <c r="I3238" s="78" t="n"/>
      <c r="J3238" s="78" t="n"/>
    </row>
    <row r="3239">
      <c r="A3239" s="84">
        <f>ROW()-6</f>
        <v/>
      </c>
      <c r="B3239" s="85">
        <f>+MATCH(D3239,ARTICULOS!$F$10:$F$699,0)</f>
        <v/>
      </c>
      <c r="C3239" s="86">
        <f>+VLOOKUP(B3239,ARTICULOS!$D$10:$I$699,6)</f>
        <v/>
      </c>
      <c r="D3239" s="212" t="n"/>
      <c r="E3239" s="75">
        <f>+C3239&amp;F3239</f>
        <v/>
      </c>
      <c r="F3239" s="80" t="n"/>
      <c r="G3239" s="81" t="n"/>
      <c r="H3239" s="78" t="n"/>
      <c r="I3239" s="78" t="n"/>
      <c r="J3239" s="78" t="n"/>
    </row>
    <row r="3240">
      <c r="A3240" s="84">
        <f>ROW()-6</f>
        <v/>
      </c>
      <c r="B3240" s="85">
        <f>+MATCH(D3240,ARTICULOS!$F$10:$F$699,0)</f>
        <v/>
      </c>
      <c r="C3240" s="86">
        <f>+VLOOKUP(B3240,ARTICULOS!$D$10:$I$699,6)</f>
        <v/>
      </c>
      <c r="D3240" s="212" t="n"/>
      <c r="E3240" s="75">
        <f>+C3240&amp;F3240</f>
        <v/>
      </c>
      <c r="F3240" s="80" t="n"/>
      <c r="G3240" s="81" t="n"/>
      <c r="H3240" s="78" t="n"/>
      <c r="I3240" s="78" t="n"/>
      <c r="J3240" s="78" t="n"/>
    </row>
    <row r="3241">
      <c r="A3241" s="84">
        <f>ROW()-6</f>
        <v/>
      </c>
      <c r="B3241" s="85">
        <f>+MATCH(D3241,ARTICULOS!$F$10:$F$699,0)</f>
        <v/>
      </c>
      <c r="C3241" s="86">
        <f>+VLOOKUP(B3241,ARTICULOS!$D$10:$I$699,6)</f>
        <v/>
      </c>
      <c r="D3241" s="212" t="n"/>
      <c r="E3241" s="75">
        <f>+C3241&amp;F3241</f>
        <v/>
      </c>
      <c r="F3241" s="80" t="n"/>
      <c r="G3241" s="81" t="n"/>
      <c r="H3241" s="78" t="n"/>
      <c r="I3241" s="78" t="n"/>
      <c r="J3241" s="78" t="n"/>
    </row>
    <row r="3242">
      <c r="A3242" s="84">
        <f>ROW()-6</f>
        <v/>
      </c>
      <c r="B3242" s="85">
        <f>+MATCH(D3242,ARTICULOS!$F$10:$F$699,0)</f>
        <v/>
      </c>
      <c r="C3242" s="86">
        <f>+VLOOKUP(B3242,ARTICULOS!$D$10:$I$699,6)</f>
        <v/>
      </c>
      <c r="D3242" s="212" t="n"/>
      <c r="E3242" s="75">
        <f>+C3242&amp;F3242</f>
        <v/>
      </c>
      <c r="F3242" s="80" t="n"/>
      <c r="G3242" s="81" t="n"/>
      <c r="H3242" s="78" t="n"/>
      <c r="I3242" s="78" t="n"/>
      <c r="J3242" s="78" t="n"/>
    </row>
    <row r="3243">
      <c r="A3243" s="84">
        <f>ROW()-6</f>
        <v/>
      </c>
      <c r="B3243" s="85">
        <f>+MATCH(D3243,ARTICULOS!$F$10:$F$699,0)</f>
        <v/>
      </c>
      <c r="C3243" s="86">
        <f>+VLOOKUP(B3243,ARTICULOS!$D$10:$I$699,6)</f>
        <v/>
      </c>
      <c r="D3243" s="212" t="n"/>
      <c r="E3243" s="75">
        <f>+C3243&amp;F3243</f>
        <v/>
      </c>
      <c r="F3243" s="80" t="n"/>
      <c r="G3243" s="81" t="n"/>
      <c r="H3243" s="78" t="n"/>
      <c r="I3243" s="78" t="n"/>
      <c r="J3243" s="78" t="n"/>
    </row>
    <row r="3244">
      <c r="A3244" s="84">
        <f>ROW()-6</f>
        <v/>
      </c>
      <c r="B3244" s="85">
        <f>+MATCH(D3244,ARTICULOS!$F$10:$F$699,0)</f>
        <v/>
      </c>
      <c r="C3244" s="86">
        <f>+VLOOKUP(B3244,ARTICULOS!$D$10:$I$699,6)</f>
        <v/>
      </c>
      <c r="D3244" s="212" t="n"/>
      <c r="E3244" s="75">
        <f>+C3244&amp;F3244</f>
        <v/>
      </c>
      <c r="F3244" s="80" t="n"/>
      <c r="G3244" s="81" t="n"/>
      <c r="H3244" s="78" t="n"/>
      <c r="I3244" s="78" t="n"/>
      <c r="J3244" s="78" t="n"/>
    </row>
    <row r="3245">
      <c r="A3245" s="84">
        <f>ROW()-6</f>
        <v/>
      </c>
      <c r="B3245" s="85">
        <f>+MATCH(D3245,ARTICULOS!$F$10:$F$699,0)</f>
        <v/>
      </c>
      <c r="C3245" s="86">
        <f>+VLOOKUP(B3245,ARTICULOS!$D$10:$I$699,6)</f>
        <v/>
      </c>
      <c r="D3245" s="212" t="n"/>
      <c r="E3245" s="75">
        <f>+C3245&amp;F3245</f>
        <v/>
      </c>
      <c r="F3245" s="80" t="n"/>
      <c r="G3245" s="81" t="n"/>
      <c r="H3245" s="78" t="n"/>
      <c r="I3245" s="78" t="n"/>
      <c r="J3245" s="78" t="n"/>
    </row>
    <row r="3246">
      <c r="A3246" s="84">
        <f>ROW()-6</f>
        <v/>
      </c>
      <c r="B3246" s="85">
        <f>+MATCH(D3246,ARTICULOS!$F$10:$F$699,0)</f>
        <v/>
      </c>
      <c r="C3246" s="86">
        <f>+VLOOKUP(B3246,ARTICULOS!$D$10:$I$699,6)</f>
        <v/>
      </c>
      <c r="D3246" s="212" t="n"/>
      <c r="E3246" s="75">
        <f>+C3246&amp;F3246</f>
        <v/>
      </c>
      <c r="F3246" s="80" t="n"/>
      <c r="G3246" s="81" t="n"/>
      <c r="H3246" s="78" t="n"/>
      <c r="I3246" s="78" t="n"/>
      <c r="J3246" s="78" t="n"/>
    </row>
    <row r="3247">
      <c r="A3247" s="84">
        <f>ROW()-6</f>
        <v/>
      </c>
      <c r="B3247" s="85">
        <f>+MATCH(D3247,ARTICULOS!$F$10:$F$699,0)</f>
        <v/>
      </c>
      <c r="C3247" s="86">
        <f>+VLOOKUP(B3247,ARTICULOS!$D$10:$I$699,6)</f>
        <v/>
      </c>
      <c r="D3247" s="212" t="n"/>
      <c r="E3247" s="75">
        <f>+C3247&amp;F3247</f>
        <v/>
      </c>
      <c r="F3247" s="80" t="n"/>
      <c r="G3247" s="81" t="n"/>
      <c r="H3247" s="78" t="n"/>
      <c r="I3247" s="78" t="n"/>
      <c r="J3247" s="78" t="n"/>
    </row>
    <row r="3248">
      <c r="A3248" s="84">
        <f>ROW()-6</f>
        <v/>
      </c>
      <c r="B3248" s="85">
        <f>+MATCH(D3248,ARTICULOS!$F$10:$F$699,0)</f>
        <v/>
      </c>
      <c r="C3248" s="86">
        <f>+VLOOKUP(B3248,ARTICULOS!$D$10:$I$699,6)</f>
        <v/>
      </c>
      <c r="D3248" s="212" t="n"/>
      <c r="E3248" s="75">
        <f>+C3248&amp;F3248</f>
        <v/>
      </c>
      <c r="F3248" s="80" t="n"/>
      <c r="G3248" s="81" t="n"/>
      <c r="H3248" s="78" t="n"/>
      <c r="I3248" s="78" t="n"/>
      <c r="J3248" s="78" t="n"/>
    </row>
    <row r="3249">
      <c r="A3249" s="84">
        <f>ROW()-6</f>
        <v/>
      </c>
      <c r="B3249" s="85">
        <f>+MATCH(D3249,ARTICULOS!$F$10:$F$699,0)</f>
        <v/>
      </c>
      <c r="C3249" s="86">
        <f>+VLOOKUP(B3249,ARTICULOS!$D$10:$I$699,6)</f>
        <v/>
      </c>
      <c r="D3249" s="212" t="n"/>
      <c r="E3249" s="75">
        <f>+C3249&amp;F3249</f>
        <v/>
      </c>
      <c r="F3249" s="80" t="n"/>
      <c r="G3249" s="81" t="n"/>
      <c r="H3249" s="78" t="n"/>
      <c r="I3249" s="78" t="n"/>
      <c r="J3249" s="78" t="n"/>
    </row>
    <row r="3250">
      <c r="A3250" s="84">
        <f>ROW()-6</f>
        <v/>
      </c>
      <c r="B3250" s="85">
        <f>+MATCH(D3250,ARTICULOS!$F$10:$F$699,0)</f>
        <v/>
      </c>
      <c r="C3250" s="86">
        <f>+VLOOKUP(B3250,ARTICULOS!$D$10:$I$699,6)</f>
        <v/>
      </c>
      <c r="D3250" s="212" t="n"/>
      <c r="E3250" s="75">
        <f>+C3250&amp;F3250</f>
        <v/>
      </c>
      <c r="F3250" s="80" t="n"/>
      <c r="G3250" s="81" t="n"/>
      <c r="H3250" s="78" t="n"/>
      <c r="I3250" s="78" t="n"/>
      <c r="J3250" s="78" t="n"/>
    </row>
    <row r="3251">
      <c r="A3251" s="84">
        <f>ROW()-6</f>
        <v/>
      </c>
      <c r="B3251" s="85">
        <f>+MATCH(D3251,ARTICULOS!$F$10:$F$699,0)</f>
        <v/>
      </c>
      <c r="C3251" s="86">
        <f>+VLOOKUP(B3251,ARTICULOS!$D$10:$I$699,6)</f>
        <v/>
      </c>
      <c r="D3251" s="212" t="n"/>
      <c r="E3251" s="75">
        <f>+C3251&amp;F3251</f>
        <v/>
      </c>
      <c r="F3251" s="80" t="n"/>
      <c r="G3251" s="81" t="n"/>
      <c r="H3251" s="78" t="n"/>
      <c r="I3251" s="78" t="n"/>
      <c r="J3251" s="78" t="n"/>
    </row>
    <row r="3252">
      <c r="A3252" s="84">
        <f>ROW()-6</f>
        <v/>
      </c>
      <c r="B3252" s="85">
        <f>+MATCH(D3252,ARTICULOS!$F$10:$F$699,0)</f>
        <v/>
      </c>
      <c r="C3252" s="86">
        <f>+VLOOKUP(B3252,ARTICULOS!$D$10:$I$699,6)</f>
        <v/>
      </c>
      <c r="D3252" s="212" t="n"/>
      <c r="E3252" s="75">
        <f>+C3252&amp;F3252</f>
        <v/>
      </c>
      <c r="F3252" s="80" t="n"/>
      <c r="G3252" s="81" t="n"/>
      <c r="H3252" s="78" t="n"/>
      <c r="I3252" s="78" t="n"/>
      <c r="J3252" s="78" t="n"/>
    </row>
    <row r="3253">
      <c r="A3253" s="84">
        <f>ROW()-6</f>
        <v/>
      </c>
      <c r="B3253" s="85">
        <f>+MATCH(D3253,ARTICULOS!$F$10:$F$699,0)</f>
        <v/>
      </c>
      <c r="C3253" s="86">
        <f>+VLOOKUP(B3253,ARTICULOS!$D$10:$I$699,6)</f>
        <v/>
      </c>
      <c r="D3253" s="212" t="n"/>
      <c r="E3253" s="75">
        <f>+C3253&amp;F3253</f>
        <v/>
      </c>
      <c r="F3253" s="80" t="n"/>
      <c r="G3253" s="81" t="n"/>
      <c r="H3253" s="78" t="n"/>
      <c r="I3253" s="78" t="n"/>
      <c r="J3253" s="78" t="n"/>
    </row>
    <row r="3254">
      <c r="A3254" s="84">
        <f>ROW()-6</f>
        <v/>
      </c>
      <c r="B3254" s="85">
        <f>+MATCH(D3254,ARTICULOS!$F$10:$F$699,0)</f>
        <v/>
      </c>
      <c r="C3254" s="86">
        <f>+VLOOKUP(B3254,ARTICULOS!$D$10:$I$699,6)</f>
        <v/>
      </c>
      <c r="D3254" s="212" t="n"/>
      <c r="E3254" s="75">
        <f>+C3254&amp;F3254</f>
        <v/>
      </c>
      <c r="F3254" s="80" t="n"/>
      <c r="G3254" s="81" t="n"/>
      <c r="H3254" s="78" t="n"/>
      <c r="I3254" s="78" t="n"/>
      <c r="J3254" s="78" t="n"/>
    </row>
    <row r="3255">
      <c r="A3255" s="84">
        <f>ROW()-6</f>
        <v/>
      </c>
      <c r="B3255" s="85">
        <f>+MATCH(D3255,ARTICULOS!$F$10:$F$699,0)</f>
        <v/>
      </c>
      <c r="C3255" s="86">
        <f>+VLOOKUP(B3255,ARTICULOS!$D$10:$I$699,6)</f>
        <v/>
      </c>
      <c r="D3255" s="212" t="n"/>
      <c r="E3255" s="75">
        <f>+C3255&amp;F3255</f>
        <v/>
      </c>
      <c r="F3255" s="80" t="n"/>
      <c r="G3255" s="81" t="n"/>
      <c r="H3255" s="78" t="n"/>
      <c r="I3255" s="78" t="n"/>
      <c r="J3255" s="78" t="n"/>
    </row>
    <row r="3256">
      <c r="A3256" s="84">
        <f>ROW()-6</f>
        <v/>
      </c>
      <c r="B3256" s="85">
        <f>+MATCH(D3256,ARTICULOS!$F$10:$F$699,0)</f>
        <v/>
      </c>
      <c r="C3256" s="86">
        <f>+VLOOKUP(B3256,ARTICULOS!$D$10:$I$699,6)</f>
        <v/>
      </c>
      <c r="D3256" s="212" t="n"/>
      <c r="E3256" s="75">
        <f>+C3256&amp;F3256</f>
        <v/>
      </c>
      <c r="F3256" s="80" t="n"/>
      <c r="G3256" s="81" t="n"/>
      <c r="H3256" s="78" t="n"/>
      <c r="I3256" s="78" t="n"/>
      <c r="J3256" s="78" t="n"/>
    </row>
    <row r="3257">
      <c r="A3257" s="84">
        <f>ROW()-6</f>
        <v/>
      </c>
      <c r="B3257" s="85">
        <f>+MATCH(D3257,ARTICULOS!$F$10:$F$699,0)</f>
        <v/>
      </c>
      <c r="C3257" s="86">
        <f>+VLOOKUP(B3257,ARTICULOS!$D$10:$I$699,6)</f>
        <v/>
      </c>
      <c r="D3257" s="212" t="n"/>
      <c r="E3257" s="75">
        <f>+C3257&amp;F3257</f>
        <v/>
      </c>
      <c r="F3257" s="80" t="n"/>
      <c r="G3257" s="81" t="n"/>
      <c r="H3257" s="78" t="n"/>
      <c r="I3257" s="78" t="n"/>
      <c r="J3257" s="78" t="n"/>
    </row>
    <row r="3258">
      <c r="A3258" s="84">
        <f>ROW()-6</f>
        <v/>
      </c>
      <c r="B3258" s="85">
        <f>+MATCH(D3258,ARTICULOS!$F$10:$F$699,0)</f>
        <v/>
      </c>
      <c r="C3258" s="86">
        <f>+VLOOKUP(B3258,ARTICULOS!$D$10:$I$699,6)</f>
        <v/>
      </c>
      <c r="D3258" s="212" t="n"/>
      <c r="E3258" s="75">
        <f>+C3258&amp;F3258</f>
        <v/>
      </c>
      <c r="F3258" s="80" t="n"/>
      <c r="G3258" s="81" t="n"/>
      <c r="H3258" s="78" t="n"/>
      <c r="I3258" s="78" t="n"/>
      <c r="J3258" s="78" t="n"/>
    </row>
    <row r="3259">
      <c r="A3259" s="84">
        <f>ROW()-6</f>
        <v/>
      </c>
      <c r="B3259" s="85">
        <f>+MATCH(D3259,ARTICULOS!$F$10:$F$699,0)</f>
        <v/>
      </c>
      <c r="C3259" s="86">
        <f>+VLOOKUP(B3259,ARTICULOS!$D$10:$I$699,6)</f>
        <v/>
      </c>
      <c r="D3259" s="212" t="n"/>
      <c r="E3259" s="75">
        <f>+C3259&amp;F3259</f>
        <v/>
      </c>
      <c r="F3259" s="80" t="n"/>
      <c r="G3259" s="81" t="n"/>
      <c r="H3259" s="78" t="n"/>
      <c r="I3259" s="78" t="n"/>
      <c r="J3259" s="78" t="n"/>
    </row>
    <row r="3260">
      <c r="A3260" s="84">
        <f>ROW()-6</f>
        <v/>
      </c>
      <c r="B3260" s="85">
        <f>+MATCH(D3260,ARTICULOS!$F$10:$F$699,0)</f>
        <v/>
      </c>
      <c r="C3260" s="86">
        <f>+VLOOKUP(B3260,ARTICULOS!$D$10:$I$699,6)</f>
        <v/>
      </c>
      <c r="D3260" s="212" t="n"/>
      <c r="E3260" s="75">
        <f>+C3260&amp;F3260</f>
        <v/>
      </c>
      <c r="F3260" s="80" t="n"/>
      <c r="G3260" s="81" t="n"/>
      <c r="H3260" s="78" t="n"/>
      <c r="I3260" s="78" t="n"/>
      <c r="J3260" s="78" t="n"/>
    </row>
    <row r="3261">
      <c r="A3261" s="84">
        <f>ROW()-6</f>
        <v/>
      </c>
      <c r="B3261" s="85">
        <f>+MATCH(D3261,ARTICULOS!$F$10:$F$699,0)</f>
        <v/>
      </c>
      <c r="C3261" s="86">
        <f>+VLOOKUP(B3261,ARTICULOS!$D$10:$I$699,6)</f>
        <v/>
      </c>
      <c r="D3261" s="212" t="n"/>
      <c r="E3261" s="75">
        <f>+C3261&amp;F3261</f>
        <v/>
      </c>
      <c r="F3261" s="80" t="n"/>
      <c r="G3261" s="81" t="n"/>
      <c r="H3261" s="78" t="n"/>
      <c r="I3261" s="78" t="n"/>
      <c r="J3261" s="78" t="n"/>
    </row>
    <row r="3262">
      <c r="A3262" s="84">
        <f>ROW()-6</f>
        <v/>
      </c>
      <c r="B3262" s="85">
        <f>+MATCH(D3262,ARTICULOS!$F$10:$F$699,0)</f>
        <v/>
      </c>
      <c r="C3262" s="86">
        <f>+VLOOKUP(B3262,ARTICULOS!$D$10:$I$699,6)</f>
        <v/>
      </c>
      <c r="D3262" s="212" t="n"/>
      <c r="E3262" s="75">
        <f>+C3262&amp;F3262</f>
        <v/>
      </c>
      <c r="F3262" s="80" t="n"/>
      <c r="G3262" s="81" t="n"/>
      <c r="H3262" s="78" t="n"/>
      <c r="I3262" s="78" t="n"/>
      <c r="J3262" s="78" t="n"/>
    </row>
    <row r="3263">
      <c r="A3263" s="84">
        <f>ROW()-6</f>
        <v/>
      </c>
      <c r="B3263" s="85">
        <f>+MATCH(D3263,ARTICULOS!$F$10:$F$699,0)</f>
        <v/>
      </c>
      <c r="C3263" s="86">
        <f>+VLOOKUP(B3263,ARTICULOS!$D$10:$I$699,6)</f>
        <v/>
      </c>
      <c r="D3263" s="212" t="n"/>
      <c r="E3263" s="75">
        <f>+C3263&amp;F3263</f>
        <v/>
      </c>
      <c r="F3263" s="80" t="n"/>
      <c r="G3263" s="81" t="n"/>
      <c r="H3263" s="78" t="n"/>
      <c r="I3263" s="78" t="n"/>
      <c r="J3263" s="78" t="n"/>
    </row>
    <row r="3264">
      <c r="A3264" s="84">
        <f>ROW()-6</f>
        <v/>
      </c>
      <c r="B3264" s="85">
        <f>+MATCH(D3264,ARTICULOS!$F$10:$F$699,0)</f>
        <v/>
      </c>
      <c r="C3264" s="86">
        <f>+VLOOKUP(B3264,ARTICULOS!$D$10:$I$699,6)</f>
        <v/>
      </c>
      <c r="D3264" s="212" t="n"/>
      <c r="E3264" s="75">
        <f>+C3264&amp;F3264</f>
        <v/>
      </c>
      <c r="F3264" s="80" t="n"/>
      <c r="G3264" s="81" t="n"/>
      <c r="H3264" s="78" t="n"/>
      <c r="I3264" s="78" t="n"/>
      <c r="J3264" s="78" t="n"/>
    </row>
    <row r="3265">
      <c r="A3265" s="84">
        <f>ROW()-6</f>
        <v/>
      </c>
      <c r="B3265" s="85">
        <f>+MATCH(D3265,ARTICULOS!$F$10:$F$699,0)</f>
        <v/>
      </c>
      <c r="C3265" s="86">
        <f>+VLOOKUP(B3265,ARTICULOS!$D$10:$I$699,6)</f>
        <v/>
      </c>
      <c r="D3265" s="212" t="n"/>
      <c r="E3265" s="75">
        <f>+C3265&amp;F3265</f>
        <v/>
      </c>
      <c r="F3265" s="80" t="n"/>
      <c r="G3265" s="81" t="n"/>
      <c r="H3265" s="78" t="n"/>
      <c r="I3265" s="78" t="n"/>
      <c r="J3265" s="78" t="n"/>
    </row>
    <row r="3266">
      <c r="A3266" s="84">
        <f>ROW()-6</f>
        <v/>
      </c>
      <c r="B3266" s="85">
        <f>+MATCH(D3266,ARTICULOS!$F$10:$F$699,0)</f>
        <v/>
      </c>
      <c r="C3266" s="86">
        <f>+VLOOKUP(B3266,ARTICULOS!$D$10:$I$699,6)</f>
        <v/>
      </c>
      <c r="D3266" s="212" t="n"/>
      <c r="E3266" s="75">
        <f>+C3266&amp;F3266</f>
        <v/>
      </c>
      <c r="F3266" s="80" t="n"/>
      <c r="G3266" s="81" t="n"/>
      <c r="H3266" s="78" t="n"/>
      <c r="I3266" s="78" t="n"/>
      <c r="J3266" s="78" t="n"/>
    </row>
    <row r="3267">
      <c r="A3267" s="84">
        <f>ROW()-6</f>
        <v/>
      </c>
      <c r="B3267" s="85">
        <f>+MATCH(D3267,ARTICULOS!$F$10:$F$699,0)</f>
        <v/>
      </c>
      <c r="C3267" s="86">
        <f>+VLOOKUP(B3267,ARTICULOS!$D$10:$I$699,6)</f>
        <v/>
      </c>
      <c r="D3267" s="212" t="n"/>
      <c r="E3267" s="75">
        <f>+C3267&amp;F3267</f>
        <v/>
      </c>
      <c r="F3267" s="80" t="n"/>
      <c r="G3267" s="81" t="n"/>
      <c r="H3267" s="78" t="n"/>
      <c r="I3267" s="78" t="n"/>
      <c r="J3267" s="78" t="n"/>
    </row>
    <row r="3268">
      <c r="A3268" s="84">
        <f>ROW()-6</f>
        <v/>
      </c>
      <c r="B3268" s="85">
        <f>+MATCH(D3268,ARTICULOS!$F$10:$F$699,0)</f>
        <v/>
      </c>
      <c r="C3268" s="86">
        <f>+VLOOKUP(B3268,ARTICULOS!$D$10:$I$699,6)</f>
        <v/>
      </c>
      <c r="D3268" s="212" t="n"/>
      <c r="E3268" s="75">
        <f>+C3268&amp;F3268</f>
        <v/>
      </c>
      <c r="F3268" s="80" t="n"/>
      <c r="G3268" s="81" t="n"/>
      <c r="H3268" s="78" t="n"/>
      <c r="I3268" s="78" t="n"/>
      <c r="J3268" s="78" t="n"/>
    </row>
    <row r="3269">
      <c r="A3269" s="84">
        <f>ROW()-6</f>
        <v/>
      </c>
      <c r="B3269" s="85">
        <f>+MATCH(D3269,ARTICULOS!$F$10:$F$699,0)</f>
        <v/>
      </c>
      <c r="C3269" s="86">
        <f>+VLOOKUP(B3269,ARTICULOS!$D$10:$I$699,6)</f>
        <v/>
      </c>
      <c r="D3269" s="212" t="n"/>
      <c r="E3269" s="75">
        <f>+C3269&amp;F3269</f>
        <v/>
      </c>
      <c r="F3269" s="80" t="n"/>
      <c r="G3269" s="81" t="n"/>
      <c r="H3269" s="78" t="n"/>
      <c r="I3269" s="78" t="n"/>
      <c r="J3269" s="78" t="n"/>
    </row>
    <row r="3270">
      <c r="A3270" s="84">
        <f>ROW()-6</f>
        <v/>
      </c>
      <c r="B3270" s="85">
        <f>+MATCH(D3270,ARTICULOS!$F$10:$F$699,0)</f>
        <v/>
      </c>
      <c r="C3270" s="86">
        <f>+VLOOKUP(B3270,ARTICULOS!$D$10:$I$699,6)</f>
        <v/>
      </c>
      <c r="D3270" s="212" t="n"/>
      <c r="E3270" s="75">
        <f>+C3270&amp;F3270</f>
        <v/>
      </c>
      <c r="F3270" s="80" t="n"/>
      <c r="G3270" s="81" t="n"/>
      <c r="H3270" s="78" t="n"/>
      <c r="I3270" s="78" t="n"/>
      <c r="J3270" s="78" t="n"/>
    </row>
    <row r="3271">
      <c r="A3271" s="84">
        <f>ROW()-6</f>
        <v/>
      </c>
      <c r="B3271" s="85">
        <f>+MATCH(D3271,ARTICULOS!$F$10:$F$699,0)</f>
        <v/>
      </c>
      <c r="C3271" s="86">
        <f>+VLOOKUP(B3271,ARTICULOS!$D$10:$I$699,6)</f>
        <v/>
      </c>
      <c r="D3271" s="212" t="n"/>
      <c r="E3271" s="75">
        <f>+C3271&amp;F3271</f>
        <v/>
      </c>
      <c r="F3271" s="80" t="n"/>
      <c r="G3271" s="81" t="n"/>
      <c r="H3271" s="78" t="n"/>
      <c r="I3271" s="78" t="n"/>
      <c r="J3271" s="78" t="n"/>
    </row>
    <row r="3272">
      <c r="A3272" s="84">
        <f>ROW()-6</f>
        <v/>
      </c>
      <c r="B3272" s="85">
        <f>+MATCH(D3272,ARTICULOS!$F$10:$F$699,0)</f>
        <v/>
      </c>
      <c r="C3272" s="86">
        <f>+VLOOKUP(B3272,ARTICULOS!$D$10:$I$699,6)</f>
        <v/>
      </c>
      <c r="D3272" s="212" t="n"/>
      <c r="E3272" s="75">
        <f>+C3272&amp;F3272</f>
        <v/>
      </c>
      <c r="F3272" s="80" t="n"/>
      <c r="G3272" s="81" t="n"/>
      <c r="H3272" s="78" t="n"/>
      <c r="I3272" s="78" t="n"/>
      <c r="J3272" s="78" t="n"/>
    </row>
    <row r="3273">
      <c r="A3273" s="84">
        <f>ROW()-6</f>
        <v/>
      </c>
      <c r="B3273" s="85">
        <f>+MATCH(D3273,ARTICULOS!$F$10:$F$699,0)</f>
        <v/>
      </c>
      <c r="C3273" s="86">
        <f>+VLOOKUP(B3273,ARTICULOS!$D$10:$I$699,6)</f>
        <v/>
      </c>
      <c r="D3273" s="212" t="n"/>
      <c r="E3273" s="75">
        <f>+C3273&amp;F3273</f>
        <v/>
      </c>
      <c r="F3273" s="80" t="n"/>
      <c r="G3273" s="81" t="n"/>
      <c r="H3273" s="78" t="n"/>
      <c r="I3273" s="78" t="n"/>
      <c r="J3273" s="78" t="n"/>
    </row>
    <row r="3274">
      <c r="A3274" s="84">
        <f>ROW()-6</f>
        <v/>
      </c>
      <c r="B3274" s="85">
        <f>+MATCH(D3274,ARTICULOS!$F$10:$F$699,0)</f>
        <v/>
      </c>
      <c r="C3274" s="86">
        <f>+VLOOKUP(B3274,ARTICULOS!$D$10:$I$699,6)</f>
        <v/>
      </c>
      <c r="D3274" s="212" t="n"/>
      <c r="E3274" s="75">
        <f>+C3274&amp;F3274</f>
        <v/>
      </c>
      <c r="F3274" s="80" t="n"/>
      <c r="G3274" s="81" t="n"/>
      <c r="H3274" s="78" t="n"/>
      <c r="I3274" s="78" t="n"/>
      <c r="J3274" s="78" t="n"/>
    </row>
    <row r="3275">
      <c r="A3275" s="84">
        <f>ROW()-6</f>
        <v/>
      </c>
      <c r="B3275" s="85">
        <f>+MATCH(D3275,ARTICULOS!$F$10:$F$699,0)</f>
        <v/>
      </c>
      <c r="C3275" s="86">
        <f>+VLOOKUP(B3275,ARTICULOS!$D$10:$I$699,6)</f>
        <v/>
      </c>
      <c r="D3275" s="212" t="n"/>
      <c r="E3275" s="75">
        <f>+C3275&amp;F3275</f>
        <v/>
      </c>
      <c r="F3275" s="80" t="n"/>
      <c r="G3275" s="81" t="n"/>
      <c r="H3275" s="78" t="n"/>
      <c r="I3275" s="78" t="n"/>
      <c r="J3275" s="78" t="n"/>
    </row>
    <row r="3276">
      <c r="A3276" s="84">
        <f>ROW()-6</f>
        <v/>
      </c>
      <c r="B3276" s="85">
        <f>+MATCH(D3276,ARTICULOS!$F$10:$F$699,0)</f>
        <v/>
      </c>
      <c r="C3276" s="86">
        <f>+VLOOKUP(B3276,ARTICULOS!$D$10:$I$699,6)</f>
        <v/>
      </c>
      <c r="D3276" s="212" t="n"/>
      <c r="E3276" s="75">
        <f>+C3276&amp;F3276</f>
        <v/>
      </c>
      <c r="F3276" s="80" t="n"/>
      <c r="G3276" s="81" t="n"/>
      <c r="H3276" s="78" t="n"/>
      <c r="I3276" s="78" t="n"/>
      <c r="J3276" s="78" t="n"/>
    </row>
    <row r="3277">
      <c r="A3277" s="84">
        <f>ROW()-6</f>
        <v/>
      </c>
      <c r="B3277" s="85">
        <f>+MATCH(D3277,ARTICULOS!$F$10:$F$699,0)</f>
        <v/>
      </c>
      <c r="C3277" s="86">
        <f>+VLOOKUP(B3277,ARTICULOS!$D$10:$I$699,6)</f>
        <v/>
      </c>
      <c r="D3277" s="212" t="n"/>
      <c r="E3277" s="75">
        <f>+C3277&amp;F3277</f>
        <v/>
      </c>
      <c r="F3277" s="80" t="n"/>
      <c r="G3277" s="81" t="n"/>
      <c r="H3277" s="78" t="n"/>
      <c r="I3277" s="78" t="n"/>
      <c r="J3277" s="78" t="n"/>
    </row>
    <row r="3278">
      <c r="A3278" s="84">
        <f>ROW()-6</f>
        <v/>
      </c>
      <c r="B3278" s="85">
        <f>+MATCH(D3278,ARTICULOS!$F$10:$F$699,0)</f>
        <v/>
      </c>
      <c r="C3278" s="86">
        <f>+VLOOKUP(B3278,ARTICULOS!$D$10:$I$699,6)</f>
        <v/>
      </c>
      <c r="D3278" s="212" t="n"/>
      <c r="E3278" s="75">
        <f>+C3278&amp;F3278</f>
        <v/>
      </c>
      <c r="F3278" s="80" t="n"/>
      <c r="G3278" s="81" t="n"/>
      <c r="H3278" s="78" t="n"/>
      <c r="I3278" s="78" t="n"/>
      <c r="J3278" s="78" t="n"/>
    </row>
    <row r="3279">
      <c r="A3279" s="84">
        <f>ROW()-6</f>
        <v/>
      </c>
      <c r="B3279" s="85">
        <f>+MATCH(D3279,ARTICULOS!$F$10:$F$699,0)</f>
        <v/>
      </c>
      <c r="C3279" s="86">
        <f>+VLOOKUP(B3279,ARTICULOS!$D$10:$I$699,6)</f>
        <v/>
      </c>
      <c r="D3279" s="212" t="n"/>
      <c r="E3279" s="75">
        <f>+C3279&amp;F3279</f>
        <v/>
      </c>
      <c r="F3279" s="80" t="n"/>
      <c r="G3279" s="81" t="n"/>
      <c r="H3279" s="78" t="n"/>
      <c r="I3279" s="78" t="n"/>
      <c r="J3279" s="78" t="n"/>
    </row>
    <row r="3280">
      <c r="A3280" s="84">
        <f>ROW()-6</f>
        <v/>
      </c>
      <c r="B3280" s="85">
        <f>+MATCH(D3280,ARTICULOS!$F$10:$F$699,0)</f>
        <v/>
      </c>
      <c r="C3280" s="86">
        <f>+VLOOKUP(B3280,ARTICULOS!$D$10:$I$699,6)</f>
        <v/>
      </c>
      <c r="D3280" s="212" t="n"/>
      <c r="E3280" s="75">
        <f>+C3280&amp;F3280</f>
        <v/>
      </c>
      <c r="F3280" s="80" t="n"/>
      <c r="G3280" s="81" t="n"/>
      <c r="H3280" s="78" t="n"/>
      <c r="I3280" s="78" t="n"/>
      <c r="J3280" s="78" t="n"/>
    </row>
    <row r="3281">
      <c r="A3281" s="84">
        <f>ROW()-6</f>
        <v/>
      </c>
      <c r="B3281" s="85">
        <f>+MATCH(D3281,ARTICULOS!$F$10:$F$699,0)</f>
        <v/>
      </c>
      <c r="C3281" s="86">
        <f>+VLOOKUP(B3281,ARTICULOS!$D$10:$I$699,6)</f>
        <v/>
      </c>
      <c r="D3281" s="212" t="n"/>
      <c r="E3281" s="75">
        <f>+C3281&amp;F3281</f>
        <v/>
      </c>
      <c r="F3281" s="80" t="n"/>
      <c r="G3281" s="81" t="n"/>
      <c r="H3281" s="78" t="n"/>
      <c r="I3281" s="78" t="n"/>
      <c r="J3281" s="78" t="n"/>
    </row>
    <row r="3282">
      <c r="A3282" s="84">
        <f>ROW()-6</f>
        <v/>
      </c>
      <c r="B3282" s="85">
        <f>+MATCH(D3282,ARTICULOS!$F$10:$F$699,0)</f>
        <v/>
      </c>
      <c r="C3282" s="86">
        <f>+VLOOKUP(B3282,ARTICULOS!$D$10:$I$699,6)</f>
        <v/>
      </c>
      <c r="D3282" s="212" t="n"/>
      <c r="E3282" s="75">
        <f>+C3282&amp;F3282</f>
        <v/>
      </c>
      <c r="F3282" s="80" t="n"/>
      <c r="G3282" s="81" t="n"/>
      <c r="H3282" s="78" t="n"/>
      <c r="I3282" s="78" t="n"/>
      <c r="J3282" s="78" t="n"/>
    </row>
    <row r="3283">
      <c r="A3283" s="84">
        <f>ROW()-6</f>
        <v/>
      </c>
      <c r="B3283" s="85">
        <f>+MATCH(D3283,ARTICULOS!$F$10:$F$699,0)</f>
        <v/>
      </c>
      <c r="C3283" s="86">
        <f>+VLOOKUP(B3283,ARTICULOS!$D$10:$I$699,6)</f>
        <v/>
      </c>
      <c r="D3283" s="212" t="n"/>
      <c r="E3283" s="75">
        <f>+C3283&amp;F3283</f>
        <v/>
      </c>
      <c r="F3283" s="80" t="n"/>
      <c r="G3283" s="81" t="n"/>
      <c r="H3283" s="78" t="n"/>
      <c r="I3283" s="78" t="n"/>
      <c r="J3283" s="78" t="n"/>
    </row>
    <row r="3284">
      <c r="A3284" s="84">
        <f>ROW()-6</f>
        <v/>
      </c>
      <c r="B3284" s="85">
        <f>+MATCH(D3284,ARTICULOS!$F$10:$F$699,0)</f>
        <v/>
      </c>
      <c r="C3284" s="86">
        <f>+VLOOKUP(B3284,ARTICULOS!$D$10:$I$699,6)</f>
        <v/>
      </c>
      <c r="D3284" s="212" t="n"/>
      <c r="E3284" s="75">
        <f>+C3284&amp;F3284</f>
        <v/>
      </c>
      <c r="F3284" s="80" t="n"/>
      <c r="G3284" s="81" t="n"/>
      <c r="H3284" s="78" t="n"/>
      <c r="I3284" s="78" t="n"/>
      <c r="J3284" s="78" t="n"/>
    </row>
    <row r="3285">
      <c r="A3285" s="84">
        <f>ROW()-6</f>
        <v/>
      </c>
      <c r="B3285" s="85">
        <f>+MATCH(D3285,ARTICULOS!$F$10:$F$699,0)</f>
        <v/>
      </c>
      <c r="C3285" s="86">
        <f>+VLOOKUP(B3285,ARTICULOS!$D$10:$I$699,6)</f>
        <v/>
      </c>
      <c r="D3285" s="212" t="n"/>
      <c r="E3285" s="75">
        <f>+C3285&amp;F3285</f>
        <v/>
      </c>
      <c r="F3285" s="80" t="n"/>
      <c r="G3285" s="81" t="n"/>
      <c r="H3285" s="78" t="n"/>
      <c r="I3285" s="78" t="n"/>
      <c r="J3285" s="78" t="n"/>
    </row>
    <row r="3286">
      <c r="A3286" s="84">
        <f>ROW()-6</f>
        <v/>
      </c>
      <c r="B3286" s="85">
        <f>+MATCH(D3286,ARTICULOS!$F$10:$F$699,0)</f>
        <v/>
      </c>
      <c r="C3286" s="86">
        <f>+VLOOKUP(B3286,ARTICULOS!$D$10:$I$699,6)</f>
        <v/>
      </c>
      <c r="D3286" s="212" t="n"/>
      <c r="E3286" s="75">
        <f>+C3286&amp;F3286</f>
        <v/>
      </c>
      <c r="F3286" s="80" t="n"/>
      <c r="G3286" s="81" t="n"/>
      <c r="H3286" s="78" t="n"/>
      <c r="I3286" s="78" t="n"/>
      <c r="J3286" s="78" t="n"/>
    </row>
    <row r="3287">
      <c r="A3287" s="84">
        <f>ROW()-6</f>
        <v/>
      </c>
      <c r="B3287" s="85">
        <f>+MATCH(D3287,ARTICULOS!$F$10:$F$699,0)</f>
        <v/>
      </c>
      <c r="C3287" s="86">
        <f>+VLOOKUP(B3287,ARTICULOS!$D$10:$I$699,6)</f>
        <v/>
      </c>
      <c r="D3287" s="212" t="n"/>
      <c r="E3287" s="75">
        <f>+C3287&amp;F3287</f>
        <v/>
      </c>
      <c r="F3287" s="80" t="n"/>
      <c r="G3287" s="81" t="n"/>
      <c r="H3287" s="78" t="n"/>
      <c r="I3287" s="78" t="n"/>
      <c r="J3287" s="78" t="n"/>
    </row>
    <row r="3288">
      <c r="A3288" s="84">
        <f>ROW()-6</f>
        <v/>
      </c>
      <c r="B3288" s="85">
        <f>+MATCH(D3288,ARTICULOS!$F$10:$F$699,0)</f>
        <v/>
      </c>
      <c r="C3288" s="86">
        <f>+VLOOKUP(B3288,ARTICULOS!$D$10:$I$699,6)</f>
        <v/>
      </c>
      <c r="D3288" s="212" t="n"/>
      <c r="E3288" s="75">
        <f>+C3288&amp;F3288</f>
        <v/>
      </c>
      <c r="F3288" s="80" t="n"/>
      <c r="G3288" s="81" t="n"/>
      <c r="H3288" s="78" t="n"/>
      <c r="I3288" s="78" t="n"/>
      <c r="J3288" s="78" t="n"/>
    </row>
    <row r="3289">
      <c r="A3289" s="84">
        <f>ROW()-6</f>
        <v/>
      </c>
      <c r="B3289" s="85">
        <f>+MATCH(D3289,ARTICULOS!$F$10:$F$699,0)</f>
        <v/>
      </c>
      <c r="C3289" s="86">
        <f>+VLOOKUP(B3289,ARTICULOS!$D$10:$I$699,6)</f>
        <v/>
      </c>
      <c r="D3289" s="212" t="n"/>
      <c r="E3289" s="75">
        <f>+C3289&amp;F3289</f>
        <v/>
      </c>
      <c r="F3289" s="80" t="n"/>
      <c r="G3289" s="81" t="n"/>
      <c r="H3289" s="78" t="n"/>
      <c r="I3289" s="78" t="n"/>
      <c r="J3289" s="78" t="n"/>
    </row>
    <row r="3290">
      <c r="A3290" s="84">
        <f>ROW()-6</f>
        <v/>
      </c>
      <c r="B3290" s="85">
        <f>+MATCH(D3290,ARTICULOS!$F$10:$F$699,0)</f>
        <v/>
      </c>
      <c r="C3290" s="86">
        <f>+VLOOKUP(B3290,ARTICULOS!$D$10:$I$699,6)</f>
        <v/>
      </c>
      <c r="D3290" s="212" t="n"/>
      <c r="E3290" s="75">
        <f>+C3290&amp;F3290</f>
        <v/>
      </c>
      <c r="F3290" s="80" t="n"/>
      <c r="G3290" s="81" t="n"/>
      <c r="H3290" s="78" t="n"/>
      <c r="I3290" s="78" t="n"/>
      <c r="J3290" s="78" t="n"/>
    </row>
    <row r="3291">
      <c r="A3291" s="84">
        <f>ROW()-6</f>
        <v/>
      </c>
      <c r="B3291" s="85">
        <f>+MATCH(D3291,ARTICULOS!$F$10:$F$699,0)</f>
        <v/>
      </c>
      <c r="C3291" s="86">
        <f>+VLOOKUP(B3291,ARTICULOS!$D$10:$I$699,6)</f>
        <v/>
      </c>
      <c r="D3291" s="212" t="n"/>
      <c r="E3291" s="75">
        <f>+C3291&amp;F3291</f>
        <v/>
      </c>
      <c r="F3291" s="80" t="n"/>
      <c r="G3291" s="81" t="n"/>
      <c r="H3291" s="78" t="n"/>
      <c r="I3291" s="78" t="n"/>
      <c r="J3291" s="78" t="n"/>
    </row>
    <row r="3292">
      <c r="A3292" s="84">
        <f>ROW()-6</f>
        <v/>
      </c>
      <c r="B3292" s="85">
        <f>+MATCH(D3292,ARTICULOS!$F$10:$F$699,0)</f>
        <v/>
      </c>
      <c r="C3292" s="86">
        <f>+VLOOKUP(B3292,ARTICULOS!$D$10:$I$699,6)</f>
        <v/>
      </c>
      <c r="D3292" s="212" t="n"/>
      <c r="E3292" s="75">
        <f>+C3292&amp;F3292</f>
        <v/>
      </c>
      <c r="F3292" s="80" t="n"/>
      <c r="G3292" s="81" t="n"/>
      <c r="H3292" s="78" t="n"/>
      <c r="I3292" s="78" t="n"/>
      <c r="J3292" s="78" t="n"/>
    </row>
    <row r="3293">
      <c r="A3293" s="84">
        <f>ROW()-6</f>
        <v/>
      </c>
      <c r="B3293" s="85">
        <f>+MATCH(D3293,ARTICULOS!$F$10:$F$699,0)</f>
        <v/>
      </c>
      <c r="C3293" s="86">
        <f>+VLOOKUP(B3293,ARTICULOS!$D$10:$I$699,6)</f>
        <v/>
      </c>
      <c r="D3293" s="212" t="n"/>
      <c r="E3293" s="75">
        <f>+C3293&amp;F3293</f>
        <v/>
      </c>
      <c r="F3293" s="80" t="n"/>
      <c r="G3293" s="81" t="n"/>
      <c r="H3293" s="78" t="n"/>
      <c r="I3293" s="78" t="n"/>
      <c r="J3293" s="78" t="n"/>
    </row>
    <row r="3294">
      <c r="A3294" s="84">
        <f>ROW()-6</f>
        <v/>
      </c>
      <c r="B3294" s="85">
        <f>+MATCH(D3294,ARTICULOS!$F$10:$F$699,0)</f>
        <v/>
      </c>
      <c r="C3294" s="86">
        <f>+VLOOKUP(B3294,ARTICULOS!$D$10:$I$699,6)</f>
        <v/>
      </c>
      <c r="D3294" s="212" t="n"/>
      <c r="E3294" s="75">
        <f>+C3294&amp;F3294</f>
        <v/>
      </c>
      <c r="F3294" s="80" t="n"/>
      <c r="G3294" s="81" t="n"/>
      <c r="H3294" s="78" t="n"/>
      <c r="I3294" s="78" t="n"/>
      <c r="J3294" s="78" t="n"/>
    </row>
    <row r="3295">
      <c r="A3295" s="84">
        <f>ROW()-6</f>
        <v/>
      </c>
      <c r="B3295" s="85">
        <f>+MATCH(D3295,ARTICULOS!$F$10:$F$699,0)</f>
        <v/>
      </c>
      <c r="C3295" s="86">
        <f>+VLOOKUP(B3295,ARTICULOS!$D$10:$I$699,6)</f>
        <v/>
      </c>
      <c r="D3295" s="212" t="n"/>
      <c r="E3295" s="75">
        <f>+C3295&amp;F3295</f>
        <v/>
      </c>
      <c r="F3295" s="80" t="n"/>
      <c r="G3295" s="81" t="n"/>
      <c r="H3295" s="78" t="n"/>
      <c r="I3295" s="78" t="n"/>
      <c r="J3295" s="78" t="n"/>
    </row>
    <row r="3296">
      <c r="A3296" s="84">
        <f>ROW()-6</f>
        <v/>
      </c>
      <c r="B3296" s="85">
        <f>+MATCH(D3296,ARTICULOS!$F$10:$F$699,0)</f>
        <v/>
      </c>
      <c r="C3296" s="86">
        <f>+VLOOKUP(B3296,ARTICULOS!$D$10:$I$699,6)</f>
        <v/>
      </c>
      <c r="D3296" s="212" t="n"/>
      <c r="E3296" s="75">
        <f>+C3296&amp;F3296</f>
        <v/>
      </c>
      <c r="F3296" s="80" t="n"/>
      <c r="G3296" s="81" t="n"/>
      <c r="H3296" s="78" t="n"/>
      <c r="I3296" s="78" t="n"/>
      <c r="J3296" s="78" t="n"/>
    </row>
    <row r="3297">
      <c r="A3297" s="84">
        <f>ROW()-6</f>
        <v/>
      </c>
      <c r="B3297" s="85">
        <f>+MATCH(D3297,ARTICULOS!$F$10:$F$699,0)</f>
        <v/>
      </c>
      <c r="C3297" s="86">
        <f>+VLOOKUP(B3297,ARTICULOS!$D$10:$I$699,6)</f>
        <v/>
      </c>
      <c r="D3297" s="212" t="n"/>
      <c r="E3297" s="75">
        <f>+C3297&amp;F3297</f>
        <v/>
      </c>
      <c r="F3297" s="80" t="n"/>
      <c r="G3297" s="81" t="n"/>
      <c r="H3297" s="78" t="n"/>
      <c r="I3297" s="78" t="n"/>
      <c r="J3297" s="78" t="n"/>
    </row>
    <row r="3298">
      <c r="A3298" s="84">
        <f>ROW()-6</f>
        <v/>
      </c>
      <c r="B3298" s="85">
        <f>+MATCH(D3298,ARTICULOS!$F$10:$F$699,0)</f>
        <v/>
      </c>
      <c r="C3298" s="86">
        <f>+VLOOKUP(B3298,ARTICULOS!$D$10:$I$699,6)</f>
        <v/>
      </c>
      <c r="D3298" s="212" t="n"/>
      <c r="E3298" s="75">
        <f>+C3298&amp;F3298</f>
        <v/>
      </c>
      <c r="F3298" s="80" t="n"/>
      <c r="G3298" s="81" t="n"/>
      <c r="H3298" s="78" t="n"/>
      <c r="I3298" s="78" t="n"/>
      <c r="J3298" s="78" t="n"/>
    </row>
    <row r="3299">
      <c r="A3299" s="84">
        <f>ROW()-6</f>
        <v/>
      </c>
      <c r="B3299" s="85">
        <f>+MATCH(D3299,ARTICULOS!$F$10:$F$699,0)</f>
        <v/>
      </c>
      <c r="C3299" s="86">
        <f>+VLOOKUP(B3299,ARTICULOS!$D$10:$I$699,6)</f>
        <v/>
      </c>
      <c r="D3299" s="212" t="n"/>
      <c r="E3299" s="75">
        <f>+C3299&amp;F3299</f>
        <v/>
      </c>
      <c r="F3299" s="80" t="n"/>
      <c r="G3299" s="81" t="n"/>
      <c r="H3299" s="78" t="n"/>
      <c r="I3299" s="78" t="n"/>
      <c r="J3299" s="78" t="n"/>
    </row>
    <row r="3300">
      <c r="A3300" s="84">
        <f>ROW()-6</f>
        <v/>
      </c>
      <c r="B3300" s="85">
        <f>+MATCH(D3300,ARTICULOS!$F$10:$F$699,0)</f>
        <v/>
      </c>
      <c r="C3300" s="86">
        <f>+VLOOKUP(B3300,ARTICULOS!$D$10:$I$699,6)</f>
        <v/>
      </c>
      <c r="D3300" s="212" t="n"/>
      <c r="E3300" s="75">
        <f>+C3300&amp;F3300</f>
        <v/>
      </c>
      <c r="F3300" s="80" t="n"/>
      <c r="G3300" s="81" t="n"/>
      <c r="H3300" s="78" t="n"/>
      <c r="I3300" s="78" t="n"/>
      <c r="J3300" s="78" t="n"/>
    </row>
    <row r="3301">
      <c r="A3301" s="84">
        <f>ROW()-6</f>
        <v/>
      </c>
      <c r="B3301" s="85">
        <f>+MATCH(D3301,ARTICULOS!$F$10:$F$699,0)</f>
        <v/>
      </c>
      <c r="C3301" s="86">
        <f>+VLOOKUP(B3301,ARTICULOS!$D$10:$I$699,6)</f>
        <v/>
      </c>
      <c r="D3301" s="212" t="n"/>
      <c r="E3301" s="75">
        <f>+C3301&amp;F3301</f>
        <v/>
      </c>
      <c r="F3301" s="80" t="n"/>
      <c r="G3301" s="81" t="n"/>
      <c r="H3301" s="78" t="n"/>
      <c r="I3301" s="78" t="n"/>
      <c r="J3301" s="78" t="n"/>
    </row>
    <row r="3302">
      <c r="A3302" s="84">
        <f>ROW()-6</f>
        <v/>
      </c>
      <c r="B3302" s="85">
        <f>+MATCH(D3302,ARTICULOS!$F$10:$F$699,0)</f>
        <v/>
      </c>
      <c r="C3302" s="86">
        <f>+VLOOKUP(B3302,ARTICULOS!$D$10:$I$699,6)</f>
        <v/>
      </c>
      <c r="D3302" s="212" t="n"/>
      <c r="E3302" s="75">
        <f>+C3302&amp;F3302</f>
        <v/>
      </c>
      <c r="F3302" s="80" t="n"/>
      <c r="G3302" s="81" t="n"/>
      <c r="H3302" s="78" t="n"/>
      <c r="I3302" s="78" t="n"/>
      <c r="J3302" s="78" t="n"/>
    </row>
    <row r="3303">
      <c r="A3303" s="84">
        <f>ROW()-6</f>
        <v/>
      </c>
      <c r="B3303" s="85">
        <f>+MATCH(D3303,ARTICULOS!$F$10:$F$699,0)</f>
        <v/>
      </c>
      <c r="C3303" s="86">
        <f>+VLOOKUP(B3303,ARTICULOS!$D$10:$I$699,6)</f>
        <v/>
      </c>
      <c r="D3303" s="212" t="n"/>
      <c r="E3303" s="75">
        <f>+C3303&amp;F3303</f>
        <v/>
      </c>
      <c r="F3303" s="80" t="n"/>
      <c r="G3303" s="81" t="n"/>
      <c r="H3303" s="78" t="n"/>
      <c r="I3303" s="78" t="n"/>
      <c r="J3303" s="78" t="n"/>
    </row>
    <row r="3304">
      <c r="A3304" s="84">
        <f>ROW()-6</f>
        <v/>
      </c>
      <c r="B3304" s="85">
        <f>+MATCH(D3304,ARTICULOS!$F$10:$F$699,0)</f>
        <v/>
      </c>
      <c r="C3304" s="86">
        <f>+VLOOKUP(B3304,ARTICULOS!$D$10:$I$699,6)</f>
        <v/>
      </c>
      <c r="D3304" s="212" t="n"/>
      <c r="E3304" s="75">
        <f>+C3304&amp;F3304</f>
        <v/>
      </c>
      <c r="F3304" s="80" t="n"/>
      <c r="G3304" s="81" t="n"/>
      <c r="H3304" s="78" t="n"/>
      <c r="I3304" s="78" t="n"/>
      <c r="J3304" s="78" t="n"/>
    </row>
    <row r="3305">
      <c r="A3305" s="84">
        <f>ROW()-6</f>
        <v/>
      </c>
      <c r="B3305" s="85">
        <f>+MATCH(D3305,ARTICULOS!$F$10:$F$699,0)</f>
        <v/>
      </c>
      <c r="C3305" s="86">
        <f>+VLOOKUP(B3305,ARTICULOS!$D$10:$I$699,6)</f>
        <v/>
      </c>
      <c r="D3305" s="212" t="n"/>
      <c r="E3305" s="75">
        <f>+C3305&amp;F3305</f>
        <v/>
      </c>
      <c r="F3305" s="80" t="n"/>
      <c r="G3305" s="81" t="n"/>
      <c r="H3305" s="78" t="n"/>
      <c r="I3305" s="78" t="n"/>
      <c r="J3305" s="78" t="n"/>
    </row>
    <row r="3306">
      <c r="A3306" s="84">
        <f>ROW()-6</f>
        <v/>
      </c>
      <c r="B3306" s="85">
        <f>+MATCH(D3306,ARTICULOS!$F$10:$F$699,0)</f>
        <v/>
      </c>
      <c r="C3306" s="86">
        <f>+VLOOKUP(B3306,ARTICULOS!$D$10:$I$699,6)</f>
        <v/>
      </c>
      <c r="D3306" s="212" t="n"/>
      <c r="E3306" s="75">
        <f>+C3306&amp;F3306</f>
        <v/>
      </c>
      <c r="F3306" s="80" t="n"/>
      <c r="G3306" s="81" t="n"/>
      <c r="H3306" s="78" t="n"/>
      <c r="I3306" s="78" t="n"/>
      <c r="J3306" s="78" t="n"/>
    </row>
    <row r="3307">
      <c r="A3307" s="84">
        <f>ROW()-6</f>
        <v/>
      </c>
      <c r="B3307" s="85">
        <f>+MATCH(D3307,ARTICULOS!$F$10:$F$699,0)</f>
        <v/>
      </c>
      <c r="C3307" s="86">
        <f>+VLOOKUP(B3307,ARTICULOS!$D$10:$I$699,6)</f>
        <v/>
      </c>
      <c r="D3307" s="212" t="n"/>
      <c r="E3307" s="75">
        <f>+C3307&amp;F3307</f>
        <v/>
      </c>
      <c r="F3307" s="80" t="n"/>
      <c r="G3307" s="81" t="n"/>
      <c r="H3307" s="78" t="n"/>
      <c r="I3307" s="78" t="n"/>
      <c r="J3307" s="78" t="n"/>
    </row>
    <row r="3308">
      <c r="A3308" s="84">
        <f>ROW()-6</f>
        <v/>
      </c>
      <c r="B3308" s="85">
        <f>+MATCH(D3308,ARTICULOS!$F$10:$F$699,0)</f>
        <v/>
      </c>
      <c r="C3308" s="86">
        <f>+VLOOKUP(B3308,ARTICULOS!$D$10:$I$699,6)</f>
        <v/>
      </c>
      <c r="D3308" s="212" t="n"/>
      <c r="E3308" s="75">
        <f>+C3308&amp;F3308</f>
        <v/>
      </c>
      <c r="F3308" s="80" t="n"/>
      <c r="G3308" s="81" t="n"/>
      <c r="H3308" s="78" t="n"/>
      <c r="I3308" s="78" t="n"/>
      <c r="J3308" s="78" t="n"/>
    </row>
    <row r="3309">
      <c r="A3309" s="84">
        <f>ROW()-6</f>
        <v/>
      </c>
      <c r="B3309" s="85">
        <f>+MATCH(D3309,ARTICULOS!$F$10:$F$699,0)</f>
        <v/>
      </c>
      <c r="C3309" s="86">
        <f>+VLOOKUP(B3309,ARTICULOS!$D$10:$I$699,6)</f>
        <v/>
      </c>
      <c r="D3309" s="212" t="n"/>
      <c r="E3309" s="75">
        <f>+C3309&amp;F3309</f>
        <v/>
      </c>
      <c r="F3309" s="80" t="n"/>
      <c r="G3309" s="81" t="n"/>
      <c r="H3309" s="78" t="n"/>
      <c r="I3309" s="78" t="n"/>
      <c r="J3309" s="78" t="n"/>
    </row>
    <row r="3310">
      <c r="A3310" s="84">
        <f>ROW()-6</f>
        <v/>
      </c>
      <c r="B3310" s="85">
        <f>+MATCH(D3310,ARTICULOS!$F$10:$F$699,0)</f>
        <v/>
      </c>
      <c r="C3310" s="86">
        <f>+VLOOKUP(B3310,ARTICULOS!$D$10:$I$699,6)</f>
        <v/>
      </c>
      <c r="D3310" s="212" t="n"/>
      <c r="E3310" s="75">
        <f>+C3310&amp;F3310</f>
        <v/>
      </c>
      <c r="F3310" s="80" t="n"/>
      <c r="G3310" s="81" t="n"/>
      <c r="H3310" s="78" t="n"/>
      <c r="I3310" s="78" t="n"/>
      <c r="J3310" s="78" t="n"/>
    </row>
    <row r="3311">
      <c r="A3311" s="84">
        <f>ROW()-6</f>
        <v/>
      </c>
      <c r="B3311" s="85">
        <f>+MATCH(D3311,ARTICULOS!$F$10:$F$699,0)</f>
        <v/>
      </c>
      <c r="C3311" s="86">
        <f>+VLOOKUP(B3311,ARTICULOS!$D$10:$I$699,6)</f>
        <v/>
      </c>
      <c r="D3311" s="212" t="n"/>
      <c r="E3311" s="75">
        <f>+C3311&amp;F3311</f>
        <v/>
      </c>
      <c r="F3311" s="80" t="n"/>
      <c r="G3311" s="81" t="n"/>
      <c r="H3311" s="78" t="n"/>
      <c r="I3311" s="78" t="n"/>
      <c r="J3311" s="78" t="n"/>
    </row>
    <row r="3312">
      <c r="A3312" s="84">
        <f>ROW()-6</f>
        <v/>
      </c>
      <c r="B3312" s="85">
        <f>+MATCH(D3312,ARTICULOS!$F$10:$F$699,0)</f>
        <v/>
      </c>
      <c r="C3312" s="86">
        <f>+VLOOKUP(B3312,ARTICULOS!$D$10:$I$699,6)</f>
        <v/>
      </c>
      <c r="D3312" s="212" t="n"/>
      <c r="E3312" s="75">
        <f>+C3312&amp;F3312</f>
        <v/>
      </c>
      <c r="F3312" s="80" t="n"/>
      <c r="G3312" s="81" t="n"/>
      <c r="H3312" s="78" t="n"/>
      <c r="I3312" s="78" t="n"/>
      <c r="J3312" s="78" t="n"/>
    </row>
    <row r="3313">
      <c r="A3313" s="84">
        <f>ROW()-6</f>
        <v/>
      </c>
      <c r="B3313" s="85">
        <f>+MATCH(D3313,ARTICULOS!$F$10:$F$699,0)</f>
        <v/>
      </c>
      <c r="C3313" s="86">
        <f>+VLOOKUP(B3313,ARTICULOS!$D$10:$I$699,6)</f>
        <v/>
      </c>
      <c r="D3313" s="212" t="n"/>
      <c r="E3313" s="75">
        <f>+C3313&amp;F3313</f>
        <v/>
      </c>
      <c r="F3313" s="80" t="n"/>
      <c r="G3313" s="81" t="n"/>
      <c r="H3313" s="78" t="n"/>
      <c r="I3313" s="78" t="n"/>
      <c r="J3313" s="78" t="n"/>
    </row>
    <row r="3314">
      <c r="A3314" s="84">
        <f>ROW()-6</f>
        <v/>
      </c>
      <c r="B3314" s="85">
        <f>+MATCH(D3314,ARTICULOS!$F$10:$F$699,0)</f>
        <v/>
      </c>
      <c r="C3314" s="86">
        <f>+VLOOKUP(B3314,ARTICULOS!$D$10:$I$699,6)</f>
        <v/>
      </c>
      <c r="D3314" s="212" t="n"/>
      <c r="E3314" s="75">
        <f>+C3314&amp;F3314</f>
        <v/>
      </c>
      <c r="F3314" s="80" t="n"/>
      <c r="G3314" s="81" t="n"/>
      <c r="H3314" s="78" t="n"/>
      <c r="I3314" s="78" t="n"/>
      <c r="J3314" s="78" t="n"/>
    </row>
    <row r="3315">
      <c r="A3315" s="84">
        <f>ROW()-6</f>
        <v/>
      </c>
      <c r="B3315" s="85">
        <f>+MATCH(D3315,ARTICULOS!$F$10:$F$699,0)</f>
        <v/>
      </c>
      <c r="C3315" s="86">
        <f>+VLOOKUP(B3315,ARTICULOS!$D$10:$I$699,6)</f>
        <v/>
      </c>
      <c r="D3315" s="212" t="n"/>
      <c r="E3315" s="75">
        <f>+C3315&amp;F3315</f>
        <v/>
      </c>
      <c r="F3315" s="80" t="n"/>
      <c r="G3315" s="81" t="n"/>
      <c r="H3315" s="78" t="n"/>
      <c r="I3315" s="78" t="n"/>
      <c r="J3315" s="78" t="n"/>
    </row>
    <row r="3316">
      <c r="A3316" s="84">
        <f>ROW()-6</f>
        <v/>
      </c>
      <c r="B3316" s="85">
        <f>+MATCH(D3316,ARTICULOS!$F$10:$F$699,0)</f>
        <v/>
      </c>
      <c r="C3316" s="86">
        <f>+VLOOKUP(B3316,ARTICULOS!$D$10:$I$699,6)</f>
        <v/>
      </c>
      <c r="D3316" s="212" t="n"/>
      <c r="E3316" s="75">
        <f>+C3316&amp;F3316</f>
        <v/>
      </c>
      <c r="F3316" s="80" t="n"/>
      <c r="G3316" s="81" t="n"/>
      <c r="H3316" s="78" t="n"/>
      <c r="I3316" s="78" t="n"/>
      <c r="J3316" s="78" t="n"/>
    </row>
    <row r="3317">
      <c r="A3317" s="84">
        <f>ROW()-6</f>
        <v/>
      </c>
      <c r="B3317" s="85">
        <f>+MATCH(D3317,ARTICULOS!$F$10:$F$699,0)</f>
        <v/>
      </c>
      <c r="C3317" s="86">
        <f>+VLOOKUP(B3317,ARTICULOS!$D$10:$I$699,6)</f>
        <v/>
      </c>
      <c r="D3317" s="212" t="n"/>
      <c r="E3317" s="75">
        <f>+C3317&amp;F3317</f>
        <v/>
      </c>
      <c r="F3317" s="80" t="n"/>
      <c r="G3317" s="81" t="n"/>
      <c r="H3317" s="78" t="n"/>
      <c r="I3317" s="78" t="n"/>
      <c r="J3317" s="78" t="n"/>
    </row>
    <row r="3318">
      <c r="A3318" s="84">
        <f>ROW()-6</f>
        <v/>
      </c>
      <c r="B3318" s="85">
        <f>+MATCH(D3318,ARTICULOS!$F$10:$F$699,0)</f>
        <v/>
      </c>
      <c r="C3318" s="86">
        <f>+VLOOKUP(B3318,ARTICULOS!$D$10:$I$699,6)</f>
        <v/>
      </c>
      <c r="D3318" s="212" t="n"/>
      <c r="E3318" s="75">
        <f>+C3318&amp;F3318</f>
        <v/>
      </c>
      <c r="F3318" s="80" t="n"/>
      <c r="G3318" s="81" t="n"/>
      <c r="H3318" s="78" t="n"/>
      <c r="I3318" s="78" t="n"/>
      <c r="J3318" s="78" t="n"/>
    </row>
    <row r="3319">
      <c r="A3319" s="84">
        <f>ROW()-6</f>
        <v/>
      </c>
      <c r="B3319" s="85">
        <f>+MATCH(D3319,ARTICULOS!$F$10:$F$699,0)</f>
        <v/>
      </c>
      <c r="C3319" s="86">
        <f>+VLOOKUP(B3319,ARTICULOS!$D$10:$I$699,6)</f>
        <v/>
      </c>
      <c r="D3319" s="212" t="n"/>
      <c r="E3319" s="75">
        <f>+C3319&amp;F3319</f>
        <v/>
      </c>
      <c r="F3319" s="80" t="n"/>
      <c r="G3319" s="81" t="n"/>
      <c r="H3319" s="78" t="n"/>
      <c r="I3319" s="78" t="n"/>
      <c r="J3319" s="78" t="n"/>
    </row>
    <row r="3320">
      <c r="A3320" s="84">
        <f>ROW()-6</f>
        <v/>
      </c>
      <c r="B3320" s="85">
        <f>+MATCH(D3320,ARTICULOS!$F$10:$F$699,0)</f>
        <v/>
      </c>
      <c r="C3320" s="86">
        <f>+VLOOKUP(B3320,ARTICULOS!$D$10:$I$699,6)</f>
        <v/>
      </c>
      <c r="D3320" s="212" t="n"/>
      <c r="E3320" s="75">
        <f>+C3320&amp;F3320</f>
        <v/>
      </c>
      <c r="F3320" s="80" t="n"/>
      <c r="G3320" s="81" t="n"/>
      <c r="H3320" s="78" t="n"/>
      <c r="I3320" s="78" t="n"/>
      <c r="J3320" s="78" t="n"/>
    </row>
    <row r="3321">
      <c r="A3321" s="84">
        <f>ROW()-6</f>
        <v/>
      </c>
      <c r="B3321" s="85">
        <f>+MATCH(D3321,ARTICULOS!$F$10:$F$699,0)</f>
        <v/>
      </c>
      <c r="C3321" s="86">
        <f>+VLOOKUP(B3321,ARTICULOS!$D$10:$I$699,6)</f>
        <v/>
      </c>
      <c r="D3321" s="212" t="n"/>
      <c r="E3321" s="75">
        <f>+C3321&amp;F3321</f>
        <v/>
      </c>
      <c r="F3321" s="80" t="n"/>
      <c r="G3321" s="81" t="n"/>
      <c r="H3321" s="78" t="n"/>
      <c r="I3321" s="78" t="n"/>
      <c r="J3321" s="78" t="n"/>
    </row>
    <row r="3322">
      <c r="A3322" s="84">
        <f>ROW()-6</f>
        <v/>
      </c>
      <c r="B3322" s="85">
        <f>+MATCH(D3322,ARTICULOS!$F$10:$F$699,0)</f>
        <v/>
      </c>
      <c r="C3322" s="86">
        <f>+VLOOKUP(B3322,ARTICULOS!$D$10:$I$699,6)</f>
        <v/>
      </c>
      <c r="D3322" s="212" t="n"/>
      <c r="E3322" s="75">
        <f>+C3322&amp;F3322</f>
        <v/>
      </c>
      <c r="F3322" s="80" t="n"/>
      <c r="G3322" s="81" t="n"/>
      <c r="H3322" s="78" t="n"/>
      <c r="I3322" s="78" t="n"/>
      <c r="J3322" s="78" t="n"/>
    </row>
    <row r="3323">
      <c r="A3323" s="84">
        <f>ROW()-6</f>
        <v/>
      </c>
      <c r="B3323" s="85">
        <f>+MATCH(D3323,ARTICULOS!$F$10:$F$699,0)</f>
        <v/>
      </c>
      <c r="C3323" s="86">
        <f>+VLOOKUP(B3323,ARTICULOS!$D$10:$I$699,6)</f>
        <v/>
      </c>
      <c r="D3323" s="212" t="n"/>
      <c r="E3323" s="75">
        <f>+C3323&amp;F3323</f>
        <v/>
      </c>
      <c r="F3323" s="80" t="n"/>
      <c r="G3323" s="81" t="n"/>
      <c r="H3323" s="78" t="n"/>
      <c r="I3323" s="78" t="n"/>
      <c r="J3323" s="78" t="n"/>
    </row>
    <row r="3324">
      <c r="A3324" s="84">
        <f>ROW()-6</f>
        <v/>
      </c>
      <c r="B3324" s="85">
        <f>+MATCH(D3324,ARTICULOS!$F$10:$F$699,0)</f>
        <v/>
      </c>
      <c r="C3324" s="86">
        <f>+VLOOKUP(B3324,ARTICULOS!$D$10:$I$699,6)</f>
        <v/>
      </c>
      <c r="D3324" s="212" t="n"/>
      <c r="E3324" s="75">
        <f>+C3324&amp;F3324</f>
        <v/>
      </c>
      <c r="F3324" s="80" t="n"/>
      <c r="G3324" s="81" t="n"/>
      <c r="H3324" s="78" t="n"/>
      <c r="I3324" s="78" t="n"/>
      <c r="J3324" s="78" t="n"/>
    </row>
    <row r="3325">
      <c r="A3325" s="84">
        <f>ROW()-6</f>
        <v/>
      </c>
      <c r="B3325" s="85">
        <f>+MATCH(D3325,ARTICULOS!$F$10:$F$699,0)</f>
        <v/>
      </c>
      <c r="C3325" s="86">
        <f>+VLOOKUP(B3325,ARTICULOS!$D$10:$I$699,6)</f>
        <v/>
      </c>
      <c r="D3325" s="212" t="n"/>
      <c r="E3325" s="75">
        <f>+C3325&amp;F3325</f>
        <v/>
      </c>
      <c r="F3325" s="80" t="n"/>
      <c r="G3325" s="81" t="n"/>
      <c r="H3325" s="78" t="n"/>
      <c r="I3325" s="78" t="n"/>
      <c r="J3325" s="78" t="n"/>
    </row>
    <row r="3326">
      <c r="A3326" s="84">
        <f>ROW()-6</f>
        <v/>
      </c>
      <c r="B3326" s="85">
        <f>+MATCH(D3326,ARTICULOS!$F$10:$F$699,0)</f>
        <v/>
      </c>
      <c r="C3326" s="86">
        <f>+VLOOKUP(B3326,ARTICULOS!$D$10:$I$699,6)</f>
        <v/>
      </c>
      <c r="D3326" s="212" t="n"/>
      <c r="E3326" s="75">
        <f>+C3326&amp;F3326</f>
        <v/>
      </c>
      <c r="F3326" s="80" t="n"/>
      <c r="G3326" s="81" t="n"/>
      <c r="H3326" s="78" t="n"/>
      <c r="I3326" s="78" t="n"/>
      <c r="J3326" s="78" t="n"/>
    </row>
    <row r="3327">
      <c r="A3327" s="84">
        <f>ROW()-6</f>
        <v/>
      </c>
      <c r="B3327" s="85">
        <f>+MATCH(D3327,ARTICULOS!$F$10:$F$699,0)</f>
        <v/>
      </c>
      <c r="C3327" s="86">
        <f>+VLOOKUP(B3327,ARTICULOS!$D$10:$I$699,6)</f>
        <v/>
      </c>
      <c r="D3327" s="212" t="n"/>
      <c r="E3327" s="75">
        <f>+C3327&amp;F3327</f>
        <v/>
      </c>
      <c r="F3327" s="80" t="n"/>
      <c r="G3327" s="81" t="n"/>
      <c r="H3327" s="78" t="n"/>
      <c r="I3327" s="78" t="n"/>
      <c r="J3327" s="78" t="n"/>
    </row>
    <row r="3328">
      <c r="A3328" s="84">
        <f>ROW()-6</f>
        <v/>
      </c>
      <c r="B3328" s="85">
        <f>+MATCH(D3328,ARTICULOS!$F$10:$F$699,0)</f>
        <v/>
      </c>
      <c r="C3328" s="86">
        <f>+VLOOKUP(B3328,ARTICULOS!$D$10:$I$699,6)</f>
        <v/>
      </c>
      <c r="D3328" s="212" t="n"/>
      <c r="E3328" s="75">
        <f>+C3328&amp;F3328</f>
        <v/>
      </c>
      <c r="F3328" s="80" t="n"/>
      <c r="G3328" s="81" t="n"/>
      <c r="H3328" s="78" t="n"/>
      <c r="I3328" s="78" t="n"/>
      <c r="J3328" s="78" t="n"/>
    </row>
    <row r="3329">
      <c r="A3329" s="84">
        <f>ROW()-6</f>
        <v/>
      </c>
      <c r="B3329" s="85">
        <f>+MATCH(D3329,ARTICULOS!$F$10:$F$699,0)</f>
        <v/>
      </c>
      <c r="C3329" s="86">
        <f>+VLOOKUP(B3329,ARTICULOS!$D$10:$I$699,6)</f>
        <v/>
      </c>
      <c r="D3329" s="212" t="n"/>
      <c r="E3329" s="75">
        <f>+C3329&amp;F3329</f>
        <v/>
      </c>
      <c r="F3329" s="80" t="n"/>
      <c r="G3329" s="81" t="n"/>
      <c r="H3329" s="78" t="n"/>
      <c r="I3329" s="78" t="n"/>
      <c r="J3329" s="78" t="n"/>
    </row>
    <row r="3330">
      <c r="A3330" s="84">
        <f>ROW()-6</f>
        <v/>
      </c>
      <c r="B3330" s="85">
        <f>+MATCH(D3330,ARTICULOS!$F$10:$F$699,0)</f>
        <v/>
      </c>
      <c r="C3330" s="86">
        <f>+VLOOKUP(B3330,ARTICULOS!$D$10:$I$699,6)</f>
        <v/>
      </c>
      <c r="D3330" s="212" t="n"/>
      <c r="E3330" s="75">
        <f>+C3330&amp;F3330</f>
        <v/>
      </c>
      <c r="F3330" s="80" t="n"/>
      <c r="G3330" s="81" t="n"/>
      <c r="H3330" s="78" t="n"/>
      <c r="I3330" s="78" t="n"/>
      <c r="J3330" s="78" t="n"/>
    </row>
    <row r="3331">
      <c r="A3331" s="84">
        <f>ROW()-6</f>
        <v/>
      </c>
      <c r="B3331" s="85">
        <f>+MATCH(D3331,ARTICULOS!$F$10:$F$699,0)</f>
        <v/>
      </c>
      <c r="C3331" s="86">
        <f>+VLOOKUP(B3331,ARTICULOS!$D$10:$I$699,6)</f>
        <v/>
      </c>
      <c r="D3331" s="212" t="n"/>
      <c r="E3331" s="75">
        <f>+C3331&amp;F3331</f>
        <v/>
      </c>
      <c r="F3331" s="80" t="n"/>
      <c r="G3331" s="81" t="n"/>
      <c r="H3331" s="78" t="n"/>
      <c r="I3331" s="78" t="n"/>
      <c r="J3331" s="78" t="n"/>
    </row>
    <row r="3332">
      <c r="A3332" s="84">
        <f>ROW()-6</f>
        <v/>
      </c>
      <c r="B3332" s="85">
        <f>+MATCH(D3332,ARTICULOS!$F$10:$F$699,0)</f>
        <v/>
      </c>
      <c r="C3332" s="86">
        <f>+VLOOKUP(B3332,ARTICULOS!$D$10:$I$699,6)</f>
        <v/>
      </c>
      <c r="D3332" s="212" t="n"/>
      <c r="E3332" s="75">
        <f>+C3332&amp;F3332</f>
        <v/>
      </c>
      <c r="F3332" s="80" t="n"/>
      <c r="G3332" s="81" t="n"/>
      <c r="H3332" s="78" t="n"/>
      <c r="I3332" s="78" t="n"/>
      <c r="J3332" s="78" t="n"/>
    </row>
    <row r="3333">
      <c r="A3333" s="84">
        <f>ROW()-6</f>
        <v/>
      </c>
      <c r="B3333" s="85">
        <f>+MATCH(D3333,ARTICULOS!$F$10:$F$699,0)</f>
        <v/>
      </c>
      <c r="C3333" s="86">
        <f>+VLOOKUP(B3333,ARTICULOS!$D$10:$I$699,6)</f>
        <v/>
      </c>
      <c r="D3333" s="212" t="n"/>
      <c r="E3333" s="75">
        <f>+C3333&amp;F3333</f>
        <v/>
      </c>
      <c r="F3333" s="80" t="n"/>
      <c r="G3333" s="81" t="n"/>
      <c r="H3333" s="78" t="n"/>
      <c r="I3333" s="78" t="n"/>
      <c r="J3333" s="78" t="n"/>
    </row>
    <row r="3334">
      <c r="A3334" s="84">
        <f>ROW()-6</f>
        <v/>
      </c>
      <c r="B3334" s="85">
        <f>+MATCH(D3334,ARTICULOS!$F$10:$F$699,0)</f>
        <v/>
      </c>
      <c r="C3334" s="86">
        <f>+VLOOKUP(B3334,ARTICULOS!$D$10:$I$699,6)</f>
        <v/>
      </c>
      <c r="D3334" s="212" t="n"/>
      <c r="E3334" s="75">
        <f>+C3334&amp;F3334</f>
        <v/>
      </c>
      <c r="F3334" s="80" t="n"/>
      <c r="G3334" s="81" t="n"/>
      <c r="H3334" s="78" t="n"/>
      <c r="I3334" s="78" t="n"/>
      <c r="J3334" s="78" t="n"/>
    </row>
    <row r="3335">
      <c r="A3335" s="84">
        <f>ROW()-6</f>
        <v/>
      </c>
      <c r="B3335" s="85">
        <f>+MATCH(D3335,ARTICULOS!$F$10:$F$699,0)</f>
        <v/>
      </c>
      <c r="C3335" s="86">
        <f>+VLOOKUP(B3335,ARTICULOS!$D$10:$I$699,6)</f>
        <v/>
      </c>
      <c r="D3335" s="212" t="n"/>
      <c r="E3335" s="75">
        <f>+C3335&amp;F3335</f>
        <v/>
      </c>
      <c r="F3335" s="80" t="n"/>
      <c r="G3335" s="81" t="n"/>
      <c r="H3335" s="78" t="n"/>
      <c r="I3335" s="78" t="n"/>
      <c r="J3335" s="78" t="n"/>
    </row>
    <row r="3336">
      <c r="A3336" s="84">
        <f>ROW()-6</f>
        <v/>
      </c>
      <c r="B3336" s="85">
        <f>+MATCH(D3336,ARTICULOS!$F$10:$F$699,0)</f>
        <v/>
      </c>
      <c r="C3336" s="86">
        <f>+VLOOKUP(B3336,ARTICULOS!$D$10:$I$699,6)</f>
        <v/>
      </c>
      <c r="D3336" s="212" t="n"/>
      <c r="E3336" s="75">
        <f>+C3336&amp;F3336</f>
        <v/>
      </c>
      <c r="F3336" s="80" t="n"/>
      <c r="G3336" s="81" t="n"/>
      <c r="H3336" s="78" t="n"/>
      <c r="I3336" s="78" t="n"/>
      <c r="J3336" s="78" t="n"/>
    </row>
    <row r="3337">
      <c r="A3337" s="84">
        <f>ROW()-6</f>
        <v/>
      </c>
      <c r="B3337" s="85">
        <f>+MATCH(D3337,ARTICULOS!$F$10:$F$699,0)</f>
        <v/>
      </c>
      <c r="C3337" s="86">
        <f>+VLOOKUP(B3337,ARTICULOS!$D$10:$I$699,6)</f>
        <v/>
      </c>
      <c r="D3337" s="212" t="n"/>
      <c r="E3337" s="75">
        <f>+C3337&amp;F3337</f>
        <v/>
      </c>
      <c r="F3337" s="80" t="n"/>
      <c r="G3337" s="81" t="n"/>
      <c r="H3337" s="78" t="n"/>
      <c r="I3337" s="78" t="n"/>
      <c r="J3337" s="78" t="n"/>
    </row>
    <row r="3338">
      <c r="A3338" s="84">
        <f>ROW()-6</f>
        <v/>
      </c>
      <c r="B3338" s="85">
        <f>+MATCH(D3338,ARTICULOS!$F$10:$F$699,0)</f>
        <v/>
      </c>
      <c r="C3338" s="86">
        <f>+VLOOKUP(B3338,ARTICULOS!$D$10:$I$699,6)</f>
        <v/>
      </c>
      <c r="D3338" s="212" t="n"/>
      <c r="E3338" s="75">
        <f>+C3338&amp;F3338</f>
        <v/>
      </c>
      <c r="F3338" s="80" t="n"/>
      <c r="G3338" s="81" t="n"/>
      <c r="H3338" s="78" t="n"/>
      <c r="I3338" s="78" t="n"/>
      <c r="J3338" s="78" t="n"/>
    </row>
    <row r="3339">
      <c r="A3339" s="84">
        <f>ROW()-6</f>
        <v/>
      </c>
      <c r="B3339" s="85">
        <f>+MATCH(D3339,ARTICULOS!$F$10:$F$699,0)</f>
        <v/>
      </c>
      <c r="C3339" s="86">
        <f>+VLOOKUP(B3339,ARTICULOS!$D$10:$I$699,6)</f>
        <v/>
      </c>
      <c r="D3339" s="212" t="n"/>
      <c r="E3339" s="75">
        <f>+C3339&amp;F3339</f>
        <v/>
      </c>
      <c r="F3339" s="80" t="n"/>
      <c r="G3339" s="81" t="n"/>
      <c r="H3339" s="78" t="n"/>
      <c r="I3339" s="78" t="n"/>
      <c r="J3339" s="78" t="n"/>
    </row>
    <row r="3340">
      <c r="A3340" s="84">
        <f>ROW()-6</f>
        <v/>
      </c>
      <c r="B3340" s="85">
        <f>+MATCH(D3340,ARTICULOS!$F$10:$F$699,0)</f>
        <v/>
      </c>
      <c r="C3340" s="86">
        <f>+VLOOKUP(B3340,ARTICULOS!$D$10:$I$699,6)</f>
        <v/>
      </c>
      <c r="D3340" s="212" t="n"/>
      <c r="E3340" s="75">
        <f>+C3340&amp;F3340</f>
        <v/>
      </c>
      <c r="F3340" s="80" t="n"/>
      <c r="G3340" s="81" t="n"/>
      <c r="H3340" s="78" t="n"/>
      <c r="I3340" s="78" t="n"/>
      <c r="J3340" s="78" t="n"/>
    </row>
    <row r="3341">
      <c r="A3341" s="84">
        <f>ROW()-6</f>
        <v/>
      </c>
      <c r="B3341" s="85">
        <f>+MATCH(D3341,ARTICULOS!$F$10:$F$699,0)</f>
        <v/>
      </c>
      <c r="C3341" s="86">
        <f>+VLOOKUP(B3341,ARTICULOS!$D$10:$I$699,6)</f>
        <v/>
      </c>
      <c r="D3341" s="212" t="n"/>
      <c r="E3341" s="75">
        <f>+C3341&amp;F3341</f>
        <v/>
      </c>
      <c r="F3341" s="80" t="n"/>
      <c r="G3341" s="81" t="n"/>
      <c r="H3341" s="78" t="n"/>
      <c r="I3341" s="78" t="n"/>
      <c r="J3341" s="78" t="n"/>
    </row>
    <row r="3342">
      <c r="A3342" s="84">
        <f>ROW()-6</f>
        <v/>
      </c>
      <c r="B3342" s="85">
        <f>+MATCH(D3342,ARTICULOS!$F$10:$F$699,0)</f>
        <v/>
      </c>
      <c r="C3342" s="86">
        <f>+VLOOKUP(B3342,ARTICULOS!$D$10:$I$699,6)</f>
        <v/>
      </c>
      <c r="D3342" s="212" t="n"/>
      <c r="E3342" s="75">
        <f>+C3342&amp;F3342</f>
        <v/>
      </c>
      <c r="F3342" s="80" t="n"/>
      <c r="G3342" s="81" t="n"/>
      <c r="H3342" s="78" t="n"/>
      <c r="I3342" s="78" t="n"/>
      <c r="J3342" s="78" t="n"/>
    </row>
    <row r="3343">
      <c r="A3343" s="84">
        <f>ROW()-6</f>
        <v/>
      </c>
      <c r="B3343" s="85">
        <f>+MATCH(D3343,ARTICULOS!$F$10:$F$699,0)</f>
        <v/>
      </c>
      <c r="C3343" s="86">
        <f>+VLOOKUP(B3343,ARTICULOS!$D$10:$I$699,6)</f>
        <v/>
      </c>
      <c r="D3343" s="212" t="n"/>
      <c r="E3343" s="75">
        <f>+C3343&amp;F3343</f>
        <v/>
      </c>
      <c r="F3343" s="80" t="n"/>
      <c r="G3343" s="81" t="n"/>
      <c r="H3343" s="78" t="n"/>
      <c r="I3343" s="78" t="n"/>
      <c r="J3343" s="78" t="n"/>
    </row>
    <row r="3344">
      <c r="A3344" s="84">
        <f>ROW()-6</f>
        <v/>
      </c>
      <c r="B3344" s="85">
        <f>+MATCH(D3344,ARTICULOS!$F$10:$F$699,0)</f>
        <v/>
      </c>
      <c r="C3344" s="86">
        <f>+VLOOKUP(B3344,ARTICULOS!$D$10:$I$699,6)</f>
        <v/>
      </c>
      <c r="D3344" s="212" t="n"/>
      <c r="E3344" s="75">
        <f>+C3344&amp;F3344</f>
        <v/>
      </c>
      <c r="F3344" s="80" t="n"/>
      <c r="G3344" s="81" t="n"/>
      <c r="H3344" s="78" t="n"/>
      <c r="I3344" s="78" t="n"/>
      <c r="J3344" s="78" t="n"/>
    </row>
    <row r="3345">
      <c r="A3345" s="84">
        <f>ROW()-6</f>
        <v/>
      </c>
      <c r="B3345" s="85">
        <f>+MATCH(D3345,ARTICULOS!$F$10:$F$699,0)</f>
        <v/>
      </c>
      <c r="C3345" s="86">
        <f>+VLOOKUP(B3345,ARTICULOS!$D$10:$I$699,6)</f>
        <v/>
      </c>
      <c r="D3345" s="212" t="n"/>
      <c r="E3345" s="75">
        <f>+C3345&amp;F3345</f>
        <v/>
      </c>
      <c r="F3345" s="80" t="n"/>
      <c r="G3345" s="81" t="n"/>
      <c r="H3345" s="78" t="n"/>
      <c r="I3345" s="78" t="n"/>
      <c r="J3345" s="78" t="n"/>
    </row>
    <row r="3346">
      <c r="A3346" s="84">
        <f>ROW()-6</f>
        <v/>
      </c>
      <c r="B3346" s="85">
        <f>+MATCH(D3346,ARTICULOS!$F$10:$F$699,0)</f>
        <v/>
      </c>
      <c r="C3346" s="86">
        <f>+VLOOKUP(B3346,ARTICULOS!$D$10:$I$699,6)</f>
        <v/>
      </c>
      <c r="D3346" s="212" t="n"/>
      <c r="E3346" s="75">
        <f>+C3346&amp;F3346</f>
        <v/>
      </c>
      <c r="F3346" s="80" t="n"/>
      <c r="G3346" s="81" t="n"/>
      <c r="H3346" s="78" t="n"/>
      <c r="I3346" s="78" t="n"/>
      <c r="J3346" s="78" t="n"/>
    </row>
    <row r="3347">
      <c r="A3347" s="84">
        <f>ROW()-6</f>
        <v/>
      </c>
      <c r="B3347" s="85">
        <f>+MATCH(D3347,ARTICULOS!$F$10:$F$699,0)</f>
        <v/>
      </c>
      <c r="C3347" s="86">
        <f>+VLOOKUP(B3347,ARTICULOS!$D$10:$I$699,6)</f>
        <v/>
      </c>
      <c r="D3347" s="212" t="n"/>
      <c r="E3347" s="75">
        <f>+C3347&amp;F3347</f>
        <v/>
      </c>
      <c r="F3347" s="80" t="n"/>
      <c r="G3347" s="81" t="n"/>
      <c r="H3347" s="78" t="n"/>
      <c r="I3347" s="78" t="n"/>
      <c r="J3347" s="78" t="n"/>
    </row>
    <row r="3348">
      <c r="A3348" s="84">
        <f>ROW()-6</f>
        <v/>
      </c>
      <c r="B3348" s="85">
        <f>+MATCH(D3348,ARTICULOS!$F$10:$F$699,0)</f>
        <v/>
      </c>
      <c r="C3348" s="86">
        <f>+VLOOKUP(B3348,ARTICULOS!$D$10:$I$699,6)</f>
        <v/>
      </c>
      <c r="D3348" s="212" t="n"/>
      <c r="E3348" s="75">
        <f>+C3348&amp;F3348</f>
        <v/>
      </c>
      <c r="F3348" s="80" t="n"/>
      <c r="G3348" s="81" t="n"/>
      <c r="H3348" s="78" t="n"/>
      <c r="I3348" s="78" t="n"/>
      <c r="J3348" s="78" t="n"/>
    </row>
    <row r="3349">
      <c r="A3349" s="84">
        <f>ROW()-6</f>
        <v/>
      </c>
      <c r="B3349" s="85">
        <f>+MATCH(D3349,ARTICULOS!$F$10:$F$699,0)</f>
        <v/>
      </c>
      <c r="C3349" s="86">
        <f>+VLOOKUP(B3349,ARTICULOS!$D$10:$I$699,6)</f>
        <v/>
      </c>
      <c r="D3349" s="212" t="n"/>
      <c r="E3349" s="75">
        <f>+C3349&amp;F3349</f>
        <v/>
      </c>
      <c r="F3349" s="80" t="n"/>
      <c r="G3349" s="81" t="n"/>
      <c r="H3349" s="78" t="n"/>
      <c r="I3349" s="78" t="n"/>
      <c r="J3349" s="78" t="n"/>
    </row>
    <row r="3350">
      <c r="A3350" s="84">
        <f>ROW()-6</f>
        <v/>
      </c>
      <c r="B3350" s="85">
        <f>+MATCH(D3350,ARTICULOS!$F$10:$F$699,0)</f>
        <v/>
      </c>
      <c r="C3350" s="86">
        <f>+VLOOKUP(B3350,ARTICULOS!$D$10:$I$699,6)</f>
        <v/>
      </c>
      <c r="D3350" s="212" t="n"/>
      <c r="E3350" s="75">
        <f>+C3350&amp;F3350</f>
        <v/>
      </c>
      <c r="F3350" s="80" t="n"/>
      <c r="G3350" s="81" t="n"/>
      <c r="H3350" s="78" t="n"/>
      <c r="I3350" s="78" t="n"/>
      <c r="J3350" s="78" t="n"/>
    </row>
    <row r="3351">
      <c r="A3351" s="84">
        <f>ROW()-6</f>
        <v/>
      </c>
      <c r="B3351" s="85">
        <f>+MATCH(D3351,ARTICULOS!$F$10:$F$699,0)</f>
        <v/>
      </c>
      <c r="C3351" s="86">
        <f>+VLOOKUP(B3351,ARTICULOS!$D$10:$I$699,6)</f>
        <v/>
      </c>
      <c r="D3351" s="212" t="n"/>
      <c r="E3351" s="75">
        <f>+C3351&amp;F3351</f>
        <v/>
      </c>
      <c r="F3351" s="80" t="n"/>
      <c r="G3351" s="81" t="n"/>
      <c r="H3351" s="78" t="n"/>
      <c r="I3351" s="78" t="n"/>
      <c r="J3351" s="78" t="n"/>
    </row>
    <row r="3352">
      <c r="A3352" s="84">
        <f>ROW()-6</f>
        <v/>
      </c>
      <c r="B3352" s="85">
        <f>+MATCH(D3352,ARTICULOS!$F$10:$F$699,0)</f>
        <v/>
      </c>
      <c r="C3352" s="86">
        <f>+VLOOKUP(B3352,ARTICULOS!$D$10:$I$699,6)</f>
        <v/>
      </c>
      <c r="D3352" s="212" t="n"/>
      <c r="E3352" s="75">
        <f>+C3352&amp;F3352</f>
        <v/>
      </c>
      <c r="F3352" s="80" t="n"/>
      <c r="G3352" s="81" t="n"/>
      <c r="H3352" s="78" t="n"/>
      <c r="I3352" s="78" t="n"/>
      <c r="J3352" s="78" t="n"/>
    </row>
    <row r="3353">
      <c r="A3353" s="84">
        <f>ROW()-6</f>
        <v/>
      </c>
      <c r="B3353" s="85">
        <f>+MATCH(D3353,ARTICULOS!$F$10:$F$699,0)</f>
        <v/>
      </c>
      <c r="C3353" s="86">
        <f>+VLOOKUP(B3353,ARTICULOS!$D$10:$I$699,6)</f>
        <v/>
      </c>
      <c r="D3353" s="212" t="n"/>
      <c r="E3353" s="75">
        <f>+C3353&amp;F3353</f>
        <v/>
      </c>
      <c r="F3353" s="80" t="n"/>
      <c r="G3353" s="81" t="n"/>
      <c r="H3353" s="78" t="n"/>
      <c r="I3353" s="78" t="n"/>
      <c r="J3353" s="78" t="n"/>
    </row>
    <row r="3354">
      <c r="A3354" s="84">
        <f>ROW()-6</f>
        <v/>
      </c>
      <c r="B3354" s="85">
        <f>+MATCH(D3354,ARTICULOS!$F$10:$F$699,0)</f>
        <v/>
      </c>
      <c r="C3354" s="86">
        <f>+VLOOKUP(B3354,ARTICULOS!$D$10:$I$699,6)</f>
        <v/>
      </c>
      <c r="D3354" s="212" t="n"/>
      <c r="E3354" s="75">
        <f>+C3354&amp;F3354</f>
        <v/>
      </c>
      <c r="F3354" s="80" t="n"/>
      <c r="G3354" s="81" t="n"/>
      <c r="H3354" s="78" t="n"/>
      <c r="I3354" s="78" t="n"/>
      <c r="J3354" s="78" t="n"/>
    </row>
    <row r="3355">
      <c r="A3355" s="84">
        <f>ROW()-6</f>
        <v/>
      </c>
      <c r="B3355" s="85">
        <f>+MATCH(D3355,ARTICULOS!$F$10:$F$699,0)</f>
        <v/>
      </c>
      <c r="C3355" s="86">
        <f>+VLOOKUP(B3355,ARTICULOS!$D$10:$I$699,6)</f>
        <v/>
      </c>
      <c r="D3355" s="212" t="n"/>
      <c r="E3355" s="75">
        <f>+C3355&amp;F3355</f>
        <v/>
      </c>
      <c r="F3355" s="80" t="n"/>
      <c r="G3355" s="81" t="n"/>
      <c r="H3355" s="78" t="n"/>
      <c r="I3355" s="78" t="n"/>
      <c r="J3355" s="78" t="n"/>
    </row>
    <row r="3356">
      <c r="A3356" s="84">
        <f>ROW()-6</f>
        <v/>
      </c>
      <c r="B3356" s="85">
        <f>+MATCH(D3356,ARTICULOS!$F$10:$F$699,0)</f>
        <v/>
      </c>
      <c r="C3356" s="86">
        <f>+VLOOKUP(B3356,ARTICULOS!$D$10:$I$699,6)</f>
        <v/>
      </c>
      <c r="D3356" s="212" t="n"/>
      <c r="E3356" s="75">
        <f>+C3356&amp;F3356</f>
        <v/>
      </c>
      <c r="F3356" s="80" t="n"/>
      <c r="G3356" s="81" t="n"/>
      <c r="H3356" s="78" t="n"/>
      <c r="I3356" s="78" t="n"/>
      <c r="J3356" s="78" t="n"/>
    </row>
    <row r="3357">
      <c r="A3357" s="84">
        <f>ROW()-6</f>
        <v/>
      </c>
      <c r="B3357" s="85">
        <f>+MATCH(D3357,ARTICULOS!$F$10:$F$699,0)</f>
        <v/>
      </c>
      <c r="C3357" s="86">
        <f>+VLOOKUP(B3357,ARTICULOS!$D$10:$I$699,6)</f>
        <v/>
      </c>
      <c r="D3357" s="212" t="n"/>
      <c r="E3357" s="75">
        <f>+C3357&amp;F3357</f>
        <v/>
      </c>
      <c r="F3357" s="80" t="n"/>
      <c r="G3357" s="81" t="n"/>
      <c r="H3357" s="78" t="n"/>
      <c r="I3357" s="78" t="n"/>
      <c r="J3357" s="78" t="n"/>
    </row>
    <row r="3358">
      <c r="A3358" s="84">
        <f>ROW()-6</f>
        <v/>
      </c>
      <c r="B3358" s="85">
        <f>+MATCH(D3358,ARTICULOS!$F$10:$F$699,0)</f>
        <v/>
      </c>
      <c r="C3358" s="86">
        <f>+VLOOKUP(B3358,ARTICULOS!$D$10:$I$699,6)</f>
        <v/>
      </c>
      <c r="D3358" s="212" t="n"/>
      <c r="E3358" s="75">
        <f>+C3358&amp;F3358</f>
        <v/>
      </c>
      <c r="F3358" s="80" t="n"/>
      <c r="G3358" s="81" t="n"/>
      <c r="H3358" s="78" t="n"/>
      <c r="I3358" s="78" t="n"/>
      <c r="J3358" s="78" t="n"/>
    </row>
    <row r="3359">
      <c r="A3359" s="84">
        <f>ROW()-6</f>
        <v/>
      </c>
      <c r="B3359" s="85">
        <f>+MATCH(D3359,ARTICULOS!$F$10:$F$699,0)</f>
        <v/>
      </c>
      <c r="C3359" s="86">
        <f>+VLOOKUP(B3359,ARTICULOS!$D$10:$I$699,6)</f>
        <v/>
      </c>
      <c r="D3359" s="212" t="n"/>
      <c r="E3359" s="75">
        <f>+C3359&amp;F3359</f>
        <v/>
      </c>
      <c r="F3359" s="80" t="n"/>
      <c r="G3359" s="81" t="n"/>
      <c r="H3359" s="78" t="n"/>
      <c r="I3359" s="78" t="n"/>
      <c r="J3359" s="78" t="n"/>
    </row>
    <row r="3360">
      <c r="A3360" s="84">
        <f>ROW()-6</f>
        <v/>
      </c>
      <c r="B3360" s="85">
        <f>+MATCH(D3360,ARTICULOS!$F$10:$F$699,0)</f>
        <v/>
      </c>
      <c r="C3360" s="86">
        <f>+VLOOKUP(B3360,ARTICULOS!$D$10:$I$699,6)</f>
        <v/>
      </c>
      <c r="D3360" s="212" t="n"/>
      <c r="E3360" s="75">
        <f>+C3360&amp;F3360</f>
        <v/>
      </c>
      <c r="F3360" s="80" t="n"/>
      <c r="G3360" s="81" t="n"/>
      <c r="H3360" s="78" t="n"/>
      <c r="I3360" s="78" t="n"/>
      <c r="J3360" s="78" t="n"/>
    </row>
    <row r="3361">
      <c r="A3361" s="84">
        <f>ROW()-6</f>
        <v/>
      </c>
      <c r="B3361" s="85">
        <f>+MATCH(D3361,ARTICULOS!$F$10:$F$699,0)</f>
        <v/>
      </c>
      <c r="C3361" s="86">
        <f>+VLOOKUP(B3361,ARTICULOS!$D$10:$I$699,6)</f>
        <v/>
      </c>
      <c r="D3361" s="212" t="n"/>
      <c r="E3361" s="75">
        <f>+C3361&amp;F3361</f>
        <v/>
      </c>
      <c r="F3361" s="80" t="n"/>
      <c r="G3361" s="81" t="n"/>
      <c r="H3361" s="78" t="n"/>
      <c r="I3361" s="78" t="n"/>
      <c r="J3361" s="78" t="n"/>
    </row>
    <row r="3362">
      <c r="A3362" s="84">
        <f>ROW()-6</f>
        <v/>
      </c>
      <c r="B3362" s="85">
        <f>+MATCH(D3362,ARTICULOS!$F$10:$F$699,0)</f>
        <v/>
      </c>
      <c r="C3362" s="86">
        <f>+VLOOKUP(B3362,ARTICULOS!$D$10:$I$699,6)</f>
        <v/>
      </c>
      <c r="D3362" s="212" t="n"/>
      <c r="E3362" s="75">
        <f>+C3362&amp;F3362</f>
        <v/>
      </c>
      <c r="F3362" s="80" t="n"/>
      <c r="G3362" s="81" t="n"/>
      <c r="H3362" s="78" t="n"/>
      <c r="I3362" s="78" t="n"/>
      <c r="J3362" s="78" t="n"/>
    </row>
    <row r="3363">
      <c r="A3363" s="84">
        <f>ROW()-6</f>
        <v/>
      </c>
      <c r="B3363" s="85">
        <f>+MATCH(D3363,ARTICULOS!$F$10:$F$699,0)</f>
        <v/>
      </c>
      <c r="C3363" s="86">
        <f>+VLOOKUP(B3363,ARTICULOS!$D$10:$I$699,6)</f>
        <v/>
      </c>
      <c r="D3363" s="212" t="n"/>
      <c r="E3363" s="75">
        <f>+C3363&amp;F3363</f>
        <v/>
      </c>
      <c r="F3363" s="80" t="n"/>
      <c r="G3363" s="81" t="n"/>
      <c r="H3363" s="78" t="n"/>
      <c r="I3363" s="78" t="n"/>
      <c r="J3363" s="78" t="n"/>
    </row>
    <row r="3364">
      <c r="A3364" s="84">
        <f>ROW()-6</f>
        <v/>
      </c>
      <c r="B3364" s="85">
        <f>+MATCH(D3364,ARTICULOS!$F$10:$F$699,0)</f>
        <v/>
      </c>
      <c r="C3364" s="86">
        <f>+VLOOKUP(B3364,ARTICULOS!$D$10:$I$699,6)</f>
        <v/>
      </c>
      <c r="D3364" s="212" t="n"/>
      <c r="E3364" s="75">
        <f>+C3364&amp;F3364</f>
        <v/>
      </c>
      <c r="F3364" s="80" t="n"/>
      <c r="G3364" s="81" t="n"/>
      <c r="H3364" s="78" t="n"/>
      <c r="I3364" s="78" t="n"/>
      <c r="J3364" s="78" t="n"/>
    </row>
    <row r="3365">
      <c r="A3365" s="84">
        <f>ROW()-6</f>
        <v/>
      </c>
      <c r="B3365" s="85">
        <f>+MATCH(D3365,ARTICULOS!$F$10:$F$699,0)</f>
        <v/>
      </c>
      <c r="C3365" s="86">
        <f>+VLOOKUP(B3365,ARTICULOS!$D$10:$I$699,6)</f>
        <v/>
      </c>
      <c r="D3365" s="212" t="n"/>
      <c r="E3365" s="75">
        <f>+C3365&amp;F3365</f>
        <v/>
      </c>
      <c r="F3365" s="80" t="n"/>
      <c r="G3365" s="81" t="n"/>
      <c r="H3365" s="78" t="n"/>
      <c r="I3365" s="78" t="n"/>
      <c r="J3365" s="78" t="n"/>
    </row>
    <row r="3366">
      <c r="A3366" s="84">
        <f>ROW()-6</f>
        <v/>
      </c>
      <c r="B3366" s="85">
        <f>+MATCH(D3366,ARTICULOS!$F$10:$F$699,0)</f>
        <v/>
      </c>
      <c r="C3366" s="86">
        <f>+VLOOKUP(B3366,ARTICULOS!$D$10:$I$699,6)</f>
        <v/>
      </c>
      <c r="D3366" s="212" t="n"/>
      <c r="E3366" s="75">
        <f>+C3366&amp;F3366</f>
        <v/>
      </c>
      <c r="F3366" s="80" t="n"/>
      <c r="G3366" s="81" t="n"/>
      <c r="H3366" s="78" t="n"/>
      <c r="I3366" s="78" t="n"/>
      <c r="J3366" s="78" t="n"/>
    </row>
    <row r="3367">
      <c r="A3367" s="84">
        <f>ROW()-6</f>
        <v/>
      </c>
      <c r="B3367" s="85">
        <f>+MATCH(D3367,ARTICULOS!$F$10:$F$699,0)</f>
        <v/>
      </c>
      <c r="C3367" s="86">
        <f>+VLOOKUP(B3367,ARTICULOS!$D$10:$I$699,6)</f>
        <v/>
      </c>
      <c r="D3367" s="212" t="n"/>
      <c r="E3367" s="75">
        <f>+C3367&amp;F3367</f>
        <v/>
      </c>
      <c r="F3367" s="80" t="n"/>
      <c r="G3367" s="81" t="n"/>
      <c r="H3367" s="78" t="n"/>
      <c r="I3367" s="78" t="n"/>
      <c r="J3367" s="78" t="n"/>
    </row>
    <row r="3368">
      <c r="A3368" s="84">
        <f>ROW()-6</f>
        <v/>
      </c>
      <c r="B3368" s="85">
        <f>+MATCH(D3368,ARTICULOS!$F$10:$F$699,0)</f>
        <v/>
      </c>
      <c r="C3368" s="86">
        <f>+VLOOKUP(B3368,ARTICULOS!$D$10:$I$699,6)</f>
        <v/>
      </c>
      <c r="D3368" s="212" t="n"/>
      <c r="E3368" s="75">
        <f>+C3368&amp;F3368</f>
        <v/>
      </c>
      <c r="F3368" s="80" t="n"/>
      <c r="G3368" s="81" t="n"/>
      <c r="H3368" s="78" t="n"/>
      <c r="I3368" s="78" t="n"/>
      <c r="J3368" s="78" t="n"/>
    </row>
    <row r="3369">
      <c r="A3369" s="84">
        <f>ROW()-6</f>
        <v/>
      </c>
      <c r="B3369" s="85">
        <f>+MATCH(D3369,ARTICULOS!$F$10:$F$699,0)</f>
        <v/>
      </c>
      <c r="C3369" s="86">
        <f>+VLOOKUP(B3369,ARTICULOS!$D$10:$I$699,6)</f>
        <v/>
      </c>
      <c r="D3369" s="212" t="n"/>
      <c r="E3369" s="75">
        <f>+C3369&amp;F3369</f>
        <v/>
      </c>
      <c r="F3369" s="80" t="n"/>
      <c r="G3369" s="81" t="n"/>
      <c r="H3369" s="78" t="n"/>
      <c r="I3369" s="78" t="n"/>
      <c r="J3369" s="78" t="n"/>
    </row>
    <row r="3370">
      <c r="A3370" s="84">
        <f>ROW()-6</f>
        <v/>
      </c>
      <c r="B3370" s="85">
        <f>+MATCH(D3370,ARTICULOS!$F$10:$F$699,0)</f>
        <v/>
      </c>
      <c r="C3370" s="86">
        <f>+VLOOKUP(B3370,ARTICULOS!$D$10:$I$699,6)</f>
        <v/>
      </c>
      <c r="D3370" s="212" t="n"/>
      <c r="E3370" s="75">
        <f>+C3370&amp;F3370</f>
        <v/>
      </c>
      <c r="F3370" s="80" t="n"/>
      <c r="G3370" s="81" t="n"/>
      <c r="H3370" s="78" t="n"/>
      <c r="I3370" s="78" t="n"/>
      <c r="J3370" s="78" t="n"/>
    </row>
    <row r="3371">
      <c r="A3371" s="84">
        <f>ROW()-6</f>
        <v/>
      </c>
      <c r="B3371" s="85">
        <f>+MATCH(D3371,ARTICULOS!$F$10:$F$699,0)</f>
        <v/>
      </c>
      <c r="C3371" s="86">
        <f>+VLOOKUP(B3371,ARTICULOS!$D$10:$I$699,6)</f>
        <v/>
      </c>
      <c r="D3371" s="212" t="n"/>
      <c r="E3371" s="75">
        <f>+C3371&amp;F3371</f>
        <v/>
      </c>
      <c r="F3371" s="80" t="n"/>
      <c r="G3371" s="81" t="n"/>
      <c r="H3371" s="78" t="n"/>
      <c r="I3371" s="78" t="n"/>
      <c r="J3371" s="78" t="n"/>
    </row>
    <row r="3372">
      <c r="A3372" s="84">
        <f>ROW()-6</f>
        <v/>
      </c>
      <c r="B3372" s="85">
        <f>+MATCH(D3372,ARTICULOS!$F$10:$F$699,0)</f>
        <v/>
      </c>
      <c r="C3372" s="86">
        <f>+VLOOKUP(B3372,ARTICULOS!$D$10:$I$699,6)</f>
        <v/>
      </c>
      <c r="D3372" s="212" t="n"/>
      <c r="E3372" s="75">
        <f>+C3372&amp;F3372</f>
        <v/>
      </c>
      <c r="F3372" s="80" t="n"/>
      <c r="G3372" s="81" t="n"/>
      <c r="H3372" s="78" t="n"/>
      <c r="I3372" s="78" t="n"/>
      <c r="J3372" s="78" t="n"/>
    </row>
    <row r="3373">
      <c r="A3373" s="84">
        <f>ROW()-6</f>
        <v/>
      </c>
      <c r="B3373" s="85">
        <f>+MATCH(D3373,ARTICULOS!$F$10:$F$699,0)</f>
        <v/>
      </c>
      <c r="C3373" s="86">
        <f>+VLOOKUP(B3373,ARTICULOS!$D$10:$I$699,6)</f>
        <v/>
      </c>
      <c r="D3373" s="212" t="n"/>
      <c r="E3373" s="75">
        <f>+C3373&amp;F3373</f>
        <v/>
      </c>
      <c r="F3373" s="80" t="n"/>
      <c r="G3373" s="81" t="n"/>
      <c r="H3373" s="78" t="n"/>
      <c r="I3373" s="78" t="n"/>
      <c r="J3373" s="78" t="n"/>
    </row>
    <row r="3374">
      <c r="A3374" s="84">
        <f>ROW()-6</f>
        <v/>
      </c>
      <c r="B3374" s="85">
        <f>+MATCH(D3374,ARTICULOS!$F$10:$F$699,0)</f>
        <v/>
      </c>
      <c r="C3374" s="86">
        <f>+VLOOKUP(B3374,ARTICULOS!$D$10:$I$699,6)</f>
        <v/>
      </c>
      <c r="D3374" s="212" t="n"/>
      <c r="E3374" s="75">
        <f>+C3374&amp;F3374</f>
        <v/>
      </c>
      <c r="F3374" s="80" t="n"/>
      <c r="G3374" s="81" t="n"/>
      <c r="H3374" s="78" t="n"/>
      <c r="I3374" s="78" t="n"/>
      <c r="J3374" s="78" t="n"/>
    </row>
    <row r="3375">
      <c r="A3375" s="84">
        <f>ROW()-6</f>
        <v/>
      </c>
      <c r="B3375" s="85">
        <f>+MATCH(D3375,ARTICULOS!$F$10:$F$699,0)</f>
        <v/>
      </c>
      <c r="C3375" s="86">
        <f>+VLOOKUP(B3375,ARTICULOS!$D$10:$I$699,6)</f>
        <v/>
      </c>
      <c r="D3375" s="212" t="n"/>
      <c r="E3375" s="75">
        <f>+C3375&amp;F3375</f>
        <v/>
      </c>
      <c r="F3375" s="80" t="n"/>
      <c r="G3375" s="81" t="n"/>
      <c r="H3375" s="78" t="n"/>
      <c r="I3375" s="78" t="n"/>
      <c r="J3375" s="78" t="n"/>
    </row>
    <row r="3376">
      <c r="A3376" s="84">
        <f>ROW()-6</f>
        <v/>
      </c>
      <c r="B3376" s="85">
        <f>+MATCH(D3376,ARTICULOS!$F$10:$F$699,0)</f>
        <v/>
      </c>
      <c r="C3376" s="86">
        <f>+VLOOKUP(B3376,ARTICULOS!$D$10:$I$699,6)</f>
        <v/>
      </c>
      <c r="D3376" s="212" t="n"/>
      <c r="E3376" s="75">
        <f>+C3376&amp;F3376</f>
        <v/>
      </c>
      <c r="F3376" s="80" t="n"/>
      <c r="G3376" s="81" t="n"/>
      <c r="H3376" s="78" t="n"/>
      <c r="I3376" s="78" t="n"/>
      <c r="J3376" s="78" t="n"/>
    </row>
    <row r="3377">
      <c r="A3377" s="84">
        <f>ROW()-6</f>
        <v/>
      </c>
      <c r="B3377" s="85">
        <f>+MATCH(D3377,ARTICULOS!$F$10:$F$699,0)</f>
        <v/>
      </c>
      <c r="C3377" s="86">
        <f>+VLOOKUP(B3377,ARTICULOS!$D$10:$I$699,6)</f>
        <v/>
      </c>
      <c r="D3377" s="212" t="n"/>
      <c r="E3377" s="75">
        <f>+C3377&amp;F3377</f>
        <v/>
      </c>
      <c r="F3377" s="80" t="n"/>
      <c r="G3377" s="81" t="n"/>
      <c r="H3377" s="78" t="n"/>
      <c r="I3377" s="78" t="n"/>
      <c r="J3377" s="78" t="n"/>
    </row>
    <row r="3378">
      <c r="A3378" s="84">
        <f>ROW()-6</f>
        <v/>
      </c>
      <c r="B3378" s="85">
        <f>+MATCH(D3378,ARTICULOS!$F$10:$F$699,0)</f>
        <v/>
      </c>
      <c r="C3378" s="86">
        <f>+VLOOKUP(B3378,ARTICULOS!$D$10:$I$699,6)</f>
        <v/>
      </c>
      <c r="D3378" s="212" t="n"/>
      <c r="E3378" s="75">
        <f>+C3378&amp;F3378</f>
        <v/>
      </c>
      <c r="F3378" s="80" t="n"/>
      <c r="G3378" s="81" t="n"/>
      <c r="H3378" s="78" t="n"/>
      <c r="I3378" s="78" t="n"/>
      <c r="J3378" s="78" t="n"/>
    </row>
    <row r="3379">
      <c r="A3379" s="84">
        <f>ROW()-6</f>
        <v/>
      </c>
      <c r="B3379" s="85">
        <f>+MATCH(D3379,ARTICULOS!$F$10:$F$699,0)</f>
        <v/>
      </c>
      <c r="C3379" s="86">
        <f>+VLOOKUP(B3379,ARTICULOS!$D$10:$I$699,6)</f>
        <v/>
      </c>
      <c r="D3379" s="212" t="n"/>
      <c r="E3379" s="75">
        <f>+C3379&amp;F3379</f>
        <v/>
      </c>
      <c r="F3379" s="80" t="n"/>
      <c r="G3379" s="81" t="n"/>
      <c r="H3379" s="78" t="n"/>
      <c r="I3379" s="78" t="n"/>
      <c r="J3379" s="78" t="n"/>
    </row>
    <row r="3380">
      <c r="A3380" s="84">
        <f>ROW()-6</f>
        <v/>
      </c>
      <c r="B3380" s="85">
        <f>+MATCH(D3380,ARTICULOS!$F$10:$F$699,0)</f>
        <v/>
      </c>
      <c r="C3380" s="86">
        <f>+VLOOKUP(B3380,ARTICULOS!$D$10:$I$699,6)</f>
        <v/>
      </c>
      <c r="D3380" s="212" t="n"/>
      <c r="E3380" s="75">
        <f>+C3380&amp;F3380</f>
        <v/>
      </c>
      <c r="F3380" s="80" t="n"/>
      <c r="G3380" s="81" t="n"/>
      <c r="H3380" s="78" t="n"/>
      <c r="I3380" s="78" t="n"/>
      <c r="J3380" s="78" t="n"/>
    </row>
    <row r="3381">
      <c r="A3381" s="84">
        <f>ROW()-6</f>
        <v/>
      </c>
      <c r="B3381" s="85">
        <f>+MATCH(D3381,ARTICULOS!$F$10:$F$699,0)</f>
        <v/>
      </c>
      <c r="C3381" s="86">
        <f>+VLOOKUP(B3381,ARTICULOS!$D$10:$I$699,6)</f>
        <v/>
      </c>
      <c r="D3381" s="212" t="n"/>
      <c r="E3381" s="75">
        <f>+C3381&amp;F3381</f>
        <v/>
      </c>
      <c r="F3381" s="80" t="n"/>
      <c r="G3381" s="81" t="n"/>
      <c r="H3381" s="78" t="n"/>
      <c r="I3381" s="78" t="n"/>
      <c r="J3381" s="78" t="n"/>
    </row>
    <row r="3382">
      <c r="A3382" s="84">
        <f>ROW()-6</f>
        <v/>
      </c>
      <c r="B3382" s="85">
        <f>+MATCH(D3382,ARTICULOS!$F$10:$F$699,0)</f>
        <v/>
      </c>
      <c r="C3382" s="86">
        <f>+VLOOKUP(B3382,ARTICULOS!$D$10:$I$699,6)</f>
        <v/>
      </c>
      <c r="D3382" s="212" t="n"/>
      <c r="E3382" s="75">
        <f>+C3382&amp;F3382</f>
        <v/>
      </c>
      <c r="F3382" s="80" t="n"/>
      <c r="G3382" s="81" t="n"/>
      <c r="H3382" s="78" t="n"/>
      <c r="I3382" s="78" t="n"/>
      <c r="J3382" s="78" t="n"/>
    </row>
    <row r="3383">
      <c r="A3383" s="84">
        <f>ROW()-6</f>
        <v/>
      </c>
      <c r="B3383" s="85">
        <f>+MATCH(D3383,ARTICULOS!$F$10:$F$699,0)</f>
        <v/>
      </c>
      <c r="C3383" s="86">
        <f>+VLOOKUP(B3383,ARTICULOS!$D$10:$I$699,6)</f>
        <v/>
      </c>
      <c r="D3383" s="212" t="n"/>
      <c r="E3383" s="75">
        <f>+C3383&amp;F3383</f>
        <v/>
      </c>
      <c r="F3383" s="80" t="n"/>
      <c r="G3383" s="81" t="n"/>
      <c r="H3383" s="78" t="n"/>
      <c r="I3383" s="78" t="n"/>
      <c r="J3383" s="78" t="n"/>
    </row>
    <row r="3384">
      <c r="A3384" s="84">
        <f>ROW()-6</f>
        <v/>
      </c>
      <c r="B3384" s="85">
        <f>+MATCH(D3384,ARTICULOS!$F$10:$F$699,0)</f>
        <v/>
      </c>
      <c r="C3384" s="86">
        <f>+VLOOKUP(B3384,ARTICULOS!$D$10:$I$699,6)</f>
        <v/>
      </c>
      <c r="D3384" s="212" t="n"/>
      <c r="E3384" s="75">
        <f>+C3384&amp;F3384</f>
        <v/>
      </c>
      <c r="F3384" s="80" t="n"/>
      <c r="G3384" s="81" t="n"/>
      <c r="H3384" s="78" t="n"/>
      <c r="I3384" s="78" t="n"/>
      <c r="J3384" s="78" t="n"/>
    </row>
    <row r="3385">
      <c r="A3385" s="84">
        <f>ROW()-6</f>
        <v/>
      </c>
      <c r="B3385" s="85">
        <f>+MATCH(D3385,ARTICULOS!$F$10:$F$699,0)</f>
        <v/>
      </c>
      <c r="C3385" s="86">
        <f>+VLOOKUP(B3385,ARTICULOS!$D$10:$I$699,6)</f>
        <v/>
      </c>
      <c r="D3385" s="212" t="n"/>
      <c r="E3385" s="75">
        <f>+C3385&amp;F3385</f>
        <v/>
      </c>
      <c r="F3385" s="80" t="n"/>
      <c r="G3385" s="81" t="n"/>
      <c r="H3385" s="78" t="n"/>
      <c r="I3385" s="78" t="n"/>
      <c r="J3385" s="78" t="n"/>
    </row>
    <row r="3386">
      <c r="A3386" s="84">
        <f>ROW()-6</f>
        <v/>
      </c>
      <c r="B3386" s="85">
        <f>+MATCH(D3386,ARTICULOS!$F$10:$F$699,0)</f>
        <v/>
      </c>
      <c r="C3386" s="86">
        <f>+VLOOKUP(B3386,ARTICULOS!$D$10:$I$699,6)</f>
        <v/>
      </c>
      <c r="D3386" s="212" t="n"/>
      <c r="E3386" s="75">
        <f>+C3386&amp;F3386</f>
        <v/>
      </c>
      <c r="F3386" s="80" t="n"/>
      <c r="G3386" s="81" t="n"/>
      <c r="H3386" s="78" t="n"/>
      <c r="I3386" s="78" t="n"/>
      <c r="J3386" s="78" t="n"/>
    </row>
    <row r="3387">
      <c r="A3387" s="84">
        <f>ROW()-6</f>
        <v/>
      </c>
      <c r="B3387" s="85">
        <f>+MATCH(D3387,ARTICULOS!$F$10:$F$699,0)</f>
        <v/>
      </c>
      <c r="C3387" s="86">
        <f>+VLOOKUP(B3387,ARTICULOS!$D$10:$I$699,6)</f>
        <v/>
      </c>
      <c r="D3387" s="212" t="n"/>
      <c r="E3387" s="75">
        <f>+C3387&amp;F3387</f>
        <v/>
      </c>
      <c r="F3387" s="80" t="n"/>
      <c r="G3387" s="81" t="n"/>
      <c r="H3387" s="78" t="n"/>
      <c r="I3387" s="78" t="n"/>
      <c r="J3387" s="78" t="n"/>
    </row>
    <row r="3388">
      <c r="A3388" s="84">
        <f>ROW()-6</f>
        <v/>
      </c>
      <c r="B3388" s="85">
        <f>+MATCH(D3388,ARTICULOS!$F$10:$F$699,0)</f>
        <v/>
      </c>
      <c r="C3388" s="86">
        <f>+VLOOKUP(B3388,ARTICULOS!$D$10:$I$699,6)</f>
        <v/>
      </c>
      <c r="D3388" s="212" t="n"/>
      <c r="E3388" s="75">
        <f>+C3388&amp;F3388</f>
        <v/>
      </c>
      <c r="F3388" s="80" t="n"/>
      <c r="G3388" s="81" t="n"/>
      <c r="H3388" s="78" t="n"/>
      <c r="I3388" s="78" t="n"/>
      <c r="J3388" s="78" t="n"/>
    </row>
    <row r="3389">
      <c r="A3389" s="84">
        <f>ROW()-6</f>
        <v/>
      </c>
      <c r="B3389" s="85">
        <f>+MATCH(D3389,ARTICULOS!$F$10:$F$699,0)</f>
        <v/>
      </c>
      <c r="C3389" s="86">
        <f>+VLOOKUP(B3389,ARTICULOS!$D$10:$I$699,6)</f>
        <v/>
      </c>
      <c r="D3389" s="212" t="n"/>
      <c r="E3389" s="75">
        <f>+C3389&amp;F3389</f>
        <v/>
      </c>
      <c r="F3389" s="80" t="n"/>
      <c r="G3389" s="81" t="n"/>
      <c r="H3389" s="78" t="n"/>
      <c r="I3389" s="78" t="n"/>
      <c r="J3389" s="78" t="n"/>
    </row>
    <row r="3390">
      <c r="A3390" s="84">
        <f>ROW()-6</f>
        <v/>
      </c>
      <c r="B3390" s="85">
        <f>+MATCH(D3390,ARTICULOS!$F$10:$F$699,0)</f>
        <v/>
      </c>
      <c r="C3390" s="86">
        <f>+VLOOKUP(B3390,ARTICULOS!$D$10:$I$699,6)</f>
        <v/>
      </c>
      <c r="D3390" s="212" t="n"/>
      <c r="E3390" s="75">
        <f>+C3390&amp;F3390</f>
        <v/>
      </c>
      <c r="F3390" s="80" t="n"/>
      <c r="G3390" s="81" t="n"/>
      <c r="H3390" s="78" t="n"/>
      <c r="I3390" s="78" t="n"/>
      <c r="J3390" s="78" t="n"/>
    </row>
    <row r="3391">
      <c r="A3391" s="84">
        <f>ROW()-6</f>
        <v/>
      </c>
      <c r="B3391" s="85">
        <f>+MATCH(D3391,ARTICULOS!$F$10:$F$699,0)</f>
        <v/>
      </c>
      <c r="C3391" s="86">
        <f>+VLOOKUP(B3391,ARTICULOS!$D$10:$I$699,6)</f>
        <v/>
      </c>
      <c r="D3391" s="212" t="n"/>
      <c r="E3391" s="75">
        <f>+C3391&amp;F3391</f>
        <v/>
      </c>
      <c r="F3391" s="80" t="n"/>
      <c r="G3391" s="81" t="n"/>
      <c r="H3391" s="78" t="n"/>
      <c r="I3391" s="78" t="n"/>
      <c r="J3391" s="78" t="n"/>
    </row>
    <row r="3392">
      <c r="A3392" s="84">
        <f>ROW()-6</f>
        <v/>
      </c>
      <c r="B3392" s="85">
        <f>+MATCH(D3392,ARTICULOS!$F$10:$F$699,0)</f>
        <v/>
      </c>
      <c r="C3392" s="86">
        <f>+VLOOKUP(B3392,ARTICULOS!$D$10:$I$699,6)</f>
        <v/>
      </c>
      <c r="D3392" s="212" t="n"/>
      <c r="E3392" s="75">
        <f>+C3392&amp;F3392</f>
        <v/>
      </c>
      <c r="F3392" s="80" t="n"/>
      <c r="G3392" s="81" t="n"/>
      <c r="H3392" s="78" t="n"/>
      <c r="I3392" s="78" t="n"/>
      <c r="J3392" s="78" t="n"/>
    </row>
    <row r="3393">
      <c r="A3393" s="84">
        <f>ROW()-6</f>
        <v/>
      </c>
      <c r="B3393" s="85">
        <f>+MATCH(D3393,ARTICULOS!$F$10:$F$699,0)</f>
        <v/>
      </c>
      <c r="C3393" s="86">
        <f>+VLOOKUP(B3393,ARTICULOS!$D$10:$I$699,6)</f>
        <v/>
      </c>
      <c r="D3393" s="212" t="n"/>
      <c r="E3393" s="75">
        <f>+C3393&amp;F3393</f>
        <v/>
      </c>
      <c r="F3393" s="80" t="n"/>
      <c r="G3393" s="81" t="n"/>
      <c r="H3393" s="78" t="n"/>
      <c r="I3393" s="78" t="n"/>
      <c r="J3393" s="78" t="n"/>
    </row>
    <row r="3394">
      <c r="A3394" s="84">
        <f>ROW()-6</f>
        <v/>
      </c>
      <c r="B3394" s="85">
        <f>+MATCH(D3394,ARTICULOS!$F$10:$F$699,0)</f>
        <v/>
      </c>
      <c r="C3394" s="86">
        <f>+VLOOKUP(B3394,ARTICULOS!$D$10:$I$699,6)</f>
        <v/>
      </c>
      <c r="D3394" s="212" t="n"/>
      <c r="E3394" s="75">
        <f>+C3394&amp;F3394</f>
        <v/>
      </c>
      <c r="F3394" s="80" t="n"/>
      <c r="G3394" s="81" t="n"/>
      <c r="H3394" s="78" t="n"/>
      <c r="I3394" s="78" t="n"/>
      <c r="J3394" s="78" t="n"/>
    </row>
    <row r="3395">
      <c r="A3395" s="84">
        <f>ROW()-6</f>
        <v/>
      </c>
      <c r="B3395" s="85">
        <f>+MATCH(D3395,ARTICULOS!$F$10:$F$699,0)</f>
        <v/>
      </c>
      <c r="C3395" s="86">
        <f>+VLOOKUP(B3395,ARTICULOS!$D$10:$I$699,6)</f>
        <v/>
      </c>
      <c r="D3395" s="212" t="n"/>
      <c r="E3395" s="75">
        <f>+C3395&amp;F3395</f>
        <v/>
      </c>
      <c r="F3395" s="80" t="n"/>
      <c r="G3395" s="81" t="n"/>
      <c r="H3395" s="78" t="n"/>
      <c r="I3395" s="78" t="n"/>
      <c r="J3395" s="78" t="n"/>
    </row>
    <row r="3396">
      <c r="A3396" s="84">
        <f>ROW()-6</f>
        <v/>
      </c>
      <c r="B3396" s="85">
        <f>+MATCH(D3396,ARTICULOS!$F$10:$F$699,0)</f>
        <v/>
      </c>
      <c r="C3396" s="86">
        <f>+VLOOKUP(B3396,ARTICULOS!$D$10:$I$699,6)</f>
        <v/>
      </c>
      <c r="D3396" s="212" t="n"/>
      <c r="E3396" s="75">
        <f>+C3396&amp;F3396</f>
        <v/>
      </c>
      <c r="F3396" s="80" t="n"/>
      <c r="G3396" s="81" t="n"/>
      <c r="H3396" s="78" t="n"/>
      <c r="I3396" s="78" t="n"/>
      <c r="J3396" s="78" t="n"/>
    </row>
    <row r="3397">
      <c r="A3397" s="84">
        <f>ROW()-6</f>
        <v/>
      </c>
      <c r="B3397" s="85">
        <f>+MATCH(D3397,ARTICULOS!$F$10:$F$699,0)</f>
        <v/>
      </c>
      <c r="C3397" s="86">
        <f>+VLOOKUP(B3397,ARTICULOS!$D$10:$I$699,6)</f>
        <v/>
      </c>
      <c r="D3397" s="212" t="n"/>
      <c r="E3397" s="75">
        <f>+C3397&amp;F3397</f>
        <v/>
      </c>
      <c r="F3397" s="80" t="n"/>
      <c r="G3397" s="81" t="n"/>
      <c r="H3397" s="78" t="n"/>
      <c r="I3397" s="78" t="n"/>
      <c r="J3397" s="78" t="n"/>
    </row>
    <row r="3398">
      <c r="A3398" s="84">
        <f>ROW()-6</f>
        <v/>
      </c>
      <c r="B3398" s="85">
        <f>+MATCH(D3398,ARTICULOS!$F$10:$F$699,0)</f>
        <v/>
      </c>
      <c r="C3398" s="86">
        <f>+VLOOKUP(B3398,ARTICULOS!$D$10:$I$699,6)</f>
        <v/>
      </c>
      <c r="D3398" s="212" t="n"/>
      <c r="E3398" s="75">
        <f>+C3398&amp;F3398</f>
        <v/>
      </c>
      <c r="F3398" s="80" t="n"/>
      <c r="G3398" s="81" t="n"/>
      <c r="H3398" s="78" t="n"/>
      <c r="I3398" s="78" t="n"/>
      <c r="J3398" s="78" t="n"/>
    </row>
    <row r="3399">
      <c r="A3399" s="84">
        <f>ROW()-6</f>
        <v/>
      </c>
      <c r="B3399" s="85">
        <f>+MATCH(D3399,ARTICULOS!$F$10:$F$699,0)</f>
        <v/>
      </c>
      <c r="C3399" s="86">
        <f>+VLOOKUP(B3399,ARTICULOS!$D$10:$I$699,6)</f>
        <v/>
      </c>
      <c r="D3399" s="212" t="n"/>
      <c r="E3399" s="75">
        <f>+C3399&amp;F3399</f>
        <v/>
      </c>
      <c r="F3399" s="80" t="n"/>
      <c r="G3399" s="81" t="n"/>
      <c r="H3399" s="78" t="n"/>
      <c r="I3399" s="78" t="n"/>
      <c r="J3399" s="78" t="n"/>
    </row>
    <row r="3400">
      <c r="A3400" s="84">
        <f>ROW()-6</f>
        <v/>
      </c>
      <c r="B3400" s="85">
        <f>+MATCH(D3400,ARTICULOS!$F$10:$F$699,0)</f>
        <v/>
      </c>
      <c r="C3400" s="86">
        <f>+VLOOKUP(B3400,ARTICULOS!$D$10:$I$699,6)</f>
        <v/>
      </c>
      <c r="D3400" s="212" t="n"/>
      <c r="E3400" s="75">
        <f>+C3400&amp;F3400</f>
        <v/>
      </c>
      <c r="F3400" s="80" t="n"/>
      <c r="G3400" s="81" t="n"/>
      <c r="H3400" s="78" t="n"/>
      <c r="I3400" s="78" t="n"/>
      <c r="J3400" s="78" t="n"/>
    </row>
    <row r="3401">
      <c r="A3401" s="84">
        <f>ROW()-6</f>
        <v/>
      </c>
      <c r="B3401" s="85">
        <f>+MATCH(D3401,ARTICULOS!$F$10:$F$699,0)</f>
        <v/>
      </c>
      <c r="C3401" s="86">
        <f>+VLOOKUP(B3401,ARTICULOS!$D$10:$I$699,6)</f>
        <v/>
      </c>
      <c r="D3401" s="212" t="n"/>
      <c r="E3401" s="75">
        <f>+C3401&amp;F3401</f>
        <v/>
      </c>
      <c r="F3401" s="80" t="n"/>
      <c r="G3401" s="81" t="n"/>
      <c r="H3401" s="78" t="n"/>
      <c r="I3401" s="78" t="n"/>
      <c r="J3401" s="78" t="n"/>
    </row>
    <row r="3402">
      <c r="A3402" s="84">
        <f>ROW()-6</f>
        <v/>
      </c>
      <c r="B3402" s="85">
        <f>+MATCH(D3402,ARTICULOS!$F$10:$F$699,0)</f>
        <v/>
      </c>
      <c r="C3402" s="86">
        <f>+VLOOKUP(B3402,ARTICULOS!$D$10:$I$699,6)</f>
        <v/>
      </c>
      <c r="D3402" s="212" t="n"/>
      <c r="E3402" s="75">
        <f>+C3402&amp;F3402</f>
        <v/>
      </c>
      <c r="F3402" s="80" t="n"/>
      <c r="G3402" s="81" t="n"/>
      <c r="H3402" s="78" t="n"/>
      <c r="I3402" s="78" t="n"/>
      <c r="J3402" s="78" t="n"/>
    </row>
    <row r="3403">
      <c r="A3403" s="84">
        <f>ROW()-6</f>
        <v/>
      </c>
      <c r="B3403" s="85">
        <f>+MATCH(D3403,ARTICULOS!$F$10:$F$699,0)</f>
        <v/>
      </c>
      <c r="C3403" s="86">
        <f>+VLOOKUP(B3403,ARTICULOS!$D$10:$I$699,6)</f>
        <v/>
      </c>
      <c r="D3403" s="212" t="n"/>
      <c r="E3403" s="75">
        <f>+C3403&amp;F3403</f>
        <v/>
      </c>
      <c r="F3403" s="80" t="n"/>
      <c r="G3403" s="81" t="n"/>
      <c r="H3403" s="78" t="n"/>
      <c r="I3403" s="78" t="n"/>
      <c r="J3403" s="78" t="n"/>
    </row>
    <row r="3404">
      <c r="A3404" s="84">
        <f>ROW()-6</f>
        <v/>
      </c>
      <c r="B3404" s="85">
        <f>+MATCH(D3404,ARTICULOS!$F$10:$F$699,0)</f>
        <v/>
      </c>
      <c r="C3404" s="86">
        <f>+VLOOKUP(B3404,ARTICULOS!$D$10:$I$699,6)</f>
        <v/>
      </c>
      <c r="D3404" s="212" t="n"/>
      <c r="E3404" s="75">
        <f>+C3404&amp;F3404</f>
        <v/>
      </c>
      <c r="F3404" s="80" t="n"/>
      <c r="G3404" s="81" t="n"/>
      <c r="H3404" s="78" t="n"/>
      <c r="I3404" s="78" t="n"/>
      <c r="J3404" s="78" t="n"/>
    </row>
    <row r="3405">
      <c r="A3405" s="84">
        <f>ROW()-6</f>
        <v/>
      </c>
      <c r="B3405" s="85">
        <f>+MATCH(D3405,ARTICULOS!$F$10:$F$699,0)</f>
        <v/>
      </c>
      <c r="C3405" s="86">
        <f>+VLOOKUP(B3405,ARTICULOS!$D$10:$I$699,6)</f>
        <v/>
      </c>
      <c r="D3405" s="212" t="n"/>
      <c r="E3405" s="75">
        <f>+C3405&amp;F3405</f>
        <v/>
      </c>
      <c r="F3405" s="80" t="n"/>
      <c r="G3405" s="81" t="n"/>
      <c r="H3405" s="78" t="n"/>
      <c r="I3405" s="78" t="n"/>
      <c r="J3405" s="78" t="n"/>
    </row>
    <row r="3406">
      <c r="A3406" s="84">
        <f>ROW()-6</f>
        <v/>
      </c>
      <c r="B3406" s="85">
        <f>+MATCH(D3406,ARTICULOS!$F$10:$F$699,0)</f>
        <v/>
      </c>
      <c r="C3406" s="86">
        <f>+VLOOKUP(B3406,ARTICULOS!$D$10:$I$699,6)</f>
        <v/>
      </c>
      <c r="D3406" s="212" t="n"/>
      <c r="E3406" s="75">
        <f>+C3406&amp;F3406</f>
        <v/>
      </c>
      <c r="F3406" s="80" t="n"/>
      <c r="G3406" s="81" t="n"/>
      <c r="H3406" s="78" t="n"/>
      <c r="I3406" s="78" t="n"/>
      <c r="J3406" s="78" t="n"/>
    </row>
    <row r="3407">
      <c r="A3407" s="84">
        <f>ROW()-6</f>
        <v/>
      </c>
      <c r="B3407" s="85">
        <f>+MATCH(D3407,ARTICULOS!$F$10:$F$699,0)</f>
        <v/>
      </c>
      <c r="C3407" s="86">
        <f>+VLOOKUP(B3407,ARTICULOS!$D$10:$I$699,6)</f>
        <v/>
      </c>
      <c r="D3407" s="212" t="n"/>
      <c r="E3407" s="75">
        <f>+C3407&amp;F3407</f>
        <v/>
      </c>
      <c r="F3407" s="80" t="n"/>
      <c r="G3407" s="81" t="n"/>
      <c r="H3407" s="78" t="n"/>
      <c r="I3407" s="78" t="n"/>
      <c r="J3407" s="78" t="n"/>
    </row>
    <row r="3408">
      <c r="A3408" s="84">
        <f>ROW()-6</f>
        <v/>
      </c>
      <c r="B3408" s="85">
        <f>+MATCH(D3408,ARTICULOS!$F$10:$F$699,0)</f>
        <v/>
      </c>
      <c r="C3408" s="86">
        <f>+VLOOKUP(B3408,ARTICULOS!$D$10:$I$699,6)</f>
        <v/>
      </c>
      <c r="D3408" s="212" t="n"/>
      <c r="E3408" s="75">
        <f>+C3408&amp;F3408</f>
        <v/>
      </c>
      <c r="F3408" s="80" t="n"/>
      <c r="G3408" s="81" t="n"/>
      <c r="H3408" s="78" t="n"/>
      <c r="I3408" s="78" t="n"/>
      <c r="J3408" s="78" t="n"/>
    </row>
    <row r="3409">
      <c r="A3409" s="84">
        <f>ROW()-6</f>
        <v/>
      </c>
      <c r="B3409" s="85">
        <f>+MATCH(D3409,ARTICULOS!$F$10:$F$699,0)</f>
        <v/>
      </c>
      <c r="C3409" s="86">
        <f>+VLOOKUP(B3409,ARTICULOS!$D$10:$I$699,6)</f>
        <v/>
      </c>
      <c r="D3409" s="212" t="n"/>
      <c r="E3409" s="75">
        <f>+C3409&amp;F3409</f>
        <v/>
      </c>
      <c r="F3409" s="80" t="n"/>
      <c r="G3409" s="81" t="n"/>
      <c r="H3409" s="78" t="n"/>
      <c r="I3409" s="78" t="n"/>
      <c r="J3409" s="78" t="n"/>
    </row>
    <row r="3410">
      <c r="A3410" s="84">
        <f>ROW()-6</f>
        <v/>
      </c>
      <c r="B3410" s="85">
        <f>+MATCH(D3410,ARTICULOS!$F$10:$F$699,0)</f>
        <v/>
      </c>
      <c r="C3410" s="86">
        <f>+VLOOKUP(B3410,ARTICULOS!$D$10:$I$699,6)</f>
        <v/>
      </c>
      <c r="D3410" s="212" t="n"/>
      <c r="E3410" s="75">
        <f>+C3410&amp;F3410</f>
        <v/>
      </c>
      <c r="F3410" s="80" t="n"/>
      <c r="G3410" s="81" t="n"/>
      <c r="H3410" s="78" t="n"/>
      <c r="I3410" s="78" t="n"/>
      <c r="J3410" s="78" t="n"/>
    </row>
    <row r="3411">
      <c r="A3411" s="84">
        <f>ROW()-6</f>
        <v/>
      </c>
      <c r="B3411" s="85">
        <f>+MATCH(D3411,ARTICULOS!$F$10:$F$699,0)</f>
        <v/>
      </c>
      <c r="C3411" s="86">
        <f>+VLOOKUP(B3411,ARTICULOS!$D$10:$I$699,6)</f>
        <v/>
      </c>
      <c r="D3411" s="212" t="n"/>
      <c r="E3411" s="75">
        <f>+C3411&amp;F3411</f>
        <v/>
      </c>
      <c r="F3411" s="80" t="n"/>
      <c r="G3411" s="81" t="n"/>
      <c r="H3411" s="78" t="n"/>
      <c r="I3411" s="78" t="n"/>
      <c r="J3411" s="78" t="n"/>
    </row>
    <row r="3412">
      <c r="A3412" s="84">
        <f>ROW()-6</f>
        <v/>
      </c>
      <c r="B3412" s="85">
        <f>+MATCH(D3412,ARTICULOS!$F$10:$F$699,0)</f>
        <v/>
      </c>
      <c r="C3412" s="86">
        <f>+VLOOKUP(B3412,ARTICULOS!$D$10:$I$699,6)</f>
        <v/>
      </c>
      <c r="D3412" s="212" t="n"/>
      <c r="E3412" s="75">
        <f>+C3412&amp;F3412</f>
        <v/>
      </c>
      <c r="F3412" s="80" t="n"/>
      <c r="G3412" s="81" t="n"/>
      <c r="H3412" s="78" t="n"/>
      <c r="I3412" s="78" t="n"/>
      <c r="J3412" s="78" t="n"/>
    </row>
    <row r="3413">
      <c r="A3413" s="84">
        <f>ROW()-6</f>
        <v/>
      </c>
      <c r="B3413" s="85">
        <f>+MATCH(D3413,ARTICULOS!$F$10:$F$699,0)</f>
        <v/>
      </c>
      <c r="C3413" s="86">
        <f>+VLOOKUP(B3413,ARTICULOS!$D$10:$I$699,6)</f>
        <v/>
      </c>
      <c r="D3413" s="212" t="n"/>
      <c r="E3413" s="75">
        <f>+C3413&amp;F3413</f>
        <v/>
      </c>
      <c r="F3413" s="80" t="n"/>
      <c r="G3413" s="81" t="n"/>
      <c r="H3413" s="78" t="n"/>
      <c r="I3413" s="78" t="n"/>
      <c r="J3413" s="78" t="n"/>
    </row>
    <row r="3414">
      <c r="A3414" s="84">
        <f>ROW()-6</f>
        <v/>
      </c>
      <c r="B3414" s="85">
        <f>+MATCH(D3414,ARTICULOS!$F$10:$F$699,0)</f>
        <v/>
      </c>
      <c r="C3414" s="86">
        <f>+VLOOKUP(B3414,ARTICULOS!$D$10:$I$699,6)</f>
        <v/>
      </c>
      <c r="D3414" s="212" t="n"/>
      <c r="E3414" s="75">
        <f>+C3414&amp;F3414</f>
        <v/>
      </c>
      <c r="F3414" s="80" t="n"/>
      <c r="G3414" s="81" t="n"/>
      <c r="H3414" s="78" t="n"/>
      <c r="I3414" s="78" t="n"/>
      <c r="J3414" s="78" t="n"/>
    </row>
    <row r="3415">
      <c r="A3415" s="84">
        <f>ROW()-6</f>
        <v/>
      </c>
      <c r="B3415" s="85">
        <f>+MATCH(D3415,ARTICULOS!$F$10:$F$699,0)</f>
        <v/>
      </c>
      <c r="C3415" s="86">
        <f>+VLOOKUP(B3415,ARTICULOS!$D$10:$I$699,6)</f>
        <v/>
      </c>
      <c r="D3415" s="212" t="n"/>
      <c r="E3415" s="75">
        <f>+C3415&amp;F3415</f>
        <v/>
      </c>
      <c r="F3415" s="80" t="n"/>
      <c r="G3415" s="81" t="n"/>
      <c r="H3415" s="78" t="n"/>
      <c r="I3415" s="78" t="n"/>
      <c r="J3415" s="78" t="n"/>
    </row>
    <row r="3416">
      <c r="A3416" s="84">
        <f>ROW()-6</f>
        <v/>
      </c>
      <c r="B3416" s="85">
        <f>+MATCH(D3416,ARTICULOS!$F$10:$F$699,0)</f>
        <v/>
      </c>
      <c r="C3416" s="86">
        <f>+VLOOKUP(B3416,ARTICULOS!$D$10:$I$699,6)</f>
        <v/>
      </c>
      <c r="D3416" s="212" t="n"/>
      <c r="E3416" s="75">
        <f>+C3416&amp;F3416</f>
        <v/>
      </c>
      <c r="F3416" s="80" t="n"/>
      <c r="G3416" s="81" t="n"/>
      <c r="H3416" s="78" t="n"/>
      <c r="I3416" s="78" t="n"/>
      <c r="J3416" s="78" t="n"/>
    </row>
    <row r="3417">
      <c r="A3417" s="84">
        <f>ROW()-6</f>
        <v/>
      </c>
      <c r="B3417" s="85">
        <f>+MATCH(D3417,ARTICULOS!$F$10:$F$699,0)</f>
        <v/>
      </c>
      <c r="C3417" s="86">
        <f>+VLOOKUP(B3417,ARTICULOS!$D$10:$I$699,6)</f>
        <v/>
      </c>
      <c r="D3417" s="212" t="n"/>
      <c r="E3417" s="75">
        <f>+C3417&amp;F3417</f>
        <v/>
      </c>
      <c r="F3417" s="80" t="n"/>
      <c r="G3417" s="81" t="n"/>
      <c r="H3417" s="78" t="n"/>
      <c r="I3417" s="78" t="n"/>
      <c r="J3417" s="78" t="n"/>
    </row>
    <row r="3418">
      <c r="A3418" s="84">
        <f>ROW()-6</f>
        <v/>
      </c>
      <c r="B3418" s="85">
        <f>+MATCH(D3418,ARTICULOS!$F$10:$F$699,0)</f>
        <v/>
      </c>
      <c r="C3418" s="86">
        <f>+VLOOKUP(B3418,ARTICULOS!$D$10:$I$699,6)</f>
        <v/>
      </c>
      <c r="D3418" s="212" t="n"/>
      <c r="E3418" s="75">
        <f>+C3418&amp;F3418</f>
        <v/>
      </c>
      <c r="F3418" s="80" t="n"/>
      <c r="G3418" s="81" t="n"/>
      <c r="H3418" s="78" t="n"/>
      <c r="I3418" s="78" t="n"/>
      <c r="J3418" s="78" t="n"/>
    </row>
    <row r="3419">
      <c r="A3419" s="84">
        <f>ROW()-6</f>
        <v/>
      </c>
      <c r="B3419" s="85">
        <f>+MATCH(D3419,ARTICULOS!$F$10:$F$699,0)</f>
        <v/>
      </c>
      <c r="C3419" s="86">
        <f>+VLOOKUP(B3419,ARTICULOS!$D$10:$I$699,6)</f>
        <v/>
      </c>
      <c r="D3419" s="212" t="n"/>
      <c r="E3419" s="75">
        <f>+C3419&amp;F3419</f>
        <v/>
      </c>
      <c r="F3419" s="80" t="n"/>
      <c r="G3419" s="81" t="n"/>
      <c r="H3419" s="78" t="n"/>
      <c r="I3419" s="78" t="n"/>
      <c r="J3419" s="78" t="n"/>
    </row>
    <row r="3420">
      <c r="A3420" s="84">
        <f>ROW()-6</f>
        <v/>
      </c>
      <c r="B3420" s="85">
        <f>+MATCH(D3420,ARTICULOS!$F$10:$F$699,0)</f>
        <v/>
      </c>
      <c r="C3420" s="86">
        <f>+VLOOKUP(B3420,ARTICULOS!$D$10:$I$699,6)</f>
        <v/>
      </c>
      <c r="D3420" s="212" t="n"/>
      <c r="E3420" s="75">
        <f>+C3420&amp;F3420</f>
        <v/>
      </c>
      <c r="F3420" s="80" t="n"/>
      <c r="G3420" s="81" t="n"/>
      <c r="H3420" s="78" t="n"/>
      <c r="I3420" s="78" t="n"/>
      <c r="J3420" s="78" t="n"/>
    </row>
    <row r="3421">
      <c r="A3421" s="84">
        <f>ROW()-6</f>
        <v/>
      </c>
      <c r="B3421" s="85">
        <f>+MATCH(D3421,ARTICULOS!$F$10:$F$699,0)</f>
        <v/>
      </c>
      <c r="C3421" s="86">
        <f>+VLOOKUP(B3421,ARTICULOS!$D$10:$I$699,6)</f>
        <v/>
      </c>
      <c r="D3421" s="212" t="n"/>
      <c r="E3421" s="75">
        <f>+C3421&amp;F3421</f>
        <v/>
      </c>
      <c r="F3421" s="80" t="n"/>
      <c r="G3421" s="81" t="n"/>
      <c r="H3421" s="78" t="n"/>
      <c r="I3421" s="78" t="n"/>
      <c r="J3421" s="78" t="n"/>
    </row>
    <row r="3422">
      <c r="A3422" s="84">
        <f>ROW()-6</f>
        <v/>
      </c>
      <c r="B3422" s="85">
        <f>+MATCH(D3422,ARTICULOS!$F$10:$F$699,0)</f>
        <v/>
      </c>
      <c r="C3422" s="86">
        <f>+VLOOKUP(B3422,ARTICULOS!$D$10:$I$699,6)</f>
        <v/>
      </c>
      <c r="D3422" s="212" t="n"/>
      <c r="E3422" s="75">
        <f>+C3422&amp;F3422</f>
        <v/>
      </c>
      <c r="F3422" s="80" t="n"/>
      <c r="G3422" s="81" t="n"/>
      <c r="H3422" s="78" t="n"/>
      <c r="I3422" s="78" t="n"/>
      <c r="J3422" s="78" t="n"/>
    </row>
    <row r="3423">
      <c r="A3423" s="84">
        <f>ROW()-6</f>
        <v/>
      </c>
      <c r="B3423" s="85">
        <f>+MATCH(D3423,ARTICULOS!$F$10:$F$699,0)</f>
        <v/>
      </c>
      <c r="C3423" s="86">
        <f>+VLOOKUP(B3423,ARTICULOS!$D$10:$I$699,6)</f>
        <v/>
      </c>
      <c r="D3423" s="212" t="n"/>
      <c r="E3423" s="75">
        <f>+C3423&amp;F3423</f>
        <v/>
      </c>
      <c r="F3423" s="80" t="n"/>
      <c r="G3423" s="81" t="n"/>
      <c r="H3423" s="78" t="n"/>
      <c r="I3423" s="78" t="n"/>
      <c r="J3423" s="78" t="n"/>
    </row>
    <row r="3424">
      <c r="A3424" s="84">
        <f>ROW()-6</f>
        <v/>
      </c>
      <c r="B3424" s="85">
        <f>+MATCH(D3424,ARTICULOS!$F$10:$F$699,0)</f>
        <v/>
      </c>
      <c r="C3424" s="86">
        <f>+VLOOKUP(B3424,ARTICULOS!$D$10:$I$699,6)</f>
        <v/>
      </c>
      <c r="D3424" s="212" t="n"/>
      <c r="E3424" s="75">
        <f>+C3424&amp;F3424</f>
        <v/>
      </c>
      <c r="F3424" s="80" t="n"/>
      <c r="G3424" s="81" t="n"/>
      <c r="H3424" s="78" t="n"/>
      <c r="I3424" s="78" t="n"/>
      <c r="J3424" s="78" t="n"/>
    </row>
    <row r="3425">
      <c r="A3425" s="84">
        <f>ROW()-6</f>
        <v/>
      </c>
      <c r="B3425" s="85">
        <f>+MATCH(D3425,ARTICULOS!$F$10:$F$699,0)</f>
        <v/>
      </c>
      <c r="C3425" s="86">
        <f>+VLOOKUP(B3425,ARTICULOS!$D$10:$I$699,6)</f>
        <v/>
      </c>
      <c r="D3425" s="212" t="n"/>
      <c r="E3425" s="75">
        <f>+C3425&amp;F3425</f>
        <v/>
      </c>
      <c r="F3425" s="80" t="n"/>
      <c r="G3425" s="81" t="n"/>
      <c r="H3425" s="78" t="n"/>
      <c r="I3425" s="78" t="n"/>
      <c r="J3425" s="78" t="n"/>
    </row>
    <row r="3426">
      <c r="A3426" s="84">
        <f>ROW()-6</f>
        <v/>
      </c>
      <c r="B3426" s="85">
        <f>+MATCH(D3426,ARTICULOS!$F$10:$F$699,0)</f>
        <v/>
      </c>
      <c r="C3426" s="86">
        <f>+VLOOKUP(B3426,ARTICULOS!$D$10:$I$699,6)</f>
        <v/>
      </c>
      <c r="D3426" s="212" t="n"/>
      <c r="E3426" s="75">
        <f>+C3426&amp;F3426</f>
        <v/>
      </c>
      <c r="F3426" s="80" t="n"/>
      <c r="G3426" s="81" t="n"/>
      <c r="H3426" s="78" t="n"/>
      <c r="I3426" s="78" t="n"/>
      <c r="J3426" s="78" t="n"/>
    </row>
    <row r="3427">
      <c r="A3427" s="84">
        <f>ROW()-6</f>
        <v/>
      </c>
      <c r="B3427" s="85">
        <f>+MATCH(D3427,ARTICULOS!$F$10:$F$699,0)</f>
        <v/>
      </c>
      <c r="C3427" s="86">
        <f>+VLOOKUP(B3427,ARTICULOS!$D$10:$I$699,6)</f>
        <v/>
      </c>
      <c r="D3427" s="212" t="n"/>
      <c r="E3427" s="75">
        <f>+C3427&amp;F3427</f>
        <v/>
      </c>
      <c r="F3427" s="80" t="n"/>
      <c r="G3427" s="81" t="n"/>
      <c r="H3427" s="78" t="n"/>
      <c r="I3427" s="78" t="n"/>
      <c r="J3427" s="78" t="n"/>
    </row>
    <row r="3428">
      <c r="A3428" s="84">
        <f>ROW()-6</f>
        <v/>
      </c>
      <c r="B3428" s="85">
        <f>+MATCH(D3428,ARTICULOS!$F$10:$F$699,0)</f>
        <v/>
      </c>
      <c r="C3428" s="86">
        <f>+VLOOKUP(B3428,ARTICULOS!$D$10:$I$699,6)</f>
        <v/>
      </c>
      <c r="D3428" s="212" t="n"/>
      <c r="E3428" s="75">
        <f>+C3428&amp;F3428</f>
        <v/>
      </c>
      <c r="F3428" s="80" t="n"/>
      <c r="G3428" s="81" t="n"/>
      <c r="H3428" s="78" t="n"/>
      <c r="I3428" s="78" t="n"/>
      <c r="J3428" s="78" t="n"/>
    </row>
    <row r="3429">
      <c r="A3429" s="84">
        <f>ROW()-6</f>
        <v/>
      </c>
      <c r="B3429" s="85">
        <f>+MATCH(D3429,ARTICULOS!$F$10:$F$699,0)</f>
        <v/>
      </c>
      <c r="C3429" s="86">
        <f>+VLOOKUP(B3429,ARTICULOS!$D$10:$I$699,6)</f>
        <v/>
      </c>
      <c r="D3429" s="212" t="n"/>
      <c r="E3429" s="75">
        <f>+C3429&amp;F3429</f>
        <v/>
      </c>
      <c r="F3429" s="80" t="n"/>
      <c r="G3429" s="81" t="n"/>
      <c r="H3429" s="78" t="n"/>
      <c r="I3429" s="78" t="n"/>
      <c r="J3429" s="78" t="n"/>
    </row>
    <row r="3430">
      <c r="A3430" s="84">
        <f>ROW()-6</f>
        <v/>
      </c>
      <c r="B3430" s="85">
        <f>+MATCH(D3430,ARTICULOS!$F$10:$F$699,0)</f>
        <v/>
      </c>
      <c r="C3430" s="86">
        <f>+VLOOKUP(B3430,ARTICULOS!$D$10:$I$699,6)</f>
        <v/>
      </c>
      <c r="D3430" s="212" t="n"/>
      <c r="E3430" s="75">
        <f>+C3430&amp;F3430</f>
        <v/>
      </c>
      <c r="F3430" s="80" t="n"/>
      <c r="G3430" s="81" t="n"/>
      <c r="H3430" s="78" t="n"/>
      <c r="I3430" s="78" t="n"/>
      <c r="J3430" s="78" t="n"/>
    </row>
    <row r="3431">
      <c r="A3431" s="84">
        <f>ROW()-6</f>
        <v/>
      </c>
      <c r="B3431" s="85">
        <f>+MATCH(D3431,ARTICULOS!$F$10:$F$699,0)</f>
        <v/>
      </c>
      <c r="C3431" s="86">
        <f>+VLOOKUP(B3431,ARTICULOS!$D$10:$I$699,6)</f>
        <v/>
      </c>
      <c r="D3431" s="212" t="n"/>
      <c r="E3431" s="75">
        <f>+C3431&amp;F3431</f>
        <v/>
      </c>
      <c r="F3431" s="80" t="n"/>
      <c r="G3431" s="81" t="n"/>
      <c r="H3431" s="78" t="n"/>
      <c r="I3431" s="78" t="n"/>
      <c r="J3431" s="78" t="n"/>
    </row>
    <row r="3432">
      <c r="A3432" s="84">
        <f>ROW()-6</f>
        <v/>
      </c>
      <c r="B3432" s="85">
        <f>+MATCH(D3432,ARTICULOS!$F$10:$F$699,0)</f>
        <v/>
      </c>
      <c r="C3432" s="86">
        <f>+VLOOKUP(B3432,ARTICULOS!$D$10:$I$699,6)</f>
        <v/>
      </c>
      <c r="D3432" s="212" t="n"/>
      <c r="E3432" s="75">
        <f>+C3432&amp;F3432</f>
        <v/>
      </c>
      <c r="F3432" s="80" t="n"/>
      <c r="G3432" s="81" t="n"/>
      <c r="H3432" s="78" t="n"/>
      <c r="I3432" s="78" t="n"/>
      <c r="J3432" s="78" t="n"/>
    </row>
    <row r="3433">
      <c r="A3433" s="84">
        <f>ROW()-6</f>
        <v/>
      </c>
      <c r="B3433" s="85">
        <f>+MATCH(D3433,ARTICULOS!$F$10:$F$699,0)</f>
        <v/>
      </c>
      <c r="C3433" s="86">
        <f>+VLOOKUP(B3433,ARTICULOS!$D$10:$I$699,6)</f>
        <v/>
      </c>
      <c r="D3433" s="212" t="n"/>
      <c r="E3433" s="75">
        <f>+C3433&amp;F3433</f>
        <v/>
      </c>
      <c r="F3433" s="80" t="n"/>
      <c r="G3433" s="81" t="n"/>
      <c r="H3433" s="78" t="n"/>
      <c r="I3433" s="78" t="n"/>
      <c r="J3433" s="78" t="n"/>
    </row>
    <row r="3434">
      <c r="A3434" s="84">
        <f>ROW()-6</f>
        <v/>
      </c>
      <c r="B3434" s="85">
        <f>+MATCH(D3434,ARTICULOS!$F$10:$F$699,0)</f>
        <v/>
      </c>
      <c r="C3434" s="86">
        <f>+VLOOKUP(B3434,ARTICULOS!$D$10:$I$699,6)</f>
        <v/>
      </c>
      <c r="D3434" s="212" t="n"/>
      <c r="E3434" s="75">
        <f>+C3434&amp;F3434</f>
        <v/>
      </c>
      <c r="F3434" s="80" t="n"/>
      <c r="G3434" s="81" t="n"/>
      <c r="H3434" s="78" t="n"/>
      <c r="I3434" s="78" t="n"/>
      <c r="J3434" s="78" t="n"/>
    </row>
    <row r="3435">
      <c r="A3435" s="84">
        <f>ROW()-6</f>
        <v/>
      </c>
      <c r="B3435" s="85">
        <f>+MATCH(D3435,ARTICULOS!$F$10:$F$699,0)</f>
        <v/>
      </c>
      <c r="C3435" s="86">
        <f>+VLOOKUP(B3435,ARTICULOS!$D$10:$I$699,6)</f>
        <v/>
      </c>
      <c r="D3435" s="212" t="n"/>
      <c r="E3435" s="75">
        <f>+C3435&amp;F3435</f>
        <v/>
      </c>
      <c r="F3435" s="80" t="n"/>
      <c r="G3435" s="81" t="n"/>
      <c r="H3435" s="78" t="n"/>
      <c r="I3435" s="78" t="n"/>
      <c r="J3435" s="78" t="n"/>
    </row>
    <row r="3436">
      <c r="A3436" s="84">
        <f>ROW()-6</f>
        <v/>
      </c>
      <c r="B3436" s="85">
        <f>+MATCH(D3436,ARTICULOS!$F$10:$F$699,0)</f>
        <v/>
      </c>
      <c r="C3436" s="86">
        <f>+VLOOKUP(B3436,ARTICULOS!$D$10:$I$699,6)</f>
        <v/>
      </c>
      <c r="D3436" s="212" t="n"/>
      <c r="E3436" s="75">
        <f>+C3436&amp;F3436</f>
        <v/>
      </c>
      <c r="F3436" s="80" t="n"/>
      <c r="G3436" s="81" t="n"/>
      <c r="H3436" s="78" t="n"/>
      <c r="I3436" s="78" t="n"/>
      <c r="J3436" s="78" t="n"/>
    </row>
    <row r="3437">
      <c r="A3437" s="84">
        <f>ROW()-6</f>
        <v/>
      </c>
      <c r="B3437" s="85">
        <f>+MATCH(D3437,ARTICULOS!$F$10:$F$699,0)</f>
        <v/>
      </c>
      <c r="C3437" s="86">
        <f>+VLOOKUP(B3437,ARTICULOS!$D$10:$I$699,6)</f>
        <v/>
      </c>
      <c r="D3437" s="212" t="n"/>
      <c r="E3437" s="75">
        <f>+C3437&amp;F3437</f>
        <v/>
      </c>
      <c r="F3437" s="80" t="n"/>
      <c r="G3437" s="81" t="n"/>
      <c r="H3437" s="78" t="n"/>
      <c r="I3437" s="78" t="n"/>
      <c r="J3437" s="78" t="n"/>
    </row>
    <row r="3438">
      <c r="A3438" s="84">
        <f>ROW()-6</f>
        <v/>
      </c>
      <c r="B3438" s="85">
        <f>+MATCH(D3438,ARTICULOS!$F$10:$F$699,0)</f>
        <v/>
      </c>
      <c r="C3438" s="86">
        <f>+VLOOKUP(B3438,ARTICULOS!$D$10:$I$699,6)</f>
        <v/>
      </c>
      <c r="D3438" s="212" t="n"/>
      <c r="E3438" s="75">
        <f>+C3438&amp;F3438</f>
        <v/>
      </c>
      <c r="F3438" s="80" t="n"/>
      <c r="G3438" s="81" t="n"/>
      <c r="H3438" s="78" t="n"/>
      <c r="I3438" s="78" t="n"/>
      <c r="J3438" s="78" t="n"/>
    </row>
    <row r="3439">
      <c r="A3439" s="84">
        <f>ROW()-6</f>
        <v/>
      </c>
      <c r="B3439" s="85">
        <f>+MATCH(D3439,ARTICULOS!$F$10:$F$699,0)</f>
        <v/>
      </c>
      <c r="C3439" s="86">
        <f>+VLOOKUP(B3439,ARTICULOS!$D$10:$I$699,6)</f>
        <v/>
      </c>
      <c r="D3439" s="212" t="n"/>
      <c r="E3439" s="75">
        <f>+C3439&amp;F3439</f>
        <v/>
      </c>
      <c r="F3439" s="80" t="n"/>
      <c r="G3439" s="81" t="n"/>
      <c r="H3439" s="78" t="n"/>
      <c r="I3439" s="78" t="n"/>
      <c r="J3439" s="78" t="n"/>
    </row>
    <row r="3440">
      <c r="A3440" s="84">
        <f>ROW()-6</f>
        <v/>
      </c>
      <c r="B3440" s="85">
        <f>+MATCH(D3440,ARTICULOS!$F$10:$F$699,0)</f>
        <v/>
      </c>
      <c r="C3440" s="86">
        <f>+VLOOKUP(B3440,ARTICULOS!$D$10:$I$699,6)</f>
        <v/>
      </c>
      <c r="D3440" s="212" t="n"/>
      <c r="E3440" s="75">
        <f>+C3440&amp;F3440</f>
        <v/>
      </c>
      <c r="F3440" s="80" t="n"/>
      <c r="G3440" s="81" t="n"/>
      <c r="H3440" s="78" t="n"/>
      <c r="I3440" s="78" t="n"/>
      <c r="J3440" s="78" t="n"/>
    </row>
    <row r="3441">
      <c r="A3441" s="84">
        <f>ROW()-6</f>
        <v/>
      </c>
      <c r="B3441" s="85">
        <f>+MATCH(D3441,ARTICULOS!$F$10:$F$699,0)</f>
        <v/>
      </c>
      <c r="C3441" s="86">
        <f>+VLOOKUP(B3441,ARTICULOS!$D$10:$I$699,6)</f>
        <v/>
      </c>
      <c r="D3441" s="212" t="n"/>
      <c r="E3441" s="75">
        <f>+C3441&amp;F3441</f>
        <v/>
      </c>
      <c r="F3441" s="80" t="n"/>
      <c r="G3441" s="81" t="n"/>
      <c r="H3441" s="78" t="n"/>
      <c r="I3441" s="78" t="n"/>
      <c r="J3441" s="78" t="n"/>
    </row>
    <row r="3442">
      <c r="A3442" s="84">
        <f>ROW()-6</f>
        <v/>
      </c>
      <c r="B3442" s="85">
        <f>+MATCH(D3442,ARTICULOS!$F$10:$F$699,0)</f>
        <v/>
      </c>
      <c r="C3442" s="86">
        <f>+VLOOKUP(B3442,ARTICULOS!$D$10:$I$699,6)</f>
        <v/>
      </c>
      <c r="D3442" s="212" t="n"/>
      <c r="E3442" s="75">
        <f>+C3442&amp;F3442</f>
        <v/>
      </c>
      <c r="F3442" s="80" t="n"/>
      <c r="G3442" s="81" t="n"/>
      <c r="H3442" s="78" t="n"/>
      <c r="I3442" s="78" t="n"/>
      <c r="J3442" s="78" t="n"/>
    </row>
    <row r="3443">
      <c r="A3443" s="84">
        <f>ROW()-6</f>
        <v/>
      </c>
      <c r="B3443" s="85">
        <f>+MATCH(D3443,ARTICULOS!$F$10:$F$699,0)</f>
        <v/>
      </c>
      <c r="C3443" s="86">
        <f>+VLOOKUP(B3443,ARTICULOS!$D$10:$I$699,6)</f>
        <v/>
      </c>
      <c r="D3443" s="212" t="n"/>
      <c r="E3443" s="75">
        <f>+C3443&amp;F3443</f>
        <v/>
      </c>
      <c r="F3443" s="80" t="n"/>
      <c r="G3443" s="81" t="n"/>
      <c r="H3443" s="78" t="n"/>
      <c r="I3443" s="78" t="n"/>
      <c r="J3443" s="78" t="n"/>
    </row>
    <row r="3444">
      <c r="A3444" s="84">
        <f>ROW()-6</f>
        <v/>
      </c>
      <c r="B3444" s="85">
        <f>+MATCH(D3444,ARTICULOS!$F$10:$F$699,0)</f>
        <v/>
      </c>
      <c r="C3444" s="86">
        <f>+VLOOKUP(B3444,ARTICULOS!$D$10:$I$699,6)</f>
        <v/>
      </c>
      <c r="D3444" s="212" t="n"/>
      <c r="E3444" s="75">
        <f>+C3444&amp;F3444</f>
        <v/>
      </c>
      <c r="F3444" s="80" t="n"/>
      <c r="G3444" s="81" t="n"/>
      <c r="H3444" s="78" t="n"/>
      <c r="I3444" s="78" t="n"/>
      <c r="J3444" s="78" t="n"/>
    </row>
    <row r="3445">
      <c r="A3445" s="84">
        <f>ROW()-6</f>
        <v/>
      </c>
      <c r="B3445" s="85">
        <f>+MATCH(D3445,ARTICULOS!$F$10:$F$699,0)</f>
        <v/>
      </c>
      <c r="C3445" s="86">
        <f>+VLOOKUP(B3445,ARTICULOS!$D$10:$I$699,6)</f>
        <v/>
      </c>
      <c r="D3445" s="212" t="n"/>
      <c r="E3445" s="75">
        <f>+C3445&amp;F3445</f>
        <v/>
      </c>
      <c r="F3445" s="80" t="n"/>
      <c r="G3445" s="81" t="n"/>
      <c r="H3445" s="78" t="n"/>
      <c r="I3445" s="78" t="n"/>
      <c r="J3445" s="78" t="n"/>
    </row>
    <row r="3446">
      <c r="A3446" s="84">
        <f>ROW()-6</f>
        <v/>
      </c>
      <c r="B3446" s="85">
        <f>+MATCH(D3446,ARTICULOS!$F$10:$F$699,0)</f>
        <v/>
      </c>
      <c r="C3446" s="86">
        <f>+VLOOKUP(B3446,ARTICULOS!$D$10:$I$699,6)</f>
        <v/>
      </c>
      <c r="D3446" s="212" t="n"/>
      <c r="E3446" s="75">
        <f>+C3446&amp;F3446</f>
        <v/>
      </c>
      <c r="F3446" s="80" t="n"/>
      <c r="G3446" s="81" t="n"/>
      <c r="H3446" s="78" t="n"/>
      <c r="I3446" s="78" t="n"/>
      <c r="J3446" s="78" t="n"/>
    </row>
    <row r="3447">
      <c r="A3447" s="84">
        <f>ROW()-6</f>
        <v/>
      </c>
      <c r="B3447" s="85">
        <f>+MATCH(D3447,ARTICULOS!$F$10:$F$699,0)</f>
        <v/>
      </c>
      <c r="C3447" s="86">
        <f>+VLOOKUP(B3447,ARTICULOS!$D$10:$I$699,6)</f>
        <v/>
      </c>
      <c r="D3447" s="212" t="n"/>
      <c r="E3447" s="75">
        <f>+C3447&amp;F3447</f>
        <v/>
      </c>
      <c r="F3447" s="80" t="n"/>
      <c r="G3447" s="81" t="n"/>
      <c r="H3447" s="78" t="n"/>
      <c r="I3447" s="78" t="n"/>
      <c r="J3447" s="78" t="n"/>
    </row>
    <row r="3448">
      <c r="A3448" s="84">
        <f>ROW()-6</f>
        <v/>
      </c>
      <c r="B3448" s="85">
        <f>+MATCH(D3448,ARTICULOS!$F$10:$F$699,0)</f>
        <v/>
      </c>
      <c r="C3448" s="86">
        <f>+VLOOKUP(B3448,ARTICULOS!$D$10:$I$699,6)</f>
        <v/>
      </c>
      <c r="D3448" s="212" t="n"/>
      <c r="E3448" s="75">
        <f>+C3448&amp;F3448</f>
        <v/>
      </c>
      <c r="F3448" s="80" t="n"/>
      <c r="G3448" s="81" t="n"/>
      <c r="H3448" s="78" t="n"/>
      <c r="I3448" s="78" t="n"/>
      <c r="J3448" s="78" t="n"/>
    </row>
    <row r="3449">
      <c r="A3449" s="84">
        <f>ROW()-6</f>
        <v/>
      </c>
      <c r="B3449" s="85">
        <f>+MATCH(D3449,ARTICULOS!$F$10:$F$699,0)</f>
        <v/>
      </c>
      <c r="C3449" s="86">
        <f>+VLOOKUP(B3449,ARTICULOS!$D$10:$I$699,6)</f>
        <v/>
      </c>
      <c r="D3449" s="212" t="n"/>
      <c r="E3449" s="75">
        <f>+C3449&amp;F3449</f>
        <v/>
      </c>
      <c r="F3449" s="80" t="n"/>
      <c r="G3449" s="81" t="n"/>
      <c r="H3449" s="78" t="n"/>
      <c r="I3449" s="78" t="n"/>
      <c r="J3449" s="78" t="n"/>
    </row>
    <row r="3450">
      <c r="A3450" s="84">
        <f>ROW()-6</f>
        <v/>
      </c>
      <c r="B3450" s="85">
        <f>+MATCH(D3450,ARTICULOS!$F$10:$F$699,0)</f>
        <v/>
      </c>
      <c r="C3450" s="86">
        <f>+VLOOKUP(B3450,ARTICULOS!$D$10:$I$699,6)</f>
        <v/>
      </c>
      <c r="D3450" s="212" t="n"/>
      <c r="E3450" s="75">
        <f>+C3450&amp;F3450</f>
        <v/>
      </c>
      <c r="F3450" s="80" t="n"/>
      <c r="G3450" s="81" t="n"/>
      <c r="H3450" s="78" t="n"/>
      <c r="I3450" s="78" t="n"/>
      <c r="J3450" s="78" t="n"/>
    </row>
    <row r="3451">
      <c r="A3451" s="84">
        <f>ROW()-6</f>
        <v/>
      </c>
      <c r="B3451" s="85">
        <f>+MATCH(D3451,ARTICULOS!$F$10:$F$699,0)</f>
        <v/>
      </c>
      <c r="C3451" s="86">
        <f>+VLOOKUP(B3451,ARTICULOS!$D$10:$I$699,6)</f>
        <v/>
      </c>
      <c r="D3451" s="212" t="n"/>
      <c r="E3451" s="75">
        <f>+C3451&amp;F3451</f>
        <v/>
      </c>
      <c r="F3451" s="80" t="n"/>
      <c r="G3451" s="81" t="n"/>
      <c r="H3451" s="78" t="n"/>
      <c r="I3451" s="78" t="n"/>
      <c r="J3451" s="78" t="n"/>
    </row>
    <row r="3452">
      <c r="A3452" s="84">
        <f>ROW()-6</f>
        <v/>
      </c>
      <c r="B3452" s="85">
        <f>+MATCH(D3452,ARTICULOS!$F$10:$F$699,0)</f>
        <v/>
      </c>
      <c r="C3452" s="86">
        <f>+VLOOKUP(B3452,ARTICULOS!$D$10:$I$699,6)</f>
        <v/>
      </c>
      <c r="D3452" s="212" t="n"/>
      <c r="E3452" s="75">
        <f>+C3452&amp;F3452</f>
        <v/>
      </c>
      <c r="F3452" s="80" t="n"/>
      <c r="G3452" s="81" t="n"/>
      <c r="H3452" s="78" t="n"/>
      <c r="I3452" s="78" t="n"/>
      <c r="J3452" s="78" t="n"/>
    </row>
    <row r="3453">
      <c r="A3453" s="84">
        <f>ROW()-6</f>
        <v/>
      </c>
      <c r="B3453" s="85">
        <f>+MATCH(D3453,ARTICULOS!$F$10:$F$699,0)</f>
        <v/>
      </c>
      <c r="C3453" s="86">
        <f>+VLOOKUP(B3453,ARTICULOS!$D$10:$I$699,6)</f>
        <v/>
      </c>
      <c r="D3453" s="212" t="n"/>
      <c r="E3453" s="75">
        <f>+C3453&amp;F3453</f>
        <v/>
      </c>
      <c r="F3453" s="80" t="n"/>
      <c r="G3453" s="81" t="n"/>
      <c r="H3453" s="78" t="n"/>
      <c r="I3453" s="78" t="n"/>
      <c r="J3453" s="78" t="n"/>
    </row>
    <row r="3454">
      <c r="A3454" s="84">
        <f>ROW()-6</f>
        <v/>
      </c>
      <c r="B3454" s="85">
        <f>+MATCH(D3454,ARTICULOS!$F$10:$F$699,0)</f>
        <v/>
      </c>
      <c r="C3454" s="86">
        <f>+VLOOKUP(B3454,ARTICULOS!$D$10:$I$699,6)</f>
        <v/>
      </c>
      <c r="D3454" s="212" t="n"/>
      <c r="E3454" s="75">
        <f>+C3454&amp;F3454</f>
        <v/>
      </c>
      <c r="F3454" s="80" t="n"/>
      <c r="G3454" s="81" t="n"/>
      <c r="H3454" s="78" t="n"/>
      <c r="I3454" s="78" t="n"/>
      <c r="J3454" s="78" t="n"/>
    </row>
    <row r="3455">
      <c r="A3455" s="84">
        <f>ROW()-6</f>
        <v/>
      </c>
      <c r="B3455" s="85">
        <f>+MATCH(D3455,ARTICULOS!$F$10:$F$699,0)</f>
        <v/>
      </c>
      <c r="C3455" s="86">
        <f>+VLOOKUP(B3455,ARTICULOS!$D$10:$I$699,6)</f>
        <v/>
      </c>
      <c r="D3455" s="212" t="n"/>
      <c r="E3455" s="75">
        <f>+C3455&amp;F3455</f>
        <v/>
      </c>
      <c r="F3455" s="80" t="n"/>
      <c r="G3455" s="81" t="n"/>
      <c r="H3455" s="78" t="n"/>
      <c r="I3455" s="78" t="n"/>
      <c r="J3455" s="78" t="n"/>
    </row>
    <row r="3456">
      <c r="A3456" s="84">
        <f>ROW()-6</f>
        <v/>
      </c>
      <c r="B3456" s="85">
        <f>+MATCH(D3456,ARTICULOS!$F$10:$F$699,0)</f>
        <v/>
      </c>
      <c r="C3456" s="86">
        <f>+VLOOKUP(B3456,ARTICULOS!$D$10:$I$699,6)</f>
        <v/>
      </c>
      <c r="D3456" s="212" t="n"/>
      <c r="E3456" s="75">
        <f>+C3456&amp;F3456</f>
        <v/>
      </c>
      <c r="F3456" s="80" t="n"/>
      <c r="G3456" s="81" t="n"/>
      <c r="H3456" s="78" t="n"/>
      <c r="I3456" s="78" t="n"/>
      <c r="J3456" s="78" t="n"/>
    </row>
    <row r="3457">
      <c r="A3457" s="84">
        <f>ROW()-6</f>
        <v/>
      </c>
      <c r="B3457" s="85">
        <f>+MATCH(D3457,ARTICULOS!$F$10:$F$699,0)</f>
        <v/>
      </c>
      <c r="C3457" s="86">
        <f>+VLOOKUP(B3457,ARTICULOS!$D$10:$I$699,6)</f>
        <v/>
      </c>
      <c r="D3457" s="212" t="n"/>
      <c r="E3457" s="75">
        <f>+C3457&amp;F3457</f>
        <v/>
      </c>
      <c r="F3457" s="80" t="n"/>
      <c r="G3457" s="81" t="n"/>
      <c r="H3457" s="78" t="n"/>
      <c r="I3457" s="78" t="n"/>
      <c r="J3457" s="78" t="n"/>
    </row>
    <row r="3458">
      <c r="A3458" s="84">
        <f>ROW()-6</f>
        <v/>
      </c>
      <c r="B3458" s="85">
        <f>+MATCH(D3458,ARTICULOS!$F$10:$F$699,0)</f>
        <v/>
      </c>
      <c r="C3458" s="86">
        <f>+VLOOKUP(B3458,ARTICULOS!$D$10:$I$699,6)</f>
        <v/>
      </c>
      <c r="D3458" s="212" t="n"/>
      <c r="E3458" s="75">
        <f>+C3458&amp;F3458</f>
        <v/>
      </c>
      <c r="F3458" s="80" t="n"/>
      <c r="G3458" s="81" t="n"/>
      <c r="H3458" s="78" t="n"/>
      <c r="I3458" s="78" t="n"/>
      <c r="J3458" s="78" t="n"/>
    </row>
    <row r="3459">
      <c r="A3459" s="84">
        <f>ROW()-6</f>
        <v/>
      </c>
      <c r="B3459" s="85">
        <f>+MATCH(D3459,ARTICULOS!$F$10:$F$699,0)</f>
        <v/>
      </c>
      <c r="C3459" s="86">
        <f>+VLOOKUP(B3459,ARTICULOS!$D$10:$I$699,6)</f>
        <v/>
      </c>
      <c r="D3459" s="212" t="n"/>
      <c r="E3459" s="75">
        <f>+C3459&amp;F3459</f>
        <v/>
      </c>
      <c r="F3459" s="80" t="n"/>
      <c r="G3459" s="81" t="n"/>
      <c r="H3459" s="78" t="n"/>
      <c r="I3459" s="78" t="n"/>
      <c r="J3459" s="78" t="n"/>
    </row>
    <row r="3460">
      <c r="A3460" s="84">
        <f>ROW()-6</f>
        <v/>
      </c>
      <c r="B3460" s="85">
        <f>+MATCH(D3460,ARTICULOS!$F$10:$F$699,0)</f>
        <v/>
      </c>
      <c r="C3460" s="86">
        <f>+VLOOKUP(B3460,ARTICULOS!$D$10:$I$699,6)</f>
        <v/>
      </c>
      <c r="D3460" s="212" t="n"/>
      <c r="E3460" s="75">
        <f>+C3460&amp;F3460</f>
        <v/>
      </c>
      <c r="F3460" s="80" t="n"/>
      <c r="G3460" s="81" t="n"/>
      <c r="H3460" s="78" t="n"/>
      <c r="I3460" s="78" t="n"/>
      <c r="J3460" s="78" t="n"/>
    </row>
    <row r="3461">
      <c r="A3461" s="84">
        <f>ROW()-6</f>
        <v/>
      </c>
      <c r="B3461" s="85">
        <f>+MATCH(D3461,ARTICULOS!$F$10:$F$699,0)</f>
        <v/>
      </c>
      <c r="C3461" s="86">
        <f>+VLOOKUP(B3461,ARTICULOS!$D$10:$I$699,6)</f>
        <v/>
      </c>
      <c r="D3461" s="212" t="n"/>
      <c r="E3461" s="75">
        <f>+C3461&amp;F3461</f>
        <v/>
      </c>
      <c r="F3461" s="80" t="n"/>
      <c r="G3461" s="81" t="n"/>
      <c r="H3461" s="78" t="n"/>
      <c r="I3461" s="78" t="n"/>
      <c r="J3461" s="78" t="n"/>
    </row>
    <row r="3462">
      <c r="A3462" s="84">
        <f>ROW()-6</f>
        <v/>
      </c>
      <c r="B3462" s="85">
        <f>+MATCH(D3462,ARTICULOS!$F$10:$F$699,0)</f>
        <v/>
      </c>
      <c r="C3462" s="86">
        <f>+VLOOKUP(B3462,ARTICULOS!$D$10:$I$699,6)</f>
        <v/>
      </c>
      <c r="D3462" s="212" t="n"/>
      <c r="E3462" s="75">
        <f>+C3462&amp;F3462</f>
        <v/>
      </c>
      <c r="F3462" s="80" t="n"/>
      <c r="G3462" s="81" t="n"/>
      <c r="H3462" s="78" t="n"/>
      <c r="I3462" s="78" t="n"/>
      <c r="J3462" s="78" t="n"/>
    </row>
    <row r="3463">
      <c r="A3463" s="84">
        <f>ROW()-6</f>
        <v/>
      </c>
      <c r="B3463" s="85">
        <f>+MATCH(D3463,ARTICULOS!$F$10:$F$699,0)</f>
        <v/>
      </c>
      <c r="C3463" s="86">
        <f>+VLOOKUP(B3463,ARTICULOS!$D$10:$I$699,6)</f>
        <v/>
      </c>
      <c r="D3463" s="212" t="n"/>
      <c r="E3463" s="75">
        <f>+C3463&amp;F3463</f>
        <v/>
      </c>
      <c r="F3463" s="80" t="n"/>
      <c r="G3463" s="81" t="n"/>
      <c r="H3463" s="78" t="n"/>
      <c r="I3463" s="78" t="n"/>
      <c r="J3463" s="78" t="n"/>
    </row>
    <row r="3464">
      <c r="A3464" s="84">
        <f>ROW()-6</f>
        <v/>
      </c>
      <c r="B3464" s="85">
        <f>+MATCH(D3464,ARTICULOS!$F$10:$F$699,0)</f>
        <v/>
      </c>
      <c r="C3464" s="86">
        <f>+VLOOKUP(B3464,ARTICULOS!$D$10:$I$699,6)</f>
        <v/>
      </c>
      <c r="D3464" s="212" t="n"/>
      <c r="E3464" s="75">
        <f>+C3464&amp;F3464</f>
        <v/>
      </c>
      <c r="F3464" s="80" t="n"/>
      <c r="G3464" s="81" t="n"/>
      <c r="H3464" s="78" t="n"/>
      <c r="I3464" s="78" t="n"/>
      <c r="J3464" s="78" t="n"/>
    </row>
    <row r="3465">
      <c r="A3465" s="84">
        <f>ROW()-6</f>
        <v/>
      </c>
      <c r="B3465" s="85">
        <f>+MATCH(D3465,ARTICULOS!$F$10:$F$699,0)</f>
        <v/>
      </c>
      <c r="C3465" s="86">
        <f>+VLOOKUP(B3465,ARTICULOS!$D$10:$I$699,6)</f>
        <v/>
      </c>
      <c r="D3465" s="212" t="n"/>
      <c r="E3465" s="75">
        <f>+C3465&amp;F3465</f>
        <v/>
      </c>
      <c r="F3465" s="80" t="n"/>
      <c r="G3465" s="81" t="n"/>
      <c r="H3465" s="78" t="n"/>
      <c r="I3465" s="78" t="n"/>
      <c r="J3465" s="78" t="n"/>
    </row>
    <row r="3466">
      <c r="A3466" s="84">
        <f>ROW()-6</f>
        <v/>
      </c>
      <c r="B3466" s="85">
        <f>+MATCH(D3466,ARTICULOS!$F$10:$F$699,0)</f>
        <v/>
      </c>
      <c r="C3466" s="86">
        <f>+VLOOKUP(B3466,ARTICULOS!$D$10:$I$699,6)</f>
        <v/>
      </c>
      <c r="D3466" s="212" t="n"/>
      <c r="E3466" s="75">
        <f>+C3466&amp;F3466</f>
        <v/>
      </c>
      <c r="F3466" s="80" t="n"/>
      <c r="G3466" s="81" t="n"/>
      <c r="H3466" s="78" t="n"/>
      <c r="I3466" s="78" t="n"/>
      <c r="J3466" s="78" t="n"/>
    </row>
    <row r="3467">
      <c r="A3467" s="84">
        <f>ROW()-6</f>
        <v/>
      </c>
      <c r="B3467" s="85">
        <f>+MATCH(D3467,ARTICULOS!$F$10:$F$699,0)</f>
        <v/>
      </c>
      <c r="C3467" s="86">
        <f>+VLOOKUP(B3467,ARTICULOS!$D$10:$I$699,6)</f>
        <v/>
      </c>
      <c r="D3467" s="212" t="n"/>
      <c r="E3467" s="75">
        <f>+C3467&amp;F3467</f>
        <v/>
      </c>
      <c r="F3467" s="80" t="n"/>
      <c r="G3467" s="81" t="n"/>
      <c r="H3467" s="78" t="n"/>
      <c r="I3467" s="78" t="n"/>
      <c r="J3467" s="78" t="n"/>
    </row>
    <row r="3468">
      <c r="A3468" s="84">
        <f>ROW()-6</f>
        <v/>
      </c>
      <c r="B3468" s="85">
        <f>+MATCH(D3468,ARTICULOS!$F$10:$F$699,0)</f>
        <v/>
      </c>
      <c r="C3468" s="86">
        <f>+VLOOKUP(B3468,ARTICULOS!$D$10:$I$699,6)</f>
        <v/>
      </c>
      <c r="D3468" s="212" t="n"/>
      <c r="E3468" s="75">
        <f>+C3468&amp;F3468</f>
        <v/>
      </c>
      <c r="F3468" s="80" t="n"/>
      <c r="G3468" s="81" t="n"/>
      <c r="H3468" s="78" t="n"/>
      <c r="I3468" s="78" t="n"/>
      <c r="J3468" s="78" t="n"/>
    </row>
    <row r="3469">
      <c r="A3469" s="84">
        <f>ROW()-6</f>
        <v/>
      </c>
      <c r="B3469" s="85">
        <f>+MATCH(D3469,ARTICULOS!$F$10:$F$699,0)</f>
        <v/>
      </c>
      <c r="C3469" s="86">
        <f>+VLOOKUP(B3469,ARTICULOS!$D$10:$I$699,6)</f>
        <v/>
      </c>
      <c r="D3469" s="212" t="n"/>
      <c r="E3469" s="75">
        <f>+C3469&amp;F3469</f>
        <v/>
      </c>
      <c r="F3469" s="80" t="n"/>
      <c r="G3469" s="81" t="n"/>
      <c r="H3469" s="78" t="n"/>
      <c r="I3469" s="78" t="n"/>
      <c r="J3469" s="78" t="n"/>
    </row>
    <row r="3470">
      <c r="A3470" s="84">
        <f>ROW()-6</f>
        <v/>
      </c>
      <c r="B3470" s="85">
        <f>+MATCH(D3470,ARTICULOS!$F$10:$F$699,0)</f>
        <v/>
      </c>
      <c r="C3470" s="86">
        <f>+VLOOKUP(B3470,ARTICULOS!$D$10:$I$699,6)</f>
        <v/>
      </c>
      <c r="D3470" s="212" t="n"/>
      <c r="E3470" s="75">
        <f>+C3470&amp;F3470</f>
        <v/>
      </c>
      <c r="F3470" s="80" t="n"/>
      <c r="G3470" s="81" t="n"/>
      <c r="H3470" s="78" t="n"/>
      <c r="I3470" s="78" t="n"/>
      <c r="J3470" s="78" t="n"/>
    </row>
    <row r="3471">
      <c r="A3471" s="84">
        <f>ROW()-6</f>
        <v/>
      </c>
      <c r="B3471" s="85">
        <f>+MATCH(D3471,ARTICULOS!$F$10:$F$699,0)</f>
        <v/>
      </c>
      <c r="C3471" s="86">
        <f>+VLOOKUP(B3471,ARTICULOS!$D$10:$I$699,6)</f>
        <v/>
      </c>
      <c r="D3471" s="212" t="n"/>
      <c r="E3471" s="75">
        <f>+C3471&amp;F3471</f>
        <v/>
      </c>
      <c r="F3471" s="80" t="n"/>
      <c r="G3471" s="81" t="n"/>
      <c r="H3471" s="78" t="n"/>
      <c r="I3471" s="78" t="n"/>
      <c r="J3471" s="78" t="n"/>
    </row>
    <row r="3472">
      <c r="A3472" s="84">
        <f>ROW()-6</f>
        <v/>
      </c>
      <c r="B3472" s="85">
        <f>+MATCH(D3472,ARTICULOS!$F$10:$F$699,0)</f>
        <v/>
      </c>
      <c r="C3472" s="86">
        <f>+VLOOKUP(B3472,ARTICULOS!$D$10:$I$699,6)</f>
        <v/>
      </c>
      <c r="D3472" s="212" t="n"/>
      <c r="E3472" s="75">
        <f>+C3472&amp;F3472</f>
        <v/>
      </c>
      <c r="F3472" s="80" t="n"/>
      <c r="G3472" s="81" t="n"/>
      <c r="H3472" s="78" t="n"/>
      <c r="I3472" s="78" t="n"/>
      <c r="J3472" s="78" t="n"/>
    </row>
    <row r="3473">
      <c r="A3473" s="84">
        <f>ROW()-6</f>
        <v/>
      </c>
      <c r="B3473" s="85">
        <f>+MATCH(D3473,ARTICULOS!$F$10:$F$699,0)</f>
        <v/>
      </c>
      <c r="C3473" s="86">
        <f>+VLOOKUP(B3473,ARTICULOS!$D$10:$I$699,6)</f>
        <v/>
      </c>
      <c r="D3473" s="212" t="n"/>
      <c r="E3473" s="75">
        <f>+C3473&amp;F3473</f>
        <v/>
      </c>
      <c r="F3473" s="80" t="n"/>
      <c r="G3473" s="81" t="n"/>
      <c r="H3473" s="78" t="n"/>
      <c r="I3473" s="78" t="n"/>
      <c r="J3473" s="78" t="n"/>
    </row>
    <row r="3474">
      <c r="A3474" s="84">
        <f>ROW()-6</f>
        <v/>
      </c>
      <c r="B3474" s="85">
        <f>+MATCH(D3474,ARTICULOS!$F$10:$F$699,0)</f>
        <v/>
      </c>
      <c r="C3474" s="86">
        <f>+VLOOKUP(B3474,ARTICULOS!$D$10:$I$699,6)</f>
        <v/>
      </c>
      <c r="D3474" s="212" t="n"/>
      <c r="E3474" s="75">
        <f>+C3474&amp;F3474</f>
        <v/>
      </c>
      <c r="F3474" s="80" t="n"/>
      <c r="G3474" s="81" t="n"/>
      <c r="H3474" s="78" t="n"/>
      <c r="I3474" s="78" t="n"/>
      <c r="J3474" s="78" t="n"/>
    </row>
    <row r="3475">
      <c r="A3475" s="84">
        <f>ROW()-6</f>
        <v/>
      </c>
      <c r="B3475" s="85">
        <f>+MATCH(D3475,ARTICULOS!$F$10:$F$699,0)</f>
        <v/>
      </c>
      <c r="C3475" s="86">
        <f>+VLOOKUP(B3475,ARTICULOS!$D$10:$I$699,6)</f>
        <v/>
      </c>
      <c r="D3475" s="212" t="n"/>
      <c r="E3475" s="75">
        <f>+C3475&amp;F3475</f>
        <v/>
      </c>
      <c r="F3475" s="80" t="n"/>
      <c r="G3475" s="81" t="n"/>
      <c r="H3475" s="78" t="n"/>
      <c r="I3475" s="78" t="n"/>
      <c r="J3475" s="78" t="n"/>
    </row>
    <row r="3476">
      <c r="A3476" s="84">
        <f>ROW()-6</f>
        <v/>
      </c>
      <c r="B3476" s="85">
        <f>+MATCH(D3476,ARTICULOS!$F$10:$F$699,0)</f>
        <v/>
      </c>
      <c r="C3476" s="86">
        <f>+VLOOKUP(B3476,ARTICULOS!$D$10:$I$699,6)</f>
        <v/>
      </c>
      <c r="D3476" s="212" t="n"/>
      <c r="E3476" s="75">
        <f>+C3476&amp;F3476</f>
        <v/>
      </c>
      <c r="F3476" s="80" t="n"/>
      <c r="G3476" s="81" t="n"/>
      <c r="H3476" s="78" t="n"/>
      <c r="I3476" s="78" t="n"/>
      <c r="J3476" s="78" t="n"/>
    </row>
    <row r="3477">
      <c r="A3477" s="84">
        <f>ROW()-6</f>
        <v/>
      </c>
      <c r="B3477" s="85">
        <f>+MATCH(D3477,ARTICULOS!$F$10:$F$699,0)</f>
        <v/>
      </c>
      <c r="C3477" s="86">
        <f>+VLOOKUP(B3477,ARTICULOS!$D$10:$I$699,6)</f>
        <v/>
      </c>
      <c r="D3477" s="212" t="n"/>
      <c r="E3477" s="75">
        <f>+C3477&amp;F3477</f>
        <v/>
      </c>
      <c r="F3477" s="80" t="n"/>
      <c r="G3477" s="81" t="n"/>
      <c r="H3477" s="78" t="n"/>
      <c r="I3477" s="78" t="n"/>
      <c r="J3477" s="78" t="n"/>
    </row>
    <row r="3478">
      <c r="A3478" s="84">
        <f>ROW()-6</f>
        <v/>
      </c>
      <c r="B3478" s="85">
        <f>+MATCH(D3478,ARTICULOS!$F$10:$F$699,0)</f>
        <v/>
      </c>
      <c r="C3478" s="86">
        <f>+VLOOKUP(B3478,ARTICULOS!$D$10:$I$699,6)</f>
        <v/>
      </c>
      <c r="D3478" s="212" t="n"/>
      <c r="E3478" s="75">
        <f>+C3478&amp;F3478</f>
        <v/>
      </c>
      <c r="F3478" s="80" t="n"/>
      <c r="G3478" s="81" t="n"/>
      <c r="H3478" s="78" t="n"/>
      <c r="I3478" s="78" t="n"/>
      <c r="J3478" s="78" t="n"/>
    </row>
    <row r="3479">
      <c r="A3479" s="84">
        <f>ROW()-6</f>
        <v/>
      </c>
      <c r="B3479" s="85">
        <f>+MATCH(D3479,ARTICULOS!$F$10:$F$699,0)</f>
        <v/>
      </c>
      <c r="C3479" s="86">
        <f>+VLOOKUP(B3479,ARTICULOS!$D$10:$I$699,6)</f>
        <v/>
      </c>
      <c r="D3479" s="212" t="n"/>
      <c r="E3479" s="75">
        <f>+C3479&amp;F3479</f>
        <v/>
      </c>
      <c r="F3479" s="80" t="n"/>
      <c r="G3479" s="81" t="n"/>
      <c r="H3479" s="78" t="n"/>
      <c r="I3479" s="78" t="n"/>
      <c r="J3479" s="78" t="n"/>
    </row>
    <row r="3480">
      <c r="A3480" s="84">
        <f>ROW()-6</f>
        <v/>
      </c>
      <c r="B3480" s="85">
        <f>+MATCH(D3480,ARTICULOS!$F$10:$F$699,0)</f>
        <v/>
      </c>
      <c r="C3480" s="86">
        <f>+VLOOKUP(B3480,ARTICULOS!$D$10:$I$699,6)</f>
        <v/>
      </c>
      <c r="D3480" s="212" t="n"/>
      <c r="E3480" s="75">
        <f>+C3480&amp;F3480</f>
        <v/>
      </c>
      <c r="F3480" s="80" t="n"/>
      <c r="G3480" s="81" t="n"/>
      <c r="H3480" s="78" t="n"/>
      <c r="I3480" s="78" t="n"/>
      <c r="J3480" s="78" t="n"/>
    </row>
    <row r="3481">
      <c r="A3481" s="84">
        <f>ROW()-6</f>
        <v/>
      </c>
      <c r="B3481" s="85">
        <f>+MATCH(D3481,ARTICULOS!$F$10:$F$699,0)</f>
        <v/>
      </c>
      <c r="C3481" s="86">
        <f>+VLOOKUP(B3481,ARTICULOS!$D$10:$I$699,6)</f>
        <v/>
      </c>
      <c r="D3481" s="212" t="n"/>
      <c r="E3481" s="75">
        <f>+C3481&amp;F3481</f>
        <v/>
      </c>
      <c r="F3481" s="80" t="n"/>
      <c r="G3481" s="81" t="n"/>
      <c r="H3481" s="78" t="n"/>
      <c r="I3481" s="78" t="n"/>
      <c r="J3481" s="78" t="n"/>
    </row>
    <row r="3482">
      <c r="A3482" s="84">
        <f>ROW()-6</f>
        <v/>
      </c>
      <c r="B3482" s="85">
        <f>+MATCH(D3482,ARTICULOS!$F$10:$F$699,0)</f>
        <v/>
      </c>
      <c r="C3482" s="86">
        <f>+VLOOKUP(B3482,ARTICULOS!$D$10:$I$699,6)</f>
        <v/>
      </c>
      <c r="D3482" s="212" t="n"/>
      <c r="E3482" s="75">
        <f>+C3482&amp;F3482</f>
        <v/>
      </c>
      <c r="F3482" s="80" t="n"/>
      <c r="G3482" s="81" t="n"/>
      <c r="H3482" s="78" t="n"/>
      <c r="I3482" s="78" t="n"/>
      <c r="J3482" s="78" t="n"/>
    </row>
    <row r="3483">
      <c r="A3483" s="84">
        <f>ROW()-6</f>
        <v/>
      </c>
      <c r="B3483" s="85">
        <f>+MATCH(D3483,ARTICULOS!$F$10:$F$699,0)</f>
        <v/>
      </c>
      <c r="C3483" s="86">
        <f>+VLOOKUP(B3483,ARTICULOS!$D$10:$I$699,6)</f>
        <v/>
      </c>
      <c r="D3483" s="212" t="n"/>
      <c r="E3483" s="75">
        <f>+C3483&amp;F3483</f>
        <v/>
      </c>
      <c r="F3483" s="80" t="n"/>
      <c r="G3483" s="81" t="n"/>
      <c r="H3483" s="78" t="n"/>
      <c r="I3483" s="78" t="n"/>
      <c r="J3483" s="78" t="n"/>
    </row>
    <row r="3484">
      <c r="A3484" s="84">
        <f>ROW()-6</f>
        <v/>
      </c>
      <c r="B3484" s="85">
        <f>+MATCH(D3484,ARTICULOS!$F$10:$F$699,0)</f>
        <v/>
      </c>
      <c r="C3484" s="86">
        <f>+VLOOKUP(B3484,ARTICULOS!$D$10:$I$699,6)</f>
        <v/>
      </c>
      <c r="D3484" s="212" t="n"/>
      <c r="E3484" s="75">
        <f>+C3484&amp;F3484</f>
        <v/>
      </c>
      <c r="F3484" s="80" t="n"/>
      <c r="G3484" s="81" t="n"/>
      <c r="H3484" s="78" t="n"/>
      <c r="I3484" s="78" t="n"/>
      <c r="J3484" s="78" t="n"/>
    </row>
    <row r="3485">
      <c r="A3485" s="84">
        <f>ROW()-6</f>
        <v/>
      </c>
      <c r="B3485" s="85">
        <f>+MATCH(D3485,ARTICULOS!$F$10:$F$699,0)</f>
        <v/>
      </c>
      <c r="C3485" s="86">
        <f>+VLOOKUP(B3485,ARTICULOS!$D$10:$I$699,6)</f>
        <v/>
      </c>
      <c r="D3485" s="212" t="n"/>
      <c r="E3485" s="75">
        <f>+C3485&amp;F3485</f>
        <v/>
      </c>
      <c r="F3485" s="80" t="n"/>
      <c r="G3485" s="81" t="n"/>
      <c r="H3485" s="78" t="n"/>
      <c r="I3485" s="78" t="n"/>
      <c r="J3485" s="78" t="n"/>
    </row>
    <row r="3486">
      <c r="A3486" s="84">
        <f>ROW()-6</f>
        <v/>
      </c>
      <c r="B3486" s="85">
        <f>+MATCH(D3486,ARTICULOS!$F$10:$F$699,0)</f>
        <v/>
      </c>
      <c r="C3486" s="86">
        <f>+VLOOKUP(B3486,ARTICULOS!$D$10:$I$699,6)</f>
        <v/>
      </c>
      <c r="D3486" s="212" t="n"/>
      <c r="E3486" s="75">
        <f>+C3486&amp;F3486</f>
        <v/>
      </c>
      <c r="F3486" s="80" t="n"/>
      <c r="G3486" s="81" t="n"/>
      <c r="H3486" s="78" t="n"/>
      <c r="I3486" s="78" t="n"/>
      <c r="J3486" s="78" t="n"/>
    </row>
    <row r="3487">
      <c r="A3487" s="84">
        <f>ROW()-6</f>
        <v/>
      </c>
      <c r="B3487" s="85">
        <f>+MATCH(D3487,ARTICULOS!$F$10:$F$699,0)</f>
        <v/>
      </c>
      <c r="C3487" s="86">
        <f>+VLOOKUP(B3487,ARTICULOS!$D$10:$I$699,6)</f>
        <v/>
      </c>
      <c r="D3487" s="212" t="n"/>
      <c r="E3487" s="75">
        <f>+C3487&amp;F3487</f>
        <v/>
      </c>
      <c r="F3487" s="80" t="n"/>
      <c r="G3487" s="81" t="n"/>
      <c r="H3487" s="78" t="n"/>
      <c r="I3487" s="78" t="n"/>
      <c r="J3487" s="78" t="n"/>
    </row>
    <row r="3488">
      <c r="A3488" s="84">
        <f>ROW()-6</f>
        <v/>
      </c>
      <c r="B3488" s="85">
        <f>+MATCH(D3488,ARTICULOS!$F$10:$F$699,0)</f>
        <v/>
      </c>
      <c r="C3488" s="86">
        <f>+VLOOKUP(B3488,ARTICULOS!$D$10:$I$699,6)</f>
        <v/>
      </c>
      <c r="D3488" s="212" t="n"/>
      <c r="E3488" s="75">
        <f>+C3488&amp;F3488</f>
        <v/>
      </c>
      <c r="F3488" s="80" t="n"/>
      <c r="G3488" s="81" t="n"/>
      <c r="H3488" s="78" t="n"/>
      <c r="I3488" s="78" t="n"/>
      <c r="J3488" s="78" t="n"/>
    </row>
    <row r="3489">
      <c r="A3489" s="84">
        <f>ROW()-6</f>
        <v/>
      </c>
      <c r="B3489" s="85">
        <f>+MATCH(D3489,ARTICULOS!$F$10:$F$699,0)</f>
        <v/>
      </c>
      <c r="C3489" s="86">
        <f>+VLOOKUP(B3489,ARTICULOS!$D$10:$I$699,6)</f>
        <v/>
      </c>
      <c r="D3489" s="212" t="n"/>
      <c r="E3489" s="75">
        <f>+C3489&amp;F3489</f>
        <v/>
      </c>
      <c r="F3489" s="80" t="n"/>
      <c r="G3489" s="81" t="n"/>
      <c r="H3489" s="78" t="n"/>
      <c r="I3489" s="78" t="n"/>
      <c r="J3489" s="78" t="n"/>
    </row>
    <row r="3490">
      <c r="A3490" s="84">
        <f>ROW()-6</f>
        <v/>
      </c>
      <c r="B3490" s="85">
        <f>+MATCH(D3490,ARTICULOS!$F$10:$F$699,0)</f>
        <v/>
      </c>
      <c r="C3490" s="86">
        <f>+VLOOKUP(B3490,ARTICULOS!$D$10:$I$699,6)</f>
        <v/>
      </c>
      <c r="D3490" s="212" t="n"/>
      <c r="E3490" s="75">
        <f>+C3490&amp;F3490</f>
        <v/>
      </c>
      <c r="F3490" s="80" t="n"/>
      <c r="G3490" s="81" t="n"/>
      <c r="H3490" s="78" t="n"/>
      <c r="I3490" s="78" t="n"/>
      <c r="J3490" s="78" t="n"/>
    </row>
    <row r="3491">
      <c r="A3491" s="84">
        <f>ROW()-6</f>
        <v/>
      </c>
      <c r="B3491" s="85">
        <f>+MATCH(D3491,ARTICULOS!$F$10:$F$699,0)</f>
        <v/>
      </c>
      <c r="C3491" s="86">
        <f>+VLOOKUP(B3491,ARTICULOS!$D$10:$I$699,6)</f>
        <v/>
      </c>
      <c r="D3491" s="212" t="n"/>
      <c r="E3491" s="75">
        <f>+C3491&amp;F3491</f>
        <v/>
      </c>
      <c r="F3491" s="80" t="n"/>
      <c r="G3491" s="81" t="n"/>
      <c r="H3491" s="78" t="n"/>
      <c r="I3491" s="78" t="n"/>
      <c r="J3491" s="78" t="n"/>
    </row>
    <row r="3492">
      <c r="A3492" s="84">
        <f>ROW()-6</f>
        <v/>
      </c>
      <c r="B3492" s="85">
        <f>+MATCH(D3492,ARTICULOS!$F$10:$F$699,0)</f>
        <v/>
      </c>
      <c r="C3492" s="86">
        <f>+VLOOKUP(B3492,ARTICULOS!$D$10:$I$699,6)</f>
        <v/>
      </c>
      <c r="D3492" s="212" t="n"/>
      <c r="E3492" s="75">
        <f>+C3492&amp;F3492</f>
        <v/>
      </c>
      <c r="F3492" s="80" t="n"/>
      <c r="G3492" s="81" t="n"/>
      <c r="H3492" s="78" t="n"/>
      <c r="I3492" s="78" t="n"/>
      <c r="J3492" s="78" t="n"/>
    </row>
    <row r="3493">
      <c r="A3493" s="84">
        <f>ROW()-6</f>
        <v/>
      </c>
      <c r="B3493" s="85">
        <f>+MATCH(D3493,ARTICULOS!$F$10:$F$699,0)</f>
        <v/>
      </c>
      <c r="C3493" s="86">
        <f>+VLOOKUP(B3493,ARTICULOS!$D$10:$I$699,6)</f>
        <v/>
      </c>
      <c r="D3493" s="212" t="n"/>
      <c r="E3493" s="75">
        <f>+C3493&amp;F3493</f>
        <v/>
      </c>
      <c r="F3493" s="80" t="n"/>
      <c r="G3493" s="81" t="n"/>
      <c r="H3493" s="78" t="n"/>
      <c r="I3493" s="78" t="n"/>
      <c r="J3493" s="78" t="n"/>
    </row>
    <row r="3494">
      <c r="A3494" s="84">
        <f>ROW()-6</f>
        <v/>
      </c>
      <c r="B3494" s="85">
        <f>+MATCH(D3494,ARTICULOS!$F$10:$F$699,0)</f>
        <v/>
      </c>
      <c r="C3494" s="86">
        <f>+VLOOKUP(B3494,ARTICULOS!$D$10:$I$699,6)</f>
        <v/>
      </c>
      <c r="D3494" s="212" t="n"/>
      <c r="E3494" s="75">
        <f>+C3494&amp;F3494</f>
        <v/>
      </c>
      <c r="F3494" s="80" t="n"/>
      <c r="G3494" s="81" t="n"/>
      <c r="H3494" s="78" t="n"/>
      <c r="I3494" s="78" t="n"/>
      <c r="J3494" s="78" t="n"/>
    </row>
    <row r="3495">
      <c r="A3495" s="84">
        <f>ROW()-6</f>
        <v/>
      </c>
      <c r="B3495" s="85">
        <f>+MATCH(D3495,ARTICULOS!$F$10:$F$699,0)</f>
        <v/>
      </c>
      <c r="C3495" s="86">
        <f>+VLOOKUP(B3495,ARTICULOS!$D$10:$I$699,6)</f>
        <v/>
      </c>
      <c r="D3495" s="212" t="n"/>
      <c r="E3495" s="75">
        <f>+C3495&amp;F3495</f>
        <v/>
      </c>
      <c r="F3495" s="80" t="n"/>
      <c r="G3495" s="81" t="n"/>
      <c r="H3495" s="78" t="n"/>
      <c r="I3495" s="78" t="n"/>
      <c r="J3495" s="78" t="n"/>
    </row>
    <row r="3496">
      <c r="A3496" s="84">
        <f>ROW()-6</f>
        <v/>
      </c>
      <c r="B3496" s="85">
        <f>+MATCH(D3496,ARTICULOS!$F$10:$F$699,0)</f>
        <v/>
      </c>
      <c r="C3496" s="86">
        <f>+VLOOKUP(B3496,ARTICULOS!$D$10:$I$699,6)</f>
        <v/>
      </c>
      <c r="D3496" s="212" t="n"/>
      <c r="E3496" s="75">
        <f>+C3496&amp;F3496</f>
        <v/>
      </c>
      <c r="F3496" s="80" t="n"/>
      <c r="G3496" s="81" t="n"/>
      <c r="H3496" s="78" t="n"/>
      <c r="I3496" s="78" t="n"/>
      <c r="J3496" s="78" t="n"/>
    </row>
    <row r="3497">
      <c r="A3497" s="84">
        <f>ROW()-6</f>
        <v/>
      </c>
      <c r="B3497" s="85">
        <f>+MATCH(D3497,ARTICULOS!$F$10:$F$699,0)</f>
        <v/>
      </c>
      <c r="C3497" s="86">
        <f>+VLOOKUP(B3497,ARTICULOS!$D$10:$I$699,6)</f>
        <v/>
      </c>
      <c r="D3497" s="212" t="n"/>
      <c r="E3497" s="75">
        <f>+C3497&amp;F3497</f>
        <v/>
      </c>
      <c r="F3497" s="80" t="n"/>
      <c r="G3497" s="81" t="n"/>
      <c r="H3497" s="78" t="n"/>
      <c r="I3497" s="78" t="n"/>
      <c r="J3497" s="78" t="n"/>
    </row>
    <row r="3498">
      <c r="A3498" s="84">
        <f>ROW()-6</f>
        <v/>
      </c>
      <c r="B3498" s="85">
        <f>+MATCH(D3498,ARTICULOS!$F$10:$F$699,0)</f>
        <v/>
      </c>
      <c r="C3498" s="86">
        <f>+VLOOKUP(B3498,ARTICULOS!$D$10:$I$699,6)</f>
        <v/>
      </c>
      <c r="D3498" s="212" t="n"/>
      <c r="E3498" s="75">
        <f>+C3498&amp;F3498</f>
        <v/>
      </c>
      <c r="F3498" s="80" t="n"/>
      <c r="G3498" s="81" t="n"/>
      <c r="H3498" s="78" t="n"/>
      <c r="I3498" s="78" t="n"/>
      <c r="J3498" s="78" t="n"/>
    </row>
    <row r="3499">
      <c r="A3499" s="84">
        <f>ROW()-6</f>
        <v/>
      </c>
      <c r="B3499" s="85">
        <f>+MATCH(D3499,ARTICULOS!$F$10:$F$699,0)</f>
        <v/>
      </c>
      <c r="C3499" s="86">
        <f>+VLOOKUP(B3499,ARTICULOS!$D$10:$I$699,6)</f>
        <v/>
      </c>
      <c r="D3499" s="212" t="n"/>
      <c r="E3499" s="75">
        <f>+C3499&amp;F3499</f>
        <v/>
      </c>
      <c r="F3499" s="80" t="n"/>
      <c r="G3499" s="81" t="n"/>
      <c r="H3499" s="78" t="n"/>
      <c r="I3499" s="78" t="n"/>
      <c r="J3499" s="78" t="n"/>
    </row>
    <row r="3500">
      <c r="A3500" s="84">
        <f>ROW()-6</f>
        <v/>
      </c>
      <c r="B3500" s="85">
        <f>+MATCH(D3500,ARTICULOS!$F$10:$F$699,0)</f>
        <v/>
      </c>
      <c r="C3500" s="86">
        <f>+VLOOKUP(B3500,ARTICULOS!$D$10:$I$699,6)</f>
        <v/>
      </c>
      <c r="D3500" s="212" t="n"/>
      <c r="E3500" s="75">
        <f>+C3500&amp;F3500</f>
        <v/>
      </c>
      <c r="F3500" s="80" t="n"/>
      <c r="G3500" s="81" t="n"/>
      <c r="H3500" s="78" t="n"/>
      <c r="I3500" s="78" t="n"/>
      <c r="J3500" s="78" t="n"/>
    </row>
    <row r="3501">
      <c r="A3501" s="84">
        <f>ROW()-6</f>
        <v/>
      </c>
      <c r="B3501" s="85">
        <f>+MATCH(D3501,ARTICULOS!$F$10:$F$699,0)</f>
        <v/>
      </c>
      <c r="C3501" s="86">
        <f>+VLOOKUP(B3501,ARTICULOS!$D$10:$I$699,6)</f>
        <v/>
      </c>
      <c r="D3501" s="212" t="n"/>
      <c r="E3501" s="75">
        <f>+C3501&amp;F3501</f>
        <v/>
      </c>
      <c r="F3501" s="80" t="n"/>
      <c r="G3501" s="81" t="n"/>
      <c r="H3501" s="78" t="n"/>
      <c r="I3501" s="78" t="n"/>
      <c r="J3501" s="78" t="n"/>
    </row>
    <row r="3502">
      <c r="A3502" s="84">
        <f>ROW()-6</f>
        <v/>
      </c>
      <c r="B3502" s="85">
        <f>+MATCH(D3502,ARTICULOS!$F$10:$F$699,0)</f>
        <v/>
      </c>
      <c r="C3502" s="86">
        <f>+VLOOKUP(B3502,ARTICULOS!$D$10:$I$699,6)</f>
        <v/>
      </c>
      <c r="D3502" s="212" t="n"/>
      <c r="E3502" s="75">
        <f>+C3502&amp;F3502</f>
        <v/>
      </c>
      <c r="F3502" s="80" t="n"/>
      <c r="G3502" s="81" t="n"/>
      <c r="H3502" s="78" t="n"/>
      <c r="I3502" s="78" t="n"/>
      <c r="J3502" s="78" t="n"/>
    </row>
    <row r="3503">
      <c r="A3503" s="84">
        <f>ROW()-6</f>
        <v/>
      </c>
      <c r="B3503" s="85">
        <f>+MATCH(D3503,ARTICULOS!$F$10:$F$699,0)</f>
        <v/>
      </c>
      <c r="C3503" s="86">
        <f>+VLOOKUP(B3503,ARTICULOS!$D$10:$I$699,6)</f>
        <v/>
      </c>
      <c r="D3503" s="212" t="n"/>
      <c r="E3503" s="75">
        <f>+C3503&amp;F3503</f>
        <v/>
      </c>
      <c r="F3503" s="80" t="n"/>
      <c r="G3503" s="81" t="n"/>
      <c r="H3503" s="78" t="n"/>
      <c r="I3503" s="78" t="n"/>
      <c r="J3503" s="78" t="n"/>
    </row>
    <row r="3504">
      <c r="A3504" s="84">
        <f>ROW()-6</f>
        <v/>
      </c>
      <c r="B3504" s="85">
        <f>+MATCH(D3504,ARTICULOS!$F$10:$F$699,0)</f>
        <v/>
      </c>
      <c r="C3504" s="86">
        <f>+VLOOKUP(B3504,ARTICULOS!$D$10:$I$699,6)</f>
        <v/>
      </c>
      <c r="D3504" s="212" t="n"/>
      <c r="E3504" s="75">
        <f>+C3504&amp;F3504</f>
        <v/>
      </c>
      <c r="F3504" s="80" t="n"/>
      <c r="G3504" s="81" t="n"/>
      <c r="H3504" s="78" t="n"/>
      <c r="I3504" s="78" t="n"/>
      <c r="J3504" s="78" t="n"/>
    </row>
    <row r="3505">
      <c r="A3505" s="84">
        <f>ROW()-6</f>
        <v/>
      </c>
      <c r="B3505" s="85">
        <f>+MATCH(D3505,ARTICULOS!$F$10:$F$699,0)</f>
        <v/>
      </c>
      <c r="C3505" s="86">
        <f>+VLOOKUP(B3505,ARTICULOS!$D$10:$I$699,6)</f>
        <v/>
      </c>
      <c r="D3505" s="212" t="n"/>
      <c r="E3505" s="75">
        <f>+C3505&amp;F3505</f>
        <v/>
      </c>
      <c r="F3505" s="80" t="n"/>
      <c r="G3505" s="81" t="n"/>
      <c r="H3505" s="78" t="n"/>
      <c r="I3505" s="78" t="n"/>
      <c r="J3505" s="78" t="n"/>
    </row>
    <row r="3506">
      <c r="A3506" s="84">
        <f>ROW()-6</f>
        <v/>
      </c>
      <c r="B3506" s="85">
        <f>+MATCH(D3506,ARTICULOS!$F$10:$F$699,0)</f>
        <v/>
      </c>
      <c r="C3506" s="86">
        <f>+VLOOKUP(B3506,ARTICULOS!$D$10:$I$699,6)</f>
        <v/>
      </c>
      <c r="D3506" s="212" t="n"/>
      <c r="E3506" s="75">
        <f>+C3506&amp;F3506</f>
        <v/>
      </c>
      <c r="F3506" s="80" t="n"/>
      <c r="G3506" s="81" t="n"/>
      <c r="H3506" s="78" t="n"/>
      <c r="I3506" s="78" t="n"/>
      <c r="J3506" s="78" t="n"/>
    </row>
    <row r="3507">
      <c r="A3507" s="84">
        <f>ROW()-6</f>
        <v/>
      </c>
      <c r="B3507" s="85">
        <f>+MATCH(D3507,ARTICULOS!$F$10:$F$699,0)</f>
        <v/>
      </c>
      <c r="C3507" s="86">
        <f>+VLOOKUP(B3507,ARTICULOS!$D$10:$I$699,6)</f>
        <v/>
      </c>
      <c r="D3507" s="212" t="n"/>
      <c r="E3507" s="75">
        <f>+C3507&amp;F3507</f>
        <v/>
      </c>
      <c r="F3507" s="80" t="n"/>
      <c r="G3507" s="81" t="n"/>
      <c r="H3507" s="78" t="n"/>
      <c r="I3507" s="78" t="n"/>
      <c r="J3507" s="78" t="n"/>
    </row>
    <row r="3508">
      <c r="A3508" s="84">
        <f>ROW()-6</f>
        <v/>
      </c>
      <c r="B3508" s="85">
        <f>+MATCH(D3508,ARTICULOS!$F$10:$F$699,0)</f>
        <v/>
      </c>
      <c r="C3508" s="86">
        <f>+VLOOKUP(B3508,ARTICULOS!$D$10:$I$699,6)</f>
        <v/>
      </c>
      <c r="D3508" s="212" t="n"/>
      <c r="E3508" s="75">
        <f>+C3508&amp;F3508</f>
        <v/>
      </c>
      <c r="F3508" s="80" t="n"/>
      <c r="G3508" s="81" t="n"/>
      <c r="H3508" s="78" t="n"/>
      <c r="I3508" s="78" t="n"/>
      <c r="J3508" s="78" t="n"/>
    </row>
    <row r="3509">
      <c r="A3509" s="84">
        <f>ROW()-6</f>
        <v/>
      </c>
      <c r="B3509" s="85">
        <f>+MATCH(D3509,ARTICULOS!$F$10:$F$699,0)</f>
        <v/>
      </c>
      <c r="C3509" s="86">
        <f>+VLOOKUP(B3509,ARTICULOS!$D$10:$I$699,6)</f>
        <v/>
      </c>
      <c r="D3509" s="212" t="n"/>
      <c r="E3509" s="75">
        <f>+C3509&amp;F3509</f>
        <v/>
      </c>
      <c r="F3509" s="80" t="n"/>
      <c r="G3509" s="81" t="n"/>
      <c r="H3509" s="78" t="n"/>
      <c r="I3509" s="78" t="n"/>
      <c r="J3509" s="78" t="n"/>
    </row>
    <row r="3510">
      <c r="A3510" s="84">
        <f>ROW()-6</f>
        <v/>
      </c>
      <c r="B3510" s="85">
        <f>+MATCH(D3510,ARTICULOS!$F$10:$F$699,0)</f>
        <v/>
      </c>
      <c r="C3510" s="86">
        <f>+VLOOKUP(B3510,ARTICULOS!$D$10:$I$699,6)</f>
        <v/>
      </c>
      <c r="D3510" s="212" t="n"/>
      <c r="E3510" s="75">
        <f>+C3510&amp;F3510</f>
        <v/>
      </c>
      <c r="F3510" s="80" t="n"/>
      <c r="G3510" s="81" t="n"/>
      <c r="H3510" s="78" t="n"/>
      <c r="I3510" s="78" t="n"/>
      <c r="J3510" s="78" t="n"/>
    </row>
    <row r="3511">
      <c r="A3511" s="84">
        <f>ROW()-6</f>
        <v/>
      </c>
      <c r="B3511" s="85">
        <f>+MATCH(D3511,ARTICULOS!$F$10:$F$699,0)</f>
        <v/>
      </c>
      <c r="C3511" s="86">
        <f>+VLOOKUP(B3511,ARTICULOS!$D$10:$I$699,6)</f>
        <v/>
      </c>
      <c r="D3511" s="212" t="n"/>
      <c r="E3511" s="75">
        <f>+C3511&amp;F3511</f>
        <v/>
      </c>
      <c r="F3511" s="80" t="n"/>
      <c r="G3511" s="81" t="n"/>
      <c r="H3511" s="78" t="n"/>
      <c r="I3511" s="78" t="n"/>
      <c r="J3511" s="78" t="n"/>
    </row>
    <row r="3512">
      <c r="A3512" s="84">
        <f>ROW()-6</f>
        <v/>
      </c>
      <c r="B3512" s="85">
        <f>+MATCH(D3512,ARTICULOS!$F$10:$F$699,0)</f>
        <v/>
      </c>
      <c r="C3512" s="86">
        <f>+VLOOKUP(B3512,ARTICULOS!$D$10:$I$699,6)</f>
        <v/>
      </c>
      <c r="D3512" s="212" t="n"/>
      <c r="E3512" s="75">
        <f>+C3512&amp;F3512</f>
        <v/>
      </c>
      <c r="F3512" s="80" t="n"/>
      <c r="G3512" s="81" t="n"/>
      <c r="H3512" s="78" t="n"/>
      <c r="I3512" s="78" t="n"/>
      <c r="J3512" s="78" t="n"/>
    </row>
    <row r="3513">
      <c r="A3513" s="84">
        <f>ROW()-6</f>
        <v/>
      </c>
      <c r="B3513" s="85">
        <f>+MATCH(D3513,ARTICULOS!$F$10:$F$699,0)</f>
        <v/>
      </c>
      <c r="C3513" s="86">
        <f>+VLOOKUP(B3513,ARTICULOS!$D$10:$I$699,6)</f>
        <v/>
      </c>
      <c r="D3513" s="212" t="n"/>
      <c r="E3513" s="75">
        <f>+C3513&amp;F3513</f>
        <v/>
      </c>
      <c r="F3513" s="80" t="n"/>
      <c r="G3513" s="81" t="n"/>
      <c r="H3513" s="78" t="n"/>
      <c r="I3513" s="78" t="n"/>
      <c r="J3513" s="78" t="n"/>
    </row>
    <row r="3514">
      <c r="A3514" s="84">
        <f>ROW()-6</f>
        <v/>
      </c>
      <c r="B3514" s="85">
        <f>+MATCH(D3514,ARTICULOS!$F$10:$F$699,0)</f>
        <v/>
      </c>
      <c r="C3514" s="86">
        <f>+VLOOKUP(B3514,ARTICULOS!$D$10:$I$699,6)</f>
        <v/>
      </c>
      <c r="D3514" s="212" t="n"/>
      <c r="E3514" s="75">
        <f>+C3514&amp;F3514</f>
        <v/>
      </c>
      <c r="F3514" s="80" t="n"/>
      <c r="G3514" s="81" t="n"/>
      <c r="H3514" s="78" t="n"/>
      <c r="I3514" s="78" t="n"/>
      <c r="J3514" s="78" t="n"/>
    </row>
    <row r="3515">
      <c r="A3515" s="84">
        <f>ROW()-6</f>
        <v/>
      </c>
      <c r="B3515" s="85">
        <f>+MATCH(D3515,ARTICULOS!$F$10:$F$699,0)</f>
        <v/>
      </c>
      <c r="C3515" s="86">
        <f>+VLOOKUP(B3515,ARTICULOS!$D$10:$I$699,6)</f>
        <v/>
      </c>
      <c r="D3515" s="212" t="n"/>
      <c r="E3515" s="75">
        <f>+C3515&amp;F3515</f>
        <v/>
      </c>
      <c r="F3515" s="80" t="n"/>
      <c r="G3515" s="81" t="n"/>
      <c r="H3515" s="78" t="n"/>
      <c r="I3515" s="78" t="n"/>
      <c r="J3515" s="78" t="n"/>
    </row>
    <row r="3516">
      <c r="A3516" s="84">
        <f>ROW()-6</f>
        <v/>
      </c>
      <c r="B3516" s="85">
        <f>+MATCH(D3516,ARTICULOS!$F$10:$F$699,0)</f>
        <v/>
      </c>
      <c r="C3516" s="86">
        <f>+VLOOKUP(B3516,ARTICULOS!$D$10:$I$699,6)</f>
        <v/>
      </c>
      <c r="D3516" s="212" t="n"/>
      <c r="E3516" s="75">
        <f>+C3516&amp;F3516</f>
        <v/>
      </c>
      <c r="F3516" s="80" t="n"/>
      <c r="G3516" s="81" t="n"/>
      <c r="H3516" s="78" t="n"/>
      <c r="I3516" s="78" t="n"/>
      <c r="J3516" s="78" t="n"/>
    </row>
    <row r="3517">
      <c r="A3517" s="84">
        <f>ROW()-6</f>
        <v/>
      </c>
      <c r="B3517" s="85">
        <f>+MATCH(D3517,ARTICULOS!$F$10:$F$699,0)</f>
        <v/>
      </c>
      <c r="C3517" s="86">
        <f>+VLOOKUP(B3517,ARTICULOS!$D$10:$I$699,6)</f>
        <v/>
      </c>
      <c r="D3517" s="212" t="n"/>
      <c r="E3517" s="75">
        <f>+C3517&amp;F3517</f>
        <v/>
      </c>
      <c r="F3517" s="80" t="n"/>
      <c r="G3517" s="81" t="n"/>
      <c r="H3517" s="78" t="n"/>
      <c r="I3517" s="78" t="n"/>
      <c r="J3517" s="78" t="n"/>
    </row>
    <row r="3518">
      <c r="A3518" s="84">
        <f>ROW()-6</f>
        <v/>
      </c>
      <c r="B3518" s="85">
        <f>+MATCH(D3518,ARTICULOS!$F$10:$F$699,0)</f>
        <v/>
      </c>
      <c r="C3518" s="86">
        <f>+VLOOKUP(B3518,ARTICULOS!$D$10:$I$699,6)</f>
        <v/>
      </c>
      <c r="D3518" s="212" t="n"/>
      <c r="E3518" s="75">
        <f>+C3518&amp;F3518</f>
        <v/>
      </c>
      <c r="F3518" s="80" t="n"/>
      <c r="G3518" s="81" t="n"/>
      <c r="H3518" s="78" t="n"/>
      <c r="I3518" s="78" t="n"/>
      <c r="J3518" s="78" t="n"/>
    </row>
    <row r="3519">
      <c r="A3519" s="84">
        <f>ROW()-6</f>
        <v/>
      </c>
      <c r="B3519" s="85">
        <f>+MATCH(D3519,ARTICULOS!$F$10:$F$699,0)</f>
        <v/>
      </c>
      <c r="C3519" s="86">
        <f>+VLOOKUP(B3519,ARTICULOS!$D$10:$I$699,6)</f>
        <v/>
      </c>
      <c r="D3519" s="212" t="n"/>
      <c r="E3519" s="75">
        <f>+C3519&amp;F3519</f>
        <v/>
      </c>
      <c r="F3519" s="80" t="n"/>
      <c r="G3519" s="81" t="n"/>
      <c r="H3519" s="78" t="n"/>
      <c r="I3519" s="78" t="n"/>
      <c r="J3519" s="78" t="n"/>
    </row>
    <row r="3520">
      <c r="A3520" s="84">
        <f>ROW()-6</f>
        <v/>
      </c>
      <c r="B3520" s="85">
        <f>+MATCH(D3520,ARTICULOS!$F$10:$F$699,0)</f>
        <v/>
      </c>
      <c r="C3520" s="86">
        <f>+VLOOKUP(B3520,ARTICULOS!$D$10:$I$699,6)</f>
        <v/>
      </c>
      <c r="D3520" s="212" t="n"/>
      <c r="E3520" s="75">
        <f>+C3520&amp;F3520</f>
        <v/>
      </c>
      <c r="F3520" s="80" t="n"/>
      <c r="G3520" s="81" t="n"/>
      <c r="H3520" s="78" t="n"/>
      <c r="I3520" s="78" t="n"/>
      <c r="J3520" s="78" t="n"/>
    </row>
    <row r="3521">
      <c r="A3521" s="84">
        <f>ROW()-6</f>
        <v/>
      </c>
      <c r="B3521" s="85">
        <f>+MATCH(D3521,ARTICULOS!$F$10:$F$699,0)</f>
        <v/>
      </c>
      <c r="C3521" s="86">
        <f>+VLOOKUP(B3521,ARTICULOS!$D$10:$I$699,6)</f>
        <v/>
      </c>
      <c r="D3521" s="212" t="n"/>
      <c r="E3521" s="75">
        <f>+C3521&amp;F3521</f>
        <v/>
      </c>
      <c r="F3521" s="80" t="n"/>
      <c r="G3521" s="81" t="n"/>
      <c r="H3521" s="78" t="n"/>
      <c r="I3521" s="78" t="n"/>
      <c r="J3521" s="78" t="n"/>
    </row>
    <row r="3522">
      <c r="A3522" s="84">
        <f>ROW()-6</f>
        <v/>
      </c>
      <c r="B3522" s="85">
        <f>+MATCH(D3522,ARTICULOS!$F$10:$F$699,0)</f>
        <v/>
      </c>
      <c r="C3522" s="86">
        <f>+VLOOKUP(B3522,ARTICULOS!$D$10:$I$699,6)</f>
        <v/>
      </c>
      <c r="D3522" s="212" t="n"/>
      <c r="E3522" s="75">
        <f>+C3522&amp;F3522</f>
        <v/>
      </c>
      <c r="F3522" s="80" t="n"/>
      <c r="G3522" s="81" t="n"/>
      <c r="H3522" s="78" t="n"/>
      <c r="I3522" s="78" t="n"/>
      <c r="J3522" s="78" t="n"/>
    </row>
    <row r="3523">
      <c r="A3523" s="84">
        <f>ROW()-6</f>
        <v/>
      </c>
      <c r="B3523" s="85">
        <f>+MATCH(D3523,ARTICULOS!$F$10:$F$699,0)</f>
        <v/>
      </c>
      <c r="C3523" s="86">
        <f>+VLOOKUP(B3523,ARTICULOS!$D$10:$I$699,6)</f>
        <v/>
      </c>
      <c r="D3523" s="212" t="n"/>
      <c r="E3523" s="75">
        <f>+C3523&amp;F3523</f>
        <v/>
      </c>
      <c r="F3523" s="80" t="n"/>
      <c r="G3523" s="81" t="n"/>
      <c r="H3523" s="78" t="n"/>
      <c r="I3523" s="78" t="n"/>
      <c r="J3523" s="78" t="n"/>
    </row>
    <row r="3524">
      <c r="A3524" s="84">
        <f>ROW()-6</f>
        <v/>
      </c>
      <c r="B3524" s="85">
        <f>+MATCH(D3524,ARTICULOS!$F$10:$F$699,0)</f>
        <v/>
      </c>
      <c r="C3524" s="86">
        <f>+VLOOKUP(B3524,ARTICULOS!$D$10:$I$699,6)</f>
        <v/>
      </c>
      <c r="D3524" s="212" t="n"/>
      <c r="E3524" s="75">
        <f>+C3524&amp;F3524</f>
        <v/>
      </c>
      <c r="F3524" s="80" t="n"/>
      <c r="G3524" s="81" t="n"/>
      <c r="H3524" s="78" t="n"/>
      <c r="I3524" s="78" t="n"/>
      <c r="J3524" s="78" t="n"/>
    </row>
    <row r="3525">
      <c r="A3525" s="84">
        <f>ROW()-6</f>
        <v/>
      </c>
      <c r="B3525" s="85">
        <f>+MATCH(D3525,ARTICULOS!$F$10:$F$699,0)</f>
        <v/>
      </c>
      <c r="C3525" s="86">
        <f>+VLOOKUP(B3525,ARTICULOS!$D$10:$I$699,6)</f>
        <v/>
      </c>
      <c r="D3525" s="212" t="n"/>
      <c r="E3525" s="75">
        <f>+C3525&amp;F3525</f>
        <v/>
      </c>
      <c r="F3525" s="80" t="n"/>
      <c r="G3525" s="81" t="n"/>
      <c r="H3525" s="78" t="n"/>
      <c r="I3525" s="78" t="n"/>
      <c r="J3525" s="78" t="n"/>
    </row>
    <row r="3526">
      <c r="A3526" s="84">
        <f>ROW()-6</f>
        <v/>
      </c>
      <c r="B3526" s="85">
        <f>+MATCH(D3526,ARTICULOS!$F$10:$F$699,0)</f>
        <v/>
      </c>
      <c r="C3526" s="86">
        <f>+VLOOKUP(B3526,ARTICULOS!$D$10:$I$699,6)</f>
        <v/>
      </c>
      <c r="D3526" s="212" t="n"/>
      <c r="E3526" s="75">
        <f>+C3526&amp;F3526</f>
        <v/>
      </c>
      <c r="F3526" s="80" t="n"/>
      <c r="G3526" s="81" t="n"/>
      <c r="H3526" s="78" t="n"/>
      <c r="I3526" s="78" t="n"/>
      <c r="J3526" s="78" t="n"/>
    </row>
    <row r="3527">
      <c r="A3527" s="84">
        <f>ROW()-6</f>
        <v/>
      </c>
      <c r="B3527" s="85">
        <f>+MATCH(D3527,ARTICULOS!$F$10:$F$699,0)</f>
        <v/>
      </c>
      <c r="C3527" s="86">
        <f>+VLOOKUP(B3527,ARTICULOS!$D$10:$I$699,6)</f>
        <v/>
      </c>
      <c r="D3527" s="212" t="n"/>
      <c r="E3527" s="75">
        <f>+C3527&amp;F3527</f>
        <v/>
      </c>
      <c r="F3527" s="80" t="n"/>
      <c r="G3527" s="81" t="n"/>
      <c r="H3527" s="78" t="n"/>
      <c r="I3527" s="78" t="n"/>
      <c r="J3527" s="78" t="n"/>
    </row>
    <row r="3528">
      <c r="A3528" s="84">
        <f>ROW()-6</f>
        <v/>
      </c>
      <c r="B3528" s="85">
        <f>+MATCH(D3528,ARTICULOS!$F$10:$F$699,0)</f>
        <v/>
      </c>
      <c r="C3528" s="86">
        <f>+VLOOKUP(B3528,ARTICULOS!$D$10:$I$699,6)</f>
        <v/>
      </c>
      <c r="D3528" s="212" t="n"/>
      <c r="E3528" s="75">
        <f>+C3528&amp;F3528</f>
        <v/>
      </c>
      <c r="F3528" s="80" t="n"/>
      <c r="G3528" s="81" t="n"/>
      <c r="H3528" s="78" t="n"/>
      <c r="I3528" s="78" t="n"/>
      <c r="J3528" s="78" t="n"/>
    </row>
    <row r="3529">
      <c r="A3529" s="84">
        <f>ROW()-6</f>
        <v/>
      </c>
      <c r="B3529" s="85">
        <f>+MATCH(D3529,ARTICULOS!$F$10:$F$699,0)</f>
        <v/>
      </c>
      <c r="C3529" s="86">
        <f>+VLOOKUP(B3529,ARTICULOS!$D$10:$I$699,6)</f>
        <v/>
      </c>
      <c r="D3529" s="212" t="n"/>
      <c r="E3529" s="75">
        <f>+C3529&amp;F3529</f>
        <v/>
      </c>
      <c r="F3529" s="80" t="n"/>
      <c r="G3529" s="81" t="n"/>
      <c r="H3529" s="78" t="n"/>
      <c r="I3529" s="78" t="n"/>
      <c r="J3529" s="78" t="n"/>
    </row>
    <row r="3530">
      <c r="A3530" s="84">
        <f>ROW()-6</f>
        <v/>
      </c>
      <c r="B3530" s="85">
        <f>+MATCH(D3530,ARTICULOS!$F$10:$F$699,0)</f>
        <v/>
      </c>
      <c r="C3530" s="86">
        <f>+VLOOKUP(B3530,ARTICULOS!$D$10:$I$699,6)</f>
        <v/>
      </c>
      <c r="D3530" s="212" t="n"/>
      <c r="E3530" s="75">
        <f>+C3530&amp;F3530</f>
        <v/>
      </c>
      <c r="F3530" s="80" t="n"/>
      <c r="G3530" s="81" t="n"/>
      <c r="H3530" s="78" t="n"/>
      <c r="I3530" s="78" t="n"/>
      <c r="J3530" s="78" t="n"/>
    </row>
    <row r="3531">
      <c r="A3531" s="84">
        <f>ROW()-6</f>
        <v/>
      </c>
      <c r="B3531" s="85">
        <f>+MATCH(D3531,ARTICULOS!$F$10:$F$699,0)</f>
        <v/>
      </c>
      <c r="C3531" s="86">
        <f>+VLOOKUP(B3531,ARTICULOS!$D$10:$I$699,6)</f>
        <v/>
      </c>
      <c r="D3531" s="212" t="n"/>
      <c r="E3531" s="75">
        <f>+C3531&amp;F3531</f>
        <v/>
      </c>
      <c r="F3531" s="80" t="n"/>
      <c r="G3531" s="81" t="n"/>
      <c r="H3531" s="78" t="n"/>
      <c r="I3531" s="78" t="n"/>
      <c r="J3531" s="78" t="n"/>
    </row>
    <row r="3532">
      <c r="A3532" s="84">
        <f>ROW()-6</f>
        <v/>
      </c>
      <c r="B3532" s="85">
        <f>+MATCH(D3532,ARTICULOS!$F$10:$F$699,0)</f>
        <v/>
      </c>
      <c r="C3532" s="86">
        <f>+VLOOKUP(B3532,ARTICULOS!$D$10:$I$699,6)</f>
        <v/>
      </c>
      <c r="D3532" s="212" t="n"/>
      <c r="E3532" s="75">
        <f>+C3532&amp;F3532</f>
        <v/>
      </c>
      <c r="F3532" s="80" t="n"/>
      <c r="G3532" s="81" t="n"/>
      <c r="H3532" s="78" t="n"/>
      <c r="I3532" s="78" t="n"/>
      <c r="J3532" s="78" t="n"/>
    </row>
    <row r="3533">
      <c r="A3533" s="84">
        <f>ROW()-6</f>
        <v/>
      </c>
      <c r="B3533" s="85">
        <f>+MATCH(D3533,ARTICULOS!$F$10:$F$699,0)</f>
        <v/>
      </c>
      <c r="C3533" s="86">
        <f>+VLOOKUP(B3533,ARTICULOS!$D$10:$I$699,6)</f>
        <v/>
      </c>
      <c r="D3533" s="212" t="n"/>
      <c r="E3533" s="75">
        <f>+C3533&amp;F3533</f>
        <v/>
      </c>
      <c r="F3533" s="80" t="n"/>
      <c r="G3533" s="81" t="n"/>
      <c r="H3533" s="78" t="n"/>
      <c r="I3533" s="78" t="n"/>
      <c r="J3533" s="78" t="n"/>
    </row>
    <row r="3534">
      <c r="A3534" s="84">
        <f>ROW()-6</f>
        <v/>
      </c>
      <c r="B3534" s="85">
        <f>+MATCH(D3534,ARTICULOS!$F$10:$F$699,0)</f>
        <v/>
      </c>
      <c r="C3534" s="86">
        <f>+VLOOKUP(B3534,ARTICULOS!$D$10:$I$699,6)</f>
        <v/>
      </c>
      <c r="D3534" s="212" t="n"/>
      <c r="E3534" s="75">
        <f>+C3534&amp;F3534</f>
        <v/>
      </c>
      <c r="F3534" s="80" t="n"/>
      <c r="G3534" s="81" t="n"/>
      <c r="H3534" s="78" t="n"/>
      <c r="I3534" s="78" t="n"/>
      <c r="J3534" s="78" t="n"/>
    </row>
    <row r="3535">
      <c r="A3535" s="84">
        <f>ROW()-6</f>
        <v/>
      </c>
      <c r="B3535" s="85">
        <f>+MATCH(D3535,ARTICULOS!$F$10:$F$699,0)</f>
        <v/>
      </c>
      <c r="C3535" s="86">
        <f>+VLOOKUP(B3535,ARTICULOS!$D$10:$I$699,6)</f>
        <v/>
      </c>
      <c r="D3535" s="212" t="n"/>
      <c r="E3535" s="75">
        <f>+C3535&amp;F3535</f>
        <v/>
      </c>
      <c r="F3535" s="80" t="n"/>
      <c r="G3535" s="81" t="n"/>
      <c r="H3535" s="78" t="n"/>
      <c r="I3535" s="78" t="n"/>
      <c r="J3535" s="78" t="n"/>
    </row>
    <row r="3536">
      <c r="A3536" s="84">
        <f>ROW()-6</f>
        <v/>
      </c>
      <c r="B3536" s="85">
        <f>+MATCH(D3536,ARTICULOS!$F$10:$F$699,0)</f>
        <v/>
      </c>
      <c r="C3536" s="86">
        <f>+VLOOKUP(B3536,ARTICULOS!$D$10:$I$699,6)</f>
        <v/>
      </c>
      <c r="D3536" s="212" t="n"/>
      <c r="E3536" s="75">
        <f>+C3536&amp;F3536</f>
        <v/>
      </c>
      <c r="F3536" s="80" t="n"/>
      <c r="G3536" s="81" t="n"/>
      <c r="H3536" s="78" t="n"/>
      <c r="I3536" s="78" t="n"/>
      <c r="J3536" s="78" t="n"/>
    </row>
    <row r="3537">
      <c r="A3537" s="84">
        <f>ROW()-6</f>
        <v/>
      </c>
      <c r="B3537" s="85">
        <f>+MATCH(D3537,ARTICULOS!$F$10:$F$699,0)</f>
        <v/>
      </c>
      <c r="C3537" s="86">
        <f>+VLOOKUP(B3537,ARTICULOS!$D$10:$I$699,6)</f>
        <v/>
      </c>
      <c r="D3537" s="212" t="n"/>
      <c r="E3537" s="75">
        <f>+C3537&amp;F3537</f>
        <v/>
      </c>
      <c r="F3537" s="80" t="n"/>
      <c r="G3537" s="81" t="n"/>
      <c r="H3537" s="78" t="n"/>
      <c r="I3537" s="78" t="n"/>
      <c r="J3537" s="78" t="n"/>
    </row>
    <row r="3538">
      <c r="A3538" s="84">
        <f>ROW()-6</f>
        <v/>
      </c>
      <c r="B3538" s="85">
        <f>+MATCH(D3538,ARTICULOS!$F$10:$F$699,0)</f>
        <v/>
      </c>
      <c r="C3538" s="86">
        <f>+VLOOKUP(B3538,ARTICULOS!$D$10:$I$699,6)</f>
        <v/>
      </c>
      <c r="D3538" s="212" t="n"/>
      <c r="E3538" s="75">
        <f>+C3538&amp;F3538</f>
        <v/>
      </c>
      <c r="F3538" s="80" t="n"/>
      <c r="G3538" s="81" t="n"/>
      <c r="H3538" s="78" t="n"/>
      <c r="I3538" s="78" t="n"/>
      <c r="J3538" s="78" t="n"/>
    </row>
    <row r="3539">
      <c r="A3539" s="84">
        <f>ROW()-6</f>
        <v/>
      </c>
      <c r="B3539" s="85">
        <f>+MATCH(D3539,ARTICULOS!$F$10:$F$699,0)</f>
        <v/>
      </c>
      <c r="C3539" s="86">
        <f>+VLOOKUP(B3539,ARTICULOS!$D$10:$I$699,6)</f>
        <v/>
      </c>
      <c r="D3539" s="212" t="n"/>
      <c r="E3539" s="75">
        <f>+C3539&amp;F3539</f>
        <v/>
      </c>
      <c r="F3539" s="80" t="n"/>
      <c r="G3539" s="81" t="n"/>
      <c r="H3539" s="78" t="n"/>
      <c r="I3539" s="78" t="n"/>
      <c r="J3539" s="78" t="n"/>
    </row>
    <row r="3540">
      <c r="A3540" s="84">
        <f>ROW()-6</f>
        <v/>
      </c>
      <c r="B3540" s="85">
        <f>+MATCH(D3540,ARTICULOS!$F$10:$F$699,0)</f>
        <v/>
      </c>
      <c r="C3540" s="86">
        <f>+VLOOKUP(B3540,ARTICULOS!$D$10:$I$699,6)</f>
        <v/>
      </c>
      <c r="D3540" s="212" t="n"/>
      <c r="E3540" s="75">
        <f>+C3540&amp;F3540</f>
        <v/>
      </c>
      <c r="F3540" s="80" t="n"/>
      <c r="G3540" s="81" t="n"/>
      <c r="H3540" s="78" t="n"/>
      <c r="I3540" s="78" t="n"/>
      <c r="J3540" s="78" t="n"/>
    </row>
    <row r="3541">
      <c r="A3541" s="84">
        <f>ROW()-6</f>
        <v/>
      </c>
      <c r="B3541" s="85">
        <f>+MATCH(D3541,ARTICULOS!$F$10:$F$699,0)</f>
        <v/>
      </c>
      <c r="C3541" s="86">
        <f>+VLOOKUP(B3541,ARTICULOS!$D$10:$I$699,6)</f>
        <v/>
      </c>
      <c r="D3541" s="212" t="n"/>
      <c r="E3541" s="75">
        <f>+C3541&amp;F3541</f>
        <v/>
      </c>
      <c r="F3541" s="80" t="n"/>
      <c r="G3541" s="81" t="n"/>
      <c r="H3541" s="78" t="n"/>
      <c r="I3541" s="78" t="n"/>
      <c r="J3541" s="78" t="n"/>
    </row>
    <row r="3542">
      <c r="A3542" s="84">
        <f>ROW()-6</f>
        <v/>
      </c>
      <c r="B3542" s="85">
        <f>+MATCH(D3542,ARTICULOS!$F$10:$F$699,0)</f>
        <v/>
      </c>
      <c r="C3542" s="86">
        <f>+VLOOKUP(B3542,ARTICULOS!$D$10:$I$699,6)</f>
        <v/>
      </c>
      <c r="D3542" s="212" t="n"/>
      <c r="E3542" s="75">
        <f>+C3542&amp;F3542</f>
        <v/>
      </c>
      <c r="F3542" s="80" t="n"/>
      <c r="G3542" s="81" t="n"/>
      <c r="H3542" s="78" t="n"/>
      <c r="I3542" s="78" t="n"/>
      <c r="J3542" s="78" t="n"/>
    </row>
    <row r="3543">
      <c r="A3543" s="84">
        <f>ROW()-6</f>
        <v/>
      </c>
      <c r="B3543" s="85">
        <f>+MATCH(D3543,ARTICULOS!$F$10:$F$699,0)</f>
        <v/>
      </c>
      <c r="C3543" s="86">
        <f>+VLOOKUP(B3543,ARTICULOS!$D$10:$I$699,6)</f>
        <v/>
      </c>
      <c r="D3543" s="212" t="n"/>
      <c r="E3543" s="75">
        <f>+C3543&amp;F3543</f>
        <v/>
      </c>
      <c r="F3543" s="80" t="n"/>
      <c r="G3543" s="81" t="n"/>
      <c r="H3543" s="78" t="n"/>
      <c r="I3543" s="78" t="n"/>
      <c r="J3543" s="78" t="n"/>
    </row>
    <row r="3544">
      <c r="A3544" s="84">
        <f>ROW()-6</f>
        <v/>
      </c>
      <c r="B3544" s="85">
        <f>+MATCH(D3544,ARTICULOS!$F$10:$F$699,0)</f>
        <v/>
      </c>
      <c r="C3544" s="86">
        <f>+VLOOKUP(B3544,ARTICULOS!$D$10:$I$699,6)</f>
        <v/>
      </c>
      <c r="D3544" s="212" t="n"/>
      <c r="E3544" s="75">
        <f>+C3544&amp;F3544</f>
        <v/>
      </c>
      <c r="F3544" s="80" t="n"/>
      <c r="G3544" s="81" t="n"/>
      <c r="H3544" s="78" t="n"/>
      <c r="I3544" s="78" t="n"/>
      <c r="J3544" s="78" t="n"/>
    </row>
    <row r="3545">
      <c r="A3545" s="84">
        <f>ROW()-6</f>
        <v/>
      </c>
      <c r="B3545" s="85">
        <f>+MATCH(D3545,ARTICULOS!$F$10:$F$699,0)</f>
        <v/>
      </c>
      <c r="C3545" s="86">
        <f>+VLOOKUP(B3545,ARTICULOS!$D$10:$I$699,6)</f>
        <v/>
      </c>
      <c r="D3545" s="212" t="n"/>
      <c r="E3545" s="75">
        <f>+C3545&amp;F3545</f>
        <v/>
      </c>
      <c r="F3545" s="80" t="n"/>
      <c r="G3545" s="81" t="n"/>
      <c r="H3545" s="78" t="n"/>
      <c r="I3545" s="78" t="n"/>
      <c r="J3545" s="78" t="n"/>
    </row>
    <row r="3546">
      <c r="A3546" s="84">
        <f>ROW()-6</f>
        <v/>
      </c>
      <c r="B3546" s="85">
        <f>+MATCH(D3546,ARTICULOS!$F$10:$F$699,0)</f>
        <v/>
      </c>
      <c r="C3546" s="86">
        <f>+VLOOKUP(B3546,ARTICULOS!$D$10:$I$699,6)</f>
        <v/>
      </c>
      <c r="D3546" s="212" t="n"/>
      <c r="E3546" s="75">
        <f>+C3546&amp;F3546</f>
        <v/>
      </c>
      <c r="F3546" s="80" t="n"/>
      <c r="G3546" s="81" t="n"/>
      <c r="H3546" s="78" t="n"/>
      <c r="I3546" s="78" t="n"/>
      <c r="J3546" s="78" t="n"/>
    </row>
    <row r="3547">
      <c r="A3547" s="84">
        <f>ROW()-6</f>
        <v/>
      </c>
      <c r="B3547" s="85">
        <f>+MATCH(D3547,ARTICULOS!$F$10:$F$699,0)</f>
        <v/>
      </c>
      <c r="C3547" s="86">
        <f>+VLOOKUP(B3547,ARTICULOS!$D$10:$I$699,6)</f>
        <v/>
      </c>
      <c r="D3547" s="212" t="n"/>
      <c r="E3547" s="75">
        <f>+C3547&amp;F3547</f>
        <v/>
      </c>
      <c r="F3547" s="80" t="n"/>
      <c r="G3547" s="81" t="n"/>
      <c r="H3547" s="78" t="n"/>
      <c r="I3547" s="78" t="n"/>
      <c r="J3547" s="78" t="n"/>
    </row>
    <row r="3548">
      <c r="A3548" s="84">
        <f>ROW()-6</f>
        <v/>
      </c>
      <c r="B3548" s="85">
        <f>+MATCH(D3548,ARTICULOS!$F$10:$F$699,0)</f>
        <v/>
      </c>
      <c r="C3548" s="86">
        <f>+VLOOKUP(B3548,ARTICULOS!$D$10:$I$699,6)</f>
        <v/>
      </c>
      <c r="D3548" s="212" t="n"/>
      <c r="E3548" s="75">
        <f>+C3548&amp;F3548</f>
        <v/>
      </c>
      <c r="F3548" s="80" t="n"/>
      <c r="G3548" s="81" t="n"/>
      <c r="H3548" s="78" t="n"/>
      <c r="I3548" s="78" t="n"/>
      <c r="J3548" s="78" t="n"/>
    </row>
    <row r="3549">
      <c r="A3549" s="84">
        <f>ROW()-6</f>
        <v/>
      </c>
      <c r="B3549" s="85">
        <f>+MATCH(D3549,ARTICULOS!$F$10:$F$699,0)</f>
        <v/>
      </c>
      <c r="C3549" s="86">
        <f>+VLOOKUP(B3549,ARTICULOS!$D$10:$I$699,6)</f>
        <v/>
      </c>
      <c r="D3549" s="212" t="n"/>
      <c r="E3549" s="75">
        <f>+C3549&amp;F3549</f>
        <v/>
      </c>
      <c r="F3549" s="80" t="n"/>
      <c r="G3549" s="81" t="n"/>
      <c r="H3549" s="78" t="n"/>
      <c r="I3549" s="78" t="n"/>
      <c r="J3549" s="78" t="n"/>
    </row>
    <row r="3550">
      <c r="A3550" s="84">
        <f>ROW()-6</f>
        <v/>
      </c>
      <c r="B3550" s="85">
        <f>+MATCH(D3550,ARTICULOS!$F$10:$F$699,0)</f>
        <v/>
      </c>
      <c r="C3550" s="86">
        <f>+VLOOKUP(B3550,ARTICULOS!$D$10:$I$699,6)</f>
        <v/>
      </c>
      <c r="D3550" s="212" t="n"/>
      <c r="E3550" s="75">
        <f>+C3550&amp;F3550</f>
        <v/>
      </c>
      <c r="F3550" s="80" t="n"/>
      <c r="G3550" s="81" t="n"/>
      <c r="H3550" s="78" t="n"/>
      <c r="I3550" s="78" t="n"/>
      <c r="J3550" s="78" t="n"/>
    </row>
    <row r="3551">
      <c r="A3551" s="84">
        <f>ROW()-6</f>
        <v/>
      </c>
      <c r="B3551" s="85">
        <f>+MATCH(D3551,ARTICULOS!$F$10:$F$699,0)</f>
        <v/>
      </c>
      <c r="C3551" s="86">
        <f>+VLOOKUP(B3551,ARTICULOS!$D$10:$I$699,6)</f>
        <v/>
      </c>
      <c r="D3551" s="212" t="n"/>
      <c r="E3551" s="75">
        <f>+C3551&amp;F3551</f>
        <v/>
      </c>
      <c r="F3551" s="80" t="n"/>
      <c r="G3551" s="81" t="n"/>
      <c r="H3551" s="78" t="n"/>
      <c r="I3551" s="78" t="n"/>
      <c r="J3551" s="78" t="n"/>
    </row>
    <row r="3552">
      <c r="A3552" s="84">
        <f>ROW()-6</f>
        <v/>
      </c>
      <c r="B3552" s="85">
        <f>+MATCH(D3552,ARTICULOS!$F$10:$F$699,0)</f>
        <v/>
      </c>
      <c r="C3552" s="86">
        <f>+VLOOKUP(B3552,ARTICULOS!$D$10:$I$699,6)</f>
        <v/>
      </c>
      <c r="D3552" s="212" t="n"/>
      <c r="E3552" s="75">
        <f>+C3552&amp;F3552</f>
        <v/>
      </c>
      <c r="F3552" s="80" t="n"/>
      <c r="G3552" s="81" t="n"/>
      <c r="H3552" s="78" t="n"/>
      <c r="I3552" s="78" t="n"/>
      <c r="J3552" s="78" t="n"/>
    </row>
    <row r="3553">
      <c r="A3553" s="84">
        <f>ROW()-6</f>
        <v/>
      </c>
      <c r="B3553" s="85">
        <f>+MATCH(D3553,ARTICULOS!$F$10:$F$699,0)</f>
        <v/>
      </c>
      <c r="C3553" s="86">
        <f>+VLOOKUP(B3553,ARTICULOS!$D$10:$I$699,6)</f>
        <v/>
      </c>
      <c r="D3553" s="212" t="n"/>
      <c r="E3553" s="75">
        <f>+C3553&amp;F3553</f>
        <v/>
      </c>
      <c r="F3553" s="80" t="n"/>
      <c r="G3553" s="81" t="n"/>
      <c r="H3553" s="78" t="n"/>
      <c r="I3553" s="78" t="n"/>
      <c r="J3553" s="78" t="n"/>
    </row>
    <row r="3554">
      <c r="A3554" s="84">
        <f>ROW()-6</f>
        <v/>
      </c>
      <c r="B3554" s="85">
        <f>+MATCH(D3554,ARTICULOS!$F$10:$F$699,0)</f>
        <v/>
      </c>
      <c r="C3554" s="86">
        <f>+VLOOKUP(B3554,ARTICULOS!$D$10:$I$699,6)</f>
        <v/>
      </c>
      <c r="D3554" s="212" t="n"/>
      <c r="E3554" s="75">
        <f>+C3554&amp;F3554</f>
        <v/>
      </c>
      <c r="F3554" s="80" t="n"/>
      <c r="G3554" s="81" t="n"/>
      <c r="H3554" s="78" t="n"/>
      <c r="I3554" s="78" t="n"/>
      <c r="J3554" s="78" t="n"/>
    </row>
    <row r="3555">
      <c r="A3555" s="84">
        <f>ROW()-6</f>
        <v/>
      </c>
      <c r="B3555" s="85">
        <f>+MATCH(D3555,ARTICULOS!$F$10:$F$699,0)</f>
        <v/>
      </c>
      <c r="C3555" s="86">
        <f>+VLOOKUP(B3555,ARTICULOS!$D$10:$I$699,6)</f>
        <v/>
      </c>
      <c r="D3555" s="212" t="n"/>
      <c r="E3555" s="75">
        <f>+C3555&amp;F3555</f>
        <v/>
      </c>
      <c r="F3555" s="80" t="n"/>
      <c r="G3555" s="81" t="n"/>
      <c r="H3555" s="78" t="n"/>
      <c r="I3555" s="78" t="n"/>
      <c r="J3555" s="78" t="n"/>
    </row>
    <row r="3556">
      <c r="A3556" s="84">
        <f>ROW()-6</f>
        <v/>
      </c>
      <c r="B3556" s="85">
        <f>+MATCH(D3556,ARTICULOS!$F$10:$F$699,0)</f>
        <v/>
      </c>
      <c r="C3556" s="86">
        <f>+VLOOKUP(B3556,ARTICULOS!$D$10:$I$699,6)</f>
        <v/>
      </c>
      <c r="D3556" s="212" t="n"/>
      <c r="E3556" s="75">
        <f>+C3556&amp;F3556</f>
        <v/>
      </c>
      <c r="F3556" s="80" t="n"/>
      <c r="G3556" s="81" t="n"/>
      <c r="H3556" s="78" t="n"/>
      <c r="I3556" s="78" t="n"/>
      <c r="J3556" s="78" t="n"/>
    </row>
    <row r="3557">
      <c r="A3557" s="84">
        <f>ROW()-6</f>
        <v/>
      </c>
      <c r="B3557" s="85">
        <f>+MATCH(D3557,ARTICULOS!$F$10:$F$699,0)</f>
        <v/>
      </c>
      <c r="C3557" s="86">
        <f>+VLOOKUP(B3557,ARTICULOS!$D$10:$I$699,6)</f>
        <v/>
      </c>
      <c r="D3557" s="212" t="n"/>
      <c r="E3557" s="75">
        <f>+C3557&amp;F3557</f>
        <v/>
      </c>
      <c r="F3557" s="80" t="n"/>
      <c r="G3557" s="81" t="n"/>
      <c r="H3557" s="78" t="n"/>
      <c r="I3557" s="78" t="n"/>
      <c r="J3557" s="78" t="n"/>
    </row>
    <row r="3558">
      <c r="A3558" s="84">
        <f>ROW()-6</f>
        <v/>
      </c>
      <c r="B3558" s="85">
        <f>+MATCH(D3558,ARTICULOS!$F$10:$F$699,0)</f>
        <v/>
      </c>
      <c r="C3558" s="86">
        <f>+VLOOKUP(B3558,ARTICULOS!$D$10:$I$699,6)</f>
        <v/>
      </c>
      <c r="D3558" s="212" t="n"/>
      <c r="E3558" s="75">
        <f>+C3558&amp;F3558</f>
        <v/>
      </c>
      <c r="F3558" s="80" t="n"/>
      <c r="G3558" s="81" t="n"/>
      <c r="H3558" s="78" t="n"/>
      <c r="I3558" s="78" t="n"/>
      <c r="J3558" s="78" t="n"/>
    </row>
    <row r="3559">
      <c r="A3559" s="84">
        <f>ROW()-6</f>
        <v/>
      </c>
      <c r="B3559" s="85">
        <f>+MATCH(D3559,ARTICULOS!$F$10:$F$699,0)</f>
        <v/>
      </c>
      <c r="C3559" s="86">
        <f>+VLOOKUP(B3559,ARTICULOS!$D$10:$I$699,6)</f>
        <v/>
      </c>
      <c r="D3559" s="212" t="n"/>
      <c r="E3559" s="75">
        <f>+C3559&amp;F3559</f>
        <v/>
      </c>
      <c r="F3559" s="80" t="n"/>
      <c r="G3559" s="81" t="n"/>
      <c r="H3559" s="78" t="n"/>
      <c r="I3559" s="78" t="n"/>
      <c r="J3559" s="78" t="n"/>
    </row>
    <row r="3560">
      <c r="A3560" s="84">
        <f>ROW()-6</f>
        <v/>
      </c>
      <c r="B3560" s="85">
        <f>+MATCH(D3560,ARTICULOS!$F$10:$F$699,0)</f>
        <v/>
      </c>
      <c r="C3560" s="86">
        <f>+VLOOKUP(B3560,ARTICULOS!$D$10:$I$699,6)</f>
        <v/>
      </c>
      <c r="D3560" s="212" t="n"/>
      <c r="E3560" s="75">
        <f>+C3560&amp;F3560</f>
        <v/>
      </c>
      <c r="F3560" s="80" t="n"/>
      <c r="G3560" s="81" t="n"/>
      <c r="H3560" s="78" t="n"/>
      <c r="I3560" s="78" t="n"/>
      <c r="J3560" s="78" t="n"/>
    </row>
    <row r="3561">
      <c r="A3561" s="84">
        <f>ROW()-6</f>
        <v/>
      </c>
      <c r="B3561" s="85">
        <f>+MATCH(D3561,ARTICULOS!$F$10:$F$699,0)</f>
        <v/>
      </c>
      <c r="C3561" s="86">
        <f>+VLOOKUP(B3561,ARTICULOS!$D$10:$I$699,6)</f>
        <v/>
      </c>
      <c r="D3561" s="212" t="n"/>
      <c r="E3561" s="75">
        <f>+C3561&amp;F3561</f>
        <v/>
      </c>
      <c r="F3561" s="80" t="n"/>
      <c r="G3561" s="81" t="n"/>
      <c r="H3561" s="78" t="n"/>
      <c r="I3561" s="78" t="n"/>
      <c r="J3561" s="78" t="n"/>
    </row>
    <row r="3562">
      <c r="A3562" s="84">
        <f>ROW()-6</f>
        <v/>
      </c>
      <c r="B3562" s="85">
        <f>+MATCH(D3562,ARTICULOS!$F$10:$F$699,0)</f>
        <v/>
      </c>
      <c r="C3562" s="86">
        <f>+VLOOKUP(B3562,ARTICULOS!$D$10:$I$699,6)</f>
        <v/>
      </c>
      <c r="D3562" s="212" t="n"/>
      <c r="E3562" s="75">
        <f>+C3562&amp;F3562</f>
        <v/>
      </c>
      <c r="F3562" s="80" t="n"/>
      <c r="G3562" s="81" t="n"/>
      <c r="H3562" s="78" t="n"/>
      <c r="I3562" s="78" t="n"/>
      <c r="J3562" s="78" t="n"/>
    </row>
    <row r="3563">
      <c r="A3563" s="84">
        <f>ROW()-6</f>
        <v/>
      </c>
      <c r="B3563" s="85">
        <f>+MATCH(D3563,ARTICULOS!$F$10:$F$699,0)</f>
        <v/>
      </c>
      <c r="C3563" s="86">
        <f>+VLOOKUP(B3563,ARTICULOS!$D$10:$I$699,6)</f>
        <v/>
      </c>
      <c r="D3563" s="212" t="n"/>
      <c r="E3563" s="75">
        <f>+C3563&amp;F3563</f>
        <v/>
      </c>
      <c r="F3563" s="80" t="n"/>
      <c r="G3563" s="81" t="n"/>
      <c r="H3563" s="78" t="n"/>
      <c r="I3563" s="78" t="n"/>
      <c r="J3563" s="78" t="n"/>
    </row>
    <row r="3564">
      <c r="A3564" s="84">
        <f>ROW()-6</f>
        <v/>
      </c>
      <c r="B3564" s="85">
        <f>+MATCH(D3564,ARTICULOS!$F$10:$F$699,0)</f>
        <v/>
      </c>
      <c r="C3564" s="86">
        <f>+VLOOKUP(B3564,ARTICULOS!$D$10:$I$699,6)</f>
        <v/>
      </c>
      <c r="D3564" s="212" t="n"/>
      <c r="E3564" s="75">
        <f>+C3564&amp;F3564</f>
        <v/>
      </c>
      <c r="F3564" s="80" t="n"/>
      <c r="G3564" s="81" t="n"/>
      <c r="H3564" s="78" t="n"/>
      <c r="I3564" s="78" t="n"/>
      <c r="J3564" s="78" t="n"/>
    </row>
    <row r="3565">
      <c r="A3565" s="84">
        <f>ROW()-6</f>
        <v/>
      </c>
      <c r="B3565" s="85">
        <f>+MATCH(D3565,ARTICULOS!$F$10:$F$699,0)</f>
        <v/>
      </c>
      <c r="C3565" s="86">
        <f>+VLOOKUP(B3565,ARTICULOS!$D$10:$I$699,6)</f>
        <v/>
      </c>
      <c r="D3565" s="212" t="n"/>
      <c r="E3565" s="75">
        <f>+C3565&amp;F3565</f>
        <v/>
      </c>
      <c r="F3565" s="80" t="n"/>
      <c r="G3565" s="81" t="n"/>
      <c r="H3565" s="78" t="n"/>
      <c r="I3565" s="78" t="n"/>
      <c r="J3565" s="78" t="n"/>
    </row>
    <row r="3566">
      <c r="A3566" s="84">
        <f>ROW()-6</f>
        <v/>
      </c>
      <c r="B3566" s="85">
        <f>+MATCH(D3566,ARTICULOS!$F$10:$F$699,0)</f>
        <v/>
      </c>
      <c r="C3566" s="86">
        <f>+VLOOKUP(B3566,ARTICULOS!$D$10:$I$699,6)</f>
        <v/>
      </c>
      <c r="D3566" s="212" t="n"/>
      <c r="E3566" s="75">
        <f>+C3566&amp;F3566</f>
        <v/>
      </c>
      <c r="F3566" s="80" t="n"/>
      <c r="G3566" s="81" t="n"/>
      <c r="H3566" s="78" t="n"/>
      <c r="I3566" s="78" t="n"/>
      <c r="J3566" s="78" t="n"/>
    </row>
    <row r="3567">
      <c r="A3567" s="84">
        <f>ROW()-6</f>
        <v/>
      </c>
      <c r="B3567" s="85">
        <f>+MATCH(D3567,ARTICULOS!$F$10:$F$699,0)</f>
        <v/>
      </c>
      <c r="C3567" s="86">
        <f>+VLOOKUP(B3567,ARTICULOS!$D$10:$I$699,6)</f>
        <v/>
      </c>
      <c r="D3567" s="212" t="n"/>
      <c r="E3567" s="75">
        <f>+C3567&amp;F3567</f>
        <v/>
      </c>
      <c r="F3567" s="80" t="n"/>
      <c r="G3567" s="81" t="n"/>
      <c r="H3567" s="78" t="n"/>
      <c r="I3567" s="78" t="n"/>
      <c r="J3567" s="78" t="n"/>
    </row>
    <row r="3568">
      <c r="A3568" s="84">
        <f>ROW()-6</f>
        <v/>
      </c>
      <c r="B3568" s="85">
        <f>+MATCH(D3568,ARTICULOS!$F$10:$F$699,0)</f>
        <v/>
      </c>
      <c r="C3568" s="86">
        <f>+VLOOKUP(B3568,ARTICULOS!$D$10:$I$699,6)</f>
        <v/>
      </c>
      <c r="D3568" s="212" t="n"/>
      <c r="E3568" s="75">
        <f>+C3568&amp;F3568</f>
        <v/>
      </c>
      <c r="F3568" s="80" t="n"/>
      <c r="G3568" s="81" t="n"/>
      <c r="H3568" s="78" t="n"/>
      <c r="I3568" s="78" t="n"/>
      <c r="J3568" s="78" t="n"/>
    </row>
    <row r="3569">
      <c r="A3569" s="84">
        <f>ROW()-6</f>
        <v/>
      </c>
      <c r="B3569" s="85">
        <f>+MATCH(D3569,ARTICULOS!$F$10:$F$699,0)</f>
        <v/>
      </c>
      <c r="C3569" s="86">
        <f>+VLOOKUP(B3569,ARTICULOS!$D$10:$I$699,6)</f>
        <v/>
      </c>
      <c r="D3569" s="212" t="n"/>
      <c r="E3569" s="75">
        <f>+C3569&amp;F3569</f>
        <v/>
      </c>
      <c r="F3569" s="80" t="n"/>
      <c r="G3569" s="81" t="n"/>
      <c r="H3569" s="78" t="n"/>
      <c r="I3569" s="78" t="n"/>
      <c r="J3569" s="78" t="n"/>
    </row>
    <row r="3570">
      <c r="A3570" s="84">
        <f>ROW()-6</f>
        <v/>
      </c>
      <c r="B3570" s="85">
        <f>+MATCH(D3570,ARTICULOS!$F$10:$F$699,0)</f>
        <v/>
      </c>
      <c r="C3570" s="86">
        <f>+VLOOKUP(B3570,ARTICULOS!$D$10:$I$699,6)</f>
        <v/>
      </c>
      <c r="D3570" s="212" t="n"/>
      <c r="E3570" s="75">
        <f>+C3570&amp;F3570</f>
        <v/>
      </c>
      <c r="F3570" s="80" t="n"/>
      <c r="G3570" s="81" t="n"/>
      <c r="H3570" s="78" t="n"/>
      <c r="I3570" s="78" t="n"/>
      <c r="J3570" s="78" t="n"/>
    </row>
    <row r="3571">
      <c r="A3571" s="84">
        <f>ROW()-6</f>
        <v/>
      </c>
      <c r="B3571" s="85">
        <f>+MATCH(D3571,ARTICULOS!$F$10:$F$699,0)</f>
        <v/>
      </c>
      <c r="C3571" s="86">
        <f>+VLOOKUP(B3571,ARTICULOS!$D$10:$I$699,6)</f>
        <v/>
      </c>
      <c r="D3571" s="212" t="n"/>
      <c r="E3571" s="75">
        <f>+C3571&amp;F3571</f>
        <v/>
      </c>
      <c r="F3571" s="80" t="n"/>
      <c r="G3571" s="81" t="n"/>
      <c r="H3571" s="78" t="n"/>
      <c r="I3571" s="78" t="n"/>
      <c r="J3571" s="78" t="n"/>
    </row>
    <row r="3572">
      <c r="A3572" s="84">
        <f>ROW()-6</f>
        <v/>
      </c>
      <c r="B3572" s="85">
        <f>+MATCH(D3572,ARTICULOS!$F$10:$F$699,0)</f>
        <v/>
      </c>
      <c r="C3572" s="86">
        <f>+VLOOKUP(B3572,ARTICULOS!$D$10:$I$699,6)</f>
        <v/>
      </c>
      <c r="D3572" s="212" t="n"/>
      <c r="E3572" s="75">
        <f>+C3572&amp;F3572</f>
        <v/>
      </c>
      <c r="F3572" s="80" t="n"/>
      <c r="G3572" s="81" t="n"/>
      <c r="H3572" s="78" t="n"/>
      <c r="I3572" s="78" t="n"/>
      <c r="J3572" s="78" t="n"/>
    </row>
    <row r="3573">
      <c r="A3573" s="84">
        <f>ROW()-6</f>
        <v/>
      </c>
      <c r="B3573" s="85">
        <f>+MATCH(D3573,ARTICULOS!$F$10:$F$699,0)</f>
        <v/>
      </c>
      <c r="C3573" s="86">
        <f>+VLOOKUP(B3573,ARTICULOS!$D$10:$I$699,6)</f>
        <v/>
      </c>
      <c r="D3573" s="212" t="n"/>
      <c r="E3573" s="75">
        <f>+C3573&amp;F3573</f>
        <v/>
      </c>
      <c r="F3573" s="80" t="n"/>
      <c r="G3573" s="81" t="n"/>
      <c r="H3573" s="78" t="n"/>
      <c r="I3573" s="78" t="n"/>
      <c r="J3573" s="78" t="n"/>
    </row>
    <row r="3574">
      <c r="A3574" s="84">
        <f>ROW()-6</f>
        <v/>
      </c>
      <c r="B3574" s="85">
        <f>+MATCH(D3574,ARTICULOS!$F$10:$F$699,0)</f>
        <v/>
      </c>
      <c r="C3574" s="86">
        <f>+VLOOKUP(B3574,ARTICULOS!$D$10:$I$699,6)</f>
        <v/>
      </c>
      <c r="D3574" s="212" t="n"/>
      <c r="E3574" s="75">
        <f>+C3574&amp;F3574</f>
        <v/>
      </c>
      <c r="F3574" s="80" t="n"/>
      <c r="G3574" s="81" t="n"/>
      <c r="H3574" s="78" t="n"/>
      <c r="I3574" s="78" t="n"/>
      <c r="J3574" s="78" t="n"/>
    </row>
    <row r="3575">
      <c r="A3575" s="84">
        <f>ROW()-6</f>
        <v/>
      </c>
      <c r="B3575" s="85">
        <f>+MATCH(D3575,ARTICULOS!$F$10:$F$699,0)</f>
        <v/>
      </c>
      <c r="C3575" s="86">
        <f>+VLOOKUP(B3575,ARTICULOS!$D$10:$I$699,6)</f>
        <v/>
      </c>
      <c r="D3575" s="212" t="n"/>
      <c r="E3575" s="75">
        <f>+C3575&amp;F3575</f>
        <v/>
      </c>
      <c r="F3575" s="80" t="n"/>
      <c r="G3575" s="81" t="n"/>
      <c r="H3575" s="78" t="n"/>
      <c r="I3575" s="78" t="n"/>
      <c r="J3575" s="78" t="n"/>
    </row>
    <row r="3576">
      <c r="A3576" s="84">
        <f>ROW()-6</f>
        <v/>
      </c>
      <c r="B3576" s="85">
        <f>+MATCH(D3576,ARTICULOS!$F$10:$F$699,0)</f>
        <v/>
      </c>
      <c r="C3576" s="86">
        <f>+VLOOKUP(B3576,ARTICULOS!$D$10:$I$699,6)</f>
        <v/>
      </c>
      <c r="D3576" s="212" t="n"/>
      <c r="E3576" s="75">
        <f>+C3576&amp;F3576</f>
        <v/>
      </c>
      <c r="F3576" s="80" t="n"/>
      <c r="G3576" s="81" t="n"/>
      <c r="H3576" s="78" t="n"/>
      <c r="I3576" s="78" t="n"/>
      <c r="J3576" s="78" t="n"/>
    </row>
    <row r="3577">
      <c r="A3577" s="84">
        <f>ROW()-6</f>
        <v/>
      </c>
      <c r="B3577" s="85">
        <f>+MATCH(D3577,ARTICULOS!$F$10:$F$699,0)</f>
        <v/>
      </c>
      <c r="C3577" s="86">
        <f>+VLOOKUP(B3577,ARTICULOS!$D$10:$I$699,6)</f>
        <v/>
      </c>
      <c r="D3577" s="212" t="n"/>
      <c r="E3577" s="75">
        <f>+C3577&amp;F3577</f>
        <v/>
      </c>
      <c r="F3577" s="80" t="n"/>
      <c r="G3577" s="81" t="n"/>
      <c r="H3577" s="78" t="n"/>
      <c r="I3577" s="78" t="n"/>
      <c r="J3577" s="78" t="n"/>
    </row>
    <row r="3578">
      <c r="A3578" s="84">
        <f>ROW()-6</f>
        <v/>
      </c>
      <c r="B3578" s="85">
        <f>+MATCH(D3578,ARTICULOS!$F$10:$F$699,0)</f>
        <v/>
      </c>
      <c r="C3578" s="86">
        <f>+VLOOKUP(B3578,ARTICULOS!$D$10:$I$699,6)</f>
        <v/>
      </c>
      <c r="D3578" s="212" t="n"/>
      <c r="E3578" s="75">
        <f>+C3578&amp;F3578</f>
        <v/>
      </c>
      <c r="F3578" s="80" t="n"/>
      <c r="G3578" s="81" t="n"/>
      <c r="H3578" s="78" t="n"/>
      <c r="I3578" s="78" t="n"/>
      <c r="J3578" s="78" t="n"/>
    </row>
    <row r="3579">
      <c r="A3579" s="84">
        <f>ROW()-6</f>
        <v/>
      </c>
      <c r="B3579" s="85">
        <f>+MATCH(D3579,ARTICULOS!$F$10:$F$699,0)</f>
        <v/>
      </c>
      <c r="C3579" s="86">
        <f>+VLOOKUP(B3579,ARTICULOS!$D$10:$I$699,6)</f>
        <v/>
      </c>
      <c r="D3579" s="212" t="n"/>
      <c r="E3579" s="75">
        <f>+C3579&amp;F3579</f>
        <v/>
      </c>
      <c r="F3579" s="80" t="n"/>
      <c r="G3579" s="81" t="n"/>
      <c r="H3579" s="78" t="n"/>
      <c r="I3579" s="78" t="n"/>
      <c r="J3579" s="78" t="n"/>
    </row>
    <row r="3580">
      <c r="A3580" s="84">
        <f>ROW()-6</f>
        <v/>
      </c>
      <c r="B3580" s="85">
        <f>+MATCH(D3580,ARTICULOS!$F$10:$F$699,0)</f>
        <v/>
      </c>
      <c r="C3580" s="86">
        <f>+VLOOKUP(B3580,ARTICULOS!$D$10:$I$699,6)</f>
        <v/>
      </c>
      <c r="D3580" s="212" t="n"/>
      <c r="E3580" s="75">
        <f>+C3580&amp;F3580</f>
        <v/>
      </c>
      <c r="F3580" s="80" t="n"/>
      <c r="G3580" s="81" t="n"/>
      <c r="H3580" s="78" t="n"/>
      <c r="I3580" s="78" t="n"/>
      <c r="J3580" s="78" t="n"/>
    </row>
    <row r="3581">
      <c r="A3581" s="84">
        <f>ROW()-6</f>
        <v/>
      </c>
      <c r="B3581" s="85">
        <f>+MATCH(D3581,ARTICULOS!$F$10:$F$699,0)</f>
        <v/>
      </c>
      <c r="C3581" s="86">
        <f>+VLOOKUP(B3581,ARTICULOS!$D$10:$I$699,6)</f>
        <v/>
      </c>
      <c r="D3581" s="212" t="n"/>
      <c r="E3581" s="75">
        <f>+C3581&amp;F3581</f>
        <v/>
      </c>
      <c r="F3581" s="80" t="n"/>
      <c r="G3581" s="81" t="n"/>
      <c r="H3581" s="78" t="n"/>
      <c r="I3581" s="78" t="n"/>
      <c r="J3581" s="78" t="n"/>
    </row>
    <row r="3582">
      <c r="A3582" s="84">
        <f>ROW()-6</f>
        <v/>
      </c>
      <c r="B3582" s="85">
        <f>+MATCH(D3582,ARTICULOS!$F$10:$F$699,0)</f>
        <v/>
      </c>
      <c r="C3582" s="86">
        <f>+VLOOKUP(B3582,ARTICULOS!$D$10:$I$699,6)</f>
        <v/>
      </c>
      <c r="D3582" s="212" t="n"/>
      <c r="E3582" s="75">
        <f>+C3582&amp;F3582</f>
        <v/>
      </c>
      <c r="F3582" s="80" t="n"/>
      <c r="G3582" s="81" t="n"/>
      <c r="H3582" s="78" t="n"/>
      <c r="I3582" s="78" t="n"/>
      <c r="J3582" s="78" t="n"/>
    </row>
    <row r="3583">
      <c r="A3583" s="84">
        <f>ROW()-6</f>
        <v/>
      </c>
      <c r="B3583" s="85">
        <f>+MATCH(D3583,ARTICULOS!$F$10:$F$699,0)</f>
        <v/>
      </c>
      <c r="C3583" s="86">
        <f>+VLOOKUP(B3583,ARTICULOS!$D$10:$I$699,6)</f>
        <v/>
      </c>
      <c r="D3583" s="212" t="n"/>
      <c r="E3583" s="75">
        <f>+C3583&amp;F3583</f>
        <v/>
      </c>
      <c r="F3583" s="80" t="n"/>
      <c r="G3583" s="81" t="n"/>
      <c r="H3583" s="78" t="n"/>
      <c r="I3583" s="78" t="n"/>
      <c r="J3583" s="78" t="n"/>
    </row>
    <row r="3584">
      <c r="A3584" s="84">
        <f>ROW()-6</f>
        <v/>
      </c>
      <c r="B3584" s="85">
        <f>+MATCH(D3584,ARTICULOS!$F$10:$F$699,0)</f>
        <v/>
      </c>
      <c r="C3584" s="86">
        <f>+VLOOKUP(B3584,ARTICULOS!$D$10:$I$699,6)</f>
        <v/>
      </c>
      <c r="D3584" s="212" t="n"/>
      <c r="E3584" s="75">
        <f>+C3584&amp;F3584</f>
        <v/>
      </c>
      <c r="F3584" s="80" t="n"/>
      <c r="G3584" s="81" t="n"/>
      <c r="H3584" s="78" t="n"/>
      <c r="I3584" s="78" t="n"/>
      <c r="J3584" s="78" t="n"/>
    </row>
    <row r="3585">
      <c r="A3585" s="84">
        <f>ROW()-6</f>
        <v/>
      </c>
      <c r="B3585" s="85">
        <f>+MATCH(D3585,ARTICULOS!$F$10:$F$699,0)</f>
        <v/>
      </c>
      <c r="C3585" s="86">
        <f>+VLOOKUP(B3585,ARTICULOS!$D$10:$I$699,6)</f>
        <v/>
      </c>
      <c r="D3585" s="212" t="n"/>
      <c r="E3585" s="75">
        <f>+C3585&amp;F3585</f>
        <v/>
      </c>
      <c r="F3585" s="80" t="n"/>
      <c r="G3585" s="81" t="n"/>
      <c r="H3585" s="78" t="n"/>
      <c r="I3585" s="78" t="n"/>
      <c r="J3585" s="78" t="n"/>
    </row>
    <row r="3586">
      <c r="A3586" s="84">
        <f>ROW()-6</f>
        <v/>
      </c>
      <c r="B3586" s="85">
        <f>+MATCH(D3586,ARTICULOS!$F$10:$F$699,0)</f>
        <v/>
      </c>
      <c r="C3586" s="86">
        <f>+VLOOKUP(B3586,ARTICULOS!$D$10:$I$699,6)</f>
        <v/>
      </c>
      <c r="D3586" s="212" t="n"/>
      <c r="E3586" s="75">
        <f>+C3586&amp;F3586</f>
        <v/>
      </c>
      <c r="F3586" s="80" t="n"/>
      <c r="G3586" s="81" t="n"/>
      <c r="H3586" s="78" t="n"/>
      <c r="I3586" s="78" t="n"/>
      <c r="J3586" s="78" t="n"/>
    </row>
    <row r="3587">
      <c r="A3587" s="84">
        <f>ROW()-6</f>
        <v/>
      </c>
      <c r="B3587" s="85">
        <f>+MATCH(D3587,ARTICULOS!$F$10:$F$699,0)</f>
        <v/>
      </c>
      <c r="C3587" s="86">
        <f>+VLOOKUP(B3587,ARTICULOS!$D$10:$I$699,6)</f>
        <v/>
      </c>
      <c r="D3587" s="212" t="n"/>
      <c r="E3587" s="75">
        <f>+C3587&amp;F3587</f>
        <v/>
      </c>
      <c r="F3587" s="80" t="n"/>
      <c r="G3587" s="81" t="n"/>
      <c r="H3587" s="78" t="n"/>
      <c r="I3587" s="78" t="n"/>
      <c r="J3587" s="78" t="n"/>
    </row>
    <row r="3588">
      <c r="A3588" s="84">
        <f>ROW()-6</f>
        <v/>
      </c>
      <c r="B3588" s="85">
        <f>+MATCH(D3588,ARTICULOS!$F$10:$F$699,0)</f>
        <v/>
      </c>
      <c r="C3588" s="86">
        <f>+VLOOKUP(B3588,ARTICULOS!$D$10:$I$699,6)</f>
        <v/>
      </c>
      <c r="D3588" s="212" t="n"/>
      <c r="E3588" s="75">
        <f>+C3588&amp;F3588</f>
        <v/>
      </c>
      <c r="F3588" s="80" t="n"/>
      <c r="G3588" s="81" t="n"/>
      <c r="H3588" s="78" t="n"/>
      <c r="I3588" s="78" t="n"/>
      <c r="J3588" s="78" t="n"/>
    </row>
    <row r="3589">
      <c r="A3589" s="84">
        <f>ROW()-6</f>
        <v/>
      </c>
      <c r="B3589" s="85">
        <f>+MATCH(D3589,ARTICULOS!$F$10:$F$699,0)</f>
        <v/>
      </c>
      <c r="C3589" s="86">
        <f>+VLOOKUP(B3589,ARTICULOS!$D$10:$I$699,6)</f>
        <v/>
      </c>
      <c r="D3589" s="212" t="n"/>
      <c r="E3589" s="75">
        <f>+C3589&amp;F3589</f>
        <v/>
      </c>
      <c r="F3589" s="80" t="n"/>
      <c r="G3589" s="81" t="n"/>
      <c r="H3589" s="78" t="n"/>
      <c r="I3589" s="78" t="n"/>
      <c r="J3589" s="78" t="n"/>
    </row>
    <row r="3590">
      <c r="A3590" s="84">
        <f>ROW()-6</f>
        <v/>
      </c>
      <c r="B3590" s="85">
        <f>+MATCH(D3590,ARTICULOS!$F$10:$F$699,0)</f>
        <v/>
      </c>
      <c r="C3590" s="86">
        <f>+VLOOKUP(B3590,ARTICULOS!$D$10:$I$699,6)</f>
        <v/>
      </c>
      <c r="D3590" s="212" t="n"/>
      <c r="E3590" s="75">
        <f>+C3590&amp;F3590</f>
        <v/>
      </c>
      <c r="F3590" s="80" t="n"/>
      <c r="G3590" s="81" t="n"/>
      <c r="H3590" s="78" t="n"/>
      <c r="I3590" s="78" t="n"/>
      <c r="J3590" s="78" t="n"/>
    </row>
    <row r="3591">
      <c r="A3591" s="84">
        <f>ROW()-6</f>
        <v/>
      </c>
      <c r="B3591" s="85">
        <f>+MATCH(D3591,ARTICULOS!$F$10:$F$699,0)</f>
        <v/>
      </c>
      <c r="C3591" s="86">
        <f>+VLOOKUP(B3591,ARTICULOS!$D$10:$I$699,6)</f>
        <v/>
      </c>
      <c r="D3591" s="212" t="n"/>
      <c r="E3591" s="75">
        <f>+C3591&amp;F3591</f>
        <v/>
      </c>
      <c r="F3591" s="80" t="n"/>
      <c r="G3591" s="81" t="n"/>
      <c r="H3591" s="78" t="n"/>
      <c r="I3591" s="78" t="n"/>
      <c r="J3591" s="78" t="n"/>
    </row>
    <row r="3592">
      <c r="A3592" s="84">
        <f>ROW()-6</f>
        <v/>
      </c>
      <c r="B3592" s="85">
        <f>+MATCH(D3592,ARTICULOS!$F$10:$F$699,0)</f>
        <v/>
      </c>
      <c r="C3592" s="86">
        <f>+VLOOKUP(B3592,ARTICULOS!$D$10:$I$699,6)</f>
        <v/>
      </c>
      <c r="D3592" s="212" t="n"/>
      <c r="E3592" s="75">
        <f>+C3592&amp;F3592</f>
        <v/>
      </c>
      <c r="F3592" s="80" t="n"/>
      <c r="G3592" s="81" t="n"/>
      <c r="H3592" s="78" t="n"/>
      <c r="I3592" s="78" t="n"/>
      <c r="J3592" s="78" t="n"/>
    </row>
    <row r="3593">
      <c r="A3593" s="84">
        <f>ROW()-6</f>
        <v/>
      </c>
      <c r="B3593" s="85">
        <f>+MATCH(D3593,ARTICULOS!$F$10:$F$699,0)</f>
        <v/>
      </c>
      <c r="C3593" s="86">
        <f>+VLOOKUP(B3593,ARTICULOS!$D$10:$I$699,6)</f>
        <v/>
      </c>
      <c r="D3593" s="212" t="n"/>
      <c r="E3593" s="75">
        <f>+C3593&amp;F3593</f>
        <v/>
      </c>
      <c r="F3593" s="80" t="n"/>
      <c r="G3593" s="81" t="n"/>
      <c r="H3593" s="78" t="n"/>
      <c r="I3593" s="78" t="n"/>
      <c r="J3593" s="78" t="n"/>
    </row>
    <row r="3594">
      <c r="A3594" s="84">
        <f>ROW()-6</f>
        <v/>
      </c>
      <c r="B3594" s="85">
        <f>+MATCH(D3594,ARTICULOS!$F$10:$F$699,0)</f>
        <v/>
      </c>
      <c r="C3594" s="86">
        <f>+VLOOKUP(B3594,ARTICULOS!$D$10:$I$699,6)</f>
        <v/>
      </c>
      <c r="D3594" s="212" t="n"/>
      <c r="E3594" s="75">
        <f>+C3594&amp;F3594</f>
        <v/>
      </c>
      <c r="F3594" s="80" t="n"/>
      <c r="G3594" s="81" t="n"/>
      <c r="H3594" s="78" t="n"/>
      <c r="I3594" s="78" t="n"/>
      <c r="J3594" s="78" t="n"/>
    </row>
    <row r="3595">
      <c r="A3595" s="84">
        <f>ROW()-6</f>
        <v/>
      </c>
      <c r="B3595" s="85">
        <f>+MATCH(D3595,ARTICULOS!$F$10:$F$699,0)</f>
        <v/>
      </c>
      <c r="C3595" s="86">
        <f>+VLOOKUP(B3595,ARTICULOS!$D$10:$I$699,6)</f>
        <v/>
      </c>
      <c r="D3595" s="212" t="n"/>
      <c r="E3595" s="75">
        <f>+C3595&amp;F3595</f>
        <v/>
      </c>
      <c r="F3595" s="80" t="n"/>
      <c r="G3595" s="81" t="n"/>
      <c r="H3595" s="78" t="n"/>
      <c r="I3595" s="78" t="n"/>
      <c r="J3595" s="78" t="n"/>
    </row>
    <row r="3596">
      <c r="A3596" s="84">
        <f>ROW()-6</f>
        <v/>
      </c>
      <c r="B3596" s="85">
        <f>+MATCH(D3596,ARTICULOS!$F$10:$F$699,0)</f>
        <v/>
      </c>
      <c r="C3596" s="86">
        <f>+VLOOKUP(B3596,ARTICULOS!$D$10:$I$699,6)</f>
        <v/>
      </c>
      <c r="D3596" s="212" t="n"/>
      <c r="E3596" s="75">
        <f>+C3596&amp;F3596</f>
        <v/>
      </c>
      <c r="F3596" s="80" t="n"/>
      <c r="G3596" s="81" t="n"/>
      <c r="H3596" s="78" t="n"/>
      <c r="I3596" s="78" t="n"/>
      <c r="J3596" s="78" t="n"/>
    </row>
    <row r="3597">
      <c r="A3597" s="84">
        <f>ROW()-6</f>
        <v/>
      </c>
      <c r="B3597" s="85">
        <f>+MATCH(D3597,ARTICULOS!$F$10:$F$699,0)</f>
        <v/>
      </c>
      <c r="C3597" s="86">
        <f>+VLOOKUP(B3597,ARTICULOS!$D$10:$I$699,6)</f>
        <v/>
      </c>
      <c r="D3597" s="212" t="n"/>
      <c r="E3597" s="75">
        <f>+C3597&amp;F3597</f>
        <v/>
      </c>
      <c r="F3597" s="80" t="n"/>
      <c r="G3597" s="81" t="n"/>
      <c r="H3597" s="78" t="n"/>
      <c r="I3597" s="78" t="n"/>
      <c r="J3597" s="78" t="n"/>
    </row>
    <row r="3598">
      <c r="A3598" s="84">
        <f>ROW()-6</f>
        <v/>
      </c>
      <c r="B3598" s="85">
        <f>+MATCH(D3598,ARTICULOS!$F$10:$F$699,0)</f>
        <v/>
      </c>
      <c r="C3598" s="86">
        <f>+VLOOKUP(B3598,ARTICULOS!$D$10:$I$699,6)</f>
        <v/>
      </c>
      <c r="D3598" s="212" t="n"/>
      <c r="E3598" s="75">
        <f>+C3598&amp;F3598</f>
        <v/>
      </c>
      <c r="F3598" s="80" t="n"/>
      <c r="G3598" s="81" t="n"/>
      <c r="H3598" s="78" t="n"/>
      <c r="I3598" s="78" t="n"/>
      <c r="J3598" s="78" t="n"/>
    </row>
    <row r="3599">
      <c r="A3599" s="84">
        <f>ROW()-6</f>
        <v/>
      </c>
      <c r="B3599" s="85">
        <f>+MATCH(D3599,ARTICULOS!$F$10:$F$699,0)</f>
        <v/>
      </c>
      <c r="C3599" s="86">
        <f>+VLOOKUP(B3599,ARTICULOS!$D$10:$I$699,6)</f>
        <v/>
      </c>
      <c r="D3599" s="212" t="n"/>
      <c r="E3599" s="75">
        <f>+C3599&amp;F3599</f>
        <v/>
      </c>
      <c r="F3599" s="80" t="n"/>
      <c r="G3599" s="81" t="n"/>
      <c r="H3599" s="78" t="n"/>
      <c r="I3599" s="78" t="n"/>
      <c r="J3599" s="78" t="n"/>
    </row>
    <row r="3600">
      <c r="A3600" s="84">
        <f>ROW()-6</f>
        <v/>
      </c>
      <c r="B3600" s="85">
        <f>+MATCH(D3600,ARTICULOS!$F$10:$F$699,0)</f>
        <v/>
      </c>
      <c r="C3600" s="86">
        <f>+VLOOKUP(B3600,ARTICULOS!$D$10:$I$699,6)</f>
        <v/>
      </c>
      <c r="D3600" s="212" t="n"/>
      <c r="E3600" s="75">
        <f>+C3600&amp;F3600</f>
        <v/>
      </c>
      <c r="F3600" s="80" t="n"/>
      <c r="G3600" s="81" t="n"/>
      <c r="H3600" s="78" t="n"/>
      <c r="I3600" s="78" t="n"/>
      <c r="J3600" s="78" t="n"/>
    </row>
    <row r="3601">
      <c r="A3601" s="84">
        <f>ROW()-6</f>
        <v/>
      </c>
      <c r="B3601" s="85">
        <f>+MATCH(D3601,ARTICULOS!$F$10:$F$699,0)</f>
        <v/>
      </c>
      <c r="C3601" s="86">
        <f>+VLOOKUP(B3601,ARTICULOS!$D$10:$I$699,6)</f>
        <v/>
      </c>
      <c r="D3601" s="212" t="n"/>
      <c r="E3601" s="75">
        <f>+C3601&amp;F3601</f>
        <v/>
      </c>
      <c r="F3601" s="80" t="n"/>
      <c r="G3601" s="81" t="n"/>
      <c r="H3601" s="78" t="n"/>
      <c r="I3601" s="78" t="n"/>
      <c r="J3601" s="78" t="n"/>
    </row>
    <row r="3602">
      <c r="A3602" s="84">
        <f>ROW()-6</f>
        <v/>
      </c>
      <c r="B3602" s="85">
        <f>+MATCH(D3602,ARTICULOS!$F$10:$F$699,0)</f>
        <v/>
      </c>
      <c r="C3602" s="86">
        <f>+VLOOKUP(B3602,ARTICULOS!$D$10:$I$699,6)</f>
        <v/>
      </c>
      <c r="D3602" s="212" t="n"/>
      <c r="E3602" s="75">
        <f>+C3602&amp;F3602</f>
        <v/>
      </c>
      <c r="F3602" s="80" t="n"/>
      <c r="G3602" s="81" t="n"/>
      <c r="H3602" s="78" t="n"/>
      <c r="I3602" s="78" t="n"/>
      <c r="J3602" s="78" t="n"/>
    </row>
    <row r="3603">
      <c r="A3603" s="84">
        <f>ROW()-6</f>
        <v/>
      </c>
      <c r="B3603" s="85">
        <f>+MATCH(D3603,ARTICULOS!$F$10:$F$699,0)</f>
        <v/>
      </c>
      <c r="C3603" s="86">
        <f>+VLOOKUP(B3603,ARTICULOS!$D$10:$I$699,6)</f>
        <v/>
      </c>
      <c r="D3603" s="212" t="n"/>
      <c r="E3603" s="75">
        <f>+C3603&amp;F3603</f>
        <v/>
      </c>
      <c r="F3603" s="80" t="n"/>
      <c r="G3603" s="81" t="n"/>
      <c r="H3603" s="78" t="n"/>
      <c r="I3603" s="78" t="n"/>
      <c r="J3603" s="78" t="n"/>
    </row>
    <row r="3604">
      <c r="A3604" s="84">
        <f>ROW()-6</f>
        <v/>
      </c>
      <c r="B3604" s="85">
        <f>+MATCH(D3604,ARTICULOS!$F$10:$F$699,0)</f>
        <v/>
      </c>
      <c r="C3604" s="86">
        <f>+VLOOKUP(B3604,ARTICULOS!$D$10:$I$699,6)</f>
        <v/>
      </c>
      <c r="D3604" s="212" t="n"/>
      <c r="E3604" s="75">
        <f>+C3604&amp;F3604</f>
        <v/>
      </c>
      <c r="F3604" s="80" t="n"/>
      <c r="G3604" s="81" t="n"/>
      <c r="H3604" s="78" t="n"/>
      <c r="I3604" s="78" t="n"/>
      <c r="J3604" s="78" t="n"/>
    </row>
    <row r="3605">
      <c r="A3605" s="84">
        <f>ROW()-6</f>
        <v/>
      </c>
      <c r="B3605" s="85">
        <f>+MATCH(D3605,ARTICULOS!$F$10:$F$699,0)</f>
        <v/>
      </c>
      <c r="C3605" s="86">
        <f>+VLOOKUP(B3605,ARTICULOS!$D$10:$I$699,6)</f>
        <v/>
      </c>
      <c r="D3605" s="212" t="n"/>
      <c r="E3605" s="75">
        <f>+C3605&amp;F3605</f>
        <v/>
      </c>
      <c r="F3605" s="80" t="n"/>
      <c r="G3605" s="81" t="n"/>
      <c r="H3605" s="78" t="n"/>
      <c r="I3605" s="78" t="n"/>
      <c r="J3605" s="78" t="n"/>
    </row>
    <row r="3606">
      <c r="A3606" s="84">
        <f>ROW()-6</f>
        <v/>
      </c>
      <c r="B3606" s="85">
        <f>+MATCH(D3606,ARTICULOS!$F$10:$F$699,0)</f>
        <v/>
      </c>
      <c r="C3606" s="86">
        <f>+VLOOKUP(B3606,ARTICULOS!$D$10:$I$699,6)</f>
        <v/>
      </c>
      <c r="D3606" s="212" t="n"/>
      <c r="E3606" s="75">
        <f>+C3606&amp;F3606</f>
        <v/>
      </c>
      <c r="F3606" s="80" t="n"/>
      <c r="G3606" s="81" t="n"/>
      <c r="H3606" s="78" t="n"/>
      <c r="I3606" s="78" t="n"/>
      <c r="J3606" s="78" t="n"/>
    </row>
    <row r="3607">
      <c r="A3607" s="84">
        <f>ROW()-6</f>
        <v/>
      </c>
      <c r="B3607" s="85">
        <f>+MATCH(D3607,ARTICULOS!$F$10:$F$699,0)</f>
        <v/>
      </c>
      <c r="C3607" s="86">
        <f>+VLOOKUP(B3607,ARTICULOS!$D$10:$I$699,6)</f>
        <v/>
      </c>
      <c r="D3607" s="212" t="n"/>
      <c r="E3607" s="75">
        <f>+C3607&amp;F3607</f>
        <v/>
      </c>
      <c r="F3607" s="80" t="n"/>
      <c r="G3607" s="81" t="n"/>
      <c r="H3607" s="78" t="n"/>
      <c r="I3607" s="78" t="n"/>
      <c r="J3607" s="78" t="n"/>
    </row>
    <row r="3608">
      <c r="A3608" s="84">
        <f>ROW()-6</f>
        <v/>
      </c>
      <c r="B3608" s="85">
        <f>+MATCH(D3608,ARTICULOS!$F$10:$F$699,0)</f>
        <v/>
      </c>
      <c r="C3608" s="86">
        <f>+VLOOKUP(B3608,ARTICULOS!$D$10:$I$699,6)</f>
        <v/>
      </c>
      <c r="D3608" s="212" t="n"/>
      <c r="E3608" s="75">
        <f>+C3608&amp;F3608</f>
        <v/>
      </c>
      <c r="F3608" s="80" t="n"/>
      <c r="G3608" s="81" t="n"/>
      <c r="H3608" s="78" t="n"/>
      <c r="I3608" s="78" t="n"/>
      <c r="J3608" s="78" t="n"/>
    </row>
    <row r="3609">
      <c r="A3609" s="84">
        <f>ROW()-6</f>
        <v/>
      </c>
      <c r="B3609" s="85">
        <f>+MATCH(D3609,ARTICULOS!$F$10:$F$699,0)</f>
        <v/>
      </c>
      <c r="C3609" s="86">
        <f>+VLOOKUP(B3609,ARTICULOS!$D$10:$I$699,6)</f>
        <v/>
      </c>
      <c r="D3609" s="212" t="n"/>
      <c r="E3609" s="75">
        <f>+C3609&amp;F3609</f>
        <v/>
      </c>
      <c r="F3609" s="80" t="n"/>
      <c r="G3609" s="81" t="n"/>
      <c r="H3609" s="78" t="n"/>
      <c r="I3609" s="78" t="n"/>
      <c r="J3609" s="78" t="n"/>
    </row>
    <row r="3610">
      <c r="A3610" s="84">
        <f>ROW()-6</f>
        <v/>
      </c>
      <c r="B3610" s="85">
        <f>+MATCH(D3610,ARTICULOS!$F$10:$F$699,0)</f>
        <v/>
      </c>
      <c r="C3610" s="86">
        <f>+VLOOKUP(B3610,ARTICULOS!$D$10:$I$699,6)</f>
        <v/>
      </c>
      <c r="D3610" s="212" t="n"/>
      <c r="E3610" s="75">
        <f>+C3610&amp;F3610</f>
        <v/>
      </c>
      <c r="F3610" s="80" t="n"/>
      <c r="G3610" s="81" t="n"/>
      <c r="H3610" s="78" t="n"/>
      <c r="I3610" s="78" t="n"/>
      <c r="J3610" s="78" t="n"/>
    </row>
    <row r="3611">
      <c r="A3611" s="84">
        <f>ROW()-6</f>
        <v/>
      </c>
      <c r="B3611" s="85">
        <f>+MATCH(D3611,ARTICULOS!$F$10:$F$699,0)</f>
        <v/>
      </c>
      <c r="C3611" s="86">
        <f>+VLOOKUP(B3611,ARTICULOS!$D$10:$I$699,6)</f>
        <v/>
      </c>
      <c r="D3611" s="212" t="n"/>
      <c r="E3611" s="75">
        <f>+C3611&amp;F3611</f>
        <v/>
      </c>
      <c r="F3611" s="80" t="n"/>
      <c r="G3611" s="81" t="n"/>
      <c r="H3611" s="78" t="n"/>
      <c r="I3611" s="78" t="n"/>
      <c r="J3611" s="78" t="n"/>
    </row>
    <row r="3612">
      <c r="A3612" s="84">
        <f>ROW()-6</f>
        <v/>
      </c>
      <c r="B3612" s="85">
        <f>+MATCH(D3612,ARTICULOS!$F$10:$F$699,0)</f>
        <v/>
      </c>
      <c r="C3612" s="86">
        <f>+VLOOKUP(B3612,ARTICULOS!$D$10:$I$699,6)</f>
        <v/>
      </c>
      <c r="D3612" s="212" t="n"/>
      <c r="E3612" s="75">
        <f>+C3612&amp;F3612</f>
        <v/>
      </c>
      <c r="F3612" s="80" t="n"/>
      <c r="G3612" s="81" t="n"/>
      <c r="H3612" s="78" t="n"/>
      <c r="I3612" s="78" t="n"/>
      <c r="J3612" s="78" t="n"/>
    </row>
    <row r="3613">
      <c r="A3613" s="84">
        <f>ROW()-6</f>
        <v/>
      </c>
      <c r="B3613" s="85">
        <f>+MATCH(D3613,ARTICULOS!$F$10:$F$699,0)</f>
        <v/>
      </c>
      <c r="C3613" s="86">
        <f>+VLOOKUP(B3613,ARTICULOS!$D$10:$I$699,6)</f>
        <v/>
      </c>
      <c r="D3613" s="212" t="n"/>
      <c r="E3613" s="75">
        <f>+C3613&amp;F3613</f>
        <v/>
      </c>
      <c r="F3613" s="80" t="n"/>
      <c r="G3613" s="81" t="n"/>
      <c r="H3613" s="78" t="n"/>
      <c r="I3613" s="78" t="n"/>
      <c r="J3613" s="78" t="n"/>
    </row>
    <row r="3614">
      <c r="A3614" s="84">
        <f>ROW()-6</f>
        <v/>
      </c>
      <c r="B3614" s="85">
        <f>+MATCH(D3614,ARTICULOS!$F$10:$F$699,0)</f>
        <v/>
      </c>
      <c r="C3614" s="86">
        <f>+VLOOKUP(B3614,ARTICULOS!$D$10:$I$699,6)</f>
        <v/>
      </c>
      <c r="D3614" s="212" t="n"/>
      <c r="E3614" s="75">
        <f>+C3614&amp;F3614</f>
        <v/>
      </c>
      <c r="F3614" s="80" t="n"/>
      <c r="G3614" s="81" t="n"/>
      <c r="H3614" s="78" t="n"/>
      <c r="I3614" s="78" t="n"/>
      <c r="J3614" s="78" t="n"/>
    </row>
    <row r="3615">
      <c r="A3615" s="84">
        <f>ROW()-6</f>
        <v/>
      </c>
      <c r="B3615" s="85">
        <f>+MATCH(D3615,ARTICULOS!$F$10:$F$699,0)</f>
        <v/>
      </c>
      <c r="C3615" s="86">
        <f>+VLOOKUP(B3615,ARTICULOS!$D$10:$I$699,6)</f>
        <v/>
      </c>
      <c r="D3615" s="212" t="n"/>
      <c r="E3615" s="75">
        <f>+C3615&amp;F3615</f>
        <v/>
      </c>
      <c r="F3615" s="80" t="n"/>
      <c r="G3615" s="81" t="n"/>
      <c r="H3615" s="78" t="n"/>
      <c r="I3615" s="78" t="n"/>
      <c r="J3615" s="78" t="n"/>
    </row>
    <row r="3616">
      <c r="A3616" s="84">
        <f>ROW()-6</f>
        <v/>
      </c>
      <c r="B3616" s="85">
        <f>+MATCH(D3616,ARTICULOS!$F$10:$F$699,0)</f>
        <v/>
      </c>
      <c r="C3616" s="86">
        <f>+VLOOKUP(B3616,ARTICULOS!$D$10:$I$699,6)</f>
        <v/>
      </c>
      <c r="D3616" s="212" t="n"/>
      <c r="E3616" s="75">
        <f>+C3616&amp;F3616</f>
        <v/>
      </c>
      <c r="F3616" s="80" t="n"/>
      <c r="G3616" s="81" t="n"/>
      <c r="H3616" s="78" t="n"/>
      <c r="I3616" s="78" t="n"/>
      <c r="J3616" s="78" t="n"/>
    </row>
    <row r="3617">
      <c r="A3617" s="84">
        <f>ROW()-6</f>
        <v/>
      </c>
      <c r="B3617" s="85">
        <f>+MATCH(D3617,ARTICULOS!$F$10:$F$699,0)</f>
        <v/>
      </c>
      <c r="C3617" s="86">
        <f>+VLOOKUP(B3617,ARTICULOS!$D$10:$I$699,6)</f>
        <v/>
      </c>
      <c r="D3617" s="212" t="n"/>
      <c r="E3617" s="75">
        <f>+C3617&amp;F3617</f>
        <v/>
      </c>
      <c r="F3617" s="80" t="n"/>
      <c r="G3617" s="81" t="n"/>
      <c r="H3617" s="78" t="n"/>
      <c r="I3617" s="78" t="n"/>
      <c r="J3617" s="78" t="n"/>
    </row>
    <row r="3618">
      <c r="A3618" s="84">
        <f>ROW()-6</f>
        <v/>
      </c>
      <c r="B3618" s="85">
        <f>+MATCH(D3618,ARTICULOS!$F$10:$F$699,0)</f>
        <v/>
      </c>
      <c r="C3618" s="86">
        <f>+VLOOKUP(B3618,ARTICULOS!$D$10:$I$699,6)</f>
        <v/>
      </c>
      <c r="D3618" s="212" t="n"/>
      <c r="E3618" s="75">
        <f>+C3618&amp;F3618</f>
        <v/>
      </c>
      <c r="F3618" s="80" t="n"/>
      <c r="G3618" s="81" t="n"/>
      <c r="H3618" s="78" t="n"/>
      <c r="I3618" s="78" t="n"/>
      <c r="J3618" s="78" t="n"/>
    </row>
    <row r="3619">
      <c r="A3619" s="84">
        <f>ROW()-6</f>
        <v/>
      </c>
      <c r="B3619" s="85">
        <f>+MATCH(D3619,ARTICULOS!$F$10:$F$699,0)</f>
        <v/>
      </c>
      <c r="C3619" s="86">
        <f>+VLOOKUP(B3619,ARTICULOS!$D$10:$I$699,6)</f>
        <v/>
      </c>
      <c r="D3619" s="212" t="n"/>
      <c r="E3619" s="75">
        <f>+C3619&amp;F3619</f>
        <v/>
      </c>
      <c r="F3619" s="80" t="n"/>
      <c r="G3619" s="81" t="n"/>
      <c r="H3619" s="78" t="n"/>
      <c r="I3619" s="78" t="n"/>
      <c r="J3619" s="78" t="n"/>
    </row>
    <row r="3620">
      <c r="A3620" s="84">
        <f>ROW()-6</f>
        <v/>
      </c>
      <c r="B3620" s="85">
        <f>+MATCH(D3620,ARTICULOS!$F$10:$F$699,0)</f>
        <v/>
      </c>
      <c r="C3620" s="86">
        <f>+VLOOKUP(B3620,ARTICULOS!$D$10:$I$699,6)</f>
        <v/>
      </c>
      <c r="D3620" s="212" t="n"/>
      <c r="E3620" s="75">
        <f>+C3620&amp;F3620</f>
        <v/>
      </c>
      <c r="F3620" s="80" t="n"/>
      <c r="G3620" s="81" t="n"/>
      <c r="H3620" s="78" t="n"/>
      <c r="I3620" s="78" t="n"/>
      <c r="J3620" s="78" t="n"/>
    </row>
    <row r="3621">
      <c r="A3621" s="84">
        <f>ROW()-6</f>
        <v/>
      </c>
      <c r="B3621" s="85">
        <f>+MATCH(D3621,ARTICULOS!$F$10:$F$699,0)</f>
        <v/>
      </c>
      <c r="C3621" s="86">
        <f>+VLOOKUP(B3621,ARTICULOS!$D$10:$I$699,6)</f>
        <v/>
      </c>
      <c r="D3621" s="212" t="n"/>
      <c r="E3621" s="75">
        <f>+C3621&amp;F3621</f>
        <v/>
      </c>
      <c r="F3621" s="80" t="n"/>
      <c r="G3621" s="81" t="n"/>
      <c r="H3621" s="78" t="n"/>
      <c r="I3621" s="78" t="n"/>
      <c r="J3621" s="78" t="n"/>
    </row>
    <row r="3622">
      <c r="A3622" s="84">
        <f>ROW()-6</f>
        <v/>
      </c>
      <c r="B3622" s="85">
        <f>+MATCH(D3622,ARTICULOS!$F$10:$F$699,0)</f>
        <v/>
      </c>
      <c r="C3622" s="86">
        <f>+VLOOKUP(B3622,ARTICULOS!$D$10:$I$699,6)</f>
        <v/>
      </c>
      <c r="D3622" s="212" t="n"/>
      <c r="E3622" s="75">
        <f>+C3622&amp;F3622</f>
        <v/>
      </c>
      <c r="F3622" s="80" t="n"/>
      <c r="G3622" s="81" t="n"/>
      <c r="H3622" s="78" t="n"/>
      <c r="I3622" s="78" t="n"/>
      <c r="J3622" s="78" t="n"/>
    </row>
    <row r="3623">
      <c r="A3623" s="84">
        <f>ROW()-6</f>
        <v/>
      </c>
      <c r="B3623" s="85">
        <f>+MATCH(D3623,ARTICULOS!$F$10:$F$699,0)</f>
        <v/>
      </c>
      <c r="C3623" s="86">
        <f>+VLOOKUP(B3623,ARTICULOS!$D$10:$I$699,6)</f>
        <v/>
      </c>
      <c r="D3623" s="212" t="n"/>
      <c r="E3623" s="75">
        <f>+C3623&amp;F3623</f>
        <v/>
      </c>
      <c r="F3623" s="80" t="n"/>
      <c r="G3623" s="81" t="n"/>
      <c r="H3623" s="78" t="n"/>
      <c r="I3623" s="78" t="n"/>
      <c r="J3623" s="78" t="n"/>
    </row>
    <row r="3624">
      <c r="A3624" s="84">
        <f>ROW()-6</f>
        <v/>
      </c>
      <c r="B3624" s="85">
        <f>+MATCH(D3624,ARTICULOS!$F$10:$F$699,0)</f>
        <v/>
      </c>
      <c r="C3624" s="86">
        <f>+VLOOKUP(B3624,ARTICULOS!$D$10:$I$699,6)</f>
        <v/>
      </c>
      <c r="D3624" s="212" t="n"/>
      <c r="E3624" s="75">
        <f>+C3624&amp;F3624</f>
        <v/>
      </c>
      <c r="F3624" s="80" t="n"/>
      <c r="G3624" s="81" t="n"/>
      <c r="H3624" s="78" t="n"/>
      <c r="I3624" s="78" t="n"/>
      <c r="J3624" s="78" t="n"/>
    </row>
    <row r="3625">
      <c r="A3625" s="84">
        <f>ROW()-6</f>
        <v/>
      </c>
      <c r="B3625" s="85">
        <f>+MATCH(D3625,ARTICULOS!$F$10:$F$699,0)</f>
        <v/>
      </c>
      <c r="C3625" s="86">
        <f>+VLOOKUP(B3625,ARTICULOS!$D$10:$I$699,6)</f>
        <v/>
      </c>
      <c r="D3625" s="212" t="n"/>
      <c r="E3625" s="75">
        <f>+C3625&amp;F3625</f>
        <v/>
      </c>
      <c r="F3625" s="80" t="n"/>
      <c r="G3625" s="81" t="n"/>
      <c r="H3625" s="78" t="n"/>
      <c r="I3625" s="78" t="n"/>
      <c r="J3625" s="78" t="n"/>
    </row>
    <row r="3626">
      <c r="A3626" s="84">
        <f>ROW()-6</f>
        <v/>
      </c>
      <c r="B3626" s="85">
        <f>+MATCH(D3626,ARTICULOS!$F$10:$F$699,0)</f>
        <v/>
      </c>
      <c r="C3626" s="86">
        <f>+VLOOKUP(B3626,ARTICULOS!$D$10:$I$699,6)</f>
        <v/>
      </c>
      <c r="D3626" s="212" t="n"/>
      <c r="E3626" s="75">
        <f>+C3626&amp;F3626</f>
        <v/>
      </c>
      <c r="F3626" s="80" t="n"/>
      <c r="G3626" s="81" t="n"/>
      <c r="H3626" s="78" t="n"/>
      <c r="I3626" s="78" t="n"/>
      <c r="J3626" s="78" t="n"/>
    </row>
    <row r="3627">
      <c r="A3627" s="84">
        <f>ROW()-6</f>
        <v/>
      </c>
      <c r="B3627" s="85">
        <f>+MATCH(D3627,ARTICULOS!$F$10:$F$699,0)</f>
        <v/>
      </c>
      <c r="C3627" s="86">
        <f>+VLOOKUP(B3627,ARTICULOS!$D$10:$I$699,6)</f>
        <v/>
      </c>
      <c r="D3627" s="212" t="n"/>
      <c r="E3627" s="75">
        <f>+C3627&amp;F3627</f>
        <v/>
      </c>
      <c r="F3627" s="80" t="n"/>
      <c r="G3627" s="81" t="n"/>
      <c r="H3627" s="78" t="n"/>
      <c r="I3627" s="78" t="n"/>
      <c r="J3627" s="78" t="n"/>
    </row>
    <row r="3628">
      <c r="A3628" s="84">
        <f>ROW()-6</f>
        <v/>
      </c>
      <c r="B3628" s="85">
        <f>+MATCH(D3628,ARTICULOS!$F$10:$F$699,0)</f>
        <v/>
      </c>
      <c r="C3628" s="86">
        <f>+VLOOKUP(B3628,ARTICULOS!$D$10:$I$699,6)</f>
        <v/>
      </c>
      <c r="D3628" s="212" t="n"/>
      <c r="E3628" s="75">
        <f>+C3628&amp;F3628</f>
        <v/>
      </c>
      <c r="F3628" s="80" t="n"/>
      <c r="G3628" s="81" t="n"/>
      <c r="H3628" s="78" t="n"/>
      <c r="I3628" s="78" t="n"/>
      <c r="J3628" s="78" t="n"/>
    </row>
    <row r="3629">
      <c r="A3629" s="84">
        <f>ROW()-6</f>
        <v/>
      </c>
      <c r="B3629" s="85">
        <f>+MATCH(D3629,ARTICULOS!$F$10:$F$699,0)</f>
        <v/>
      </c>
      <c r="C3629" s="86">
        <f>+VLOOKUP(B3629,ARTICULOS!$D$10:$I$699,6)</f>
        <v/>
      </c>
      <c r="D3629" s="212" t="n"/>
      <c r="E3629" s="75">
        <f>+C3629&amp;F3629</f>
        <v/>
      </c>
      <c r="F3629" s="80" t="n"/>
      <c r="G3629" s="81" t="n"/>
      <c r="H3629" s="78" t="n"/>
      <c r="I3629" s="78" t="n"/>
      <c r="J3629" s="78" t="n"/>
    </row>
    <row r="3630">
      <c r="A3630" s="84">
        <f>ROW()-6</f>
        <v/>
      </c>
      <c r="B3630" s="85">
        <f>+MATCH(D3630,ARTICULOS!$F$10:$F$699,0)</f>
        <v/>
      </c>
      <c r="C3630" s="86">
        <f>+VLOOKUP(B3630,ARTICULOS!$D$10:$I$699,6)</f>
        <v/>
      </c>
      <c r="D3630" s="212" t="n"/>
      <c r="E3630" s="75">
        <f>+C3630&amp;F3630</f>
        <v/>
      </c>
      <c r="F3630" s="80" t="n"/>
      <c r="G3630" s="81" t="n"/>
      <c r="H3630" s="78" t="n"/>
      <c r="I3630" s="78" t="n"/>
      <c r="J3630" s="78" t="n"/>
    </row>
    <row r="3631">
      <c r="A3631" s="84">
        <f>ROW()-6</f>
        <v/>
      </c>
      <c r="B3631" s="85">
        <f>+MATCH(D3631,ARTICULOS!$F$10:$F$699,0)</f>
        <v/>
      </c>
      <c r="C3631" s="86">
        <f>+VLOOKUP(B3631,ARTICULOS!$D$10:$I$699,6)</f>
        <v/>
      </c>
      <c r="D3631" s="212" t="n"/>
      <c r="E3631" s="75">
        <f>+C3631&amp;F3631</f>
        <v/>
      </c>
      <c r="F3631" s="80" t="n"/>
      <c r="G3631" s="81" t="n"/>
      <c r="H3631" s="78" t="n"/>
      <c r="I3631" s="78" t="n"/>
      <c r="J3631" s="78" t="n"/>
    </row>
    <row r="3632">
      <c r="A3632" s="84">
        <f>ROW()-6</f>
        <v/>
      </c>
      <c r="B3632" s="85">
        <f>+MATCH(D3632,ARTICULOS!$F$10:$F$699,0)</f>
        <v/>
      </c>
      <c r="C3632" s="86">
        <f>+VLOOKUP(B3632,ARTICULOS!$D$10:$I$699,6)</f>
        <v/>
      </c>
      <c r="D3632" s="212" t="n"/>
      <c r="E3632" s="75">
        <f>+C3632&amp;F3632</f>
        <v/>
      </c>
      <c r="F3632" s="80" t="n"/>
      <c r="G3632" s="81" t="n"/>
      <c r="H3632" s="78" t="n"/>
      <c r="I3632" s="78" t="n"/>
      <c r="J3632" s="78" t="n"/>
    </row>
    <row r="3633">
      <c r="A3633" s="84">
        <f>ROW()-6</f>
        <v/>
      </c>
      <c r="B3633" s="85">
        <f>+MATCH(D3633,ARTICULOS!$F$10:$F$699,0)</f>
        <v/>
      </c>
      <c r="C3633" s="86">
        <f>+VLOOKUP(B3633,ARTICULOS!$D$10:$I$699,6)</f>
        <v/>
      </c>
      <c r="D3633" s="212" t="n"/>
      <c r="E3633" s="75">
        <f>+C3633&amp;F3633</f>
        <v/>
      </c>
      <c r="F3633" s="80" t="n"/>
      <c r="G3633" s="81" t="n"/>
      <c r="H3633" s="78" t="n"/>
      <c r="I3633" s="78" t="n"/>
      <c r="J3633" s="78" t="n"/>
    </row>
    <row r="3634">
      <c r="A3634" s="84">
        <f>ROW()-6</f>
        <v/>
      </c>
      <c r="B3634" s="85">
        <f>+MATCH(D3634,ARTICULOS!$F$10:$F$699,0)</f>
        <v/>
      </c>
      <c r="C3634" s="86">
        <f>+VLOOKUP(B3634,ARTICULOS!$D$10:$I$699,6)</f>
        <v/>
      </c>
      <c r="D3634" s="212" t="n"/>
      <c r="E3634" s="75">
        <f>+C3634&amp;F3634</f>
        <v/>
      </c>
      <c r="F3634" s="80" t="n"/>
      <c r="G3634" s="81" t="n"/>
      <c r="H3634" s="78" t="n"/>
      <c r="I3634" s="78" t="n"/>
      <c r="J3634" s="78" t="n"/>
    </row>
    <row r="3635">
      <c r="A3635" s="84">
        <f>ROW()-6</f>
        <v/>
      </c>
      <c r="B3635" s="85">
        <f>+MATCH(D3635,ARTICULOS!$F$10:$F$699,0)</f>
        <v/>
      </c>
      <c r="C3635" s="86">
        <f>+VLOOKUP(B3635,ARTICULOS!$D$10:$I$699,6)</f>
        <v/>
      </c>
      <c r="D3635" s="212" t="n"/>
      <c r="E3635" s="75">
        <f>+C3635&amp;F3635</f>
        <v/>
      </c>
      <c r="F3635" s="80" t="n"/>
      <c r="G3635" s="81" t="n"/>
      <c r="H3635" s="78" t="n"/>
      <c r="I3635" s="78" t="n"/>
      <c r="J3635" s="78" t="n"/>
    </row>
    <row r="3636">
      <c r="A3636" s="84">
        <f>ROW()-6</f>
        <v/>
      </c>
      <c r="B3636" s="85">
        <f>+MATCH(D3636,ARTICULOS!$F$10:$F$699,0)</f>
        <v/>
      </c>
      <c r="C3636" s="86">
        <f>+VLOOKUP(B3636,ARTICULOS!$D$10:$I$699,6)</f>
        <v/>
      </c>
      <c r="D3636" s="212" t="n"/>
      <c r="E3636" s="75">
        <f>+C3636&amp;F3636</f>
        <v/>
      </c>
      <c r="F3636" s="80" t="n"/>
      <c r="G3636" s="81" t="n"/>
      <c r="H3636" s="78" t="n"/>
      <c r="I3636" s="78" t="n"/>
      <c r="J3636" s="78" t="n"/>
    </row>
    <row r="3637">
      <c r="A3637" s="84">
        <f>ROW()-6</f>
        <v/>
      </c>
      <c r="B3637" s="85">
        <f>+MATCH(D3637,ARTICULOS!$F$10:$F$699,0)</f>
        <v/>
      </c>
      <c r="C3637" s="86">
        <f>+VLOOKUP(B3637,ARTICULOS!$D$10:$I$699,6)</f>
        <v/>
      </c>
      <c r="D3637" s="212" t="n"/>
      <c r="E3637" s="75">
        <f>+C3637&amp;F3637</f>
        <v/>
      </c>
      <c r="F3637" s="80" t="n"/>
      <c r="G3637" s="81" t="n"/>
      <c r="H3637" s="78" t="n"/>
      <c r="I3637" s="78" t="n"/>
      <c r="J3637" s="78" t="n"/>
    </row>
    <row r="3638">
      <c r="A3638" s="84">
        <f>ROW()-6</f>
        <v/>
      </c>
      <c r="B3638" s="85">
        <f>+MATCH(D3638,ARTICULOS!$F$10:$F$699,0)</f>
        <v/>
      </c>
      <c r="C3638" s="86">
        <f>+VLOOKUP(B3638,ARTICULOS!$D$10:$I$699,6)</f>
        <v/>
      </c>
      <c r="D3638" s="212" t="n"/>
      <c r="E3638" s="75">
        <f>+C3638&amp;F3638</f>
        <v/>
      </c>
      <c r="F3638" s="80" t="n"/>
      <c r="G3638" s="81" t="n"/>
      <c r="H3638" s="78" t="n"/>
      <c r="I3638" s="78" t="n"/>
      <c r="J3638" s="78" t="n"/>
    </row>
    <row r="3639">
      <c r="A3639" s="84">
        <f>ROW()-6</f>
        <v/>
      </c>
      <c r="B3639" s="85">
        <f>+MATCH(D3639,ARTICULOS!$F$10:$F$699,0)</f>
        <v/>
      </c>
      <c r="C3639" s="86">
        <f>+VLOOKUP(B3639,ARTICULOS!$D$10:$I$699,6)</f>
        <v/>
      </c>
      <c r="D3639" s="212" t="n"/>
      <c r="E3639" s="75">
        <f>+C3639&amp;F3639</f>
        <v/>
      </c>
      <c r="F3639" s="80" t="n"/>
      <c r="G3639" s="81" t="n"/>
      <c r="H3639" s="78" t="n"/>
      <c r="I3639" s="78" t="n"/>
      <c r="J3639" s="78" t="n"/>
    </row>
    <row r="3640">
      <c r="A3640" s="84">
        <f>ROW()-6</f>
        <v/>
      </c>
      <c r="B3640" s="85">
        <f>+MATCH(D3640,ARTICULOS!$F$10:$F$699,0)</f>
        <v/>
      </c>
      <c r="C3640" s="86">
        <f>+VLOOKUP(B3640,ARTICULOS!$D$10:$I$699,6)</f>
        <v/>
      </c>
      <c r="D3640" s="212" t="n"/>
      <c r="E3640" s="75">
        <f>+C3640&amp;F3640</f>
        <v/>
      </c>
      <c r="F3640" s="80" t="n"/>
      <c r="G3640" s="81" t="n"/>
      <c r="H3640" s="78" t="n"/>
      <c r="I3640" s="78" t="n"/>
      <c r="J3640" s="78" t="n"/>
    </row>
    <row r="3641">
      <c r="A3641" s="84">
        <f>ROW()-6</f>
        <v/>
      </c>
      <c r="B3641" s="85">
        <f>+MATCH(D3641,ARTICULOS!$F$10:$F$699,0)</f>
        <v/>
      </c>
      <c r="C3641" s="86">
        <f>+VLOOKUP(B3641,ARTICULOS!$D$10:$I$699,6)</f>
        <v/>
      </c>
      <c r="D3641" s="212" t="n"/>
      <c r="E3641" s="75">
        <f>+C3641&amp;F3641</f>
        <v/>
      </c>
      <c r="F3641" s="80" t="n"/>
      <c r="G3641" s="81" t="n"/>
      <c r="H3641" s="78" t="n"/>
      <c r="I3641" s="78" t="n"/>
      <c r="J3641" s="78" t="n"/>
    </row>
    <row r="3642">
      <c r="A3642" s="84">
        <f>ROW()-6</f>
        <v/>
      </c>
      <c r="B3642" s="85">
        <f>+MATCH(D3642,ARTICULOS!$F$10:$F$699,0)</f>
        <v/>
      </c>
      <c r="C3642" s="86">
        <f>+VLOOKUP(B3642,ARTICULOS!$D$10:$I$699,6)</f>
        <v/>
      </c>
      <c r="D3642" s="212" t="n"/>
      <c r="E3642" s="75">
        <f>+C3642&amp;F3642</f>
        <v/>
      </c>
      <c r="F3642" s="80" t="n"/>
      <c r="G3642" s="81" t="n"/>
      <c r="H3642" s="78" t="n"/>
      <c r="I3642" s="78" t="n"/>
      <c r="J3642" s="78" t="n"/>
    </row>
    <row r="3643">
      <c r="A3643" s="84">
        <f>ROW()-6</f>
        <v/>
      </c>
      <c r="B3643" s="85">
        <f>+MATCH(D3643,ARTICULOS!$F$10:$F$699,0)</f>
        <v/>
      </c>
      <c r="C3643" s="86">
        <f>+VLOOKUP(B3643,ARTICULOS!$D$10:$I$699,6)</f>
        <v/>
      </c>
      <c r="D3643" s="212" t="n"/>
      <c r="E3643" s="75">
        <f>+C3643&amp;F3643</f>
        <v/>
      </c>
      <c r="F3643" s="80" t="n"/>
      <c r="G3643" s="81" t="n"/>
      <c r="H3643" s="78" t="n"/>
      <c r="I3643" s="78" t="n"/>
      <c r="J3643" s="78" t="n"/>
    </row>
    <row r="3644">
      <c r="A3644" s="84">
        <f>ROW()-6</f>
        <v/>
      </c>
      <c r="B3644" s="85">
        <f>+MATCH(D3644,ARTICULOS!$F$10:$F$699,0)</f>
        <v/>
      </c>
      <c r="C3644" s="86">
        <f>+VLOOKUP(B3644,ARTICULOS!$D$10:$I$699,6)</f>
        <v/>
      </c>
      <c r="D3644" s="212" t="n"/>
      <c r="E3644" s="75">
        <f>+C3644&amp;F3644</f>
        <v/>
      </c>
      <c r="F3644" s="80" t="n"/>
      <c r="G3644" s="81" t="n"/>
      <c r="H3644" s="78" t="n"/>
      <c r="I3644" s="78" t="n"/>
      <c r="J3644" s="78" t="n"/>
    </row>
    <row r="3645">
      <c r="A3645" s="84">
        <f>ROW()-6</f>
        <v/>
      </c>
      <c r="B3645" s="85">
        <f>+MATCH(D3645,ARTICULOS!$F$10:$F$699,0)</f>
        <v/>
      </c>
      <c r="C3645" s="86">
        <f>+VLOOKUP(B3645,ARTICULOS!$D$10:$I$699,6)</f>
        <v/>
      </c>
      <c r="D3645" s="212" t="n"/>
      <c r="E3645" s="75">
        <f>+C3645&amp;F3645</f>
        <v/>
      </c>
      <c r="F3645" s="80" t="n"/>
      <c r="G3645" s="81" t="n"/>
      <c r="H3645" s="78" t="n"/>
      <c r="I3645" s="78" t="n"/>
      <c r="J3645" s="78" t="n"/>
    </row>
    <row r="3646">
      <c r="A3646" s="84">
        <f>ROW()-6</f>
        <v/>
      </c>
      <c r="B3646" s="85">
        <f>+MATCH(D3646,ARTICULOS!$F$10:$F$699,0)</f>
        <v/>
      </c>
      <c r="C3646" s="86">
        <f>+VLOOKUP(B3646,ARTICULOS!$D$10:$I$699,6)</f>
        <v/>
      </c>
      <c r="D3646" s="212" t="n"/>
      <c r="E3646" s="75">
        <f>+C3646&amp;F3646</f>
        <v/>
      </c>
      <c r="F3646" s="80" t="n"/>
      <c r="G3646" s="81" t="n"/>
      <c r="H3646" s="78" t="n"/>
      <c r="I3646" s="78" t="n"/>
      <c r="J3646" s="78" t="n"/>
    </row>
    <row r="3647">
      <c r="A3647" s="84">
        <f>ROW()-6</f>
        <v/>
      </c>
      <c r="B3647" s="85">
        <f>+MATCH(D3647,ARTICULOS!$F$10:$F$699,0)</f>
        <v/>
      </c>
      <c r="C3647" s="86">
        <f>+VLOOKUP(B3647,ARTICULOS!$D$10:$I$699,6)</f>
        <v/>
      </c>
      <c r="D3647" s="212" t="n"/>
      <c r="E3647" s="75">
        <f>+C3647&amp;F3647</f>
        <v/>
      </c>
      <c r="F3647" s="80" t="n"/>
      <c r="G3647" s="81" t="n"/>
      <c r="H3647" s="78" t="n"/>
      <c r="I3647" s="78" t="n"/>
      <c r="J3647" s="78" t="n"/>
    </row>
    <row r="3648">
      <c r="A3648" s="84">
        <f>ROW()-6</f>
        <v/>
      </c>
      <c r="B3648" s="85">
        <f>+MATCH(D3648,ARTICULOS!$F$10:$F$699,0)</f>
        <v/>
      </c>
      <c r="C3648" s="86">
        <f>+VLOOKUP(B3648,ARTICULOS!$D$10:$I$699,6)</f>
        <v/>
      </c>
      <c r="D3648" s="212" t="n"/>
      <c r="E3648" s="75">
        <f>+C3648&amp;F3648</f>
        <v/>
      </c>
      <c r="F3648" s="80" t="n"/>
      <c r="G3648" s="81" t="n"/>
      <c r="H3648" s="78" t="n"/>
      <c r="I3648" s="78" t="n"/>
      <c r="J3648" s="78" t="n"/>
    </row>
    <row r="3649">
      <c r="A3649" s="84">
        <f>ROW()-6</f>
        <v/>
      </c>
      <c r="B3649" s="85">
        <f>+MATCH(D3649,ARTICULOS!$F$10:$F$699,0)</f>
        <v/>
      </c>
      <c r="C3649" s="86">
        <f>+VLOOKUP(B3649,ARTICULOS!$D$10:$I$699,6)</f>
        <v/>
      </c>
      <c r="D3649" s="212" t="n"/>
      <c r="E3649" s="75">
        <f>+C3649&amp;F3649</f>
        <v/>
      </c>
      <c r="F3649" s="80" t="n"/>
      <c r="G3649" s="81" t="n"/>
      <c r="H3649" s="78" t="n"/>
      <c r="I3649" s="78" t="n"/>
      <c r="J3649" s="78" t="n"/>
    </row>
    <row r="3650">
      <c r="A3650" s="84">
        <f>ROW()-6</f>
        <v/>
      </c>
      <c r="B3650" s="85">
        <f>+MATCH(D3650,ARTICULOS!$F$10:$F$699,0)</f>
        <v/>
      </c>
      <c r="C3650" s="86">
        <f>+VLOOKUP(B3650,ARTICULOS!$D$10:$I$699,6)</f>
        <v/>
      </c>
      <c r="D3650" s="212" t="n"/>
      <c r="E3650" s="75">
        <f>+C3650&amp;F3650</f>
        <v/>
      </c>
      <c r="F3650" s="80" t="n"/>
      <c r="G3650" s="81" t="n"/>
      <c r="H3650" s="78" t="n"/>
      <c r="I3650" s="78" t="n"/>
      <c r="J3650" s="78" t="n"/>
    </row>
    <row r="3651">
      <c r="A3651" s="84">
        <f>ROW()-6</f>
        <v/>
      </c>
      <c r="B3651" s="85">
        <f>+MATCH(D3651,ARTICULOS!$F$10:$F$699,0)</f>
        <v/>
      </c>
      <c r="C3651" s="86">
        <f>+VLOOKUP(B3651,ARTICULOS!$D$10:$I$699,6)</f>
        <v/>
      </c>
      <c r="D3651" s="212" t="n"/>
      <c r="E3651" s="75">
        <f>+C3651&amp;F3651</f>
        <v/>
      </c>
      <c r="F3651" s="80" t="n"/>
      <c r="G3651" s="81" t="n"/>
      <c r="H3651" s="78" t="n"/>
      <c r="I3651" s="78" t="n"/>
      <c r="J3651" s="78" t="n"/>
    </row>
    <row r="3652">
      <c r="A3652" s="84">
        <f>ROW()-6</f>
        <v/>
      </c>
      <c r="B3652" s="85">
        <f>+MATCH(D3652,ARTICULOS!$F$10:$F$699,0)</f>
        <v/>
      </c>
      <c r="C3652" s="86">
        <f>+VLOOKUP(B3652,ARTICULOS!$D$10:$I$699,6)</f>
        <v/>
      </c>
      <c r="D3652" s="212" t="n"/>
      <c r="E3652" s="75">
        <f>+C3652&amp;F3652</f>
        <v/>
      </c>
      <c r="F3652" s="80" t="n"/>
      <c r="G3652" s="81" t="n"/>
      <c r="H3652" s="78" t="n"/>
      <c r="I3652" s="78" t="n"/>
      <c r="J3652" s="78" t="n"/>
    </row>
    <row r="3653">
      <c r="A3653" s="84">
        <f>ROW()-6</f>
        <v/>
      </c>
      <c r="B3653" s="85">
        <f>+MATCH(D3653,ARTICULOS!$F$10:$F$699,0)</f>
        <v/>
      </c>
      <c r="C3653" s="86">
        <f>+VLOOKUP(B3653,ARTICULOS!$D$10:$I$699,6)</f>
        <v/>
      </c>
      <c r="D3653" s="212" t="n"/>
      <c r="E3653" s="75">
        <f>+C3653&amp;F3653</f>
        <v/>
      </c>
      <c r="F3653" s="80" t="n"/>
      <c r="G3653" s="81" t="n"/>
      <c r="H3653" s="78" t="n"/>
      <c r="I3653" s="78" t="n"/>
      <c r="J3653" s="78" t="n"/>
    </row>
    <row r="3654">
      <c r="A3654" s="84">
        <f>ROW()-6</f>
        <v/>
      </c>
      <c r="B3654" s="85">
        <f>+MATCH(D3654,ARTICULOS!$F$10:$F$699,0)</f>
        <v/>
      </c>
      <c r="C3654" s="86">
        <f>+VLOOKUP(B3654,ARTICULOS!$D$10:$I$699,6)</f>
        <v/>
      </c>
      <c r="D3654" s="212" t="n"/>
      <c r="E3654" s="75">
        <f>+C3654&amp;F3654</f>
        <v/>
      </c>
      <c r="F3654" s="80" t="n"/>
      <c r="G3654" s="81" t="n"/>
      <c r="H3654" s="78" t="n"/>
      <c r="I3654" s="78" t="n"/>
      <c r="J3654" s="78" t="n"/>
    </row>
    <row r="3655">
      <c r="A3655" s="84">
        <f>ROW()-6</f>
        <v/>
      </c>
      <c r="B3655" s="85">
        <f>+MATCH(D3655,ARTICULOS!$F$10:$F$699,0)</f>
        <v/>
      </c>
      <c r="C3655" s="86">
        <f>+VLOOKUP(B3655,ARTICULOS!$D$10:$I$699,6)</f>
        <v/>
      </c>
      <c r="D3655" s="212" t="n"/>
      <c r="E3655" s="75">
        <f>+C3655&amp;F3655</f>
        <v/>
      </c>
      <c r="F3655" s="80" t="n"/>
      <c r="G3655" s="81" t="n"/>
      <c r="H3655" s="78" t="n"/>
      <c r="I3655" s="78" t="n"/>
      <c r="J3655" s="78" t="n"/>
    </row>
    <row r="3656">
      <c r="A3656" s="84">
        <f>ROW()-6</f>
        <v/>
      </c>
      <c r="B3656" s="85">
        <f>+MATCH(D3656,ARTICULOS!$F$10:$F$699,0)</f>
        <v/>
      </c>
      <c r="C3656" s="86">
        <f>+VLOOKUP(B3656,ARTICULOS!$D$10:$I$699,6)</f>
        <v/>
      </c>
      <c r="D3656" s="212" t="n"/>
      <c r="E3656" s="75">
        <f>+C3656&amp;F3656</f>
        <v/>
      </c>
      <c r="F3656" s="80" t="n"/>
      <c r="G3656" s="81" t="n"/>
      <c r="H3656" s="78" t="n"/>
      <c r="I3656" s="78" t="n"/>
      <c r="J3656" s="78" t="n"/>
    </row>
    <row r="3657">
      <c r="A3657" s="84">
        <f>ROW()-6</f>
        <v/>
      </c>
      <c r="B3657" s="85">
        <f>+MATCH(D3657,ARTICULOS!$F$10:$F$699,0)</f>
        <v/>
      </c>
      <c r="C3657" s="86">
        <f>+VLOOKUP(B3657,ARTICULOS!$D$10:$I$699,6)</f>
        <v/>
      </c>
      <c r="D3657" s="212" t="n"/>
      <c r="E3657" s="75">
        <f>+C3657&amp;F3657</f>
        <v/>
      </c>
      <c r="F3657" s="80" t="n"/>
      <c r="G3657" s="81" t="n"/>
      <c r="H3657" s="78" t="n"/>
      <c r="I3657" s="78" t="n"/>
      <c r="J3657" s="78" t="n"/>
    </row>
    <row r="3658">
      <c r="A3658" s="84">
        <f>ROW()-6</f>
        <v/>
      </c>
      <c r="B3658" s="85">
        <f>+MATCH(D3658,ARTICULOS!$F$10:$F$699,0)</f>
        <v/>
      </c>
      <c r="C3658" s="86">
        <f>+VLOOKUP(B3658,ARTICULOS!$D$10:$I$699,6)</f>
        <v/>
      </c>
      <c r="D3658" s="212" t="n"/>
      <c r="E3658" s="75">
        <f>+C3658&amp;F3658</f>
        <v/>
      </c>
      <c r="F3658" s="80" t="n"/>
      <c r="G3658" s="81" t="n"/>
      <c r="H3658" s="78" t="n"/>
      <c r="I3658" s="78" t="n"/>
      <c r="J3658" s="78" t="n"/>
    </row>
    <row r="3659">
      <c r="A3659" s="84">
        <f>ROW()-6</f>
        <v/>
      </c>
      <c r="B3659" s="85">
        <f>+MATCH(D3659,ARTICULOS!$F$10:$F$699,0)</f>
        <v/>
      </c>
      <c r="C3659" s="86">
        <f>+VLOOKUP(B3659,ARTICULOS!$D$10:$I$699,6)</f>
        <v/>
      </c>
      <c r="D3659" s="212" t="n"/>
      <c r="E3659" s="75">
        <f>+C3659&amp;F3659</f>
        <v/>
      </c>
      <c r="F3659" s="80" t="n"/>
      <c r="G3659" s="81" t="n"/>
      <c r="H3659" s="78" t="n"/>
      <c r="I3659" s="78" t="n"/>
      <c r="J3659" s="78" t="n"/>
    </row>
    <row r="3660">
      <c r="A3660" s="84">
        <f>ROW()-6</f>
        <v/>
      </c>
      <c r="B3660" s="85">
        <f>+MATCH(D3660,ARTICULOS!$F$10:$F$699,0)</f>
        <v/>
      </c>
      <c r="C3660" s="86">
        <f>+VLOOKUP(B3660,ARTICULOS!$D$10:$I$699,6)</f>
        <v/>
      </c>
      <c r="D3660" s="212" t="n"/>
      <c r="E3660" s="75">
        <f>+C3660&amp;F3660</f>
        <v/>
      </c>
      <c r="F3660" s="80" t="n"/>
      <c r="G3660" s="81" t="n"/>
      <c r="H3660" s="78" t="n"/>
      <c r="I3660" s="78" t="n"/>
      <c r="J3660" s="78" t="n"/>
    </row>
    <row r="3661">
      <c r="A3661" s="84">
        <f>ROW()-6</f>
        <v/>
      </c>
      <c r="B3661" s="85">
        <f>+MATCH(D3661,ARTICULOS!$F$10:$F$699,0)</f>
        <v/>
      </c>
      <c r="C3661" s="86">
        <f>+VLOOKUP(B3661,ARTICULOS!$D$10:$I$699,6)</f>
        <v/>
      </c>
      <c r="D3661" s="212" t="n"/>
      <c r="E3661" s="75">
        <f>+C3661&amp;F3661</f>
        <v/>
      </c>
      <c r="F3661" s="80" t="n"/>
      <c r="G3661" s="81" t="n"/>
      <c r="H3661" s="78" t="n"/>
      <c r="I3661" s="78" t="n"/>
      <c r="J3661" s="78" t="n"/>
    </row>
    <row r="3662">
      <c r="A3662" s="84">
        <f>ROW()-6</f>
        <v/>
      </c>
      <c r="B3662" s="85">
        <f>+MATCH(D3662,ARTICULOS!$F$10:$F$699,0)</f>
        <v/>
      </c>
      <c r="C3662" s="86">
        <f>+VLOOKUP(B3662,ARTICULOS!$D$10:$I$699,6)</f>
        <v/>
      </c>
      <c r="D3662" s="212" t="n"/>
      <c r="E3662" s="75">
        <f>+C3662&amp;F3662</f>
        <v/>
      </c>
      <c r="F3662" s="80" t="n"/>
      <c r="G3662" s="81" t="n"/>
      <c r="H3662" s="78" t="n"/>
      <c r="I3662" s="78" t="n"/>
      <c r="J3662" s="78" t="n"/>
    </row>
    <row r="3663">
      <c r="A3663" s="84">
        <f>ROW()-6</f>
        <v/>
      </c>
      <c r="B3663" s="85">
        <f>+MATCH(D3663,ARTICULOS!$F$10:$F$699,0)</f>
        <v/>
      </c>
      <c r="C3663" s="86">
        <f>+VLOOKUP(B3663,ARTICULOS!$D$10:$I$699,6)</f>
        <v/>
      </c>
      <c r="D3663" s="212" t="n"/>
      <c r="E3663" s="75">
        <f>+C3663&amp;F3663</f>
        <v/>
      </c>
      <c r="F3663" s="80" t="n"/>
      <c r="G3663" s="81" t="n"/>
      <c r="H3663" s="78" t="n"/>
      <c r="I3663" s="78" t="n"/>
      <c r="J3663" s="78" t="n"/>
    </row>
    <row r="3664">
      <c r="A3664" s="84">
        <f>ROW()-6</f>
        <v/>
      </c>
      <c r="B3664" s="85">
        <f>+MATCH(D3664,ARTICULOS!$F$10:$F$699,0)</f>
        <v/>
      </c>
      <c r="C3664" s="86">
        <f>+VLOOKUP(B3664,ARTICULOS!$D$10:$I$699,6)</f>
        <v/>
      </c>
      <c r="D3664" s="212" t="n"/>
      <c r="E3664" s="75">
        <f>+C3664&amp;F3664</f>
        <v/>
      </c>
      <c r="F3664" s="80" t="n"/>
      <c r="G3664" s="81" t="n"/>
      <c r="H3664" s="78" t="n"/>
      <c r="I3664" s="78" t="n"/>
      <c r="J3664" s="78" t="n"/>
    </row>
    <row r="3665">
      <c r="A3665" s="84">
        <f>ROW()-6</f>
        <v/>
      </c>
      <c r="B3665" s="85">
        <f>+MATCH(D3665,ARTICULOS!$F$10:$F$699,0)</f>
        <v/>
      </c>
      <c r="C3665" s="86">
        <f>+VLOOKUP(B3665,ARTICULOS!$D$10:$I$699,6)</f>
        <v/>
      </c>
      <c r="D3665" s="212" t="n"/>
      <c r="E3665" s="75">
        <f>+C3665&amp;F3665</f>
        <v/>
      </c>
      <c r="F3665" s="80" t="n"/>
      <c r="G3665" s="81" t="n"/>
      <c r="H3665" s="78" t="n"/>
      <c r="I3665" s="78" t="n"/>
      <c r="J3665" s="78" t="n"/>
    </row>
    <row r="3666">
      <c r="A3666" s="84">
        <f>ROW()-6</f>
        <v/>
      </c>
      <c r="B3666" s="85">
        <f>+MATCH(D3666,ARTICULOS!$F$10:$F$699,0)</f>
        <v/>
      </c>
      <c r="C3666" s="86">
        <f>+VLOOKUP(B3666,ARTICULOS!$D$10:$I$699,6)</f>
        <v/>
      </c>
      <c r="D3666" s="212" t="n"/>
      <c r="E3666" s="75">
        <f>+C3666&amp;F3666</f>
        <v/>
      </c>
      <c r="F3666" s="80" t="n"/>
      <c r="G3666" s="81" t="n"/>
      <c r="H3666" s="78" t="n"/>
      <c r="I3666" s="78" t="n"/>
      <c r="J3666" s="78" t="n"/>
    </row>
    <row r="3667">
      <c r="A3667" s="84">
        <f>ROW()-6</f>
        <v/>
      </c>
      <c r="B3667" s="85">
        <f>+MATCH(D3667,ARTICULOS!$F$10:$F$699,0)</f>
        <v/>
      </c>
      <c r="C3667" s="86">
        <f>+VLOOKUP(B3667,ARTICULOS!$D$10:$I$699,6)</f>
        <v/>
      </c>
      <c r="D3667" s="212" t="n"/>
      <c r="E3667" s="75">
        <f>+C3667&amp;F3667</f>
        <v/>
      </c>
      <c r="F3667" s="80" t="n"/>
      <c r="G3667" s="81" t="n"/>
      <c r="H3667" s="78" t="n"/>
      <c r="I3667" s="78" t="n"/>
      <c r="J3667" s="78" t="n"/>
    </row>
    <row r="3668">
      <c r="A3668" s="84">
        <f>ROW()-6</f>
        <v/>
      </c>
      <c r="B3668" s="85">
        <f>+MATCH(D3668,ARTICULOS!$F$10:$F$699,0)</f>
        <v/>
      </c>
      <c r="C3668" s="86">
        <f>+VLOOKUP(B3668,ARTICULOS!$D$10:$I$699,6)</f>
        <v/>
      </c>
      <c r="D3668" s="212" t="n"/>
      <c r="E3668" s="75">
        <f>+C3668&amp;F3668</f>
        <v/>
      </c>
      <c r="F3668" s="80" t="n"/>
      <c r="G3668" s="81" t="n"/>
      <c r="H3668" s="78" t="n"/>
      <c r="I3668" s="78" t="n"/>
      <c r="J3668" s="78" t="n"/>
    </row>
    <row r="3669">
      <c r="A3669" s="84">
        <f>ROW()-6</f>
        <v/>
      </c>
      <c r="B3669" s="85">
        <f>+MATCH(D3669,ARTICULOS!$F$10:$F$699,0)</f>
        <v/>
      </c>
      <c r="C3669" s="86">
        <f>+VLOOKUP(B3669,ARTICULOS!$D$10:$I$699,6)</f>
        <v/>
      </c>
      <c r="D3669" s="212" t="n"/>
      <c r="E3669" s="75">
        <f>+C3669&amp;F3669</f>
        <v/>
      </c>
      <c r="F3669" s="80" t="n"/>
      <c r="G3669" s="81" t="n"/>
      <c r="H3669" s="78" t="n"/>
      <c r="I3669" s="78" t="n"/>
      <c r="J3669" s="78" t="n"/>
    </row>
    <row r="3670">
      <c r="A3670" s="84">
        <f>ROW()-6</f>
        <v/>
      </c>
      <c r="B3670" s="85">
        <f>+MATCH(D3670,ARTICULOS!$F$10:$F$699,0)</f>
        <v/>
      </c>
      <c r="C3670" s="86">
        <f>+VLOOKUP(B3670,ARTICULOS!$D$10:$I$699,6)</f>
        <v/>
      </c>
      <c r="D3670" s="212" t="n"/>
      <c r="E3670" s="75">
        <f>+C3670&amp;F3670</f>
        <v/>
      </c>
      <c r="F3670" s="80" t="n"/>
      <c r="G3670" s="81" t="n"/>
      <c r="H3670" s="78" t="n"/>
      <c r="I3670" s="78" t="n"/>
      <c r="J3670" s="78" t="n"/>
    </row>
    <row r="3671">
      <c r="A3671" s="84">
        <f>ROW()-6</f>
        <v/>
      </c>
      <c r="B3671" s="85">
        <f>+MATCH(D3671,ARTICULOS!$F$10:$F$699,0)</f>
        <v/>
      </c>
      <c r="C3671" s="86">
        <f>+VLOOKUP(B3671,ARTICULOS!$D$10:$I$699,6)</f>
        <v/>
      </c>
      <c r="D3671" s="212" t="n"/>
      <c r="E3671" s="75">
        <f>+C3671&amp;F3671</f>
        <v/>
      </c>
      <c r="F3671" s="80" t="n"/>
      <c r="G3671" s="81" t="n"/>
      <c r="H3671" s="78" t="n"/>
      <c r="I3671" s="78" t="n"/>
      <c r="J3671" s="78" t="n"/>
    </row>
    <row r="3672">
      <c r="A3672" s="84">
        <f>ROW()-6</f>
        <v/>
      </c>
      <c r="B3672" s="85">
        <f>+MATCH(D3672,ARTICULOS!$F$10:$F$699,0)</f>
        <v/>
      </c>
      <c r="C3672" s="86">
        <f>+VLOOKUP(B3672,ARTICULOS!$D$10:$I$699,6)</f>
        <v/>
      </c>
      <c r="D3672" s="212" t="n"/>
      <c r="E3672" s="75">
        <f>+C3672&amp;F3672</f>
        <v/>
      </c>
      <c r="F3672" s="80" t="n"/>
      <c r="G3672" s="81" t="n"/>
      <c r="H3672" s="78" t="n"/>
      <c r="I3672" s="78" t="n"/>
      <c r="J3672" s="78" t="n"/>
    </row>
    <row r="3673">
      <c r="A3673" s="84">
        <f>ROW()-6</f>
        <v/>
      </c>
      <c r="B3673" s="85">
        <f>+MATCH(D3673,ARTICULOS!$F$10:$F$699,0)</f>
        <v/>
      </c>
      <c r="C3673" s="86">
        <f>+VLOOKUP(B3673,ARTICULOS!$D$10:$I$699,6)</f>
        <v/>
      </c>
      <c r="D3673" s="212" t="n"/>
      <c r="E3673" s="75">
        <f>+C3673&amp;F3673</f>
        <v/>
      </c>
      <c r="F3673" s="80" t="n"/>
      <c r="G3673" s="81" t="n"/>
      <c r="H3673" s="78" t="n"/>
      <c r="I3673" s="78" t="n"/>
      <c r="J3673" s="78" t="n"/>
    </row>
    <row r="3674">
      <c r="A3674" s="84">
        <f>ROW()-6</f>
        <v/>
      </c>
      <c r="B3674" s="85">
        <f>+MATCH(D3674,ARTICULOS!$F$10:$F$699,0)</f>
        <v/>
      </c>
      <c r="C3674" s="86">
        <f>+VLOOKUP(B3674,ARTICULOS!$D$10:$I$699,6)</f>
        <v/>
      </c>
      <c r="D3674" s="212" t="n"/>
      <c r="E3674" s="75">
        <f>+C3674&amp;F3674</f>
        <v/>
      </c>
      <c r="F3674" s="80" t="n"/>
      <c r="G3674" s="81" t="n"/>
      <c r="H3674" s="78" t="n"/>
      <c r="I3674" s="78" t="n"/>
      <c r="J3674" s="78" t="n"/>
    </row>
    <row r="3675">
      <c r="A3675" s="84">
        <f>ROW()-6</f>
        <v/>
      </c>
      <c r="B3675" s="85">
        <f>+MATCH(D3675,ARTICULOS!$F$10:$F$699,0)</f>
        <v/>
      </c>
      <c r="C3675" s="86">
        <f>+VLOOKUP(B3675,ARTICULOS!$D$10:$I$699,6)</f>
        <v/>
      </c>
      <c r="D3675" s="212" t="n"/>
      <c r="E3675" s="75">
        <f>+C3675&amp;F3675</f>
        <v/>
      </c>
      <c r="F3675" s="80" t="n"/>
      <c r="G3675" s="81" t="n"/>
      <c r="H3675" s="78" t="n"/>
      <c r="I3675" s="78" t="n"/>
      <c r="J3675" s="78" t="n"/>
    </row>
    <row r="3676">
      <c r="A3676" s="84">
        <f>ROW()-6</f>
        <v/>
      </c>
      <c r="B3676" s="85">
        <f>+MATCH(D3676,ARTICULOS!$F$10:$F$699,0)</f>
        <v/>
      </c>
      <c r="C3676" s="86">
        <f>+VLOOKUP(B3676,ARTICULOS!$D$10:$I$699,6)</f>
        <v/>
      </c>
      <c r="D3676" s="212" t="n"/>
      <c r="E3676" s="75">
        <f>+C3676&amp;F3676</f>
        <v/>
      </c>
      <c r="F3676" s="80" t="n"/>
      <c r="G3676" s="81" t="n"/>
      <c r="H3676" s="78" t="n"/>
      <c r="I3676" s="78" t="n"/>
      <c r="J3676" s="78" t="n"/>
    </row>
    <row r="3677">
      <c r="A3677" s="84">
        <f>ROW()-6</f>
        <v/>
      </c>
      <c r="B3677" s="85">
        <f>+MATCH(D3677,ARTICULOS!$F$10:$F$699,0)</f>
        <v/>
      </c>
      <c r="C3677" s="86">
        <f>+VLOOKUP(B3677,ARTICULOS!$D$10:$I$699,6)</f>
        <v/>
      </c>
      <c r="D3677" s="212" t="n"/>
      <c r="E3677" s="75">
        <f>+C3677&amp;F3677</f>
        <v/>
      </c>
      <c r="F3677" s="80" t="n"/>
      <c r="G3677" s="81" t="n"/>
      <c r="H3677" s="78" t="n"/>
      <c r="I3677" s="78" t="n"/>
      <c r="J3677" s="78" t="n"/>
    </row>
    <row r="3678">
      <c r="A3678" s="84">
        <f>ROW()-6</f>
        <v/>
      </c>
      <c r="B3678" s="85">
        <f>+MATCH(D3678,ARTICULOS!$F$10:$F$699,0)</f>
        <v/>
      </c>
      <c r="C3678" s="86">
        <f>+VLOOKUP(B3678,ARTICULOS!$D$10:$I$699,6)</f>
        <v/>
      </c>
      <c r="D3678" s="212" t="n"/>
      <c r="E3678" s="75">
        <f>+C3678&amp;F3678</f>
        <v/>
      </c>
      <c r="F3678" s="80" t="n"/>
      <c r="G3678" s="81" t="n"/>
      <c r="H3678" s="78" t="n"/>
      <c r="I3678" s="78" t="n"/>
      <c r="J3678" s="78" t="n"/>
    </row>
    <row r="3679">
      <c r="A3679" s="84">
        <f>ROW()-6</f>
        <v/>
      </c>
      <c r="B3679" s="85">
        <f>+MATCH(D3679,ARTICULOS!$F$10:$F$699,0)</f>
        <v/>
      </c>
      <c r="C3679" s="86">
        <f>+VLOOKUP(B3679,ARTICULOS!$D$10:$I$699,6)</f>
        <v/>
      </c>
      <c r="D3679" s="212" t="n"/>
      <c r="E3679" s="75">
        <f>+C3679&amp;F3679</f>
        <v/>
      </c>
      <c r="F3679" s="80" t="n"/>
      <c r="G3679" s="81" t="n"/>
      <c r="H3679" s="78" t="n"/>
      <c r="I3679" s="78" t="n"/>
      <c r="J3679" s="78" t="n"/>
    </row>
    <row r="3680">
      <c r="A3680" s="84">
        <f>ROW()-6</f>
        <v/>
      </c>
      <c r="B3680" s="85">
        <f>+MATCH(D3680,ARTICULOS!$F$10:$F$699,0)</f>
        <v/>
      </c>
      <c r="C3680" s="86">
        <f>+VLOOKUP(B3680,ARTICULOS!$D$10:$I$699,6)</f>
        <v/>
      </c>
      <c r="D3680" s="212" t="n"/>
      <c r="E3680" s="75">
        <f>+C3680&amp;F3680</f>
        <v/>
      </c>
      <c r="F3680" s="80" t="n"/>
      <c r="G3680" s="81" t="n"/>
      <c r="H3680" s="78" t="n"/>
      <c r="I3680" s="78" t="n"/>
      <c r="J3680" s="78" t="n"/>
    </row>
    <row r="3681">
      <c r="A3681" s="84">
        <f>ROW()-6</f>
        <v/>
      </c>
      <c r="B3681" s="85">
        <f>+MATCH(D3681,ARTICULOS!$F$10:$F$699,0)</f>
        <v/>
      </c>
      <c r="C3681" s="86">
        <f>+VLOOKUP(B3681,ARTICULOS!$D$10:$I$699,6)</f>
        <v/>
      </c>
      <c r="D3681" s="212" t="n"/>
      <c r="E3681" s="75">
        <f>+C3681&amp;F3681</f>
        <v/>
      </c>
      <c r="F3681" s="80" t="n"/>
      <c r="G3681" s="81" t="n"/>
      <c r="H3681" s="78" t="n"/>
      <c r="I3681" s="78" t="n"/>
      <c r="J3681" s="78" t="n"/>
    </row>
    <row r="3682">
      <c r="A3682" s="84">
        <f>ROW()-6</f>
        <v/>
      </c>
      <c r="B3682" s="85">
        <f>+MATCH(D3682,ARTICULOS!$F$10:$F$699,0)</f>
        <v/>
      </c>
      <c r="C3682" s="86">
        <f>+VLOOKUP(B3682,ARTICULOS!$D$10:$I$699,6)</f>
        <v/>
      </c>
      <c r="D3682" s="212" t="n"/>
      <c r="E3682" s="75">
        <f>+C3682&amp;F3682</f>
        <v/>
      </c>
      <c r="F3682" s="80" t="n"/>
      <c r="G3682" s="81" t="n"/>
      <c r="H3682" s="78" t="n"/>
      <c r="I3682" s="78" t="n"/>
      <c r="J3682" s="78" t="n"/>
    </row>
    <row r="3683">
      <c r="A3683" s="84">
        <f>ROW()-6</f>
        <v/>
      </c>
      <c r="B3683" s="85">
        <f>+MATCH(D3683,ARTICULOS!$F$10:$F$699,0)</f>
        <v/>
      </c>
      <c r="C3683" s="86">
        <f>+VLOOKUP(B3683,ARTICULOS!$D$10:$I$699,6)</f>
        <v/>
      </c>
      <c r="D3683" s="212" t="n"/>
      <c r="E3683" s="75">
        <f>+C3683&amp;F3683</f>
        <v/>
      </c>
      <c r="F3683" s="80" t="n"/>
      <c r="G3683" s="81" t="n"/>
      <c r="H3683" s="78" t="n"/>
      <c r="I3683" s="78" t="n"/>
      <c r="J3683" s="78" t="n"/>
    </row>
    <row r="3684">
      <c r="A3684" s="84">
        <f>ROW()-6</f>
        <v/>
      </c>
      <c r="B3684" s="85">
        <f>+MATCH(D3684,ARTICULOS!$F$10:$F$699,0)</f>
        <v/>
      </c>
      <c r="C3684" s="86">
        <f>+VLOOKUP(B3684,ARTICULOS!$D$10:$I$699,6)</f>
        <v/>
      </c>
      <c r="D3684" s="212" t="n"/>
      <c r="E3684" s="75">
        <f>+C3684&amp;F3684</f>
        <v/>
      </c>
      <c r="F3684" s="80" t="n"/>
      <c r="G3684" s="81" t="n"/>
      <c r="H3684" s="78" t="n"/>
      <c r="I3684" s="78" t="n"/>
      <c r="J3684" s="78" t="n"/>
    </row>
    <row r="3685">
      <c r="A3685" s="84">
        <f>ROW()-6</f>
        <v/>
      </c>
      <c r="B3685" s="85">
        <f>+MATCH(D3685,ARTICULOS!$F$10:$F$699,0)</f>
        <v/>
      </c>
      <c r="C3685" s="86">
        <f>+VLOOKUP(B3685,ARTICULOS!$D$10:$I$699,6)</f>
        <v/>
      </c>
      <c r="D3685" s="212" t="n"/>
      <c r="E3685" s="75">
        <f>+C3685&amp;F3685</f>
        <v/>
      </c>
      <c r="F3685" s="80" t="n"/>
      <c r="G3685" s="81" t="n"/>
      <c r="H3685" s="78" t="n"/>
      <c r="I3685" s="78" t="n"/>
      <c r="J3685" s="78" t="n"/>
    </row>
    <row r="3686">
      <c r="A3686" s="84">
        <f>ROW()-6</f>
        <v/>
      </c>
      <c r="B3686" s="85">
        <f>+MATCH(D3686,ARTICULOS!$F$10:$F$699,0)</f>
        <v/>
      </c>
      <c r="C3686" s="86">
        <f>+VLOOKUP(B3686,ARTICULOS!$D$10:$I$699,6)</f>
        <v/>
      </c>
      <c r="D3686" s="212" t="n"/>
      <c r="E3686" s="75">
        <f>+C3686&amp;F3686</f>
        <v/>
      </c>
      <c r="F3686" s="80" t="n"/>
      <c r="G3686" s="81" t="n"/>
      <c r="H3686" s="78" t="n"/>
      <c r="I3686" s="78" t="n"/>
      <c r="J3686" s="78" t="n"/>
    </row>
    <row r="3687">
      <c r="A3687" s="84">
        <f>ROW()-6</f>
        <v/>
      </c>
      <c r="B3687" s="85">
        <f>+MATCH(D3687,ARTICULOS!$F$10:$F$699,0)</f>
        <v/>
      </c>
      <c r="C3687" s="86">
        <f>+VLOOKUP(B3687,ARTICULOS!$D$10:$I$699,6)</f>
        <v/>
      </c>
      <c r="D3687" s="212" t="n"/>
      <c r="E3687" s="75">
        <f>+C3687&amp;F3687</f>
        <v/>
      </c>
      <c r="F3687" s="80" t="n"/>
      <c r="G3687" s="81" t="n"/>
      <c r="H3687" s="78" t="n"/>
      <c r="I3687" s="78" t="n"/>
      <c r="J3687" s="78" t="n"/>
    </row>
    <row r="3688">
      <c r="A3688" s="84">
        <f>ROW()-6</f>
        <v/>
      </c>
      <c r="B3688" s="85">
        <f>+MATCH(D3688,ARTICULOS!$F$10:$F$699,0)</f>
        <v/>
      </c>
      <c r="C3688" s="86">
        <f>+VLOOKUP(B3688,ARTICULOS!$D$10:$I$699,6)</f>
        <v/>
      </c>
      <c r="D3688" s="212" t="n"/>
      <c r="E3688" s="75">
        <f>+C3688&amp;F3688</f>
        <v/>
      </c>
      <c r="F3688" s="80" t="n"/>
      <c r="G3688" s="81" t="n"/>
      <c r="H3688" s="78" t="n"/>
      <c r="I3688" s="78" t="n"/>
      <c r="J3688" s="78" t="n"/>
    </row>
    <row r="3689">
      <c r="A3689" s="84">
        <f>ROW()-6</f>
        <v/>
      </c>
      <c r="B3689" s="85">
        <f>+MATCH(D3689,ARTICULOS!$F$10:$F$699,0)</f>
        <v/>
      </c>
      <c r="C3689" s="86">
        <f>+VLOOKUP(B3689,ARTICULOS!$D$10:$I$699,6)</f>
        <v/>
      </c>
      <c r="D3689" s="212" t="n"/>
      <c r="E3689" s="75">
        <f>+C3689&amp;F3689</f>
        <v/>
      </c>
      <c r="F3689" s="80" t="n"/>
      <c r="G3689" s="81" t="n"/>
      <c r="H3689" s="78" t="n"/>
      <c r="I3689" s="78" t="n"/>
      <c r="J3689" s="78" t="n"/>
    </row>
    <row r="3690">
      <c r="A3690" s="84">
        <f>ROW()-6</f>
        <v/>
      </c>
      <c r="B3690" s="85">
        <f>+MATCH(D3690,ARTICULOS!$F$10:$F$699,0)</f>
        <v/>
      </c>
      <c r="C3690" s="86">
        <f>+VLOOKUP(B3690,ARTICULOS!$D$10:$I$699,6)</f>
        <v/>
      </c>
      <c r="D3690" s="212" t="n"/>
      <c r="E3690" s="75">
        <f>+C3690&amp;F3690</f>
        <v/>
      </c>
      <c r="F3690" s="80" t="n"/>
      <c r="G3690" s="81" t="n"/>
      <c r="H3690" s="78" t="n"/>
      <c r="I3690" s="78" t="n"/>
      <c r="J3690" s="78" t="n"/>
    </row>
    <row r="3691">
      <c r="A3691" s="84">
        <f>ROW()-6</f>
        <v/>
      </c>
      <c r="B3691" s="85">
        <f>+MATCH(D3691,ARTICULOS!$F$10:$F$699,0)</f>
        <v/>
      </c>
      <c r="C3691" s="86">
        <f>+VLOOKUP(B3691,ARTICULOS!$D$10:$I$699,6)</f>
        <v/>
      </c>
      <c r="D3691" s="212" t="n"/>
      <c r="E3691" s="75">
        <f>+C3691&amp;F3691</f>
        <v/>
      </c>
      <c r="F3691" s="80" t="n"/>
      <c r="G3691" s="81" t="n"/>
      <c r="H3691" s="78" t="n"/>
      <c r="I3691" s="78" t="n"/>
      <c r="J3691" s="78" t="n"/>
    </row>
    <row r="3692">
      <c r="A3692" s="84">
        <f>ROW()-6</f>
        <v/>
      </c>
      <c r="B3692" s="85">
        <f>+MATCH(D3692,ARTICULOS!$F$10:$F$699,0)</f>
        <v/>
      </c>
      <c r="C3692" s="86">
        <f>+VLOOKUP(B3692,ARTICULOS!$D$10:$I$699,6)</f>
        <v/>
      </c>
      <c r="D3692" s="212" t="n"/>
      <c r="E3692" s="75">
        <f>+C3692&amp;F3692</f>
        <v/>
      </c>
      <c r="F3692" s="80" t="n"/>
      <c r="G3692" s="81" t="n"/>
      <c r="H3692" s="78" t="n"/>
      <c r="I3692" s="78" t="n"/>
      <c r="J3692" s="78" t="n"/>
    </row>
    <row r="3693">
      <c r="A3693" s="84">
        <f>ROW()-6</f>
        <v/>
      </c>
      <c r="B3693" s="85">
        <f>+MATCH(D3693,ARTICULOS!$F$10:$F$699,0)</f>
        <v/>
      </c>
      <c r="C3693" s="86">
        <f>+VLOOKUP(B3693,ARTICULOS!$D$10:$I$699,6)</f>
        <v/>
      </c>
      <c r="D3693" s="212" t="n"/>
      <c r="E3693" s="75">
        <f>+C3693&amp;F3693</f>
        <v/>
      </c>
      <c r="F3693" s="80" t="n"/>
      <c r="G3693" s="81" t="n"/>
      <c r="H3693" s="78" t="n"/>
      <c r="I3693" s="78" t="n"/>
      <c r="J3693" s="78" t="n"/>
    </row>
    <row r="3694">
      <c r="A3694" s="84">
        <f>ROW()-6</f>
        <v/>
      </c>
      <c r="B3694" s="85">
        <f>+MATCH(D3694,ARTICULOS!$F$10:$F$699,0)</f>
        <v/>
      </c>
      <c r="C3694" s="86">
        <f>+VLOOKUP(B3694,ARTICULOS!$D$10:$I$699,6)</f>
        <v/>
      </c>
      <c r="D3694" s="212" t="n"/>
      <c r="E3694" s="75">
        <f>+C3694&amp;F3694</f>
        <v/>
      </c>
      <c r="F3694" s="80" t="n"/>
      <c r="G3694" s="81" t="n"/>
      <c r="H3694" s="78" t="n"/>
      <c r="I3694" s="78" t="n"/>
      <c r="J3694" s="78" t="n"/>
    </row>
    <row r="3695">
      <c r="A3695" s="84">
        <f>ROW()-6</f>
        <v/>
      </c>
      <c r="B3695" s="85">
        <f>+MATCH(D3695,ARTICULOS!$F$10:$F$699,0)</f>
        <v/>
      </c>
      <c r="C3695" s="86">
        <f>+VLOOKUP(B3695,ARTICULOS!$D$10:$I$699,6)</f>
        <v/>
      </c>
      <c r="D3695" s="212" t="n"/>
      <c r="E3695" s="75">
        <f>+C3695&amp;F3695</f>
        <v/>
      </c>
      <c r="F3695" s="80" t="n"/>
      <c r="G3695" s="81" t="n"/>
      <c r="H3695" s="78" t="n"/>
      <c r="I3695" s="78" t="n"/>
      <c r="J3695" s="78" t="n"/>
    </row>
    <row r="3696">
      <c r="A3696" s="84">
        <f>ROW()-6</f>
        <v/>
      </c>
      <c r="B3696" s="85">
        <f>+MATCH(D3696,ARTICULOS!$F$10:$F$699,0)</f>
        <v/>
      </c>
      <c r="C3696" s="86">
        <f>+VLOOKUP(B3696,ARTICULOS!$D$10:$I$699,6)</f>
        <v/>
      </c>
      <c r="D3696" s="212" t="n"/>
      <c r="E3696" s="75">
        <f>+C3696&amp;F3696</f>
        <v/>
      </c>
      <c r="F3696" s="80" t="n"/>
      <c r="G3696" s="81" t="n"/>
      <c r="H3696" s="78" t="n"/>
      <c r="I3696" s="78" t="n"/>
      <c r="J3696" s="78" t="n"/>
    </row>
    <row r="3697">
      <c r="A3697" s="84">
        <f>ROW()-6</f>
        <v/>
      </c>
      <c r="B3697" s="85">
        <f>+MATCH(D3697,ARTICULOS!$F$10:$F$699,0)</f>
        <v/>
      </c>
      <c r="C3697" s="86">
        <f>+VLOOKUP(B3697,ARTICULOS!$D$10:$I$699,6)</f>
        <v/>
      </c>
      <c r="D3697" s="212" t="n"/>
      <c r="E3697" s="75">
        <f>+C3697&amp;F3697</f>
        <v/>
      </c>
      <c r="F3697" s="80" t="n"/>
      <c r="G3697" s="81" t="n"/>
      <c r="H3697" s="78" t="n"/>
      <c r="I3697" s="78" t="n"/>
      <c r="J3697" s="78" t="n"/>
    </row>
    <row r="3698">
      <c r="A3698" s="84">
        <f>ROW()-6</f>
        <v/>
      </c>
      <c r="B3698" s="85">
        <f>+MATCH(D3698,ARTICULOS!$F$10:$F$699,0)</f>
        <v/>
      </c>
      <c r="C3698" s="86">
        <f>+VLOOKUP(B3698,ARTICULOS!$D$10:$I$699,6)</f>
        <v/>
      </c>
      <c r="D3698" s="212" t="n"/>
      <c r="E3698" s="75">
        <f>+C3698&amp;F3698</f>
        <v/>
      </c>
      <c r="F3698" s="80" t="n"/>
      <c r="G3698" s="81" t="n"/>
      <c r="H3698" s="78" t="n"/>
      <c r="I3698" s="78" t="n"/>
      <c r="J3698" s="78" t="n"/>
    </row>
    <row r="3699">
      <c r="A3699" s="84">
        <f>ROW()-6</f>
        <v/>
      </c>
      <c r="B3699" s="85">
        <f>+MATCH(D3699,ARTICULOS!$F$10:$F$699,0)</f>
        <v/>
      </c>
      <c r="C3699" s="86">
        <f>+VLOOKUP(B3699,ARTICULOS!$D$10:$I$699,6)</f>
        <v/>
      </c>
      <c r="D3699" s="212" t="n"/>
      <c r="E3699" s="75">
        <f>+C3699&amp;F3699</f>
        <v/>
      </c>
      <c r="F3699" s="80" t="n"/>
      <c r="G3699" s="81" t="n"/>
      <c r="H3699" s="78" t="n"/>
      <c r="I3699" s="78" t="n"/>
      <c r="J3699" s="78" t="n"/>
    </row>
    <row r="3700">
      <c r="A3700" s="84">
        <f>ROW()-6</f>
        <v/>
      </c>
      <c r="B3700" s="85">
        <f>+MATCH(D3700,ARTICULOS!$F$10:$F$699,0)</f>
        <v/>
      </c>
      <c r="C3700" s="86">
        <f>+VLOOKUP(B3700,ARTICULOS!$D$10:$I$699,6)</f>
        <v/>
      </c>
      <c r="D3700" s="212" t="n"/>
      <c r="E3700" s="75">
        <f>+C3700&amp;F3700</f>
        <v/>
      </c>
      <c r="F3700" s="80" t="n"/>
      <c r="G3700" s="81" t="n"/>
      <c r="H3700" s="78" t="n"/>
      <c r="I3700" s="78" t="n"/>
      <c r="J3700" s="78" t="n"/>
    </row>
    <row r="3701">
      <c r="A3701" s="84">
        <f>ROW()-6</f>
        <v/>
      </c>
      <c r="B3701" s="85">
        <f>+MATCH(D3701,ARTICULOS!$F$10:$F$699,0)</f>
        <v/>
      </c>
      <c r="C3701" s="86">
        <f>+VLOOKUP(B3701,ARTICULOS!$D$10:$I$699,6)</f>
        <v/>
      </c>
      <c r="D3701" s="212" t="n"/>
      <c r="E3701" s="75">
        <f>+C3701&amp;F3701</f>
        <v/>
      </c>
      <c r="F3701" s="80" t="n"/>
      <c r="G3701" s="81" t="n"/>
      <c r="H3701" s="78" t="n"/>
      <c r="I3701" s="78" t="n"/>
      <c r="J3701" s="78" t="n"/>
    </row>
    <row r="3702">
      <c r="A3702" s="84">
        <f>ROW()-6</f>
        <v/>
      </c>
      <c r="B3702" s="85">
        <f>+MATCH(D3702,ARTICULOS!$F$10:$F$699,0)</f>
        <v/>
      </c>
      <c r="C3702" s="86">
        <f>+VLOOKUP(B3702,ARTICULOS!$D$10:$I$699,6)</f>
        <v/>
      </c>
      <c r="D3702" s="212" t="n"/>
      <c r="E3702" s="75">
        <f>+C3702&amp;F3702</f>
        <v/>
      </c>
      <c r="F3702" s="80" t="n"/>
      <c r="G3702" s="81" t="n"/>
      <c r="H3702" s="78" t="n"/>
      <c r="I3702" s="78" t="n"/>
      <c r="J3702" s="78" t="n"/>
    </row>
    <row r="3703">
      <c r="A3703" s="84">
        <f>ROW()-6</f>
        <v/>
      </c>
      <c r="B3703" s="85">
        <f>+MATCH(D3703,ARTICULOS!$F$10:$F$699,0)</f>
        <v/>
      </c>
      <c r="C3703" s="86">
        <f>+VLOOKUP(B3703,ARTICULOS!$D$10:$I$699,6)</f>
        <v/>
      </c>
      <c r="D3703" s="212" t="n"/>
      <c r="E3703" s="75">
        <f>+C3703&amp;F3703</f>
        <v/>
      </c>
      <c r="F3703" s="80" t="n"/>
      <c r="G3703" s="81" t="n"/>
      <c r="H3703" s="78" t="n"/>
      <c r="I3703" s="78" t="n"/>
      <c r="J3703" s="78" t="n"/>
    </row>
    <row r="3704">
      <c r="A3704" s="84">
        <f>ROW()-6</f>
        <v/>
      </c>
      <c r="B3704" s="85">
        <f>+MATCH(D3704,ARTICULOS!$F$10:$F$699,0)</f>
        <v/>
      </c>
      <c r="C3704" s="86">
        <f>+VLOOKUP(B3704,ARTICULOS!$D$10:$I$699,6)</f>
        <v/>
      </c>
      <c r="D3704" s="212" t="n"/>
      <c r="E3704" s="75">
        <f>+C3704&amp;F3704</f>
        <v/>
      </c>
      <c r="F3704" s="80" t="n"/>
      <c r="G3704" s="81" t="n"/>
      <c r="H3704" s="78" t="n"/>
      <c r="I3704" s="78" t="n"/>
      <c r="J3704" s="78" t="n"/>
    </row>
    <row r="3705">
      <c r="A3705" s="84">
        <f>ROW()-6</f>
        <v/>
      </c>
      <c r="B3705" s="85">
        <f>+MATCH(D3705,ARTICULOS!$F$10:$F$699,0)</f>
        <v/>
      </c>
      <c r="C3705" s="86">
        <f>+VLOOKUP(B3705,ARTICULOS!$D$10:$I$699,6)</f>
        <v/>
      </c>
      <c r="D3705" s="212" t="n"/>
      <c r="E3705" s="75">
        <f>+C3705&amp;F3705</f>
        <v/>
      </c>
      <c r="F3705" s="80" t="n"/>
      <c r="G3705" s="81" t="n"/>
      <c r="H3705" s="78" t="n"/>
      <c r="I3705" s="78" t="n"/>
      <c r="J3705" s="78" t="n"/>
    </row>
    <row r="3706">
      <c r="A3706" s="84">
        <f>ROW()-6</f>
        <v/>
      </c>
      <c r="B3706" s="85">
        <f>+MATCH(D3706,ARTICULOS!$F$10:$F$699,0)</f>
        <v/>
      </c>
      <c r="C3706" s="86">
        <f>+VLOOKUP(B3706,ARTICULOS!$D$10:$I$699,6)</f>
        <v/>
      </c>
      <c r="D3706" s="212" t="n"/>
      <c r="E3706" s="75">
        <f>+C3706&amp;F3706</f>
        <v/>
      </c>
      <c r="F3706" s="80" t="n"/>
      <c r="G3706" s="81" t="n"/>
      <c r="H3706" s="78" t="n"/>
      <c r="I3706" s="78" t="n"/>
      <c r="J3706" s="78" t="n"/>
    </row>
    <row r="3707">
      <c r="A3707" s="84">
        <f>ROW()-6</f>
        <v/>
      </c>
      <c r="B3707" s="85">
        <f>+MATCH(D3707,ARTICULOS!$F$10:$F$699,0)</f>
        <v/>
      </c>
      <c r="C3707" s="86">
        <f>+VLOOKUP(B3707,ARTICULOS!$D$10:$I$699,6)</f>
        <v/>
      </c>
      <c r="D3707" s="212" t="n"/>
      <c r="E3707" s="75">
        <f>+C3707&amp;F3707</f>
        <v/>
      </c>
      <c r="F3707" s="80" t="n"/>
      <c r="G3707" s="81" t="n"/>
      <c r="H3707" s="78" t="n"/>
      <c r="I3707" s="78" t="n"/>
      <c r="J3707" s="78" t="n"/>
    </row>
    <row r="3708">
      <c r="A3708" s="84">
        <f>ROW()-6</f>
        <v/>
      </c>
      <c r="B3708" s="85">
        <f>+MATCH(D3708,ARTICULOS!$F$10:$F$699,0)</f>
        <v/>
      </c>
      <c r="C3708" s="86">
        <f>+VLOOKUP(B3708,ARTICULOS!$D$10:$I$699,6)</f>
        <v/>
      </c>
      <c r="D3708" s="212" t="n"/>
      <c r="E3708" s="75">
        <f>+C3708&amp;F3708</f>
        <v/>
      </c>
      <c r="F3708" s="80" t="n"/>
      <c r="G3708" s="81" t="n"/>
      <c r="H3708" s="78" t="n"/>
      <c r="I3708" s="78" t="n"/>
      <c r="J3708" s="78" t="n"/>
    </row>
    <row r="3709">
      <c r="A3709" s="84">
        <f>ROW()-6</f>
        <v/>
      </c>
      <c r="B3709" s="85">
        <f>+MATCH(D3709,ARTICULOS!$F$10:$F$699,0)</f>
        <v/>
      </c>
      <c r="C3709" s="86">
        <f>+VLOOKUP(B3709,ARTICULOS!$D$10:$I$699,6)</f>
        <v/>
      </c>
      <c r="D3709" s="212" t="n"/>
      <c r="E3709" s="75">
        <f>+C3709&amp;F3709</f>
        <v/>
      </c>
      <c r="F3709" s="80" t="n"/>
      <c r="G3709" s="81" t="n"/>
      <c r="H3709" s="78" t="n"/>
      <c r="I3709" s="78" t="n"/>
      <c r="J3709" s="78" t="n"/>
    </row>
    <row r="3710">
      <c r="A3710" s="84">
        <f>ROW()-6</f>
        <v/>
      </c>
      <c r="B3710" s="85">
        <f>+MATCH(D3710,ARTICULOS!$F$10:$F$699,0)</f>
        <v/>
      </c>
      <c r="C3710" s="86">
        <f>+VLOOKUP(B3710,ARTICULOS!$D$10:$I$699,6)</f>
        <v/>
      </c>
      <c r="D3710" s="212" t="n"/>
      <c r="E3710" s="75">
        <f>+C3710&amp;F3710</f>
        <v/>
      </c>
      <c r="F3710" s="80" t="n"/>
      <c r="G3710" s="81" t="n"/>
      <c r="H3710" s="78" t="n"/>
      <c r="I3710" s="78" t="n"/>
      <c r="J3710" s="78" t="n"/>
    </row>
    <row r="3711">
      <c r="A3711" s="84">
        <f>ROW()-6</f>
        <v/>
      </c>
      <c r="B3711" s="85">
        <f>+MATCH(D3711,ARTICULOS!$F$10:$F$699,0)</f>
        <v/>
      </c>
      <c r="C3711" s="86">
        <f>+VLOOKUP(B3711,ARTICULOS!$D$10:$I$699,6)</f>
        <v/>
      </c>
      <c r="D3711" s="212" t="n"/>
      <c r="E3711" s="75">
        <f>+C3711&amp;F3711</f>
        <v/>
      </c>
      <c r="F3711" s="80" t="n"/>
      <c r="G3711" s="81" t="n"/>
      <c r="H3711" s="78" t="n"/>
      <c r="I3711" s="78" t="n"/>
      <c r="J3711" s="78" t="n"/>
    </row>
    <row r="3712">
      <c r="A3712" s="84">
        <f>ROW()-6</f>
        <v/>
      </c>
      <c r="B3712" s="85">
        <f>+MATCH(D3712,ARTICULOS!$F$10:$F$699,0)</f>
        <v/>
      </c>
      <c r="C3712" s="86">
        <f>+VLOOKUP(B3712,ARTICULOS!$D$10:$I$699,6)</f>
        <v/>
      </c>
      <c r="D3712" s="212" t="n"/>
      <c r="E3712" s="75">
        <f>+C3712&amp;F3712</f>
        <v/>
      </c>
      <c r="F3712" s="80" t="n"/>
      <c r="G3712" s="81" t="n"/>
      <c r="H3712" s="78" t="n"/>
      <c r="I3712" s="78" t="n"/>
      <c r="J3712" s="78" t="n"/>
    </row>
    <row r="3713">
      <c r="A3713" s="84">
        <f>ROW()-6</f>
        <v/>
      </c>
      <c r="B3713" s="85">
        <f>+MATCH(D3713,ARTICULOS!$F$10:$F$699,0)</f>
        <v/>
      </c>
      <c r="C3713" s="86">
        <f>+VLOOKUP(B3713,ARTICULOS!$D$10:$I$699,6)</f>
        <v/>
      </c>
      <c r="D3713" s="212" t="n"/>
      <c r="E3713" s="75">
        <f>+C3713&amp;F3713</f>
        <v/>
      </c>
      <c r="F3713" s="80" t="n"/>
      <c r="G3713" s="81" t="n"/>
      <c r="H3713" s="78" t="n"/>
      <c r="I3713" s="78" t="n"/>
      <c r="J3713" s="78" t="n"/>
    </row>
    <row r="3714">
      <c r="A3714" s="84">
        <f>ROW()-6</f>
        <v/>
      </c>
      <c r="B3714" s="85">
        <f>+MATCH(D3714,ARTICULOS!$F$10:$F$699,0)</f>
        <v/>
      </c>
      <c r="C3714" s="86">
        <f>+VLOOKUP(B3714,ARTICULOS!$D$10:$I$699,6)</f>
        <v/>
      </c>
      <c r="D3714" s="212" t="n"/>
      <c r="E3714" s="75">
        <f>+C3714&amp;F3714</f>
        <v/>
      </c>
      <c r="F3714" s="80" t="n"/>
      <c r="G3714" s="81" t="n"/>
      <c r="H3714" s="78" t="n"/>
      <c r="I3714" s="78" t="n"/>
      <c r="J3714" s="78" t="n"/>
    </row>
    <row r="3715">
      <c r="A3715" s="84">
        <f>ROW()-6</f>
        <v/>
      </c>
      <c r="B3715" s="85">
        <f>+MATCH(D3715,ARTICULOS!$F$10:$F$699,0)</f>
        <v/>
      </c>
      <c r="C3715" s="86">
        <f>+VLOOKUP(B3715,ARTICULOS!$D$10:$I$699,6)</f>
        <v/>
      </c>
      <c r="D3715" s="212" t="n"/>
      <c r="E3715" s="75">
        <f>+C3715&amp;F3715</f>
        <v/>
      </c>
      <c r="F3715" s="80" t="n"/>
      <c r="G3715" s="81" t="n"/>
      <c r="H3715" s="78" t="n"/>
      <c r="I3715" s="78" t="n"/>
      <c r="J3715" s="78" t="n"/>
    </row>
    <row r="3716">
      <c r="A3716" s="84">
        <f>ROW()-6</f>
        <v/>
      </c>
      <c r="B3716" s="85">
        <f>+MATCH(D3716,ARTICULOS!$F$10:$F$699,0)</f>
        <v/>
      </c>
      <c r="C3716" s="86">
        <f>+VLOOKUP(B3716,ARTICULOS!$D$10:$I$699,6)</f>
        <v/>
      </c>
      <c r="D3716" s="212" t="n"/>
      <c r="E3716" s="75">
        <f>+C3716&amp;F3716</f>
        <v/>
      </c>
      <c r="F3716" s="80" t="n"/>
      <c r="G3716" s="81" t="n"/>
      <c r="H3716" s="78" t="n"/>
      <c r="I3716" s="78" t="n"/>
      <c r="J3716" s="78" t="n"/>
    </row>
    <row r="3717">
      <c r="A3717" s="84">
        <f>ROW()-6</f>
        <v/>
      </c>
      <c r="B3717" s="85">
        <f>+MATCH(D3717,ARTICULOS!$F$10:$F$699,0)</f>
        <v/>
      </c>
      <c r="C3717" s="86">
        <f>+VLOOKUP(B3717,ARTICULOS!$D$10:$I$699,6)</f>
        <v/>
      </c>
      <c r="D3717" s="212" t="n"/>
      <c r="E3717" s="75">
        <f>+C3717&amp;F3717</f>
        <v/>
      </c>
      <c r="F3717" s="80" t="n"/>
      <c r="G3717" s="81" t="n"/>
      <c r="H3717" s="78" t="n"/>
      <c r="I3717" s="78" t="n"/>
      <c r="J3717" s="78" t="n"/>
    </row>
    <row r="3718">
      <c r="A3718" s="84">
        <f>ROW()-6</f>
        <v/>
      </c>
      <c r="B3718" s="85">
        <f>+MATCH(D3718,ARTICULOS!$F$10:$F$699,0)</f>
        <v/>
      </c>
      <c r="C3718" s="86">
        <f>+VLOOKUP(B3718,ARTICULOS!$D$10:$I$699,6)</f>
        <v/>
      </c>
      <c r="D3718" s="212" t="n"/>
      <c r="E3718" s="75">
        <f>+C3718&amp;F3718</f>
        <v/>
      </c>
      <c r="F3718" s="80" t="n"/>
      <c r="G3718" s="81" t="n"/>
      <c r="H3718" s="78" t="n"/>
      <c r="I3718" s="78" t="n"/>
      <c r="J3718" s="78" t="n"/>
    </row>
    <row r="3719">
      <c r="A3719" s="84">
        <f>ROW()-6</f>
        <v/>
      </c>
      <c r="B3719" s="85">
        <f>+MATCH(D3719,ARTICULOS!$F$10:$F$699,0)</f>
        <v/>
      </c>
      <c r="C3719" s="86">
        <f>+VLOOKUP(B3719,ARTICULOS!$D$10:$I$699,6)</f>
        <v/>
      </c>
      <c r="D3719" s="212" t="n"/>
      <c r="E3719" s="75">
        <f>+C3719&amp;F3719</f>
        <v/>
      </c>
      <c r="F3719" s="80" t="n"/>
      <c r="G3719" s="81" t="n"/>
      <c r="H3719" s="78" t="n"/>
      <c r="I3719" s="78" t="n"/>
      <c r="J3719" s="78" t="n"/>
    </row>
    <row r="3720">
      <c r="A3720" s="84">
        <f>ROW()-6</f>
        <v/>
      </c>
      <c r="B3720" s="85">
        <f>+MATCH(D3720,ARTICULOS!$F$10:$F$699,0)</f>
        <v/>
      </c>
      <c r="C3720" s="86">
        <f>+VLOOKUP(B3720,ARTICULOS!$D$10:$I$699,6)</f>
        <v/>
      </c>
      <c r="D3720" s="212" t="n"/>
      <c r="E3720" s="75">
        <f>+C3720&amp;F3720</f>
        <v/>
      </c>
      <c r="F3720" s="80" t="n"/>
      <c r="G3720" s="81" t="n"/>
      <c r="H3720" s="78" t="n"/>
      <c r="I3720" s="78" t="n"/>
      <c r="J3720" s="78" t="n"/>
    </row>
    <row r="3721">
      <c r="A3721" s="84">
        <f>ROW()-6</f>
        <v/>
      </c>
      <c r="B3721" s="85">
        <f>+MATCH(D3721,ARTICULOS!$F$10:$F$699,0)</f>
        <v/>
      </c>
      <c r="C3721" s="86">
        <f>+VLOOKUP(B3721,ARTICULOS!$D$10:$I$699,6)</f>
        <v/>
      </c>
      <c r="D3721" s="212" t="n"/>
      <c r="E3721" s="75">
        <f>+C3721&amp;F3721</f>
        <v/>
      </c>
      <c r="F3721" s="80" t="n"/>
      <c r="G3721" s="81" t="n"/>
      <c r="H3721" s="78" t="n"/>
      <c r="I3721" s="78" t="n"/>
      <c r="J3721" s="78" t="n"/>
    </row>
    <row r="3722">
      <c r="A3722" s="84">
        <f>ROW()-6</f>
        <v/>
      </c>
      <c r="B3722" s="85">
        <f>+MATCH(D3722,ARTICULOS!$F$10:$F$699,0)</f>
        <v/>
      </c>
      <c r="C3722" s="86">
        <f>+VLOOKUP(B3722,ARTICULOS!$D$10:$I$699,6)</f>
        <v/>
      </c>
      <c r="D3722" s="212" t="n"/>
      <c r="E3722" s="75">
        <f>+C3722&amp;F3722</f>
        <v/>
      </c>
      <c r="F3722" s="80" t="n"/>
      <c r="G3722" s="81" t="n"/>
      <c r="H3722" s="78" t="n"/>
      <c r="I3722" s="78" t="n"/>
      <c r="J3722" s="78" t="n"/>
    </row>
    <row r="3723">
      <c r="A3723" s="84">
        <f>ROW()-6</f>
        <v/>
      </c>
      <c r="B3723" s="85">
        <f>+MATCH(D3723,ARTICULOS!$F$10:$F$699,0)</f>
        <v/>
      </c>
      <c r="C3723" s="86">
        <f>+VLOOKUP(B3723,ARTICULOS!$D$10:$I$699,6)</f>
        <v/>
      </c>
      <c r="D3723" s="212" t="n"/>
      <c r="E3723" s="75">
        <f>+C3723&amp;F3723</f>
        <v/>
      </c>
      <c r="F3723" s="80" t="n"/>
      <c r="G3723" s="81" t="n"/>
      <c r="H3723" s="78" t="n"/>
      <c r="I3723" s="78" t="n"/>
      <c r="J3723" s="78" t="n"/>
    </row>
    <row r="3724">
      <c r="A3724" s="84">
        <f>ROW()-6</f>
        <v/>
      </c>
      <c r="B3724" s="85">
        <f>+MATCH(D3724,ARTICULOS!$F$10:$F$699,0)</f>
        <v/>
      </c>
      <c r="C3724" s="86">
        <f>+VLOOKUP(B3724,ARTICULOS!$D$10:$I$699,6)</f>
        <v/>
      </c>
      <c r="D3724" s="212" t="n"/>
      <c r="E3724" s="75">
        <f>+C3724&amp;F3724</f>
        <v/>
      </c>
      <c r="F3724" s="80" t="n"/>
      <c r="G3724" s="81" t="n"/>
      <c r="H3724" s="78" t="n"/>
      <c r="I3724" s="78" t="n"/>
      <c r="J3724" s="78" t="n"/>
    </row>
    <row r="3725">
      <c r="A3725" s="84">
        <f>ROW()-6</f>
        <v/>
      </c>
      <c r="B3725" s="85">
        <f>+MATCH(D3725,ARTICULOS!$F$10:$F$699,0)</f>
        <v/>
      </c>
      <c r="C3725" s="86">
        <f>+VLOOKUP(B3725,ARTICULOS!$D$10:$I$699,6)</f>
        <v/>
      </c>
      <c r="D3725" s="212" t="n"/>
      <c r="E3725" s="75">
        <f>+C3725&amp;F3725</f>
        <v/>
      </c>
      <c r="F3725" s="80" t="n"/>
      <c r="G3725" s="81" t="n"/>
      <c r="H3725" s="78" t="n"/>
      <c r="I3725" s="78" t="n"/>
      <c r="J3725" s="78" t="n"/>
    </row>
    <row r="3726">
      <c r="A3726" s="84">
        <f>ROW()-6</f>
        <v/>
      </c>
      <c r="B3726" s="85">
        <f>+MATCH(D3726,ARTICULOS!$F$10:$F$699,0)</f>
        <v/>
      </c>
      <c r="C3726" s="86">
        <f>+VLOOKUP(B3726,ARTICULOS!$D$10:$I$699,6)</f>
        <v/>
      </c>
      <c r="D3726" s="212" t="n"/>
      <c r="E3726" s="75">
        <f>+C3726&amp;F3726</f>
        <v/>
      </c>
      <c r="F3726" s="80" t="n"/>
      <c r="G3726" s="81" t="n"/>
      <c r="H3726" s="78" t="n"/>
      <c r="I3726" s="78" t="n"/>
      <c r="J3726" s="78" t="n"/>
    </row>
    <row r="3727">
      <c r="A3727" s="84">
        <f>ROW()-6</f>
        <v/>
      </c>
      <c r="B3727" s="85">
        <f>+MATCH(D3727,ARTICULOS!$F$10:$F$699,0)</f>
        <v/>
      </c>
      <c r="C3727" s="86">
        <f>+VLOOKUP(B3727,ARTICULOS!$D$10:$I$699,6)</f>
        <v/>
      </c>
      <c r="D3727" s="212" t="n"/>
      <c r="E3727" s="75">
        <f>+C3727&amp;F3727</f>
        <v/>
      </c>
      <c r="F3727" s="80" t="n"/>
      <c r="G3727" s="81" t="n"/>
      <c r="H3727" s="78" t="n"/>
      <c r="I3727" s="78" t="n"/>
      <c r="J3727" s="78" t="n"/>
    </row>
    <row r="3728">
      <c r="A3728" s="84">
        <f>ROW()-6</f>
        <v/>
      </c>
      <c r="B3728" s="85">
        <f>+MATCH(D3728,ARTICULOS!$F$10:$F$699,0)</f>
        <v/>
      </c>
      <c r="C3728" s="86">
        <f>+VLOOKUP(B3728,ARTICULOS!$D$10:$I$699,6)</f>
        <v/>
      </c>
      <c r="D3728" s="212" t="n"/>
      <c r="E3728" s="75">
        <f>+C3728&amp;F3728</f>
        <v/>
      </c>
      <c r="F3728" s="80" t="n"/>
      <c r="G3728" s="81" t="n"/>
      <c r="H3728" s="78" t="n"/>
      <c r="I3728" s="78" t="n"/>
      <c r="J3728" s="78" t="n"/>
    </row>
    <row r="3729">
      <c r="A3729" s="84">
        <f>ROW()-6</f>
        <v/>
      </c>
      <c r="B3729" s="85">
        <f>+MATCH(D3729,ARTICULOS!$F$10:$F$699,0)</f>
        <v/>
      </c>
      <c r="C3729" s="86">
        <f>+VLOOKUP(B3729,ARTICULOS!$D$10:$I$699,6)</f>
        <v/>
      </c>
      <c r="D3729" s="212" t="n"/>
      <c r="E3729" s="75">
        <f>+C3729&amp;F3729</f>
        <v/>
      </c>
      <c r="F3729" s="80" t="n"/>
      <c r="G3729" s="81" t="n"/>
      <c r="H3729" s="78" t="n"/>
      <c r="I3729" s="78" t="n"/>
      <c r="J3729" s="78" t="n"/>
    </row>
    <row r="3730">
      <c r="A3730" s="84">
        <f>ROW()-6</f>
        <v/>
      </c>
      <c r="B3730" s="85">
        <f>+MATCH(D3730,ARTICULOS!$F$10:$F$699,0)</f>
        <v/>
      </c>
      <c r="C3730" s="86">
        <f>+VLOOKUP(B3730,ARTICULOS!$D$10:$I$699,6)</f>
        <v/>
      </c>
      <c r="D3730" s="212" t="n"/>
      <c r="E3730" s="75">
        <f>+C3730&amp;F3730</f>
        <v/>
      </c>
      <c r="F3730" s="80" t="n"/>
      <c r="G3730" s="81" t="n"/>
      <c r="H3730" s="78" t="n"/>
      <c r="I3730" s="78" t="n"/>
      <c r="J3730" s="78" t="n"/>
    </row>
    <row r="3731">
      <c r="A3731" s="84">
        <f>ROW()-6</f>
        <v/>
      </c>
      <c r="B3731" s="85">
        <f>+MATCH(D3731,ARTICULOS!$F$10:$F$699,0)</f>
        <v/>
      </c>
      <c r="C3731" s="86">
        <f>+VLOOKUP(B3731,ARTICULOS!$D$10:$I$699,6)</f>
        <v/>
      </c>
      <c r="D3731" s="212" t="n"/>
      <c r="E3731" s="75">
        <f>+C3731&amp;F3731</f>
        <v/>
      </c>
      <c r="F3731" s="80" t="n"/>
      <c r="G3731" s="81" t="n"/>
      <c r="H3731" s="78" t="n"/>
      <c r="I3731" s="78" t="n"/>
      <c r="J3731" s="78" t="n"/>
    </row>
    <row r="3732">
      <c r="A3732" s="84">
        <f>ROW()-6</f>
        <v/>
      </c>
      <c r="B3732" s="85">
        <f>+MATCH(D3732,ARTICULOS!$F$10:$F$699,0)</f>
        <v/>
      </c>
      <c r="C3732" s="86">
        <f>+VLOOKUP(B3732,ARTICULOS!$D$10:$I$699,6)</f>
        <v/>
      </c>
      <c r="D3732" s="212" t="n"/>
      <c r="E3732" s="75">
        <f>+C3732&amp;F3732</f>
        <v/>
      </c>
      <c r="F3732" s="80" t="n"/>
      <c r="G3732" s="81" t="n"/>
      <c r="H3732" s="78" t="n"/>
      <c r="I3732" s="78" t="n"/>
      <c r="J3732" s="78" t="n"/>
    </row>
    <row r="3733">
      <c r="A3733" s="84">
        <f>ROW()-6</f>
        <v/>
      </c>
      <c r="B3733" s="85">
        <f>+MATCH(D3733,ARTICULOS!$F$10:$F$699,0)</f>
        <v/>
      </c>
      <c r="C3733" s="86">
        <f>+VLOOKUP(B3733,ARTICULOS!$D$10:$I$699,6)</f>
        <v/>
      </c>
      <c r="D3733" s="212" t="n"/>
      <c r="E3733" s="75">
        <f>+C3733&amp;F3733</f>
        <v/>
      </c>
      <c r="F3733" s="80" t="n"/>
      <c r="G3733" s="81" t="n"/>
      <c r="H3733" s="78" t="n"/>
      <c r="I3733" s="78" t="n"/>
      <c r="J3733" s="78" t="n"/>
    </row>
    <row r="3734">
      <c r="A3734" s="84">
        <f>ROW()-6</f>
        <v/>
      </c>
      <c r="B3734" s="85">
        <f>+MATCH(D3734,ARTICULOS!$F$10:$F$699,0)</f>
        <v/>
      </c>
      <c r="C3734" s="86">
        <f>+VLOOKUP(B3734,ARTICULOS!$D$10:$I$699,6)</f>
        <v/>
      </c>
      <c r="D3734" s="212" t="n"/>
      <c r="E3734" s="75">
        <f>+C3734&amp;F3734</f>
        <v/>
      </c>
      <c r="F3734" s="80" t="n"/>
      <c r="G3734" s="81" t="n"/>
      <c r="H3734" s="78" t="n"/>
      <c r="I3734" s="78" t="n"/>
      <c r="J3734" s="78" t="n"/>
    </row>
    <row r="3735">
      <c r="A3735" s="84">
        <f>ROW()-6</f>
        <v/>
      </c>
      <c r="B3735" s="85">
        <f>+MATCH(D3735,ARTICULOS!$F$10:$F$699,0)</f>
        <v/>
      </c>
      <c r="C3735" s="86">
        <f>+VLOOKUP(B3735,ARTICULOS!$D$10:$I$699,6)</f>
        <v/>
      </c>
      <c r="D3735" s="212" t="n"/>
      <c r="E3735" s="75">
        <f>+C3735&amp;F3735</f>
        <v/>
      </c>
      <c r="F3735" s="80" t="n"/>
      <c r="G3735" s="81" t="n"/>
      <c r="H3735" s="78" t="n"/>
      <c r="I3735" s="78" t="n"/>
      <c r="J3735" s="78" t="n"/>
    </row>
    <row r="3736">
      <c r="A3736" s="84">
        <f>ROW()-6</f>
        <v/>
      </c>
      <c r="B3736" s="85">
        <f>+MATCH(D3736,ARTICULOS!$F$10:$F$699,0)</f>
        <v/>
      </c>
      <c r="C3736" s="86">
        <f>+VLOOKUP(B3736,ARTICULOS!$D$10:$I$699,6)</f>
        <v/>
      </c>
      <c r="D3736" s="212" t="n"/>
      <c r="E3736" s="75">
        <f>+C3736&amp;F3736</f>
        <v/>
      </c>
      <c r="F3736" s="80" t="n"/>
      <c r="G3736" s="81" t="n"/>
      <c r="H3736" s="78" t="n"/>
      <c r="I3736" s="78" t="n"/>
      <c r="J3736" s="78" t="n"/>
    </row>
    <row r="3737">
      <c r="A3737" s="84">
        <f>ROW()-6</f>
        <v/>
      </c>
      <c r="B3737" s="85">
        <f>+MATCH(D3737,ARTICULOS!$F$10:$F$699,0)</f>
        <v/>
      </c>
      <c r="C3737" s="86">
        <f>+VLOOKUP(B3737,ARTICULOS!$D$10:$I$699,6)</f>
        <v/>
      </c>
      <c r="D3737" s="212" t="n"/>
      <c r="E3737" s="75">
        <f>+C3737&amp;F3737</f>
        <v/>
      </c>
      <c r="F3737" s="80" t="n"/>
      <c r="G3737" s="81" t="n"/>
      <c r="H3737" s="78" t="n"/>
      <c r="I3737" s="78" t="n"/>
      <c r="J3737" s="78" t="n"/>
    </row>
    <row r="3738">
      <c r="A3738" s="84">
        <f>ROW()-6</f>
        <v/>
      </c>
      <c r="B3738" s="85">
        <f>+MATCH(D3738,ARTICULOS!$F$10:$F$699,0)</f>
        <v/>
      </c>
      <c r="C3738" s="86">
        <f>+VLOOKUP(B3738,ARTICULOS!$D$10:$I$699,6)</f>
        <v/>
      </c>
      <c r="D3738" s="212" t="n"/>
      <c r="E3738" s="75">
        <f>+C3738&amp;F3738</f>
        <v/>
      </c>
      <c r="F3738" s="80" t="n"/>
      <c r="G3738" s="81" t="n"/>
      <c r="H3738" s="78" t="n"/>
      <c r="I3738" s="78" t="n"/>
      <c r="J3738" s="78" t="n"/>
    </row>
    <row r="3739">
      <c r="A3739" s="84">
        <f>ROW()-6</f>
        <v/>
      </c>
      <c r="B3739" s="85">
        <f>+MATCH(D3739,ARTICULOS!$F$10:$F$699,0)</f>
        <v/>
      </c>
      <c r="C3739" s="86">
        <f>+VLOOKUP(B3739,ARTICULOS!$D$10:$I$699,6)</f>
        <v/>
      </c>
      <c r="D3739" s="212" t="n"/>
      <c r="E3739" s="75">
        <f>+C3739&amp;F3739</f>
        <v/>
      </c>
      <c r="F3739" s="80" t="n"/>
      <c r="G3739" s="81" t="n"/>
      <c r="H3739" s="78" t="n"/>
      <c r="I3739" s="78" t="n"/>
      <c r="J3739" s="78" t="n"/>
    </row>
    <row r="3740">
      <c r="A3740" s="84">
        <f>ROW()-6</f>
        <v/>
      </c>
      <c r="B3740" s="85">
        <f>+MATCH(D3740,ARTICULOS!$F$10:$F$699,0)</f>
        <v/>
      </c>
      <c r="C3740" s="86">
        <f>+VLOOKUP(B3740,ARTICULOS!$D$10:$I$699,6)</f>
        <v/>
      </c>
      <c r="D3740" s="212" t="n"/>
      <c r="E3740" s="75">
        <f>+C3740&amp;F3740</f>
        <v/>
      </c>
      <c r="F3740" s="80" t="n"/>
      <c r="G3740" s="81" t="n"/>
      <c r="H3740" s="78" t="n"/>
      <c r="I3740" s="78" t="n"/>
      <c r="J3740" s="78" t="n"/>
    </row>
    <row r="3741">
      <c r="A3741" s="84">
        <f>ROW()-6</f>
        <v/>
      </c>
      <c r="B3741" s="85">
        <f>+MATCH(D3741,ARTICULOS!$F$10:$F$699,0)</f>
        <v/>
      </c>
      <c r="C3741" s="86">
        <f>+VLOOKUP(B3741,ARTICULOS!$D$10:$I$699,6)</f>
        <v/>
      </c>
      <c r="D3741" s="212" t="n"/>
      <c r="E3741" s="75">
        <f>+C3741&amp;F3741</f>
        <v/>
      </c>
      <c r="F3741" s="80" t="n"/>
      <c r="G3741" s="81" t="n"/>
      <c r="H3741" s="78" t="n"/>
      <c r="I3741" s="78" t="n"/>
      <c r="J3741" s="78" t="n"/>
    </row>
    <row r="3742">
      <c r="A3742" s="84">
        <f>ROW()-6</f>
        <v/>
      </c>
      <c r="B3742" s="85">
        <f>+MATCH(D3742,ARTICULOS!$F$10:$F$699,0)</f>
        <v/>
      </c>
      <c r="C3742" s="86">
        <f>+VLOOKUP(B3742,ARTICULOS!$D$10:$I$699,6)</f>
        <v/>
      </c>
      <c r="D3742" s="212" t="n"/>
      <c r="E3742" s="75">
        <f>+C3742&amp;F3742</f>
        <v/>
      </c>
      <c r="F3742" s="80" t="n"/>
      <c r="G3742" s="81" t="n"/>
      <c r="H3742" s="78" t="n"/>
      <c r="I3742" s="78" t="n"/>
      <c r="J3742" s="78" t="n"/>
    </row>
    <row r="3743">
      <c r="A3743" s="84">
        <f>ROW()-6</f>
        <v/>
      </c>
      <c r="B3743" s="85">
        <f>+MATCH(D3743,ARTICULOS!$F$10:$F$699,0)</f>
        <v/>
      </c>
      <c r="C3743" s="86">
        <f>+VLOOKUP(B3743,ARTICULOS!$D$10:$I$699,6)</f>
        <v/>
      </c>
      <c r="D3743" s="212" t="n"/>
      <c r="E3743" s="75">
        <f>+C3743&amp;F3743</f>
        <v/>
      </c>
      <c r="F3743" s="80" t="n"/>
      <c r="G3743" s="81" t="n"/>
      <c r="H3743" s="78" t="n"/>
      <c r="I3743" s="78" t="n"/>
      <c r="J3743" s="78" t="n"/>
    </row>
    <row r="3744">
      <c r="A3744" s="84">
        <f>ROW()-6</f>
        <v/>
      </c>
      <c r="B3744" s="85">
        <f>+MATCH(D3744,ARTICULOS!$F$10:$F$699,0)</f>
        <v/>
      </c>
      <c r="C3744" s="86">
        <f>+VLOOKUP(B3744,ARTICULOS!$D$10:$I$699,6)</f>
        <v/>
      </c>
      <c r="D3744" s="212" t="n"/>
      <c r="E3744" s="75">
        <f>+C3744&amp;F3744</f>
        <v/>
      </c>
      <c r="F3744" s="80" t="n"/>
      <c r="G3744" s="81" t="n"/>
      <c r="H3744" s="78" t="n"/>
      <c r="I3744" s="78" t="n"/>
      <c r="J3744" s="78" t="n"/>
    </row>
    <row r="3745">
      <c r="A3745" s="84">
        <f>ROW()-6</f>
        <v/>
      </c>
      <c r="B3745" s="85">
        <f>+MATCH(D3745,ARTICULOS!$F$10:$F$699,0)</f>
        <v/>
      </c>
      <c r="C3745" s="86">
        <f>+VLOOKUP(B3745,ARTICULOS!$D$10:$I$699,6)</f>
        <v/>
      </c>
      <c r="D3745" s="212" t="n"/>
      <c r="E3745" s="75">
        <f>+C3745&amp;F3745</f>
        <v/>
      </c>
      <c r="F3745" s="80" t="n"/>
      <c r="G3745" s="81" t="n"/>
      <c r="H3745" s="78" t="n"/>
      <c r="I3745" s="78" t="n"/>
      <c r="J3745" s="78" t="n"/>
    </row>
    <row r="3746">
      <c r="A3746" s="84">
        <f>ROW()-6</f>
        <v/>
      </c>
      <c r="B3746" s="85">
        <f>+MATCH(D3746,ARTICULOS!$F$10:$F$699,0)</f>
        <v/>
      </c>
      <c r="C3746" s="86">
        <f>+VLOOKUP(B3746,ARTICULOS!$D$10:$I$699,6)</f>
        <v/>
      </c>
      <c r="D3746" s="212" t="n"/>
      <c r="E3746" s="75">
        <f>+C3746&amp;F3746</f>
        <v/>
      </c>
      <c r="F3746" s="80" t="n"/>
      <c r="G3746" s="81" t="n"/>
      <c r="H3746" s="78" t="n"/>
      <c r="I3746" s="78" t="n"/>
      <c r="J3746" s="78" t="n"/>
    </row>
    <row r="3747">
      <c r="A3747" s="84">
        <f>ROW()-6</f>
        <v/>
      </c>
      <c r="B3747" s="85">
        <f>+MATCH(D3747,ARTICULOS!$F$10:$F$699,0)</f>
        <v/>
      </c>
      <c r="C3747" s="86">
        <f>+VLOOKUP(B3747,ARTICULOS!$D$10:$I$699,6)</f>
        <v/>
      </c>
      <c r="D3747" s="212" t="n"/>
      <c r="E3747" s="75">
        <f>+C3747&amp;F3747</f>
        <v/>
      </c>
      <c r="F3747" s="80" t="n"/>
      <c r="G3747" s="81" t="n"/>
      <c r="H3747" s="78" t="n"/>
      <c r="I3747" s="78" t="n"/>
      <c r="J3747" s="78" t="n"/>
    </row>
    <row r="3748">
      <c r="A3748" s="84">
        <f>ROW()-6</f>
        <v/>
      </c>
      <c r="B3748" s="85">
        <f>+MATCH(D3748,ARTICULOS!$F$10:$F$699,0)</f>
        <v/>
      </c>
      <c r="C3748" s="86">
        <f>+VLOOKUP(B3748,ARTICULOS!$D$10:$I$699,6)</f>
        <v/>
      </c>
      <c r="D3748" s="212" t="n"/>
      <c r="E3748" s="75">
        <f>+C3748&amp;F3748</f>
        <v/>
      </c>
      <c r="F3748" s="80" t="n"/>
      <c r="G3748" s="81" t="n"/>
      <c r="H3748" s="78" t="n"/>
      <c r="I3748" s="78" t="n"/>
      <c r="J3748" s="78" t="n"/>
    </row>
    <row r="3749">
      <c r="A3749" s="84">
        <f>ROW()-6</f>
        <v/>
      </c>
      <c r="B3749" s="85">
        <f>+MATCH(D3749,ARTICULOS!$F$10:$F$699,0)</f>
        <v/>
      </c>
      <c r="C3749" s="86">
        <f>+VLOOKUP(B3749,ARTICULOS!$D$10:$I$699,6)</f>
        <v/>
      </c>
      <c r="D3749" s="212" t="n"/>
      <c r="E3749" s="75">
        <f>+C3749&amp;F3749</f>
        <v/>
      </c>
      <c r="F3749" s="80" t="n"/>
      <c r="G3749" s="81" t="n"/>
      <c r="H3749" s="78" t="n"/>
      <c r="I3749" s="78" t="n"/>
      <c r="J3749" s="78" t="n"/>
    </row>
    <row r="3750">
      <c r="A3750" s="84">
        <f>ROW()-6</f>
        <v/>
      </c>
      <c r="B3750" s="85">
        <f>+MATCH(D3750,ARTICULOS!$F$10:$F$699,0)</f>
        <v/>
      </c>
      <c r="C3750" s="86">
        <f>+VLOOKUP(B3750,ARTICULOS!$D$10:$I$699,6)</f>
        <v/>
      </c>
      <c r="D3750" s="212" t="n"/>
      <c r="E3750" s="75">
        <f>+C3750&amp;F3750</f>
        <v/>
      </c>
      <c r="F3750" s="80" t="n"/>
      <c r="G3750" s="81" t="n"/>
      <c r="H3750" s="78" t="n"/>
      <c r="I3750" s="78" t="n"/>
      <c r="J3750" s="78" t="n"/>
    </row>
    <row r="3751">
      <c r="A3751" s="84">
        <f>ROW()-6</f>
        <v/>
      </c>
      <c r="B3751" s="85">
        <f>+MATCH(D3751,ARTICULOS!$F$10:$F$699,0)</f>
        <v/>
      </c>
      <c r="C3751" s="86">
        <f>+VLOOKUP(B3751,ARTICULOS!$D$10:$I$699,6)</f>
        <v/>
      </c>
      <c r="D3751" s="212" t="n"/>
      <c r="E3751" s="75">
        <f>+C3751&amp;F3751</f>
        <v/>
      </c>
      <c r="F3751" s="80" t="n"/>
      <c r="G3751" s="81" t="n"/>
      <c r="H3751" s="78" t="n"/>
      <c r="I3751" s="78" t="n"/>
      <c r="J3751" s="78" t="n"/>
    </row>
    <row r="3752">
      <c r="A3752" s="84">
        <f>ROW()-6</f>
        <v/>
      </c>
      <c r="B3752" s="85">
        <f>+MATCH(D3752,ARTICULOS!$F$10:$F$699,0)</f>
        <v/>
      </c>
      <c r="C3752" s="86">
        <f>+VLOOKUP(B3752,ARTICULOS!$D$10:$I$699,6)</f>
        <v/>
      </c>
      <c r="D3752" s="212" t="n"/>
      <c r="E3752" s="75">
        <f>+C3752&amp;F3752</f>
        <v/>
      </c>
      <c r="F3752" s="80" t="n"/>
      <c r="G3752" s="81" t="n"/>
      <c r="H3752" s="78" t="n"/>
      <c r="I3752" s="78" t="n"/>
      <c r="J3752" s="78" t="n"/>
    </row>
    <row r="3753">
      <c r="A3753" s="84">
        <f>ROW()-6</f>
        <v/>
      </c>
      <c r="B3753" s="85">
        <f>+MATCH(D3753,ARTICULOS!$F$10:$F$699,0)</f>
        <v/>
      </c>
      <c r="C3753" s="86">
        <f>+VLOOKUP(B3753,ARTICULOS!$D$10:$I$699,6)</f>
        <v/>
      </c>
      <c r="D3753" s="212" t="n"/>
      <c r="E3753" s="75">
        <f>+C3753&amp;F3753</f>
        <v/>
      </c>
      <c r="F3753" s="80" t="n"/>
      <c r="G3753" s="81" t="n"/>
      <c r="H3753" s="78" t="n"/>
      <c r="I3753" s="78" t="n"/>
      <c r="J3753" s="78" t="n"/>
    </row>
    <row r="3754">
      <c r="A3754" s="84">
        <f>ROW()-6</f>
        <v/>
      </c>
      <c r="B3754" s="85">
        <f>+MATCH(D3754,ARTICULOS!$F$10:$F$699,0)</f>
        <v/>
      </c>
      <c r="C3754" s="86">
        <f>+VLOOKUP(B3754,ARTICULOS!$D$10:$I$699,6)</f>
        <v/>
      </c>
      <c r="D3754" s="212" t="n"/>
      <c r="E3754" s="75">
        <f>+C3754&amp;F3754</f>
        <v/>
      </c>
      <c r="F3754" s="80" t="n"/>
      <c r="G3754" s="81" t="n"/>
      <c r="H3754" s="78" t="n"/>
      <c r="I3754" s="78" t="n"/>
      <c r="J3754" s="78" t="n"/>
    </row>
    <row r="3755">
      <c r="A3755" s="84">
        <f>ROW()-6</f>
        <v/>
      </c>
      <c r="B3755" s="85">
        <f>+MATCH(D3755,ARTICULOS!$F$10:$F$699,0)</f>
        <v/>
      </c>
      <c r="C3755" s="86">
        <f>+VLOOKUP(B3755,ARTICULOS!$D$10:$I$699,6)</f>
        <v/>
      </c>
      <c r="D3755" s="212" t="n"/>
      <c r="E3755" s="75">
        <f>+C3755&amp;F3755</f>
        <v/>
      </c>
      <c r="F3755" s="80" t="n"/>
      <c r="G3755" s="81" t="n"/>
      <c r="H3755" s="78" t="n"/>
      <c r="I3755" s="78" t="n"/>
      <c r="J3755" s="78" t="n"/>
    </row>
    <row r="3756">
      <c r="A3756" s="84">
        <f>ROW()-6</f>
        <v/>
      </c>
      <c r="B3756" s="85">
        <f>+MATCH(D3756,ARTICULOS!$F$10:$F$699,0)</f>
        <v/>
      </c>
      <c r="C3756" s="86">
        <f>+VLOOKUP(B3756,ARTICULOS!$D$10:$I$699,6)</f>
        <v/>
      </c>
      <c r="D3756" s="212" t="n"/>
      <c r="E3756" s="75">
        <f>+C3756&amp;F3756</f>
        <v/>
      </c>
      <c r="F3756" s="80" t="n"/>
      <c r="G3756" s="81" t="n"/>
      <c r="H3756" s="78" t="n"/>
      <c r="I3756" s="78" t="n"/>
      <c r="J3756" s="78" t="n"/>
    </row>
    <row r="3757">
      <c r="A3757" s="84">
        <f>ROW()-6</f>
        <v/>
      </c>
      <c r="B3757" s="85">
        <f>+MATCH(D3757,ARTICULOS!$F$10:$F$699,0)</f>
        <v/>
      </c>
      <c r="C3757" s="86">
        <f>+VLOOKUP(B3757,ARTICULOS!$D$10:$I$699,6)</f>
        <v/>
      </c>
      <c r="D3757" s="212" t="n"/>
      <c r="E3757" s="75">
        <f>+C3757&amp;F3757</f>
        <v/>
      </c>
      <c r="F3757" s="80" t="n"/>
      <c r="G3757" s="81" t="n"/>
      <c r="H3757" s="78" t="n"/>
      <c r="I3757" s="78" t="n"/>
      <c r="J3757" s="78" t="n"/>
    </row>
    <row r="3758">
      <c r="A3758" s="84">
        <f>ROW()-6</f>
        <v/>
      </c>
      <c r="B3758" s="85">
        <f>+MATCH(D3758,ARTICULOS!$F$10:$F$699,0)</f>
        <v/>
      </c>
      <c r="C3758" s="86">
        <f>+VLOOKUP(B3758,ARTICULOS!$D$10:$I$699,6)</f>
        <v/>
      </c>
      <c r="D3758" s="212" t="n"/>
      <c r="E3758" s="75">
        <f>+C3758&amp;F3758</f>
        <v/>
      </c>
      <c r="F3758" s="80" t="n"/>
      <c r="G3758" s="81" t="n"/>
      <c r="H3758" s="78" t="n"/>
      <c r="I3758" s="78" t="n"/>
      <c r="J3758" s="78" t="n"/>
    </row>
    <row r="3759">
      <c r="A3759" s="84">
        <f>ROW()-6</f>
        <v/>
      </c>
      <c r="B3759" s="85">
        <f>+MATCH(D3759,ARTICULOS!$F$10:$F$699,0)</f>
        <v/>
      </c>
      <c r="C3759" s="86">
        <f>+VLOOKUP(B3759,ARTICULOS!$D$10:$I$699,6)</f>
        <v/>
      </c>
      <c r="D3759" s="212" t="n"/>
      <c r="E3759" s="75">
        <f>+C3759&amp;F3759</f>
        <v/>
      </c>
      <c r="F3759" s="80" t="n"/>
      <c r="G3759" s="81" t="n"/>
      <c r="H3759" s="78" t="n"/>
      <c r="I3759" s="78" t="n"/>
      <c r="J3759" s="78" t="n"/>
    </row>
    <row r="3760">
      <c r="A3760" s="84">
        <f>ROW()-6</f>
        <v/>
      </c>
      <c r="B3760" s="85">
        <f>+MATCH(D3760,ARTICULOS!$F$10:$F$699,0)</f>
        <v/>
      </c>
      <c r="C3760" s="86">
        <f>+VLOOKUP(B3760,ARTICULOS!$D$10:$I$699,6)</f>
        <v/>
      </c>
      <c r="D3760" s="212" t="n"/>
      <c r="E3760" s="75">
        <f>+C3760&amp;F3760</f>
        <v/>
      </c>
      <c r="F3760" s="80" t="n"/>
      <c r="G3760" s="81" t="n"/>
      <c r="H3760" s="78" t="n"/>
      <c r="I3760" s="78" t="n"/>
      <c r="J3760" s="78" t="n"/>
    </row>
    <row r="3761">
      <c r="A3761" s="84">
        <f>ROW()-6</f>
        <v/>
      </c>
      <c r="B3761" s="85">
        <f>+MATCH(D3761,ARTICULOS!$F$10:$F$699,0)</f>
        <v/>
      </c>
      <c r="C3761" s="86">
        <f>+VLOOKUP(B3761,ARTICULOS!$D$10:$I$699,6)</f>
        <v/>
      </c>
      <c r="D3761" s="212" t="n"/>
      <c r="E3761" s="75">
        <f>+C3761&amp;F3761</f>
        <v/>
      </c>
      <c r="F3761" s="80" t="n"/>
      <c r="G3761" s="81" t="n"/>
      <c r="H3761" s="78" t="n"/>
      <c r="I3761" s="78" t="n"/>
      <c r="J3761" s="78" t="n"/>
    </row>
    <row r="3762">
      <c r="A3762" s="84">
        <f>ROW()-6</f>
        <v/>
      </c>
      <c r="B3762" s="85">
        <f>+MATCH(D3762,ARTICULOS!$F$10:$F$699,0)</f>
        <v/>
      </c>
      <c r="C3762" s="86">
        <f>+VLOOKUP(B3762,ARTICULOS!$D$10:$I$699,6)</f>
        <v/>
      </c>
      <c r="D3762" s="212" t="n"/>
      <c r="E3762" s="75">
        <f>+C3762&amp;F3762</f>
        <v/>
      </c>
      <c r="F3762" s="80" t="n"/>
      <c r="G3762" s="81" t="n"/>
      <c r="H3762" s="78" t="n"/>
      <c r="I3762" s="78" t="n"/>
      <c r="J3762" s="78" t="n"/>
    </row>
    <row r="3763">
      <c r="A3763" s="84">
        <f>ROW()-6</f>
        <v/>
      </c>
      <c r="B3763" s="85">
        <f>+MATCH(D3763,ARTICULOS!$F$10:$F$699,0)</f>
        <v/>
      </c>
      <c r="C3763" s="86">
        <f>+VLOOKUP(B3763,ARTICULOS!$D$10:$I$699,6)</f>
        <v/>
      </c>
      <c r="D3763" s="212" t="n"/>
      <c r="E3763" s="75">
        <f>+C3763&amp;F3763</f>
        <v/>
      </c>
      <c r="F3763" s="80" t="n"/>
      <c r="G3763" s="81" t="n"/>
      <c r="H3763" s="78" t="n"/>
      <c r="I3763" s="78" t="n"/>
      <c r="J3763" s="78" t="n"/>
    </row>
    <row r="3764">
      <c r="A3764" s="84">
        <f>ROW()-6</f>
        <v/>
      </c>
      <c r="B3764" s="85">
        <f>+MATCH(D3764,ARTICULOS!$F$10:$F$699,0)</f>
        <v/>
      </c>
      <c r="C3764" s="86">
        <f>+VLOOKUP(B3764,ARTICULOS!$D$10:$I$699,6)</f>
        <v/>
      </c>
      <c r="D3764" s="212" t="n"/>
      <c r="E3764" s="75">
        <f>+C3764&amp;F3764</f>
        <v/>
      </c>
      <c r="F3764" s="80" t="n"/>
      <c r="G3764" s="81" t="n"/>
      <c r="H3764" s="78" t="n"/>
      <c r="I3764" s="78" t="n"/>
      <c r="J3764" s="78" t="n"/>
    </row>
    <row r="3765">
      <c r="A3765" s="84">
        <f>ROW()-6</f>
        <v/>
      </c>
      <c r="B3765" s="85">
        <f>+MATCH(D3765,ARTICULOS!$F$10:$F$699,0)</f>
        <v/>
      </c>
      <c r="C3765" s="86">
        <f>+VLOOKUP(B3765,ARTICULOS!$D$10:$I$699,6)</f>
        <v/>
      </c>
      <c r="D3765" s="212" t="n"/>
      <c r="E3765" s="75">
        <f>+C3765&amp;F3765</f>
        <v/>
      </c>
      <c r="F3765" s="80" t="n"/>
      <c r="G3765" s="81" t="n"/>
      <c r="H3765" s="78" t="n"/>
      <c r="I3765" s="78" t="n"/>
      <c r="J3765" s="78" t="n"/>
    </row>
    <row r="3766">
      <c r="A3766" s="84">
        <f>ROW()-6</f>
        <v/>
      </c>
      <c r="B3766" s="85">
        <f>+MATCH(D3766,ARTICULOS!$F$10:$F$699,0)</f>
        <v/>
      </c>
      <c r="C3766" s="86">
        <f>+VLOOKUP(B3766,ARTICULOS!$D$10:$I$699,6)</f>
        <v/>
      </c>
      <c r="D3766" s="212" t="n"/>
      <c r="E3766" s="75">
        <f>+C3766&amp;F3766</f>
        <v/>
      </c>
      <c r="F3766" s="80" t="n"/>
      <c r="G3766" s="81" t="n"/>
      <c r="H3766" s="78" t="n"/>
      <c r="I3766" s="78" t="n"/>
      <c r="J3766" s="78" t="n"/>
    </row>
    <row r="3767">
      <c r="A3767" s="84">
        <f>ROW()-6</f>
        <v/>
      </c>
      <c r="B3767" s="85">
        <f>+MATCH(D3767,ARTICULOS!$F$10:$F$699,0)</f>
        <v/>
      </c>
      <c r="C3767" s="86">
        <f>+VLOOKUP(B3767,ARTICULOS!$D$10:$I$699,6)</f>
        <v/>
      </c>
      <c r="D3767" s="212" t="n"/>
      <c r="E3767" s="75">
        <f>+C3767&amp;F3767</f>
        <v/>
      </c>
      <c r="F3767" s="80" t="n"/>
      <c r="G3767" s="81" t="n"/>
      <c r="H3767" s="78" t="n"/>
      <c r="I3767" s="78" t="n"/>
      <c r="J3767" s="78" t="n"/>
    </row>
    <row r="3768">
      <c r="A3768" s="84">
        <f>ROW()-6</f>
        <v/>
      </c>
      <c r="B3768" s="85">
        <f>+MATCH(D3768,ARTICULOS!$F$10:$F$699,0)</f>
        <v/>
      </c>
      <c r="C3768" s="86">
        <f>+VLOOKUP(B3768,ARTICULOS!$D$10:$I$699,6)</f>
        <v/>
      </c>
      <c r="D3768" s="212" t="n"/>
      <c r="E3768" s="75">
        <f>+C3768&amp;F3768</f>
        <v/>
      </c>
      <c r="F3768" s="80" t="n"/>
      <c r="G3768" s="81" t="n"/>
      <c r="H3768" s="78" t="n"/>
      <c r="I3768" s="78" t="n"/>
      <c r="J3768" s="78" t="n"/>
    </row>
    <row r="3769">
      <c r="A3769" s="84">
        <f>ROW()-6</f>
        <v/>
      </c>
      <c r="B3769" s="85">
        <f>+MATCH(D3769,ARTICULOS!$F$10:$F$699,0)</f>
        <v/>
      </c>
      <c r="C3769" s="86">
        <f>+VLOOKUP(B3769,ARTICULOS!$D$10:$I$699,6)</f>
        <v/>
      </c>
      <c r="D3769" s="212" t="n"/>
      <c r="E3769" s="75">
        <f>+C3769&amp;F3769</f>
        <v/>
      </c>
      <c r="F3769" s="80" t="n"/>
      <c r="G3769" s="81" t="n"/>
      <c r="H3769" s="78" t="n"/>
      <c r="I3769" s="78" t="n"/>
      <c r="J3769" s="78" t="n"/>
    </row>
    <row r="3770">
      <c r="A3770" s="84">
        <f>ROW()-6</f>
        <v/>
      </c>
      <c r="B3770" s="85">
        <f>+MATCH(D3770,ARTICULOS!$F$10:$F$699,0)</f>
        <v/>
      </c>
      <c r="C3770" s="86">
        <f>+VLOOKUP(B3770,ARTICULOS!$D$10:$I$699,6)</f>
        <v/>
      </c>
      <c r="D3770" s="212" t="n"/>
      <c r="E3770" s="75">
        <f>+C3770&amp;F3770</f>
        <v/>
      </c>
      <c r="F3770" s="80" t="n"/>
      <c r="G3770" s="81" t="n"/>
      <c r="H3770" s="78" t="n"/>
      <c r="I3770" s="78" t="n"/>
      <c r="J3770" s="78" t="n"/>
    </row>
    <row r="3771">
      <c r="A3771" s="84">
        <f>ROW()-6</f>
        <v/>
      </c>
      <c r="B3771" s="85">
        <f>+MATCH(D3771,ARTICULOS!$F$10:$F$699,0)</f>
        <v/>
      </c>
      <c r="C3771" s="86">
        <f>+VLOOKUP(B3771,ARTICULOS!$D$10:$I$699,6)</f>
        <v/>
      </c>
      <c r="D3771" s="212" t="n"/>
      <c r="E3771" s="75">
        <f>+C3771&amp;F3771</f>
        <v/>
      </c>
      <c r="F3771" s="80" t="n"/>
      <c r="G3771" s="81" t="n"/>
      <c r="H3771" s="78" t="n"/>
      <c r="I3771" s="78" t="n"/>
      <c r="J3771" s="78" t="n"/>
    </row>
    <row r="3772">
      <c r="A3772" s="84">
        <f>ROW()-6</f>
        <v/>
      </c>
      <c r="B3772" s="85">
        <f>+MATCH(D3772,ARTICULOS!$F$10:$F$699,0)</f>
        <v/>
      </c>
      <c r="C3772" s="86">
        <f>+VLOOKUP(B3772,ARTICULOS!$D$10:$I$699,6)</f>
        <v/>
      </c>
      <c r="D3772" s="212" t="n"/>
      <c r="E3772" s="75">
        <f>+C3772&amp;F3772</f>
        <v/>
      </c>
      <c r="F3772" s="80" t="n"/>
      <c r="G3772" s="81" t="n"/>
      <c r="H3772" s="78" t="n"/>
      <c r="I3772" s="78" t="n"/>
      <c r="J3772" s="78" t="n"/>
    </row>
    <row r="3773">
      <c r="A3773" s="84">
        <f>ROW()-6</f>
        <v/>
      </c>
      <c r="B3773" s="85">
        <f>+MATCH(D3773,ARTICULOS!$F$10:$F$699,0)</f>
        <v/>
      </c>
      <c r="C3773" s="86">
        <f>+VLOOKUP(B3773,ARTICULOS!$D$10:$I$699,6)</f>
        <v/>
      </c>
      <c r="D3773" s="212" t="n"/>
      <c r="E3773" s="75">
        <f>+C3773&amp;F3773</f>
        <v/>
      </c>
      <c r="F3773" s="80" t="n"/>
      <c r="G3773" s="81" t="n"/>
      <c r="H3773" s="78" t="n"/>
      <c r="I3773" s="78" t="n"/>
      <c r="J3773" s="78" t="n"/>
    </row>
    <row r="3774">
      <c r="A3774" s="84">
        <f>ROW()-6</f>
        <v/>
      </c>
      <c r="B3774" s="85">
        <f>+MATCH(D3774,ARTICULOS!$F$10:$F$699,0)</f>
        <v/>
      </c>
      <c r="C3774" s="86">
        <f>+VLOOKUP(B3774,ARTICULOS!$D$10:$I$699,6)</f>
        <v/>
      </c>
      <c r="D3774" s="212" t="n"/>
      <c r="E3774" s="75">
        <f>+C3774&amp;F3774</f>
        <v/>
      </c>
      <c r="F3774" s="80" t="n"/>
      <c r="G3774" s="81" t="n"/>
      <c r="H3774" s="78" t="n"/>
      <c r="I3774" s="78" t="n"/>
      <c r="J3774" s="78" t="n"/>
    </row>
    <row r="3775">
      <c r="A3775" s="84">
        <f>ROW()-6</f>
        <v/>
      </c>
      <c r="B3775" s="85">
        <f>+MATCH(D3775,ARTICULOS!$F$10:$F$699,0)</f>
        <v/>
      </c>
      <c r="C3775" s="86">
        <f>+VLOOKUP(B3775,ARTICULOS!$D$10:$I$699,6)</f>
        <v/>
      </c>
      <c r="D3775" s="212" t="n"/>
      <c r="E3775" s="75">
        <f>+C3775&amp;F3775</f>
        <v/>
      </c>
      <c r="F3775" s="80" t="n"/>
      <c r="G3775" s="81" t="n"/>
      <c r="H3775" s="78" t="n"/>
      <c r="I3775" s="78" t="n"/>
      <c r="J3775" s="78" t="n"/>
    </row>
    <row r="3776">
      <c r="A3776" s="84">
        <f>ROW()-6</f>
        <v/>
      </c>
      <c r="B3776" s="85">
        <f>+MATCH(D3776,ARTICULOS!$F$10:$F$699,0)</f>
        <v/>
      </c>
      <c r="C3776" s="86">
        <f>+VLOOKUP(B3776,ARTICULOS!$D$10:$I$699,6)</f>
        <v/>
      </c>
      <c r="D3776" s="212" t="n"/>
      <c r="E3776" s="75">
        <f>+C3776&amp;F3776</f>
        <v/>
      </c>
      <c r="F3776" s="80" t="n"/>
      <c r="G3776" s="81" t="n"/>
      <c r="H3776" s="78" t="n"/>
      <c r="I3776" s="78" t="n"/>
      <c r="J3776" s="78" t="n"/>
    </row>
    <row r="3777">
      <c r="A3777" s="84">
        <f>ROW()-6</f>
        <v/>
      </c>
      <c r="B3777" s="85">
        <f>+MATCH(D3777,ARTICULOS!$F$10:$F$699,0)</f>
        <v/>
      </c>
      <c r="C3777" s="86">
        <f>+VLOOKUP(B3777,ARTICULOS!$D$10:$I$699,6)</f>
        <v/>
      </c>
      <c r="D3777" s="212" t="n"/>
      <c r="E3777" s="75">
        <f>+C3777&amp;F3777</f>
        <v/>
      </c>
      <c r="F3777" s="80" t="n"/>
      <c r="G3777" s="81" t="n"/>
      <c r="H3777" s="78" t="n"/>
      <c r="I3777" s="78" t="n"/>
      <c r="J3777" s="78" t="n"/>
    </row>
    <row r="3778">
      <c r="A3778" s="84">
        <f>ROW()-6</f>
        <v/>
      </c>
      <c r="B3778" s="85">
        <f>+MATCH(D3778,ARTICULOS!$F$10:$F$699,0)</f>
        <v/>
      </c>
      <c r="C3778" s="86">
        <f>+VLOOKUP(B3778,ARTICULOS!$D$10:$I$699,6)</f>
        <v/>
      </c>
      <c r="D3778" s="212" t="n"/>
      <c r="E3778" s="75">
        <f>+C3778&amp;F3778</f>
        <v/>
      </c>
      <c r="F3778" s="80" t="n"/>
      <c r="G3778" s="81" t="n"/>
      <c r="H3778" s="78" t="n"/>
      <c r="I3778" s="78" t="n"/>
      <c r="J3778" s="78" t="n"/>
    </row>
    <row r="3779">
      <c r="A3779" s="84">
        <f>ROW()-6</f>
        <v/>
      </c>
      <c r="B3779" s="85">
        <f>+MATCH(D3779,ARTICULOS!$F$10:$F$699,0)</f>
        <v/>
      </c>
      <c r="C3779" s="86">
        <f>+VLOOKUP(B3779,ARTICULOS!$D$10:$I$699,6)</f>
        <v/>
      </c>
      <c r="D3779" s="212" t="n"/>
      <c r="E3779" s="75">
        <f>+C3779&amp;F3779</f>
        <v/>
      </c>
      <c r="F3779" s="80" t="n"/>
      <c r="G3779" s="81" t="n"/>
      <c r="H3779" s="78" t="n"/>
      <c r="I3779" s="78" t="n"/>
      <c r="J3779" s="78" t="n"/>
    </row>
    <row r="3780">
      <c r="A3780" s="84">
        <f>ROW()-6</f>
        <v/>
      </c>
      <c r="B3780" s="85">
        <f>+MATCH(D3780,ARTICULOS!$F$10:$F$699,0)</f>
        <v/>
      </c>
      <c r="C3780" s="86">
        <f>+VLOOKUP(B3780,ARTICULOS!$D$10:$I$699,6)</f>
        <v/>
      </c>
      <c r="D3780" s="212" t="n"/>
      <c r="E3780" s="75">
        <f>+C3780&amp;F3780</f>
        <v/>
      </c>
      <c r="F3780" s="80" t="n"/>
      <c r="G3780" s="81" t="n"/>
      <c r="H3780" s="78" t="n"/>
      <c r="I3780" s="78" t="n"/>
      <c r="J3780" s="78" t="n"/>
    </row>
    <row r="3781">
      <c r="A3781" s="84">
        <f>ROW()-6</f>
        <v/>
      </c>
      <c r="B3781" s="85">
        <f>+MATCH(D3781,ARTICULOS!$F$10:$F$699,0)</f>
        <v/>
      </c>
      <c r="C3781" s="86">
        <f>+VLOOKUP(B3781,ARTICULOS!$D$10:$I$699,6)</f>
        <v/>
      </c>
      <c r="D3781" s="212" t="n"/>
      <c r="E3781" s="75">
        <f>+C3781&amp;F3781</f>
        <v/>
      </c>
      <c r="F3781" s="80" t="n"/>
      <c r="G3781" s="81" t="n"/>
      <c r="H3781" s="78" t="n"/>
      <c r="I3781" s="78" t="n"/>
      <c r="J3781" s="78" t="n"/>
    </row>
    <row r="3782">
      <c r="A3782" s="84">
        <f>ROW()-6</f>
        <v/>
      </c>
      <c r="B3782" s="85">
        <f>+MATCH(D3782,ARTICULOS!$F$10:$F$699,0)</f>
        <v/>
      </c>
      <c r="C3782" s="86">
        <f>+VLOOKUP(B3782,ARTICULOS!$D$10:$I$699,6)</f>
        <v/>
      </c>
      <c r="D3782" s="212" t="n"/>
      <c r="E3782" s="75">
        <f>+C3782&amp;F3782</f>
        <v/>
      </c>
      <c r="F3782" s="80" t="n"/>
      <c r="G3782" s="81" t="n"/>
      <c r="H3782" s="78" t="n"/>
      <c r="I3782" s="78" t="n"/>
      <c r="J3782" s="78" t="n"/>
    </row>
    <row r="3783">
      <c r="A3783" s="84">
        <f>ROW()-6</f>
        <v/>
      </c>
      <c r="B3783" s="85">
        <f>+MATCH(D3783,ARTICULOS!$F$10:$F$699,0)</f>
        <v/>
      </c>
      <c r="C3783" s="86">
        <f>+VLOOKUP(B3783,ARTICULOS!$D$10:$I$699,6)</f>
        <v/>
      </c>
      <c r="D3783" s="212" t="n"/>
      <c r="E3783" s="75">
        <f>+C3783&amp;F3783</f>
        <v/>
      </c>
      <c r="F3783" s="80" t="n"/>
      <c r="G3783" s="81" t="n"/>
      <c r="H3783" s="78" t="n"/>
      <c r="I3783" s="78" t="n"/>
      <c r="J3783" s="78" t="n"/>
    </row>
    <row r="3784">
      <c r="A3784" s="84">
        <f>ROW()-6</f>
        <v/>
      </c>
      <c r="B3784" s="85">
        <f>+MATCH(D3784,ARTICULOS!$F$10:$F$699,0)</f>
        <v/>
      </c>
      <c r="C3784" s="86">
        <f>+VLOOKUP(B3784,ARTICULOS!$D$10:$I$699,6)</f>
        <v/>
      </c>
      <c r="D3784" s="212" t="n"/>
      <c r="E3784" s="75">
        <f>+C3784&amp;F3784</f>
        <v/>
      </c>
      <c r="F3784" s="80" t="n"/>
      <c r="G3784" s="81" t="n"/>
      <c r="H3784" s="78" t="n"/>
      <c r="I3784" s="78" t="n"/>
      <c r="J3784" s="78" t="n"/>
    </row>
    <row r="3785">
      <c r="A3785" s="84">
        <f>ROW()-6</f>
        <v/>
      </c>
      <c r="B3785" s="85">
        <f>+MATCH(D3785,ARTICULOS!$F$10:$F$699,0)</f>
        <v/>
      </c>
      <c r="C3785" s="86">
        <f>+VLOOKUP(B3785,ARTICULOS!$D$10:$I$699,6)</f>
        <v/>
      </c>
      <c r="D3785" s="212" t="n"/>
      <c r="E3785" s="75">
        <f>+C3785&amp;F3785</f>
        <v/>
      </c>
      <c r="F3785" s="80" t="n"/>
      <c r="G3785" s="81" t="n"/>
      <c r="H3785" s="78" t="n"/>
      <c r="I3785" s="78" t="n"/>
      <c r="J3785" s="78" t="n"/>
    </row>
    <row r="3786">
      <c r="A3786" s="84">
        <f>ROW()-6</f>
        <v/>
      </c>
      <c r="B3786" s="85">
        <f>+MATCH(D3786,ARTICULOS!$F$10:$F$699,0)</f>
        <v/>
      </c>
      <c r="C3786" s="86">
        <f>+VLOOKUP(B3786,ARTICULOS!$D$10:$I$699,6)</f>
        <v/>
      </c>
      <c r="D3786" s="212" t="n"/>
      <c r="E3786" s="75">
        <f>+C3786&amp;F3786</f>
        <v/>
      </c>
      <c r="F3786" s="80" t="n"/>
      <c r="G3786" s="81" t="n"/>
      <c r="H3786" s="78" t="n"/>
      <c r="I3786" s="78" t="n"/>
      <c r="J3786" s="78" t="n"/>
    </row>
    <row r="3787">
      <c r="A3787" s="84">
        <f>ROW()-6</f>
        <v/>
      </c>
      <c r="B3787" s="85">
        <f>+MATCH(D3787,ARTICULOS!$F$10:$F$699,0)</f>
        <v/>
      </c>
      <c r="C3787" s="86">
        <f>+VLOOKUP(B3787,ARTICULOS!$D$10:$I$699,6)</f>
        <v/>
      </c>
      <c r="D3787" s="212" t="n"/>
      <c r="E3787" s="75">
        <f>+C3787&amp;F3787</f>
        <v/>
      </c>
      <c r="F3787" s="80" t="n"/>
      <c r="G3787" s="81" t="n"/>
      <c r="H3787" s="78" t="n"/>
      <c r="I3787" s="78" t="n"/>
      <c r="J3787" s="78" t="n"/>
    </row>
    <row r="3788">
      <c r="A3788" s="84">
        <f>ROW()-6</f>
        <v/>
      </c>
      <c r="B3788" s="85">
        <f>+MATCH(D3788,ARTICULOS!$F$10:$F$699,0)</f>
        <v/>
      </c>
      <c r="C3788" s="86">
        <f>+VLOOKUP(B3788,ARTICULOS!$D$10:$I$699,6)</f>
        <v/>
      </c>
      <c r="D3788" s="212" t="n"/>
      <c r="E3788" s="75">
        <f>+C3788&amp;F3788</f>
        <v/>
      </c>
      <c r="F3788" s="80" t="n"/>
      <c r="G3788" s="81" t="n"/>
      <c r="H3788" s="78" t="n"/>
      <c r="I3788" s="78" t="n"/>
      <c r="J3788" s="78" t="n"/>
    </row>
    <row r="3789">
      <c r="A3789" s="84">
        <f>ROW()-6</f>
        <v/>
      </c>
      <c r="B3789" s="85">
        <f>+MATCH(D3789,ARTICULOS!$F$10:$F$699,0)</f>
        <v/>
      </c>
      <c r="C3789" s="86">
        <f>+VLOOKUP(B3789,ARTICULOS!$D$10:$I$699,6)</f>
        <v/>
      </c>
      <c r="D3789" s="212" t="n"/>
      <c r="E3789" s="75">
        <f>+C3789&amp;F3789</f>
        <v/>
      </c>
      <c r="F3789" s="80" t="n"/>
      <c r="G3789" s="81" t="n"/>
      <c r="H3789" s="78" t="n"/>
      <c r="I3789" s="78" t="n"/>
      <c r="J3789" s="78" t="n"/>
    </row>
    <row r="3790">
      <c r="A3790" s="84">
        <f>ROW()-6</f>
        <v/>
      </c>
      <c r="B3790" s="85">
        <f>+MATCH(D3790,ARTICULOS!$F$10:$F$699,0)</f>
        <v/>
      </c>
      <c r="C3790" s="86">
        <f>+VLOOKUP(B3790,ARTICULOS!$D$10:$I$699,6)</f>
        <v/>
      </c>
      <c r="D3790" s="212" t="n"/>
      <c r="E3790" s="75">
        <f>+C3790&amp;F3790</f>
        <v/>
      </c>
      <c r="F3790" s="80" t="n"/>
      <c r="G3790" s="81" t="n"/>
      <c r="H3790" s="78" t="n"/>
      <c r="I3790" s="78" t="n"/>
      <c r="J3790" s="78" t="n"/>
    </row>
    <row r="3791">
      <c r="A3791" s="84">
        <f>ROW()-6</f>
        <v/>
      </c>
      <c r="B3791" s="85">
        <f>+MATCH(D3791,ARTICULOS!$F$10:$F$699,0)</f>
        <v/>
      </c>
      <c r="C3791" s="86">
        <f>+VLOOKUP(B3791,ARTICULOS!$D$10:$I$699,6)</f>
        <v/>
      </c>
      <c r="D3791" s="212" t="n"/>
      <c r="E3791" s="75">
        <f>+C3791&amp;F3791</f>
        <v/>
      </c>
      <c r="F3791" s="80" t="n"/>
      <c r="G3791" s="81" t="n"/>
      <c r="H3791" s="78" t="n"/>
      <c r="I3791" s="78" t="n"/>
      <c r="J3791" s="78" t="n"/>
    </row>
    <row r="3792">
      <c r="A3792" s="84">
        <f>ROW()-6</f>
        <v/>
      </c>
      <c r="B3792" s="85">
        <f>+MATCH(D3792,ARTICULOS!$F$10:$F$699,0)</f>
        <v/>
      </c>
      <c r="C3792" s="86">
        <f>+VLOOKUP(B3792,ARTICULOS!$D$10:$I$699,6)</f>
        <v/>
      </c>
      <c r="D3792" s="212" t="n"/>
      <c r="E3792" s="75">
        <f>+C3792&amp;F3792</f>
        <v/>
      </c>
      <c r="F3792" s="80" t="n"/>
      <c r="G3792" s="81" t="n"/>
      <c r="H3792" s="78" t="n"/>
      <c r="I3792" s="78" t="n"/>
      <c r="J3792" s="78" t="n"/>
    </row>
    <row r="3793">
      <c r="A3793" s="84">
        <f>ROW()-6</f>
        <v/>
      </c>
      <c r="B3793" s="85">
        <f>+MATCH(D3793,ARTICULOS!$F$10:$F$699,0)</f>
        <v/>
      </c>
      <c r="C3793" s="86">
        <f>+VLOOKUP(B3793,ARTICULOS!$D$10:$I$699,6)</f>
        <v/>
      </c>
      <c r="D3793" s="212" t="n"/>
      <c r="E3793" s="75">
        <f>+C3793&amp;F3793</f>
        <v/>
      </c>
      <c r="F3793" s="80" t="n"/>
      <c r="G3793" s="81" t="n"/>
      <c r="H3793" s="78" t="n"/>
      <c r="I3793" s="78" t="n"/>
      <c r="J3793" s="78" t="n"/>
    </row>
    <row r="3794">
      <c r="A3794" s="84">
        <f>ROW()-6</f>
        <v/>
      </c>
      <c r="B3794" s="85">
        <f>+MATCH(D3794,ARTICULOS!$F$10:$F$699,0)</f>
        <v/>
      </c>
      <c r="C3794" s="86">
        <f>+VLOOKUP(B3794,ARTICULOS!$D$10:$I$699,6)</f>
        <v/>
      </c>
      <c r="D3794" s="212" t="n"/>
      <c r="E3794" s="75">
        <f>+C3794&amp;F3794</f>
        <v/>
      </c>
      <c r="F3794" s="80" t="n"/>
      <c r="G3794" s="81" t="n"/>
      <c r="H3794" s="78" t="n"/>
      <c r="I3794" s="78" t="n"/>
      <c r="J3794" s="78" t="n"/>
    </row>
    <row r="3795">
      <c r="A3795" s="84">
        <f>ROW()-6</f>
        <v/>
      </c>
      <c r="B3795" s="85">
        <f>+MATCH(D3795,ARTICULOS!$F$10:$F$699,0)</f>
        <v/>
      </c>
      <c r="C3795" s="86">
        <f>+VLOOKUP(B3795,ARTICULOS!$D$10:$I$699,6)</f>
        <v/>
      </c>
      <c r="D3795" s="212" t="n"/>
      <c r="E3795" s="75">
        <f>+C3795&amp;F3795</f>
        <v/>
      </c>
      <c r="F3795" s="80" t="n"/>
      <c r="G3795" s="81" t="n"/>
      <c r="H3795" s="78" t="n"/>
      <c r="I3795" s="78" t="n"/>
      <c r="J3795" s="78" t="n"/>
    </row>
    <row r="3796">
      <c r="A3796" s="84">
        <f>ROW()-6</f>
        <v/>
      </c>
      <c r="B3796" s="85">
        <f>+MATCH(D3796,ARTICULOS!$F$10:$F$699,0)</f>
        <v/>
      </c>
      <c r="C3796" s="86">
        <f>+VLOOKUP(B3796,ARTICULOS!$D$10:$I$699,6)</f>
        <v/>
      </c>
      <c r="D3796" s="212" t="n"/>
      <c r="E3796" s="75">
        <f>+C3796&amp;F3796</f>
        <v/>
      </c>
      <c r="F3796" s="80" t="n"/>
      <c r="G3796" s="81" t="n"/>
      <c r="H3796" s="78" t="n"/>
      <c r="I3796" s="78" t="n"/>
      <c r="J3796" s="78" t="n"/>
    </row>
    <row r="3797">
      <c r="A3797" s="84">
        <f>ROW()-6</f>
        <v/>
      </c>
      <c r="B3797" s="85">
        <f>+MATCH(D3797,ARTICULOS!$F$10:$F$699,0)</f>
        <v/>
      </c>
      <c r="C3797" s="86">
        <f>+VLOOKUP(B3797,ARTICULOS!$D$10:$I$699,6)</f>
        <v/>
      </c>
      <c r="D3797" s="212" t="n"/>
      <c r="E3797" s="75">
        <f>+C3797&amp;F3797</f>
        <v/>
      </c>
      <c r="F3797" s="80" t="n"/>
      <c r="G3797" s="81" t="n"/>
      <c r="H3797" s="78" t="n"/>
      <c r="I3797" s="78" t="n"/>
      <c r="J3797" s="78" t="n"/>
    </row>
    <row r="3798">
      <c r="A3798" s="84">
        <f>ROW()-6</f>
        <v/>
      </c>
      <c r="B3798" s="85">
        <f>+MATCH(D3798,ARTICULOS!$F$10:$F$699,0)</f>
        <v/>
      </c>
      <c r="C3798" s="86">
        <f>+VLOOKUP(B3798,ARTICULOS!$D$10:$I$699,6)</f>
        <v/>
      </c>
      <c r="D3798" s="212" t="n"/>
      <c r="E3798" s="75">
        <f>+C3798&amp;F3798</f>
        <v/>
      </c>
      <c r="F3798" s="80" t="n"/>
      <c r="G3798" s="81" t="n"/>
      <c r="H3798" s="78" t="n"/>
      <c r="I3798" s="78" t="n"/>
      <c r="J3798" s="78" t="n"/>
    </row>
    <row r="3799">
      <c r="A3799" s="84">
        <f>ROW()-6</f>
        <v/>
      </c>
      <c r="B3799" s="85">
        <f>+MATCH(D3799,ARTICULOS!$F$10:$F$699,0)</f>
        <v/>
      </c>
      <c r="C3799" s="86">
        <f>+VLOOKUP(B3799,ARTICULOS!$D$10:$I$699,6)</f>
        <v/>
      </c>
      <c r="D3799" s="212" t="n"/>
      <c r="E3799" s="75">
        <f>+C3799&amp;F3799</f>
        <v/>
      </c>
      <c r="F3799" s="80" t="n"/>
      <c r="G3799" s="81" t="n"/>
      <c r="H3799" s="78" t="n"/>
      <c r="I3799" s="78" t="n"/>
      <c r="J3799" s="78" t="n"/>
    </row>
    <row r="3800">
      <c r="A3800" s="84">
        <f>ROW()-6</f>
        <v/>
      </c>
      <c r="B3800" s="85">
        <f>+MATCH(D3800,ARTICULOS!$F$10:$F$699,0)</f>
        <v/>
      </c>
      <c r="C3800" s="86">
        <f>+VLOOKUP(B3800,ARTICULOS!$D$10:$I$699,6)</f>
        <v/>
      </c>
      <c r="D3800" s="212" t="n"/>
      <c r="E3800" s="75">
        <f>+C3800&amp;F3800</f>
        <v/>
      </c>
      <c r="F3800" s="80" t="n"/>
      <c r="G3800" s="81" t="n"/>
      <c r="H3800" s="78" t="n"/>
      <c r="I3800" s="78" t="n"/>
      <c r="J3800" s="78" t="n"/>
    </row>
    <row r="3801">
      <c r="A3801" s="84">
        <f>ROW()-6</f>
        <v/>
      </c>
      <c r="B3801" s="85">
        <f>+MATCH(D3801,ARTICULOS!$F$10:$F$699,0)</f>
        <v/>
      </c>
      <c r="C3801" s="86">
        <f>+VLOOKUP(B3801,ARTICULOS!$D$10:$I$699,6)</f>
        <v/>
      </c>
      <c r="D3801" s="212" t="n"/>
      <c r="E3801" s="75">
        <f>+C3801&amp;F3801</f>
        <v/>
      </c>
      <c r="F3801" s="80" t="n"/>
      <c r="G3801" s="81" t="n"/>
      <c r="H3801" s="78" t="n"/>
      <c r="I3801" s="78" t="n"/>
      <c r="J3801" s="78" t="n"/>
    </row>
    <row r="3802">
      <c r="A3802" s="84">
        <f>ROW()-6</f>
        <v/>
      </c>
      <c r="B3802" s="85">
        <f>+MATCH(D3802,ARTICULOS!$F$10:$F$699,0)</f>
        <v/>
      </c>
      <c r="C3802" s="86">
        <f>+VLOOKUP(B3802,ARTICULOS!$D$10:$I$699,6)</f>
        <v/>
      </c>
      <c r="D3802" s="212" t="n"/>
      <c r="E3802" s="75">
        <f>+C3802&amp;F3802</f>
        <v/>
      </c>
      <c r="F3802" s="80" t="n"/>
      <c r="G3802" s="81" t="n"/>
      <c r="H3802" s="78" t="n"/>
      <c r="I3802" s="78" t="n"/>
      <c r="J3802" s="78" t="n"/>
    </row>
    <row r="3803">
      <c r="A3803" s="84">
        <f>ROW()-6</f>
        <v/>
      </c>
      <c r="B3803" s="85">
        <f>+MATCH(D3803,ARTICULOS!$F$10:$F$699,0)</f>
        <v/>
      </c>
      <c r="C3803" s="86">
        <f>+VLOOKUP(B3803,ARTICULOS!$D$10:$I$699,6)</f>
        <v/>
      </c>
      <c r="D3803" s="212" t="n"/>
      <c r="E3803" s="75">
        <f>+C3803&amp;F3803</f>
        <v/>
      </c>
      <c r="F3803" s="80" t="n"/>
      <c r="G3803" s="81" t="n"/>
      <c r="H3803" s="78" t="n"/>
      <c r="I3803" s="78" t="n"/>
      <c r="J3803" s="78" t="n"/>
    </row>
    <row r="3804">
      <c r="A3804" s="84">
        <f>ROW()-6</f>
        <v/>
      </c>
      <c r="B3804" s="85">
        <f>+MATCH(D3804,ARTICULOS!$F$10:$F$699,0)</f>
        <v/>
      </c>
      <c r="C3804" s="86">
        <f>+VLOOKUP(B3804,ARTICULOS!$D$10:$I$699,6)</f>
        <v/>
      </c>
      <c r="D3804" s="212" t="n"/>
      <c r="E3804" s="75">
        <f>+C3804&amp;F3804</f>
        <v/>
      </c>
      <c r="F3804" s="80" t="n"/>
      <c r="G3804" s="81" t="n"/>
      <c r="H3804" s="78" t="n"/>
      <c r="I3804" s="78" t="n"/>
      <c r="J3804" s="78" t="n"/>
    </row>
    <row r="3805">
      <c r="A3805" s="84">
        <f>ROW()-6</f>
        <v/>
      </c>
      <c r="B3805" s="85">
        <f>+MATCH(D3805,ARTICULOS!$F$10:$F$699,0)</f>
        <v/>
      </c>
      <c r="C3805" s="86">
        <f>+VLOOKUP(B3805,ARTICULOS!$D$10:$I$699,6)</f>
        <v/>
      </c>
      <c r="D3805" s="212" t="n"/>
      <c r="E3805" s="75">
        <f>+C3805&amp;F3805</f>
        <v/>
      </c>
      <c r="F3805" s="80" t="n"/>
      <c r="G3805" s="81" t="n"/>
      <c r="H3805" s="78" t="n"/>
      <c r="I3805" s="78" t="n"/>
      <c r="J3805" s="78" t="n"/>
    </row>
    <row r="3806">
      <c r="A3806" s="84">
        <f>ROW()-6</f>
        <v/>
      </c>
      <c r="B3806" s="85">
        <f>+MATCH(D3806,ARTICULOS!$F$10:$F$699,0)</f>
        <v/>
      </c>
      <c r="C3806" s="86">
        <f>+VLOOKUP(B3806,ARTICULOS!$D$10:$I$699,6)</f>
        <v/>
      </c>
      <c r="D3806" s="212" t="n"/>
      <c r="E3806" s="75">
        <f>+C3806&amp;F3806</f>
        <v/>
      </c>
      <c r="F3806" s="80" t="n"/>
      <c r="G3806" s="81" t="n"/>
      <c r="H3806" s="78" t="n"/>
      <c r="I3806" s="78" t="n"/>
      <c r="J3806" s="78" t="n"/>
    </row>
    <row r="3807">
      <c r="A3807" s="84">
        <f>ROW()-6</f>
        <v/>
      </c>
      <c r="B3807" s="85">
        <f>+MATCH(D3807,ARTICULOS!$F$10:$F$699,0)</f>
        <v/>
      </c>
      <c r="C3807" s="86">
        <f>+VLOOKUP(B3807,ARTICULOS!$D$10:$I$699,6)</f>
        <v/>
      </c>
      <c r="D3807" s="212" t="n"/>
      <c r="E3807" s="75">
        <f>+C3807&amp;F3807</f>
        <v/>
      </c>
      <c r="F3807" s="80" t="n"/>
      <c r="G3807" s="81" t="n"/>
      <c r="H3807" s="78" t="n"/>
      <c r="I3807" s="78" t="n"/>
      <c r="J3807" s="78" t="n"/>
    </row>
    <row r="3808">
      <c r="A3808" s="84">
        <f>ROW()-6</f>
        <v/>
      </c>
      <c r="B3808" s="85">
        <f>+MATCH(D3808,ARTICULOS!$F$10:$F$699,0)</f>
        <v/>
      </c>
      <c r="C3808" s="86">
        <f>+VLOOKUP(B3808,ARTICULOS!$D$10:$I$699,6)</f>
        <v/>
      </c>
      <c r="D3808" s="212" t="n"/>
      <c r="E3808" s="75">
        <f>+C3808&amp;F3808</f>
        <v/>
      </c>
      <c r="F3808" s="80" t="n"/>
      <c r="G3808" s="81" t="n"/>
      <c r="H3808" s="78" t="n"/>
      <c r="I3808" s="78" t="n"/>
      <c r="J3808" s="78" t="n"/>
    </row>
    <row r="3809">
      <c r="A3809" s="84">
        <f>ROW()-6</f>
        <v/>
      </c>
      <c r="B3809" s="85">
        <f>+MATCH(D3809,ARTICULOS!$F$10:$F$699,0)</f>
        <v/>
      </c>
      <c r="C3809" s="86">
        <f>+VLOOKUP(B3809,ARTICULOS!$D$10:$I$699,6)</f>
        <v/>
      </c>
      <c r="D3809" s="212" t="n"/>
      <c r="E3809" s="75">
        <f>+C3809&amp;F3809</f>
        <v/>
      </c>
      <c r="F3809" s="80" t="n"/>
      <c r="G3809" s="81" t="n"/>
      <c r="H3809" s="78" t="n"/>
      <c r="I3809" s="78" t="n"/>
      <c r="J3809" s="78" t="n"/>
    </row>
    <row r="3810">
      <c r="A3810" s="84">
        <f>ROW()-6</f>
        <v/>
      </c>
      <c r="B3810" s="85">
        <f>+MATCH(D3810,ARTICULOS!$F$10:$F$699,0)</f>
        <v/>
      </c>
      <c r="C3810" s="86">
        <f>+VLOOKUP(B3810,ARTICULOS!$D$10:$I$699,6)</f>
        <v/>
      </c>
      <c r="D3810" s="212" t="n"/>
      <c r="E3810" s="75">
        <f>+C3810&amp;F3810</f>
        <v/>
      </c>
      <c r="F3810" s="80" t="n"/>
      <c r="G3810" s="81" t="n"/>
      <c r="H3810" s="78" t="n"/>
      <c r="I3810" s="78" t="n"/>
      <c r="J3810" s="78" t="n"/>
    </row>
    <row r="3811">
      <c r="A3811" s="84">
        <f>ROW()-6</f>
        <v/>
      </c>
      <c r="B3811" s="85">
        <f>+MATCH(D3811,ARTICULOS!$F$10:$F$699,0)</f>
        <v/>
      </c>
      <c r="C3811" s="86">
        <f>+VLOOKUP(B3811,ARTICULOS!$D$10:$I$699,6)</f>
        <v/>
      </c>
      <c r="D3811" s="212" t="n"/>
      <c r="E3811" s="75">
        <f>+C3811&amp;F3811</f>
        <v/>
      </c>
      <c r="F3811" s="80" t="n"/>
      <c r="G3811" s="81" t="n"/>
      <c r="H3811" s="78" t="n"/>
      <c r="I3811" s="78" t="n"/>
      <c r="J3811" s="78" t="n"/>
    </row>
    <row r="3812">
      <c r="A3812" s="84">
        <f>ROW()-6</f>
        <v/>
      </c>
      <c r="B3812" s="85">
        <f>+MATCH(D3812,ARTICULOS!$F$10:$F$699,0)</f>
        <v/>
      </c>
      <c r="C3812" s="86">
        <f>+VLOOKUP(B3812,ARTICULOS!$D$10:$I$699,6)</f>
        <v/>
      </c>
      <c r="D3812" s="212" t="n"/>
      <c r="E3812" s="75">
        <f>+C3812&amp;F3812</f>
        <v/>
      </c>
      <c r="F3812" s="80" t="n"/>
      <c r="G3812" s="81" t="n"/>
      <c r="H3812" s="78" t="n"/>
      <c r="I3812" s="78" t="n"/>
      <c r="J3812" s="78" t="n"/>
    </row>
    <row r="3813">
      <c r="A3813" s="84">
        <f>ROW()-6</f>
        <v/>
      </c>
      <c r="B3813" s="85">
        <f>+MATCH(D3813,ARTICULOS!$F$10:$F$699,0)</f>
        <v/>
      </c>
      <c r="C3813" s="86">
        <f>+VLOOKUP(B3813,ARTICULOS!$D$10:$I$699,6)</f>
        <v/>
      </c>
      <c r="D3813" s="212" t="n"/>
      <c r="E3813" s="75">
        <f>+C3813&amp;F3813</f>
        <v/>
      </c>
      <c r="F3813" s="80" t="n"/>
      <c r="G3813" s="81" t="n"/>
      <c r="H3813" s="78" t="n"/>
      <c r="I3813" s="78" t="n"/>
      <c r="J3813" s="78" t="n"/>
    </row>
    <row r="3814">
      <c r="A3814" s="84">
        <f>ROW()-6</f>
        <v/>
      </c>
      <c r="B3814" s="85">
        <f>+MATCH(D3814,ARTICULOS!$F$10:$F$699,0)</f>
        <v/>
      </c>
      <c r="C3814" s="86">
        <f>+VLOOKUP(B3814,ARTICULOS!$D$10:$I$699,6)</f>
        <v/>
      </c>
      <c r="D3814" s="212" t="n"/>
      <c r="E3814" s="75">
        <f>+C3814&amp;F3814</f>
        <v/>
      </c>
      <c r="F3814" s="80" t="n"/>
      <c r="G3814" s="81" t="n"/>
      <c r="H3814" s="78" t="n"/>
      <c r="I3814" s="78" t="n"/>
      <c r="J3814" s="78" t="n"/>
    </row>
    <row r="3815">
      <c r="A3815" s="84">
        <f>ROW()-6</f>
        <v/>
      </c>
      <c r="B3815" s="85">
        <f>+MATCH(D3815,ARTICULOS!$F$10:$F$699,0)</f>
        <v/>
      </c>
      <c r="C3815" s="86">
        <f>+VLOOKUP(B3815,ARTICULOS!$D$10:$I$699,6)</f>
        <v/>
      </c>
      <c r="D3815" s="212" t="n"/>
      <c r="E3815" s="75">
        <f>+C3815&amp;F3815</f>
        <v/>
      </c>
      <c r="F3815" s="80" t="n"/>
      <c r="G3815" s="81" t="n"/>
      <c r="H3815" s="78" t="n"/>
      <c r="I3815" s="78" t="n"/>
      <c r="J3815" s="78" t="n"/>
    </row>
    <row r="3816">
      <c r="A3816" s="84">
        <f>ROW()-6</f>
        <v/>
      </c>
      <c r="B3816" s="85">
        <f>+MATCH(D3816,ARTICULOS!$F$10:$F$699,0)</f>
        <v/>
      </c>
      <c r="C3816" s="86">
        <f>+VLOOKUP(B3816,ARTICULOS!$D$10:$I$699,6)</f>
        <v/>
      </c>
      <c r="D3816" s="212" t="n"/>
      <c r="E3816" s="75">
        <f>+C3816&amp;F3816</f>
        <v/>
      </c>
      <c r="F3816" s="80" t="n"/>
      <c r="G3816" s="81" t="n"/>
      <c r="H3816" s="78" t="n"/>
      <c r="I3816" s="78" t="n"/>
      <c r="J3816" s="78" t="n"/>
    </row>
    <row r="3817">
      <c r="A3817" s="84">
        <f>ROW()-6</f>
        <v/>
      </c>
      <c r="B3817" s="85">
        <f>+MATCH(D3817,ARTICULOS!$F$10:$F$699,0)</f>
        <v/>
      </c>
      <c r="C3817" s="86">
        <f>+VLOOKUP(B3817,ARTICULOS!$D$10:$I$699,6)</f>
        <v/>
      </c>
      <c r="D3817" s="212" t="n"/>
      <c r="E3817" s="75">
        <f>+C3817&amp;F3817</f>
        <v/>
      </c>
      <c r="F3817" s="80" t="n"/>
      <c r="G3817" s="81" t="n"/>
      <c r="H3817" s="78" t="n"/>
      <c r="I3817" s="78" t="n"/>
      <c r="J3817" s="78" t="n"/>
    </row>
    <row r="3818">
      <c r="A3818" s="84">
        <f>ROW()-6</f>
        <v/>
      </c>
      <c r="B3818" s="85">
        <f>+MATCH(D3818,ARTICULOS!$F$10:$F$699,0)</f>
        <v/>
      </c>
      <c r="C3818" s="86">
        <f>+VLOOKUP(B3818,ARTICULOS!$D$10:$I$699,6)</f>
        <v/>
      </c>
      <c r="D3818" s="212" t="n"/>
      <c r="E3818" s="75">
        <f>+C3818&amp;F3818</f>
        <v/>
      </c>
      <c r="F3818" s="80" t="n"/>
      <c r="G3818" s="81" t="n"/>
      <c r="H3818" s="78" t="n"/>
      <c r="I3818" s="78" t="n"/>
      <c r="J3818" s="78" t="n"/>
    </row>
    <row r="3819">
      <c r="A3819" s="84">
        <f>ROW()-6</f>
        <v/>
      </c>
      <c r="B3819" s="85">
        <f>+MATCH(D3819,ARTICULOS!$F$10:$F$699,0)</f>
        <v/>
      </c>
      <c r="C3819" s="86">
        <f>+VLOOKUP(B3819,ARTICULOS!$D$10:$I$699,6)</f>
        <v/>
      </c>
      <c r="D3819" s="212" t="n"/>
      <c r="E3819" s="75">
        <f>+C3819&amp;F3819</f>
        <v/>
      </c>
      <c r="F3819" s="80" t="n"/>
      <c r="G3819" s="81" t="n"/>
      <c r="H3819" s="78" t="n"/>
      <c r="I3819" s="78" t="n"/>
      <c r="J3819" s="78" t="n"/>
    </row>
    <row r="3820">
      <c r="A3820" s="84">
        <f>ROW()-6</f>
        <v/>
      </c>
      <c r="B3820" s="85">
        <f>+MATCH(D3820,ARTICULOS!$F$10:$F$699,0)</f>
        <v/>
      </c>
      <c r="C3820" s="86">
        <f>+VLOOKUP(B3820,ARTICULOS!$D$10:$I$699,6)</f>
        <v/>
      </c>
      <c r="D3820" s="212" t="n"/>
      <c r="E3820" s="75">
        <f>+C3820&amp;F3820</f>
        <v/>
      </c>
      <c r="F3820" s="80" t="n"/>
      <c r="G3820" s="81" t="n"/>
      <c r="H3820" s="78" t="n"/>
      <c r="I3820" s="78" t="n"/>
      <c r="J3820" s="78" t="n"/>
    </row>
    <row r="3821">
      <c r="A3821" s="84">
        <f>ROW()-6</f>
        <v/>
      </c>
      <c r="B3821" s="85">
        <f>+MATCH(D3821,ARTICULOS!$F$10:$F$699,0)</f>
        <v/>
      </c>
      <c r="C3821" s="86">
        <f>+VLOOKUP(B3821,ARTICULOS!$D$10:$I$699,6)</f>
        <v/>
      </c>
      <c r="D3821" s="212" t="n"/>
      <c r="E3821" s="75">
        <f>+C3821&amp;F3821</f>
        <v/>
      </c>
      <c r="F3821" s="80" t="n"/>
      <c r="G3821" s="81" t="n"/>
      <c r="H3821" s="78" t="n"/>
      <c r="I3821" s="78" t="n"/>
      <c r="J3821" s="78" t="n"/>
    </row>
    <row r="3822">
      <c r="A3822" s="84">
        <f>ROW()-6</f>
        <v/>
      </c>
      <c r="B3822" s="85">
        <f>+MATCH(D3822,ARTICULOS!$F$10:$F$699,0)</f>
        <v/>
      </c>
      <c r="C3822" s="86">
        <f>+VLOOKUP(B3822,ARTICULOS!$D$10:$I$699,6)</f>
        <v/>
      </c>
      <c r="D3822" s="212" t="n"/>
      <c r="E3822" s="75">
        <f>+C3822&amp;F3822</f>
        <v/>
      </c>
      <c r="F3822" s="80" t="n"/>
      <c r="G3822" s="81" t="n"/>
      <c r="H3822" s="78" t="n"/>
      <c r="I3822" s="78" t="n"/>
      <c r="J3822" s="78" t="n"/>
    </row>
    <row r="3823">
      <c r="A3823" s="84">
        <f>ROW()-6</f>
        <v/>
      </c>
      <c r="B3823" s="85">
        <f>+MATCH(D3823,ARTICULOS!$F$10:$F$699,0)</f>
        <v/>
      </c>
      <c r="C3823" s="86">
        <f>+VLOOKUP(B3823,ARTICULOS!$D$10:$I$699,6)</f>
        <v/>
      </c>
      <c r="D3823" s="212" t="n"/>
      <c r="E3823" s="75">
        <f>+C3823&amp;F3823</f>
        <v/>
      </c>
      <c r="F3823" s="80" t="n"/>
      <c r="G3823" s="81" t="n"/>
      <c r="H3823" s="78" t="n"/>
      <c r="I3823" s="78" t="n"/>
      <c r="J3823" s="78" t="n"/>
    </row>
    <row r="3824">
      <c r="A3824" s="84">
        <f>ROW()-6</f>
        <v/>
      </c>
      <c r="B3824" s="85">
        <f>+MATCH(D3824,ARTICULOS!$F$10:$F$699,0)</f>
        <v/>
      </c>
      <c r="C3824" s="86">
        <f>+VLOOKUP(B3824,ARTICULOS!$D$10:$I$699,6)</f>
        <v/>
      </c>
      <c r="D3824" s="212" t="n"/>
      <c r="E3824" s="75">
        <f>+C3824&amp;F3824</f>
        <v/>
      </c>
      <c r="F3824" s="80" t="n"/>
      <c r="G3824" s="81" t="n"/>
      <c r="H3824" s="78" t="n"/>
      <c r="I3824" s="78" t="n"/>
      <c r="J3824" s="78" t="n"/>
    </row>
    <row r="3825">
      <c r="A3825" s="84">
        <f>ROW()-6</f>
        <v/>
      </c>
      <c r="B3825" s="85">
        <f>+MATCH(D3825,ARTICULOS!$F$10:$F$699,0)</f>
        <v/>
      </c>
      <c r="C3825" s="86">
        <f>+VLOOKUP(B3825,ARTICULOS!$D$10:$I$699,6)</f>
        <v/>
      </c>
      <c r="D3825" s="212" t="n"/>
      <c r="E3825" s="75">
        <f>+C3825&amp;F3825</f>
        <v/>
      </c>
      <c r="F3825" s="80" t="n"/>
      <c r="G3825" s="81" t="n"/>
      <c r="H3825" s="78" t="n"/>
      <c r="I3825" s="78" t="n"/>
      <c r="J3825" s="78" t="n"/>
    </row>
    <row r="3826">
      <c r="A3826" s="84">
        <f>ROW()-6</f>
        <v/>
      </c>
      <c r="B3826" s="85">
        <f>+MATCH(D3826,ARTICULOS!$F$10:$F$699,0)</f>
        <v/>
      </c>
      <c r="C3826" s="86">
        <f>+VLOOKUP(B3826,ARTICULOS!$D$10:$I$699,6)</f>
        <v/>
      </c>
      <c r="D3826" s="212" t="n"/>
      <c r="E3826" s="75">
        <f>+C3826&amp;F3826</f>
        <v/>
      </c>
      <c r="F3826" s="80" t="n"/>
      <c r="G3826" s="81" t="n"/>
      <c r="H3826" s="78" t="n"/>
      <c r="I3826" s="78" t="n"/>
      <c r="J3826" s="78" t="n"/>
    </row>
    <row r="3827">
      <c r="A3827" s="84">
        <f>ROW()-6</f>
        <v/>
      </c>
      <c r="B3827" s="85">
        <f>+MATCH(D3827,ARTICULOS!$F$10:$F$699,0)</f>
        <v/>
      </c>
      <c r="C3827" s="86">
        <f>+VLOOKUP(B3827,ARTICULOS!$D$10:$I$699,6)</f>
        <v/>
      </c>
      <c r="D3827" s="212" t="n"/>
      <c r="E3827" s="75">
        <f>+C3827&amp;F3827</f>
        <v/>
      </c>
      <c r="F3827" s="80" t="n"/>
      <c r="G3827" s="81" t="n"/>
      <c r="H3827" s="78" t="n"/>
      <c r="I3827" s="78" t="n"/>
      <c r="J3827" s="78" t="n"/>
    </row>
    <row r="3828">
      <c r="A3828" s="84">
        <f>ROW()-6</f>
        <v/>
      </c>
      <c r="B3828" s="85">
        <f>+MATCH(D3828,ARTICULOS!$F$10:$F$699,0)</f>
        <v/>
      </c>
      <c r="C3828" s="86">
        <f>+VLOOKUP(B3828,ARTICULOS!$D$10:$I$699,6)</f>
        <v/>
      </c>
      <c r="D3828" s="212" t="n"/>
      <c r="E3828" s="75">
        <f>+C3828&amp;F3828</f>
        <v/>
      </c>
      <c r="F3828" s="80" t="n"/>
      <c r="G3828" s="81" t="n"/>
      <c r="H3828" s="78" t="n"/>
      <c r="I3828" s="78" t="n"/>
      <c r="J3828" s="78" t="n"/>
    </row>
    <row r="3829">
      <c r="A3829" s="84">
        <f>ROW()-6</f>
        <v/>
      </c>
      <c r="B3829" s="85">
        <f>+MATCH(D3829,ARTICULOS!$F$10:$F$699,0)</f>
        <v/>
      </c>
      <c r="C3829" s="86">
        <f>+VLOOKUP(B3829,ARTICULOS!$D$10:$I$699,6)</f>
        <v/>
      </c>
      <c r="D3829" s="212" t="n"/>
      <c r="E3829" s="75">
        <f>+C3829&amp;F3829</f>
        <v/>
      </c>
      <c r="F3829" s="80" t="n"/>
      <c r="G3829" s="81" t="n"/>
      <c r="H3829" s="78" t="n"/>
      <c r="I3829" s="78" t="n"/>
      <c r="J3829" s="78" t="n"/>
    </row>
    <row r="3830">
      <c r="A3830" s="84">
        <f>ROW()-6</f>
        <v/>
      </c>
      <c r="B3830" s="85">
        <f>+MATCH(D3830,ARTICULOS!$F$10:$F$699,0)</f>
        <v/>
      </c>
      <c r="C3830" s="86">
        <f>+VLOOKUP(B3830,ARTICULOS!$D$10:$I$699,6)</f>
        <v/>
      </c>
      <c r="D3830" s="212" t="n"/>
      <c r="E3830" s="75">
        <f>+C3830&amp;F3830</f>
        <v/>
      </c>
      <c r="F3830" s="80" t="n"/>
      <c r="G3830" s="81" t="n"/>
      <c r="H3830" s="78" t="n"/>
      <c r="I3830" s="78" t="n"/>
      <c r="J3830" s="78" t="n"/>
    </row>
    <row r="3831">
      <c r="A3831" s="84">
        <f>ROW()-6</f>
        <v/>
      </c>
      <c r="B3831" s="85">
        <f>+MATCH(D3831,ARTICULOS!$F$10:$F$699,0)</f>
        <v/>
      </c>
      <c r="C3831" s="86">
        <f>+VLOOKUP(B3831,ARTICULOS!$D$10:$I$699,6)</f>
        <v/>
      </c>
      <c r="D3831" s="212" t="n"/>
      <c r="E3831" s="75">
        <f>+C3831&amp;F3831</f>
        <v/>
      </c>
      <c r="F3831" s="80" t="n"/>
      <c r="G3831" s="81" t="n"/>
      <c r="H3831" s="78" t="n"/>
      <c r="I3831" s="78" t="n"/>
      <c r="J3831" s="78" t="n"/>
    </row>
    <row r="3832">
      <c r="A3832" s="84">
        <f>ROW()-6</f>
        <v/>
      </c>
      <c r="B3832" s="85">
        <f>+MATCH(D3832,ARTICULOS!$F$10:$F$699,0)</f>
        <v/>
      </c>
      <c r="C3832" s="86">
        <f>+VLOOKUP(B3832,ARTICULOS!$D$10:$I$699,6)</f>
        <v/>
      </c>
      <c r="D3832" s="212" t="n"/>
      <c r="E3832" s="75">
        <f>+C3832&amp;F3832</f>
        <v/>
      </c>
      <c r="F3832" s="80" t="n"/>
      <c r="G3832" s="81" t="n"/>
      <c r="H3832" s="78" t="n"/>
      <c r="I3832" s="78" t="n"/>
      <c r="J3832" s="78" t="n"/>
    </row>
    <row r="3833">
      <c r="A3833" s="84">
        <f>ROW()-6</f>
        <v/>
      </c>
      <c r="B3833" s="85">
        <f>+MATCH(D3833,ARTICULOS!$F$10:$F$699,0)</f>
        <v/>
      </c>
      <c r="C3833" s="86">
        <f>+VLOOKUP(B3833,ARTICULOS!$D$10:$I$699,6)</f>
        <v/>
      </c>
      <c r="D3833" s="212" t="n"/>
      <c r="E3833" s="75">
        <f>+C3833&amp;F3833</f>
        <v/>
      </c>
      <c r="F3833" s="80" t="n"/>
      <c r="G3833" s="81" t="n"/>
      <c r="H3833" s="78" t="n"/>
      <c r="I3833" s="78" t="n"/>
      <c r="J3833" s="78" t="n"/>
    </row>
    <row r="3834">
      <c r="A3834" s="84">
        <f>ROW()-6</f>
        <v/>
      </c>
      <c r="B3834" s="85">
        <f>+MATCH(D3834,ARTICULOS!$F$10:$F$699,0)</f>
        <v/>
      </c>
      <c r="C3834" s="86">
        <f>+VLOOKUP(B3834,ARTICULOS!$D$10:$I$699,6)</f>
        <v/>
      </c>
      <c r="D3834" s="212" t="n"/>
      <c r="E3834" s="75">
        <f>+C3834&amp;F3834</f>
        <v/>
      </c>
      <c r="F3834" s="80" t="n"/>
      <c r="G3834" s="81" t="n"/>
      <c r="H3834" s="78" t="n"/>
      <c r="I3834" s="78" t="n"/>
      <c r="J3834" s="78" t="n"/>
    </row>
    <row r="3835">
      <c r="A3835" s="84">
        <f>ROW()-6</f>
        <v/>
      </c>
      <c r="B3835" s="85">
        <f>+MATCH(D3835,ARTICULOS!$F$10:$F$699,0)</f>
        <v/>
      </c>
      <c r="C3835" s="86">
        <f>+VLOOKUP(B3835,ARTICULOS!$D$10:$I$699,6)</f>
        <v/>
      </c>
      <c r="D3835" s="212" t="n"/>
      <c r="E3835" s="75">
        <f>+C3835&amp;F3835</f>
        <v/>
      </c>
      <c r="F3835" s="80" t="n"/>
      <c r="G3835" s="81" t="n"/>
      <c r="H3835" s="78" t="n"/>
      <c r="I3835" s="78" t="n"/>
      <c r="J3835" s="78" t="n"/>
    </row>
    <row r="3836">
      <c r="A3836" s="84">
        <f>ROW()-6</f>
        <v/>
      </c>
      <c r="B3836" s="85">
        <f>+MATCH(D3836,ARTICULOS!$F$10:$F$699,0)</f>
        <v/>
      </c>
      <c r="C3836" s="86">
        <f>+VLOOKUP(B3836,ARTICULOS!$D$10:$I$699,6)</f>
        <v/>
      </c>
      <c r="D3836" s="212" t="n"/>
      <c r="E3836" s="75">
        <f>+C3836&amp;F3836</f>
        <v/>
      </c>
      <c r="F3836" s="80" t="n"/>
      <c r="G3836" s="81" t="n"/>
      <c r="H3836" s="78" t="n"/>
      <c r="I3836" s="78" t="n"/>
      <c r="J3836" s="78" t="n"/>
    </row>
    <row r="3837">
      <c r="A3837" s="84">
        <f>ROW()-6</f>
        <v/>
      </c>
      <c r="B3837" s="85">
        <f>+MATCH(D3837,ARTICULOS!$F$10:$F$699,0)</f>
        <v/>
      </c>
      <c r="C3837" s="86">
        <f>+VLOOKUP(B3837,ARTICULOS!$D$10:$I$699,6)</f>
        <v/>
      </c>
      <c r="D3837" s="212" t="n"/>
      <c r="E3837" s="75">
        <f>+C3837&amp;F3837</f>
        <v/>
      </c>
      <c r="F3837" s="80" t="n"/>
      <c r="G3837" s="81" t="n"/>
      <c r="H3837" s="78" t="n"/>
      <c r="I3837" s="78" t="n"/>
      <c r="J3837" s="78" t="n"/>
    </row>
    <row r="3838">
      <c r="A3838" s="84">
        <f>ROW()-6</f>
        <v/>
      </c>
      <c r="B3838" s="85">
        <f>+MATCH(D3838,ARTICULOS!$F$10:$F$699,0)</f>
        <v/>
      </c>
      <c r="C3838" s="86">
        <f>+VLOOKUP(B3838,ARTICULOS!$D$10:$I$699,6)</f>
        <v/>
      </c>
      <c r="D3838" s="212" t="n"/>
      <c r="E3838" s="75">
        <f>+C3838&amp;F3838</f>
        <v/>
      </c>
      <c r="F3838" s="80" t="n"/>
      <c r="G3838" s="81" t="n"/>
      <c r="H3838" s="78" t="n"/>
      <c r="I3838" s="78" t="n"/>
      <c r="J3838" s="78" t="n"/>
    </row>
    <row r="3839">
      <c r="A3839" s="84">
        <f>ROW()-6</f>
        <v/>
      </c>
      <c r="B3839" s="85">
        <f>+MATCH(D3839,ARTICULOS!$F$10:$F$699,0)</f>
        <v/>
      </c>
      <c r="C3839" s="86">
        <f>+VLOOKUP(B3839,ARTICULOS!$D$10:$I$699,6)</f>
        <v/>
      </c>
      <c r="D3839" s="212" t="n"/>
      <c r="E3839" s="75">
        <f>+C3839&amp;F3839</f>
        <v/>
      </c>
      <c r="F3839" s="80" t="n"/>
      <c r="G3839" s="81" t="n"/>
      <c r="H3839" s="78" t="n"/>
      <c r="I3839" s="78" t="n"/>
      <c r="J3839" s="78" t="n"/>
    </row>
    <row r="3840">
      <c r="A3840" s="84">
        <f>ROW()-6</f>
        <v/>
      </c>
      <c r="B3840" s="85">
        <f>+MATCH(D3840,ARTICULOS!$F$10:$F$699,0)</f>
        <v/>
      </c>
      <c r="C3840" s="86">
        <f>+VLOOKUP(B3840,ARTICULOS!$D$10:$I$699,6)</f>
        <v/>
      </c>
      <c r="D3840" s="212" t="n"/>
      <c r="E3840" s="75">
        <f>+C3840&amp;F3840</f>
        <v/>
      </c>
      <c r="F3840" s="80" t="n"/>
      <c r="G3840" s="81" t="n"/>
      <c r="H3840" s="78" t="n"/>
      <c r="I3840" s="78" t="n"/>
      <c r="J3840" s="78" t="n"/>
    </row>
    <row r="3841">
      <c r="A3841" s="84">
        <f>ROW()-6</f>
        <v/>
      </c>
      <c r="B3841" s="85">
        <f>+MATCH(D3841,ARTICULOS!$F$10:$F$699,0)</f>
        <v/>
      </c>
      <c r="C3841" s="86">
        <f>+VLOOKUP(B3841,ARTICULOS!$D$10:$I$699,6)</f>
        <v/>
      </c>
      <c r="D3841" s="212" t="n"/>
      <c r="E3841" s="75">
        <f>+C3841&amp;F3841</f>
        <v/>
      </c>
      <c r="F3841" s="80" t="n"/>
      <c r="G3841" s="81" t="n"/>
      <c r="H3841" s="78" t="n"/>
      <c r="I3841" s="78" t="n"/>
      <c r="J3841" s="78" t="n"/>
    </row>
    <row r="3842">
      <c r="A3842" s="84">
        <f>ROW()-6</f>
        <v/>
      </c>
      <c r="B3842" s="85">
        <f>+MATCH(D3842,ARTICULOS!$F$10:$F$699,0)</f>
        <v/>
      </c>
      <c r="C3842" s="86">
        <f>+VLOOKUP(B3842,ARTICULOS!$D$10:$I$699,6)</f>
        <v/>
      </c>
      <c r="D3842" s="212" t="n"/>
      <c r="E3842" s="75">
        <f>+C3842&amp;F3842</f>
        <v/>
      </c>
      <c r="F3842" s="80" t="n"/>
      <c r="G3842" s="81" t="n"/>
      <c r="H3842" s="78" t="n"/>
      <c r="I3842" s="78" t="n"/>
      <c r="J3842" s="78" t="n"/>
    </row>
    <row r="3843">
      <c r="A3843" s="84">
        <f>ROW()-6</f>
        <v/>
      </c>
      <c r="B3843" s="85">
        <f>+MATCH(D3843,ARTICULOS!$F$10:$F$699,0)</f>
        <v/>
      </c>
      <c r="C3843" s="86">
        <f>+VLOOKUP(B3843,ARTICULOS!$D$10:$I$699,6)</f>
        <v/>
      </c>
      <c r="D3843" s="212" t="n"/>
      <c r="E3843" s="75">
        <f>+C3843&amp;F3843</f>
        <v/>
      </c>
      <c r="F3843" s="80" t="n"/>
      <c r="G3843" s="81" t="n"/>
      <c r="H3843" s="78" t="n"/>
      <c r="I3843" s="78" t="n"/>
      <c r="J3843" s="78" t="n"/>
    </row>
    <row r="3844">
      <c r="A3844" s="84">
        <f>ROW()-6</f>
        <v/>
      </c>
      <c r="B3844" s="85">
        <f>+MATCH(D3844,ARTICULOS!$F$10:$F$699,0)</f>
        <v/>
      </c>
      <c r="C3844" s="86">
        <f>+VLOOKUP(B3844,ARTICULOS!$D$10:$I$699,6)</f>
        <v/>
      </c>
      <c r="D3844" s="212" t="n"/>
      <c r="E3844" s="75">
        <f>+C3844&amp;F3844</f>
        <v/>
      </c>
      <c r="F3844" s="80" t="n"/>
      <c r="G3844" s="81" t="n"/>
      <c r="H3844" s="78" t="n"/>
      <c r="I3844" s="78" t="n"/>
      <c r="J3844" s="78" t="n"/>
    </row>
    <row r="3845">
      <c r="A3845" s="84">
        <f>ROW()-6</f>
        <v/>
      </c>
      <c r="B3845" s="85">
        <f>+MATCH(D3845,ARTICULOS!$F$10:$F$699,0)</f>
        <v/>
      </c>
      <c r="C3845" s="86">
        <f>+VLOOKUP(B3845,ARTICULOS!$D$10:$I$699,6)</f>
        <v/>
      </c>
      <c r="D3845" s="212" t="n"/>
      <c r="E3845" s="75">
        <f>+C3845&amp;F3845</f>
        <v/>
      </c>
      <c r="F3845" s="80" t="n"/>
      <c r="G3845" s="81" t="n"/>
      <c r="H3845" s="78" t="n"/>
      <c r="I3845" s="78" t="n"/>
      <c r="J3845" s="78" t="n"/>
    </row>
    <row r="3846">
      <c r="A3846" s="84">
        <f>ROW()-6</f>
        <v/>
      </c>
      <c r="B3846" s="85">
        <f>+MATCH(D3846,ARTICULOS!$F$10:$F$699,0)</f>
        <v/>
      </c>
      <c r="C3846" s="86">
        <f>+VLOOKUP(B3846,ARTICULOS!$D$10:$I$699,6)</f>
        <v/>
      </c>
      <c r="D3846" s="212" t="n"/>
      <c r="E3846" s="75">
        <f>+C3846&amp;F3846</f>
        <v/>
      </c>
      <c r="F3846" s="80" t="n"/>
      <c r="G3846" s="81" t="n"/>
      <c r="H3846" s="78" t="n"/>
      <c r="I3846" s="78" t="n"/>
      <c r="J3846" s="78" t="n"/>
    </row>
    <row r="3847">
      <c r="A3847" s="84">
        <f>ROW()-6</f>
        <v/>
      </c>
      <c r="B3847" s="85">
        <f>+MATCH(D3847,ARTICULOS!$F$10:$F$699,0)</f>
        <v/>
      </c>
      <c r="C3847" s="86">
        <f>+VLOOKUP(B3847,ARTICULOS!$D$10:$I$699,6)</f>
        <v/>
      </c>
      <c r="D3847" s="212" t="n"/>
      <c r="E3847" s="75">
        <f>+C3847&amp;F3847</f>
        <v/>
      </c>
      <c r="F3847" s="80" t="n"/>
      <c r="G3847" s="81" t="n"/>
      <c r="H3847" s="78" t="n"/>
      <c r="I3847" s="78" t="n"/>
      <c r="J3847" s="78" t="n"/>
    </row>
    <row r="3848">
      <c r="A3848" s="84">
        <f>ROW()-6</f>
        <v/>
      </c>
      <c r="B3848" s="85">
        <f>+MATCH(D3848,ARTICULOS!$F$10:$F$699,0)</f>
        <v/>
      </c>
      <c r="C3848" s="86">
        <f>+VLOOKUP(B3848,ARTICULOS!$D$10:$I$699,6)</f>
        <v/>
      </c>
      <c r="D3848" s="212" t="n"/>
      <c r="E3848" s="75">
        <f>+C3848&amp;F3848</f>
        <v/>
      </c>
      <c r="F3848" s="80" t="n"/>
      <c r="G3848" s="81" t="n"/>
      <c r="H3848" s="78" t="n"/>
      <c r="I3848" s="78" t="n"/>
      <c r="J3848" s="78" t="n"/>
    </row>
    <row r="3849">
      <c r="A3849" s="84">
        <f>ROW()-6</f>
        <v/>
      </c>
      <c r="B3849" s="85">
        <f>+MATCH(D3849,ARTICULOS!$F$10:$F$699,0)</f>
        <v/>
      </c>
      <c r="C3849" s="86">
        <f>+VLOOKUP(B3849,ARTICULOS!$D$10:$I$699,6)</f>
        <v/>
      </c>
      <c r="D3849" s="212" t="n"/>
      <c r="E3849" s="75">
        <f>+C3849&amp;F3849</f>
        <v/>
      </c>
      <c r="F3849" s="80" t="n"/>
      <c r="G3849" s="81" t="n"/>
      <c r="H3849" s="78" t="n"/>
      <c r="I3849" s="78" t="n"/>
      <c r="J3849" s="78" t="n"/>
    </row>
    <row r="3850">
      <c r="A3850" s="84">
        <f>ROW()-6</f>
        <v/>
      </c>
      <c r="B3850" s="85">
        <f>+MATCH(D3850,ARTICULOS!$F$10:$F$699,0)</f>
        <v/>
      </c>
      <c r="C3850" s="86">
        <f>+VLOOKUP(B3850,ARTICULOS!$D$10:$I$699,6)</f>
        <v/>
      </c>
      <c r="D3850" s="212" t="n"/>
      <c r="E3850" s="75">
        <f>+C3850&amp;F3850</f>
        <v/>
      </c>
      <c r="F3850" s="80" t="n"/>
      <c r="G3850" s="81" t="n"/>
      <c r="H3850" s="78" t="n"/>
      <c r="I3850" s="78" t="n"/>
      <c r="J3850" s="78" t="n"/>
    </row>
    <row r="3851">
      <c r="A3851" s="84">
        <f>ROW()-6</f>
        <v/>
      </c>
      <c r="B3851" s="85">
        <f>+MATCH(D3851,ARTICULOS!$F$10:$F$699,0)</f>
        <v/>
      </c>
      <c r="C3851" s="86">
        <f>+VLOOKUP(B3851,ARTICULOS!$D$10:$I$699,6)</f>
        <v/>
      </c>
      <c r="D3851" s="212" t="n"/>
      <c r="E3851" s="75">
        <f>+C3851&amp;F3851</f>
        <v/>
      </c>
      <c r="F3851" s="80" t="n"/>
      <c r="G3851" s="81" t="n"/>
      <c r="H3851" s="78" t="n"/>
      <c r="I3851" s="78" t="n"/>
      <c r="J3851" s="78" t="n"/>
    </row>
    <row r="3852">
      <c r="A3852" s="84">
        <f>ROW()-6</f>
        <v/>
      </c>
      <c r="B3852" s="85">
        <f>+MATCH(D3852,ARTICULOS!$F$10:$F$699,0)</f>
        <v/>
      </c>
      <c r="C3852" s="86">
        <f>+VLOOKUP(B3852,ARTICULOS!$D$10:$I$699,6)</f>
        <v/>
      </c>
      <c r="D3852" s="212" t="n"/>
      <c r="E3852" s="75">
        <f>+C3852&amp;F3852</f>
        <v/>
      </c>
      <c r="F3852" s="80" t="n"/>
      <c r="G3852" s="81" t="n"/>
      <c r="H3852" s="78" t="n"/>
      <c r="I3852" s="78" t="n"/>
      <c r="J3852" s="78" t="n"/>
    </row>
    <row r="3853">
      <c r="A3853" s="84">
        <f>ROW()-6</f>
        <v/>
      </c>
      <c r="B3853" s="85">
        <f>+MATCH(D3853,ARTICULOS!$F$10:$F$699,0)</f>
        <v/>
      </c>
      <c r="C3853" s="86">
        <f>+VLOOKUP(B3853,ARTICULOS!$D$10:$I$699,6)</f>
        <v/>
      </c>
      <c r="D3853" s="212" t="n"/>
      <c r="E3853" s="75">
        <f>+C3853&amp;F3853</f>
        <v/>
      </c>
      <c r="F3853" s="80" t="n"/>
      <c r="G3853" s="81" t="n"/>
      <c r="H3853" s="78" t="n"/>
      <c r="I3853" s="78" t="n"/>
      <c r="J3853" s="78" t="n"/>
    </row>
    <row r="3854">
      <c r="A3854" s="84">
        <f>ROW()-6</f>
        <v/>
      </c>
      <c r="B3854" s="85">
        <f>+MATCH(D3854,ARTICULOS!$F$10:$F$699,0)</f>
        <v/>
      </c>
      <c r="C3854" s="86">
        <f>+VLOOKUP(B3854,ARTICULOS!$D$10:$I$699,6)</f>
        <v/>
      </c>
      <c r="D3854" s="212" t="n"/>
      <c r="E3854" s="75">
        <f>+C3854&amp;F3854</f>
        <v/>
      </c>
      <c r="F3854" s="80" t="n"/>
      <c r="G3854" s="81" t="n"/>
      <c r="H3854" s="78" t="n"/>
      <c r="I3854" s="78" t="n"/>
      <c r="J3854" s="78" t="n"/>
    </row>
    <row r="3855">
      <c r="A3855" s="84">
        <f>ROW()-6</f>
        <v/>
      </c>
      <c r="B3855" s="85">
        <f>+MATCH(D3855,ARTICULOS!$F$10:$F$699,0)</f>
        <v/>
      </c>
      <c r="C3855" s="86">
        <f>+VLOOKUP(B3855,ARTICULOS!$D$10:$I$699,6)</f>
        <v/>
      </c>
      <c r="D3855" s="212" t="n"/>
      <c r="E3855" s="75">
        <f>+C3855&amp;F3855</f>
        <v/>
      </c>
      <c r="F3855" s="80" t="n"/>
      <c r="G3855" s="81" t="n"/>
      <c r="H3855" s="78" t="n"/>
      <c r="I3855" s="78" t="n"/>
      <c r="J3855" s="78" t="n"/>
    </row>
    <row r="3856">
      <c r="A3856" s="84">
        <f>ROW()-6</f>
        <v/>
      </c>
      <c r="B3856" s="85">
        <f>+MATCH(D3856,ARTICULOS!$F$10:$F$699,0)</f>
        <v/>
      </c>
      <c r="C3856" s="86">
        <f>+VLOOKUP(B3856,ARTICULOS!$D$10:$I$699,6)</f>
        <v/>
      </c>
      <c r="D3856" s="212" t="n"/>
      <c r="E3856" s="75">
        <f>+C3856&amp;F3856</f>
        <v/>
      </c>
      <c r="F3856" s="80" t="n"/>
      <c r="G3856" s="81" t="n"/>
      <c r="H3856" s="78" t="n"/>
      <c r="I3856" s="78" t="n"/>
      <c r="J3856" s="78" t="n"/>
    </row>
    <row r="3857">
      <c r="A3857" s="84">
        <f>ROW()-6</f>
        <v/>
      </c>
      <c r="B3857" s="85">
        <f>+MATCH(D3857,ARTICULOS!$F$10:$F$699,0)</f>
        <v/>
      </c>
      <c r="C3857" s="86">
        <f>+VLOOKUP(B3857,ARTICULOS!$D$10:$I$699,6)</f>
        <v/>
      </c>
      <c r="D3857" s="212" t="n"/>
      <c r="E3857" s="75">
        <f>+C3857&amp;F3857</f>
        <v/>
      </c>
      <c r="F3857" s="80" t="n"/>
      <c r="G3857" s="81" t="n"/>
      <c r="H3857" s="78" t="n"/>
      <c r="I3857" s="78" t="n"/>
      <c r="J3857" s="78" t="n"/>
    </row>
    <row r="3858">
      <c r="A3858" s="84">
        <f>ROW()-6</f>
        <v/>
      </c>
      <c r="B3858" s="85">
        <f>+MATCH(D3858,ARTICULOS!$F$10:$F$699,0)</f>
        <v/>
      </c>
      <c r="C3858" s="86">
        <f>+VLOOKUP(B3858,ARTICULOS!$D$10:$I$699,6)</f>
        <v/>
      </c>
      <c r="D3858" s="212" t="n"/>
      <c r="E3858" s="75">
        <f>+C3858&amp;F3858</f>
        <v/>
      </c>
      <c r="F3858" s="80" t="n"/>
      <c r="G3858" s="81" t="n"/>
      <c r="H3858" s="78" t="n"/>
      <c r="I3858" s="78" t="n"/>
      <c r="J3858" s="78" t="n"/>
    </row>
    <row r="3859">
      <c r="A3859" s="84">
        <f>ROW()-6</f>
        <v/>
      </c>
      <c r="B3859" s="85">
        <f>+MATCH(D3859,ARTICULOS!$F$10:$F$699,0)</f>
        <v/>
      </c>
      <c r="C3859" s="86">
        <f>+VLOOKUP(B3859,ARTICULOS!$D$10:$I$699,6)</f>
        <v/>
      </c>
      <c r="D3859" s="212" t="n"/>
      <c r="E3859" s="75">
        <f>+C3859&amp;F3859</f>
        <v/>
      </c>
      <c r="F3859" s="80" t="n"/>
      <c r="G3859" s="81" t="n"/>
      <c r="H3859" s="78" t="n"/>
      <c r="I3859" s="78" t="n"/>
      <c r="J3859" s="78" t="n"/>
    </row>
    <row r="3860">
      <c r="A3860" s="84">
        <f>ROW()-6</f>
        <v/>
      </c>
      <c r="B3860" s="85">
        <f>+MATCH(D3860,ARTICULOS!$F$10:$F$699,0)</f>
        <v/>
      </c>
      <c r="C3860" s="86">
        <f>+VLOOKUP(B3860,ARTICULOS!$D$10:$I$699,6)</f>
        <v/>
      </c>
      <c r="D3860" s="212" t="n"/>
      <c r="E3860" s="75">
        <f>+C3860&amp;F3860</f>
        <v/>
      </c>
      <c r="F3860" s="80" t="n"/>
      <c r="G3860" s="81" t="n"/>
      <c r="H3860" s="78" t="n"/>
      <c r="I3860" s="78" t="n"/>
      <c r="J3860" s="78" t="n"/>
    </row>
    <row r="3861">
      <c r="A3861" s="84">
        <f>ROW()-6</f>
        <v/>
      </c>
      <c r="B3861" s="85">
        <f>+MATCH(D3861,ARTICULOS!$F$10:$F$699,0)</f>
        <v/>
      </c>
      <c r="C3861" s="86">
        <f>+VLOOKUP(B3861,ARTICULOS!$D$10:$I$699,6)</f>
        <v/>
      </c>
      <c r="D3861" s="212" t="n"/>
      <c r="E3861" s="75">
        <f>+C3861&amp;F3861</f>
        <v/>
      </c>
      <c r="F3861" s="80" t="n"/>
      <c r="G3861" s="81" t="n"/>
      <c r="H3861" s="78" t="n"/>
      <c r="I3861" s="78" t="n"/>
      <c r="J3861" s="78" t="n"/>
    </row>
    <row r="3862">
      <c r="A3862" s="84">
        <f>ROW()-6</f>
        <v/>
      </c>
      <c r="B3862" s="85">
        <f>+MATCH(D3862,ARTICULOS!$F$10:$F$699,0)</f>
        <v/>
      </c>
      <c r="C3862" s="86">
        <f>+VLOOKUP(B3862,ARTICULOS!$D$10:$I$699,6)</f>
        <v/>
      </c>
      <c r="D3862" s="212" t="n"/>
      <c r="E3862" s="75">
        <f>+C3862&amp;F3862</f>
        <v/>
      </c>
      <c r="F3862" s="80" t="n"/>
      <c r="G3862" s="81" t="n"/>
      <c r="H3862" s="78" t="n"/>
      <c r="I3862" s="78" t="n"/>
      <c r="J3862" s="78" t="n"/>
    </row>
    <row r="3863">
      <c r="A3863" s="84">
        <f>ROW()-6</f>
        <v/>
      </c>
      <c r="B3863" s="85">
        <f>+MATCH(D3863,ARTICULOS!$F$10:$F$699,0)</f>
        <v/>
      </c>
      <c r="C3863" s="86">
        <f>+VLOOKUP(B3863,ARTICULOS!$D$10:$I$699,6)</f>
        <v/>
      </c>
      <c r="D3863" s="212" t="n"/>
      <c r="E3863" s="75">
        <f>+C3863&amp;F3863</f>
        <v/>
      </c>
      <c r="F3863" s="80" t="n"/>
      <c r="G3863" s="81" t="n"/>
      <c r="H3863" s="78" t="n"/>
      <c r="I3863" s="78" t="n"/>
      <c r="J3863" s="78" t="n"/>
    </row>
    <row r="3864">
      <c r="A3864" s="84">
        <f>ROW()-6</f>
        <v/>
      </c>
      <c r="B3864" s="85">
        <f>+MATCH(D3864,ARTICULOS!$F$10:$F$699,0)</f>
        <v/>
      </c>
      <c r="C3864" s="86">
        <f>+VLOOKUP(B3864,ARTICULOS!$D$10:$I$699,6)</f>
        <v/>
      </c>
      <c r="D3864" s="212" t="n"/>
      <c r="E3864" s="75">
        <f>+C3864&amp;F3864</f>
        <v/>
      </c>
      <c r="F3864" s="80" t="n"/>
      <c r="G3864" s="81" t="n"/>
      <c r="H3864" s="78" t="n"/>
      <c r="I3864" s="78" t="n"/>
      <c r="J3864" s="78" t="n"/>
    </row>
    <row r="3865">
      <c r="A3865" s="84">
        <f>ROW()-6</f>
        <v/>
      </c>
      <c r="B3865" s="85">
        <f>+MATCH(D3865,ARTICULOS!$F$10:$F$699,0)</f>
        <v/>
      </c>
      <c r="C3865" s="86">
        <f>+VLOOKUP(B3865,ARTICULOS!$D$10:$I$699,6)</f>
        <v/>
      </c>
      <c r="D3865" s="212" t="n"/>
      <c r="E3865" s="75">
        <f>+C3865&amp;F3865</f>
        <v/>
      </c>
      <c r="F3865" s="80" t="n"/>
      <c r="G3865" s="81" t="n"/>
      <c r="H3865" s="78" t="n"/>
      <c r="I3865" s="78" t="n"/>
      <c r="J3865" s="78" t="n"/>
    </row>
    <row r="3866">
      <c r="A3866" s="84">
        <f>ROW()-6</f>
        <v/>
      </c>
      <c r="B3866" s="85">
        <f>+MATCH(D3866,ARTICULOS!$F$10:$F$699,0)</f>
        <v/>
      </c>
      <c r="C3866" s="86">
        <f>+VLOOKUP(B3866,ARTICULOS!$D$10:$I$699,6)</f>
        <v/>
      </c>
      <c r="D3866" s="212" t="n"/>
      <c r="E3866" s="75">
        <f>+C3866&amp;F3866</f>
        <v/>
      </c>
      <c r="F3866" s="80" t="n"/>
      <c r="G3866" s="81" t="n"/>
      <c r="H3866" s="78" t="n"/>
      <c r="I3866" s="78" t="n"/>
      <c r="J3866" s="78" t="n"/>
    </row>
    <row r="3867">
      <c r="A3867" s="84">
        <f>ROW()-6</f>
        <v/>
      </c>
      <c r="B3867" s="85">
        <f>+MATCH(D3867,ARTICULOS!$F$10:$F$699,0)</f>
        <v/>
      </c>
      <c r="C3867" s="86">
        <f>+VLOOKUP(B3867,ARTICULOS!$D$10:$I$699,6)</f>
        <v/>
      </c>
      <c r="D3867" s="212" t="n"/>
      <c r="E3867" s="75">
        <f>+C3867&amp;F3867</f>
        <v/>
      </c>
      <c r="F3867" s="80" t="n"/>
      <c r="G3867" s="81" t="n"/>
      <c r="H3867" s="78" t="n"/>
      <c r="I3867" s="78" t="n"/>
      <c r="J3867" s="78" t="n"/>
    </row>
    <row r="3868">
      <c r="A3868" s="84">
        <f>ROW()-6</f>
        <v/>
      </c>
      <c r="B3868" s="85">
        <f>+MATCH(D3868,ARTICULOS!$F$10:$F$699,0)</f>
        <v/>
      </c>
      <c r="C3868" s="86">
        <f>+VLOOKUP(B3868,ARTICULOS!$D$10:$I$699,6)</f>
        <v/>
      </c>
      <c r="D3868" s="212" t="n"/>
      <c r="E3868" s="75">
        <f>+C3868&amp;F3868</f>
        <v/>
      </c>
      <c r="F3868" s="80" t="n"/>
      <c r="G3868" s="81" t="n"/>
      <c r="H3868" s="78" t="n"/>
      <c r="I3868" s="78" t="n"/>
      <c r="J3868" s="78" t="n"/>
    </row>
    <row r="3869">
      <c r="A3869" s="84">
        <f>ROW()-6</f>
        <v/>
      </c>
      <c r="B3869" s="85">
        <f>+MATCH(D3869,ARTICULOS!$F$10:$F$699,0)</f>
        <v/>
      </c>
      <c r="C3869" s="86">
        <f>+VLOOKUP(B3869,ARTICULOS!$D$10:$I$699,6)</f>
        <v/>
      </c>
      <c r="D3869" s="212" t="n"/>
      <c r="E3869" s="75">
        <f>+C3869&amp;F3869</f>
        <v/>
      </c>
      <c r="F3869" s="80" t="n"/>
      <c r="G3869" s="81" t="n"/>
      <c r="H3869" s="78" t="n"/>
      <c r="I3869" s="78" t="n"/>
      <c r="J3869" s="78" t="n"/>
    </row>
    <row r="3870">
      <c r="A3870" s="84">
        <f>ROW()-6</f>
        <v/>
      </c>
      <c r="B3870" s="85">
        <f>+MATCH(D3870,ARTICULOS!$F$10:$F$699,0)</f>
        <v/>
      </c>
      <c r="C3870" s="86">
        <f>+VLOOKUP(B3870,ARTICULOS!$D$10:$I$699,6)</f>
        <v/>
      </c>
      <c r="D3870" s="212" t="n"/>
      <c r="E3870" s="75">
        <f>+C3870&amp;F3870</f>
        <v/>
      </c>
      <c r="F3870" s="80" t="n"/>
      <c r="G3870" s="81" t="n"/>
      <c r="H3870" s="78" t="n"/>
      <c r="I3870" s="78" t="n"/>
      <c r="J3870" s="78" t="n"/>
    </row>
    <row r="3871">
      <c r="A3871" s="84">
        <f>ROW()-6</f>
        <v/>
      </c>
      <c r="B3871" s="85">
        <f>+MATCH(D3871,ARTICULOS!$F$10:$F$699,0)</f>
        <v/>
      </c>
      <c r="C3871" s="86">
        <f>+VLOOKUP(B3871,ARTICULOS!$D$10:$I$699,6)</f>
        <v/>
      </c>
      <c r="D3871" s="212" t="n"/>
      <c r="E3871" s="75">
        <f>+C3871&amp;F3871</f>
        <v/>
      </c>
      <c r="F3871" s="80" t="n"/>
      <c r="G3871" s="81" t="n"/>
      <c r="H3871" s="78" t="n"/>
      <c r="I3871" s="78" t="n"/>
      <c r="J3871" s="78" t="n"/>
    </row>
    <row r="3872">
      <c r="A3872" s="84">
        <f>ROW()-6</f>
        <v/>
      </c>
      <c r="B3872" s="85">
        <f>+MATCH(D3872,ARTICULOS!$F$10:$F$699,0)</f>
        <v/>
      </c>
      <c r="C3872" s="86">
        <f>+VLOOKUP(B3872,ARTICULOS!$D$10:$I$699,6)</f>
        <v/>
      </c>
      <c r="D3872" s="212" t="n"/>
      <c r="E3872" s="75">
        <f>+C3872&amp;F3872</f>
        <v/>
      </c>
      <c r="F3872" s="80" t="n"/>
      <c r="G3872" s="81" t="n"/>
      <c r="H3872" s="78" t="n"/>
      <c r="I3872" s="78" t="n"/>
      <c r="J3872" s="78" t="n"/>
    </row>
    <row r="3873">
      <c r="A3873" s="84">
        <f>ROW()-6</f>
        <v/>
      </c>
      <c r="B3873" s="85">
        <f>+MATCH(D3873,ARTICULOS!$F$10:$F$699,0)</f>
        <v/>
      </c>
      <c r="C3873" s="86">
        <f>+VLOOKUP(B3873,ARTICULOS!$D$10:$I$699,6)</f>
        <v/>
      </c>
      <c r="D3873" s="212" t="n"/>
      <c r="E3873" s="75">
        <f>+C3873&amp;F3873</f>
        <v/>
      </c>
      <c r="F3873" s="80" t="n"/>
      <c r="G3873" s="81" t="n"/>
      <c r="H3873" s="78" t="n"/>
      <c r="I3873" s="78" t="n"/>
      <c r="J3873" s="78" t="n"/>
    </row>
    <row r="3874">
      <c r="A3874" s="84">
        <f>ROW()-6</f>
        <v/>
      </c>
      <c r="B3874" s="85">
        <f>+MATCH(D3874,ARTICULOS!$F$10:$F$699,0)</f>
        <v/>
      </c>
      <c r="C3874" s="86">
        <f>+VLOOKUP(B3874,ARTICULOS!$D$10:$I$699,6)</f>
        <v/>
      </c>
      <c r="D3874" s="212" t="n"/>
      <c r="E3874" s="75">
        <f>+C3874&amp;F3874</f>
        <v/>
      </c>
      <c r="F3874" s="80" t="n"/>
      <c r="G3874" s="81" t="n"/>
      <c r="H3874" s="78" t="n"/>
      <c r="I3874" s="78" t="n"/>
      <c r="J3874" s="78" t="n"/>
    </row>
    <row r="3875">
      <c r="A3875" s="84">
        <f>ROW()-6</f>
        <v/>
      </c>
      <c r="B3875" s="85">
        <f>+MATCH(D3875,ARTICULOS!$F$10:$F$699,0)</f>
        <v/>
      </c>
      <c r="C3875" s="86">
        <f>+VLOOKUP(B3875,ARTICULOS!$D$10:$I$699,6)</f>
        <v/>
      </c>
      <c r="D3875" s="212" t="n"/>
      <c r="E3875" s="75">
        <f>+C3875&amp;F3875</f>
        <v/>
      </c>
      <c r="F3875" s="80" t="n"/>
      <c r="G3875" s="81" t="n"/>
      <c r="H3875" s="78" t="n"/>
      <c r="I3875" s="78" t="n"/>
      <c r="J3875" s="78" t="n"/>
    </row>
    <row r="3876">
      <c r="A3876" s="84">
        <f>ROW()-6</f>
        <v/>
      </c>
      <c r="B3876" s="85">
        <f>+MATCH(D3876,ARTICULOS!$F$10:$F$699,0)</f>
        <v/>
      </c>
      <c r="C3876" s="86">
        <f>+VLOOKUP(B3876,ARTICULOS!$D$10:$I$699,6)</f>
        <v/>
      </c>
      <c r="D3876" s="212" t="n"/>
      <c r="E3876" s="75">
        <f>+C3876&amp;F3876</f>
        <v/>
      </c>
      <c r="F3876" s="80" t="n"/>
      <c r="G3876" s="81" t="n"/>
      <c r="H3876" s="78" t="n"/>
      <c r="I3876" s="78" t="n"/>
      <c r="J3876" s="78" t="n"/>
    </row>
    <row r="3877">
      <c r="A3877" s="84">
        <f>ROW()-6</f>
        <v/>
      </c>
      <c r="B3877" s="85">
        <f>+MATCH(D3877,ARTICULOS!$F$10:$F$699,0)</f>
        <v/>
      </c>
      <c r="C3877" s="86">
        <f>+VLOOKUP(B3877,ARTICULOS!$D$10:$I$699,6)</f>
        <v/>
      </c>
      <c r="D3877" s="212" t="n"/>
      <c r="E3877" s="75">
        <f>+C3877&amp;F3877</f>
        <v/>
      </c>
      <c r="F3877" s="80" t="n"/>
      <c r="G3877" s="81" t="n"/>
      <c r="H3877" s="78" t="n"/>
      <c r="I3877" s="78" t="n"/>
      <c r="J3877" s="78" t="n"/>
    </row>
    <row r="3878">
      <c r="A3878" s="84">
        <f>ROW()-6</f>
        <v/>
      </c>
      <c r="B3878" s="85">
        <f>+MATCH(D3878,ARTICULOS!$F$10:$F$699,0)</f>
        <v/>
      </c>
      <c r="C3878" s="86">
        <f>+VLOOKUP(B3878,ARTICULOS!$D$10:$I$699,6)</f>
        <v/>
      </c>
      <c r="D3878" s="212" t="n"/>
      <c r="E3878" s="75">
        <f>+C3878&amp;F3878</f>
        <v/>
      </c>
      <c r="F3878" s="80" t="n"/>
      <c r="G3878" s="81" t="n"/>
      <c r="H3878" s="78" t="n"/>
      <c r="I3878" s="78" t="n"/>
      <c r="J3878" s="78" t="n"/>
    </row>
    <row r="3879">
      <c r="A3879" s="84">
        <f>ROW()-6</f>
        <v/>
      </c>
      <c r="B3879" s="85">
        <f>+MATCH(D3879,ARTICULOS!$F$10:$F$699,0)</f>
        <v/>
      </c>
      <c r="C3879" s="86">
        <f>+VLOOKUP(B3879,ARTICULOS!$D$10:$I$699,6)</f>
        <v/>
      </c>
      <c r="D3879" s="212" t="n"/>
      <c r="E3879" s="75">
        <f>+C3879&amp;F3879</f>
        <v/>
      </c>
      <c r="F3879" s="80" t="n"/>
      <c r="G3879" s="81" t="n"/>
      <c r="H3879" s="78" t="n"/>
      <c r="I3879" s="78" t="n"/>
      <c r="J3879" s="78" t="n"/>
    </row>
    <row r="3880">
      <c r="A3880" s="84">
        <f>ROW()-6</f>
        <v/>
      </c>
      <c r="B3880" s="85">
        <f>+MATCH(D3880,ARTICULOS!$F$10:$F$699,0)</f>
        <v/>
      </c>
      <c r="C3880" s="86">
        <f>+VLOOKUP(B3880,ARTICULOS!$D$10:$I$699,6)</f>
        <v/>
      </c>
      <c r="D3880" s="212" t="n"/>
      <c r="E3880" s="75">
        <f>+C3880&amp;F3880</f>
        <v/>
      </c>
      <c r="F3880" s="80" t="n"/>
      <c r="G3880" s="81" t="n"/>
      <c r="H3880" s="78" t="n"/>
      <c r="I3880" s="78" t="n"/>
      <c r="J3880" s="78" t="n"/>
    </row>
    <row r="3881">
      <c r="A3881" s="84">
        <f>ROW()-6</f>
        <v/>
      </c>
      <c r="B3881" s="85">
        <f>+MATCH(D3881,ARTICULOS!$F$10:$F$699,0)</f>
        <v/>
      </c>
      <c r="C3881" s="86">
        <f>+VLOOKUP(B3881,ARTICULOS!$D$10:$I$699,6)</f>
        <v/>
      </c>
      <c r="D3881" s="212" t="n"/>
      <c r="E3881" s="75">
        <f>+C3881&amp;F3881</f>
        <v/>
      </c>
      <c r="F3881" s="80" t="n"/>
      <c r="G3881" s="81" t="n"/>
      <c r="H3881" s="78" t="n"/>
      <c r="I3881" s="78" t="n"/>
      <c r="J3881" s="78" t="n"/>
    </row>
    <row r="3882">
      <c r="A3882" s="84">
        <f>ROW()-6</f>
        <v/>
      </c>
      <c r="B3882" s="85">
        <f>+MATCH(D3882,ARTICULOS!$F$10:$F$699,0)</f>
        <v/>
      </c>
      <c r="C3882" s="86">
        <f>+VLOOKUP(B3882,ARTICULOS!$D$10:$I$699,6)</f>
        <v/>
      </c>
      <c r="D3882" s="212" t="n"/>
      <c r="E3882" s="75">
        <f>+C3882&amp;F3882</f>
        <v/>
      </c>
      <c r="F3882" s="80" t="n"/>
      <c r="G3882" s="81" t="n"/>
      <c r="H3882" s="78" t="n"/>
      <c r="I3882" s="78" t="n"/>
      <c r="J3882" s="78" t="n"/>
    </row>
    <row r="3883">
      <c r="A3883" s="84">
        <f>ROW()-6</f>
        <v/>
      </c>
      <c r="B3883" s="85">
        <f>+MATCH(D3883,ARTICULOS!$F$10:$F$699,0)</f>
        <v/>
      </c>
      <c r="C3883" s="86">
        <f>+VLOOKUP(B3883,ARTICULOS!$D$10:$I$699,6)</f>
        <v/>
      </c>
      <c r="D3883" s="212" t="n"/>
      <c r="E3883" s="75">
        <f>+C3883&amp;F3883</f>
        <v/>
      </c>
      <c r="F3883" s="80" t="n"/>
      <c r="G3883" s="81" t="n"/>
      <c r="H3883" s="78" t="n"/>
      <c r="I3883" s="78" t="n"/>
      <c r="J3883" s="78" t="n"/>
    </row>
    <row r="3884">
      <c r="A3884" s="84">
        <f>ROW()-6</f>
        <v/>
      </c>
      <c r="B3884" s="85">
        <f>+MATCH(D3884,ARTICULOS!$F$10:$F$699,0)</f>
        <v/>
      </c>
      <c r="C3884" s="86">
        <f>+VLOOKUP(B3884,ARTICULOS!$D$10:$I$699,6)</f>
        <v/>
      </c>
      <c r="D3884" s="212" t="n"/>
      <c r="E3884" s="75">
        <f>+C3884&amp;F3884</f>
        <v/>
      </c>
      <c r="F3884" s="80" t="n"/>
      <c r="G3884" s="81" t="n"/>
      <c r="H3884" s="78" t="n"/>
      <c r="I3884" s="78" t="n"/>
      <c r="J3884" s="78" t="n"/>
    </row>
    <row r="3885">
      <c r="A3885" s="84">
        <f>ROW()-6</f>
        <v/>
      </c>
      <c r="B3885" s="85">
        <f>+MATCH(D3885,ARTICULOS!$F$10:$F$699,0)</f>
        <v/>
      </c>
      <c r="C3885" s="86">
        <f>+VLOOKUP(B3885,ARTICULOS!$D$10:$I$699,6)</f>
        <v/>
      </c>
      <c r="D3885" s="212" t="n"/>
      <c r="E3885" s="75">
        <f>+C3885&amp;F3885</f>
        <v/>
      </c>
      <c r="F3885" s="80" t="n"/>
      <c r="G3885" s="81" t="n"/>
      <c r="H3885" s="78" t="n"/>
      <c r="I3885" s="78" t="n"/>
      <c r="J3885" s="78" t="n"/>
    </row>
    <row r="3886">
      <c r="A3886" s="84">
        <f>ROW()-6</f>
        <v/>
      </c>
      <c r="B3886" s="85">
        <f>+MATCH(D3886,ARTICULOS!$F$10:$F$699,0)</f>
        <v/>
      </c>
      <c r="C3886" s="86">
        <f>+VLOOKUP(B3886,ARTICULOS!$D$10:$I$699,6)</f>
        <v/>
      </c>
      <c r="D3886" s="212" t="n"/>
      <c r="E3886" s="75">
        <f>+C3886&amp;F3886</f>
        <v/>
      </c>
      <c r="F3886" s="80" t="n"/>
      <c r="G3886" s="81" t="n"/>
      <c r="H3886" s="78" t="n"/>
      <c r="I3886" s="78" t="n"/>
      <c r="J3886" s="78" t="n"/>
    </row>
    <row r="3887">
      <c r="A3887" s="84">
        <f>ROW()-6</f>
        <v/>
      </c>
      <c r="B3887" s="85">
        <f>+MATCH(D3887,ARTICULOS!$F$10:$F$699,0)</f>
        <v/>
      </c>
      <c r="C3887" s="86">
        <f>+VLOOKUP(B3887,ARTICULOS!$D$10:$I$699,6)</f>
        <v/>
      </c>
      <c r="D3887" s="212" t="n"/>
      <c r="E3887" s="75">
        <f>+C3887&amp;F3887</f>
        <v/>
      </c>
      <c r="F3887" s="80" t="n"/>
      <c r="G3887" s="81" t="n"/>
      <c r="H3887" s="78" t="n"/>
      <c r="I3887" s="78" t="n"/>
      <c r="J3887" s="78" t="n"/>
    </row>
    <row r="3888">
      <c r="A3888" s="84">
        <f>ROW()-6</f>
        <v/>
      </c>
      <c r="B3888" s="85">
        <f>+MATCH(D3888,ARTICULOS!$F$10:$F$699,0)</f>
        <v/>
      </c>
      <c r="C3888" s="86">
        <f>+VLOOKUP(B3888,ARTICULOS!$D$10:$I$699,6)</f>
        <v/>
      </c>
      <c r="D3888" s="212" t="n"/>
      <c r="E3888" s="75">
        <f>+C3888&amp;F3888</f>
        <v/>
      </c>
      <c r="F3888" s="80" t="n"/>
      <c r="G3888" s="81" t="n"/>
      <c r="H3888" s="78" t="n"/>
      <c r="I3888" s="78" t="n"/>
      <c r="J3888" s="78" t="n"/>
    </row>
    <row r="3889">
      <c r="A3889" s="84">
        <f>ROW()-6</f>
        <v/>
      </c>
      <c r="B3889" s="85">
        <f>+MATCH(D3889,ARTICULOS!$F$10:$F$699,0)</f>
        <v/>
      </c>
      <c r="C3889" s="86">
        <f>+VLOOKUP(B3889,ARTICULOS!$D$10:$I$699,6)</f>
        <v/>
      </c>
      <c r="D3889" s="212" t="n"/>
      <c r="E3889" s="75">
        <f>+C3889&amp;F3889</f>
        <v/>
      </c>
      <c r="F3889" s="80" t="n"/>
      <c r="G3889" s="81" t="n"/>
      <c r="H3889" s="78" t="n"/>
      <c r="I3889" s="78" t="n"/>
      <c r="J3889" s="78" t="n"/>
    </row>
    <row r="3890">
      <c r="A3890" s="84">
        <f>ROW()-6</f>
        <v/>
      </c>
      <c r="B3890" s="85">
        <f>+MATCH(D3890,ARTICULOS!$F$10:$F$699,0)</f>
        <v/>
      </c>
      <c r="C3890" s="86">
        <f>+VLOOKUP(B3890,ARTICULOS!$D$10:$I$699,6)</f>
        <v/>
      </c>
      <c r="D3890" s="212" t="n"/>
      <c r="E3890" s="75">
        <f>+C3890&amp;F3890</f>
        <v/>
      </c>
      <c r="F3890" s="80" t="n"/>
      <c r="G3890" s="81" t="n"/>
      <c r="H3890" s="78" t="n"/>
      <c r="I3890" s="78" t="n"/>
      <c r="J3890" s="78" t="n"/>
    </row>
    <row r="3891">
      <c r="A3891" s="84">
        <f>ROW()-6</f>
        <v/>
      </c>
      <c r="B3891" s="85">
        <f>+MATCH(D3891,ARTICULOS!$F$10:$F$699,0)</f>
        <v/>
      </c>
      <c r="C3891" s="86">
        <f>+VLOOKUP(B3891,ARTICULOS!$D$10:$I$699,6)</f>
        <v/>
      </c>
      <c r="D3891" s="212" t="n"/>
      <c r="E3891" s="75">
        <f>+C3891&amp;F3891</f>
        <v/>
      </c>
      <c r="F3891" s="80" t="n"/>
      <c r="G3891" s="81" t="n"/>
      <c r="H3891" s="78" t="n"/>
      <c r="I3891" s="78" t="n"/>
      <c r="J3891" s="78" t="n"/>
    </row>
    <row r="3892">
      <c r="A3892" s="84">
        <f>ROW()-6</f>
        <v/>
      </c>
      <c r="B3892" s="85">
        <f>+MATCH(D3892,ARTICULOS!$F$10:$F$699,0)</f>
        <v/>
      </c>
      <c r="C3892" s="86">
        <f>+VLOOKUP(B3892,ARTICULOS!$D$10:$I$699,6)</f>
        <v/>
      </c>
      <c r="D3892" s="212" t="n"/>
      <c r="E3892" s="75">
        <f>+C3892&amp;F3892</f>
        <v/>
      </c>
      <c r="F3892" s="80" t="n"/>
      <c r="G3892" s="81" t="n"/>
      <c r="H3892" s="78" t="n"/>
      <c r="I3892" s="78" t="n"/>
      <c r="J3892" s="78" t="n"/>
    </row>
    <row r="3893">
      <c r="A3893" s="84">
        <f>ROW()-6</f>
        <v/>
      </c>
      <c r="B3893" s="85">
        <f>+MATCH(D3893,ARTICULOS!$F$10:$F$699,0)</f>
        <v/>
      </c>
      <c r="C3893" s="86">
        <f>+VLOOKUP(B3893,ARTICULOS!$D$10:$I$699,6)</f>
        <v/>
      </c>
      <c r="D3893" s="212" t="n"/>
      <c r="E3893" s="75">
        <f>+C3893&amp;F3893</f>
        <v/>
      </c>
      <c r="F3893" s="80" t="n"/>
      <c r="G3893" s="81" t="n"/>
      <c r="H3893" s="78" t="n"/>
      <c r="I3893" s="78" t="n"/>
      <c r="J3893" s="78" t="n"/>
    </row>
    <row r="3894">
      <c r="A3894" s="84">
        <f>ROW()-6</f>
        <v/>
      </c>
      <c r="B3894" s="85">
        <f>+MATCH(D3894,ARTICULOS!$F$10:$F$699,0)</f>
        <v/>
      </c>
      <c r="C3894" s="86">
        <f>+VLOOKUP(B3894,ARTICULOS!$D$10:$I$699,6)</f>
        <v/>
      </c>
      <c r="D3894" s="212" t="n"/>
      <c r="E3894" s="75">
        <f>+C3894&amp;F3894</f>
        <v/>
      </c>
      <c r="F3894" s="80" t="n"/>
      <c r="G3894" s="81" t="n"/>
      <c r="H3894" s="78" t="n"/>
      <c r="I3894" s="78" t="n"/>
      <c r="J3894" s="78" t="n"/>
    </row>
    <row r="3895">
      <c r="A3895" s="84">
        <f>ROW()-6</f>
        <v/>
      </c>
      <c r="B3895" s="85">
        <f>+MATCH(D3895,ARTICULOS!$F$10:$F$699,0)</f>
        <v/>
      </c>
      <c r="C3895" s="86">
        <f>+VLOOKUP(B3895,ARTICULOS!$D$10:$I$699,6)</f>
        <v/>
      </c>
      <c r="D3895" s="212" t="n"/>
      <c r="E3895" s="75">
        <f>+C3895&amp;F3895</f>
        <v/>
      </c>
      <c r="F3895" s="80" t="n"/>
      <c r="G3895" s="81" t="n"/>
      <c r="H3895" s="78" t="n"/>
      <c r="I3895" s="78" t="n"/>
      <c r="J3895" s="78" t="n"/>
    </row>
    <row r="3896">
      <c r="A3896" s="84">
        <f>ROW()-6</f>
        <v/>
      </c>
      <c r="B3896" s="85">
        <f>+MATCH(D3896,ARTICULOS!$F$10:$F$699,0)</f>
        <v/>
      </c>
      <c r="C3896" s="86">
        <f>+VLOOKUP(B3896,ARTICULOS!$D$10:$I$699,6)</f>
        <v/>
      </c>
      <c r="D3896" s="212" t="n"/>
      <c r="E3896" s="75">
        <f>+C3896&amp;F3896</f>
        <v/>
      </c>
      <c r="F3896" s="80" t="n"/>
      <c r="G3896" s="81" t="n"/>
      <c r="H3896" s="78" t="n"/>
      <c r="I3896" s="78" t="n"/>
      <c r="J3896" s="78" t="n"/>
    </row>
    <row r="3897">
      <c r="A3897" s="84">
        <f>ROW()-6</f>
        <v/>
      </c>
      <c r="B3897" s="85">
        <f>+MATCH(D3897,ARTICULOS!$F$10:$F$699,0)</f>
        <v/>
      </c>
      <c r="C3897" s="86">
        <f>+VLOOKUP(B3897,ARTICULOS!$D$10:$I$699,6)</f>
        <v/>
      </c>
      <c r="D3897" s="212" t="n"/>
      <c r="E3897" s="75">
        <f>+C3897&amp;F3897</f>
        <v/>
      </c>
      <c r="F3897" s="80" t="n"/>
      <c r="G3897" s="81" t="n"/>
      <c r="H3897" s="78" t="n"/>
      <c r="I3897" s="78" t="n"/>
      <c r="J3897" s="78" t="n"/>
    </row>
    <row r="3898">
      <c r="A3898" s="84">
        <f>ROW()-6</f>
        <v/>
      </c>
      <c r="B3898" s="85">
        <f>+MATCH(D3898,ARTICULOS!$F$10:$F$699,0)</f>
        <v/>
      </c>
      <c r="C3898" s="86">
        <f>+VLOOKUP(B3898,ARTICULOS!$D$10:$I$699,6)</f>
        <v/>
      </c>
      <c r="D3898" s="212" t="n"/>
      <c r="E3898" s="75">
        <f>+C3898&amp;F3898</f>
        <v/>
      </c>
      <c r="F3898" s="80" t="n"/>
      <c r="G3898" s="81" t="n"/>
      <c r="H3898" s="78" t="n"/>
      <c r="I3898" s="78" t="n"/>
      <c r="J3898" s="78" t="n"/>
    </row>
    <row r="3899">
      <c r="A3899" s="84">
        <f>ROW()-6</f>
        <v/>
      </c>
      <c r="B3899" s="85">
        <f>+MATCH(D3899,ARTICULOS!$F$10:$F$699,0)</f>
        <v/>
      </c>
      <c r="C3899" s="86">
        <f>+VLOOKUP(B3899,ARTICULOS!$D$10:$I$699,6)</f>
        <v/>
      </c>
      <c r="D3899" s="212" t="n"/>
      <c r="E3899" s="75">
        <f>+C3899&amp;F3899</f>
        <v/>
      </c>
      <c r="F3899" s="80" t="n"/>
      <c r="G3899" s="81" t="n"/>
      <c r="H3899" s="78" t="n"/>
      <c r="I3899" s="78" t="n"/>
      <c r="J3899" s="78" t="n"/>
    </row>
    <row r="3900">
      <c r="A3900" s="84">
        <f>ROW()-6</f>
        <v/>
      </c>
      <c r="B3900" s="85">
        <f>+MATCH(D3900,ARTICULOS!$F$10:$F$699,0)</f>
        <v/>
      </c>
      <c r="C3900" s="86">
        <f>+VLOOKUP(B3900,ARTICULOS!$D$10:$I$699,6)</f>
        <v/>
      </c>
      <c r="D3900" s="212" t="n"/>
      <c r="E3900" s="75">
        <f>+C3900&amp;F3900</f>
        <v/>
      </c>
      <c r="F3900" s="80" t="n"/>
      <c r="G3900" s="81" t="n"/>
      <c r="H3900" s="78" t="n"/>
      <c r="I3900" s="78" t="n"/>
      <c r="J3900" s="78" t="n"/>
    </row>
    <row r="3901">
      <c r="A3901" s="84">
        <f>ROW()-6</f>
        <v/>
      </c>
      <c r="B3901" s="85">
        <f>+MATCH(D3901,ARTICULOS!$F$10:$F$699,0)</f>
        <v/>
      </c>
      <c r="C3901" s="86">
        <f>+VLOOKUP(B3901,ARTICULOS!$D$10:$I$699,6)</f>
        <v/>
      </c>
      <c r="D3901" s="212" t="n"/>
      <c r="E3901" s="75">
        <f>+C3901&amp;F3901</f>
        <v/>
      </c>
      <c r="F3901" s="80" t="n"/>
      <c r="G3901" s="81" t="n"/>
      <c r="H3901" s="78" t="n"/>
      <c r="I3901" s="78" t="n"/>
      <c r="J3901" s="78" t="n"/>
    </row>
    <row r="3902">
      <c r="A3902" s="84">
        <f>ROW()-6</f>
        <v/>
      </c>
      <c r="B3902" s="85">
        <f>+MATCH(D3902,ARTICULOS!$F$10:$F$699,0)</f>
        <v/>
      </c>
      <c r="C3902" s="86">
        <f>+VLOOKUP(B3902,ARTICULOS!$D$10:$I$699,6)</f>
        <v/>
      </c>
      <c r="D3902" s="212" t="n"/>
      <c r="E3902" s="75">
        <f>+C3902&amp;F3902</f>
        <v/>
      </c>
      <c r="F3902" s="80" t="n"/>
      <c r="G3902" s="81" t="n"/>
      <c r="H3902" s="78" t="n"/>
      <c r="I3902" s="78" t="n"/>
      <c r="J3902" s="78" t="n"/>
    </row>
    <row r="3903">
      <c r="A3903" s="84">
        <f>ROW()-6</f>
        <v/>
      </c>
      <c r="B3903" s="85">
        <f>+MATCH(D3903,ARTICULOS!$F$10:$F$699,0)</f>
        <v/>
      </c>
      <c r="C3903" s="86">
        <f>+VLOOKUP(B3903,ARTICULOS!$D$10:$I$699,6)</f>
        <v/>
      </c>
      <c r="D3903" s="212" t="n"/>
      <c r="E3903" s="75">
        <f>+C3903&amp;F3903</f>
        <v/>
      </c>
      <c r="F3903" s="80" t="n"/>
      <c r="G3903" s="81" t="n"/>
      <c r="H3903" s="78" t="n"/>
      <c r="I3903" s="78" t="n"/>
      <c r="J3903" s="78" t="n"/>
    </row>
    <row r="3904">
      <c r="A3904" s="84">
        <f>ROW()-6</f>
        <v/>
      </c>
      <c r="B3904" s="85">
        <f>+MATCH(D3904,ARTICULOS!$F$10:$F$699,0)</f>
        <v/>
      </c>
      <c r="C3904" s="86">
        <f>+VLOOKUP(B3904,ARTICULOS!$D$10:$I$699,6)</f>
        <v/>
      </c>
      <c r="D3904" s="212" t="n"/>
      <c r="E3904" s="75">
        <f>+C3904&amp;F3904</f>
        <v/>
      </c>
      <c r="F3904" s="80" t="n"/>
      <c r="G3904" s="81" t="n"/>
      <c r="H3904" s="78" t="n"/>
      <c r="I3904" s="78" t="n"/>
      <c r="J3904" s="78" t="n"/>
    </row>
    <row r="3905">
      <c r="A3905" s="84">
        <f>ROW()-6</f>
        <v/>
      </c>
      <c r="B3905" s="85">
        <f>+MATCH(D3905,ARTICULOS!$F$10:$F$699,0)</f>
        <v/>
      </c>
      <c r="C3905" s="86">
        <f>+VLOOKUP(B3905,ARTICULOS!$D$10:$I$699,6)</f>
        <v/>
      </c>
      <c r="D3905" s="212" t="n"/>
      <c r="E3905" s="75">
        <f>+C3905&amp;F3905</f>
        <v/>
      </c>
      <c r="F3905" s="80" t="n"/>
      <c r="G3905" s="81" t="n"/>
      <c r="H3905" s="78" t="n"/>
      <c r="I3905" s="78" t="n"/>
      <c r="J3905" s="78" t="n"/>
    </row>
    <row r="3906">
      <c r="A3906" s="84">
        <f>ROW()-6</f>
        <v/>
      </c>
      <c r="B3906" s="85">
        <f>+MATCH(D3906,ARTICULOS!$F$10:$F$699,0)</f>
        <v/>
      </c>
      <c r="C3906" s="86">
        <f>+VLOOKUP(B3906,ARTICULOS!$D$10:$I$699,6)</f>
        <v/>
      </c>
      <c r="D3906" s="212" t="n"/>
      <c r="E3906" s="75">
        <f>+C3906&amp;F3906</f>
        <v/>
      </c>
      <c r="F3906" s="80" t="n"/>
      <c r="G3906" s="81" t="n"/>
      <c r="H3906" s="78" t="n"/>
      <c r="I3906" s="78" t="n"/>
      <c r="J3906" s="78" t="n"/>
    </row>
    <row r="3907">
      <c r="A3907" s="84">
        <f>ROW()-6</f>
        <v/>
      </c>
      <c r="B3907" s="85">
        <f>+MATCH(D3907,ARTICULOS!$F$10:$F$699,0)</f>
        <v/>
      </c>
      <c r="C3907" s="86">
        <f>+VLOOKUP(B3907,ARTICULOS!$D$10:$I$699,6)</f>
        <v/>
      </c>
      <c r="D3907" s="212" t="n"/>
      <c r="E3907" s="75">
        <f>+C3907&amp;F3907</f>
        <v/>
      </c>
      <c r="F3907" s="80" t="n"/>
      <c r="G3907" s="81" t="n"/>
      <c r="H3907" s="78" t="n"/>
      <c r="I3907" s="78" t="n"/>
      <c r="J3907" s="78" t="n"/>
    </row>
    <row r="3908">
      <c r="A3908" s="84">
        <f>ROW()-6</f>
        <v/>
      </c>
      <c r="B3908" s="85">
        <f>+MATCH(D3908,ARTICULOS!$F$10:$F$699,0)</f>
        <v/>
      </c>
      <c r="C3908" s="86">
        <f>+VLOOKUP(B3908,ARTICULOS!$D$10:$I$699,6)</f>
        <v/>
      </c>
      <c r="D3908" s="212" t="n"/>
      <c r="E3908" s="75">
        <f>+C3908&amp;F3908</f>
        <v/>
      </c>
      <c r="F3908" s="80" t="n"/>
      <c r="G3908" s="81" t="n"/>
      <c r="H3908" s="78" t="n"/>
      <c r="I3908" s="78" t="n"/>
      <c r="J3908" s="78" t="n"/>
    </row>
    <row r="3909">
      <c r="A3909" s="84">
        <f>ROW()-6</f>
        <v/>
      </c>
      <c r="B3909" s="85">
        <f>+MATCH(D3909,ARTICULOS!$F$10:$F$699,0)</f>
        <v/>
      </c>
      <c r="C3909" s="86">
        <f>+VLOOKUP(B3909,ARTICULOS!$D$10:$I$699,6)</f>
        <v/>
      </c>
      <c r="D3909" s="212" t="n"/>
      <c r="E3909" s="75">
        <f>+C3909&amp;F3909</f>
        <v/>
      </c>
      <c r="F3909" s="80" t="n"/>
      <c r="G3909" s="81" t="n"/>
      <c r="H3909" s="78" t="n"/>
      <c r="I3909" s="78" t="n"/>
      <c r="J3909" s="78" t="n"/>
    </row>
    <row r="3910">
      <c r="A3910" s="84">
        <f>ROW()-6</f>
        <v/>
      </c>
      <c r="B3910" s="85">
        <f>+MATCH(D3910,ARTICULOS!$F$10:$F$699,0)</f>
        <v/>
      </c>
      <c r="C3910" s="86">
        <f>+VLOOKUP(B3910,ARTICULOS!$D$10:$I$699,6)</f>
        <v/>
      </c>
      <c r="D3910" s="212" t="n"/>
      <c r="E3910" s="75">
        <f>+C3910&amp;F3910</f>
        <v/>
      </c>
      <c r="F3910" s="80" t="n"/>
      <c r="G3910" s="81" t="n"/>
      <c r="H3910" s="78" t="n"/>
      <c r="I3910" s="78" t="n"/>
      <c r="J3910" s="78" t="n"/>
    </row>
    <row r="3911">
      <c r="A3911" s="84">
        <f>ROW()-6</f>
        <v/>
      </c>
      <c r="B3911" s="85">
        <f>+MATCH(D3911,ARTICULOS!$F$10:$F$699,0)</f>
        <v/>
      </c>
      <c r="C3911" s="86">
        <f>+VLOOKUP(B3911,ARTICULOS!$D$10:$I$699,6)</f>
        <v/>
      </c>
      <c r="D3911" s="212" t="n"/>
      <c r="E3911" s="75">
        <f>+C3911&amp;F3911</f>
        <v/>
      </c>
      <c r="F3911" s="80" t="n"/>
      <c r="G3911" s="81" t="n"/>
      <c r="H3911" s="78" t="n"/>
      <c r="I3911" s="78" t="n"/>
      <c r="J3911" s="78" t="n"/>
    </row>
    <row r="3912">
      <c r="A3912" s="84">
        <f>ROW()-6</f>
        <v/>
      </c>
      <c r="B3912" s="85">
        <f>+MATCH(D3912,ARTICULOS!$F$10:$F$699,0)</f>
        <v/>
      </c>
      <c r="C3912" s="86">
        <f>+VLOOKUP(B3912,ARTICULOS!$D$10:$I$699,6)</f>
        <v/>
      </c>
      <c r="D3912" s="212" t="n"/>
      <c r="E3912" s="75">
        <f>+C3912&amp;F3912</f>
        <v/>
      </c>
      <c r="F3912" s="80" t="n"/>
      <c r="G3912" s="81" t="n"/>
      <c r="H3912" s="78" t="n"/>
      <c r="I3912" s="78" t="n"/>
      <c r="J3912" s="78" t="n"/>
    </row>
    <row r="3913">
      <c r="A3913" s="84">
        <f>ROW()-6</f>
        <v/>
      </c>
      <c r="B3913" s="85">
        <f>+MATCH(D3913,ARTICULOS!$F$10:$F$699,0)</f>
        <v/>
      </c>
      <c r="C3913" s="86">
        <f>+VLOOKUP(B3913,ARTICULOS!$D$10:$I$699,6)</f>
        <v/>
      </c>
      <c r="D3913" s="212" t="n"/>
      <c r="E3913" s="75">
        <f>+C3913&amp;F3913</f>
        <v/>
      </c>
      <c r="F3913" s="80" t="n"/>
      <c r="G3913" s="81" t="n"/>
      <c r="H3913" s="78" t="n"/>
      <c r="I3913" s="78" t="n"/>
      <c r="J3913" s="78" t="n"/>
    </row>
    <row r="3914">
      <c r="A3914" s="84">
        <f>ROW()-6</f>
        <v/>
      </c>
      <c r="B3914" s="85">
        <f>+MATCH(D3914,ARTICULOS!$F$10:$F$699,0)</f>
        <v/>
      </c>
      <c r="C3914" s="86">
        <f>+VLOOKUP(B3914,ARTICULOS!$D$10:$I$699,6)</f>
        <v/>
      </c>
      <c r="D3914" s="212" t="n"/>
      <c r="E3914" s="75">
        <f>+C3914&amp;F3914</f>
        <v/>
      </c>
      <c r="F3914" s="80" t="n"/>
      <c r="G3914" s="81" t="n"/>
      <c r="H3914" s="78" t="n"/>
      <c r="I3914" s="78" t="n"/>
      <c r="J3914" s="78" t="n"/>
    </row>
    <row r="3915">
      <c r="A3915" s="84">
        <f>ROW()-6</f>
        <v/>
      </c>
      <c r="B3915" s="85">
        <f>+MATCH(D3915,ARTICULOS!$F$10:$F$699,0)</f>
        <v/>
      </c>
      <c r="C3915" s="86">
        <f>+VLOOKUP(B3915,ARTICULOS!$D$10:$I$699,6)</f>
        <v/>
      </c>
      <c r="D3915" s="212" t="n"/>
      <c r="E3915" s="75">
        <f>+C3915&amp;F3915</f>
        <v/>
      </c>
      <c r="F3915" s="80" t="n"/>
      <c r="G3915" s="81" t="n"/>
      <c r="H3915" s="78" t="n"/>
      <c r="I3915" s="78" t="n"/>
      <c r="J3915" s="78" t="n"/>
    </row>
    <row r="3916">
      <c r="A3916" s="84">
        <f>ROW()-6</f>
        <v/>
      </c>
      <c r="B3916" s="85">
        <f>+MATCH(D3916,ARTICULOS!$F$10:$F$699,0)</f>
        <v/>
      </c>
      <c r="C3916" s="86">
        <f>+VLOOKUP(B3916,ARTICULOS!$D$10:$I$699,6)</f>
        <v/>
      </c>
      <c r="D3916" s="212" t="n"/>
      <c r="E3916" s="75">
        <f>+C3916&amp;F3916</f>
        <v/>
      </c>
      <c r="F3916" s="80" t="n"/>
      <c r="G3916" s="81" t="n"/>
      <c r="H3916" s="78" t="n"/>
      <c r="I3916" s="78" t="n"/>
      <c r="J3916" s="78" t="n"/>
    </row>
    <row r="3917">
      <c r="A3917" s="84">
        <f>ROW()-6</f>
        <v/>
      </c>
      <c r="B3917" s="85">
        <f>+MATCH(D3917,ARTICULOS!$F$10:$F$699,0)</f>
        <v/>
      </c>
      <c r="C3917" s="86">
        <f>+VLOOKUP(B3917,ARTICULOS!$D$10:$I$699,6)</f>
        <v/>
      </c>
      <c r="D3917" s="212" t="n"/>
      <c r="E3917" s="75">
        <f>+C3917&amp;F3917</f>
        <v/>
      </c>
      <c r="F3917" s="80" t="n"/>
      <c r="G3917" s="81" t="n"/>
      <c r="H3917" s="78" t="n"/>
      <c r="I3917" s="78" t="n"/>
      <c r="J3917" s="78" t="n"/>
    </row>
    <row r="3918">
      <c r="A3918" s="84">
        <f>ROW()-6</f>
        <v/>
      </c>
      <c r="B3918" s="85">
        <f>+MATCH(D3918,ARTICULOS!$F$10:$F$699,0)</f>
        <v/>
      </c>
      <c r="C3918" s="86">
        <f>+VLOOKUP(B3918,ARTICULOS!$D$10:$I$699,6)</f>
        <v/>
      </c>
      <c r="D3918" s="212" t="n"/>
      <c r="E3918" s="75">
        <f>+C3918&amp;F3918</f>
        <v/>
      </c>
      <c r="F3918" s="80" t="n"/>
      <c r="G3918" s="81" t="n"/>
      <c r="H3918" s="78" t="n"/>
      <c r="I3918" s="78" t="n"/>
      <c r="J3918" s="78" t="n"/>
    </row>
    <row r="3919">
      <c r="A3919" s="84">
        <f>ROW()-6</f>
        <v/>
      </c>
      <c r="B3919" s="85">
        <f>+MATCH(D3919,ARTICULOS!$F$10:$F$699,0)</f>
        <v/>
      </c>
      <c r="C3919" s="86">
        <f>+VLOOKUP(B3919,ARTICULOS!$D$10:$I$699,6)</f>
        <v/>
      </c>
      <c r="D3919" s="212" t="n"/>
      <c r="E3919" s="75">
        <f>+C3919&amp;F3919</f>
        <v/>
      </c>
      <c r="F3919" s="80" t="n"/>
      <c r="G3919" s="81" t="n"/>
      <c r="H3919" s="78" t="n"/>
      <c r="I3919" s="78" t="n"/>
      <c r="J3919" s="78" t="n"/>
    </row>
    <row r="3920">
      <c r="A3920" s="84">
        <f>ROW()-6</f>
        <v/>
      </c>
      <c r="B3920" s="85">
        <f>+MATCH(D3920,ARTICULOS!$F$10:$F$699,0)</f>
        <v/>
      </c>
      <c r="C3920" s="86">
        <f>+VLOOKUP(B3920,ARTICULOS!$D$10:$I$699,6)</f>
        <v/>
      </c>
      <c r="D3920" s="212" t="n"/>
      <c r="E3920" s="75">
        <f>+C3920&amp;F3920</f>
        <v/>
      </c>
      <c r="F3920" s="80" t="n"/>
      <c r="G3920" s="81" t="n"/>
      <c r="H3920" s="78" t="n"/>
      <c r="I3920" s="78" t="n"/>
      <c r="J3920" s="78" t="n"/>
    </row>
    <row r="3921">
      <c r="A3921" s="84">
        <f>ROW()-6</f>
        <v/>
      </c>
      <c r="B3921" s="85">
        <f>+MATCH(D3921,ARTICULOS!$F$10:$F$699,0)</f>
        <v/>
      </c>
      <c r="C3921" s="86">
        <f>+VLOOKUP(B3921,ARTICULOS!$D$10:$I$699,6)</f>
        <v/>
      </c>
      <c r="D3921" s="212" t="n"/>
      <c r="E3921" s="75">
        <f>+C3921&amp;F3921</f>
        <v/>
      </c>
      <c r="F3921" s="80" t="n"/>
      <c r="G3921" s="81" t="n"/>
      <c r="H3921" s="78" t="n"/>
      <c r="I3921" s="78" t="n"/>
      <c r="J3921" s="78" t="n"/>
    </row>
    <row r="3922">
      <c r="A3922" s="84">
        <f>ROW()-6</f>
        <v/>
      </c>
      <c r="B3922" s="85">
        <f>+MATCH(D3922,ARTICULOS!$F$10:$F$699,0)</f>
        <v/>
      </c>
      <c r="C3922" s="86">
        <f>+VLOOKUP(B3922,ARTICULOS!$D$10:$I$699,6)</f>
        <v/>
      </c>
      <c r="D3922" s="212" t="n"/>
      <c r="E3922" s="75">
        <f>+C3922&amp;F3922</f>
        <v/>
      </c>
      <c r="F3922" s="80" t="n"/>
      <c r="G3922" s="81" t="n"/>
      <c r="H3922" s="78" t="n"/>
      <c r="I3922" s="78" t="n"/>
      <c r="J3922" s="78" t="n"/>
    </row>
    <row r="3923">
      <c r="A3923" s="84">
        <f>ROW()-6</f>
        <v/>
      </c>
      <c r="B3923" s="85">
        <f>+MATCH(D3923,ARTICULOS!$F$10:$F$699,0)</f>
        <v/>
      </c>
      <c r="C3923" s="86">
        <f>+VLOOKUP(B3923,ARTICULOS!$D$10:$I$699,6)</f>
        <v/>
      </c>
      <c r="D3923" s="212" t="n"/>
      <c r="E3923" s="75">
        <f>+C3923&amp;F3923</f>
        <v/>
      </c>
      <c r="F3923" s="80" t="n"/>
      <c r="G3923" s="81" t="n"/>
      <c r="H3923" s="78" t="n"/>
      <c r="I3923" s="78" t="n"/>
      <c r="J3923" s="78" t="n"/>
    </row>
    <row r="3924">
      <c r="A3924" s="84">
        <f>ROW()-6</f>
        <v/>
      </c>
      <c r="B3924" s="85">
        <f>+MATCH(D3924,ARTICULOS!$F$10:$F$699,0)</f>
        <v/>
      </c>
      <c r="C3924" s="86">
        <f>+VLOOKUP(B3924,ARTICULOS!$D$10:$I$699,6)</f>
        <v/>
      </c>
      <c r="D3924" s="212" t="n"/>
      <c r="E3924" s="75">
        <f>+C3924&amp;F3924</f>
        <v/>
      </c>
      <c r="F3924" s="80" t="n"/>
      <c r="G3924" s="81" t="n"/>
      <c r="H3924" s="78" t="n"/>
      <c r="I3924" s="78" t="n"/>
      <c r="J3924" s="78" t="n"/>
    </row>
    <row r="3925">
      <c r="A3925" s="84">
        <f>ROW()-6</f>
        <v/>
      </c>
      <c r="B3925" s="85">
        <f>+MATCH(D3925,ARTICULOS!$F$10:$F$699,0)</f>
        <v/>
      </c>
      <c r="C3925" s="86">
        <f>+VLOOKUP(B3925,ARTICULOS!$D$10:$I$699,6)</f>
        <v/>
      </c>
      <c r="D3925" s="212" t="n"/>
      <c r="E3925" s="75">
        <f>+C3925&amp;F3925</f>
        <v/>
      </c>
      <c r="F3925" s="80" t="n"/>
      <c r="G3925" s="81" t="n"/>
      <c r="H3925" s="78" t="n"/>
      <c r="I3925" s="78" t="n"/>
      <c r="J3925" s="78" t="n"/>
    </row>
    <row r="3926">
      <c r="A3926" s="84">
        <f>ROW()-6</f>
        <v/>
      </c>
      <c r="B3926" s="85">
        <f>+MATCH(D3926,ARTICULOS!$F$10:$F$699,0)</f>
        <v/>
      </c>
      <c r="C3926" s="86">
        <f>+VLOOKUP(B3926,ARTICULOS!$D$10:$I$699,6)</f>
        <v/>
      </c>
      <c r="D3926" s="212" t="n"/>
      <c r="E3926" s="75">
        <f>+C3926&amp;F3926</f>
        <v/>
      </c>
      <c r="F3926" s="80" t="n"/>
      <c r="G3926" s="81" t="n"/>
      <c r="H3926" s="78" t="n"/>
      <c r="I3926" s="78" t="n"/>
      <c r="J3926" s="78" t="n"/>
    </row>
    <row r="3927">
      <c r="A3927" s="84">
        <f>ROW()-6</f>
        <v/>
      </c>
      <c r="B3927" s="85">
        <f>+MATCH(D3927,ARTICULOS!$F$10:$F$699,0)</f>
        <v/>
      </c>
      <c r="C3927" s="86">
        <f>+VLOOKUP(B3927,ARTICULOS!$D$10:$I$699,6)</f>
        <v/>
      </c>
      <c r="D3927" s="212" t="n"/>
      <c r="E3927" s="75">
        <f>+C3927&amp;F3927</f>
        <v/>
      </c>
      <c r="F3927" s="80" t="n"/>
      <c r="G3927" s="81" t="n"/>
      <c r="H3927" s="78" t="n"/>
      <c r="I3927" s="78" t="n"/>
      <c r="J3927" s="78" t="n"/>
    </row>
    <row r="3928">
      <c r="A3928" s="84">
        <f>ROW()-6</f>
        <v/>
      </c>
      <c r="B3928" s="85">
        <f>+MATCH(D3928,ARTICULOS!$F$10:$F$699,0)</f>
        <v/>
      </c>
      <c r="C3928" s="86">
        <f>+VLOOKUP(B3928,ARTICULOS!$D$10:$I$699,6)</f>
        <v/>
      </c>
      <c r="D3928" s="212" t="n"/>
      <c r="E3928" s="75">
        <f>+C3928&amp;F3928</f>
        <v/>
      </c>
      <c r="F3928" s="80" t="n"/>
      <c r="G3928" s="81" t="n"/>
      <c r="H3928" s="78" t="n"/>
      <c r="I3928" s="78" t="n"/>
      <c r="J3928" s="78" t="n"/>
    </row>
    <row r="3929">
      <c r="A3929" s="84">
        <f>ROW()-6</f>
        <v/>
      </c>
      <c r="B3929" s="85">
        <f>+MATCH(D3929,ARTICULOS!$F$10:$F$699,0)</f>
        <v/>
      </c>
      <c r="C3929" s="86">
        <f>+VLOOKUP(B3929,ARTICULOS!$D$10:$I$699,6)</f>
        <v/>
      </c>
      <c r="D3929" s="212" t="n"/>
      <c r="E3929" s="75">
        <f>+C3929&amp;F3929</f>
        <v/>
      </c>
      <c r="F3929" s="80" t="n"/>
      <c r="G3929" s="81" t="n"/>
      <c r="H3929" s="78" t="n"/>
      <c r="I3929" s="78" t="n"/>
      <c r="J3929" s="78" t="n"/>
    </row>
    <row r="3930">
      <c r="A3930" s="84">
        <f>ROW()-6</f>
        <v/>
      </c>
      <c r="B3930" s="85">
        <f>+MATCH(D3930,ARTICULOS!$F$10:$F$699,0)</f>
        <v/>
      </c>
      <c r="C3930" s="86">
        <f>+VLOOKUP(B3930,ARTICULOS!$D$10:$I$699,6)</f>
        <v/>
      </c>
      <c r="D3930" s="212" t="n"/>
      <c r="E3930" s="75">
        <f>+C3930&amp;F3930</f>
        <v/>
      </c>
      <c r="F3930" s="80" t="n"/>
      <c r="G3930" s="81" t="n"/>
      <c r="H3930" s="78" t="n"/>
      <c r="I3930" s="78" t="n"/>
      <c r="J3930" s="78" t="n"/>
    </row>
    <row r="3931">
      <c r="A3931" s="84">
        <f>ROW()-6</f>
        <v/>
      </c>
      <c r="B3931" s="85">
        <f>+MATCH(D3931,ARTICULOS!$F$10:$F$699,0)</f>
        <v/>
      </c>
      <c r="C3931" s="86">
        <f>+VLOOKUP(B3931,ARTICULOS!$D$10:$I$699,6)</f>
        <v/>
      </c>
      <c r="D3931" s="212" t="n"/>
      <c r="E3931" s="75">
        <f>+C3931&amp;F3931</f>
        <v/>
      </c>
      <c r="F3931" s="80" t="n"/>
      <c r="G3931" s="81" t="n"/>
      <c r="H3931" s="78" t="n"/>
      <c r="I3931" s="78" t="n"/>
      <c r="J3931" s="78" t="n"/>
    </row>
    <row r="3932">
      <c r="A3932" s="84">
        <f>ROW()-6</f>
        <v/>
      </c>
      <c r="B3932" s="85">
        <f>+MATCH(D3932,ARTICULOS!$F$10:$F$699,0)</f>
        <v/>
      </c>
      <c r="C3932" s="86">
        <f>+VLOOKUP(B3932,ARTICULOS!$D$10:$I$699,6)</f>
        <v/>
      </c>
      <c r="D3932" s="212" t="n"/>
      <c r="E3932" s="75">
        <f>+C3932&amp;F3932</f>
        <v/>
      </c>
      <c r="F3932" s="80" t="n"/>
      <c r="G3932" s="81" t="n"/>
      <c r="H3932" s="78" t="n"/>
      <c r="I3932" s="78" t="n"/>
      <c r="J3932" s="78" t="n"/>
    </row>
    <row r="3933">
      <c r="A3933" s="84">
        <f>ROW()-6</f>
        <v/>
      </c>
      <c r="B3933" s="85">
        <f>+MATCH(D3933,ARTICULOS!$F$10:$F$699,0)</f>
        <v/>
      </c>
      <c r="C3933" s="86">
        <f>+VLOOKUP(B3933,ARTICULOS!$D$10:$I$699,6)</f>
        <v/>
      </c>
      <c r="D3933" s="212" t="n"/>
      <c r="E3933" s="75">
        <f>+C3933&amp;F3933</f>
        <v/>
      </c>
      <c r="F3933" s="80" t="n"/>
      <c r="G3933" s="81" t="n"/>
      <c r="H3933" s="78" t="n"/>
      <c r="I3933" s="78" t="n"/>
      <c r="J3933" s="78" t="n"/>
    </row>
    <row r="3934">
      <c r="A3934" s="84">
        <f>ROW()-6</f>
        <v/>
      </c>
      <c r="B3934" s="85">
        <f>+MATCH(D3934,ARTICULOS!$F$10:$F$699,0)</f>
        <v/>
      </c>
      <c r="C3934" s="86">
        <f>+VLOOKUP(B3934,ARTICULOS!$D$10:$I$699,6)</f>
        <v/>
      </c>
      <c r="D3934" s="212" t="n"/>
      <c r="E3934" s="75">
        <f>+C3934&amp;F3934</f>
        <v/>
      </c>
      <c r="F3934" s="80" t="n"/>
      <c r="G3934" s="81" t="n"/>
      <c r="H3934" s="78" t="n"/>
      <c r="I3934" s="78" t="n"/>
      <c r="J3934" s="78" t="n"/>
    </row>
    <row r="3935">
      <c r="A3935" s="84">
        <f>ROW()-6</f>
        <v/>
      </c>
      <c r="B3935" s="85">
        <f>+MATCH(D3935,ARTICULOS!$F$10:$F$699,0)</f>
        <v/>
      </c>
      <c r="C3935" s="86">
        <f>+VLOOKUP(B3935,ARTICULOS!$D$10:$I$699,6)</f>
        <v/>
      </c>
      <c r="D3935" s="212" t="n"/>
      <c r="E3935" s="75">
        <f>+C3935&amp;F3935</f>
        <v/>
      </c>
      <c r="F3935" s="80" t="n"/>
      <c r="G3935" s="81" t="n"/>
      <c r="H3935" s="78" t="n"/>
      <c r="I3935" s="78" t="n"/>
      <c r="J3935" s="78" t="n"/>
    </row>
    <row r="3936">
      <c r="A3936" s="84">
        <f>ROW()-6</f>
        <v/>
      </c>
      <c r="B3936" s="85">
        <f>+MATCH(D3936,ARTICULOS!$F$10:$F$699,0)</f>
        <v/>
      </c>
      <c r="C3936" s="86">
        <f>+VLOOKUP(B3936,ARTICULOS!$D$10:$I$699,6)</f>
        <v/>
      </c>
      <c r="D3936" s="212" t="n"/>
      <c r="E3936" s="75">
        <f>+C3936&amp;F3936</f>
        <v/>
      </c>
      <c r="F3936" s="80" t="n"/>
      <c r="G3936" s="81" t="n"/>
      <c r="H3936" s="78" t="n"/>
      <c r="I3936" s="78" t="n"/>
      <c r="J3936" s="78" t="n"/>
    </row>
    <row r="3937">
      <c r="A3937" s="84">
        <f>ROW()-6</f>
        <v/>
      </c>
      <c r="B3937" s="85">
        <f>+MATCH(D3937,ARTICULOS!$F$10:$F$699,0)</f>
        <v/>
      </c>
      <c r="C3937" s="86">
        <f>+VLOOKUP(B3937,ARTICULOS!$D$10:$I$699,6)</f>
        <v/>
      </c>
      <c r="D3937" s="212" t="n"/>
      <c r="E3937" s="75">
        <f>+C3937&amp;F3937</f>
        <v/>
      </c>
      <c r="F3937" s="80" t="n"/>
      <c r="G3937" s="81" t="n"/>
      <c r="H3937" s="78" t="n"/>
      <c r="I3937" s="78" t="n"/>
      <c r="J3937" s="78" t="n"/>
    </row>
    <row r="3938">
      <c r="A3938" s="84">
        <f>ROW()-6</f>
        <v/>
      </c>
      <c r="B3938" s="85">
        <f>+MATCH(D3938,ARTICULOS!$F$10:$F$699,0)</f>
        <v/>
      </c>
      <c r="C3938" s="86">
        <f>+VLOOKUP(B3938,ARTICULOS!$D$10:$I$699,6)</f>
        <v/>
      </c>
      <c r="D3938" s="212" t="n"/>
      <c r="E3938" s="75">
        <f>+C3938&amp;F3938</f>
        <v/>
      </c>
      <c r="F3938" s="80" t="n"/>
      <c r="G3938" s="81" t="n"/>
      <c r="H3938" s="78" t="n"/>
      <c r="I3938" s="78" t="n"/>
      <c r="J3938" s="78" t="n"/>
    </row>
    <row r="3939">
      <c r="A3939" s="84">
        <f>ROW()-6</f>
        <v/>
      </c>
      <c r="B3939" s="85">
        <f>+MATCH(D3939,ARTICULOS!$F$10:$F$699,0)</f>
        <v/>
      </c>
      <c r="C3939" s="86">
        <f>+VLOOKUP(B3939,ARTICULOS!$D$10:$I$699,6)</f>
        <v/>
      </c>
      <c r="D3939" s="212" t="n"/>
      <c r="E3939" s="75">
        <f>+C3939&amp;F3939</f>
        <v/>
      </c>
      <c r="F3939" s="80" t="n"/>
      <c r="G3939" s="81" t="n"/>
      <c r="H3939" s="78" t="n"/>
      <c r="I3939" s="78" t="n"/>
      <c r="J3939" s="78" t="n"/>
    </row>
    <row r="3940">
      <c r="A3940" s="84">
        <f>ROW()-6</f>
        <v/>
      </c>
      <c r="B3940" s="85">
        <f>+MATCH(D3940,ARTICULOS!$F$10:$F$699,0)</f>
        <v/>
      </c>
      <c r="C3940" s="86">
        <f>+VLOOKUP(B3940,ARTICULOS!$D$10:$I$699,6)</f>
        <v/>
      </c>
      <c r="D3940" s="212" t="n"/>
      <c r="E3940" s="75">
        <f>+C3940&amp;F3940</f>
        <v/>
      </c>
      <c r="F3940" s="80" t="n"/>
      <c r="G3940" s="81" t="n"/>
      <c r="H3940" s="78" t="n"/>
      <c r="I3940" s="78" t="n"/>
      <c r="J3940" s="78" t="n"/>
    </row>
    <row r="3941">
      <c r="A3941" s="84">
        <f>ROW()-6</f>
        <v/>
      </c>
      <c r="B3941" s="85">
        <f>+MATCH(D3941,ARTICULOS!$F$10:$F$699,0)</f>
        <v/>
      </c>
      <c r="C3941" s="86">
        <f>+VLOOKUP(B3941,ARTICULOS!$D$10:$I$699,6)</f>
        <v/>
      </c>
      <c r="D3941" s="212" t="n"/>
      <c r="E3941" s="75">
        <f>+C3941&amp;F3941</f>
        <v/>
      </c>
      <c r="F3941" s="80" t="n"/>
      <c r="G3941" s="81" t="n"/>
      <c r="H3941" s="78" t="n"/>
      <c r="I3941" s="78" t="n"/>
      <c r="J3941" s="78" t="n"/>
    </row>
    <row r="3942">
      <c r="A3942" s="84">
        <f>ROW()-6</f>
        <v/>
      </c>
      <c r="B3942" s="85">
        <f>+MATCH(D3942,ARTICULOS!$F$10:$F$699,0)</f>
        <v/>
      </c>
      <c r="C3942" s="86">
        <f>+VLOOKUP(B3942,ARTICULOS!$D$10:$I$699,6)</f>
        <v/>
      </c>
      <c r="D3942" s="212" t="n"/>
      <c r="E3942" s="75">
        <f>+C3942&amp;F3942</f>
        <v/>
      </c>
      <c r="F3942" s="80" t="n"/>
      <c r="G3942" s="81" t="n"/>
      <c r="H3942" s="78" t="n"/>
      <c r="I3942" s="78" t="n"/>
      <c r="J3942" s="78" t="n"/>
    </row>
    <row r="3943">
      <c r="A3943" s="84">
        <f>ROW()-6</f>
        <v/>
      </c>
      <c r="B3943" s="85">
        <f>+MATCH(D3943,ARTICULOS!$F$10:$F$699,0)</f>
        <v/>
      </c>
      <c r="C3943" s="86">
        <f>+VLOOKUP(B3943,ARTICULOS!$D$10:$I$699,6)</f>
        <v/>
      </c>
      <c r="D3943" s="212" t="n"/>
      <c r="E3943" s="75">
        <f>+C3943&amp;F3943</f>
        <v/>
      </c>
      <c r="F3943" s="80" t="n"/>
      <c r="G3943" s="81" t="n"/>
      <c r="H3943" s="78" t="n"/>
      <c r="I3943" s="78" t="n"/>
      <c r="J3943" s="78" t="n"/>
    </row>
    <row r="3944">
      <c r="A3944" s="84">
        <f>ROW()-6</f>
        <v/>
      </c>
      <c r="B3944" s="85">
        <f>+MATCH(D3944,ARTICULOS!$F$10:$F$699,0)</f>
        <v/>
      </c>
      <c r="C3944" s="86">
        <f>+VLOOKUP(B3944,ARTICULOS!$D$10:$I$699,6)</f>
        <v/>
      </c>
      <c r="D3944" s="212" t="n"/>
      <c r="E3944" s="75">
        <f>+C3944&amp;F3944</f>
        <v/>
      </c>
      <c r="F3944" s="80" t="n"/>
      <c r="G3944" s="81" t="n"/>
      <c r="H3944" s="78" t="n"/>
      <c r="I3944" s="78" t="n"/>
      <c r="J3944" s="78" t="n"/>
    </row>
    <row r="3945">
      <c r="A3945" s="84">
        <f>ROW()-6</f>
        <v/>
      </c>
      <c r="B3945" s="85">
        <f>+MATCH(D3945,ARTICULOS!$F$10:$F$699,0)</f>
        <v/>
      </c>
      <c r="C3945" s="86">
        <f>+VLOOKUP(B3945,ARTICULOS!$D$10:$I$699,6)</f>
        <v/>
      </c>
      <c r="D3945" s="212" t="n"/>
      <c r="E3945" s="75">
        <f>+C3945&amp;F3945</f>
        <v/>
      </c>
      <c r="F3945" s="80" t="n"/>
      <c r="G3945" s="81" t="n"/>
      <c r="H3945" s="78" t="n"/>
      <c r="I3945" s="78" t="n"/>
      <c r="J3945" s="78" t="n"/>
    </row>
    <row r="3946">
      <c r="A3946" s="84">
        <f>ROW()-6</f>
        <v/>
      </c>
      <c r="B3946" s="85">
        <f>+MATCH(D3946,ARTICULOS!$F$10:$F$699,0)</f>
        <v/>
      </c>
      <c r="C3946" s="86">
        <f>+VLOOKUP(B3946,ARTICULOS!$D$10:$I$699,6)</f>
        <v/>
      </c>
      <c r="D3946" s="212" t="n"/>
      <c r="E3946" s="75">
        <f>+C3946&amp;F3946</f>
        <v/>
      </c>
      <c r="F3946" s="80" t="n"/>
      <c r="G3946" s="81" t="n"/>
      <c r="H3946" s="78" t="n"/>
      <c r="I3946" s="78" t="n"/>
      <c r="J3946" s="78" t="n"/>
    </row>
    <row r="3947">
      <c r="A3947" s="84">
        <f>ROW()-6</f>
        <v/>
      </c>
      <c r="B3947" s="85">
        <f>+MATCH(D3947,ARTICULOS!$F$10:$F$699,0)</f>
        <v/>
      </c>
      <c r="C3947" s="86">
        <f>+VLOOKUP(B3947,ARTICULOS!$D$10:$I$699,6)</f>
        <v/>
      </c>
      <c r="D3947" s="212" t="n"/>
      <c r="E3947" s="75">
        <f>+C3947&amp;F3947</f>
        <v/>
      </c>
      <c r="F3947" s="80" t="n"/>
      <c r="G3947" s="81" t="n"/>
      <c r="H3947" s="78" t="n"/>
      <c r="I3947" s="78" t="n"/>
      <c r="J3947" s="78" t="n"/>
    </row>
    <row r="3948">
      <c r="A3948" s="84">
        <f>ROW()-6</f>
        <v/>
      </c>
      <c r="B3948" s="85">
        <f>+MATCH(D3948,ARTICULOS!$F$10:$F$699,0)</f>
        <v/>
      </c>
      <c r="C3948" s="86">
        <f>+VLOOKUP(B3948,ARTICULOS!$D$10:$I$699,6)</f>
        <v/>
      </c>
      <c r="D3948" s="212" t="n"/>
      <c r="E3948" s="75">
        <f>+C3948&amp;F3948</f>
        <v/>
      </c>
      <c r="F3948" s="80" t="n"/>
      <c r="G3948" s="81" t="n"/>
      <c r="H3948" s="78" t="n"/>
      <c r="I3948" s="78" t="n"/>
      <c r="J3948" s="78" t="n"/>
    </row>
    <row r="3949">
      <c r="A3949" s="84">
        <f>ROW()-6</f>
        <v/>
      </c>
      <c r="B3949" s="85">
        <f>+MATCH(D3949,ARTICULOS!$F$10:$F$699,0)</f>
        <v/>
      </c>
      <c r="C3949" s="86">
        <f>+VLOOKUP(B3949,ARTICULOS!$D$10:$I$699,6)</f>
        <v/>
      </c>
      <c r="D3949" s="212" t="n"/>
      <c r="E3949" s="75">
        <f>+C3949&amp;F3949</f>
        <v/>
      </c>
      <c r="F3949" s="80" t="n"/>
      <c r="G3949" s="81" t="n"/>
      <c r="H3949" s="78" t="n"/>
      <c r="I3949" s="78" t="n"/>
      <c r="J3949" s="78" t="n"/>
    </row>
    <row r="3950">
      <c r="A3950" s="84">
        <f>ROW()-6</f>
        <v/>
      </c>
      <c r="B3950" s="85">
        <f>+MATCH(D3950,ARTICULOS!$F$10:$F$699,0)</f>
        <v/>
      </c>
      <c r="C3950" s="86">
        <f>+VLOOKUP(B3950,ARTICULOS!$D$10:$I$699,6)</f>
        <v/>
      </c>
      <c r="D3950" s="212" t="n"/>
      <c r="E3950" s="75">
        <f>+C3950&amp;F3950</f>
        <v/>
      </c>
      <c r="F3950" s="80" t="n"/>
      <c r="G3950" s="81" t="n"/>
      <c r="H3950" s="78" t="n"/>
      <c r="I3950" s="78" t="n"/>
      <c r="J3950" s="78" t="n"/>
    </row>
    <row r="3951">
      <c r="A3951" s="84">
        <f>ROW()-6</f>
        <v/>
      </c>
      <c r="B3951" s="85">
        <f>+MATCH(D3951,ARTICULOS!$F$10:$F$699,0)</f>
        <v/>
      </c>
      <c r="C3951" s="86">
        <f>+VLOOKUP(B3951,ARTICULOS!$D$10:$I$699,6)</f>
        <v/>
      </c>
      <c r="D3951" s="212" t="n"/>
      <c r="E3951" s="75">
        <f>+C3951&amp;F3951</f>
        <v/>
      </c>
      <c r="F3951" s="80" t="n"/>
      <c r="G3951" s="81" t="n"/>
      <c r="H3951" s="78" t="n"/>
      <c r="I3951" s="78" t="n"/>
      <c r="J3951" s="78" t="n"/>
    </row>
    <row r="3952">
      <c r="A3952" s="84">
        <f>ROW()-6</f>
        <v/>
      </c>
      <c r="B3952" s="85">
        <f>+MATCH(D3952,ARTICULOS!$F$10:$F$699,0)</f>
        <v/>
      </c>
      <c r="C3952" s="86">
        <f>+VLOOKUP(B3952,ARTICULOS!$D$10:$I$699,6)</f>
        <v/>
      </c>
      <c r="D3952" s="212" t="n"/>
      <c r="E3952" s="75">
        <f>+C3952&amp;F3952</f>
        <v/>
      </c>
      <c r="F3952" s="80" t="n"/>
      <c r="G3952" s="81" t="n"/>
      <c r="H3952" s="78" t="n"/>
      <c r="I3952" s="78" t="n"/>
      <c r="J3952" s="78" t="n"/>
    </row>
    <row r="3953">
      <c r="A3953" s="84">
        <f>ROW()-6</f>
        <v/>
      </c>
      <c r="B3953" s="85">
        <f>+MATCH(D3953,ARTICULOS!$F$10:$F$699,0)</f>
        <v/>
      </c>
      <c r="C3953" s="86">
        <f>+VLOOKUP(B3953,ARTICULOS!$D$10:$I$699,6)</f>
        <v/>
      </c>
      <c r="D3953" s="212" t="n"/>
      <c r="E3953" s="75">
        <f>+C3953&amp;F3953</f>
        <v/>
      </c>
      <c r="F3953" s="80" t="n"/>
      <c r="G3953" s="81" t="n"/>
      <c r="H3953" s="78" t="n"/>
      <c r="I3953" s="78" t="n"/>
      <c r="J3953" s="78" t="n"/>
    </row>
    <row r="3954">
      <c r="A3954" s="84">
        <f>ROW()-6</f>
        <v/>
      </c>
      <c r="B3954" s="85">
        <f>+MATCH(D3954,ARTICULOS!$F$10:$F$699,0)</f>
        <v/>
      </c>
      <c r="C3954" s="86">
        <f>+VLOOKUP(B3954,ARTICULOS!$D$10:$I$699,6)</f>
        <v/>
      </c>
      <c r="D3954" s="212" t="n"/>
      <c r="E3954" s="75">
        <f>+C3954&amp;F3954</f>
        <v/>
      </c>
      <c r="F3954" s="80" t="n"/>
      <c r="G3954" s="81" t="n"/>
      <c r="H3954" s="78" t="n"/>
      <c r="I3954" s="78" t="n"/>
      <c r="J3954" s="78" t="n"/>
    </row>
    <row r="3955">
      <c r="A3955" s="84">
        <f>ROW()-6</f>
        <v/>
      </c>
      <c r="B3955" s="85">
        <f>+MATCH(D3955,ARTICULOS!$F$10:$F$699,0)</f>
        <v/>
      </c>
      <c r="C3955" s="86">
        <f>+VLOOKUP(B3955,ARTICULOS!$D$10:$I$699,6)</f>
        <v/>
      </c>
      <c r="D3955" s="212" t="n"/>
      <c r="E3955" s="75">
        <f>+C3955&amp;F3955</f>
        <v/>
      </c>
      <c r="F3955" s="80" t="n"/>
      <c r="G3955" s="81" t="n"/>
      <c r="H3955" s="78" t="n"/>
      <c r="I3955" s="78" t="n"/>
      <c r="J3955" s="78" t="n"/>
    </row>
    <row r="3956">
      <c r="A3956" s="84">
        <f>ROW()-6</f>
        <v/>
      </c>
      <c r="B3956" s="85">
        <f>+MATCH(D3956,ARTICULOS!$F$10:$F$699,0)</f>
        <v/>
      </c>
      <c r="C3956" s="86">
        <f>+VLOOKUP(B3956,ARTICULOS!$D$10:$I$699,6)</f>
        <v/>
      </c>
      <c r="D3956" s="212" t="n"/>
      <c r="E3956" s="75">
        <f>+C3956&amp;F3956</f>
        <v/>
      </c>
      <c r="F3956" s="80" t="n"/>
      <c r="G3956" s="81" t="n"/>
      <c r="H3956" s="78" t="n"/>
      <c r="I3956" s="78" t="n"/>
      <c r="J3956" s="78" t="n"/>
    </row>
    <row r="3957">
      <c r="A3957" s="84">
        <f>ROW()-6</f>
        <v/>
      </c>
      <c r="B3957" s="85">
        <f>+MATCH(D3957,ARTICULOS!$F$10:$F$699,0)</f>
        <v/>
      </c>
      <c r="C3957" s="86">
        <f>+VLOOKUP(B3957,ARTICULOS!$D$10:$I$699,6)</f>
        <v/>
      </c>
      <c r="D3957" s="212" t="n"/>
      <c r="E3957" s="75">
        <f>+C3957&amp;F3957</f>
        <v/>
      </c>
      <c r="F3957" s="80" t="n"/>
      <c r="G3957" s="81" t="n"/>
      <c r="H3957" s="78" t="n"/>
      <c r="I3957" s="78" t="n"/>
      <c r="J3957" s="78" t="n"/>
    </row>
    <row r="3958">
      <c r="A3958" s="84">
        <f>ROW()-6</f>
        <v/>
      </c>
      <c r="B3958" s="85">
        <f>+MATCH(D3958,ARTICULOS!$F$10:$F$699,0)</f>
        <v/>
      </c>
      <c r="C3958" s="86">
        <f>+VLOOKUP(B3958,ARTICULOS!$D$10:$I$699,6)</f>
        <v/>
      </c>
      <c r="D3958" s="212" t="n"/>
      <c r="E3958" s="75">
        <f>+C3958&amp;F3958</f>
        <v/>
      </c>
      <c r="F3958" s="80" t="n"/>
      <c r="G3958" s="81" t="n"/>
      <c r="H3958" s="78" t="n"/>
      <c r="I3958" s="78" t="n"/>
      <c r="J3958" s="78" t="n"/>
    </row>
    <row r="3959">
      <c r="A3959" s="84">
        <f>ROW()-6</f>
        <v/>
      </c>
      <c r="B3959" s="85">
        <f>+MATCH(D3959,ARTICULOS!$F$10:$F$699,0)</f>
        <v/>
      </c>
      <c r="C3959" s="86">
        <f>+VLOOKUP(B3959,ARTICULOS!$D$10:$I$699,6)</f>
        <v/>
      </c>
      <c r="D3959" s="212" t="n"/>
      <c r="E3959" s="75">
        <f>+C3959&amp;F3959</f>
        <v/>
      </c>
      <c r="F3959" s="80" t="n"/>
      <c r="G3959" s="81" t="n"/>
      <c r="H3959" s="78" t="n"/>
      <c r="I3959" s="78" t="n"/>
      <c r="J3959" s="78" t="n"/>
    </row>
    <row r="3960">
      <c r="A3960" s="84">
        <f>ROW()-6</f>
        <v/>
      </c>
      <c r="B3960" s="85">
        <f>+MATCH(D3960,ARTICULOS!$F$10:$F$699,0)</f>
        <v/>
      </c>
      <c r="C3960" s="86">
        <f>+VLOOKUP(B3960,ARTICULOS!$D$10:$I$699,6)</f>
        <v/>
      </c>
      <c r="D3960" s="212" t="n"/>
      <c r="E3960" s="75">
        <f>+C3960&amp;F3960</f>
        <v/>
      </c>
      <c r="F3960" s="80" t="n"/>
      <c r="G3960" s="81" t="n"/>
      <c r="H3960" s="78" t="n"/>
      <c r="I3960" s="78" t="n"/>
      <c r="J3960" s="78" t="n"/>
    </row>
    <row r="3961">
      <c r="A3961" s="84">
        <f>ROW()-6</f>
        <v/>
      </c>
      <c r="B3961" s="85">
        <f>+MATCH(D3961,ARTICULOS!$F$10:$F$699,0)</f>
        <v/>
      </c>
      <c r="C3961" s="86">
        <f>+VLOOKUP(B3961,ARTICULOS!$D$10:$I$699,6)</f>
        <v/>
      </c>
      <c r="D3961" s="212" t="n"/>
      <c r="E3961" s="75">
        <f>+C3961&amp;F3961</f>
        <v/>
      </c>
      <c r="F3961" s="80" t="n"/>
      <c r="G3961" s="81" t="n"/>
      <c r="H3961" s="78" t="n"/>
      <c r="I3961" s="78" t="n"/>
      <c r="J3961" s="78" t="n"/>
    </row>
    <row r="3962">
      <c r="A3962" s="84">
        <f>ROW()-6</f>
        <v/>
      </c>
      <c r="B3962" s="85">
        <f>+MATCH(D3962,ARTICULOS!$F$10:$F$699,0)</f>
        <v/>
      </c>
      <c r="C3962" s="86">
        <f>+VLOOKUP(B3962,ARTICULOS!$D$10:$I$699,6)</f>
        <v/>
      </c>
      <c r="D3962" s="212" t="n"/>
      <c r="E3962" s="75">
        <f>+C3962&amp;F3962</f>
        <v/>
      </c>
      <c r="F3962" s="80" t="n"/>
      <c r="G3962" s="81" t="n"/>
      <c r="H3962" s="78" t="n"/>
      <c r="I3962" s="78" t="n"/>
      <c r="J3962" s="78" t="n"/>
    </row>
    <row r="3963">
      <c r="A3963" s="84">
        <f>ROW()-6</f>
        <v/>
      </c>
      <c r="B3963" s="85">
        <f>+MATCH(D3963,ARTICULOS!$F$10:$F$699,0)</f>
        <v/>
      </c>
      <c r="C3963" s="86">
        <f>+VLOOKUP(B3963,ARTICULOS!$D$10:$I$699,6)</f>
        <v/>
      </c>
      <c r="D3963" s="212" t="n"/>
      <c r="E3963" s="75">
        <f>+C3963&amp;F3963</f>
        <v/>
      </c>
      <c r="F3963" s="80" t="n"/>
      <c r="G3963" s="81" t="n"/>
      <c r="H3963" s="78" t="n"/>
      <c r="I3963" s="78" t="n"/>
      <c r="J3963" s="78" t="n"/>
    </row>
    <row r="3964">
      <c r="A3964" s="84">
        <f>ROW()-6</f>
        <v/>
      </c>
      <c r="B3964" s="85">
        <f>+MATCH(D3964,ARTICULOS!$F$10:$F$699,0)</f>
        <v/>
      </c>
      <c r="C3964" s="86">
        <f>+VLOOKUP(B3964,ARTICULOS!$D$10:$I$699,6)</f>
        <v/>
      </c>
      <c r="D3964" s="212" t="n"/>
      <c r="E3964" s="75">
        <f>+C3964&amp;F3964</f>
        <v/>
      </c>
      <c r="F3964" s="80" t="n"/>
      <c r="G3964" s="81" t="n"/>
      <c r="H3964" s="78" t="n"/>
      <c r="I3964" s="78" t="n"/>
      <c r="J3964" s="78" t="n"/>
    </row>
    <row r="3965">
      <c r="A3965" s="84">
        <f>ROW()-6</f>
        <v/>
      </c>
      <c r="B3965" s="85">
        <f>+MATCH(D3965,ARTICULOS!$F$10:$F$699,0)</f>
        <v/>
      </c>
      <c r="C3965" s="86">
        <f>+VLOOKUP(B3965,ARTICULOS!$D$10:$I$699,6)</f>
        <v/>
      </c>
      <c r="D3965" s="212" t="n"/>
      <c r="E3965" s="75">
        <f>+C3965&amp;F3965</f>
        <v/>
      </c>
      <c r="F3965" s="80" t="n"/>
      <c r="G3965" s="81" t="n"/>
      <c r="H3965" s="78" t="n"/>
      <c r="I3965" s="78" t="n"/>
      <c r="J3965" s="78" t="n"/>
    </row>
    <row r="3966">
      <c r="A3966" s="84">
        <f>ROW()-6</f>
        <v/>
      </c>
      <c r="B3966" s="85">
        <f>+MATCH(D3966,ARTICULOS!$F$10:$F$699,0)</f>
        <v/>
      </c>
      <c r="C3966" s="86">
        <f>+VLOOKUP(B3966,ARTICULOS!$D$10:$I$699,6)</f>
        <v/>
      </c>
      <c r="D3966" s="212" t="n"/>
      <c r="E3966" s="75">
        <f>+C3966&amp;F3966</f>
        <v/>
      </c>
      <c r="F3966" s="80" t="n"/>
      <c r="G3966" s="81" t="n"/>
      <c r="H3966" s="78" t="n"/>
      <c r="I3966" s="78" t="n"/>
      <c r="J3966" s="78" t="n"/>
    </row>
    <row r="3967">
      <c r="A3967" s="84">
        <f>ROW()-6</f>
        <v/>
      </c>
      <c r="B3967" s="85">
        <f>+MATCH(D3967,ARTICULOS!$F$10:$F$699,0)</f>
        <v/>
      </c>
      <c r="C3967" s="86">
        <f>+VLOOKUP(B3967,ARTICULOS!$D$10:$I$699,6)</f>
        <v/>
      </c>
      <c r="D3967" s="212" t="n"/>
      <c r="E3967" s="75">
        <f>+C3967&amp;F3967</f>
        <v/>
      </c>
      <c r="F3967" s="80" t="n"/>
      <c r="G3967" s="81" t="n"/>
      <c r="H3967" s="78" t="n"/>
      <c r="I3967" s="78" t="n"/>
      <c r="J3967" s="78" t="n"/>
    </row>
    <row r="3968">
      <c r="A3968" s="84">
        <f>ROW()-6</f>
        <v/>
      </c>
      <c r="B3968" s="85">
        <f>+MATCH(D3968,ARTICULOS!$F$10:$F$699,0)</f>
        <v/>
      </c>
      <c r="C3968" s="86">
        <f>+VLOOKUP(B3968,ARTICULOS!$D$10:$I$699,6)</f>
        <v/>
      </c>
      <c r="D3968" s="212" t="n"/>
      <c r="E3968" s="75">
        <f>+C3968&amp;F3968</f>
        <v/>
      </c>
      <c r="F3968" s="80" t="n"/>
      <c r="G3968" s="81" t="n"/>
      <c r="H3968" s="78" t="n"/>
      <c r="I3968" s="78" t="n"/>
      <c r="J3968" s="78" t="n"/>
    </row>
    <row r="3969">
      <c r="A3969" s="84">
        <f>ROW()-6</f>
        <v/>
      </c>
      <c r="B3969" s="85">
        <f>+MATCH(D3969,ARTICULOS!$F$10:$F$699,0)</f>
        <v/>
      </c>
      <c r="C3969" s="86">
        <f>+VLOOKUP(B3969,ARTICULOS!$D$10:$I$699,6)</f>
        <v/>
      </c>
      <c r="D3969" s="212" t="n"/>
      <c r="E3969" s="75">
        <f>+C3969&amp;F3969</f>
        <v/>
      </c>
      <c r="F3969" s="80" t="n"/>
      <c r="G3969" s="81" t="n"/>
      <c r="H3969" s="78" t="n"/>
      <c r="I3969" s="78" t="n"/>
      <c r="J3969" s="78" t="n"/>
    </row>
    <row r="3970">
      <c r="A3970" s="84">
        <f>ROW()-6</f>
        <v/>
      </c>
      <c r="B3970" s="85">
        <f>+MATCH(D3970,ARTICULOS!$F$10:$F$699,0)</f>
        <v/>
      </c>
      <c r="C3970" s="86">
        <f>+VLOOKUP(B3970,ARTICULOS!$D$10:$I$699,6)</f>
        <v/>
      </c>
      <c r="D3970" s="212" t="n"/>
      <c r="E3970" s="75">
        <f>+C3970&amp;F3970</f>
        <v/>
      </c>
      <c r="F3970" s="80" t="n"/>
      <c r="G3970" s="81" t="n"/>
      <c r="H3970" s="78" t="n"/>
      <c r="I3970" s="78" t="n"/>
      <c r="J3970" s="78" t="n"/>
    </row>
    <row r="3971">
      <c r="A3971" s="84">
        <f>ROW()-6</f>
        <v/>
      </c>
      <c r="B3971" s="85">
        <f>+MATCH(D3971,ARTICULOS!$F$10:$F$699,0)</f>
        <v/>
      </c>
      <c r="C3971" s="86">
        <f>+VLOOKUP(B3971,ARTICULOS!$D$10:$I$699,6)</f>
        <v/>
      </c>
      <c r="D3971" s="212" t="n"/>
      <c r="E3971" s="75">
        <f>+C3971&amp;F3971</f>
        <v/>
      </c>
      <c r="F3971" s="80" t="n"/>
      <c r="G3971" s="81" t="n"/>
      <c r="H3971" s="78" t="n"/>
      <c r="I3971" s="78" t="n"/>
      <c r="J3971" s="78" t="n"/>
    </row>
    <row r="3972">
      <c r="A3972" s="84">
        <f>ROW()-6</f>
        <v/>
      </c>
      <c r="B3972" s="85">
        <f>+MATCH(D3972,ARTICULOS!$F$10:$F$699,0)</f>
        <v/>
      </c>
      <c r="C3972" s="86">
        <f>+VLOOKUP(B3972,ARTICULOS!$D$10:$I$699,6)</f>
        <v/>
      </c>
      <c r="D3972" s="212" t="n"/>
      <c r="E3972" s="75">
        <f>+C3972&amp;F3972</f>
        <v/>
      </c>
      <c r="F3972" s="80" t="n"/>
      <c r="G3972" s="81" t="n"/>
      <c r="H3972" s="78" t="n"/>
      <c r="I3972" s="78" t="n"/>
      <c r="J3972" s="78" t="n"/>
    </row>
    <row r="3973">
      <c r="A3973" s="84">
        <f>ROW()-6</f>
        <v/>
      </c>
      <c r="B3973" s="85">
        <f>+MATCH(D3973,ARTICULOS!$F$10:$F$699,0)</f>
        <v/>
      </c>
      <c r="C3973" s="86">
        <f>+VLOOKUP(B3973,ARTICULOS!$D$10:$I$699,6)</f>
        <v/>
      </c>
      <c r="D3973" s="212" t="n"/>
      <c r="E3973" s="75">
        <f>+C3973&amp;F3973</f>
        <v/>
      </c>
      <c r="F3973" s="80" t="n"/>
      <c r="G3973" s="81" t="n"/>
      <c r="H3973" s="78" t="n"/>
      <c r="I3973" s="78" t="n"/>
      <c r="J3973" s="78" t="n"/>
    </row>
    <row r="3974">
      <c r="A3974" s="84">
        <f>ROW()-6</f>
        <v/>
      </c>
      <c r="B3974" s="85">
        <f>+MATCH(D3974,ARTICULOS!$F$10:$F$699,0)</f>
        <v/>
      </c>
      <c r="C3974" s="86">
        <f>+VLOOKUP(B3974,ARTICULOS!$D$10:$I$699,6)</f>
        <v/>
      </c>
      <c r="D3974" s="212" t="n"/>
      <c r="E3974" s="75">
        <f>+C3974&amp;F3974</f>
        <v/>
      </c>
      <c r="F3974" s="80" t="n"/>
      <c r="G3974" s="81" t="n"/>
      <c r="H3974" s="78" t="n"/>
      <c r="I3974" s="78" t="n"/>
      <c r="J3974" s="78" t="n"/>
    </row>
    <row r="3975">
      <c r="A3975" s="84">
        <f>ROW()-6</f>
        <v/>
      </c>
      <c r="B3975" s="85">
        <f>+MATCH(D3975,ARTICULOS!$F$10:$F$699,0)</f>
        <v/>
      </c>
      <c r="C3975" s="86">
        <f>+VLOOKUP(B3975,ARTICULOS!$D$10:$I$699,6)</f>
        <v/>
      </c>
      <c r="D3975" s="212" t="n"/>
      <c r="E3975" s="75">
        <f>+C3975&amp;F3975</f>
        <v/>
      </c>
      <c r="F3975" s="80" t="n"/>
      <c r="G3975" s="81" t="n"/>
      <c r="H3975" s="78" t="n"/>
      <c r="I3975" s="78" t="n"/>
      <c r="J3975" s="78" t="n"/>
    </row>
    <row r="3976">
      <c r="A3976" s="84">
        <f>ROW()-6</f>
        <v/>
      </c>
      <c r="B3976" s="85">
        <f>+MATCH(D3976,ARTICULOS!$F$10:$F$699,0)</f>
        <v/>
      </c>
      <c r="C3976" s="86">
        <f>+VLOOKUP(B3976,ARTICULOS!$D$10:$I$699,6)</f>
        <v/>
      </c>
      <c r="D3976" s="212" t="n"/>
      <c r="E3976" s="75">
        <f>+C3976&amp;F3976</f>
        <v/>
      </c>
      <c r="F3976" s="80" t="n"/>
      <c r="G3976" s="81" t="n"/>
      <c r="H3976" s="78" t="n"/>
      <c r="I3976" s="78" t="n"/>
      <c r="J3976" s="78" t="n"/>
    </row>
    <row r="3977">
      <c r="A3977" s="84">
        <f>ROW()-6</f>
        <v/>
      </c>
      <c r="B3977" s="85">
        <f>+MATCH(D3977,ARTICULOS!$F$10:$F$699,0)</f>
        <v/>
      </c>
      <c r="C3977" s="86">
        <f>+VLOOKUP(B3977,ARTICULOS!$D$10:$I$699,6)</f>
        <v/>
      </c>
      <c r="D3977" s="212" t="n"/>
      <c r="E3977" s="75">
        <f>+C3977&amp;F3977</f>
        <v/>
      </c>
      <c r="F3977" s="80" t="n"/>
      <c r="G3977" s="81" t="n"/>
      <c r="H3977" s="78" t="n"/>
      <c r="I3977" s="78" t="n"/>
      <c r="J3977" s="78" t="n"/>
    </row>
    <row r="3978">
      <c r="A3978" s="84">
        <f>ROW()-6</f>
        <v/>
      </c>
      <c r="B3978" s="85">
        <f>+MATCH(D3978,ARTICULOS!$F$10:$F$699,0)</f>
        <v/>
      </c>
      <c r="C3978" s="86">
        <f>+VLOOKUP(B3978,ARTICULOS!$D$10:$I$699,6)</f>
        <v/>
      </c>
      <c r="D3978" s="212" t="n"/>
      <c r="E3978" s="75">
        <f>+C3978&amp;F3978</f>
        <v/>
      </c>
      <c r="F3978" s="80" t="n"/>
      <c r="G3978" s="81" t="n"/>
      <c r="H3978" s="78" t="n"/>
      <c r="I3978" s="78" t="n"/>
      <c r="J3978" s="78" t="n"/>
    </row>
    <row r="3979">
      <c r="A3979" s="84">
        <f>ROW()-6</f>
        <v/>
      </c>
      <c r="B3979" s="85">
        <f>+MATCH(D3979,ARTICULOS!$F$10:$F$699,0)</f>
        <v/>
      </c>
      <c r="C3979" s="86">
        <f>+VLOOKUP(B3979,ARTICULOS!$D$10:$I$699,6)</f>
        <v/>
      </c>
      <c r="D3979" s="212" t="n"/>
      <c r="E3979" s="75">
        <f>+C3979&amp;F3979</f>
        <v/>
      </c>
      <c r="F3979" s="80" t="n"/>
      <c r="G3979" s="81" t="n"/>
      <c r="H3979" s="78" t="n"/>
      <c r="I3979" s="78" t="n"/>
      <c r="J3979" s="78" t="n"/>
    </row>
    <row r="3980">
      <c r="A3980" s="84">
        <f>ROW()-6</f>
        <v/>
      </c>
      <c r="B3980" s="85">
        <f>+MATCH(D3980,ARTICULOS!$F$10:$F$699,0)</f>
        <v/>
      </c>
      <c r="C3980" s="86">
        <f>+VLOOKUP(B3980,ARTICULOS!$D$10:$I$699,6)</f>
        <v/>
      </c>
      <c r="D3980" s="212" t="n"/>
      <c r="E3980" s="75">
        <f>+C3980&amp;F3980</f>
        <v/>
      </c>
      <c r="F3980" s="80" t="n"/>
      <c r="G3980" s="81" t="n"/>
      <c r="H3980" s="78" t="n"/>
      <c r="I3980" s="78" t="n"/>
      <c r="J3980" s="78" t="n"/>
    </row>
    <row r="3981">
      <c r="A3981" s="84">
        <f>ROW()-6</f>
        <v/>
      </c>
      <c r="B3981" s="85">
        <f>+MATCH(D3981,ARTICULOS!$F$10:$F$699,0)</f>
        <v/>
      </c>
      <c r="C3981" s="86">
        <f>+VLOOKUP(B3981,ARTICULOS!$D$10:$I$699,6)</f>
        <v/>
      </c>
      <c r="D3981" s="212" t="n"/>
      <c r="E3981" s="75">
        <f>+C3981&amp;F3981</f>
        <v/>
      </c>
      <c r="F3981" s="80" t="n"/>
      <c r="G3981" s="81" t="n"/>
      <c r="H3981" s="78" t="n"/>
      <c r="I3981" s="78" t="n"/>
      <c r="J3981" s="78" t="n"/>
    </row>
    <row r="3982">
      <c r="A3982" s="84">
        <f>ROW()-6</f>
        <v/>
      </c>
      <c r="B3982" s="85">
        <f>+MATCH(D3982,ARTICULOS!$F$10:$F$699,0)</f>
        <v/>
      </c>
      <c r="C3982" s="86">
        <f>+VLOOKUP(B3982,ARTICULOS!$D$10:$I$699,6)</f>
        <v/>
      </c>
      <c r="D3982" s="212" t="n"/>
      <c r="E3982" s="75">
        <f>+C3982&amp;F3982</f>
        <v/>
      </c>
      <c r="F3982" s="80" t="n"/>
      <c r="G3982" s="81" t="n"/>
      <c r="H3982" s="78" t="n"/>
      <c r="I3982" s="78" t="n"/>
      <c r="J3982" s="78" t="n"/>
    </row>
    <row r="3983">
      <c r="A3983" s="84">
        <f>ROW()-6</f>
        <v/>
      </c>
      <c r="B3983" s="85">
        <f>+MATCH(D3983,ARTICULOS!$F$10:$F$699,0)</f>
        <v/>
      </c>
      <c r="C3983" s="86">
        <f>+VLOOKUP(B3983,ARTICULOS!$D$10:$I$699,6)</f>
        <v/>
      </c>
      <c r="D3983" s="212" t="n"/>
      <c r="E3983" s="75">
        <f>+C3983&amp;F3983</f>
        <v/>
      </c>
      <c r="F3983" s="80" t="n"/>
      <c r="G3983" s="81" t="n"/>
      <c r="H3983" s="78" t="n"/>
      <c r="I3983" s="78" t="n"/>
      <c r="J3983" s="78" t="n"/>
    </row>
    <row r="3984">
      <c r="A3984" s="84">
        <f>ROW()-6</f>
        <v/>
      </c>
      <c r="B3984" s="85">
        <f>+MATCH(D3984,ARTICULOS!$F$10:$F$699,0)</f>
        <v/>
      </c>
      <c r="C3984" s="86">
        <f>+VLOOKUP(B3984,ARTICULOS!$D$10:$I$699,6)</f>
        <v/>
      </c>
      <c r="D3984" s="212" t="n"/>
      <c r="E3984" s="75">
        <f>+C3984&amp;F3984</f>
        <v/>
      </c>
      <c r="F3984" s="80" t="n"/>
      <c r="G3984" s="81" t="n"/>
      <c r="H3984" s="78" t="n"/>
      <c r="I3984" s="78" t="n"/>
      <c r="J3984" s="78" t="n"/>
    </row>
    <row r="3985">
      <c r="A3985" s="84">
        <f>ROW()-6</f>
        <v/>
      </c>
      <c r="B3985" s="85">
        <f>+MATCH(D3985,ARTICULOS!$F$10:$F$699,0)</f>
        <v/>
      </c>
      <c r="C3985" s="86">
        <f>+VLOOKUP(B3985,ARTICULOS!$D$10:$I$699,6)</f>
        <v/>
      </c>
      <c r="D3985" s="212" t="n"/>
      <c r="E3985" s="75">
        <f>+C3985&amp;F3985</f>
        <v/>
      </c>
      <c r="F3985" s="80" t="n"/>
      <c r="G3985" s="81" t="n"/>
      <c r="H3985" s="78" t="n"/>
      <c r="I3985" s="78" t="n"/>
      <c r="J3985" s="78" t="n"/>
    </row>
    <row r="3986">
      <c r="A3986" s="84">
        <f>ROW()-6</f>
        <v/>
      </c>
      <c r="B3986" s="85">
        <f>+MATCH(D3986,ARTICULOS!$F$10:$F$699,0)</f>
        <v/>
      </c>
      <c r="C3986" s="86">
        <f>+VLOOKUP(B3986,ARTICULOS!$D$10:$I$699,6)</f>
        <v/>
      </c>
      <c r="D3986" s="212" t="n"/>
      <c r="E3986" s="75">
        <f>+C3986&amp;F3986</f>
        <v/>
      </c>
      <c r="F3986" s="80" t="n"/>
      <c r="G3986" s="81" t="n"/>
      <c r="H3986" s="78" t="n"/>
      <c r="I3986" s="78" t="n"/>
      <c r="J3986" s="78" t="n"/>
    </row>
    <row r="3987">
      <c r="A3987" s="84">
        <f>ROW()-6</f>
        <v/>
      </c>
      <c r="B3987" s="85">
        <f>+MATCH(D3987,ARTICULOS!$F$10:$F$699,0)</f>
        <v/>
      </c>
      <c r="C3987" s="86">
        <f>+VLOOKUP(B3987,ARTICULOS!$D$10:$I$699,6)</f>
        <v/>
      </c>
      <c r="D3987" s="212" t="n"/>
      <c r="E3987" s="75">
        <f>+C3987&amp;F3987</f>
        <v/>
      </c>
      <c r="F3987" s="80" t="n"/>
      <c r="G3987" s="81" t="n"/>
      <c r="H3987" s="78" t="n"/>
      <c r="I3987" s="78" t="n"/>
      <c r="J3987" s="78" t="n"/>
    </row>
    <row r="3988">
      <c r="A3988" s="84">
        <f>ROW()-6</f>
        <v/>
      </c>
      <c r="B3988" s="85">
        <f>+MATCH(D3988,ARTICULOS!$F$10:$F$699,0)</f>
        <v/>
      </c>
      <c r="C3988" s="86">
        <f>+VLOOKUP(B3988,ARTICULOS!$D$10:$I$699,6)</f>
        <v/>
      </c>
      <c r="D3988" s="212" t="n"/>
      <c r="E3988" s="75">
        <f>+C3988&amp;F3988</f>
        <v/>
      </c>
      <c r="F3988" s="80" t="n"/>
      <c r="G3988" s="81" t="n"/>
      <c r="H3988" s="78" t="n"/>
      <c r="I3988" s="78" t="n"/>
      <c r="J3988" s="78" t="n"/>
    </row>
    <row r="3989">
      <c r="A3989" s="84">
        <f>ROW()-6</f>
        <v/>
      </c>
      <c r="B3989" s="85">
        <f>+MATCH(D3989,ARTICULOS!$F$10:$F$699,0)</f>
        <v/>
      </c>
      <c r="C3989" s="86">
        <f>+VLOOKUP(B3989,ARTICULOS!$D$10:$I$699,6)</f>
        <v/>
      </c>
      <c r="D3989" s="212" t="n"/>
      <c r="E3989" s="75">
        <f>+C3989&amp;F3989</f>
        <v/>
      </c>
      <c r="F3989" s="80" t="n"/>
      <c r="G3989" s="81" t="n"/>
      <c r="H3989" s="78" t="n"/>
      <c r="I3989" s="78" t="n"/>
      <c r="J3989" s="78" t="n"/>
    </row>
    <row r="3990">
      <c r="A3990" s="84">
        <f>ROW()-6</f>
        <v/>
      </c>
      <c r="B3990" s="85">
        <f>+MATCH(D3990,ARTICULOS!$F$10:$F$699,0)</f>
        <v/>
      </c>
      <c r="C3990" s="86">
        <f>+VLOOKUP(B3990,ARTICULOS!$D$10:$I$699,6)</f>
        <v/>
      </c>
      <c r="D3990" s="212" t="n"/>
      <c r="E3990" s="75">
        <f>+C3990&amp;F3990</f>
        <v/>
      </c>
      <c r="F3990" s="80" t="n"/>
      <c r="G3990" s="81" t="n"/>
      <c r="H3990" s="78" t="n"/>
      <c r="I3990" s="78" t="n"/>
      <c r="J3990" s="78" t="n"/>
    </row>
    <row r="3991">
      <c r="A3991" s="84">
        <f>ROW()-6</f>
        <v/>
      </c>
      <c r="B3991" s="85">
        <f>+MATCH(D3991,ARTICULOS!$F$10:$F$699,0)</f>
        <v/>
      </c>
      <c r="C3991" s="86">
        <f>+VLOOKUP(B3991,ARTICULOS!$D$10:$I$699,6)</f>
        <v/>
      </c>
      <c r="D3991" s="212" t="n"/>
      <c r="E3991" s="75">
        <f>+C3991&amp;F3991</f>
        <v/>
      </c>
      <c r="F3991" s="80" t="n"/>
      <c r="G3991" s="81" t="n"/>
      <c r="H3991" s="78" t="n"/>
      <c r="I3991" s="78" t="n"/>
      <c r="J3991" s="78" t="n"/>
    </row>
    <row r="3992">
      <c r="A3992" s="84">
        <f>ROW()-6</f>
        <v/>
      </c>
      <c r="B3992" s="85">
        <f>+MATCH(D3992,ARTICULOS!$F$10:$F$699,0)</f>
        <v/>
      </c>
      <c r="C3992" s="86">
        <f>+VLOOKUP(B3992,ARTICULOS!$D$10:$I$699,6)</f>
        <v/>
      </c>
      <c r="D3992" s="212" t="n"/>
      <c r="E3992" s="75">
        <f>+C3992&amp;F3992</f>
        <v/>
      </c>
      <c r="F3992" s="80" t="n"/>
      <c r="G3992" s="81" t="n"/>
      <c r="H3992" s="78" t="n"/>
      <c r="I3992" s="78" t="n"/>
      <c r="J3992" s="78" t="n"/>
    </row>
    <row r="3993">
      <c r="A3993" s="84">
        <f>ROW()-6</f>
        <v/>
      </c>
      <c r="B3993" s="85">
        <f>+MATCH(D3993,ARTICULOS!$F$10:$F$699,0)</f>
        <v/>
      </c>
      <c r="C3993" s="86">
        <f>+VLOOKUP(B3993,ARTICULOS!$D$10:$I$699,6)</f>
        <v/>
      </c>
      <c r="D3993" s="212" t="n"/>
      <c r="E3993" s="75">
        <f>+C3993&amp;F3993</f>
        <v/>
      </c>
      <c r="F3993" s="80" t="n"/>
      <c r="G3993" s="81" t="n"/>
      <c r="H3993" s="78" t="n"/>
      <c r="I3993" s="78" t="n"/>
      <c r="J3993" s="78" t="n"/>
    </row>
    <row r="3994">
      <c r="A3994" s="84">
        <f>ROW()-6</f>
        <v/>
      </c>
      <c r="B3994" s="85">
        <f>+MATCH(D3994,ARTICULOS!$F$10:$F$699,0)</f>
        <v/>
      </c>
      <c r="C3994" s="86">
        <f>+VLOOKUP(B3994,ARTICULOS!$D$10:$I$699,6)</f>
        <v/>
      </c>
      <c r="D3994" s="212" t="n"/>
      <c r="E3994" s="75">
        <f>+C3994&amp;F3994</f>
        <v/>
      </c>
      <c r="F3994" s="80" t="n"/>
      <c r="G3994" s="81" t="n"/>
      <c r="H3994" s="78" t="n"/>
      <c r="I3994" s="78" t="n"/>
      <c r="J3994" s="78" t="n"/>
    </row>
    <row r="3995">
      <c r="A3995" s="84">
        <f>ROW()-6</f>
        <v/>
      </c>
      <c r="B3995" s="85">
        <f>+MATCH(D3995,ARTICULOS!$F$10:$F$699,0)</f>
        <v/>
      </c>
      <c r="C3995" s="86">
        <f>+VLOOKUP(B3995,ARTICULOS!$D$10:$I$699,6)</f>
        <v/>
      </c>
      <c r="D3995" s="212" t="n"/>
      <c r="E3995" s="75">
        <f>+C3995&amp;F3995</f>
        <v/>
      </c>
      <c r="F3995" s="80" t="n"/>
      <c r="G3995" s="81" t="n"/>
      <c r="H3995" s="78" t="n"/>
      <c r="I3995" s="78" t="n"/>
      <c r="J3995" s="78" t="n"/>
    </row>
    <row r="3996">
      <c r="A3996" s="84">
        <f>ROW()-6</f>
        <v/>
      </c>
      <c r="B3996" s="85">
        <f>+MATCH(D3996,ARTICULOS!$F$10:$F$699,0)</f>
        <v/>
      </c>
      <c r="C3996" s="86">
        <f>+VLOOKUP(B3996,ARTICULOS!$D$10:$I$699,6)</f>
        <v/>
      </c>
      <c r="D3996" s="212" t="n"/>
      <c r="E3996" s="75">
        <f>+C3996&amp;F3996</f>
        <v/>
      </c>
      <c r="F3996" s="80" t="n"/>
      <c r="G3996" s="81" t="n"/>
      <c r="H3996" s="78" t="n"/>
      <c r="I3996" s="78" t="n"/>
      <c r="J3996" s="78" t="n"/>
    </row>
    <row r="3997">
      <c r="A3997" s="84">
        <f>ROW()-6</f>
        <v/>
      </c>
      <c r="B3997" s="85">
        <f>+MATCH(D3997,ARTICULOS!$F$10:$F$699,0)</f>
        <v/>
      </c>
      <c r="C3997" s="86">
        <f>+VLOOKUP(B3997,ARTICULOS!$D$10:$I$699,6)</f>
        <v/>
      </c>
      <c r="D3997" s="212" t="n"/>
      <c r="E3997" s="75">
        <f>+C3997&amp;F3997</f>
        <v/>
      </c>
      <c r="F3997" s="80" t="n"/>
      <c r="G3997" s="81" t="n"/>
      <c r="H3997" s="78" t="n"/>
      <c r="I3997" s="78" t="n"/>
      <c r="J3997" s="78" t="n"/>
    </row>
    <row r="3998">
      <c r="A3998" s="84">
        <f>ROW()-6</f>
        <v/>
      </c>
      <c r="B3998" s="85">
        <f>+MATCH(D3998,ARTICULOS!$F$10:$F$699,0)</f>
        <v/>
      </c>
      <c r="C3998" s="86">
        <f>+VLOOKUP(B3998,ARTICULOS!$D$10:$I$699,6)</f>
        <v/>
      </c>
      <c r="D3998" s="212" t="n"/>
      <c r="E3998" s="75">
        <f>+C3998&amp;F3998</f>
        <v/>
      </c>
      <c r="F3998" s="80" t="n"/>
      <c r="G3998" s="81" t="n"/>
      <c r="H3998" s="78" t="n"/>
      <c r="I3998" s="78" t="n"/>
      <c r="J3998" s="78" t="n"/>
    </row>
    <row r="3999">
      <c r="A3999" s="84">
        <f>ROW()-6</f>
        <v/>
      </c>
      <c r="B3999" s="85">
        <f>+MATCH(D3999,ARTICULOS!$F$10:$F$699,0)</f>
        <v/>
      </c>
      <c r="C3999" s="86">
        <f>+VLOOKUP(B3999,ARTICULOS!$D$10:$I$699,6)</f>
        <v/>
      </c>
      <c r="D3999" s="212" t="n"/>
      <c r="E3999" s="75">
        <f>+C3999&amp;F3999</f>
        <v/>
      </c>
      <c r="F3999" s="80" t="n"/>
      <c r="G3999" s="81" t="n"/>
      <c r="H3999" s="78" t="n"/>
      <c r="I3999" s="78" t="n"/>
      <c r="J3999" s="78" t="n"/>
    </row>
    <row r="4000">
      <c r="A4000" s="84">
        <f>ROW()-6</f>
        <v/>
      </c>
      <c r="B4000" s="85">
        <f>+MATCH(D4000,ARTICULOS!$F$10:$F$699,0)</f>
        <v/>
      </c>
      <c r="C4000" s="86">
        <f>+VLOOKUP(B4000,ARTICULOS!$D$10:$I$699,6)</f>
        <v/>
      </c>
      <c r="D4000" s="212" t="n"/>
      <c r="E4000" s="75">
        <f>+C4000&amp;F4000</f>
        <v/>
      </c>
      <c r="F4000" s="80" t="n"/>
      <c r="G4000" s="81" t="n"/>
      <c r="H4000" s="78" t="n"/>
      <c r="I4000" s="78" t="n"/>
      <c r="J4000" s="78" t="n"/>
    </row>
    <row r="4001">
      <c r="A4001" s="84">
        <f>ROW()-6</f>
        <v/>
      </c>
      <c r="B4001" s="85">
        <f>+MATCH(D4001,ARTICULOS!$F$10:$F$699,0)</f>
        <v/>
      </c>
      <c r="C4001" s="86">
        <f>+VLOOKUP(B4001,ARTICULOS!$D$10:$I$699,6)</f>
        <v/>
      </c>
      <c r="D4001" s="212" t="n"/>
      <c r="E4001" s="75">
        <f>+C4001&amp;F4001</f>
        <v/>
      </c>
      <c r="F4001" s="80" t="n"/>
      <c r="G4001" s="81" t="n"/>
      <c r="H4001" s="78" t="n"/>
      <c r="I4001" s="78" t="n"/>
      <c r="J4001" s="78" t="n"/>
    </row>
    <row r="4002">
      <c r="A4002" s="84">
        <f>ROW()-6</f>
        <v/>
      </c>
      <c r="B4002" s="85">
        <f>+MATCH(D4002,ARTICULOS!$F$10:$F$699,0)</f>
        <v/>
      </c>
      <c r="C4002" s="86">
        <f>+VLOOKUP(B4002,ARTICULOS!$D$10:$I$699,6)</f>
        <v/>
      </c>
      <c r="D4002" s="212" t="n"/>
      <c r="E4002" s="75">
        <f>+C4002&amp;F4002</f>
        <v/>
      </c>
      <c r="F4002" s="80" t="n"/>
      <c r="G4002" s="81" t="n"/>
      <c r="H4002" s="78" t="n"/>
      <c r="I4002" s="78" t="n"/>
      <c r="J4002" s="78" t="n"/>
    </row>
    <row r="4003">
      <c r="A4003" s="84">
        <f>ROW()-6</f>
        <v/>
      </c>
      <c r="B4003" s="85">
        <f>+MATCH(D4003,ARTICULOS!$F$10:$F$699,0)</f>
        <v/>
      </c>
      <c r="C4003" s="86">
        <f>+VLOOKUP(B4003,ARTICULOS!$D$10:$I$699,6)</f>
        <v/>
      </c>
      <c r="D4003" s="212" t="n"/>
      <c r="E4003" s="75">
        <f>+C4003&amp;F4003</f>
        <v/>
      </c>
      <c r="F4003" s="80" t="n"/>
      <c r="G4003" s="81" t="n"/>
      <c r="H4003" s="78" t="n"/>
      <c r="I4003" s="78" t="n"/>
      <c r="J4003" s="78" t="n"/>
    </row>
    <row r="4004">
      <c r="A4004" s="84">
        <f>ROW()-6</f>
        <v/>
      </c>
      <c r="B4004" s="85">
        <f>+MATCH(D4004,ARTICULOS!$F$10:$F$699,0)</f>
        <v/>
      </c>
      <c r="C4004" s="86">
        <f>+VLOOKUP(B4004,ARTICULOS!$D$10:$I$699,6)</f>
        <v/>
      </c>
      <c r="D4004" s="212" t="n"/>
      <c r="E4004" s="75">
        <f>+C4004&amp;F4004</f>
        <v/>
      </c>
      <c r="F4004" s="80" t="n"/>
      <c r="G4004" s="81" t="n"/>
      <c r="H4004" s="78" t="n"/>
      <c r="I4004" s="78" t="n"/>
      <c r="J4004" s="78" t="n"/>
    </row>
    <row r="4005">
      <c r="A4005" s="84">
        <f>ROW()-6</f>
        <v/>
      </c>
      <c r="B4005" s="85">
        <f>+MATCH(D4005,ARTICULOS!$F$10:$F$699,0)</f>
        <v/>
      </c>
      <c r="C4005" s="86">
        <f>+VLOOKUP(B4005,ARTICULOS!$D$10:$I$699,6)</f>
        <v/>
      </c>
      <c r="D4005" s="212" t="n"/>
      <c r="E4005" s="75">
        <f>+C4005&amp;F4005</f>
        <v/>
      </c>
      <c r="F4005" s="80" t="n"/>
      <c r="G4005" s="81" t="n"/>
      <c r="H4005" s="78" t="n"/>
      <c r="I4005" s="78" t="n"/>
      <c r="J4005" s="78" t="n"/>
    </row>
    <row r="4006">
      <c r="A4006" s="84">
        <f>ROW()-6</f>
        <v/>
      </c>
      <c r="B4006" s="85">
        <f>+MATCH(D4006,ARTICULOS!$F$10:$F$699,0)</f>
        <v/>
      </c>
      <c r="C4006" s="86">
        <f>+VLOOKUP(B4006,ARTICULOS!$D$10:$I$699,6)</f>
        <v/>
      </c>
      <c r="D4006" s="212" t="n"/>
      <c r="E4006" s="75">
        <f>+C4006&amp;F4006</f>
        <v/>
      </c>
      <c r="F4006" s="80" t="n"/>
      <c r="G4006" s="81" t="n"/>
      <c r="H4006" s="78" t="n"/>
      <c r="I4006" s="78" t="n"/>
      <c r="J4006" s="78" t="n"/>
    </row>
    <row r="4007">
      <c r="A4007" s="84">
        <f>ROW()-6</f>
        <v/>
      </c>
      <c r="B4007" s="85">
        <f>+MATCH(D4007,ARTICULOS!$F$10:$F$699,0)</f>
        <v/>
      </c>
      <c r="C4007" s="86">
        <f>+VLOOKUP(B4007,ARTICULOS!$D$10:$I$699,6)</f>
        <v/>
      </c>
      <c r="D4007" s="212" t="n"/>
      <c r="E4007" s="75">
        <f>+C4007&amp;F4007</f>
        <v/>
      </c>
      <c r="F4007" s="80" t="n"/>
      <c r="G4007" s="81" t="n"/>
      <c r="H4007" s="78" t="n"/>
      <c r="I4007" s="78" t="n"/>
      <c r="J4007" s="78" t="n"/>
    </row>
    <row r="4008">
      <c r="A4008" s="84">
        <f>ROW()-6</f>
        <v/>
      </c>
      <c r="B4008" s="85">
        <f>+MATCH(D4008,ARTICULOS!$F$10:$F$699,0)</f>
        <v/>
      </c>
      <c r="C4008" s="86">
        <f>+VLOOKUP(B4008,ARTICULOS!$D$10:$I$699,6)</f>
        <v/>
      </c>
      <c r="D4008" s="212" t="n"/>
      <c r="E4008" s="75">
        <f>+C4008&amp;F4008</f>
        <v/>
      </c>
      <c r="F4008" s="80" t="n"/>
      <c r="G4008" s="81" t="n"/>
      <c r="H4008" s="78" t="n"/>
      <c r="I4008" s="78" t="n"/>
      <c r="J4008" s="78" t="n"/>
    </row>
    <row r="4009">
      <c r="A4009" s="84">
        <f>ROW()-6</f>
        <v/>
      </c>
      <c r="B4009" s="85">
        <f>+MATCH(D4009,ARTICULOS!$F$10:$F$699,0)</f>
        <v/>
      </c>
      <c r="C4009" s="86">
        <f>+VLOOKUP(B4009,ARTICULOS!$D$10:$I$699,6)</f>
        <v/>
      </c>
      <c r="D4009" s="212" t="n"/>
      <c r="E4009" s="75">
        <f>+C4009&amp;F4009</f>
        <v/>
      </c>
      <c r="F4009" s="80" t="n"/>
      <c r="G4009" s="81" t="n"/>
      <c r="H4009" s="78" t="n"/>
      <c r="I4009" s="78" t="n"/>
      <c r="J4009" s="78" t="n"/>
    </row>
    <row r="4010">
      <c r="A4010" s="84">
        <f>ROW()-6</f>
        <v/>
      </c>
      <c r="B4010" s="85">
        <f>+MATCH(D4010,ARTICULOS!$F$10:$F$699,0)</f>
        <v/>
      </c>
      <c r="C4010" s="86">
        <f>+VLOOKUP(B4010,ARTICULOS!$D$10:$I$699,6)</f>
        <v/>
      </c>
      <c r="D4010" s="212" t="n"/>
      <c r="E4010" s="75">
        <f>+C4010&amp;F4010</f>
        <v/>
      </c>
      <c r="F4010" s="80" t="n"/>
      <c r="G4010" s="81" t="n"/>
      <c r="H4010" s="78" t="n"/>
      <c r="I4010" s="78" t="n"/>
      <c r="J4010" s="78" t="n"/>
    </row>
    <row r="4011">
      <c r="A4011" s="84">
        <f>ROW()-6</f>
        <v/>
      </c>
      <c r="B4011" s="85">
        <f>+MATCH(D4011,ARTICULOS!$F$10:$F$699,0)</f>
        <v/>
      </c>
      <c r="C4011" s="86">
        <f>+VLOOKUP(B4011,ARTICULOS!$D$10:$I$699,6)</f>
        <v/>
      </c>
      <c r="D4011" s="212" t="n"/>
      <c r="E4011" s="75">
        <f>+C4011&amp;F4011</f>
        <v/>
      </c>
      <c r="F4011" s="80" t="n"/>
      <c r="G4011" s="81" t="n"/>
      <c r="H4011" s="78" t="n"/>
      <c r="I4011" s="78" t="n"/>
      <c r="J4011" s="78" t="n"/>
    </row>
    <row r="4012">
      <c r="A4012" s="84">
        <f>ROW()-6</f>
        <v/>
      </c>
      <c r="B4012" s="85">
        <f>+MATCH(D4012,ARTICULOS!$F$10:$F$699,0)</f>
        <v/>
      </c>
      <c r="C4012" s="86">
        <f>+VLOOKUP(B4012,ARTICULOS!$D$10:$I$699,6)</f>
        <v/>
      </c>
      <c r="D4012" s="212" t="n"/>
      <c r="E4012" s="75">
        <f>+C4012&amp;F4012</f>
        <v/>
      </c>
      <c r="F4012" s="80" t="n"/>
      <c r="G4012" s="81" t="n"/>
      <c r="H4012" s="78" t="n"/>
      <c r="I4012" s="78" t="n"/>
      <c r="J4012" s="78" t="n"/>
    </row>
    <row r="4013">
      <c r="A4013" s="84">
        <f>ROW()-6</f>
        <v/>
      </c>
      <c r="B4013" s="85">
        <f>+MATCH(D4013,ARTICULOS!$F$10:$F$699,0)</f>
        <v/>
      </c>
      <c r="C4013" s="86">
        <f>+VLOOKUP(B4013,ARTICULOS!$D$10:$I$699,6)</f>
        <v/>
      </c>
      <c r="D4013" s="212" t="n"/>
      <c r="E4013" s="75">
        <f>+C4013&amp;F4013</f>
        <v/>
      </c>
      <c r="F4013" s="80" t="n"/>
      <c r="G4013" s="81" t="n"/>
      <c r="H4013" s="78" t="n"/>
      <c r="I4013" s="78" t="n"/>
      <c r="J4013" s="78" t="n"/>
    </row>
    <row r="4014">
      <c r="A4014" s="84">
        <f>ROW()-6</f>
        <v/>
      </c>
      <c r="B4014" s="85">
        <f>+MATCH(D4014,ARTICULOS!$F$10:$F$699,0)</f>
        <v/>
      </c>
      <c r="C4014" s="86">
        <f>+VLOOKUP(B4014,ARTICULOS!$D$10:$I$699,6)</f>
        <v/>
      </c>
      <c r="D4014" s="212" t="n"/>
      <c r="E4014" s="75">
        <f>+C4014&amp;F4014</f>
        <v/>
      </c>
      <c r="F4014" s="80" t="n"/>
      <c r="G4014" s="81" t="n"/>
      <c r="H4014" s="78" t="n"/>
      <c r="I4014" s="78" t="n"/>
      <c r="J4014" s="78" t="n"/>
    </row>
    <row r="4015">
      <c r="A4015" s="84">
        <f>ROW()-6</f>
        <v/>
      </c>
      <c r="B4015" s="85">
        <f>+MATCH(D4015,ARTICULOS!$F$10:$F$699,0)</f>
        <v/>
      </c>
      <c r="C4015" s="86">
        <f>+VLOOKUP(B4015,ARTICULOS!$D$10:$I$699,6)</f>
        <v/>
      </c>
      <c r="D4015" s="212" t="n"/>
      <c r="E4015" s="75">
        <f>+C4015&amp;F4015</f>
        <v/>
      </c>
      <c r="F4015" s="80" t="n"/>
      <c r="G4015" s="81" t="n"/>
      <c r="H4015" s="78" t="n"/>
      <c r="I4015" s="78" t="n"/>
      <c r="J4015" s="78" t="n"/>
    </row>
    <row r="4016">
      <c r="A4016" s="84">
        <f>ROW()-6</f>
        <v/>
      </c>
      <c r="B4016" s="85">
        <f>+MATCH(D4016,ARTICULOS!$F$10:$F$699,0)</f>
        <v/>
      </c>
      <c r="C4016" s="86">
        <f>+VLOOKUP(B4016,ARTICULOS!$D$10:$I$699,6)</f>
        <v/>
      </c>
      <c r="D4016" s="212" t="n"/>
      <c r="E4016" s="75">
        <f>+C4016&amp;F4016</f>
        <v/>
      </c>
      <c r="F4016" s="80" t="n"/>
      <c r="G4016" s="81" t="n"/>
      <c r="H4016" s="78" t="n"/>
      <c r="I4016" s="78" t="n"/>
      <c r="J4016" s="78" t="n"/>
    </row>
    <row r="4017">
      <c r="A4017" s="84">
        <f>ROW()-6</f>
        <v/>
      </c>
      <c r="B4017" s="85">
        <f>+MATCH(D4017,ARTICULOS!$F$10:$F$699,0)</f>
        <v/>
      </c>
      <c r="C4017" s="86">
        <f>+VLOOKUP(B4017,ARTICULOS!$D$10:$I$699,6)</f>
        <v/>
      </c>
      <c r="D4017" s="212" t="n"/>
      <c r="E4017" s="75">
        <f>+C4017&amp;F4017</f>
        <v/>
      </c>
      <c r="F4017" s="80" t="n"/>
      <c r="G4017" s="81" t="n"/>
      <c r="H4017" s="78" t="n"/>
      <c r="I4017" s="78" t="n"/>
      <c r="J4017" s="78" t="n"/>
    </row>
    <row r="4018">
      <c r="A4018" s="84">
        <f>ROW()-6</f>
        <v/>
      </c>
      <c r="B4018" s="85">
        <f>+MATCH(D4018,ARTICULOS!$F$10:$F$699,0)</f>
        <v/>
      </c>
      <c r="C4018" s="86">
        <f>+VLOOKUP(B4018,ARTICULOS!$D$10:$I$699,6)</f>
        <v/>
      </c>
      <c r="D4018" s="212" t="n"/>
      <c r="E4018" s="75">
        <f>+C4018&amp;F4018</f>
        <v/>
      </c>
      <c r="F4018" s="80" t="n"/>
      <c r="G4018" s="81" t="n"/>
      <c r="H4018" s="78" t="n"/>
      <c r="I4018" s="78" t="n"/>
      <c r="J4018" s="78" t="n"/>
    </row>
    <row r="4019">
      <c r="A4019" s="84">
        <f>ROW()-6</f>
        <v/>
      </c>
      <c r="B4019" s="85">
        <f>+MATCH(D4019,ARTICULOS!$F$10:$F$699,0)</f>
        <v/>
      </c>
      <c r="C4019" s="86">
        <f>+VLOOKUP(B4019,ARTICULOS!$D$10:$I$699,6)</f>
        <v/>
      </c>
      <c r="D4019" s="212" t="n"/>
      <c r="E4019" s="75">
        <f>+C4019&amp;F4019</f>
        <v/>
      </c>
      <c r="F4019" s="80" t="n"/>
      <c r="G4019" s="81" t="n"/>
      <c r="H4019" s="78" t="n"/>
      <c r="I4019" s="78" t="n"/>
      <c r="J4019" s="78" t="n"/>
    </row>
    <row r="4020">
      <c r="A4020" s="84">
        <f>ROW()-6</f>
        <v/>
      </c>
      <c r="B4020" s="85">
        <f>+MATCH(D4020,ARTICULOS!$F$10:$F$699,0)</f>
        <v/>
      </c>
      <c r="C4020" s="86">
        <f>+VLOOKUP(B4020,ARTICULOS!$D$10:$I$699,6)</f>
        <v/>
      </c>
      <c r="D4020" s="212" t="n"/>
      <c r="E4020" s="75">
        <f>+C4020&amp;F4020</f>
        <v/>
      </c>
      <c r="F4020" s="80" t="n"/>
      <c r="G4020" s="81" t="n"/>
      <c r="H4020" s="78" t="n"/>
      <c r="I4020" s="78" t="n"/>
      <c r="J4020" s="78" t="n"/>
    </row>
    <row r="4021">
      <c r="A4021" s="84">
        <f>ROW()-6</f>
        <v/>
      </c>
      <c r="B4021" s="85">
        <f>+MATCH(D4021,ARTICULOS!$F$10:$F$699,0)</f>
        <v/>
      </c>
      <c r="C4021" s="86">
        <f>+VLOOKUP(B4021,ARTICULOS!$D$10:$I$699,6)</f>
        <v/>
      </c>
      <c r="D4021" s="212" t="n"/>
      <c r="E4021" s="75">
        <f>+C4021&amp;F4021</f>
        <v/>
      </c>
      <c r="F4021" s="80" t="n"/>
      <c r="G4021" s="81" t="n"/>
      <c r="H4021" s="78" t="n"/>
      <c r="I4021" s="78" t="n"/>
      <c r="J4021" s="78" t="n"/>
    </row>
    <row r="4022">
      <c r="A4022" s="84">
        <f>ROW()-6</f>
        <v/>
      </c>
      <c r="B4022" s="85">
        <f>+MATCH(D4022,ARTICULOS!$F$10:$F$699,0)</f>
        <v/>
      </c>
      <c r="C4022" s="86">
        <f>+VLOOKUP(B4022,ARTICULOS!$D$10:$I$699,6)</f>
        <v/>
      </c>
      <c r="D4022" s="212" t="n"/>
      <c r="E4022" s="75">
        <f>+C4022&amp;F4022</f>
        <v/>
      </c>
      <c r="F4022" s="80" t="n"/>
      <c r="G4022" s="81" t="n"/>
      <c r="H4022" s="78" t="n"/>
      <c r="I4022" s="78" t="n"/>
      <c r="J4022" s="78" t="n"/>
    </row>
    <row r="4023">
      <c r="A4023" s="84">
        <f>ROW()-6</f>
        <v/>
      </c>
      <c r="B4023" s="85">
        <f>+MATCH(D4023,ARTICULOS!$F$10:$F$699,0)</f>
        <v/>
      </c>
      <c r="C4023" s="86">
        <f>+VLOOKUP(B4023,ARTICULOS!$D$10:$I$699,6)</f>
        <v/>
      </c>
      <c r="D4023" s="212" t="n"/>
      <c r="E4023" s="75">
        <f>+C4023&amp;F4023</f>
        <v/>
      </c>
      <c r="F4023" s="80" t="n"/>
      <c r="G4023" s="81" t="n"/>
      <c r="H4023" s="78" t="n"/>
      <c r="I4023" s="78" t="n"/>
      <c r="J4023" s="78" t="n"/>
    </row>
    <row r="4024">
      <c r="A4024" s="84">
        <f>ROW()-6</f>
        <v/>
      </c>
      <c r="B4024" s="85">
        <f>+MATCH(D4024,ARTICULOS!$F$10:$F$699,0)</f>
        <v/>
      </c>
      <c r="C4024" s="86">
        <f>+VLOOKUP(B4024,ARTICULOS!$D$10:$I$699,6)</f>
        <v/>
      </c>
      <c r="D4024" s="212" t="n"/>
      <c r="E4024" s="75">
        <f>+C4024&amp;F4024</f>
        <v/>
      </c>
      <c r="F4024" s="80" t="n"/>
      <c r="G4024" s="81" t="n"/>
      <c r="H4024" s="78" t="n"/>
      <c r="I4024" s="78" t="n"/>
      <c r="J4024" s="78" t="n"/>
    </row>
    <row r="4025">
      <c r="A4025" s="84">
        <f>ROW()-6</f>
        <v/>
      </c>
      <c r="B4025" s="85">
        <f>+MATCH(D4025,ARTICULOS!$F$10:$F$699,0)</f>
        <v/>
      </c>
      <c r="C4025" s="86">
        <f>+VLOOKUP(B4025,ARTICULOS!$D$10:$I$699,6)</f>
        <v/>
      </c>
      <c r="D4025" s="212" t="n"/>
      <c r="E4025" s="75">
        <f>+C4025&amp;F4025</f>
        <v/>
      </c>
      <c r="F4025" s="80" t="n"/>
      <c r="G4025" s="81" t="n"/>
      <c r="H4025" s="78" t="n"/>
      <c r="I4025" s="78" t="n"/>
      <c r="J4025" s="78" t="n"/>
    </row>
    <row r="4026">
      <c r="A4026" s="84">
        <f>ROW()-6</f>
        <v/>
      </c>
      <c r="B4026" s="85">
        <f>+MATCH(D4026,ARTICULOS!$F$10:$F$699,0)</f>
        <v/>
      </c>
      <c r="C4026" s="86">
        <f>+VLOOKUP(B4026,ARTICULOS!$D$10:$I$699,6)</f>
        <v/>
      </c>
      <c r="D4026" s="212" t="n"/>
      <c r="E4026" s="75">
        <f>+C4026&amp;F4026</f>
        <v/>
      </c>
      <c r="F4026" s="80" t="n"/>
      <c r="G4026" s="81" t="n"/>
      <c r="H4026" s="78" t="n"/>
      <c r="I4026" s="78" t="n"/>
      <c r="J4026" s="78" t="n"/>
    </row>
    <row r="4027">
      <c r="A4027" s="84">
        <f>ROW()-6</f>
        <v/>
      </c>
      <c r="B4027" s="85">
        <f>+MATCH(D4027,ARTICULOS!$F$10:$F$699,0)</f>
        <v/>
      </c>
      <c r="C4027" s="86">
        <f>+VLOOKUP(B4027,ARTICULOS!$D$10:$I$699,6)</f>
        <v/>
      </c>
      <c r="D4027" s="212" t="n"/>
      <c r="E4027" s="75">
        <f>+C4027&amp;F4027</f>
        <v/>
      </c>
      <c r="F4027" s="80" t="n"/>
      <c r="G4027" s="81" t="n"/>
      <c r="H4027" s="78" t="n"/>
      <c r="I4027" s="78" t="n"/>
      <c r="J4027" s="78" t="n"/>
    </row>
    <row r="4028">
      <c r="A4028" s="84">
        <f>ROW()-6</f>
        <v/>
      </c>
      <c r="B4028" s="85">
        <f>+MATCH(D4028,ARTICULOS!$F$10:$F$699,0)</f>
        <v/>
      </c>
      <c r="C4028" s="86">
        <f>+VLOOKUP(B4028,ARTICULOS!$D$10:$I$699,6)</f>
        <v/>
      </c>
      <c r="D4028" s="212" t="n"/>
      <c r="E4028" s="75">
        <f>+C4028&amp;F4028</f>
        <v/>
      </c>
      <c r="F4028" s="80" t="n"/>
      <c r="G4028" s="81" t="n"/>
      <c r="H4028" s="78" t="n"/>
      <c r="I4028" s="78" t="n"/>
      <c r="J4028" s="78" t="n"/>
    </row>
    <row r="4029">
      <c r="A4029" s="84">
        <f>ROW()-6</f>
        <v/>
      </c>
      <c r="B4029" s="85">
        <f>+MATCH(D4029,ARTICULOS!$F$10:$F$699,0)</f>
        <v/>
      </c>
      <c r="C4029" s="86">
        <f>+VLOOKUP(B4029,ARTICULOS!$D$10:$I$699,6)</f>
        <v/>
      </c>
      <c r="D4029" s="212" t="n"/>
      <c r="E4029" s="75">
        <f>+C4029&amp;F4029</f>
        <v/>
      </c>
      <c r="F4029" s="80" t="n"/>
      <c r="G4029" s="81" t="n"/>
      <c r="H4029" s="78" t="n"/>
      <c r="I4029" s="78" t="n"/>
      <c r="J4029" s="78" t="n"/>
    </row>
    <row r="4030">
      <c r="A4030" s="84">
        <f>ROW()-6</f>
        <v/>
      </c>
      <c r="B4030" s="85">
        <f>+MATCH(D4030,ARTICULOS!$F$10:$F$699,0)</f>
        <v/>
      </c>
      <c r="C4030" s="86">
        <f>+VLOOKUP(B4030,ARTICULOS!$D$10:$I$699,6)</f>
        <v/>
      </c>
      <c r="D4030" s="212" t="n"/>
      <c r="E4030" s="75">
        <f>+C4030&amp;F4030</f>
        <v/>
      </c>
      <c r="F4030" s="80" t="n"/>
      <c r="G4030" s="81" t="n"/>
      <c r="H4030" s="78" t="n"/>
      <c r="I4030" s="78" t="n"/>
      <c r="J4030" s="78" t="n"/>
    </row>
    <row r="4031">
      <c r="A4031" s="84">
        <f>ROW()-6</f>
        <v/>
      </c>
      <c r="B4031" s="85">
        <f>+MATCH(D4031,ARTICULOS!$F$10:$F$699,0)</f>
        <v/>
      </c>
      <c r="C4031" s="86">
        <f>+VLOOKUP(B4031,ARTICULOS!$D$10:$I$699,6)</f>
        <v/>
      </c>
      <c r="D4031" s="212" t="n"/>
      <c r="E4031" s="75">
        <f>+C4031&amp;F4031</f>
        <v/>
      </c>
      <c r="F4031" s="80" t="n"/>
      <c r="G4031" s="81" t="n"/>
      <c r="H4031" s="78" t="n"/>
      <c r="I4031" s="78" t="n"/>
      <c r="J4031" s="78" t="n"/>
    </row>
    <row r="4032">
      <c r="A4032" s="84">
        <f>ROW()-6</f>
        <v/>
      </c>
      <c r="B4032" s="85">
        <f>+MATCH(D4032,ARTICULOS!$F$10:$F$699,0)</f>
        <v/>
      </c>
      <c r="C4032" s="86">
        <f>+VLOOKUP(B4032,ARTICULOS!$D$10:$I$699,6)</f>
        <v/>
      </c>
      <c r="D4032" s="212" t="n"/>
      <c r="E4032" s="75">
        <f>+C4032&amp;F4032</f>
        <v/>
      </c>
      <c r="F4032" s="80" t="n"/>
      <c r="G4032" s="81" t="n"/>
      <c r="H4032" s="78" t="n"/>
      <c r="I4032" s="78" t="n"/>
      <c r="J4032" s="78" t="n"/>
    </row>
    <row r="4033">
      <c r="A4033" s="84">
        <f>ROW()-6</f>
        <v/>
      </c>
      <c r="B4033" s="85">
        <f>+MATCH(D4033,ARTICULOS!$F$10:$F$699,0)</f>
        <v/>
      </c>
      <c r="C4033" s="86">
        <f>+VLOOKUP(B4033,ARTICULOS!$D$10:$I$699,6)</f>
        <v/>
      </c>
      <c r="D4033" s="212" t="n"/>
      <c r="E4033" s="75">
        <f>+C4033&amp;F4033</f>
        <v/>
      </c>
      <c r="F4033" s="80" t="n"/>
      <c r="G4033" s="81" t="n"/>
      <c r="H4033" s="78" t="n"/>
      <c r="I4033" s="78" t="n"/>
      <c r="J4033" s="78" t="n"/>
    </row>
    <row r="4034">
      <c r="A4034" s="84">
        <f>ROW()-6</f>
        <v/>
      </c>
      <c r="B4034" s="85">
        <f>+MATCH(D4034,ARTICULOS!$F$10:$F$699,0)</f>
        <v/>
      </c>
      <c r="C4034" s="86">
        <f>+VLOOKUP(B4034,ARTICULOS!$D$10:$I$699,6)</f>
        <v/>
      </c>
      <c r="D4034" s="212" t="n"/>
      <c r="E4034" s="75">
        <f>+C4034&amp;F4034</f>
        <v/>
      </c>
      <c r="F4034" s="80" t="n"/>
      <c r="G4034" s="81" t="n"/>
      <c r="H4034" s="78" t="n"/>
      <c r="I4034" s="78" t="n"/>
      <c r="J4034" s="78" t="n"/>
    </row>
    <row r="4035">
      <c r="A4035" s="84">
        <f>ROW()-6</f>
        <v/>
      </c>
      <c r="B4035" s="85">
        <f>+MATCH(D4035,ARTICULOS!$F$10:$F$699,0)</f>
        <v/>
      </c>
      <c r="C4035" s="86">
        <f>+VLOOKUP(B4035,ARTICULOS!$D$10:$I$699,6)</f>
        <v/>
      </c>
      <c r="D4035" s="212" t="n"/>
      <c r="E4035" s="75">
        <f>+C4035&amp;F4035</f>
        <v/>
      </c>
      <c r="F4035" s="80" t="n"/>
      <c r="G4035" s="81" t="n"/>
      <c r="H4035" s="78" t="n"/>
      <c r="I4035" s="78" t="n"/>
      <c r="J4035" s="78" t="n"/>
    </row>
    <row r="4036">
      <c r="A4036" s="84">
        <f>ROW()-6</f>
        <v/>
      </c>
      <c r="B4036" s="85">
        <f>+MATCH(D4036,ARTICULOS!$F$10:$F$699,0)</f>
        <v/>
      </c>
      <c r="C4036" s="86">
        <f>+VLOOKUP(B4036,ARTICULOS!$D$10:$I$699,6)</f>
        <v/>
      </c>
      <c r="D4036" s="212" t="n"/>
      <c r="E4036" s="75">
        <f>+C4036&amp;F4036</f>
        <v/>
      </c>
      <c r="F4036" s="80" t="n"/>
      <c r="G4036" s="81" t="n"/>
      <c r="H4036" s="78" t="n"/>
      <c r="I4036" s="78" t="n"/>
      <c r="J4036" s="78" t="n"/>
    </row>
    <row r="4037">
      <c r="A4037" s="84">
        <f>ROW()-6</f>
        <v/>
      </c>
      <c r="B4037" s="85">
        <f>+MATCH(D4037,ARTICULOS!$F$10:$F$699,0)</f>
        <v/>
      </c>
      <c r="C4037" s="86">
        <f>+VLOOKUP(B4037,ARTICULOS!$D$10:$I$699,6)</f>
        <v/>
      </c>
      <c r="D4037" s="212" t="n"/>
      <c r="E4037" s="75">
        <f>+C4037&amp;F4037</f>
        <v/>
      </c>
      <c r="F4037" s="80" t="n"/>
      <c r="G4037" s="81" t="n"/>
      <c r="H4037" s="78" t="n"/>
      <c r="I4037" s="78" t="n"/>
      <c r="J4037" s="78" t="n"/>
    </row>
    <row r="4038">
      <c r="A4038" s="84">
        <f>ROW()-6</f>
        <v/>
      </c>
      <c r="B4038" s="85">
        <f>+MATCH(D4038,ARTICULOS!$F$10:$F$699,0)</f>
        <v/>
      </c>
      <c r="C4038" s="86">
        <f>+VLOOKUP(B4038,ARTICULOS!$D$10:$I$699,6)</f>
        <v/>
      </c>
      <c r="D4038" s="212" t="n"/>
      <c r="E4038" s="75">
        <f>+C4038&amp;F4038</f>
        <v/>
      </c>
      <c r="F4038" s="80" t="n"/>
      <c r="G4038" s="81" t="n"/>
      <c r="H4038" s="78" t="n"/>
      <c r="I4038" s="78" t="n"/>
      <c r="J4038" s="78" t="n"/>
    </row>
    <row r="4039">
      <c r="A4039" s="84">
        <f>ROW()-6</f>
        <v/>
      </c>
      <c r="B4039" s="85">
        <f>+MATCH(D4039,ARTICULOS!$F$10:$F$699,0)</f>
        <v/>
      </c>
      <c r="C4039" s="86">
        <f>+VLOOKUP(B4039,ARTICULOS!$D$10:$I$699,6)</f>
        <v/>
      </c>
      <c r="D4039" s="212" t="n"/>
      <c r="E4039" s="75">
        <f>+C4039&amp;F4039</f>
        <v/>
      </c>
      <c r="F4039" s="80" t="n"/>
      <c r="G4039" s="81" t="n"/>
      <c r="H4039" s="78" t="n"/>
      <c r="I4039" s="78" t="n"/>
      <c r="J4039" s="78" t="n"/>
    </row>
    <row r="4040">
      <c r="A4040" s="84">
        <f>ROW()-6</f>
        <v/>
      </c>
      <c r="B4040" s="85">
        <f>+MATCH(D4040,ARTICULOS!$F$10:$F$699,0)</f>
        <v/>
      </c>
      <c r="C4040" s="86">
        <f>+VLOOKUP(B4040,ARTICULOS!$D$10:$I$699,6)</f>
        <v/>
      </c>
      <c r="D4040" s="212" t="n"/>
      <c r="E4040" s="75">
        <f>+C4040&amp;F4040</f>
        <v/>
      </c>
      <c r="F4040" s="80" t="n"/>
      <c r="G4040" s="81" t="n"/>
      <c r="H4040" s="78" t="n"/>
      <c r="I4040" s="78" t="n"/>
      <c r="J4040" s="78" t="n"/>
    </row>
    <row r="4041">
      <c r="A4041" s="84">
        <f>ROW()-6</f>
        <v/>
      </c>
      <c r="B4041" s="85">
        <f>+MATCH(D4041,ARTICULOS!$F$10:$F$699,0)</f>
        <v/>
      </c>
      <c r="C4041" s="86">
        <f>+VLOOKUP(B4041,ARTICULOS!$D$10:$I$699,6)</f>
        <v/>
      </c>
      <c r="D4041" s="212" t="n"/>
      <c r="E4041" s="75">
        <f>+C4041&amp;F4041</f>
        <v/>
      </c>
      <c r="F4041" s="80" t="n"/>
      <c r="G4041" s="81" t="n"/>
      <c r="H4041" s="78" t="n"/>
      <c r="I4041" s="78" t="n"/>
      <c r="J4041" s="78" t="n"/>
    </row>
    <row r="4042">
      <c r="A4042" s="84">
        <f>ROW()-6</f>
        <v/>
      </c>
      <c r="B4042" s="85">
        <f>+MATCH(D4042,ARTICULOS!$F$10:$F$699,0)</f>
        <v/>
      </c>
      <c r="C4042" s="86">
        <f>+VLOOKUP(B4042,ARTICULOS!$D$10:$I$699,6)</f>
        <v/>
      </c>
      <c r="D4042" s="212" t="n"/>
      <c r="E4042" s="75">
        <f>+C4042&amp;F4042</f>
        <v/>
      </c>
      <c r="F4042" s="80" t="n"/>
      <c r="G4042" s="81" t="n"/>
      <c r="H4042" s="78" t="n"/>
      <c r="I4042" s="78" t="n"/>
      <c r="J4042" s="78" t="n"/>
    </row>
    <row r="4043">
      <c r="A4043" s="84">
        <f>ROW()-6</f>
        <v/>
      </c>
      <c r="B4043" s="85">
        <f>+MATCH(D4043,ARTICULOS!$F$10:$F$699,0)</f>
        <v/>
      </c>
      <c r="C4043" s="86">
        <f>+VLOOKUP(B4043,ARTICULOS!$D$10:$I$699,6)</f>
        <v/>
      </c>
      <c r="D4043" s="212" t="n"/>
      <c r="E4043" s="75">
        <f>+C4043&amp;F4043</f>
        <v/>
      </c>
      <c r="F4043" s="80" t="n"/>
      <c r="G4043" s="81" t="n"/>
      <c r="H4043" s="78" t="n"/>
      <c r="I4043" s="78" t="n"/>
      <c r="J4043" s="78" t="n"/>
    </row>
    <row r="4044">
      <c r="A4044" s="84">
        <f>ROW()-6</f>
        <v/>
      </c>
      <c r="B4044" s="85">
        <f>+MATCH(D4044,ARTICULOS!$F$10:$F$699,0)</f>
        <v/>
      </c>
      <c r="C4044" s="86">
        <f>+VLOOKUP(B4044,ARTICULOS!$D$10:$I$699,6)</f>
        <v/>
      </c>
      <c r="D4044" s="212" t="n"/>
      <c r="E4044" s="75">
        <f>+C4044&amp;F4044</f>
        <v/>
      </c>
      <c r="F4044" s="80" t="n"/>
      <c r="G4044" s="81" t="n"/>
      <c r="H4044" s="78" t="n"/>
      <c r="I4044" s="78" t="n"/>
      <c r="J4044" s="78" t="n"/>
    </row>
    <row r="4045">
      <c r="A4045" s="84">
        <f>ROW()-6</f>
        <v/>
      </c>
      <c r="B4045" s="85">
        <f>+MATCH(D4045,ARTICULOS!$F$10:$F$699,0)</f>
        <v/>
      </c>
      <c r="C4045" s="86">
        <f>+VLOOKUP(B4045,ARTICULOS!$D$10:$I$699,6)</f>
        <v/>
      </c>
      <c r="D4045" s="212" t="n"/>
      <c r="E4045" s="75">
        <f>+C4045&amp;F4045</f>
        <v/>
      </c>
      <c r="F4045" s="80" t="n"/>
      <c r="G4045" s="81" t="n"/>
      <c r="H4045" s="78" t="n"/>
      <c r="I4045" s="78" t="n"/>
      <c r="J4045" s="78" t="n"/>
    </row>
    <row r="4046">
      <c r="A4046" s="84">
        <f>ROW()-6</f>
        <v/>
      </c>
      <c r="B4046" s="85">
        <f>+MATCH(D4046,ARTICULOS!$F$10:$F$699,0)</f>
        <v/>
      </c>
      <c r="C4046" s="86">
        <f>+VLOOKUP(B4046,ARTICULOS!$D$10:$I$699,6)</f>
        <v/>
      </c>
      <c r="D4046" s="212" t="n"/>
      <c r="E4046" s="75">
        <f>+C4046&amp;F4046</f>
        <v/>
      </c>
      <c r="F4046" s="80" t="n"/>
      <c r="G4046" s="81" t="n"/>
      <c r="H4046" s="78" t="n"/>
      <c r="I4046" s="78" t="n"/>
      <c r="J4046" s="78" t="n"/>
    </row>
    <row r="4047">
      <c r="A4047" s="84">
        <f>ROW()-6</f>
        <v/>
      </c>
      <c r="B4047" s="85">
        <f>+MATCH(D4047,ARTICULOS!$F$10:$F$699,0)</f>
        <v/>
      </c>
      <c r="C4047" s="86">
        <f>+VLOOKUP(B4047,ARTICULOS!$D$10:$I$699,6)</f>
        <v/>
      </c>
      <c r="D4047" s="212" t="n"/>
      <c r="E4047" s="75">
        <f>+C4047&amp;F4047</f>
        <v/>
      </c>
      <c r="F4047" s="80" t="n"/>
      <c r="G4047" s="81" t="n"/>
      <c r="H4047" s="78" t="n"/>
      <c r="I4047" s="78" t="n"/>
      <c r="J4047" s="78" t="n"/>
    </row>
    <row r="4048">
      <c r="A4048" s="84">
        <f>ROW()-6</f>
        <v/>
      </c>
      <c r="B4048" s="85">
        <f>+MATCH(D4048,ARTICULOS!$F$10:$F$699,0)</f>
        <v/>
      </c>
      <c r="C4048" s="86">
        <f>+VLOOKUP(B4048,ARTICULOS!$D$10:$I$699,6)</f>
        <v/>
      </c>
      <c r="D4048" s="212" t="n"/>
      <c r="E4048" s="75">
        <f>+C4048&amp;F4048</f>
        <v/>
      </c>
      <c r="F4048" s="80" t="n"/>
      <c r="G4048" s="81" t="n"/>
      <c r="H4048" s="78" t="n"/>
      <c r="I4048" s="78" t="n"/>
      <c r="J4048" s="78" t="n"/>
    </row>
    <row r="4049">
      <c r="A4049" s="84">
        <f>ROW()-6</f>
        <v/>
      </c>
      <c r="B4049" s="85">
        <f>+MATCH(D4049,ARTICULOS!$F$10:$F$699,0)</f>
        <v/>
      </c>
      <c r="C4049" s="86">
        <f>+VLOOKUP(B4049,ARTICULOS!$D$10:$I$699,6)</f>
        <v/>
      </c>
      <c r="D4049" s="212" t="n"/>
      <c r="E4049" s="75">
        <f>+C4049&amp;F4049</f>
        <v/>
      </c>
      <c r="F4049" s="80" t="n"/>
      <c r="G4049" s="81" t="n"/>
      <c r="H4049" s="78" t="n"/>
      <c r="I4049" s="78" t="n"/>
      <c r="J4049" s="78" t="n"/>
    </row>
    <row r="4050">
      <c r="A4050" s="84">
        <f>ROW()-6</f>
        <v/>
      </c>
      <c r="B4050" s="85">
        <f>+MATCH(D4050,ARTICULOS!$F$10:$F$699,0)</f>
        <v/>
      </c>
      <c r="C4050" s="86">
        <f>+VLOOKUP(B4050,ARTICULOS!$D$10:$I$699,6)</f>
        <v/>
      </c>
      <c r="D4050" s="212" t="n"/>
      <c r="E4050" s="75">
        <f>+C4050&amp;F4050</f>
        <v/>
      </c>
      <c r="F4050" s="80" t="n"/>
      <c r="G4050" s="81" t="n"/>
      <c r="H4050" s="78" t="n"/>
      <c r="I4050" s="78" t="n"/>
      <c r="J4050" s="78" t="n"/>
    </row>
    <row r="4051">
      <c r="A4051" s="84">
        <f>ROW()-6</f>
        <v/>
      </c>
      <c r="B4051" s="85">
        <f>+MATCH(D4051,ARTICULOS!$F$10:$F$699,0)</f>
        <v/>
      </c>
      <c r="C4051" s="86">
        <f>+VLOOKUP(B4051,ARTICULOS!$D$10:$I$699,6)</f>
        <v/>
      </c>
      <c r="D4051" s="212" t="n"/>
      <c r="E4051" s="75">
        <f>+C4051&amp;F4051</f>
        <v/>
      </c>
      <c r="F4051" s="80" t="n"/>
      <c r="G4051" s="81" t="n"/>
      <c r="H4051" s="78" t="n"/>
      <c r="I4051" s="78" t="n"/>
      <c r="J4051" s="78" t="n"/>
    </row>
    <row r="4052">
      <c r="A4052" s="84">
        <f>ROW()-6</f>
        <v/>
      </c>
      <c r="B4052" s="85">
        <f>+MATCH(D4052,ARTICULOS!$F$10:$F$699,0)</f>
        <v/>
      </c>
      <c r="C4052" s="86">
        <f>+VLOOKUP(B4052,ARTICULOS!$D$10:$I$699,6)</f>
        <v/>
      </c>
      <c r="D4052" s="212" t="n"/>
      <c r="E4052" s="75">
        <f>+C4052&amp;F4052</f>
        <v/>
      </c>
      <c r="F4052" s="80" t="n"/>
      <c r="G4052" s="81" t="n"/>
      <c r="H4052" s="78" t="n"/>
      <c r="I4052" s="78" t="n"/>
      <c r="J4052" s="78" t="n"/>
    </row>
    <row r="4053">
      <c r="A4053" s="84">
        <f>ROW()-6</f>
        <v/>
      </c>
      <c r="B4053" s="85">
        <f>+MATCH(D4053,ARTICULOS!$F$10:$F$699,0)</f>
        <v/>
      </c>
      <c r="C4053" s="86">
        <f>+VLOOKUP(B4053,ARTICULOS!$D$10:$I$699,6)</f>
        <v/>
      </c>
      <c r="D4053" s="212" t="n"/>
      <c r="E4053" s="75">
        <f>+C4053&amp;F4053</f>
        <v/>
      </c>
      <c r="F4053" s="80" t="n"/>
      <c r="G4053" s="81" t="n"/>
      <c r="H4053" s="78" t="n"/>
      <c r="I4053" s="78" t="n"/>
      <c r="J4053" s="78" t="n"/>
    </row>
    <row r="4054">
      <c r="A4054" s="84">
        <f>ROW()-6</f>
        <v/>
      </c>
      <c r="B4054" s="85">
        <f>+MATCH(D4054,ARTICULOS!$F$10:$F$699,0)</f>
        <v/>
      </c>
      <c r="C4054" s="86">
        <f>+VLOOKUP(B4054,ARTICULOS!$D$10:$I$699,6)</f>
        <v/>
      </c>
      <c r="D4054" s="212" t="n"/>
      <c r="E4054" s="75">
        <f>+C4054&amp;F4054</f>
        <v/>
      </c>
      <c r="F4054" s="80" t="n"/>
      <c r="G4054" s="81" t="n"/>
      <c r="H4054" s="78" t="n"/>
      <c r="I4054" s="78" t="n"/>
      <c r="J4054" s="78" t="n"/>
    </row>
    <row r="4055">
      <c r="A4055" s="84">
        <f>ROW()-6</f>
        <v/>
      </c>
      <c r="B4055" s="85">
        <f>+MATCH(D4055,ARTICULOS!$F$10:$F$699,0)</f>
        <v/>
      </c>
      <c r="C4055" s="86">
        <f>+VLOOKUP(B4055,ARTICULOS!$D$10:$I$699,6)</f>
        <v/>
      </c>
      <c r="D4055" s="212" t="n"/>
      <c r="E4055" s="75">
        <f>+C4055&amp;F4055</f>
        <v/>
      </c>
      <c r="F4055" s="80" t="n"/>
      <c r="G4055" s="81" t="n"/>
      <c r="H4055" s="78" t="n"/>
      <c r="I4055" s="78" t="n"/>
      <c r="J4055" s="78" t="n"/>
    </row>
    <row r="4056">
      <c r="A4056" s="84">
        <f>ROW()-6</f>
        <v/>
      </c>
      <c r="B4056" s="85">
        <f>+MATCH(D4056,ARTICULOS!$F$10:$F$699,0)</f>
        <v/>
      </c>
      <c r="C4056" s="86">
        <f>+VLOOKUP(B4056,ARTICULOS!$D$10:$I$699,6)</f>
        <v/>
      </c>
      <c r="D4056" s="212" t="n"/>
      <c r="E4056" s="75">
        <f>+C4056&amp;F4056</f>
        <v/>
      </c>
      <c r="F4056" s="80" t="n"/>
      <c r="G4056" s="81" t="n"/>
      <c r="H4056" s="78" t="n"/>
      <c r="I4056" s="78" t="n"/>
      <c r="J4056" s="78" t="n"/>
    </row>
    <row r="4057">
      <c r="A4057" s="84">
        <f>ROW()-6</f>
        <v/>
      </c>
      <c r="B4057" s="85">
        <f>+MATCH(D4057,ARTICULOS!$F$10:$F$699,0)</f>
        <v/>
      </c>
      <c r="C4057" s="86">
        <f>+VLOOKUP(B4057,ARTICULOS!$D$10:$I$699,6)</f>
        <v/>
      </c>
      <c r="D4057" s="212" t="n"/>
      <c r="E4057" s="75">
        <f>+C4057&amp;F4057</f>
        <v/>
      </c>
      <c r="F4057" s="80" t="n"/>
      <c r="G4057" s="81" t="n"/>
      <c r="H4057" s="78" t="n"/>
      <c r="I4057" s="78" t="n"/>
      <c r="J4057" s="78" t="n"/>
    </row>
    <row r="4058">
      <c r="A4058" s="84">
        <f>ROW()-6</f>
        <v/>
      </c>
      <c r="B4058" s="85">
        <f>+MATCH(D4058,ARTICULOS!$F$10:$F$699,0)</f>
        <v/>
      </c>
      <c r="C4058" s="86">
        <f>+VLOOKUP(B4058,ARTICULOS!$D$10:$I$699,6)</f>
        <v/>
      </c>
      <c r="D4058" s="212" t="n"/>
      <c r="E4058" s="75">
        <f>+C4058&amp;F4058</f>
        <v/>
      </c>
      <c r="F4058" s="80" t="n"/>
      <c r="G4058" s="81" t="n"/>
      <c r="H4058" s="78" t="n"/>
      <c r="I4058" s="78" t="n"/>
      <c r="J4058" s="78" t="n"/>
    </row>
    <row r="4059">
      <c r="A4059" s="84">
        <f>ROW()-6</f>
        <v/>
      </c>
      <c r="B4059" s="85">
        <f>+MATCH(D4059,ARTICULOS!$F$10:$F$699,0)</f>
        <v/>
      </c>
      <c r="C4059" s="86">
        <f>+VLOOKUP(B4059,ARTICULOS!$D$10:$I$699,6)</f>
        <v/>
      </c>
      <c r="D4059" s="212" t="n"/>
      <c r="E4059" s="75">
        <f>+C4059&amp;F4059</f>
        <v/>
      </c>
      <c r="F4059" s="80" t="n"/>
      <c r="G4059" s="81" t="n"/>
      <c r="H4059" s="78" t="n"/>
      <c r="I4059" s="78" t="n"/>
      <c r="J4059" s="78" t="n"/>
    </row>
    <row r="4060">
      <c r="A4060" s="84">
        <f>ROW()-6</f>
        <v/>
      </c>
      <c r="B4060" s="85">
        <f>+MATCH(D4060,ARTICULOS!$F$10:$F$699,0)</f>
        <v/>
      </c>
      <c r="C4060" s="86">
        <f>+VLOOKUP(B4060,ARTICULOS!$D$10:$I$699,6)</f>
        <v/>
      </c>
      <c r="D4060" s="212" t="n"/>
      <c r="E4060" s="75">
        <f>+C4060&amp;F4060</f>
        <v/>
      </c>
      <c r="F4060" s="80" t="n"/>
      <c r="G4060" s="81" t="n"/>
      <c r="H4060" s="78" t="n"/>
      <c r="I4060" s="78" t="n"/>
      <c r="J4060" s="78" t="n"/>
    </row>
    <row r="4061">
      <c r="A4061" s="84">
        <f>ROW()-6</f>
        <v/>
      </c>
      <c r="B4061" s="85">
        <f>+MATCH(D4061,ARTICULOS!$F$10:$F$699,0)</f>
        <v/>
      </c>
      <c r="C4061" s="86">
        <f>+VLOOKUP(B4061,ARTICULOS!$D$10:$I$699,6)</f>
        <v/>
      </c>
      <c r="D4061" s="212" t="n"/>
      <c r="E4061" s="75">
        <f>+C4061&amp;F4061</f>
        <v/>
      </c>
      <c r="F4061" s="80" t="n"/>
      <c r="G4061" s="81" t="n"/>
      <c r="H4061" s="78" t="n"/>
      <c r="I4061" s="78" t="n"/>
      <c r="J4061" s="78" t="n"/>
    </row>
    <row r="4062">
      <c r="A4062" s="84">
        <f>ROW()-6</f>
        <v/>
      </c>
      <c r="B4062" s="85">
        <f>+MATCH(D4062,ARTICULOS!$F$10:$F$699,0)</f>
        <v/>
      </c>
      <c r="C4062" s="86">
        <f>+VLOOKUP(B4062,ARTICULOS!$D$10:$I$699,6)</f>
        <v/>
      </c>
      <c r="D4062" s="212" t="n"/>
      <c r="E4062" s="75">
        <f>+C4062&amp;F4062</f>
        <v/>
      </c>
      <c r="F4062" s="80" t="n"/>
      <c r="G4062" s="81" t="n"/>
      <c r="H4062" s="78" t="n"/>
      <c r="I4062" s="78" t="n"/>
      <c r="J4062" s="78" t="n"/>
    </row>
    <row r="4063">
      <c r="A4063" s="84">
        <f>ROW()-6</f>
        <v/>
      </c>
      <c r="B4063" s="85">
        <f>+MATCH(D4063,ARTICULOS!$F$10:$F$699,0)</f>
        <v/>
      </c>
      <c r="C4063" s="86">
        <f>+VLOOKUP(B4063,ARTICULOS!$D$10:$I$699,6)</f>
        <v/>
      </c>
      <c r="D4063" s="212" t="n"/>
      <c r="E4063" s="75">
        <f>+C4063&amp;F4063</f>
        <v/>
      </c>
      <c r="F4063" s="80" t="n"/>
      <c r="G4063" s="81" t="n"/>
      <c r="H4063" s="78" t="n"/>
      <c r="I4063" s="78" t="n"/>
      <c r="J4063" s="78" t="n"/>
    </row>
    <row r="4064">
      <c r="A4064" s="84">
        <f>ROW()-6</f>
        <v/>
      </c>
      <c r="B4064" s="85">
        <f>+MATCH(D4064,ARTICULOS!$F$10:$F$699,0)</f>
        <v/>
      </c>
      <c r="C4064" s="86">
        <f>+VLOOKUP(B4064,ARTICULOS!$D$10:$I$699,6)</f>
        <v/>
      </c>
      <c r="D4064" s="212" t="n"/>
      <c r="E4064" s="75">
        <f>+C4064&amp;F4064</f>
        <v/>
      </c>
      <c r="F4064" s="80" t="n"/>
      <c r="G4064" s="81" t="n"/>
      <c r="H4064" s="78" t="n"/>
      <c r="I4064" s="78" t="n"/>
      <c r="J4064" s="78" t="n"/>
    </row>
    <row r="4065">
      <c r="A4065" s="84">
        <f>ROW()-6</f>
        <v/>
      </c>
      <c r="B4065" s="85">
        <f>+MATCH(D4065,ARTICULOS!$F$10:$F$699,0)</f>
        <v/>
      </c>
      <c r="C4065" s="86">
        <f>+VLOOKUP(B4065,ARTICULOS!$D$10:$I$699,6)</f>
        <v/>
      </c>
      <c r="D4065" s="212" t="n"/>
      <c r="E4065" s="75">
        <f>+C4065&amp;F4065</f>
        <v/>
      </c>
      <c r="F4065" s="80" t="n"/>
      <c r="G4065" s="81" t="n"/>
      <c r="H4065" s="78" t="n"/>
      <c r="I4065" s="78" t="n"/>
      <c r="J4065" s="78" t="n"/>
    </row>
    <row r="4066">
      <c r="A4066" s="84">
        <f>ROW()-6</f>
        <v/>
      </c>
      <c r="B4066" s="85">
        <f>+MATCH(D4066,ARTICULOS!$F$10:$F$699,0)</f>
        <v/>
      </c>
      <c r="C4066" s="86">
        <f>+VLOOKUP(B4066,ARTICULOS!$D$10:$I$699,6)</f>
        <v/>
      </c>
      <c r="D4066" s="212" t="n"/>
      <c r="E4066" s="75">
        <f>+C4066&amp;F4066</f>
        <v/>
      </c>
      <c r="F4066" s="80" t="n"/>
      <c r="G4066" s="81" t="n"/>
      <c r="H4066" s="78" t="n"/>
      <c r="I4066" s="78" t="n"/>
      <c r="J4066" s="78" t="n"/>
    </row>
    <row r="4067">
      <c r="A4067" s="84">
        <f>ROW()-6</f>
        <v/>
      </c>
      <c r="B4067" s="85">
        <f>+MATCH(D4067,ARTICULOS!$F$10:$F$699,0)</f>
        <v/>
      </c>
      <c r="C4067" s="86">
        <f>+VLOOKUP(B4067,ARTICULOS!$D$10:$I$699,6)</f>
        <v/>
      </c>
      <c r="D4067" s="212" t="n"/>
      <c r="E4067" s="75">
        <f>+C4067&amp;F4067</f>
        <v/>
      </c>
      <c r="F4067" s="80" t="n"/>
      <c r="G4067" s="81" t="n"/>
      <c r="H4067" s="78" t="n"/>
      <c r="I4067" s="78" t="n"/>
      <c r="J4067" s="78" t="n"/>
    </row>
    <row r="4068">
      <c r="A4068" s="84">
        <f>ROW()-6</f>
        <v/>
      </c>
      <c r="B4068" s="85">
        <f>+MATCH(D4068,ARTICULOS!$F$10:$F$699,0)</f>
        <v/>
      </c>
      <c r="C4068" s="86">
        <f>+VLOOKUP(B4068,ARTICULOS!$D$10:$I$699,6)</f>
        <v/>
      </c>
      <c r="D4068" s="212" t="n"/>
      <c r="E4068" s="75">
        <f>+C4068&amp;F4068</f>
        <v/>
      </c>
      <c r="F4068" s="80" t="n"/>
      <c r="G4068" s="81" t="n"/>
      <c r="H4068" s="78" t="n"/>
      <c r="I4068" s="78" t="n"/>
      <c r="J4068" s="78" t="n"/>
    </row>
    <row r="4069">
      <c r="A4069" s="84">
        <f>ROW()-6</f>
        <v/>
      </c>
      <c r="B4069" s="85">
        <f>+MATCH(D4069,ARTICULOS!$F$10:$F$699,0)</f>
        <v/>
      </c>
      <c r="C4069" s="86">
        <f>+VLOOKUP(B4069,ARTICULOS!$D$10:$I$699,6)</f>
        <v/>
      </c>
      <c r="D4069" s="212" t="n"/>
      <c r="E4069" s="75">
        <f>+C4069&amp;F4069</f>
        <v/>
      </c>
      <c r="F4069" s="80" t="n"/>
      <c r="G4069" s="81" t="n"/>
      <c r="H4069" s="78" t="n"/>
      <c r="I4069" s="78" t="n"/>
      <c r="J4069" s="78" t="n"/>
    </row>
    <row r="4070">
      <c r="A4070" s="84">
        <f>ROW()-6</f>
        <v/>
      </c>
      <c r="B4070" s="85">
        <f>+MATCH(D4070,ARTICULOS!$F$10:$F$699,0)</f>
        <v/>
      </c>
      <c r="C4070" s="86">
        <f>+VLOOKUP(B4070,ARTICULOS!$D$10:$I$699,6)</f>
        <v/>
      </c>
      <c r="D4070" s="212" t="n"/>
      <c r="E4070" s="75">
        <f>+C4070&amp;F4070</f>
        <v/>
      </c>
      <c r="F4070" s="80" t="n"/>
      <c r="G4070" s="81" t="n"/>
      <c r="H4070" s="78" t="n"/>
      <c r="I4070" s="78" t="n"/>
      <c r="J4070" s="78" t="n"/>
    </row>
    <row r="4071">
      <c r="A4071" s="84">
        <f>ROW()-6</f>
        <v/>
      </c>
      <c r="B4071" s="85">
        <f>+MATCH(D4071,ARTICULOS!$F$10:$F$699,0)</f>
        <v/>
      </c>
      <c r="C4071" s="86">
        <f>+VLOOKUP(B4071,ARTICULOS!$D$10:$I$699,6)</f>
        <v/>
      </c>
      <c r="D4071" s="212" t="n"/>
      <c r="E4071" s="75">
        <f>+C4071&amp;F4071</f>
        <v/>
      </c>
      <c r="F4071" s="80" t="n"/>
      <c r="G4071" s="81" t="n"/>
      <c r="H4071" s="78" t="n"/>
      <c r="I4071" s="78" t="n"/>
      <c r="J4071" s="78" t="n"/>
    </row>
    <row r="4072">
      <c r="A4072" s="84">
        <f>ROW()-6</f>
        <v/>
      </c>
      <c r="B4072" s="85">
        <f>+MATCH(D4072,ARTICULOS!$F$10:$F$699,0)</f>
        <v/>
      </c>
      <c r="C4072" s="86">
        <f>+VLOOKUP(B4072,ARTICULOS!$D$10:$I$699,6)</f>
        <v/>
      </c>
      <c r="D4072" s="212" t="n"/>
      <c r="E4072" s="75">
        <f>+C4072&amp;F4072</f>
        <v/>
      </c>
      <c r="F4072" s="80" t="n"/>
      <c r="G4072" s="81" t="n"/>
      <c r="H4072" s="78" t="n"/>
      <c r="I4072" s="78" t="n"/>
      <c r="J4072" s="78" t="n"/>
    </row>
    <row r="4073">
      <c r="A4073" s="84">
        <f>ROW()-6</f>
        <v/>
      </c>
      <c r="B4073" s="85">
        <f>+MATCH(D4073,ARTICULOS!$F$10:$F$699,0)</f>
        <v/>
      </c>
      <c r="C4073" s="86">
        <f>+VLOOKUP(B4073,ARTICULOS!$D$10:$I$699,6)</f>
        <v/>
      </c>
      <c r="D4073" s="212" t="n"/>
      <c r="E4073" s="75">
        <f>+C4073&amp;F4073</f>
        <v/>
      </c>
      <c r="F4073" s="80" t="n"/>
      <c r="G4073" s="81" t="n"/>
      <c r="H4073" s="78" t="n"/>
      <c r="I4073" s="78" t="n"/>
      <c r="J4073" s="78" t="n"/>
    </row>
    <row r="4074">
      <c r="A4074" s="84">
        <f>ROW()-6</f>
        <v/>
      </c>
      <c r="B4074" s="85">
        <f>+MATCH(D4074,ARTICULOS!$F$10:$F$699,0)</f>
        <v/>
      </c>
      <c r="C4074" s="86">
        <f>+VLOOKUP(B4074,ARTICULOS!$D$10:$I$699,6)</f>
        <v/>
      </c>
      <c r="D4074" s="212" t="n"/>
      <c r="E4074" s="75">
        <f>+C4074&amp;F4074</f>
        <v/>
      </c>
      <c r="F4074" s="80" t="n"/>
      <c r="G4074" s="81" t="n"/>
      <c r="H4074" s="78" t="n"/>
      <c r="I4074" s="78" t="n"/>
      <c r="J4074" s="78" t="n"/>
    </row>
    <row r="4075">
      <c r="A4075" s="84">
        <f>ROW()-6</f>
        <v/>
      </c>
      <c r="B4075" s="85">
        <f>+MATCH(D4075,ARTICULOS!$F$10:$F$699,0)</f>
        <v/>
      </c>
      <c r="C4075" s="86">
        <f>+VLOOKUP(B4075,ARTICULOS!$D$10:$I$699,6)</f>
        <v/>
      </c>
      <c r="D4075" s="212" t="n"/>
      <c r="E4075" s="75">
        <f>+C4075&amp;F4075</f>
        <v/>
      </c>
      <c r="F4075" s="80" t="n"/>
      <c r="G4075" s="81" t="n"/>
      <c r="H4075" s="78" t="n"/>
      <c r="I4075" s="78" t="n"/>
      <c r="J4075" s="78" t="n"/>
    </row>
    <row r="4076">
      <c r="A4076" s="84">
        <f>ROW()-6</f>
        <v/>
      </c>
      <c r="B4076" s="85">
        <f>+MATCH(D4076,ARTICULOS!$F$10:$F$699,0)</f>
        <v/>
      </c>
      <c r="C4076" s="86">
        <f>+VLOOKUP(B4076,ARTICULOS!$D$10:$I$699,6)</f>
        <v/>
      </c>
      <c r="D4076" s="212" t="n"/>
      <c r="E4076" s="75">
        <f>+C4076&amp;F4076</f>
        <v/>
      </c>
      <c r="F4076" s="80" t="n"/>
      <c r="G4076" s="81" t="n"/>
      <c r="H4076" s="78" t="n"/>
      <c r="I4076" s="78" t="n"/>
      <c r="J4076" s="78" t="n"/>
    </row>
    <row r="4077">
      <c r="A4077" s="84">
        <f>ROW()-6</f>
        <v/>
      </c>
      <c r="B4077" s="85">
        <f>+MATCH(D4077,ARTICULOS!$F$10:$F$699,0)</f>
        <v/>
      </c>
      <c r="C4077" s="86">
        <f>+VLOOKUP(B4077,ARTICULOS!$D$10:$I$699,6)</f>
        <v/>
      </c>
      <c r="D4077" s="212" t="n"/>
      <c r="E4077" s="75">
        <f>+C4077&amp;F4077</f>
        <v/>
      </c>
      <c r="F4077" s="80" t="n"/>
      <c r="G4077" s="81" t="n"/>
      <c r="H4077" s="78" t="n"/>
      <c r="I4077" s="78" t="n"/>
      <c r="J4077" s="78" t="n"/>
    </row>
    <row r="4078">
      <c r="A4078" s="84">
        <f>ROW()-6</f>
        <v/>
      </c>
      <c r="B4078" s="85">
        <f>+MATCH(D4078,ARTICULOS!$F$10:$F$699,0)</f>
        <v/>
      </c>
      <c r="C4078" s="86">
        <f>+VLOOKUP(B4078,ARTICULOS!$D$10:$I$699,6)</f>
        <v/>
      </c>
      <c r="D4078" s="212" t="n"/>
      <c r="E4078" s="75">
        <f>+C4078&amp;F4078</f>
        <v/>
      </c>
      <c r="F4078" s="80" t="n"/>
      <c r="G4078" s="81" t="n"/>
      <c r="H4078" s="78" t="n"/>
      <c r="I4078" s="78" t="n"/>
      <c r="J4078" s="78" t="n"/>
    </row>
    <row r="4079">
      <c r="A4079" s="84">
        <f>ROW()-6</f>
        <v/>
      </c>
      <c r="B4079" s="85">
        <f>+MATCH(D4079,ARTICULOS!$F$10:$F$699,0)</f>
        <v/>
      </c>
      <c r="C4079" s="86">
        <f>+VLOOKUP(B4079,ARTICULOS!$D$10:$I$699,6)</f>
        <v/>
      </c>
      <c r="D4079" s="212" t="n"/>
      <c r="E4079" s="75">
        <f>+C4079&amp;F4079</f>
        <v/>
      </c>
      <c r="F4079" s="80" t="n"/>
      <c r="G4079" s="81" t="n"/>
      <c r="H4079" s="78" t="n"/>
      <c r="I4079" s="78" t="n"/>
      <c r="J4079" s="78" t="n"/>
    </row>
    <row r="4080">
      <c r="A4080" s="84">
        <f>ROW()-6</f>
        <v/>
      </c>
      <c r="B4080" s="85">
        <f>+MATCH(D4080,ARTICULOS!$F$10:$F$699,0)</f>
        <v/>
      </c>
      <c r="C4080" s="86">
        <f>+VLOOKUP(B4080,ARTICULOS!$D$10:$I$699,6)</f>
        <v/>
      </c>
      <c r="D4080" s="212" t="n"/>
      <c r="E4080" s="75">
        <f>+C4080&amp;F4080</f>
        <v/>
      </c>
      <c r="F4080" s="80" t="n"/>
      <c r="G4080" s="81" t="n"/>
      <c r="H4080" s="78" t="n"/>
      <c r="I4080" s="78" t="n"/>
      <c r="J4080" s="78" t="n"/>
    </row>
    <row r="4081">
      <c r="A4081" s="84">
        <f>ROW()-6</f>
        <v/>
      </c>
      <c r="B4081" s="85">
        <f>+MATCH(D4081,ARTICULOS!$F$10:$F$699,0)</f>
        <v/>
      </c>
      <c r="C4081" s="86">
        <f>+VLOOKUP(B4081,ARTICULOS!$D$10:$I$699,6)</f>
        <v/>
      </c>
      <c r="D4081" s="212" t="n"/>
      <c r="E4081" s="75">
        <f>+C4081&amp;F4081</f>
        <v/>
      </c>
      <c r="F4081" s="80" t="n"/>
      <c r="G4081" s="81" t="n"/>
      <c r="H4081" s="78" t="n"/>
      <c r="I4081" s="78" t="n"/>
      <c r="J4081" s="78" t="n"/>
    </row>
    <row r="4082">
      <c r="A4082" s="84">
        <f>ROW()-6</f>
        <v/>
      </c>
      <c r="B4082" s="85">
        <f>+MATCH(D4082,ARTICULOS!$F$10:$F$699,0)</f>
        <v/>
      </c>
      <c r="C4082" s="86">
        <f>+VLOOKUP(B4082,ARTICULOS!$D$10:$I$699,6)</f>
        <v/>
      </c>
      <c r="D4082" s="212" t="n"/>
      <c r="E4082" s="75">
        <f>+C4082&amp;F4082</f>
        <v/>
      </c>
      <c r="F4082" s="80" t="n"/>
      <c r="G4082" s="81" t="n"/>
      <c r="H4082" s="78" t="n"/>
      <c r="I4082" s="78" t="n"/>
      <c r="J4082" s="78" t="n"/>
    </row>
    <row r="4083">
      <c r="A4083" s="84">
        <f>ROW()-6</f>
        <v/>
      </c>
      <c r="B4083" s="85">
        <f>+MATCH(D4083,ARTICULOS!$F$10:$F$699,0)</f>
        <v/>
      </c>
      <c r="C4083" s="86">
        <f>+VLOOKUP(B4083,ARTICULOS!$D$10:$I$699,6)</f>
        <v/>
      </c>
      <c r="D4083" s="212" t="n"/>
      <c r="E4083" s="75">
        <f>+C4083&amp;F4083</f>
        <v/>
      </c>
      <c r="F4083" s="80" t="n"/>
      <c r="G4083" s="81" t="n"/>
      <c r="H4083" s="78" t="n"/>
      <c r="I4083" s="78" t="n"/>
      <c r="J4083" s="78" t="n"/>
    </row>
    <row r="4084">
      <c r="A4084" s="84">
        <f>ROW()-6</f>
        <v/>
      </c>
      <c r="B4084" s="85">
        <f>+MATCH(D4084,ARTICULOS!$F$10:$F$699,0)</f>
        <v/>
      </c>
      <c r="C4084" s="86">
        <f>+VLOOKUP(B4084,ARTICULOS!$D$10:$I$699,6)</f>
        <v/>
      </c>
      <c r="D4084" s="212" t="n"/>
      <c r="E4084" s="75">
        <f>+C4084&amp;F4084</f>
        <v/>
      </c>
      <c r="F4084" s="80" t="n"/>
      <c r="G4084" s="81" t="n"/>
      <c r="H4084" s="78" t="n"/>
      <c r="I4084" s="78" t="n"/>
      <c r="J4084" s="78" t="n"/>
    </row>
    <row r="4085">
      <c r="A4085" s="84">
        <f>ROW()-6</f>
        <v/>
      </c>
      <c r="B4085" s="85">
        <f>+MATCH(D4085,ARTICULOS!$F$10:$F$699,0)</f>
        <v/>
      </c>
      <c r="C4085" s="86">
        <f>+VLOOKUP(B4085,ARTICULOS!$D$10:$I$699,6)</f>
        <v/>
      </c>
      <c r="D4085" s="212" t="n"/>
      <c r="E4085" s="75">
        <f>+C4085&amp;F4085</f>
        <v/>
      </c>
      <c r="F4085" s="80" t="n"/>
      <c r="G4085" s="81" t="n"/>
      <c r="H4085" s="78" t="n"/>
      <c r="I4085" s="78" t="n"/>
      <c r="J4085" s="78" t="n"/>
    </row>
    <row r="4086">
      <c r="A4086" s="84">
        <f>ROW()-6</f>
        <v/>
      </c>
      <c r="B4086" s="85">
        <f>+MATCH(D4086,ARTICULOS!$F$10:$F$699,0)</f>
        <v/>
      </c>
      <c r="C4086" s="86">
        <f>+VLOOKUP(B4086,ARTICULOS!$D$10:$I$699,6)</f>
        <v/>
      </c>
      <c r="D4086" s="212" t="n"/>
      <c r="E4086" s="75">
        <f>+C4086&amp;F4086</f>
        <v/>
      </c>
      <c r="F4086" s="80" t="n"/>
      <c r="G4086" s="81" t="n"/>
      <c r="H4086" s="78" t="n"/>
      <c r="I4086" s="78" t="n"/>
      <c r="J4086" s="78" t="n"/>
    </row>
    <row r="4087">
      <c r="A4087" s="84">
        <f>ROW()-6</f>
        <v/>
      </c>
      <c r="B4087" s="85">
        <f>+MATCH(D4087,ARTICULOS!$F$10:$F$699,0)</f>
        <v/>
      </c>
      <c r="C4087" s="86">
        <f>+VLOOKUP(B4087,ARTICULOS!$D$10:$I$699,6)</f>
        <v/>
      </c>
      <c r="D4087" s="212" t="n"/>
      <c r="E4087" s="75">
        <f>+C4087&amp;F4087</f>
        <v/>
      </c>
      <c r="F4087" s="80" t="n"/>
      <c r="G4087" s="81" t="n"/>
      <c r="H4087" s="78" t="n"/>
      <c r="I4087" s="78" t="n"/>
      <c r="J4087" s="78" t="n"/>
    </row>
    <row r="4088">
      <c r="A4088" s="84">
        <f>ROW()-6</f>
        <v/>
      </c>
      <c r="B4088" s="85">
        <f>+MATCH(D4088,ARTICULOS!$F$10:$F$699,0)</f>
        <v/>
      </c>
      <c r="C4088" s="86">
        <f>+VLOOKUP(B4088,ARTICULOS!$D$10:$I$699,6)</f>
        <v/>
      </c>
      <c r="D4088" s="212" t="n"/>
      <c r="E4088" s="75">
        <f>+C4088&amp;F4088</f>
        <v/>
      </c>
      <c r="F4088" s="80" t="n"/>
      <c r="G4088" s="81" t="n"/>
      <c r="H4088" s="78" t="n"/>
      <c r="I4088" s="78" t="n"/>
      <c r="J4088" s="78" t="n"/>
    </row>
    <row r="4089">
      <c r="A4089" s="84">
        <f>ROW()-6</f>
        <v/>
      </c>
      <c r="B4089" s="85">
        <f>+MATCH(D4089,ARTICULOS!$F$10:$F$699,0)</f>
        <v/>
      </c>
      <c r="C4089" s="86">
        <f>+VLOOKUP(B4089,ARTICULOS!$D$10:$I$699,6)</f>
        <v/>
      </c>
      <c r="D4089" s="212" t="n"/>
      <c r="E4089" s="75">
        <f>+C4089&amp;F4089</f>
        <v/>
      </c>
      <c r="F4089" s="80" t="n"/>
      <c r="G4089" s="81" t="n"/>
      <c r="H4089" s="78" t="n"/>
      <c r="I4089" s="78" t="n"/>
      <c r="J4089" s="78" t="n"/>
    </row>
    <row r="4090">
      <c r="A4090" s="84">
        <f>ROW()-6</f>
        <v/>
      </c>
      <c r="B4090" s="85">
        <f>+MATCH(D4090,ARTICULOS!$F$10:$F$699,0)</f>
        <v/>
      </c>
      <c r="C4090" s="86">
        <f>+VLOOKUP(B4090,ARTICULOS!$D$10:$I$699,6)</f>
        <v/>
      </c>
      <c r="D4090" s="212" t="n"/>
      <c r="E4090" s="75">
        <f>+C4090&amp;F4090</f>
        <v/>
      </c>
      <c r="F4090" s="80" t="n"/>
      <c r="G4090" s="81" t="n"/>
      <c r="H4090" s="78" t="n"/>
      <c r="I4090" s="78" t="n"/>
      <c r="J4090" s="78" t="n"/>
    </row>
    <row r="4091">
      <c r="A4091" s="84">
        <f>ROW()-6</f>
        <v/>
      </c>
      <c r="B4091" s="85">
        <f>+MATCH(D4091,ARTICULOS!$F$10:$F$699,0)</f>
        <v/>
      </c>
      <c r="C4091" s="86">
        <f>+VLOOKUP(B4091,ARTICULOS!$D$10:$I$699,6)</f>
        <v/>
      </c>
      <c r="D4091" s="212" t="n"/>
      <c r="E4091" s="75">
        <f>+C4091&amp;F4091</f>
        <v/>
      </c>
      <c r="F4091" s="80" t="n"/>
      <c r="G4091" s="81" t="n"/>
      <c r="H4091" s="78" t="n"/>
      <c r="I4091" s="78" t="n"/>
      <c r="J4091" s="78" t="n"/>
    </row>
    <row r="4092">
      <c r="A4092" s="84">
        <f>ROW()-6</f>
        <v/>
      </c>
      <c r="B4092" s="85">
        <f>+MATCH(D4092,ARTICULOS!$F$10:$F$699,0)</f>
        <v/>
      </c>
      <c r="C4092" s="86">
        <f>+VLOOKUP(B4092,ARTICULOS!$D$10:$I$699,6)</f>
        <v/>
      </c>
      <c r="D4092" s="212" t="n"/>
      <c r="E4092" s="75">
        <f>+C4092&amp;F4092</f>
        <v/>
      </c>
      <c r="F4092" s="80" t="n"/>
      <c r="G4092" s="81" t="n"/>
      <c r="H4092" s="78" t="n"/>
      <c r="I4092" s="78" t="n"/>
      <c r="J4092" s="78" t="n"/>
    </row>
    <row r="4093">
      <c r="A4093" s="84">
        <f>ROW()-6</f>
        <v/>
      </c>
      <c r="B4093" s="85">
        <f>+MATCH(D4093,ARTICULOS!$F$10:$F$699,0)</f>
        <v/>
      </c>
      <c r="C4093" s="86">
        <f>+VLOOKUP(B4093,ARTICULOS!$D$10:$I$699,6)</f>
        <v/>
      </c>
      <c r="D4093" s="212" t="n"/>
      <c r="E4093" s="75">
        <f>+C4093&amp;F4093</f>
        <v/>
      </c>
      <c r="F4093" s="80" t="n"/>
      <c r="G4093" s="81" t="n"/>
      <c r="H4093" s="78" t="n"/>
      <c r="I4093" s="78" t="n"/>
      <c r="J4093" s="78" t="n"/>
    </row>
    <row r="4094">
      <c r="A4094" s="84">
        <f>ROW()-6</f>
        <v/>
      </c>
      <c r="B4094" s="85">
        <f>+MATCH(D4094,ARTICULOS!$F$10:$F$699,0)</f>
        <v/>
      </c>
      <c r="C4094" s="86">
        <f>+VLOOKUP(B4094,ARTICULOS!$D$10:$I$699,6)</f>
        <v/>
      </c>
      <c r="D4094" s="212" t="n"/>
      <c r="E4094" s="75">
        <f>+C4094&amp;F4094</f>
        <v/>
      </c>
      <c r="F4094" s="80" t="n"/>
      <c r="G4094" s="81" t="n"/>
      <c r="H4094" s="78" t="n"/>
      <c r="I4094" s="78" t="n"/>
      <c r="J4094" s="78" t="n"/>
    </row>
    <row r="4095">
      <c r="A4095" s="84">
        <f>ROW()-6</f>
        <v/>
      </c>
      <c r="B4095" s="85">
        <f>+MATCH(D4095,ARTICULOS!$F$10:$F$699,0)</f>
        <v/>
      </c>
      <c r="C4095" s="86">
        <f>+VLOOKUP(B4095,ARTICULOS!$D$10:$I$699,6)</f>
        <v/>
      </c>
      <c r="D4095" s="212" t="n"/>
      <c r="E4095" s="75">
        <f>+C4095&amp;F4095</f>
        <v/>
      </c>
      <c r="F4095" s="80" t="n"/>
      <c r="G4095" s="81" t="n"/>
      <c r="H4095" s="78" t="n"/>
      <c r="I4095" s="78" t="n"/>
      <c r="J4095" s="78" t="n"/>
    </row>
    <row r="4096">
      <c r="A4096" s="84">
        <f>ROW()-6</f>
        <v/>
      </c>
      <c r="B4096" s="85">
        <f>+MATCH(D4096,ARTICULOS!$F$10:$F$699,0)</f>
        <v/>
      </c>
      <c r="C4096" s="86">
        <f>+VLOOKUP(B4096,ARTICULOS!$D$10:$I$699,6)</f>
        <v/>
      </c>
      <c r="D4096" s="212" t="n"/>
      <c r="E4096" s="75">
        <f>+C4096&amp;F4096</f>
        <v/>
      </c>
      <c r="F4096" s="80" t="n"/>
      <c r="G4096" s="81" t="n"/>
      <c r="H4096" s="78" t="n"/>
      <c r="I4096" s="78" t="n"/>
      <c r="J4096" s="78" t="n"/>
    </row>
    <row r="4097">
      <c r="A4097" s="84">
        <f>ROW()-6</f>
        <v/>
      </c>
      <c r="B4097" s="85">
        <f>+MATCH(D4097,ARTICULOS!$F$10:$F$699,0)</f>
        <v/>
      </c>
      <c r="C4097" s="86">
        <f>+VLOOKUP(B4097,ARTICULOS!$D$10:$I$699,6)</f>
        <v/>
      </c>
      <c r="D4097" s="212" t="n"/>
      <c r="E4097" s="75">
        <f>+C4097&amp;F4097</f>
        <v/>
      </c>
      <c r="F4097" s="80" t="n"/>
      <c r="G4097" s="81" t="n"/>
      <c r="H4097" s="78" t="n"/>
      <c r="I4097" s="78" t="n"/>
      <c r="J4097" s="78" t="n"/>
    </row>
    <row r="4098">
      <c r="A4098" s="84">
        <f>ROW()-6</f>
        <v/>
      </c>
      <c r="B4098" s="85">
        <f>+MATCH(D4098,ARTICULOS!$F$10:$F$699,0)</f>
        <v/>
      </c>
      <c r="C4098" s="86">
        <f>+VLOOKUP(B4098,ARTICULOS!$D$10:$I$699,6)</f>
        <v/>
      </c>
      <c r="D4098" s="212" t="n"/>
      <c r="E4098" s="75">
        <f>+C4098&amp;F4098</f>
        <v/>
      </c>
      <c r="F4098" s="80" t="n"/>
      <c r="G4098" s="81" t="n"/>
      <c r="H4098" s="78" t="n"/>
      <c r="I4098" s="78" t="n"/>
      <c r="J4098" s="78" t="n"/>
    </row>
    <row r="4099">
      <c r="A4099" s="84">
        <f>ROW()-6</f>
        <v/>
      </c>
      <c r="B4099" s="85">
        <f>+MATCH(D4099,ARTICULOS!$F$10:$F$699,0)</f>
        <v/>
      </c>
      <c r="C4099" s="86">
        <f>+VLOOKUP(B4099,ARTICULOS!$D$10:$I$699,6)</f>
        <v/>
      </c>
      <c r="D4099" s="212" t="n"/>
      <c r="E4099" s="75">
        <f>+C4099&amp;F4099</f>
        <v/>
      </c>
      <c r="F4099" s="80" t="n"/>
      <c r="G4099" s="81" t="n"/>
      <c r="H4099" s="78" t="n"/>
      <c r="I4099" s="78" t="n"/>
      <c r="J4099" s="78" t="n"/>
    </row>
    <row r="4100">
      <c r="A4100" s="84">
        <f>ROW()-6</f>
        <v/>
      </c>
      <c r="B4100" s="85">
        <f>+MATCH(D4100,ARTICULOS!$F$10:$F$699,0)</f>
        <v/>
      </c>
      <c r="C4100" s="86">
        <f>+VLOOKUP(B4100,ARTICULOS!$D$10:$I$699,6)</f>
        <v/>
      </c>
      <c r="D4100" s="212" t="n"/>
      <c r="E4100" s="75">
        <f>+C4100&amp;F4100</f>
        <v/>
      </c>
      <c r="F4100" s="80" t="n"/>
      <c r="G4100" s="81" t="n"/>
      <c r="H4100" s="78" t="n"/>
      <c r="I4100" s="78" t="n"/>
      <c r="J4100" s="78" t="n"/>
    </row>
    <row r="4101">
      <c r="A4101" s="84">
        <f>ROW()-6</f>
        <v/>
      </c>
      <c r="B4101" s="85">
        <f>+MATCH(D4101,ARTICULOS!$F$10:$F$699,0)</f>
        <v/>
      </c>
      <c r="C4101" s="86">
        <f>+VLOOKUP(B4101,ARTICULOS!$D$10:$I$699,6)</f>
        <v/>
      </c>
      <c r="D4101" s="212" t="n"/>
      <c r="E4101" s="75">
        <f>+C4101&amp;F4101</f>
        <v/>
      </c>
      <c r="F4101" s="80" t="n"/>
      <c r="G4101" s="81" t="n"/>
      <c r="H4101" s="78" t="n"/>
      <c r="I4101" s="78" t="n"/>
      <c r="J4101" s="78" t="n"/>
    </row>
    <row r="4102">
      <c r="A4102" s="84">
        <f>ROW()-6</f>
        <v/>
      </c>
      <c r="B4102" s="85">
        <f>+MATCH(D4102,ARTICULOS!$F$10:$F$699,0)</f>
        <v/>
      </c>
      <c r="C4102" s="86">
        <f>+VLOOKUP(B4102,ARTICULOS!$D$10:$I$699,6)</f>
        <v/>
      </c>
      <c r="D4102" s="212" t="n"/>
      <c r="E4102" s="75">
        <f>+C4102&amp;F4102</f>
        <v/>
      </c>
      <c r="F4102" s="80" t="n"/>
      <c r="G4102" s="81" t="n"/>
      <c r="H4102" s="78" t="n"/>
      <c r="I4102" s="78" t="n"/>
      <c r="J4102" s="78" t="n"/>
    </row>
    <row r="4103">
      <c r="A4103" s="84">
        <f>ROW()-6</f>
        <v/>
      </c>
      <c r="B4103" s="85">
        <f>+MATCH(D4103,ARTICULOS!$F$10:$F$699,0)</f>
        <v/>
      </c>
      <c r="C4103" s="86">
        <f>+VLOOKUP(B4103,ARTICULOS!$D$10:$I$699,6)</f>
        <v/>
      </c>
      <c r="D4103" s="212" t="n"/>
      <c r="E4103" s="75">
        <f>+C4103&amp;F4103</f>
        <v/>
      </c>
      <c r="F4103" s="80" t="n"/>
      <c r="G4103" s="81" t="n"/>
      <c r="H4103" s="78" t="n"/>
      <c r="I4103" s="78" t="n"/>
      <c r="J4103" s="78" t="n"/>
    </row>
    <row r="4104">
      <c r="A4104" s="84">
        <f>ROW()-6</f>
        <v/>
      </c>
      <c r="B4104" s="85">
        <f>+MATCH(D4104,ARTICULOS!$F$10:$F$699,0)</f>
        <v/>
      </c>
      <c r="C4104" s="86">
        <f>+VLOOKUP(B4104,ARTICULOS!$D$10:$I$699,6)</f>
        <v/>
      </c>
      <c r="D4104" s="212" t="n"/>
      <c r="E4104" s="75">
        <f>+C4104&amp;F4104</f>
        <v/>
      </c>
      <c r="F4104" s="80" t="n"/>
      <c r="G4104" s="81" t="n"/>
      <c r="H4104" s="78" t="n"/>
      <c r="I4104" s="78" t="n"/>
      <c r="J4104" s="78" t="n"/>
    </row>
    <row r="4105">
      <c r="A4105" s="84">
        <f>ROW()-6</f>
        <v/>
      </c>
      <c r="B4105" s="85">
        <f>+MATCH(D4105,ARTICULOS!$F$10:$F$699,0)</f>
        <v/>
      </c>
      <c r="C4105" s="86">
        <f>+VLOOKUP(B4105,ARTICULOS!$D$10:$I$699,6)</f>
        <v/>
      </c>
      <c r="D4105" s="212" t="n"/>
      <c r="E4105" s="75">
        <f>+C4105&amp;F4105</f>
        <v/>
      </c>
      <c r="F4105" s="80" t="n"/>
      <c r="G4105" s="81" t="n"/>
      <c r="H4105" s="78" t="n"/>
      <c r="I4105" s="78" t="n"/>
      <c r="J4105" s="78" t="n"/>
    </row>
    <row r="4106">
      <c r="A4106" s="84">
        <f>ROW()-6</f>
        <v/>
      </c>
      <c r="B4106" s="85">
        <f>+MATCH(D4106,ARTICULOS!$F$10:$F$699,0)</f>
        <v/>
      </c>
      <c r="C4106" s="86">
        <f>+VLOOKUP(B4106,ARTICULOS!$D$10:$I$699,6)</f>
        <v/>
      </c>
      <c r="D4106" s="212" t="n"/>
      <c r="E4106" s="75">
        <f>+C4106&amp;F4106</f>
        <v/>
      </c>
      <c r="F4106" s="80" t="n"/>
      <c r="G4106" s="81" t="n"/>
      <c r="H4106" s="78" t="n"/>
      <c r="I4106" s="78" t="n"/>
      <c r="J4106" s="78" t="n"/>
    </row>
    <row r="4107">
      <c r="A4107" s="84">
        <f>ROW()-6</f>
        <v/>
      </c>
      <c r="B4107" s="85">
        <f>+MATCH(D4107,ARTICULOS!$F$10:$F$699,0)</f>
        <v/>
      </c>
      <c r="C4107" s="86">
        <f>+VLOOKUP(B4107,ARTICULOS!$D$10:$I$699,6)</f>
        <v/>
      </c>
      <c r="D4107" s="212" t="n"/>
      <c r="E4107" s="75">
        <f>+C4107&amp;F4107</f>
        <v/>
      </c>
      <c r="F4107" s="80" t="n"/>
      <c r="G4107" s="81" t="n"/>
      <c r="H4107" s="78" t="n"/>
      <c r="I4107" s="78" t="n"/>
      <c r="J4107" s="78" t="n"/>
    </row>
    <row r="4108">
      <c r="A4108" s="84">
        <f>ROW()-6</f>
        <v/>
      </c>
      <c r="B4108" s="85">
        <f>+MATCH(D4108,ARTICULOS!$F$10:$F$699,0)</f>
        <v/>
      </c>
      <c r="C4108" s="86">
        <f>+VLOOKUP(B4108,ARTICULOS!$D$10:$I$699,6)</f>
        <v/>
      </c>
      <c r="D4108" s="212" t="n"/>
      <c r="E4108" s="75">
        <f>+C4108&amp;F4108</f>
        <v/>
      </c>
      <c r="F4108" s="80" t="n"/>
      <c r="G4108" s="81" t="n"/>
      <c r="H4108" s="78" t="n"/>
      <c r="I4108" s="78" t="n"/>
      <c r="J4108" s="78" t="n"/>
    </row>
    <row r="4109">
      <c r="A4109" s="84">
        <f>ROW()-6</f>
        <v/>
      </c>
      <c r="B4109" s="85">
        <f>+MATCH(D4109,ARTICULOS!$F$10:$F$699,0)</f>
        <v/>
      </c>
      <c r="C4109" s="86">
        <f>+VLOOKUP(B4109,ARTICULOS!$D$10:$I$699,6)</f>
        <v/>
      </c>
      <c r="D4109" s="212" t="n"/>
      <c r="E4109" s="75">
        <f>+C4109&amp;F4109</f>
        <v/>
      </c>
      <c r="F4109" s="80" t="n"/>
      <c r="G4109" s="81" t="n"/>
      <c r="H4109" s="78" t="n"/>
      <c r="I4109" s="78" t="n"/>
      <c r="J4109" s="78" t="n"/>
    </row>
    <row r="4110">
      <c r="A4110" s="84">
        <f>ROW()-6</f>
        <v/>
      </c>
      <c r="B4110" s="85">
        <f>+MATCH(D4110,ARTICULOS!$F$10:$F$699,0)</f>
        <v/>
      </c>
      <c r="C4110" s="86">
        <f>+VLOOKUP(B4110,ARTICULOS!$D$10:$I$699,6)</f>
        <v/>
      </c>
      <c r="D4110" s="212" t="n"/>
      <c r="E4110" s="75">
        <f>+C4110&amp;F4110</f>
        <v/>
      </c>
      <c r="F4110" s="80" t="n"/>
      <c r="G4110" s="81" t="n"/>
      <c r="H4110" s="78" t="n"/>
      <c r="I4110" s="78" t="n"/>
      <c r="J4110" s="78" t="n"/>
    </row>
    <row r="4111">
      <c r="A4111" s="84">
        <f>ROW()-6</f>
        <v/>
      </c>
      <c r="B4111" s="85">
        <f>+MATCH(D4111,ARTICULOS!$F$10:$F$699,0)</f>
        <v/>
      </c>
      <c r="C4111" s="86">
        <f>+VLOOKUP(B4111,ARTICULOS!$D$10:$I$699,6)</f>
        <v/>
      </c>
      <c r="D4111" s="212" t="n"/>
      <c r="E4111" s="75">
        <f>+C4111&amp;F4111</f>
        <v/>
      </c>
      <c r="F4111" s="80" t="n"/>
      <c r="G4111" s="81" t="n"/>
      <c r="H4111" s="78" t="n"/>
      <c r="I4111" s="78" t="n"/>
      <c r="J4111" s="78" t="n"/>
    </row>
    <row r="4112">
      <c r="A4112" s="84">
        <f>ROW()-6</f>
        <v/>
      </c>
      <c r="B4112" s="85">
        <f>+MATCH(D4112,ARTICULOS!$F$10:$F$699,0)</f>
        <v/>
      </c>
      <c r="C4112" s="86">
        <f>+VLOOKUP(B4112,ARTICULOS!$D$10:$I$699,6)</f>
        <v/>
      </c>
      <c r="D4112" s="212" t="n"/>
      <c r="E4112" s="75">
        <f>+C4112&amp;F4112</f>
        <v/>
      </c>
      <c r="F4112" s="80" t="n"/>
      <c r="G4112" s="81" t="n"/>
      <c r="H4112" s="78" t="n"/>
      <c r="I4112" s="78" t="n"/>
      <c r="J4112" s="78" t="n"/>
    </row>
    <row r="4113">
      <c r="A4113" s="84">
        <f>ROW()-6</f>
        <v/>
      </c>
      <c r="B4113" s="85">
        <f>+MATCH(D4113,ARTICULOS!$F$10:$F$699,0)</f>
        <v/>
      </c>
      <c r="C4113" s="86">
        <f>+VLOOKUP(B4113,ARTICULOS!$D$10:$I$699,6)</f>
        <v/>
      </c>
      <c r="D4113" s="212" t="n"/>
      <c r="E4113" s="75">
        <f>+C4113&amp;F4113</f>
        <v/>
      </c>
      <c r="F4113" s="80" t="n"/>
      <c r="G4113" s="81" t="n"/>
      <c r="H4113" s="78" t="n"/>
      <c r="I4113" s="78" t="n"/>
      <c r="J4113" s="78" t="n"/>
    </row>
    <row r="4114">
      <c r="A4114" s="84">
        <f>ROW()-6</f>
        <v/>
      </c>
      <c r="B4114" s="85">
        <f>+MATCH(D4114,ARTICULOS!$F$10:$F$699,0)</f>
        <v/>
      </c>
      <c r="C4114" s="86">
        <f>+VLOOKUP(B4114,ARTICULOS!$D$10:$I$699,6)</f>
        <v/>
      </c>
      <c r="D4114" s="212" t="n"/>
      <c r="E4114" s="75">
        <f>+C4114&amp;F4114</f>
        <v/>
      </c>
      <c r="F4114" s="80" t="n"/>
      <c r="G4114" s="81" t="n"/>
      <c r="H4114" s="78" t="n"/>
      <c r="I4114" s="78" t="n"/>
      <c r="J4114" s="78" t="n"/>
    </row>
    <row r="4115">
      <c r="A4115" s="84">
        <f>ROW()-6</f>
        <v/>
      </c>
      <c r="B4115" s="85">
        <f>+MATCH(D4115,ARTICULOS!$F$10:$F$699,0)</f>
        <v/>
      </c>
      <c r="C4115" s="86">
        <f>+VLOOKUP(B4115,ARTICULOS!$D$10:$I$699,6)</f>
        <v/>
      </c>
      <c r="D4115" s="212" t="n"/>
      <c r="E4115" s="75">
        <f>+C4115&amp;F4115</f>
        <v/>
      </c>
      <c r="F4115" s="80" t="n"/>
      <c r="G4115" s="81" t="n"/>
      <c r="H4115" s="78" t="n"/>
      <c r="I4115" s="78" t="n"/>
      <c r="J4115" s="78" t="n"/>
    </row>
    <row r="4116">
      <c r="A4116" s="84">
        <f>ROW()-6</f>
        <v/>
      </c>
      <c r="B4116" s="85">
        <f>+MATCH(D4116,ARTICULOS!$F$10:$F$699,0)</f>
        <v/>
      </c>
      <c r="C4116" s="86">
        <f>+VLOOKUP(B4116,ARTICULOS!$D$10:$I$699,6)</f>
        <v/>
      </c>
      <c r="D4116" s="212" t="n"/>
      <c r="E4116" s="75">
        <f>+C4116&amp;F4116</f>
        <v/>
      </c>
      <c r="F4116" s="80" t="n"/>
      <c r="G4116" s="81" t="n"/>
      <c r="H4116" s="78" t="n"/>
      <c r="I4116" s="78" t="n"/>
      <c r="J4116" s="78" t="n"/>
    </row>
    <row r="4117">
      <c r="A4117" s="84">
        <f>ROW()-6</f>
        <v/>
      </c>
      <c r="B4117" s="85">
        <f>+MATCH(D4117,ARTICULOS!$F$10:$F$699,0)</f>
        <v/>
      </c>
      <c r="C4117" s="86">
        <f>+VLOOKUP(B4117,ARTICULOS!$D$10:$I$699,6)</f>
        <v/>
      </c>
      <c r="D4117" s="212" t="n"/>
      <c r="E4117" s="75">
        <f>+C4117&amp;F4117</f>
        <v/>
      </c>
      <c r="F4117" s="80" t="n"/>
      <c r="G4117" s="81" t="n"/>
      <c r="H4117" s="78" t="n"/>
      <c r="I4117" s="78" t="n"/>
      <c r="J4117" s="78" t="n"/>
    </row>
    <row r="4118">
      <c r="A4118" s="84">
        <f>ROW()-6</f>
        <v/>
      </c>
      <c r="B4118" s="85">
        <f>+MATCH(D4118,ARTICULOS!$F$10:$F$699,0)</f>
        <v/>
      </c>
      <c r="C4118" s="86">
        <f>+VLOOKUP(B4118,ARTICULOS!$D$10:$I$699,6)</f>
        <v/>
      </c>
      <c r="D4118" s="212" t="n"/>
      <c r="E4118" s="75">
        <f>+C4118&amp;F4118</f>
        <v/>
      </c>
      <c r="F4118" s="80" t="n"/>
      <c r="G4118" s="81" t="n"/>
      <c r="H4118" s="78" t="n"/>
      <c r="I4118" s="78" t="n"/>
      <c r="J4118" s="78" t="n"/>
    </row>
    <row r="4119">
      <c r="A4119" s="84">
        <f>ROW()-6</f>
        <v/>
      </c>
      <c r="B4119" s="85">
        <f>+MATCH(D4119,ARTICULOS!$F$10:$F$699,0)</f>
        <v/>
      </c>
      <c r="C4119" s="86">
        <f>+VLOOKUP(B4119,ARTICULOS!$D$10:$I$699,6)</f>
        <v/>
      </c>
      <c r="D4119" s="212" t="n"/>
      <c r="E4119" s="75">
        <f>+C4119&amp;F4119</f>
        <v/>
      </c>
      <c r="F4119" s="80" t="n"/>
      <c r="G4119" s="81" t="n"/>
      <c r="H4119" s="78" t="n"/>
      <c r="I4119" s="78" t="n"/>
      <c r="J4119" s="78" t="n"/>
    </row>
    <row r="4120">
      <c r="A4120" s="84">
        <f>ROW()-6</f>
        <v/>
      </c>
      <c r="B4120" s="85">
        <f>+MATCH(D4120,ARTICULOS!$F$10:$F$699,0)</f>
        <v/>
      </c>
      <c r="C4120" s="86">
        <f>+VLOOKUP(B4120,ARTICULOS!$D$10:$I$699,6)</f>
        <v/>
      </c>
      <c r="D4120" s="212" t="n"/>
      <c r="E4120" s="75">
        <f>+C4120&amp;F4120</f>
        <v/>
      </c>
      <c r="F4120" s="80" t="n"/>
      <c r="G4120" s="81" t="n"/>
      <c r="H4120" s="78" t="n"/>
      <c r="I4120" s="78" t="n"/>
      <c r="J4120" s="78" t="n"/>
    </row>
    <row r="4121">
      <c r="A4121" s="84">
        <f>ROW()-6</f>
        <v/>
      </c>
      <c r="B4121" s="85">
        <f>+MATCH(D4121,ARTICULOS!$F$10:$F$699,0)</f>
        <v/>
      </c>
      <c r="C4121" s="86">
        <f>+VLOOKUP(B4121,ARTICULOS!$D$10:$I$699,6)</f>
        <v/>
      </c>
      <c r="D4121" s="212" t="n"/>
      <c r="E4121" s="75">
        <f>+C4121&amp;F4121</f>
        <v/>
      </c>
      <c r="F4121" s="80" t="n"/>
      <c r="G4121" s="81" t="n"/>
      <c r="H4121" s="78" t="n"/>
      <c r="I4121" s="78" t="n"/>
      <c r="J4121" s="78" t="n"/>
    </row>
    <row r="4122">
      <c r="A4122" s="84">
        <f>ROW()-6</f>
        <v/>
      </c>
      <c r="B4122" s="85">
        <f>+MATCH(D4122,ARTICULOS!$F$10:$F$699,0)</f>
        <v/>
      </c>
      <c r="C4122" s="86">
        <f>+VLOOKUP(B4122,ARTICULOS!$D$10:$I$699,6)</f>
        <v/>
      </c>
      <c r="D4122" s="212" t="n"/>
      <c r="E4122" s="75">
        <f>+C4122&amp;F4122</f>
        <v/>
      </c>
      <c r="F4122" s="80" t="n"/>
      <c r="G4122" s="81" t="n"/>
      <c r="H4122" s="78" t="n"/>
      <c r="I4122" s="78" t="n"/>
      <c r="J4122" s="78" t="n"/>
    </row>
    <row r="4123">
      <c r="A4123" s="84">
        <f>ROW()-6</f>
        <v/>
      </c>
      <c r="B4123" s="85">
        <f>+MATCH(D4123,ARTICULOS!$F$10:$F$699,0)</f>
        <v/>
      </c>
      <c r="C4123" s="86">
        <f>+VLOOKUP(B4123,ARTICULOS!$D$10:$I$699,6)</f>
        <v/>
      </c>
      <c r="D4123" s="212" t="n"/>
      <c r="E4123" s="75">
        <f>+C4123&amp;F4123</f>
        <v/>
      </c>
      <c r="F4123" s="80" t="n"/>
      <c r="G4123" s="81" t="n"/>
      <c r="H4123" s="78" t="n"/>
      <c r="I4123" s="78" t="n"/>
      <c r="J4123" s="78" t="n"/>
    </row>
    <row r="4124">
      <c r="A4124" s="84">
        <f>ROW()-6</f>
        <v/>
      </c>
      <c r="B4124" s="85">
        <f>+MATCH(D4124,ARTICULOS!$F$10:$F$699,0)</f>
        <v/>
      </c>
      <c r="C4124" s="86">
        <f>+VLOOKUP(B4124,ARTICULOS!$D$10:$I$699,6)</f>
        <v/>
      </c>
      <c r="D4124" s="212" t="n"/>
      <c r="E4124" s="75">
        <f>+C4124&amp;F4124</f>
        <v/>
      </c>
      <c r="F4124" s="80" t="n"/>
      <c r="G4124" s="81" t="n"/>
      <c r="H4124" s="78" t="n"/>
      <c r="I4124" s="78" t="n"/>
      <c r="J4124" s="78" t="n"/>
    </row>
    <row r="4125">
      <c r="A4125" s="84">
        <f>ROW()-6</f>
        <v/>
      </c>
      <c r="B4125" s="85">
        <f>+MATCH(D4125,ARTICULOS!$F$10:$F$699,0)</f>
        <v/>
      </c>
      <c r="C4125" s="86">
        <f>+VLOOKUP(B4125,ARTICULOS!$D$10:$I$699,6)</f>
        <v/>
      </c>
      <c r="D4125" s="212" t="n"/>
      <c r="E4125" s="75">
        <f>+C4125&amp;F4125</f>
        <v/>
      </c>
      <c r="F4125" s="80" t="n"/>
      <c r="G4125" s="81" t="n"/>
      <c r="H4125" s="78" t="n"/>
      <c r="I4125" s="78" t="n"/>
      <c r="J4125" s="78" t="n"/>
    </row>
    <row r="4126">
      <c r="A4126" s="84">
        <f>ROW()-6</f>
        <v/>
      </c>
      <c r="B4126" s="85">
        <f>+MATCH(D4126,ARTICULOS!$F$10:$F$699,0)</f>
        <v/>
      </c>
      <c r="C4126" s="86">
        <f>+VLOOKUP(B4126,ARTICULOS!$D$10:$I$699,6)</f>
        <v/>
      </c>
      <c r="D4126" s="212" t="n"/>
      <c r="E4126" s="75">
        <f>+C4126&amp;F4126</f>
        <v/>
      </c>
      <c r="F4126" s="80" t="n"/>
      <c r="G4126" s="81" t="n"/>
      <c r="H4126" s="78" t="n"/>
      <c r="I4126" s="78" t="n"/>
      <c r="J4126" s="78" t="n"/>
    </row>
    <row r="4127">
      <c r="A4127" s="84">
        <f>ROW()-6</f>
        <v/>
      </c>
      <c r="B4127" s="85">
        <f>+MATCH(D4127,ARTICULOS!$F$10:$F$699,0)</f>
        <v/>
      </c>
      <c r="C4127" s="86">
        <f>+VLOOKUP(B4127,ARTICULOS!$D$10:$I$699,6)</f>
        <v/>
      </c>
      <c r="D4127" s="212" t="n"/>
      <c r="E4127" s="75">
        <f>+C4127&amp;F4127</f>
        <v/>
      </c>
      <c r="F4127" s="80" t="n"/>
      <c r="G4127" s="81" t="n"/>
      <c r="H4127" s="78" t="n"/>
      <c r="I4127" s="78" t="n"/>
      <c r="J4127" s="78" t="n"/>
    </row>
    <row r="4128">
      <c r="A4128" s="84">
        <f>ROW()-6</f>
        <v/>
      </c>
      <c r="B4128" s="85">
        <f>+MATCH(D4128,ARTICULOS!$F$10:$F$699,0)</f>
        <v/>
      </c>
      <c r="C4128" s="86">
        <f>+VLOOKUP(B4128,ARTICULOS!$D$10:$I$699,6)</f>
        <v/>
      </c>
      <c r="D4128" s="212" t="n"/>
      <c r="E4128" s="75">
        <f>+C4128&amp;F4128</f>
        <v/>
      </c>
      <c r="F4128" s="80" t="n"/>
      <c r="G4128" s="81" t="n"/>
      <c r="H4128" s="78" t="n"/>
      <c r="I4128" s="78" t="n"/>
      <c r="J4128" s="78" t="n"/>
    </row>
    <row r="4129">
      <c r="A4129" s="84">
        <f>ROW()-6</f>
        <v/>
      </c>
      <c r="B4129" s="85">
        <f>+MATCH(D4129,ARTICULOS!$F$10:$F$699,0)</f>
        <v/>
      </c>
      <c r="C4129" s="86">
        <f>+VLOOKUP(B4129,ARTICULOS!$D$10:$I$699,6)</f>
        <v/>
      </c>
      <c r="D4129" s="212" t="n"/>
      <c r="E4129" s="75">
        <f>+C4129&amp;F4129</f>
        <v/>
      </c>
      <c r="F4129" s="80" t="n"/>
      <c r="G4129" s="81" t="n"/>
      <c r="H4129" s="78" t="n"/>
      <c r="I4129" s="78" t="n"/>
      <c r="J4129" s="78" t="n"/>
    </row>
    <row r="4130">
      <c r="A4130" s="84">
        <f>ROW()-6</f>
        <v/>
      </c>
      <c r="B4130" s="85">
        <f>+MATCH(D4130,ARTICULOS!$F$10:$F$699,0)</f>
        <v/>
      </c>
      <c r="C4130" s="86">
        <f>+VLOOKUP(B4130,ARTICULOS!$D$10:$I$699,6)</f>
        <v/>
      </c>
      <c r="D4130" s="212" t="n"/>
      <c r="E4130" s="75">
        <f>+C4130&amp;F4130</f>
        <v/>
      </c>
      <c r="F4130" s="80" t="n"/>
      <c r="G4130" s="81" t="n"/>
      <c r="H4130" s="78" t="n"/>
      <c r="I4130" s="78" t="n"/>
      <c r="J4130" s="78" t="n"/>
    </row>
    <row r="4131">
      <c r="A4131" s="84">
        <f>ROW()-6</f>
        <v/>
      </c>
      <c r="B4131" s="85">
        <f>+MATCH(D4131,ARTICULOS!$F$10:$F$699,0)</f>
        <v/>
      </c>
      <c r="C4131" s="86">
        <f>+VLOOKUP(B4131,ARTICULOS!$D$10:$I$699,6)</f>
        <v/>
      </c>
      <c r="D4131" s="212" t="n"/>
      <c r="E4131" s="75">
        <f>+C4131&amp;F4131</f>
        <v/>
      </c>
      <c r="F4131" s="80" t="n"/>
      <c r="G4131" s="81" t="n"/>
      <c r="H4131" s="78" t="n"/>
      <c r="I4131" s="78" t="n"/>
      <c r="J4131" s="78" t="n"/>
    </row>
    <row r="4132">
      <c r="A4132" s="84">
        <f>ROW()-6</f>
        <v/>
      </c>
      <c r="B4132" s="85">
        <f>+MATCH(D4132,ARTICULOS!$F$10:$F$699,0)</f>
        <v/>
      </c>
      <c r="C4132" s="86">
        <f>+VLOOKUP(B4132,ARTICULOS!$D$10:$I$699,6)</f>
        <v/>
      </c>
      <c r="D4132" s="212" t="n"/>
      <c r="E4132" s="75">
        <f>+C4132&amp;F4132</f>
        <v/>
      </c>
      <c r="F4132" s="80" t="n"/>
      <c r="G4132" s="81" t="n"/>
      <c r="H4132" s="78" t="n"/>
      <c r="I4132" s="78" t="n"/>
      <c r="J4132" s="78" t="n"/>
    </row>
    <row r="4133">
      <c r="A4133" s="84">
        <f>ROW()-6</f>
        <v/>
      </c>
      <c r="B4133" s="85">
        <f>+MATCH(D4133,ARTICULOS!$F$10:$F$699,0)</f>
        <v/>
      </c>
      <c r="C4133" s="86">
        <f>+VLOOKUP(B4133,ARTICULOS!$D$10:$I$699,6)</f>
        <v/>
      </c>
      <c r="D4133" s="212" t="n"/>
      <c r="E4133" s="75">
        <f>+C4133&amp;F4133</f>
        <v/>
      </c>
      <c r="F4133" s="80" t="n"/>
      <c r="G4133" s="81" t="n"/>
      <c r="H4133" s="78" t="n"/>
      <c r="I4133" s="78" t="n"/>
      <c r="J4133" s="78" t="n"/>
    </row>
    <row r="4134">
      <c r="A4134" s="84">
        <f>ROW()-6</f>
        <v/>
      </c>
      <c r="B4134" s="85">
        <f>+MATCH(D4134,ARTICULOS!$F$10:$F$699,0)</f>
        <v/>
      </c>
      <c r="C4134" s="86">
        <f>+VLOOKUP(B4134,ARTICULOS!$D$10:$I$699,6)</f>
        <v/>
      </c>
      <c r="D4134" s="212" t="n"/>
      <c r="E4134" s="75">
        <f>+C4134&amp;F4134</f>
        <v/>
      </c>
      <c r="F4134" s="80" t="n"/>
      <c r="G4134" s="81" t="n"/>
      <c r="H4134" s="78" t="n"/>
      <c r="I4134" s="78" t="n"/>
      <c r="J4134" s="78" t="n"/>
    </row>
    <row r="4135">
      <c r="A4135" s="84">
        <f>ROW()-6</f>
        <v/>
      </c>
      <c r="B4135" s="85">
        <f>+MATCH(D4135,ARTICULOS!$F$10:$F$699,0)</f>
        <v/>
      </c>
      <c r="C4135" s="86">
        <f>+VLOOKUP(B4135,ARTICULOS!$D$10:$I$699,6)</f>
        <v/>
      </c>
      <c r="D4135" s="212" t="n"/>
      <c r="E4135" s="75">
        <f>+C4135&amp;F4135</f>
        <v/>
      </c>
      <c r="F4135" s="80" t="n"/>
      <c r="G4135" s="81" t="n"/>
      <c r="H4135" s="78" t="n"/>
      <c r="I4135" s="78" t="n"/>
      <c r="J4135" s="78" t="n"/>
    </row>
    <row r="4136">
      <c r="A4136" s="84">
        <f>ROW()-6</f>
        <v/>
      </c>
      <c r="B4136" s="85">
        <f>+MATCH(D4136,ARTICULOS!$F$10:$F$699,0)</f>
        <v/>
      </c>
      <c r="C4136" s="86">
        <f>+VLOOKUP(B4136,ARTICULOS!$D$10:$I$699,6)</f>
        <v/>
      </c>
      <c r="D4136" s="212" t="n"/>
      <c r="E4136" s="75">
        <f>+C4136&amp;F4136</f>
        <v/>
      </c>
      <c r="F4136" s="80" t="n"/>
      <c r="G4136" s="81" t="n"/>
      <c r="H4136" s="78" t="n"/>
      <c r="I4136" s="78" t="n"/>
      <c r="J4136" s="78" t="n"/>
    </row>
    <row r="4137">
      <c r="A4137" s="84">
        <f>ROW()-6</f>
        <v/>
      </c>
      <c r="B4137" s="85">
        <f>+MATCH(D4137,ARTICULOS!$F$10:$F$699,0)</f>
        <v/>
      </c>
      <c r="C4137" s="86">
        <f>+VLOOKUP(B4137,ARTICULOS!$D$10:$I$699,6)</f>
        <v/>
      </c>
      <c r="D4137" s="212" t="n"/>
      <c r="E4137" s="75">
        <f>+C4137&amp;F4137</f>
        <v/>
      </c>
      <c r="F4137" s="80" t="n"/>
      <c r="G4137" s="81" t="n"/>
      <c r="H4137" s="78" t="n"/>
      <c r="I4137" s="78" t="n"/>
      <c r="J4137" s="78" t="n"/>
    </row>
    <row r="4138">
      <c r="A4138" s="84">
        <f>ROW()-6</f>
        <v/>
      </c>
      <c r="B4138" s="85">
        <f>+MATCH(D4138,ARTICULOS!$F$10:$F$699,0)</f>
        <v/>
      </c>
      <c r="C4138" s="86">
        <f>+VLOOKUP(B4138,ARTICULOS!$D$10:$I$699,6)</f>
        <v/>
      </c>
      <c r="D4138" s="212" t="n"/>
      <c r="E4138" s="75">
        <f>+C4138&amp;F4138</f>
        <v/>
      </c>
      <c r="F4138" s="80" t="n"/>
      <c r="G4138" s="81" t="n"/>
      <c r="H4138" s="78" t="n"/>
      <c r="I4138" s="78" t="n"/>
      <c r="J4138" s="78" t="n"/>
    </row>
    <row r="4139">
      <c r="A4139" s="84">
        <f>ROW()-6</f>
        <v/>
      </c>
      <c r="B4139" s="85">
        <f>+MATCH(D4139,ARTICULOS!$F$10:$F$699,0)</f>
        <v/>
      </c>
      <c r="C4139" s="86">
        <f>+VLOOKUP(B4139,ARTICULOS!$D$10:$I$699,6)</f>
        <v/>
      </c>
      <c r="D4139" s="212" t="n"/>
      <c r="E4139" s="75">
        <f>+C4139&amp;F4139</f>
        <v/>
      </c>
      <c r="F4139" s="80" t="n"/>
      <c r="G4139" s="81" t="n"/>
      <c r="H4139" s="78" t="n"/>
      <c r="I4139" s="78" t="n"/>
      <c r="J4139" s="78" t="n"/>
    </row>
    <row r="4140">
      <c r="A4140" s="84">
        <f>ROW()-6</f>
        <v/>
      </c>
      <c r="B4140" s="85">
        <f>+MATCH(D4140,ARTICULOS!$F$10:$F$699,0)</f>
        <v/>
      </c>
      <c r="C4140" s="86">
        <f>+VLOOKUP(B4140,ARTICULOS!$D$10:$I$699,6)</f>
        <v/>
      </c>
      <c r="D4140" s="212" t="n"/>
      <c r="E4140" s="75">
        <f>+C4140&amp;F4140</f>
        <v/>
      </c>
      <c r="F4140" s="80" t="n"/>
      <c r="G4140" s="81" t="n"/>
      <c r="H4140" s="78" t="n"/>
      <c r="I4140" s="78" t="n"/>
      <c r="J4140" s="78" t="n"/>
    </row>
    <row r="4141">
      <c r="A4141" s="84">
        <f>ROW()-6</f>
        <v/>
      </c>
      <c r="B4141" s="85">
        <f>+MATCH(D4141,ARTICULOS!$F$10:$F$699,0)</f>
        <v/>
      </c>
      <c r="C4141" s="86">
        <f>+VLOOKUP(B4141,ARTICULOS!$D$10:$I$699,6)</f>
        <v/>
      </c>
      <c r="D4141" s="212" t="n"/>
      <c r="E4141" s="75">
        <f>+C4141&amp;F4141</f>
        <v/>
      </c>
      <c r="F4141" s="80" t="n"/>
      <c r="G4141" s="81" t="n"/>
      <c r="H4141" s="78" t="n"/>
      <c r="I4141" s="78" t="n"/>
      <c r="J4141" s="78" t="n"/>
    </row>
    <row r="4142">
      <c r="A4142" s="84">
        <f>ROW()-6</f>
        <v/>
      </c>
      <c r="B4142" s="85">
        <f>+MATCH(D4142,ARTICULOS!$F$10:$F$699,0)</f>
        <v/>
      </c>
      <c r="C4142" s="86">
        <f>+VLOOKUP(B4142,ARTICULOS!$D$10:$I$699,6)</f>
        <v/>
      </c>
      <c r="D4142" s="212" t="n"/>
      <c r="E4142" s="75">
        <f>+C4142&amp;F4142</f>
        <v/>
      </c>
      <c r="F4142" s="80" t="n"/>
      <c r="G4142" s="81" t="n"/>
      <c r="H4142" s="78" t="n"/>
      <c r="I4142" s="78" t="n"/>
      <c r="J4142" s="78" t="n"/>
    </row>
    <row r="4143">
      <c r="A4143" s="84">
        <f>ROW()-6</f>
        <v/>
      </c>
      <c r="B4143" s="85">
        <f>+MATCH(D4143,ARTICULOS!$F$10:$F$699,0)</f>
        <v/>
      </c>
      <c r="C4143" s="86">
        <f>+VLOOKUP(B4143,ARTICULOS!$D$10:$I$699,6)</f>
        <v/>
      </c>
      <c r="D4143" s="212" t="n"/>
      <c r="E4143" s="75">
        <f>+C4143&amp;F4143</f>
        <v/>
      </c>
      <c r="F4143" s="80" t="n"/>
      <c r="G4143" s="81" t="n"/>
      <c r="H4143" s="78" t="n"/>
      <c r="I4143" s="78" t="n"/>
      <c r="J4143" s="78" t="n"/>
    </row>
    <row r="4144">
      <c r="A4144" s="84">
        <f>ROW()-6</f>
        <v/>
      </c>
      <c r="B4144" s="85">
        <f>+MATCH(D4144,ARTICULOS!$F$10:$F$699,0)</f>
        <v/>
      </c>
      <c r="C4144" s="86">
        <f>+VLOOKUP(B4144,ARTICULOS!$D$10:$I$699,6)</f>
        <v/>
      </c>
      <c r="D4144" s="212" t="n"/>
      <c r="E4144" s="75">
        <f>+C4144&amp;F4144</f>
        <v/>
      </c>
      <c r="F4144" s="80" t="n"/>
      <c r="G4144" s="81" t="n"/>
      <c r="H4144" s="78" t="n"/>
      <c r="I4144" s="78" t="n"/>
      <c r="J4144" s="78" t="n"/>
    </row>
    <row r="4145">
      <c r="A4145" s="84">
        <f>ROW()-6</f>
        <v/>
      </c>
      <c r="B4145" s="85">
        <f>+MATCH(D4145,ARTICULOS!$F$10:$F$699,0)</f>
        <v/>
      </c>
      <c r="C4145" s="86">
        <f>+VLOOKUP(B4145,ARTICULOS!$D$10:$I$699,6)</f>
        <v/>
      </c>
      <c r="D4145" s="212" t="n"/>
      <c r="E4145" s="75">
        <f>+C4145&amp;F4145</f>
        <v/>
      </c>
      <c r="F4145" s="80" t="n"/>
      <c r="G4145" s="81" t="n"/>
      <c r="H4145" s="78" t="n"/>
      <c r="I4145" s="78" t="n"/>
      <c r="J4145" s="78" t="n"/>
    </row>
    <row r="4146">
      <c r="A4146" s="84">
        <f>ROW()-6</f>
        <v/>
      </c>
      <c r="B4146" s="85">
        <f>+MATCH(D4146,ARTICULOS!$F$10:$F$699,0)</f>
        <v/>
      </c>
      <c r="C4146" s="86">
        <f>+VLOOKUP(B4146,ARTICULOS!$D$10:$I$699,6)</f>
        <v/>
      </c>
      <c r="D4146" s="212" t="n"/>
      <c r="E4146" s="75">
        <f>+C4146&amp;F4146</f>
        <v/>
      </c>
      <c r="F4146" s="80" t="n"/>
      <c r="G4146" s="81" t="n"/>
      <c r="H4146" s="78" t="n"/>
      <c r="I4146" s="78" t="n"/>
      <c r="J4146" s="78" t="n"/>
    </row>
    <row r="4147">
      <c r="A4147" s="84">
        <f>ROW()-6</f>
        <v/>
      </c>
      <c r="B4147" s="85">
        <f>+MATCH(D4147,ARTICULOS!$F$10:$F$699,0)</f>
        <v/>
      </c>
      <c r="C4147" s="86">
        <f>+VLOOKUP(B4147,ARTICULOS!$D$10:$I$699,6)</f>
        <v/>
      </c>
      <c r="D4147" s="212" t="n"/>
      <c r="E4147" s="75">
        <f>+C4147&amp;F4147</f>
        <v/>
      </c>
      <c r="F4147" s="80" t="n"/>
      <c r="G4147" s="81" t="n"/>
      <c r="H4147" s="78" t="n"/>
      <c r="I4147" s="78" t="n"/>
      <c r="J4147" s="78" t="n"/>
    </row>
    <row r="4148">
      <c r="A4148" s="84">
        <f>ROW()-6</f>
        <v/>
      </c>
      <c r="B4148" s="85">
        <f>+MATCH(D4148,ARTICULOS!$F$10:$F$699,0)</f>
        <v/>
      </c>
      <c r="C4148" s="86">
        <f>+VLOOKUP(B4148,ARTICULOS!$D$10:$I$699,6)</f>
        <v/>
      </c>
      <c r="D4148" s="212" t="n"/>
      <c r="E4148" s="75">
        <f>+C4148&amp;F4148</f>
        <v/>
      </c>
      <c r="F4148" s="80" t="n"/>
      <c r="G4148" s="81" t="n"/>
      <c r="H4148" s="78" t="n"/>
      <c r="I4148" s="78" t="n"/>
      <c r="J4148" s="78" t="n"/>
    </row>
    <row r="4149">
      <c r="A4149" s="84">
        <f>ROW()-6</f>
        <v/>
      </c>
      <c r="B4149" s="85">
        <f>+MATCH(D4149,ARTICULOS!$F$10:$F$699,0)</f>
        <v/>
      </c>
      <c r="C4149" s="86">
        <f>+VLOOKUP(B4149,ARTICULOS!$D$10:$I$699,6)</f>
        <v/>
      </c>
      <c r="D4149" s="212" t="n"/>
      <c r="E4149" s="75">
        <f>+C4149&amp;F4149</f>
        <v/>
      </c>
      <c r="F4149" s="80" t="n"/>
      <c r="G4149" s="81" t="n"/>
      <c r="H4149" s="78" t="n"/>
      <c r="I4149" s="78" t="n"/>
      <c r="J4149" s="78" t="n"/>
    </row>
    <row r="4150">
      <c r="A4150" s="84">
        <f>ROW()-6</f>
        <v/>
      </c>
      <c r="B4150" s="85">
        <f>+MATCH(D4150,ARTICULOS!$F$10:$F$699,0)</f>
        <v/>
      </c>
      <c r="C4150" s="86">
        <f>+VLOOKUP(B4150,ARTICULOS!$D$10:$I$699,6)</f>
        <v/>
      </c>
      <c r="D4150" s="212" t="n"/>
      <c r="E4150" s="75">
        <f>+C4150&amp;F4150</f>
        <v/>
      </c>
      <c r="F4150" s="80" t="n"/>
      <c r="G4150" s="81" t="n"/>
      <c r="H4150" s="78" t="n"/>
      <c r="I4150" s="78" t="n"/>
      <c r="J4150" s="78" t="n"/>
    </row>
    <row r="4151">
      <c r="A4151" s="84">
        <f>ROW()-6</f>
        <v/>
      </c>
      <c r="B4151" s="85">
        <f>+MATCH(D4151,ARTICULOS!$F$10:$F$699,0)</f>
        <v/>
      </c>
      <c r="C4151" s="86">
        <f>+VLOOKUP(B4151,ARTICULOS!$D$10:$I$699,6)</f>
        <v/>
      </c>
      <c r="D4151" s="212" t="n"/>
      <c r="E4151" s="75">
        <f>+C4151&amp;F4151</f>
        <v/>
      </c>
      <c r="F4151" s="80" t="n"/>
      <c r="G4151" s="81" t="n"/>
      <c r="H4151" s="78" t="n"/>
      <c r="I4151" s="78" t="n"/>
      <c r="J4151" s="78" t="n"/>
    </row>
    <row r="4152">
      <c r="A4152" s="84">
        <f>ROW()-6</f>
        <v/>
      </c>
      <c r="B4152" s="85">
        <f>+MATCH(D4152,ARTICULOS!$F$10:$F$699,0)</f>
        <v/>
      </c>
      <c r="C4152" s="86">
        <f>+VLOOKUP(B4152,ARTICULOS!$D$10:$I$699,6)</f>
        <v/>
      </c>
      <c r="D4152" s="212" t="n"/>
      <c r="E4152" s="75">
        <f>+C4152&amp;F4152</f>
        <v/>
      </c>
      <c r="F4152" s="80" t="n"/>
      <c r="G4152" s="81" t="n"/>
      <c r="H4152" s="78" t="n"/>
      <c r="I4152" s="78" t="n"/>
      <c r="J4152" s="78" t="n"/>
    </row>
    <row r="4153">
      <c r="A4153" s="84">
        <f>ROW()-6</f>
        <v/>
      </c>
      <c r="B4153" s="85">
        <f>+MATCH(D4153,ARTICULOS!$F$10:$F$699,0)</f>
        <v/>
      </c>
      <c r="C4153" s="86">
        <f>+VLOOKUP(B4153,ARTICULOS!$D$10:$I$699,6)</f>
        <v/>
      </c>
      <c r="D4153" s="212" t="n"/>
      <c r="E4153" s="75">
        <f>+C4153&amp;F4153</f>
        <v/>
      </c>
      <c r="F4153" s="80" t="n"/>
      <c r="G4153" s="81" t="n"/>
      <c r="H4153" s="78" t="n"/>
      <c r="I4153" s="78" t="n"/>
      <c r="J4153" s="78" t="n"/>
    </row>
    <row r="4154">
      <c r="A4154" s="84">
        <f>ROW()-6</f>
        <v/>
      </c>
      <c r="B4154" s="85">
        <f>+MATCH(D4154,ARTICULOS!$F$10:$F$699,0)</f>
        <v/>
      </c>
      <c r="C4154" s="86">
        <f>+VLOOKUP(B4154,ARTICULOS!$D$10:$I$699,6)</f>
        <v/>
      </c>
      <c r="D4154" s="212" t="n"/>
      <c r="E4154" s="75">
        <f>+C4154&amp;F4154</f>
        <v/>
      </c>
      <c r="F4154" s="80" t="n"/>
      <c r="G4154" s="81" t="n"/>
      <c r="H4154" s="78" t="n"/>
      <c r="I4154" s="78" t="n"/>
      <c r="J4154" s="78" t="n"/>
    </row>
    <row r="4155">
      <c r="A4155" s="84">
        <f>ROW()-6</f>
        <v/>
      </c>
      <c r="B4155" s="85">
        <f>+MATCH(D4155,ARTICULOS!$F$10:$F$699,0)</f>
        <v/>
      </c>
      <c r="C4155" s="86">
        <f>+VLOOKUP(B4155,ARTICULOS!$D$10:$I$699,6)</f>
        <v/>
      </c>
      <c r="D4155" s="212" t="n"/>
      <c r="E4155" s="75">
        <f>+C4155&amp;F4155</f>
        <v/>
      </c>
      <c r="F4155" s="80" t="n"/>
      <c r="G4155" s="81" t="n"/>
      <c r="H4155" s="78" t="n"/>
      <c r="I4155" s="78" t="n"/>
      <c r="J4155" s="78" t="n"/>
    </row>
    <row r="4156">
      <c r="A4156" s="84">
        <f>ROW()-6</f>
        <v/>
      </c>
      <c r="B4156" s="85">
        <f>+MATCH(D4156,ARTICULOS!$F$10:$F$699,0)</f>
        <v/>
      </c>
      <c r="C4156" s="86">
        <f>+VLOOKUP(B4156,ARTICULOS!$D$10:$I$699,6)</f>
        <v/>
      </c>
      <c r="D4156" s="212" t="n"/>
      <c r="E4156" s="75">
        <f>+C4156&amp;F4156</f>
        <v/>
      </c>
      <c r="F4156" s="80" t="n"/>
      <c r="G4156" s="81" t="n"/>
      <c r="H4156" s="78" t="n"/>
      <c r="I4156" s="78" t="n"/>
      <c r="J4156" s="78" t="n"/>
    </row>
    <row r="4157">
      <c r="A4157" s="84">
        <f>ROW()-6</f>
        <v/>
      </c>
      <c r="B4157" s="85">
        <f>+MATCH(D4157,ARTICULOS!$F$10:$F$699,0)</f>
        <v/>
      </c>
      <c r="C4157" s="86">
        <f>+VLOOKUP(B4157,ARTICULOS!$D$10:$I$699,6)</f>
        <v/>
      </c>
      <c r="D4157" s="212" t="n"/>
      <c r="E4157" s="75">
        <f>+C4157&amp;F4157</f>
        <v/>
      </c>
      <c r="F4157" s="80" t="n"/>
      <c r="G4157" s="81" t="n"/>
      <c r="H4157" s="78" t="n"/>
      <c r="I4157" s="78" t="n"/>
      <c r="J4157" s="78" t="n"/>
    </row>
    <row r="4158">
      <c r="A4158" s="84">
        <f>ROW()-6</f>
        <v/>
      </c>
      <c r="B4158" s="85">
        <f>+MATCH(D4158,ARTICULOS!$F$10:$F$699,0)</f>
        <v/>
      </c>
      <c r="C4158" s="86">
        <f>+VLOOKUP(B4158,ARTICULOS!$D$10:$I$699,6)</f>
        <v/>
      </c>
      <c r="D4158" s="212" t="n"/>
      <c r="E4158" s="75">
        <f>+C4158&amp;F4158</f>
        <v/>
      </c>
      <c r="F4158" s="80" t="n"/>
      <c r="G4158" s="81" t="n"/>
      <c r="H4158" s="78" t="n"/>
      <c r="I4158" s="78" t="n"/>
      <c r="J4158" s="78" t="n"/>
    </row>
    <row r="4159">
      <c r="A4159" s="84">
        <f>ROW()-6</f>
        <v/>
      </c>
      <c r="B4159" s="85">
        <f>+MATCH(D4159,ARTICULOS!$F$10:$F$699,0)</f>
        <v/>
      </c>
      <c r="C4159" s="86">
        <f>+VLOOKUP(B4159,ARTICULOS!$D$10:$I$699,6)</f>
        <v/>
      </c>
      <c r="D4159" s="212" t="n"/>
      <c r="E4159" s="75">
        <f>+C4159&amp;F4159</f>
        <v/>
      </c>
      <c r="F4159" s="80" t="n"/>
      <c r="G4159" s="81" t="n"/>
      <c r="H4159" s="78" t="n"/>
      <c r="I4159" s="78" t="n"/>
      <c r="J4159" s="78" t="n"/>
    </row>
    <row r="4160">
      <c r="A4160" s="84">
        <f>ROW()-6</f>
        <v/>
      </c>
      <c r="B4160" s="85">
        <f>+MATCH(D4160,ARTICULOS!$F$10:$F$699,0)</f>
        <v/>
      </c>
      <c r="C4160" s="86">
        <f>+VLOOKUP(B4160,ARTICULOS!$D$10:$I$699,6)</f>
        <v/>
      </c>
      <c r="D4160" s="212" t="n"/>
      <c r="E4160" s="75">
        <f>+C4160&amp;F4160</f>
        <v/>
      </c>
      <c r="F4160" s="80" t="n"/>
      <c r="G4160" s="81" t="n"/>
      <c r="H4160" s="78" t="n"/>
      <c r="I4160" s="78" t="n"/>
      <c r="J4160" s="78" t="n"/>
    </row>
    <row r="4161">
      <c r="A4161" s="84">
        <f>ROW()-6</f>
        <v/>
      </c>
      <c r="B4161" s="85">
        <f>+MATCH(D4161,ARTICULOS!$F$10:$F$699,0)</f>
        <v/>
      </c>
      <c r="C4161" s="86">
        <f>+VLOOKUP(B4161,ARTICULOS!$D$10:$I$699,6)</f>
        <v/>
      </c>
      <c r="D4161" s="212" t="n"/>
      <c r="E4161" s="75">
        <f>+C4161&amp;F4161</f>
        <v/>
      </c>
      <c r="F4161" s="80" t="n"/>
      <c r="G4161" s="81" t="n"/>
      <c r="H4161" s="78" t="n"/>
      <c r="I4161" s="78" t="n"/>
      <c r="J4161" s="78" t="n"/>
    </row>
    <row r="4162">
      <c r="A4162" s="84">
        <f>ROW()-6</f>
        <v/>
      </c>
      <c r="B4162" s="85">
        <f>+MATCH(D4162,ARTICULOS!$F$10:$F$699,0)</f>
        <v/>
      </c>
      <c r="C4162" s="86">
        <f>+VLOOKUP(B4162,ARTICULOS!$D$10:$I$699,6)</f>
        <v/>
      </c>
      <c r="D4162" s="212" t="n"/>
      <c r="E4162" s="75">
        <f>+C4162&amp;F4162</f>
        <v/>
      </c>
      <c r="F4162" s="80" t="n"/>
      <c r="G4162" s="81" t="n"/>
      <c r="H4162" s="78" t="n"/>
      <c r="I4162" s="78" t="n"/>
      <c r="J4162" s="78" t="n"/>
    </row>
    <row r="4163">
      <c r="A4163" s="84">
        <f>ROW()-6</f>
        <v/>
      </c>
      <c r="B4163" s="85">
        <f>+MATCH(D4163,ARTICULOS!$F$10:$F$699,0)</f>
        <v/>
      </c>
      <c r="C4163" s="86">
        <f>+VLOOKUP(B4163,ARTICULOS!$D$10:$I$699,6)</f>
        <v/>
      </c>
      <c r="D4163" s="212" t="n"/>
      <c r="E4163" s="75">
        <f>+C4163&amp;F4163</f>
        <v/>
      </c>
      <c r="F4163" s="80" t="n"/>
      <c r="G4163" s="81" t="n"/>
      <c r="H4163" s="78" t="n"/>
      <c r="I4163" s="78" t="n"/>
      <c r="J4163" s="78" t="n"/>
    </row>
    <row r="4164">
      <c r="A4164" s="84">
        <f>ROW()-6</f>
        <v/>
      </c>
      <c r="B4164" s="85">
        <f>+MATCH(D4164,ARTICULOS!$F$10:$F$699,0)</f>
        <v/>
      </c>
      <c r="C4164" s="86">
        <f>+VLOOKUP(B4164,ARTICULOS!$D$10:$I$699,6)</f>
        <v/>
      </c>
      <c r="D4164" s="212" t="n"/>
      <c r="E4164" s="75">
        <f>+C4164&amp;F4164</f>
        <v/>
      </c>
      <c r="F4164" s="80" t="n"/>
      <c r="G4164" s="81" t="n"/>
      <c r="H4164" s="78" t="n"/>
      <c r="I4164" s="78" t="n"/>
      <c r="J4164" s="78" t="n"/>
    </row>
    <row r="4165">
      <c r="A4165" s="84">
        <f>ROW()-6</f>
        <v/>
      </c>
      <c r="B4165" s="85">
        <f>+MATCH(D4165,ARTICULOS!$F$10:$F$699,0)</f>
        <v/>
      </c>
      <c r="C4165" s="86">
        <f>+VLOOKUP(B4165,ARTICULOS!$D$10:$I$699,6)</f>
        <v/>
      </c>
      <c r="D4165" s="212" t="n"/>
      <c r="E4165" s="75">
        <f>+C4165&amp;F4165</f>
        <v/>
      </c>
      <c r="F4165" s="80" t="n"/>
      <c r="G4165" s="81" t="n"/>
      <c r="H4165" s="78" t="n"/>
      <c r="I4165" s="78" t="n"/>
      <c r="J4165" s="78" t="n"/>
    </row>
    <row r="4166">
      <c r="A4166" s="84">
        <f>ROW()-6</f>
        <v/>
      </c>
      <c r="B4166" s="85">
        <f>+MATCH(D4166,ARTICULOS!$F$10:$F$699,0)</f>
        <v/>
      </c>
      <c r="C4166" s="86">
        <f>+VLOOKUP(B4166,ARTICULOS!$D$10:$I$699,6)</f>
        <v/>
      </c>
      <c r="D4166" s="212" t="n"/>
      <c r="E4166" s="75">
        <f>+C4166&amp;F4166</f>
        <v/>
      </c>
      <c r="F4166" s="80" t="n"/>
      <c r="G4166" s="81" t="n"/>
      <c r="H4166" s="78" t="n"/>
      <c r="I4166" s="78" t="n"/>
      <c r="J4166" s="78" t="n"/>
    </row>
    <row r="4167">
      <c r="A4167" s="84">
        <f>ROW()-6</f>
        <v/>
      </c>
      <c r="B4167" s="85">
        <f>+MATCH(D4167,ARTICULOS!$F$10:$F$699,0)</f>
        <v/>
      </c>
      <c r="C4167" s="86">
        <f>+VLOOKUP(B4167,ARTICULOS!$D$10:$I$699,6)</f>
        <v/>
      </c>
      <c r="D4167" s="212" t="n"/>
      <c r="E4167" s="75">
        <f>+C4167&amp;F4167</f>
        <v/>
      </c>
      <c r="F4167" s="80" t="n"/>
      <c r="G4167" s="81" t="n"/>
      <c r="H4167" s="78" t="n"/>
      <c r="I4167" s="78" t="n"/>
      <c r="J4167" s="78" t="n"/>
    </row>
    <row r="4168">
      <c r="A4168" s="84">
        <f>ROW()-6</f>
        <v/>
      </c>
      <c r="B4168" s="85">
        <f>+MATCH(D4168,ARTICULOS!$F$10:$F$699,0)</f>
        <v/>
      </c>
      <c r="C4168" s="86">
        <f>+VLOOKUP(B4168,ARTICULOS!$D$10:$I$699,6)</f>
        <v/>
      </c>
      <c r="D4168" s="212" t="n"/>
      <c r="E4168" s="75">
        <f>+C4168&amp;F4168</f>
        <v/>
      </c>
      <c r="F4168" s="80" t="n"/>
      <c r="G4168" s="81" t="n"/>
      <c r="H4168" s="78" t="n"/>
      <c r="I4168" s="78" t="n"/>
      <c r="J4168" s="78" t="n"/>
    </row>
    <row r="4169">
      <c r="A4169" s="84">
        <f>ROW()-6</f>
        <v/>
      </c>
      <c r="B4169" s="85">
        <f>+MATCH(D4169,ARTICULOS!$F$10:$F$699,0)</f>
        <v/>
      </c>
      <c r="C4169" s="86">
        <f>+VLOOKUP(B4169,ARTICULOS!$D$10:$I$699,6)</f>
        <v/>
      </c>
      <c r="D4169" s="212" t="n"/>
      <c r="E4169" s="75">
        <f>+C4169&amp;F4169</f>
        <v/>
      </c>
      <c r="F4169" s="80" t="n"/>
      <c r="G4169" s="81" t="n"/>
      <c r="H4169" s="78" t="n"/>
      <c r="I4169" s="78" t="n"/>
      <c r="J4169" s="78" t="n"/>
    </row>
    <row r="4170">
      <c r="A4170" s="84">
        <f>ROW()-6</f>
        <v/>
      </c>
      <c r="B4170" s="85">
        <f>+MATCH(D4170,ARTICULOS!$F$10:$F$699,0)</f>
        <v/>
      </c>
      <c r="C4170" s="86">
        <f>+VLOOKUP(B4170,ARTICULOS!$D$10:$I$699,6)</f>
        <v/>
      </c>
      <c r="D4170" s="212" t="n"/>
      <c r="E4170" s="75">
        <f>+C4170&amp;F4170</f>
        <v/>
      </c>
      <c r="F4170" s="80" t="n"/>
      <c r="G4170" s="81" t="n"/>
      <c r="H4170" s="78" t="n"/>
      <c r="I4170" s="78" t="n"/>
      <c r="J4170" s="78" t="n"/>
    </row>
    <row r="4171">
      <c r="A4171" s="84">
        <f>ROW()-6</f>
        <v/>
      </c>
      <c r="B4171" s="85">
        <f>+MATCH(D4171,ARTICULOS!$F$10:$F$699,0)</f>
        <v/>
      </c>
      <c r="C4171" s="86">
        <f>+VLOOKUP(B4171,ARTICULOS!$D$10:$I$699,6)</f>
        <v/>
      </c>
      <c r="D4171" s="212" t="n"/>
      <c r="E4171" s="75">
        <f>+C4171&amp;F4171</f>
        <v/>
      </c>
      <c r="F4171" s="80" t="n"/>
      <c r="G4171" s="81" t="n"/>
      <c r="H4171" s="78" t="n"/>
      <c r="I4171" s="78" t="n"/>
      <c r="J4171" s="78" t="n"/>
    </row>
    <row r="4172">
      <c r="A4172" s="84">
        <f>ROW()-6</f>
        <v/>
      </c>
      <c r="B4172" s="85">
        <f>+MATCH(D4172,ARTICULOS!$F$10:$F$699,0)</f>
        <v/>
      </c>
      <c r="C4172" s="86">
        <f>+VLOOKUP(B4172,ARTICULOS!$D$10:$I$699,6)</f>
        <v/>
      </c>
      <c r="D4172" s="212" t="n"/>
      <c r="E4172" s="75">
        <f>+C4172&amp;F4172</f>
        <v/>
      </c>
      <c r="F4172" s="80" t="n"/>
      <c r="G4172" s="81" t="n"/>
      <c r="H4172" s="78" t="n"/>
      <c r="I4172" s="78" t="n"/>
      <c r="J4172" s="78" t="n"/>
    </row>
    <row r="4173">
      <c r="A4173" s="84">
        <f>ROW()-6</f>
        <v/>
      </c>
      <c r="B4173" s="85">
        <f>+MATCH(D4173,ARTICULOS!$F$10:$F$699,0)</f>
        <v/>
      </c>
      <c r="C4173" s="86">
        <f>+VLOOKUP(B4173,ARTICULOS!$D$10:$I$699,6)</f>
        <v/>
      </c>
      <c r="D4173" s="212" t="n"/>
      <c r="E4173" s="75">
        <f>+C4173&amp;F4173</f>
        <v/>
      </c>
      <c r="F4173" s="80" t="n"/>
      <c r="G4173" s="81" t="n"/>
      <c r="H4173" s="78" t="n"/>
      <c r="I4173" s="78" t="n"/>
      <c r="J4173" s="78" t="n"/>
    </row>
    <row r="4174">
      <c r="A4174" s="84">
        <f>ROW()-6</f>
        <v/>
      </c>
      <c r="B4174" s="85">
        <f>+MATCH(D4174,ARTICULOS!$F$10:$F$699,0)</f>
        <v/>
      </c>
      <c r="C4174" s="86">
        <f>+VLOOKUP(B4174,ARTICULOS!$D$10:$I$699,6)</f>
        <v/>
      </c>
      <c r="D4174" s="212" t="n"/>
      <c r="E4174" s="75">
        <f>+C4174&amp;F4174</f>
        <v/>
      </c>
      <c r="F4174" s="80" t="n"/>
      <c r="G4174" s="81" t="n"/>
      <c r="H4174" s="78" t="n"/>
      <c r="I4174" s="78" t="n"/>
      <c r="J4174" s="78" t="n"/>
    </row>
    <row r="4175">
      <c r="A4175" s="84">
        <f>ROW()-6</f>
        <v/>
      </c>
      <c r="B4175" s="85">
        <f>+MATCH(D4175,ARTICULOS!$F$10:$F$699,0)</f>
        <v/>
      </c>
      <c r="C4175" s="86">
        <f>+VLOOKUP(B4175,ARTICULOS!$D$10:$I$699,6)</f>
        <v/>
      </c>
      <c r="D4175" s="212" t="n"/>
      <c r="E4175" s="75">
        <f>+C4175&amp;F4175</f>
        <v/>
      </c>
      <c r="F4175" s="80" t="n"/>
      <c r="G4175" s="81" t="n"/>
      <c r="H4175" s="78" t="n"/>
      <c r="I4175" s="78" t="n"/>
      <c r="J4175" s="78" t="n"/>
    </row>
    <row r="4176">
      <c r="A4176" s="84">
        <f>ROW()-6</f>
        <v/>
      </c>
      <c r="B4176" s="85">
        <f>+MATCH(D4176,ARTICULOS!$F$10:$F$699,0)</f>
        <v/>
      </c>
      <c r="C4176" s="86">
        <f>+VLOOKUP(B4176,ARTICULOS!$D$10:$I$699,6)</f>
        <v/>
      </c>
      <c r="D4176" s="212" t="n"/>
      <c r="E4176" s="75">
        <f>+C4176&amp;F4176</f>
        <v/>
      </c>
      <c r="F4176" s="80" t="n"/>
      <c r="G4176" s="81" t="n"/>
      <c r="H4176" s="78" t="n"/>
      <c r="I4176" s="78" t="n"/>
      <c r="J4176" s="78" t="n"/>
    </row>
    <row r="4177">
      <c r="A4177" s="84">
        <f>ROW()-6</f>
        <v/>
      </c>
      <c r="B4177" s="85">
        <f>+MATCH(D4177,ARTICULOS!$F$10:$F$699,0)</f>
        <v/>
      </c>
      <c r="C4177" s="86">
        <f>+VLOOKUP(B4177,ARTICULOS!$D$10:$I$699,6)</f>
        <v/>
      </c>
      <c r="D4177" s="212" t="n"/>
      <c r="E4177" s="75">
        <f>+C4177&amp;F4177</f>
        <v/>
      </c>
      <c r="F4177" s="80" t="n"/>
      <c r="G4177" s="81" t="n"/>
      <c r="H4177" s="78" t="n"/>
      <c r="I4177" s="78" t="n"/>
      <c r="J4177" s="78" t="n"/>
    </row>
    <row r="4178">
      <c r="A4178" s="84">
        <f>ROW()-6</f>
        <v/>
      </c>
      <c r="B4178" s="85">
        <f>+MATCH(D4178,ARTICULOS!$F$10:$F$699,0)</f>
        <v/>
      </c>
      <c r="C4178" s="86">
        <f>+VLOOKUP(B4178,ARTICULOS!$D$10:$I$699,6)</f>
        <v/>
      </c>
      <c r="D4178" s="212" t="n"/>
      <c r="E4178" s="75">
        <f>+C4178&amp;F4178</f>
        <v/>
      </c>
      <c r="F4178" s="80" t="n"/>
      <c r="G4178" s="81" t="n"/>
      <c r="H4178" s="78" t="n"/>
      <c r="I4178" s="78" t="n"/>
      <c r="J4178" s="78" t="n"/>
    </row>
    <row r="4179">
      <c r="A4179" s="84">
        <f>ROW()-6</f>
        <v/>
      </c>
      <c r="B4179" s="85">
        <f>+MATCH(D4179,ARTICULOS!$F$10:$F$699,0)</f>
        <v/>
      </c>
      <c r="C4179" s="86">
        <f>+VLOOKUP(B4179,ARTICULOS!$D$10:$I$699,6)</f>
        <v/>
      </c>
      <c r="D4179" s="212" t="n"/>
      <c r="E4179" s="75">
        <f>+C4179&amp;F4179</f>
        <v/>
      </c>
      <c r="F4179" s="80" t="n"/>
      <c r="G4179" s="81" t="n"/>
      <c r="H4179" s="78" t="n"/>
      <c r="I4179" s="78" t="n"/>
      <c r="J4179" s="78" t="n"/>
    </row>
    <row r="4180">
      <c r="A4180" s="84">
        <f>ROW()-6</f>
        <v/>
      </c>
      <c r="B4180" s="85">
        <f>+MATCH(D4180,ARTICULOS!$F$10:$F$699,0)</f>
        <v/>
      </c>
      <c r="C4180" s="86">
        <f>+VLOOKUP(B4180,ARTICULOS!$D$10:$I$699,6)</f>
        <v/>
      </c>
      <c r="D4180" s="212" t="n"/>
      <c r="E4180" s="75">
        <f>+C4180&amp;F4180</f>
        <v/>
      </c>
      <c r="F4180" s="80" t="n"/>
      <c r="G4180" s="81" t="n"/>
      <c r="H4180" s="78" t="n"/>
      <c r="I4180" s="78" t="n"/>
      <c r="J4180" s="78" t="n"/>
    </row>
    <row r="4181">
      <c r="A4181" s="84">
        <f>ROW()-6</f>
        <v/>
      </c>
      <c r="B4181" s="85">
        <f>+MATCH(D4181,ARTICULOS!$F$10:$F$699,0)</f>
        <v/>
      </c>
      <c r="C4181" s="86">
        <f>+VLOOKUP(B4181,ARTICULOS!$D$10:$I$699,6)</f>
        <v/>
      </c>
      <c r="D4181" s="212" t="n"/>
      <c r="E4181" s="75">
        <f>+C4181&amp;F4181</f>
        <v/>
      </c>
      <c r="F4181" s="80" t="n"/>
      <c r="G4181" s="81" t="n"/>
      <c r="H4181" s="78" t="n"/>
      <c r="I4181" s="78" t="n"/>
      <c r="J4181" s="78" t="n"/>
    </row>
    <row r="4182">
      <c r="A4182" s="84">
        <f>ROW()-6</f>
        <v/>
      </c>
      <c r="B4182" s="85">
        <f>+MATCH(D4182,ARTICULOS!$F$10:$F$699,0)</f>
        <v/>
      </c>
      <c r="C4182" s="86">
        <f>+VLOOKUP(B4182,ARTICULOS!$D$10:$I$699,6)</f>
        <v/>
      </c>
      <c r="D4182" s="212" t="n"/>
      <c r="E4182" s="75">
        <f>+C4182&amp;F4182</f>
        <v/>
      </c>
      <c r="F4182" s="80" t="n"/>
      <c r="G4182" s="81" t="n"/>
      <c r="H4182" s="78" t="n"/>
      <c r="I4182" s="78" t="n"/>
      <c r="J4182" s="78" t="n"/>
    </row>
    <row r="4183">
      <c r="A4183" s="84">
        <f>ROW()-6</f>
        <v/>
      </c>
      <c r="B4183" s="85">
        <f>+MATCH(D4183,ARTICULOS!$F$10:$F$699,0)</f>
        <v/>
      </c>
      <c r="C4183" s="86">
        <f>+VLOOKUP(B4183,ARTICULOS!$D$10:$I$699,6)</f>
        <v/>
      </c>
      <c r="D4183" s="212" t="n"/>
      <c r="E4183" s="75">
        <f>+C4183&amp;F4183</f>
        <v/>
      </c>
      <c r="F4183" s="80" t="n"/>
      <c r="G4183" s="81" t="n"/>
      <c r="H4183" s="78" t="n"/>
      <c r="I4183" s="78" t="n"/>
      <c r="J4183" s="78" t="n"/>
    </row>
    <row r="4184">
      <c r="A4184" s="84">
        <f>ROW()-6</f>
        <v/>
      </c>
      <c r="B4184" s="85">
        <f>+MATCH(D4184,ARTICULOS!$F$10:$F$699,0)</f>
        <v/>
      </c>
      <c r="C4184" s="86">
        <f>+VLOOKUP(B4184,ARTICULOS!$D$10:$I$699,6)</f>
        <v/>
      </c>
      <c r="D4184" s="212" t="n"/>
      <c r="E4184" s="75">
        <f>+C4184&amp;F4184</f>
        <v/>
      </c>
      <c r="F4184" s="80" t="n"/>
      <c r="G4184" s="81" t="n"/>
      <c r="H4184" s="78" t="n"/>
      <c r="I4184" s="78" t="n"/>
      <c r="J4184" s="78" t="n"/>
    </row>
    <row r="4185">
      <c r="A4185" s="84">
        <f>ROW()-6</f>
        <v/>
      </c>
      <c r="B4185" s="85">
        <f>+MATCH(D4185,ARTICULOS!$F$10:$F$699,0)</f>
        <v/>
      </c>
      <c r="C4185" s="86">
        <f>+VLOOKUP(B4185,ARTICULOS!$D$10:$I$699,6)</f>
        <v/>
      </c>
      <c r="D4185" s="212" t="n"/>
      <c r="E4185" s="75">
        <f>+C4185&amp;F4185</f>
        <v/>
      </c>
      <c r="F4185" s="80" t="n"/>
      <c r="G4185" s="81" t="n"/>
      <c r="H4185" s="78" t="n"/>
      <c r="I4185" s="78" t="n"/>
      <c r="J4185" s="78" t="n"/>
    </row>
    <row r="4186">
      <c r="A4186" s="84">
        <f>ROW()-6</f>
        <v/>
      </c>
      <c r="B4186" s="85">
        <f>+MATCH(D4186,ARTICULOS!$F$10:$F$699,0)</f>
        <v/>
      </c>
      <c r="C4186" s="86">
        <f>+VLOOKUP(B4186,ARTICULOS!$D$10:$I$699,6)</f>
        <v/>
      </c>
      <c r="D4186" s="212" t="n"/>
      <c r="E4186" s="75">
        <f>+C4186&amp;F4186</f>
        <v/>
      </c>
      <c r="F4186" s="80" t="n"/>
      <c r="G4186" s="81" t="n"/>
      <c r="H4186" s="78" t="n"/>
      <c r="I4186" s="78" t="n"/>
      <c r="J4186" s="78" t="n"/>
    </row>
    <row r="4187">
      <c r="A4187" s="84">
        <f>ROW()-6</f>
        <v/>
      </c>
      <c r="B4187" s="85">
        <f>+MATCH(D4187,ARTICULOS!$F$10:$F$699,0)</f>
        <v/>
      </c>
      <c r="C4187" s="86">
        <f>+VLOOKUP(B4187,ARTICULOS!$D$10:$I$699,6)</f>
        <v/>
      </c>
      <c r="D4187" s="212" t="n"/>
      <c r="E4187" s="75">
        <f>+C4187&amp;F4187</f>
        <v/>
      </c>
      <c r="F4187" s="80" t="n"/>
      <c r="G4187" s="81" t="n"/>
      <c r="H4187" s="78" t="n"/>
      <c r="I4187" s="78" t="n"/>
      <c r="J4187" s="78" t="n"/>
    </row>
    <row r="4188">
      <c r="A4188" s="84">
        <f>ROW()-6</f>
        <v/>
      </c>
      <c r="B4188" s="85">
        <f>+MATCH(D4188,ARTICULOS!$F$10:$F$699,0)</f>
        <v/>
      </c>
      <c r="C4188" s="86">
        <f>+VLOOKUP(B4188,ARTICULOS!$D$10:$I$699,6)</f>
        <v/>
      </c>
      <c r="D4188" s="212" t="n"/>
      <c r="E4188" s="75">
        <f>+C4188&amp;F4188</f>
        <v/>
      </c>
      <c r="F4188" s="80" t="n"/>
      <c r="G4188" s="81" t="n"/>
      <c r="H4188" s="78" t="n"/>
      <c r="I4188" s="78" t="n"/>
      <c r="J4188" s="78" t="n"/>
    </row>
    <row r="4189">
      <c r="A4189" s="84">
        <f>ROW()-6</f>
        <v/>
      </c>
      <c r="B4189" s="85">
        <f>+MATCH(D4189,ARTICULOS!$F$10:$F$699,0)</f>
        <v/>
      </c>
      <c r="C4189" s="86">
        <f>+VLOOKUP(B4189,ARTICULOS!$D$10:$I$699,6)</f>
        <v/>
      </c>
      <c r="D4189" s="212" t="n"/>
      <c r="E4189" s="75">
        <f>+C4189&amp;F4189</f>
        <v/>
      </c>
      <c r="F4189" s="80" t="n"/>
      <c r="G4189" s="81" t="n"/>
      <c r="H4189" s="78" t="n"/>
      <c r="I4189" s="78" t="n"/>
      <c r="J4189" s="78" t="n"/>
    </row>
    <row r="4190">
      <c r="A4190" s="84">
        <f>ROW()-6</f>
        <v/>
      </c>
      <c r="B4190" s="85">
        <f>+MATCH(D4190,ARTICULOS!$F$10:$F$699,0)</f>
        <v/>
      </c>
      <c r="C4190" s="86">
        <f>+VLOOKUP(B4190,ARTICULOS!$D$10:$I$699,6)</f>
        <v/>
      </c>
      <c r="D4190" s="212" t="n"/>
      <c r="E4190" s="75">
        <f>+C4190&amp;F4190</f>
        <v/>
      </c>
      <c r="F4190" s="80" t="n"/>
      <c r="G4190" s="81" t="n"/>
      <c r="H4190" s="78" t="n"/>
      <c r="I4190" s="78" t="n"/>
      <c r="J4190" s="78" t="n"/>
    </row>
    <row r="4191">
      <c r="A4191" s="84">
        <f>ROW()-6</f>
        <v/>
      </c>
      <c r="B4191" s="85">
        <f>+MATCH(D4191,ARTICULOS!$F$10:$F$699,0)</f>
        <v/>
      </c>
      <c r="C4191" s="86">
        <f>+VLOOKUP(B4191,ARTICULOS!$D$10:$I$699,6)</f>
        <v/>
      </c>
      <c r="D4191" s="212" t="n"/>
      <c r="E4191" s="75">
        <f>+C4191&amp;F4191</f>
        <v/>
      </c>
      <c r="F4191" s="80" t="n"/>
      <c r="G4191" s="81" t="n"/>
      <c r="H4191" s="78" t="n"/>
      <c r="I4191" s="78" t="n"/>
      <c r="J4191" s="78" t="n"/>
    </row>
    <row r="4192">
      <c r="A4192" s="84">
        <f>ROW()-6</f>
        <v/>
      </c>
      <c r="B4192" s="85">
        <f>+MATCH(D4192,ARTICULOS!$F$10:$F$699,0)</f>
        <v/>
      </c>
      <c r="C4192" s="86">
        <f>+VLOOKUP(B4192,ARTICULOS!$D$10:$I$699,6)</f>
        <v/>
      </c>
      <c r="D4192" s="212" t="n"/>
      <c r="E4192" s="75">
        <f>+C4192&amp;F4192</f>
        <v/>
      </c>
      <c r="F4192" s="80" t="n"/>
      <c r="G4192" s="81" t="n"/>
      <c r="H4192" s="78" t="n"/>
      <c r="I4192" s="78" t="n"/>
      <c r="J4192" s="78" t="n"/>
    </row>
    <row r="4193">
      <c r="A4193" s="84">
        <f>ROW()-6</f>
        <v/>
      </c>
      <c r="B4193" s="85">
        <f>+MATCH(D4193,ARTICULOS!$F$10:$F$699,0)</f>
        <v/>
      </c>
      <c r="C4193" s="86">
        <f>+VLOOKUP(B4193,ARTICULOS!$D$10:$I$699,6)</f>
        <v/>
      </c>
      <c r="D4193" s="212" t="n"/>
      <c r="E4193" s="75">
        <f>+C4193&amp;F4193</f>
        <v/>
      </c>
      <c r="F4193" s="80" t="n"/>
      <c r="G4193" s="81" t="n"/>
      <c r="H4193" s="78" t="n"/>
      <c r="I4193" s="78" t="n"/>
      <c r="J4193" s="78" t="n"/>
    </row>
    <row r="4194">
      <c r="A4194" s="84">
        <f>ROW()-6</f>
        <v/>
      </c>
      <c r="B4194" s="85">
        <f>+MATCH(D4194,ARTICULOS!$F$10:$F$699,0)</f>
        <v/>
      </c>
      <c r="C4194" s="86">
        <f>+VLOOKUP(B4194,ARTICULOS!$D$10:$I$699,6)</f>
        <v/>
      </c>
      <c r="D4194" s="212" t="n"/>
      <c r="E4194" s="75">
        <f>+C4194&amp;F4194</f>
        <v/>
      </c>
      <c r="F4194" s="80" t="n"/>
      <c r="G4194" s="81" t="n"/>
      <c r="H4194" s="78" t="n"/>
      <c r="I4194" s="78" t="n"/>
      <c r="J4194" s="78" t="n"/>
    </row>
    <row r="4195">
      <c r="A4195" s="84">
        <f>ROW()-6</f>
        <v/>
      </c>
      <c r="B4195" s="85">
        <f>+MATCH(D4195,ARTICULOS!$F$10:$F$699,0)</f>
        <v/>
      </c>
      <c r="C4195" s="86">
        <f>+VLOOKUP(B4195,ARTICULOS!$D$10:$I$699,6)</f>
        <v/>
      </c>
      <c r="D4195" s="212" t="n"/>
      <c r="E4195" s="75">
        <f>+C4195&amp;F4195</f>
        <v/>
      </c>
      <c r="F4195" s="80" t="n"/>
      <c r="G4195" s="81" t="n"/>
      <c r="H4195" s="78" t="n"/>
      <c r="I4195" s="78" t="n"/>
      <c r="J4195" s="78" t="n"/>
    </row>
    <row r="4196">
      <c r="A4196" s="84">
        <f>ROW()-6</f>
        <v/>
      </c>
      <c r="B4196" s="85">
        <f>+MATCH(D4196,ARTICULOS!$F$10:$F$699,0)</f>
        <v/>
      </c>
      <c r="C4196" s="86">
        <f>+VLOOKUP(B4196,ARTICULOS!$D$10:$I$699,6)</f>
        <v/>
      </c>
      <c r="D4196" s="212" t="n"/>
      <c r="E4196" s="75">
        <f>+C4196&amp;F4196</f>
        <v/>
      </c>
      <c r="F4196" s="80" t="n"/>
      <c r="G4196" s="81" t="n"/>
      <c r="H4196" s="78" t="n"/>
      <c r="I4196" s="78" t="n"/>
      <c r="J4196" s="78" t="n"/>
    </row>
    <row r="4197">
      <c r="A4197" s="84">
        <f>ROW()-6</f>
        <v/>
      </c>
      <c r="B4197" s="85">
        <f>+MATCH(D4197,ARTICULOS!$F$10:$F$699,0)</f>
        <v/>
      </c>
      <c r="C4197" s="86">
        <f>+VLOOKUP(B4197,ARTICULOS!$D$10:$I$699,6)</f>
        <v/>
      </c>
      <c r="D4197" s="212" t="n"/>
      <c r="E4197" s="75">
        <f>+C4197&amp;F4197</f>
        <v/>
      </c>
      <c r="F4197" s="80" t="n"/>
      <c r="G4197" s="81" t="n"/>
      <c r="H4197" s="78" t="n"/>
      <c r="I4197" s="78" t="n"/>
      <c r="J4197" s="78" t="n"/>
    </row>
    <row r="4198">
      <c r="A4198" s="84">
        <f>ROW()-6</f>
        <v/>
      </c>
      <c r="B4198" s="85">
        <f>+MATCH(D4198,ARTICULOS!$F$10:$F$699,0)</f>
        <v/>
      </c>
      <c r="C4198" s="86">
        <f>+VLOOKUP(B4198,ARTICULOS!$D$10:$I$699,6)</f>
        <v/>
      </c>
      <c r="D4198" s="212" t="n"/>
      <c r="E4198" s="75">
        <f>+C4198&amp;F4198</f>
        <v/>
      </c>
      <c r="F4198" s="80" t="n"/>
      <c r="G4198" s="81" t="n"/>
      <c r="H4198" s="78" t="n"/>
      <c r="I4198" s="78" t="n"/>
      <c r="J4198" s="78" t="n"/>
    </row>
    <row r="4199">
      <c r="A4199" s="84">
        <f>ROW()-6</f>
        <v/>
      </c>
      <c r="B4199" s="85">
        <f>+MATCH(D4199,ARTICULOS!$F$10:$F$699,0)</f>
        <v/>
      </c>
      <c r="C4199" s="86">
        <f>+VLOOKUP(B4199,ARTICULOS!$D$10:$I$699,6)</f>
        <v/>
      </c>
      <c r="D4199" s="212" t="n"/>
      <c r="E4199" s="75">
        <f>+C4199&amp;F4199</f>
        <v/>
      </c>
      <c r="F4199" s="80" t="n"/>
      <c r="G4199" s="81" t="n"/>
      <c r="H4199" s="78" t="n"/>
      <c r="I4199" s="78" t="n"/>
      <c r="J4199" s="78" t="n"/>
    </row>
    <row r="4200">
      <c r="A4200" s="84">
        <f>ROW()-6</f>
        <v/>
      </c>
      <c r="B4200" s="85">
        <f>+MATCH(D4200,ARTICULOS!$F$10:$F$699,0)</f>
        <v/>
      </c>
      <c r="C4200" s="86">
        <f>+VLOOKUP(B4200,ARTICULOS!$D$10:$I$699,6)</f>
        <v/>
      </c>
      <c r="D4200" s="212" t="n"/>
      <c r="E4200" s="75">
        <f>+C4200&amp;F4200</f>
        <v/>
      </c>
      <c r="F4200" s="80" t="n"/>
      <c r="G4200" s="81" t="n"/>
      <c r="H4200" s="78" t="n"/>
      <c r="I4200" s="78" t="n"/>
      <c r="J4200" s="78" t="n"/>
    </row>
    <row r="4201">
      <c r="A4201" s="84">
        <f>ROW()-6</f>
        <v/>
      </c>
      <c r="B4201" s="85">
        <f>+MATCH(D4201,ARTICULOS!$F$10:$F$699,0)</f>
        <v/>
      </c>
      <c r="C4201" s="86">
        <f>+VLOOKUP(B4201,ARTICULOS!$D$10:$I$699,6)</f>
        <v/>
      </c>
      <c r="D4201" s="212" t="n"/>
      <c r="E4201" s="75">
        <f>+C4201&amp;F4201</f>
        <v/>
      </c>
      <c r="F4201" s="80" t="n"/>
      <c r="G4201" s="81" t="n"/>
      <c r="H4201" s="78" t="n"/>
      <c r="I4201" s="78" t="n"/>
      <c r="J4201" s="78" t="n"/>
    </row>
    <row r="4202">
      <c r="A4202" s="84">
        <f>ROW()-6</f>
        <v/>
      </c>
      <c r="B4202" s="85">
        <f>+MATCH(D4202,ARTICULOS!$F$10:$F$699,0)</f>
        <v/>
      </c>
      <c r="C4202" s="86">
        <f>+VLOOKUP(B4202,ARTICULOS!$D$10:$I$699,6)</f>
        <v/>
      </c>
      <c r="D4202" s="212" t="n"/>
      <c r="E4202" s="75">
        <f>+C4202&amp;F4202</f>
        <v/>
      </c>
      <c r="F4202" s="80" t="n"/>
      <c r="G4202" s="81" t="n"/>
      <c r="H4202" s="78" t="n"/>
      <c r="I4202" s="78" t="n"/>
      <c r="J4202" s="78" t="n"/>
    </row>
    <row r="4203">
      <c r="A4203" s="84">
        <f>ROW()-6</f>
        <v/>
      </c>
      <c r="B4203" s="85">
        <f>+MATCH(D4203,ARTICULOS!$F$10:$F$699,0)</f>
        <v/>
      </c>
      <c r="C4203" s="86">
        <f>+VLOOKUP(B4203,ARTICULOS!$D$10:$I$699,6)</f>
        <v/>
      </c>
      <c r="D4203" s="212" t="n"/>
      <c r="E4203" s="75">
        <f>+C4203&amp;F4203</f>
        <v/>
      </c>
      <c r="F4203" s="80" t="n"/>
      <c r="G4203" s="81" t="n"/>
      <c r="H4203" s="78" t="n"/>
      <c r="I4203" s="78" t="n"/>
      <c r="J4203" s="78" t="n"/>
    </row>
    <row r="4204">
      <c r="A4204" s="84">
        <f>ROW()-6</f>
        <v/>
      </c>
      <c r="B4204" s="85">
        <f>+MATCH(D4204,ARTICULOS!$F$10:$F$699,0)</f>
        <v/>
      </c>
      <c r="C4204" s="86">
        <f>+VLOOKUP(B4204,ARTICULOS!$D$10:$I$699,6)</f>
        <v/>
      </c>
      <c r="D4204" s="212" t="n"/>
      <c r="E4204" s="75">
        <f>+C4204&amp;F4204</f>
        <v/>
      </c>
      <c r="F4204" s="80" t="n"/>
      <c r="G4204" s="81" t="n"/>
      <c r="H4204" s="78" t="n"/>
      <c r="I4204" s="78" t="n"/>
      <c r="J4204" s="78" t="n"/>
    </row>
    <row r="4205">
      <c r="A4205" s="84">
        <f>ROW()-6</f>
        <v/>
      </c>
      <c r="B4205" s="85">
        <f>+MATCH(D4205,ARTICULOS!$F$10:$F$699,0)</f>
        <v/>
      </c>
      <c r="C4205" s="86">
        <f>+VLOOKUP(B4205,ARTICULOS!$D$10:$I$699,6)</f>
        <v/>
      </c>
      <c r="D4205" s="212" t="n"/>
      <c r="E4205" s="75">
        <f>+C4205&amp;F4205</f>
        <v/>
      </c>
      <c r="F4205" s="80" t="n"/>
      <c r="G4205" s="81" t="n"/>
      <c r="H4205" s="78" t="n"/>
      <c r="I4205" s="78" t="n"/>
      <c r="J4205" s="78" t="n"/>
    </row>
    <row r="4206">
      <c r="A4206" s="84">
        <f>ROW()-6</f>
        <v/>
      </c>
      <c r="B4206" s="85">
        <f>+MATCH(D4206,ARTICULOS!$F$10:$F$699,0)</f>
        <v/>
      </c>
      <c r="C4206" s="86">
        <f>+VLOOKUP(B4206,ARTICULOS!$D$10:$I$699,6)</f>
        <v/>
      </c>
      <c r="D4206" s="212" t="n"/>
      <c r="E4206" s="75">
        <f>+C4206&amp;F4206</f>
        <v/>
      </c>
      <c r="F4206" s="80" t="n"/>
      <c r="G4206" s="81" t="n"/>
      <c r="H4206" s="78" t="n"/>
      <c r="I4206" s="78" t="n"/>
      <c r="J4206" s="78" t="n"/>
    </row>
    <row r="4207">
      <c r="A4207" s="84">
        <f>ROW()-6</f>
        <v/>
      </c>
      <c r="B4207" s="85">
        <f>+MATCH(D4207,ARTICULOS!$F$10:$F$699,0)</f>
        <v/>
      </c>
      <c r="C4207" s="86">
        <f>+VLOOKUP(B4207,ARTICULOS!$D$10:$I$699,6)</f>
        <v/>
      </c>
      <c r="D4207" s="212" t="n"/>
      <c r="E4207" s="75">
        <f>+C4207&amp;F4207</f>
        <v/>
      </c>
      <c r="F4207" s="80" t="n"/>
      <c r="G4207" s="81" t="n"/>
      <c r="H4207" s="78" t="n"/>
      <c r="I4207" s="78" t="n"/>
      <c r="J4207" s="78" t="n"/>
    </row>
    <row r="4208">
      <c r="A4208" s="84">
        <f>ROW()-6</f>
        <v/>
      </c>
      <c r="B4208" s="85">
        <f>+MATCH(D4208,ARTICULOS!$F$10:$F$699,0)</f>
        <v/>
      </c>
      <c r="C4208" s="86">
        <f>+VLOOKUP(B4208,ARTICULOS!$D$10:$I$699,6)</f>
        <v/>
      </c>
      <c r="D4208" s="212" t="n"/>
      <c r="E4208" s="75">
        <f>+C4208&amp;F4208</f>
        <v/>
      </c>
      <c r="F4208" s="80" t="n"/>
      <c r="G4208" s="81" t="n"/>
      <c r="H4208" s="78" t="n"/>
      <c r="I4208" s="78" t="n"/>
      <c r="J4208" s="78" t="n"/>
    </row>
    <row r="4209">
      <c r="A4209" s="84">
        <f>ROW()-6</f>
        <v/>
      </c>
      <c r="B4209" s="85">
        <f>+MATCH(D4209,ARTICULOS!$F$10:$F$699,0)</f>
        <v/>
      </c>
      <c r="C4209" s="86">
        <f>+VLOOKUP(B4209,ARTICULOS!$D$10:$I$699,6)</f>
        <v/>
      </c>
      <c r="D4209" s="212" t="n"/>
      <c r="E4209" s="75">
        <f>+C4209&amp;F4209</f>
        <v/>
      </c>
      <c r="F4209" s="80" t="n"/>
      <c r="G4209" s="81" t="n"/>
      <c r="H4209" s="78" t="n"/>
      <c r="I4209" s="78" t="n"/>
      <c r="J4209" s="78" t="n"/>
    </row>
    <row r="4210">
      <c r="A4210" s="84">
        <f>ROW()-6</f>
        <v/>
      </c>
      <c r="B4210" s="85">
        <f>+MATCH(D4210,ARTICULOS!$F$10:$F$699,0)</f>
        <v/>
      </c>
      <c r="C4210" s="86">
        <f>+VLOOKUP(B4210,ARTICULOS!$D$10:$I$699,6)</f>
        <v/>
      </c>
      <c r="D4210" s="212" t="n"/>
      <c r="E4210" s="75">
        <f>+C4210&amp;F4210</f>
        <v/>
      </c>
      <c r="F4210" s="80" t="n"/>
      <c r="G4210" s="81" t="n"/>
      <c r="H4210" s="78" t="n"/>
      <c r="I4210" s="78" t="n"/>
      <c r="J4210" s="78" t="n"/>
    </row>
    <row r="4211">
      <c r="A4211" s="84">
        <f>ROW()-6</f>
        <v/>
      </c>
      <c r="B4211" s="85">
        <f>+MATCH(D4211,ARTICULOS!$F$10:$F$699,0)</f>
        <v/>
      </c>
      <c r="C4211" s="86">
        <f>+VLOOKUP(B4211,ARTICULOS!$D$10:$I$699,6)</f>
        <v/>
      </c>
      <c r="D4211" s="212" t="n"/>
      <c r="E4211" s="75">
        <f>+C4211&amp;F4211</f>
        <v/>
      </c>
      <c r="F4211" s="80" t="n"/>
      <c r="G4211" s="81" t="n"/>
      <c r="H4211" s="78" t="n"/>
      <c r="I4211" s="78" t="n"/>
      <c r="J4211" s="78" t="n"/>
    </row>
    <row r="4212">
      <c r="A4212" s="84">
        <f>ROW()-6</f>
        <v/>
      </c>
      <c r="B4212" s="85">
        <f>+MATCH(D4212,ARTICULOS!$F$10:$F$699,0)</f>
        <v/>
      </c>
      <c r="C4212" s="86">
        <f>+VLOOKUP(B4212,ARTICULOS!$D$10:$I$699,6)</f>
        <v/>
      </c>
      <c r="D4212" s="212" t="n"/>
      <c r="E4212" s="75">
        <f>+C4212&amp;F4212</f>
        <v/>
      </c>
      <c r="F4212" s="80" t="n"/>
      <c r="G4212" s="81" t="n"/>
      <c r="H4212" s="78" t="n"/>
      <c r="I4212" s="78" t="n"/>
      <c r="J4212" s="78" t="n"/>
    </row>
    <row r="4213">
      <c r="A4213" s="84">
        <f>ROW()-6</f>
        <v/>
      </c>
      <c r="B4213" s="85">
        <f>+MATCH(D4213,ARTICULOS!$F$10:$F$699,0)</f>
        <v/>
      </c>
      <c r="C4213" s="86">
        <f>+VLOOKUP(B4213,ARTICULOS!$D$10:$I$699,6)</f>
        <v/>
      </c>
      <c r="D4213" s="212" t="n"/>
      <c r="E4213" s="75">
        <f>+C4213&amp;F4213</f>
        <v/>
      </c>
      <c r="F4213" s="80" t="n"/>
      <c r="G4213" s="81" t="n"/>
      <c r="H4213" s="78" t="n"/>
      <c r="I4213" s="78" t="n"/>
      <c r="J4213" s="78" t="n"/>
    </row>
    <row r="4214">
      <c r="A4214" s="84">
        <f>ROW()-6</f>
        <v/>
      </c>
      <c r="B4214" s="85">
        <f>+MATCH(D4214,ARTICULOS!$F$10:$F$699,0)</f>
        <v/>
      </c>
      <c r="C4214" s="86">
        <f>+VLOOKUP(B4214,ARTICULOS!$D$10:$I$699,6)</f>
        <v/>
      </c>
      <c r="D4214" s="212" t="n"/>
      <c r="E4214" s="75">
        <f>+C4214&amp;F4214</f>
        <v/>
      </c>
      <c r="F4214" s="80" t="n"/>
      <c r="G4214" s="81" t="n"/>
      <c r="H4214" s="78" t="n"/>
      <c r="I4214" s="78" t="n"/>
      <c r="J4214" s="78" t="n"/>
    </row>
    <row r="4215">
      <c r="A4215" s="84">
        <f>ROW()-6</f>
        <v/>
      </c>
      <c r="B4215" s="85">
        <f>+MATCH(D4215,ARTICULOS!$F$10:$F$699,0)</f>
        <v/>
      </c>
      <c r="C4215" s="86">
        <f>+VLOOKUP(B4215,ARTICULOS!$D$10:$I$699,6)</f>
        <v/>
      </c>
      <c r="D4215" s="212" t="n"/>
      <c r="E4215" s="75">
        <f>+C4215&amp;F4215</f>
        <v/>
      </c>
      <c r="F4215" s="80" t="n"/>
      <c r="G4215" s="81" t="n"/>
      <c r="H4215" s="78" t="n"/>
      <c r="I4215" s="78" t="n"/>
      <c r="J4215" s="78" t="n"/>
    </row>
    <row r="4216">
      <c r="A4216" s="84">
        <f>ROW()-6</f>
        <v/>
      </c>
      <c r="B4216" s="85">
        <f>+MATCH(D4216,ARTICULOS!$F$10:$F$699,0)</f>
        <v/>
      </c>
      <c r="C4216" s="86">
        <f>+VLOOKUP(B4216,ARTICULOS!$D$10:$I$699,6)</f>
        <v/>
      </c>
      <c r="D4216" s="212" t="n"/>
      <c r="E4216" s="75">
        <f>+C4216&amp;F4216</f>
        <v/>
      </c>
      <c r="F4216" s="80" t="n"/>
      <c r="G4216" s="81" t="n"/>
      <c r="H4216" s="78" t="n"/>
      <c r="I4216" s="78" t="n"/>
      <c r="J4216" s="78" t="n"/>
    </row>
    <row r="4217">
      <c r="A4217" s="84">
        <f>ROW()-6</f>
        <v/>
      </c>
      <c r="B4217" s="85">
        <f>+MATCH(D4217,ARTICULOS!$F$10:$F$699,0)</f>
        <v/>
      </c>
      <c r="C4217" s="86">
        <f>+VLOOKUP(B4217,ARTICULOS!$D$10:$I$699,6)</f>
        <v/>
      </c>
      <c r="D4217" s="212" t="n"/>
      <c r="E4217" s="75">
        <f>+C4217&amp;F4217</f>
        <v/>
      </c>
      <c r="F4217" s="80" t="n"/>
      <c r="G4217" s="81" t="n"/>
      <c r="H4217" s="78" t="n"/>
      <c r="I4217" s="78" t="n"/>
      <c r="J4217" s="78" t="n"/>
    </row>
    <row r="4218">
      <c r="A4218" s="84">
        <f>ROW()-6</f>
        <v/>
      </c>
      <c r="B4218" s="85">
        <f>+MATCH(D4218,ARTICULOS!$F$10:$F$699,0)</f>
        <v/>
      </c>
      <c r="C4218" s="86">
        <f>+VLOOKUP(B4218,ARTICULOS!$D$10:$I$699,6)</f>
        <v/>
      </c>
      <c r="D4218" s="212" t="n"/>
      <c r="E4218" s="75">
        <f>+C4218&amp;F4218</f>
        <v/>
      </c>
      <c r="F4218" s="80" t="n"/>
      <c r="G4218" s="81" t="n"/>
      <c r="H4218" s="78" t="n"/>
      <c r="I4218" s="78" t="n"/>
      <c r="J4218" s="78" t="n"/>
    </row>
    <row r="4219">
      <c r="A4219" s="84">
        <f>ROW()-6</f>
        <v/>
      </c>
      <c r="B4219" s="85">
        <f>+MATCH(D4219,ARTICULOS!$F$10:$F$699,0)</f>
        <v/>
      </c>
      <c r="C4219" s="86">
        <f>+VLOOKUP(B4219,ARTICULOS!$D$10:$I$699,6)</f>
        <v/>
      </c>
      <c r="D4219" s="212" t="n"/>
      <c r="E4219" s="75">
        <f>+C4219&amp;F4219</f>
        <v/>
      </c>
      <c r="F4219" s="80" t="n"/>
      <c r="G4219" s="81" t="n"/>
      <c r="H4219" s="78" t="n"/>
      <c r="I4219" s="78" t="n"/>
      <c r="J4219" s="78" t="n"/>
    </row>
    <row r="4220">
      <c r="A4220" s="84">
        <f>ROW()-6</f>
        <v/>
      </c>
      <c r="B4220" s="85">
        <f>+MATCH(D4220,ARTICULOS!$F$10:$F$699,0)</f>
        <v/>
      </c>
      <c r="C4220" s="86">
        <f>+VLOOKUP(B4220,ARTICULOS!$D$10:$I$699,6)</f>
        <v/>
      </c>
      <c r="D4220" s="212" t="n"/>
      <c r="E4220" s="75">
        <f>+C4220&amp;F4220</f>
        <v/>
      </c>
      <c r="F4220" s="80" t="n"/>
      <c r="G4220" s="81" t="n"/>
      <c r="H4220" s="78" t="n"/>
      <c r="I4220" s="78" t="n"/>
      <c r="J4220" s="78" t="n"/>
    </row>
    <row r="4221">
      <c r="A4221" s="84">
        <f>ROW()-6</f>
        <v/>
      </c>
      <c r="B4221" s="85">
        <f>+MATCH(D4221,ARTICULOS!$F$10:$F$699,0)</f>
        <v/>
      </c>
      <c r="C4221" s="86">
        <f>+VLOOKUP(B4221,ARTICULOS!$D$10:$I$699,6)</f>
        <v/>
      </c>
      <c r="D4221" s="212" t="n"/>
      <c r="E4221" s="75">
        <f>+C4221&amp;F4221</f>
        <v/>
      </c>
      <c r="F4221" s="80" t="n"/>
      <c r="G4221" s="81" t="n"/>
      <c r="H4221" s="78" t="n"/>
      <c r="I4221" s="78" t="n"/>
      <c r="J4221" s="78" t="n"/>
    </row>
    <row r="4222">
      <c r="A4222" s="84">
        <f>ROW()-6</f>
        <v/>
      </c>
      <c r="B4222" s="85">
        <f>+MATCH(D4222,ARTICULOS!$F$10:$F$699,0)</f>
        <v/>
      </c>
      <c r="C4222" s="86">
        <f>+VLOOKUP(B4222,ARTICULOS!$D$10:$I$699,6)</f>
        <v/>
      </c>
      <c r="D4222" s="212" t="n"/>
      <c r="E4222" s="75">
        <f>+C4222&amp;F4222</f>
        <v/>
      </c>
      <c r="F4222" s="80" t="n"/>
      <c r="G4222" s="81" t="n"/>
      <c r="H4222" s="78" t="n"/>
      <c r="I4222" s="78" t="n"/>
      <c r="J4222" s="78" t="n"/>
    </row>
    <row r="4223">
      <c r="A4223" s="84">
        <f>ROW()-6</f>
        <v/>
      </c>
      <c r="B4223" s="85">
        <f>+MATCH(D4223,ARTICULOS!$F$10:$F$699,0)</f>
        <v/>
      </c>
      <c r="C4223" s="86">
        <f>+VLOOKUP(B4223,ARTICULOS!$D$10:$I$699,6)</f>
        <v/>
      </c>
      <c r="D4223" s="212" t="n"/>
      <c r="E4223" s="75">
        <f>+C4223&amp;F4223</f>
        <v/>
      </c>
      <c r="F4223" s="80" t="n"/>
      <c r="G4223" s="81" t="n"/>
      <c r="H4223" s="78" t="n"/>
      <c r="I4223" s="78" t="n"/>
      <c r="J4223" s="78" t="n"/>
    </row>
    <row r="4224">
      <c r="A4224" s="84">
        <f>ROW()-6</f>
        <v/>
      </c>
      <c r="B4224" s="85">
        <f>+MATCH(D4224,ARTICULOS!$F$10:$F$699,0)</f>
        <v/>
      </c>
      <c r="C4224" s="86">
        <f>+VLOOKUP(B4224,ARTICULOS!$D$10:$I$699,6)</f>
        <v/>
      </c>
      <c r="D4224" s="212" t="n"/>
      <c r="E4224" s="75">
        <f>+C4224&amp;F4224</f>
        <v/>
      </c>
      <c r="F4224" s="80" t="n"/>
      <c r="G4224" s="81" t="n"/>
      <c r="H4224" s="78" t="n"/>
      <c r="I4224" s="78" t="n"/>
      <c r="J4224" s="78" t="n"/>
    </row>
    <row r="4225">
      <c r="A4225" s="84">
        <f>ROW()-6</f>
        <v/>
      </c>
      <c r="B4225" s="85">
        <f>+MATCH(D4225,ARTICULOS!$F$10:$F$699,0)</f>
        <v/>
      </c>
      <c r="C4225" s="86">
        <f>+VLOOKUP(B4225,ARTICULOS!$D$10:$I$699,6)</f>
        <v/>
      </c>
      <c r="D4225" s="212" t="n"/>
      <c r="E4225" s="75">
        <f>+C4225&amp;F4225</f>
        <v/>
      </c>
      <c r="F4225" s="80" t="n"/>
      <c r="G4225" s="81" t="n"/>
      <c r="H4225" s="78" t="n"/>
      <c r="I4225" s="78" t="n"/>
      <c r="J4225" s="78" t="n"/>
    </row>
    <row r="4226">
      <c r="A4226" s="84">
        <f>ROW()-6</f>
        <v/>
      </c>
      <c r="B4226" s="85">
        <f>+MATCH(D4226,ARTICULOS!$F$10:$F$699,0)</f>
        <v/>
      </c>
      <c r="C4226" s="86">
        <f>+VLOOKUP(B4226,ARTICULOS!$D$10:$I$699,6)</f>
        <v/>
      </c>
      <c r="D4226" s="212" t="n"/>
      <c r="E4226" s="75">
        <f>+C4226&amp;F4226</f>
        <v/>
      </c>
      <c r="F4226" s="80" t="n"/>
      <c r="G4226" s="81" t="n"/>
      <c r="H4226" s="78" t="n"/>
      <c r="I4226" s="78" t="n"/>
      <c r="J4226" s="78" t="n"/>
    </row>
    <row r="4227">
      <c r="A4227" s="84">
        <f>ROW()-6</f>
        <v/>
      </c>
      <c r="B4227" s="85">
        <f>+MATCH(D4227,ARTICULOS!$F$10:$F$699,0)</f>
        <v/>
      </c>
      <c r="C4227" s="86">
        <f>+VLOOKUP(B4227,ARTICULOS!$D$10:$I$699,6)</f>
        <v/>
      </c>
      <c r="D4227" s="212" t="n"/>
      <c r="E4227" s="75">
        <f>+C4227&amp;F4227</f>
        <v/>
      </c>
      <c r="F4227" s="80" t="n"/>
      <c r="G4227" s="81" t="n"/>
      <c r="H4227" s="78" t="n"/>
      <c r="I4227" s="78" t="n"/>
      <c r="J4227" s="78" t="n"/>
    </row>
    <row r="4228">
      <c r="A4228" s="84">
        <f>ROW()-6</f>
        <v/>
      </c>
      <c r="B4228" s="85">
        <f>+MATCH(D4228,ARTICULOS!$F$10:$F$699,0)</f>
        <v/>
      </c>
      <c r="C4228" s="86">
        <f>+VLOOKUP(B4228,ARTICULOS!$D$10:$I$699,6)</f>
        <v/>
      </c>
      <c r="D4228" s="212" t="n"/>
      <c r="E4228" s="75">
        <f>+C4228&amp;F4228</f>
        <v/>
      </c>
      <c r="F4228" s="80" t="n"/>
      <c r="G4228" s="81" t="n"/>
      <c r="H4228" s="78" t="n"/>
      <c r="I4228" s="78" t="n"/>
      <c r="J4228" s="78" t="n"/>
    </row>
    <row r="4229">
      <c r="A4229" s="84">
        <f>ROW()-6</f>
        <v/>
      </c>
      <c r="B4229" s="85">
        <f>+MATCH(D4229,ARTICULOS!$F$10:$F$699,0)</f>
        <v/>
      </c>
      <c r="C4229" s="86">
        <f>+VLOOKUP(B4229,ARTICULOS!$D$10:$I$699,6)</f>
        <v/>
      </c>
      <c r="D4229" s="212" t="n"/>
      <c r="E4229" s="75">
        <f>+C4229&amp;F4229</f>
        <v/>
      </c>
      <c r="F4229" s="80" t="n"/>
      <c r="G4229" s="81" t="n"/>
      <c r="H4229" s="78" t="n"/>
      <c r="I4229" s="78" t="n"/>
      <c r="J4229" s="78" t="n"/>
    </row>
    <row r="4230">
      <c r="A4230" s="84">
        <f>ROW()-6</f>
        <v/>
      </c>
      <c r="B4230" s="85">
        <f>+MATCH(D4230,ARTICULOS!$F$10:$F$699,0)</f>
        <v/>
      </c>
      <c r="C4230" s="86">
        <f>+VLOOKUP(B4230,ARTICULOS!$D$10:$I$699,6)</f>
        <v/>
      </c>
      <c r="D4230" s="212" t="n"/>
      <c r="E4230" s="75">
        <f>+C4230&amp;F4230</f>
        <v/>
      </c>
      <c r="F4230" s="80" t="n"/>
      <c r="G4230" s="81" t="n"/>
      <c r="H4230" s="78" t="n"/>
      <c r="I4230" s="78" t="n"/>
      <c r="J4230" s="78" t="n"/>
    </row>
    <row r="4231">
      <c r="A4231" s="84">
        <f>ROW()-6</f>
        <v/>
      </c>
      <c r="B4231" s="85">
        <f>+MATCH(D4231,ARTICULOS!$F$10:$F$699,0)</f>
        <v/>
      </c>
      <c r="C4231" s="86">
        <f>+VLOOKUP(B4231,ARTICULOS!$D$10:$I$699,6)</f>
        <v/>
      </c>
      <c r="D4231" s="212" t="n"/>
      <c r="E4231" s="75">
        <f>+C4231&amp;F4231</f>
        <v/>
      </c>
      <c r="F4231" s="80" t="n"/>
      <c r="G4231" s="81" t="n"/>
      <c r="H4231" s="78" t="n"/>
      <c r="I4231" s="78" t="n"/>
      <c r="J4231" s="78" t="n"/>
    </row>
    <row r="4232">
      <c r="A4232" s="84">
        <f>ROW()-6</f>
        <v/>
      </c>
      <c r="B4232" s="85">
        <f>+MATCH(D4232,ARTICULOS!$F$10:$F$699,0)</f>
        <v/>
      </c>
      <c r="C4232" s="86">
        <f>+VLOOKUP(B4232,ARTICULOS!$D$10:$I$699,6)</f>
        <v/>
      </c>
      <c r="D4232" s="212" t="n"/>
      <c r="E4232" s="75">
        <f>+C4232&amp;F4232</f>
        <v/>
      </c>
      <c r="F4232" s="80" t="n"/>
      <c r="G4232" s="81" t="n"/>
      <c r="H4232" s="78" t="n"/>
      <c r="I4232" s="78" t="n"/>
      <c r="J4232" s="78" t="n"/>
    </row>
    <row r="4233">
      <c r="A4233" s="84">
        <f>ROW()-6</f>
        <v/>
      </c>
      <c r="B4233" s="85">
        <f>+MATCH(D4233,ARTICULOS!$F$10:$F$699,0)</f>
        <v/>
      </c>
      <c r="C4233" s="86">
        <f>+VLOOKUP(B4233,ARTICULOS!$D$10:$I$699,6)</f>
        <v/>
      </c>
      <c r="D4233" s="212" t="n"/>
      <c r="E4233" s="75">
        <f>+C4233&amp;F4233</f>
        <v/>
      </c>
      <c r="F4233" s="80" t="n"/>
      <c r="G4233" s="81" t="n"/>
      <c r="H4233" s="78" t="n"/>
      <c r="I4233" s="78" t="n"/>
      <c r="J4233" s="78" t="n"/>
    </row>
    <row r="4234">
      <c r="A4234" s="84">
        <f>ROW()-6</f>
        <v/>
      </c>
      <c r="B4234" s="85">
        <f>+MATCH(D4234,ARTICULOS!$F$10:$F$699,0)</f>
        <v/>
      </c>
      <c r="C4234" s="86">
        <f>+VLOOKUP(B4234,ARTICULOS!$D$10:$I$699,6)</f>
        <v/>
      </c>
      <c r="D4234" s="212" t="n"/>
      <c r="E4234" s="75">
        <f>+C4234&amp;F4234</f>
        <v/>
      </c>
      <c r="F4234" s="80" t="n"/>
      <c r="G4234" s="81" t="n"/>
      <c r="H4234" s="78" t="n"/>
      <c r="I4234" s="78" t="n"/>
      <c r="J4234" s="78" t="n"/>
    </row>
    <row r="4235">
      <c r="A4235" s="84">
        <f>ROW()-6</f>
        <v/>
      </c>
      <c r="B4235" s="85">
        <f>+MATCH(D4235,ARTICULOS!$F$10:$F$699,0)</f>
        <v/>
      </c>
      <c r="C4235" s="86">
        <f>+VLOOKUP(B4235,ARTICULOS!$D$10:$I$699,6)</f>
        <v/>
      </c>
      <c r="D4235" s="212" t="n"/>
      <c r="E4235" s="75">
        <f>+C4235&amp;F4235</f>
        <v/>
      </c>
      <c r="F4235" s="80" t="n"/>
      <c r="G4235" s="81" t="n"/>
      <c r="H4235" s="78" t="n"/>
      <c r="I4235" s="78" t="n"/>
      <c r="J4235" s="78" t="n"/>
    </row>
    <row r="4236">
      <c r="A4236" s="84">
        <f>ROW()-6</f>
        <v/>
      </c>
      <c r="B4236" s="85">
        <f>+MATCH(D4236,ARTICULOS!$F$10:$F$699,0)</f>
        <v/>
      </c>
      <c r="C4236" s="86">
        <f>+VLOOKUP(B4236,ARTICULOS!$D$10:$I$699,6)</f>
        <v/>
      </c>
      <c r="D4236" s="212" t="n"/>
      <c r="E4236" s="75">
        <f>+C4236&amp;F4236</f>
        <v/>
      </c>
      <c r="F4236" s="80" t="n"/>
      <c r="G4236" s="81" t="n"/>
      <c r="H4236" s="78" t="n"/>
      <c r="I4236" s="78" t="n"/>
      <c r="J4236" s="78" t="n"/>
    </row>
    <row r="4237">
      <c r="A4237" s="84">
        <f>ROW()-6</f>
        <v/>
      </c>
      <c r="B4237" s="85">
        <f>+MATCH(D4237,ARTICULOS!$F$10:$F$699,0)</f>
        <v/>
      </c>
      <c r="C4237" s="86">
        <f>+VLOOKUP(B4237,ARTICULOS!$D$10:$I$699,6)</f>
        <v/>
      </c>
      <c r="D4237" s="212" t="n"/>
      <c r="E4237" s="75">
        <f>+C4237&amp;F4237</f>
        <v/>
      </c>
      <c r="F4237" s="80" t="n"/>
      <c r="G4237" s="81" t="n"/>
      <c r="H4237" s="78" t="n"/>
      <c r="I4237" s="78" t="n"/>
      <c r="J4237" s="78" t="n"/>
    </row>
    <row r="4238">
      <c r="A4238" s="84">
        <f>ROW()-6</f>
        <v/>
      </c>
      <c r="B4238" s="85">
        <f>+MATCH(D4238,ARTICULOS!$F$10:$F$699,0)</f>
        <v/>
      </c>
      <c r="C4238" s="86">
        <f>+VLOOKUP(B4238,ARTICULOS!$D$10:$I$699,6)</f>
        <v/>
      </c>
      <c r="D4238" s="212" t="n"/>
      <c r="E4238" s="75">
        <f>+C4238&amp;F4238</f>
        <v/>
      </c>
      <c r="F4238" s="80" t="n"/>
      <c r="G4238" s="81" t="n"/>
      <c r="H4238" s="78" t="n"/>
      <c r="I4238" s="78" t="n"/>
      <c r="J4238" s="78" t="n"/>
    </row>
    <row r="4239">
      <c r="A4239" s="84">
        <f>ROW()-6</f>
        <v/>
      </c>
      <c r="B4239" s="85">
        <f>+MATCH(D4239,ARTICULOS!$F$10:$F$699,0)</f>
        <v/>
      </c>
      <c r="C4239" s="86">
        <f>+VLOOKUP(B4239,ARTICULOS!$D$10:$I$699,6)</f>
        <v/>
      </c>
      <c r="D4239" s="212" t="n"/>
      <c r="E4239" s="75">
        <f>+C4239&amp;F4239</f>
        <v/>
      </c>
      <c r="F4239" s="80" t="n"/>
      <c r="G4239" s="81" t="n"/>
      <c r="H4239" s="78" t="n"/>
      <c r="I4239" s="78" t="n"/>
      <c r="J4239" s="78" t="n"/>
    </row>
    <row r="4240">
      <c r="A4240" s="84">
        <f>ROW()-6</f>
        <v/>
      </c>
      <c r="B4240" s="85">
        <f>+MATCH(D4240,ARTICULOS!$F$10:$F$699,0)</f>
        <v/>
      </c>
      <c r="C4240" s="86">
        <f>+VLOOKUP(B4240,ARTICULOS!$D$10:$I$699,6)</f>
        <v/>
      </c>
      <c r="D4240" s="212" t="n"/>
      <c r="E4240" s="75">
        <f>+C4240&amp;F4240</f>
        <v/>
      </c>
      <c r="F4240" s="80" t="n"/>
      <c r="G4240" s="81" t="n"/>
      <c r="H4240" s="78" t="n"/>
      <c r="I4240" s="78" t="n"/>
      <c r="J4240" s="78" t="n"/>
    </row>
    <row r="4241">
      <c r="A4241" s="84">
        <f>ROW()-6</f>
        <v/>
      </c>
      <c r="B4241" s="85">
        <f>+MATCH(D4241,ARTICULOS!$F$10:$F$699,0)</f>
        <v/>
      </c>
      <c r="C4241" s="86">
        <f>+VLOOKUP(B4241,ARTICULOS!$D$10:$I$699,6)</f>
        <v/>
      </c>
      <c r="D4241" s="212" t="n"/>
      <c r="E4241" s="75">
        <f>+C4241&amp;F4241</f>
        <v/>
      </c>
      <c r="F4241" s="80" t="n"/>
      <c r="G4241" s="81" t="n"/>
      <c r="H4241" s="78" t="n"/>
      <c r="I4241" s="78" t="n"/>
      <c r="J4241" s="78" t="n"/>
    </row>
    <row r="4242">
      <c r="A4242" s="84">
        <f>ROW()-6</f>
        <v/>
      </c>
      <c r="B4242" s="85">
        <f>+MATCH(D4242,ARTICULOS!$F$10:$F$699,0)</f>
        <v/>
      </c>
      <c r="C4242" s="86">
        <f>+VLOOKUP(B4242,ARTICULOS!$D$10:$I$699,6)</f>
        <v/>
      </c>
      <c r="D4242" s="212" t="n"/>
      <c r="E4242" s="75">
        <f>+C4242&amp;F4242</f>
        <v/>
      </c>
      <c r="F4242" s="80" t="n"/>
      <c r="G4242" s="81" t="n"/>
      <c r="H4242" s="78" t="n"/>
      <c r="I4242" s="78" t="n"/>
      <c r="J4242" s="78" t="n"/>
    </row>
    <row r="4243">
      <c r="A4243" s="84">
        <f>ROW()-6</f>
        <v/>
      </c>
      <c r="B4243" s="85">
        <f>+MATCH(D4243,ARTICULOS!$F$10:$F$699,0)</f>
        <v/>
      </c>
      <c r="C4243" s="86">
        <f>+VLOOKUP(B4243,ARTICULOS!$D$10:$I$699,6)</f>
        <v/>
      </c>
      <c r="D4243" s="212" t="n"/>
      <c r="E4243" s="75">
        <f>+C4243&amp;F4243</f>
        <v/>
      </c>
      <c r="F4243" s="80" t="n"/>
      <c r="G4243" s="81" t="n"/>
      <c r="H4243" s="78" t="n"/>
      <c r="I4243" s="78" t="n"/>
      <c r="J4243" s="78" t="n"/>
    </row>
    <row r="4244">
      <c r="A4244" s="84">
        <f>ROW()-6</f>
        <v/>
      </c>
      <c r="B4244" s="85">
        <f>+MATCH(D4244,ARTICULOS!$F$10:$F$699,0)</f>
        <v/>
      </c>
      <c r="C4244" s="86">
        <f>+VLOOKUP(B4244,ARTICULOS!$D$10:$I$699,6)</f>
        <v/>
      </c>
      <c r="D4244" s="212" t="n"/>
      <c r="E4244" s="75">
        <f>+C4244&amp;F4244</f>
        <v/>
      </c>
      <c r="F4244" s="80" t="n"/>
      <c r="G4244" s="81" t="n"/>
      <c r="H4244" s="78" t="n"/>
      <c r="I4244" s="78" t="n"/>
      <c r="J4244" s="78" t="n"/>
    </row>
    <row r="4245">
      <c r="A4245" s="84">
        <f>ROW()-6</f>
        <v/>
      </c>
      <c r="B4245" s="85">
        <f>+MATCH(D4245,ARTICULOS!$F$10:$F$699,0)</f>
        <v/>
      </c>
      <c r="C4245" s="86">
        <f>+VLOOKUP(B4245,ARTICULOS!$D$10:$I$699,6)</f>
        <v/>
      </c>
      <c r="D4245" s="212" t="n"/>
      <c r="E4245" s="75">
        <f>+C4245&amp;F4245</f>
        <v/>
      </c>
      <c r="F4245" s="80" t="n"/>
      <c r="G4245" s="81" t="n"/>
      <c r="H4245" s="78" t="n"/>
      <c r="I4245" s="78" t="n"/>
      <c r="J4245" s="78" t="n"/>
    </row>
    <row r="4246">
      <c r="A4246" s="84">
        <f>ROW()-6</f>
        <v/>
      </c>
      <c r="B4246" s="85">
        <f>+MATCH(D4246,ARTICULOS!$F$10:$F$699,0)</f>
        <v/>
      </c>
      <c r="C4246" s="86">
        <f>+VLOOKUP(B4246,ARTICULOS!$D$10:$I$699,6)</f>
        <v/>
      </c>
      <c r="D4246" s="212" t="n"/>
      <c r="E4246" s="75">
        <f>+C4246&amp;F4246</f>
        <v/>
      </c>
      <c r="F4246" s="80" t="n"/>
      <c r="G4246" s="81" t="n"/>
      <c r="H4246" s="78" t="n"/>
      <c r="I4246" s="78" t="n"/>
      <c r="J4246" s="78" t="n"/>
    </row>
    <row r="4247">
      <c r="A4247" s="84">
        <f>ROW()-6</f>
        <v/>
      </c>
      <c r="B4247" s="85">
        <f>+MATCH(D4247,ARTICULOS!$F$10:$F$699,0)</f>
        <v/>
      </c>
      <c r="C4247" s="86">
        <f>+VLOOKUP(B4247,ARTICULOS!$D$10:$I$699,6)</f>
        <v/>
      </c>
      <c r="D4247" s="212" t="n"/>
      <c r="E4247" s="75">
        <f>+C4247&amp;F4247</f>
        <v/>
      </c>
      <c r="F4247" s="80" t="n"/>
      <c r="G4247" s="81" t="n"/>
      <c r="H4247" s="78" t="n"/>
      <c r="I4247" s="78" t="n"/>
      <c r="J4247" s="78" t="n"/>
    </row>
    <row r="4248">
      <c r="A4248" s="84">
        <f>ROW()-6</f>
        <v/>
      </c>
      <c r="B4248" s="85">
        <f>+MATCH(D4248,ARTICULOS!$F$10:$F$699,0)</f>
        <v/>
      </c>
      <c r="C4248" s="86">
        <f>+VLOOKUP(B4248,ARTICULOS!$D$10:$I$699,6)</f>
        <v/>
      </c>
      <c r="D4248" s="212" t="n"/>
      <c r="E4248" s="75">
        <f>+C4248&amp;F4248</f>
        <v/>
      </c>
      <c r="F4248" s="80" t="n"/>
      <c r="G4248" s="81" t="n"/>
      <c r="H4248" s="78" t="n"/>
      <c r="I4248" s="78" t="n"/>
      <c r="J4248" s="78" t="n"/>
    </row>
    <row r="4249">
      <c r="A4249" s="84">
        <f>ROW()-6</f>
        <v/>
      </c>
      <c r="B4249" s="85">
        <f>+MATCH(D4249,ARTICULOS!$F$10:$F$699,0)</f>
        <v/>
      </c>
      <c r="C4249" s="86">
        <f>+VLOOKUP(B4249,ARTICULOS!$D$10:$I$699,6)</f>
        <v/>
      </c>
      <c r="D4249" s="212" t="n"/>
      <c r="E4249" s="75">
        <f>+C4249&amp;F4249</f>
        <v/>
      </c>
      <c r="F4249" s="80" t="n"/>
      <c r="G4249" s="81" t="n"/>
      <c r="H4249" s="78" t="n"/>
      <c r="I4249" s="78" t="n"/>
      <c r="J4249" s="78" t="n"/>
    </row>
    <row r="4250">
      <c r="A4250" s="84">
        <f>ROW()-6</f>
        <v/>
      </c>
      <c r="B4250" s="85">
        <f>+MATCH(D4250,ARTICULOS!$F$10:$F$699,0)</f>
        <v/>
      </c>
      <c r="C4250" s="86">
        <f>+VLOOKUP(B4250,ARTICULOS!$D$10:$I$699,6)</f>
        <v/>
      </c>
      <c r="D4250" s="212" t="n"/>
      <c r="E4250" s="75">
        <f>+C4250&amp;F4250</f>
        <v/>
      </c>
      <c r="F4250" s="80" t="n"/>
      <c r="G4250" s="81" t="n"/>
      <c r="H4250" s="78" t="n"/>
      <c r="I4250" s="78" t="n"/>
      <c r="J4250" s="78" t="n"/>
    </row>
    <row r="4251">
      <c r="A4251" s="84">
        <f>ROW()-6</f>
        <v/>
      </c>
      <c r="B4251" s="85">
        <f>+MATCH(D4251,ARTICULOS!$F$10:$F$699,0)</f>
        <v/>
      </c>
      <c r="C4251" s="86">
        <f>+VLOOKUP(B4251,ARTICULOS!$D$10:$I$699,6)</f>
        <v/>
      </c>
      <c r="D4251" s="212" t="n"/>
      <c r="E4251" s="75">
        <f>+C4251&amp;F4251</f>
        <v/>
      </c>
      <c r="F4251" s="80" t="n"/>
      <c r="G4251" s="81" t="n"/>
      <c r="H4251" s="78" t="n"/>
      <c r="I4251" s="78" t="n"/>
      <c r="J4251" s="78" t="n"/>
    </row>
    <row r="4252">
      <c r="A4252" s="84">
        <f>ROW()-6</f>
        <v/>
      </c>
      <c r="B4252" s="85">
        <f>+MATCH(D4252,ARTICULOS!$F$10:$F$699,0)</f>
        <v/>
      </c>
      <c r="C4252" s="86">
        <f>+VLOOKUP(B4252,ARTICULOS!$D$10:$I$699,6)</f>
        <v/>
      </c>
      <c r="D4252" s="212" t="n"/>
      <c r="E4252" s="75">
        <f>+C4252&amp;F4252</f>
        <v/>
      </c>
      <c r="F4252" s="80" t="n"/>
      <c r="G4252" s="81" t="n"/>
      <c r="H4252" s="78" t="n"/>
      <c r="I4252" s="78" t="n"/>
      <c r="J4252" s="78" t="n"/>
    </row>
    <row r="4253">
      <c r="A4253" s="84">
        <f>ROW()-6</f>
        <v/>
      </c>
      <c r="B4253" s="85">
        <f>+MATCH(D4253,ARTICULOS!$F$10:$F$699,0)</f>
        <v/>
      </c>
      <c r="C4253" s="86">
        <f>+VLOOKUP(B4253,ARTICULOS!$D$10:$I$699,6)</f>
        <v/>
      </c>
      <c r="D4253" s="212" t="n"/>
      <c r="E4253" s="75">
        <f>+C4253&amp;F4253</f>
        <v/>
      </c>
      <c r="F4253" s="80" t="n"/>
      <c r="G4253" s="81" t="n"/>
      <c r="H4253" s="78" t="n"/>
      <c r="I4253" s="78" t="n"/>
      <c r="J4253" s="78" t="n"/>
    </row>
    <row r="4254">
      <c r="A4254" s="84">
        <f>ROW()-6</f>
        <v/>
      </c>
      <c r="B4254" s="85">
        <f>+MATCH(D4254,ARTICULOS!$F$10:$F$699,0)</f>
        <v/>
      </c>
      <c r="C4254" s="86">
        <f>+VLOOKUP(B4254,ARTICULOS!$D$10:$I$699,6)</f>
        <v/>
      </c>
      <c r="D4254" s="212" t="n"/>
      <c r="E4254" s="75">
        <f>+C4254&amp;F4254</f>
        <v/>
      </c>
      <c r="F4254" s="80" t="n"/>
      <c r="G4254" s="81" t="n"/>
      <c r="H4254" s="78" t="n"/>
      <c r="I4254" s="78" t="n"/>
      <c r="J4254" s="78" t="n"/>
    </row>
    <row r="4255">
      <c r="A4255" s="84">
        <f>ROW()-6</f>
        <v/>
      </c>
      <c r="B4255" s="85">
        <f>+MATCH(D4255,ARTICULOS!$F$10:$F$699,0)</f>
        <v/>
      </c>
      <c r="C4255" s="86">
        <f>+VLOOKUP(B4255,ARTICULOS!$D$10:$I$699,6)</f>
        <v/>
      </c>
      <c r="D4255" s="212" t="n"/>
      <c r="E4255" s="75">
        <f>+C4255&amp;F4255</f>
        <v/>
      </c>
      <c r="F4255" s="80" t="n"/>
      <c r="G4255" s="81" t="n"/>
      <c r="H4255" s="78" t="n"/>
      <c r="I4255" s="78" t="n"/>
      <c r="J4255" s="78" t="n"/>
    </row>
    <row r="4256">
      <c r="A4256" s="84">
        <f>ROW()-6</f>
        <v/>
      </c>
      <c r="B4256" s="85">
        <f>+MATCH(D4256,ARTICULOS!$F$10:$F$699,0)</f>
        <v/>
      </c>
      <c r="C4256" s="86">
        <f>+VLOOKUP(B4256,ARTICULOS!$D$10:$I$699,6)</f>
        <v/>
      </c>
      <c r="D4256" s="212" t="n"/>
      <c r="E4256" s="75">
        <f>+C4256&amp;F4256</f>
        <v/>
      </c>
      <c r="F4256" s="80" t="n"/>
      <c r="G4256" s="81" t="n"/>
      <c r="H4256" s="78" t="n"/>
      <c r="I4256" s="78" t="n"/>
      <c r="J4256" s="78" t="n"/>
    </row>
    <row r="4257">
      <c r="A4257" s="84">
        <f>ROW()-6</f>
        <v/>
      </c>
      <c r="B4257" s="85">
        <f>+MATCH(D4257,ARTICULOS!$F$10:$F$699,0)</f>
        <v/>
      </c>
      <c r="C4257" s="86">
        <f>+VLOOKUP(B4257,ARTICULOS!$D$10:$I$699,6)</f>
        <v/>
      </c>
      <c r="D4257" s="212" t="n"/>
      <c r="E4257" s="75">
        <f>+C4257&amp;F4257</f>
        <v/>
      </c>
      <c r="F4257" s="80" t="n"/>
      <c r="G4257" s="81" t="n"/>
      <c r="H4257" s="78" t="n"/>
      <c r="I4257" s="78" t="n"/>
      <c r="J4257" s="78" t="n"/>
    </row>
    <row r="4258">
      <c r="A4258" s="84">
        <f>ROW()-6</f>
        <v/>
      </c>
      <c r="B4258" s="85">
        <f>+MATCH(D4258,ARTICULOS!$F$10:$F$699,0)</f>
        <v/>
      </c>
      <c r="C4258" s="86">
        <f>+VLOOKUP(B4258,ARTICULOS!$D$10:$I$699,6)</f>
        <v/>
      </c>
      <c r="D4258" s="212" t="n"/>
      <c r="E4258" s="75">
        <f>+C4258&amp;F4258</f>
        <v/>
      </c>
      <c r="F4258" s="80" t="n"/>
      <c r="G4258" s="81" t="n"/>
      <c r="H4258" s="78" t="n"/>
      <c r="I4258" s="78" t="n"/>
      <c r="J4258" s="78" t="n"/>
    </row>
    <row r="4259">
      <c r="A4259" s="84">
        <f>ROW()-6</f>
        <v/>
      </c>
      <c r="B4259" s="85">
        <f>+MATCH(D4259,ARTICULOS!$F$10:$F$699,0)</f>
        <v/>
      </c>
      <c r="C4259" s="86">
        <f>+VLOOKUP(B4259,ARTICULOS!$D$10:$I$699,6)</f>
        <v/>
      </c>
      <c r="D4259" s="212" t="n"/>
      <c r="E4259" s="75">
        <f>+C4259&amp;F4259</f>
        <v/>
      </c>
      <c r="F4259" s="80" t="n"/>
      <c r="G4259" s="81" t="n"/>
      <c r="H4259" s="78" t="n"/>
      <c r="I4259" s="78" t="n"/>
      <c r="J4259" s="78" t="n"/>
    </row>
    <row r="4260">
      <c r="A4260" s="84">
        <f>ROW()-6</f>
        <v/>
      </c>
      <c r="B4260" s="85">
        <f>+MATCH(D4260,ARTICULOS!$F$10:$F$699,0)</f>
        <v/>
      </c>
      <c r="C4260" s="86">
        <f>+VLOOKUP(B4260,ARTICULOS!$D$10:$I$699,6)</f>
        <v/>
      </c>
      <c r="D4260" s="212" t="n"/>
      <c r="E4260" s="75">
        <f>+C4260&amp;F4260</f>
        <v/>
      </c>
      <c r="F4260" s="80" t="n"/>
      <c r="G4260" s="81" t="n"/>
      <c r="H4260" s="78" t="n"/>
      <c r="I4260" s="78" t="n"/>
      <c r="J4260" s="78" t="n"/>
    </row>
    <row r="4261">
      <c r="A4261" s="84">
        <f>ROW()-6</f>
        <v/>
      </c>
      <c r="B4261" s="85">
        <f>+MATCH(D4261,ARTICULOS!$F$10:$F$699,0)</f>
        <v/>
      </c>
      <c r="C4261" s="86">
        <f>+VLOOKUP(B4261,ARTICULOS!$D$10:$I$699,6)</f>
        <v/>
      </c>
      <c r="D4261" s="212" t="n"/>
      <c r="E4261" s="75">
        <f>+C4261&amp;F4261</f>
        <v/>
      </c>
      <c r="F4261" s="80" t="n"/>
      <c r="G4261" s="81" t="n"/>
      <c r="H4261" s="78" t="n"/>
      <c r="I4261" s="78" t="n"/>
      <c r="J4261" s="78" t="n"/>
    </row>
    <row r="4262">
      <c r="A4262" s="84">
        <f>ROW()-6</f>
        <v/>
      </c>
      <c r="B4262" s="85">
        <f>+MATCH(D4262,ARTICULOS!$F$10:$F$699,0)</f>
        <v/>
      </c>
      <c r="C4262" s="86">
        <f>+VLOOKUP(B4262,ARTICULOS!$D$10:$I$699,6)</f>
        <v/>
      </c>
      <c r="D4262" s="212" t="n"/>
      <c r="E4262" s="75">
        <f>+C4262&amp;F4262</f>
        <v/>
      </c>
      <c r="F4262" s="80" t="n"/>
      <c r="G4262" s="81" t="n"/>
      <c r="H4262" s="78" t="n"/>
      <c r="I4262" s="78" t="n"/>
      <c r="J4262" s="78" t="n"/>
    </row>
    <row r="4263">
      <c r="A4263" s="84">
        <f>ROW()-6</f>
        <v/>
      </c>
      <c r="B4263" s="85">
        <f>+MATCH(D4263,ARTICULOS!$F$10:$F$699,0)</f>
        <v/>
      </c>
      <c r="C4263" s="86">
        <f>+VLOOKUP(B4263,ARTICULOS!$D$10:$I$699,6)</f>
        <v/>
      </c>
      <c r="D4263" s="212" t="n"/>
      <c r="E4263" s="75">
        <f>+C4263&amp;F4263</f>
        <v/>
      </c>
      <c r="F4263" s="80" t="n"/>
      <c r="G4263" s="81" t="n"/>
      <c r="H4263" s="78" t="n"/>
      <c r="I4263" s="78" t="n"/>
      <c r="J4263" s="78" t="n"/>
    </row>
    <row r="4264">
      <c r="A4264" s="84">
        <f>ROW()-6</f>
        <v/>
      </c>
      <c r="B4264" s="85">
        <f>+MATCH(D4264,ARTICULOS!$F$10:$F$699,0)</f>
        <v/>
      </c>
      <c r="C4264" s="86">
        <f>+VLOOKUP(B4264,ARTICULOS!$D$10:$I$699,6)</f>
        <v/>
      </c>
      <c r="D4264" s="212" t="n"/>
      <c r="E4264" s="75">
        <f>+C4264&amp;F4264</f>
        <v/>
      </c>
      <c r="F4264" s="80" t="n"/>
      <c r="G4264" s="81" t="n"/>
      <c r="H4264" s="78" t="n"/>
      <c r="I4264" s="78" t="n"/>
      <c r="J4264" s="78" t="n"/>
    </row>
    <row r="4265">
      <c r="A4265" s="84">
        <f>ROW()-6</f>
        <v/>
      </c>
      <c r="B4265" s="85">
        <f>+MATCH(D4265,ARTICULOS!$F$10:$F$699,0)</f>
        <v/>
      </c>
      <c r="C4265" s="86">
        <f>+VLOOKUP(B4265,ARTICULOS!$D$10:$I$699,6)</f>
        <v/>
      </c>
      <c r="D4265" s="212" t="n"/>
      <c r="E4265" s="75">
        <f>+C4265&amp;F4265</f>
        <v/>
      </c>
      <c r="F4265" s="80" t="n"/>
      <c r="G4265" s="81" t="n"/>
      <c r="H4265" s="78" t="n"/>
      <c r="I4265" s="78" t="n"/>
      <c r="J4265" s="78" t="n"/>
    </row>
    <row r="4266">
      <c r="A4266" s="84">
        <f>ROW()-6</f>
        <v/>
      </c>
      <c r="B4266" s="85">
        <f>+MATCH(D4266,ARTICULOS!$F$10:$F$699,0)</f>
        <v/>
      </c>
      <c r="C4266" s="86">
        <f>+VLOOKUP(B4266,ARTICULOS!$D$10:$I$699,6)</f>
        <v/>
      </c>
      <c r="D4266" s="212" t="n"/>
      <c r="E4266" s="75">
        <f>+C4266&amp;F4266</f>
        <v/>
      </c>
      <c r="F4266" s="80" t="n"/>
      <c r="G4266" s="81" t="n"/>
      <c r="H4266" s="78" t="n"/>
      <c r="I4266" s="78" t="n"/>
      <c r="J4266" s="78" t="n"/>
    </row>
    <row r="4267">
      <c r="A4267" s="84">
        <f>ROW()-6</f>
        <v/>
      </c>
      <c r="B4267" s="85">
        <f>+MATCH(D4267,ARTICULOS!$F$10:$F$699,0)</f>
        <v/>
      </c>
      <c r="C4267" s="86">
        <f>+VLOOKUP(B4267,ARTICULOS!$D$10:$I$699,6)</f>
        <v/>
      </c>
      <c r="D4267" s="212" t="n"/>
      <c r="E4267" s="75">
        <f>+C4267&amp;F4267</f>
        <v/>
      </c>
      <c r="F4267" s="80" t="n"/>
      <c r="G4267" s="81" t="n"/>
      <c r="H4267" s="78" t="n"/>
      <c r="I4267" s="78" t="n"/>
      <c r="J4267" s="78" t="n"/>
    </row>
    <row r="4268">
      <c r="A4268" s="84">
        <f>ROW()-6</f>
        <v/>
      </c>
      <c r="B4268" s="85">
        <f>+MATCH(D4268,ARTICULOS!$F$10:$F$699,0)</f>
        <v/>
      </c>
      <c r="C4268" s="86">
        <f>+VLOOKUP(B4268,ARTICULOS!$D$10:$I$699,6)</f>
        <v/>
      </c>
      <c r="D4268" s="212" t="n"/>
      <c r="E4268" s="75">
        <f>+C4268&amp;F4268</f>
        <v/>
      </c>
      <c r="F4268" s="80" t="n"/>
      <c r="G4268" s="81" t="n"/>
      <c r="H4268" s="78" t="n"/>
      <c r="I4268" s="78" t="n"/>
      <c r="J4268" s="78" t="n"/>
    </row>
    <row r="4269">
      <c r="A4269" s="84">
        <f>ROW()-6</f>
        <v/>
      </c>
      <c r="B4269" s="85">
        <f>+MATCH(D4269,ARTICULOS!$F$10:$F$699,0)</f>
        <v/>
      </c>
      <c r="C4269" s="86">
        <f>+VLOOKUP(B4269,ARTICULOS!$D$10:$I$699,6)</f>
        <v/>
      </c>
      <c r="D4269" s="212" t="n"/>
      <c r="E4269" s="75">
        <f>+C4269&amp;F4269</f>
        <v/>
      </c>
      <c r="F4269" s="80" t="n"/>
      <c r="G4269" s="81" t="n"/>
      <c r="H4269" s="78" t="n"/>
      <c r="I4269" s="78" t="n"/>
      <c r="J4269" s="78" t="n"/>
    </row>
    <row r="4270">
      <c r="A4270" s="84">
        <f>ROW()-6</f>
        <v/>
      </c>
      <c r="B4270" s="85">
        <f>+MATCH(D4270,ARTICULOS!$F$10:$F$699,0)</f>
        <v/>
      </c>
      <c r="C4270" s="86">
        <f>+VLOOKUP(B4270,ARTICULOS!$D$10:$I$699,6)</f>
        <v/>
      </c>
      <c r="D4270" s="212" t="n"/>
      <c r="E4270" s="75">
        <f>+C4270&amp;F4270</f>
        <v/>
      </c>
      <c r="F4270" s="80" t="n"/>
      <c r="G4270" s="81" t="n"/>
      <c r="H4270" s="78" t="n"/>
      <c r="I4270" s="78" t="n"/>
      <c r="J4270" s="78" t="n"/>
    </row>
    <row r="4271">
      <c r="A4271" s="84">
        <f>ROW()-6</f>
        <v/>
      </c>
      <c r="B4271" s="85">
        <f>+MATCH(D4271,ARTICULOS!$F$10:$F$699,0)</f>
        <v/>
      </c>
      <c r="C4271" s="86">
        <f>+VLOOKUP(B4271,ARTICULOS!$D$10:$I$699,6)</f>
        <v/>
      </c>
      <c r="D4271" s="212" t="n"/>
      <c r="E4271" s="75">
        <f>+C4271&amp;F4271</f>
        <v/>
      </c>
      <c r="F4271" s="80" t="n"/>
      <c r="G4271" s="81" t="n"/>
      <c r="H4271" s="78" t="n"/>
      <c r="I4271" s="78" t="n"/>
      <c r="J4271" s="78" t="n"/>
    </row>
    <row r="4272">
      <c r="A4272" s="84">
        <f>ROW()-6</f>
        <v/>
      </c>
      <c r="B4272" s="85">
        <f>+MATCH(D4272,ARTICULOS!$F$10:$F$699,0)</f>
        <v/>
      </c>
      <c r="C4272" s="86">
        <f>+VLOOKUP(B4272,ARTICULOS!$D$10:$I$699,6)</f>
        <v/>
      </c>
      <c r="D4272" s="212" t="n"/>
      <c r="E4272" s="75">
        <f>+C4272&amp;F4272</f>
        <v/>
      </c>
      <c r="F4272" s="80" t="n"/>
      <c r="G4272" s="81" t="n"/>
      <c r="H4272" s="78" t="n"/>
      <c r="I4272" s="78" t="n"/>
      <c r="J4272" s="78" t="n"/>
    </row>
    <row r="4273">
      <c r="A4273" s="84">
        <f>ROW()-6</f>
        <v/>
      </c>
      <c r="B4273" s="85">
        <f>+MATCH(D4273,ARTICULOS!$F$10:$F$699,0)</f>
        <v/>
      </c>
      <c r="C4273" s="86">
        <f>+VLOOKUP(B4273,ARTICULOS!$D$10:$I$699,6)</f>
        <v/>
      </c>
      <c r="D4273" s="212" t="n"/>
      <c r="E4273" s="75">
        <f>+C4273&amp;F4273</f>
        <v/>
      </c>
      <c r="F4273" s="80" t="n"/>
      <c r="G4273" s="81" t="n"/>
      <c r="H4273" s="78" t="n"/>
      <c r="I4273" s="78" t="n"/>
      <c r="J4273" s="78" t="n"/>
    </row>
    <row r="4274">
      <c r="A4274" s="84">
        <f>ROW()-6</f>
        <v/>
      </c>
      <c r="B4274" s="85">
        <f>+MATCH(D4274,ARTICULOS!$F$10:$F$699,0)</f>
        <v/>
      </c>
      <c r="C4274" s="86">
        <f>+VLOOKUP(B4274,ARTICULOS!$D$10:$I$699,6)</f>
        <v/>
      </c>
      <c r="D4274" s="212" t="n"/>
      <c r="E4274" s="75">
        <f>+C4274&amp;F4274</f>
        <v/>
      </c>
      <c r="F4274" s="80" t="n"/>
      <c r="G4274" s="81" t="n"/>
      <c r="H4274" s="78" t="n"/>
      <c r="I4274" s="78" t="n"/>
      <c r="J4274" s="78" t="n"/>
    </row>
    <row r="4275">
      <c r="A4275" s="84">
        <f>ROW()-6</f>
        <v/>
      </c>
      <c r="B4275" s="85">
        <f>+MATCH(D4275,ARTICULOS!$F$10:$F$699,0)</f>
        <v/>
      </c>
      <c r="C4275" s="86">
        <f>+VLOOKUP(B4275,ARTICULOS!$D$10:$I$699,6)</f>
        <v/>
      </c>
      <c r="D4275" s="212" t="n"/>
      <c r="E4275" s="75">
        <f>+C4275&amp;F4275</f>
        <v/>
      </c>
      <c r="F4275" s="80" t="n"/>
      <c r="G4275" s="81" t="n"/>
      <c r="H4275" s="78" t="n"/>
      <c r="I4275" s="78" t="n"/>
      <c r="J4275" s="78" t="n"/>
    </row>
    <row r="4276">
      <c r="A4276" s="84">
        <f>ROW()-6</f>
        <v/>
      </c>
      <c r="B4276" s="85">
        <f>+MATCH(D4276,ARTICULOS!$F$10:$F$699,0)</f>
        <v/>
      </c>
      <c r="C4276" s="86">
        <f>+VLOOKUP(B4276,ARTICULOS!$D$10:$I$699,6)</f>
        <v/>
      </c>
      <c r="D4276" s="212" t="n"/>
      <c r="E4276" s="75">
        <f>+C4276&amp;F4276</f>
        <v/>
      </c>
      <c r="F4276" s="80" t="n"/>
      <c r="G4276" s="81" t="n"/>
      <c r="H4276" s="78" t="n"/>
      <c r="I4276" s="78" t="n"/>
      <c r="J4276" s="78" t="n"/>
    </row>
    <row r="4277">
      <c r="A4277" s="84">
        <f>ROW()-6</f>
        <v/>
      </c>
      <c r="B4277" s="85">
        <f>+MATCH(D4277,ARTICULOS!$F$10:$F$699,0)</f>
        <v/>
      </c>
      <c r="C4277" s="86">
        <f>+VLOOKUP(B4277,ARTICULOS!$D$10:$I$699,6)</f>
        <v/>
      </c>
      <c r="D4277" s="212" t="n"/>
      <c r="E4277" s="75">
        <f>+C4277&amp;F4277</f>
        <v/>
      </c>
      <c r="F4277" s="80" t="n"/>
      <c r="G4277" s="81" t="n"/>
      <c r="H4277" s="78" t="n"/>
      <c r="I4277" s="78" t="n"/>
      <c r="J4277" s="78" t="n"/>
    </row>
    <row r="4278">
      <c r="A4278" s="84">
        <f>ROW()-6</f>
        <v/>
      </c>
      <c r="B4278" s="85">
        <f>+MATCH(D4278,ARTICULOS!$F$10:$F$699,0)</f>
        <v/>
      </c>
      <c r="C4278" s="86">
        <f>+VLOOKUP(B4278,ARTICULOS!$D$10:$I$699,6)</f>
        <v/>
      </c>
      <c r="D4278" s="212" t="n"/>
      <c r="E4278" s="75">
        <f>+C4278&amp;F4278</f>
        <v/>
      </c>
      <c r="F4278" s="80" t="n"/>
      <c r="G4278" s="81" t="n"/>
      <c r="H4278" s="78" t="n"/>
      <c r="I4278" s="78" t="n"/>
      <c r="J4278" s="78" t="n"/>
    </row>
    <row r="4279">
      <c r="A4279" s="84">
        <f>ROW()-6</f>
        <v/>
      </c>
      <c r="B4279" s="85">
        <f>+MATCH(D4279,ARTICULOS!$F$10:$F$699,0)</f>
        <v/>
      </c>
      <c r="C4279" s="86">
        <f>+VLOOKUP(B4279,ARTICULOS!$D$10:$I$699,6)</f>
        <v/>
      </c>
      <c r="D4279" s="212" t="n"/>
      <c r="E4279" s="75">
        <f>+C4279&amp;F4279</f>
        <v/>
      </c>
      <c r="F4279" s="80" t="n"/>
      <c r="G4279" s="81" t="n"/>
      <c r="H4279" s="78" t="n"/>
      <c r="I4279" s="78" t="n"/>
      <c r="J4279" s="78" t="n"/>
    </row>
    <row r="4280">
      <c r="A4280" s="84">
        <f>ROW()-6</f>
        <v/>
      </c>
      <c r="B4280" s="85">
        <f>+MATCH(D4280,ARTICULOS!$F$10:$F$699,0)</f>
        <v/>
      </c>
      <c r="C4280" s="86">
        <f>+VLOOKUP(B4280,ARTICULOS!$D$10:$I$699,6)</f>
        <v/>
      </c>
      <c r="D4280" s="212" t="n"/>
      <c r="E4280" s="75">
        <f>+C4280&amp;F4280</f>
        <v/>
      </c>
      <c r="F4280" s="80" t="n"/>
      <c r="G4280" s="81" t="n"/>
      <c r="H4280" s="78" t="n"/>
      <c r="I4280" s="78" t="n"/>
      <c r="J4280" s="78" t="n"/>
    </row>
    <row r="4281">
      <c r="A4281" s="84">
        <f>ROW()-6</f>
        <v/>
      </c>
      <c r="B4281" s="85">
        <f>+MATCH(D4281,ARTICULOS!$F$10:$F$699,0)</f>
        <v/>
      </c>
      <c r="C4281" s="86">
        <f>+VLOOKUP(B4281,ARTICULOS!$D$10:$I$699,6)</f>
        <v/>
      </c>
      <c r="D4281" s="212" t="n"/>
      <c r="E4281" s="75">
        <f>+C4281&amp;F4281</f>
        <v/>
      </c>
      <c r="F4281" s="80" t="n"/>
      <c r="G4281" s="81" t="n"/>
      <c r="H4281" s="78" t="n"/>
      <c r="I4281" s="78" t="n"/>
      <c r="J4281" s="78" t="n"/>
    </row>
    <row r="4282">
      <c r="A4282" s="84">
        <f>ROW()-6</f>
        <v/>
      </c>
      <c r="B4282" s="85">
        <f>+MATCH(D4282,ARTICULOS!$F$10:$F$699,0)</f>
        <v/>
      </c>
      <c r="C4282" s="86">
        <f>+VLOOKUP(B4282,ARTICULOS!$D$10:$I$699,6)</f>
        <v/>
      </c>
      <c r="D4282" s="212" t="n"/>
      <c r="E4282" s="75">
        <f>+C4282&amp;F4282</f>
        <v/>
      </c>
      <c r="F4282" s="80" t="n"/>
      <c r="G4282" s="81" t="n"/>
      <c r="H4282" s="78" t="n"/>
      <c r="I4282" s="78" t="n"/>
      <c r="J4282" s="78" t="n"/>
    </row>
    <row r="4283">
      <c r="A4283" s="84">
        <f>ROW()-6</f>
        <v/>
      </c>
      <c r="B4283" s="85">
        <f>+MATCH(D4283,ARTICULOS!$F$10:$F$699,0)</f>
        <v/>
      </c>
      <c r="C4283" s="86">
        <f>+VLOOKUP(B4283,ARTICULOS!$D$10:$I$699,6)</f>
        <v/>
      </c>
      <c r="D4283" s="212" t="n"/>
      <c r="E4283" s="75">
        <f>+C4283&amp;F4283</f>
        <v/>
      </c>
      <c r="F4283" s="80" t="n"/>
      <c r="G4283" s="81" t="n"/>
      <c r="H4283" s="78" t="n"/>
      <c r="I4283" s="78" t="n"/>
      <c r="J4283" s="78" t="n"/>
    </row>
    <row r="4284">
      <c r="A4284" s="84">
        <f>ROW()-6</f>
        <v/>
      </c>
      <c r="B4284" s="85">
        <f>+MATCH(D4284,ARTICULOS!$F$10:$F$699,0)</f>
        <v/>
      </c>
      <c r="C4284" s="86">
        <f>+VLOOKUP(B4284,ARTICULOS!$D$10:$I$699,6)</f>
        <v/>
      </c>
      <c r="D4284" s="212" t="n"/>
      <c r="E4284" s="75">
        <f>+C4284&amp;F4284</f>
        <v/>
      </c>
      <c r="F4284" s="80" t="n"/>
      <c r="G4284" s="81" t="n"/>
      <c r="H4284" s="78" t="n"/>
      <c r="I4284" s="78" t="n"/>
      <c r="J4284" s="78" t="n"/>
    </row>
    <row r="4285">
      <c r="A4285" s="84">
        <f>ROW()-6</f>
        <v/>
      </c>
      <c r="B4285" s="85">
        <f>+MATCH(D4285,ARTICULOS!$F$10:$F$699,0)</f>
        <v/>
      </c>
      <c r="C4285" s="86">
        <f>+VLOOKUP(B4285,ARTICULOS!$D$10:$I$699,6)</f>
        <v/>
      </c>
      <c r="D4285" s="212" t="n"/>
      <c r="E4285" s="75">
        <f>+C4285&amp;F4285</f>
        <v/>
      </c>
      <c r="F4285" s="80" t="n"/>
      <c r="G4285" s="81" t="n"/>
      <c r="H4285" s="78" t="n"/>
      <c r="I4285" s="78" t="n"/>
      <c r="J4285" s="78" t="n"/>
    </row>
    <row r="4286">
      <c r="A4286" s="84">
        <f>ROW()-6</f>
        <v/>
      </c>
      <c r="B4286" s="85">
        <f>+MATCH(D4286,ARTICULOS!$F$10:$F$699,0)</f>
        <v/>
      </c>
      <c r="C4286" s="86">
        <f>+VLOOKUP(B4286,ARTICULOS!$D$10:$I$699,6)</f>
        <v/>
      </c>
      <c r="D4286" s="212" t="n"/>
      <c r="E4286" s="75">
        <f>+C4286&amp;F4286</f>
        <v/>
      </c>
      <c r="F4286" s="80" t="n"/>
      <c r="G4286" s="81" t="n"/>
      <c r="H4286" s="78" t="n"/>
      <c r="I4286" s="78" t="n"/>
      <c r="J4286" s="78" t="n"/>
    </row>
    <row r="4287">
      <c r="A4287" s="84">
        <f>ROW()-6</f>
        <v/>
      </c>
      <c r="B4287" s="85">
        <f>+MATCH(D4287,ARTICULOS!$F$10:$F$699,0)</f>
        <v/>
      </c>
      <c r="C4287" s="86">
        <f>+VLOOKUP(B4287,ARTICULOS!$D$10:$I$699,6)</f>
        <v/>
      </c>
      <c r="D4287" s="212" t="n"/>
      <c r="E4287" s="75">
        <f>+C4287&amp;F4287</f>
        <v/>
      </c>
      <c r="F4287" s="80" t="n"/>
      <c r="G4287" s="81" t="n"/>
      <c r="H4287" s="78" t="n"/>
      <c r="I4287" s="78" t="n"/>
      <c r="J4287" s="78" t="n"/>
    </row>
    <row r="4288">
      <c r="A4288" s="84">
        <f>ROW()-6</f>
        <v/>
      </c>
      <c r="B4288" s="85">
        <f>+MATCH(D4288,ARTICULOS!$F$10:$F$699,0)</f>
        <v/>
      </c>
      <c r="C4288" s="86">
        <f>+VLOOKUP(B4288,ARTICULOS!$D$10:$I$699,6)</f>
        <v/>
      </c>
      <c r="D4288" s="212" t="n"/>
      <c r="E4288" s="75">
        <f>+C4288&amp;F4288</f>
        <v/>
      </c>
      <c r="F4288" s="80" t="n"/>
      <c r="G4288" s="81" t="n"/>
      <c r="H4288" s="78" t="n"/>
      <c r="I4288" s="78" t="n"/>
      <c r="J4288" s="78" t="n"/>
    </row>
    <row r="4289">
      <c r="A4289" s="84">
        <f>ROW()-6</f>
        <v/>
      </c>
      <c r="B4289" s="85">
        <f>+MATCH(D4289,ARTICULOS!$F$10:$F$699,0)</f>
        <v/>
      </c>
      <c r="C4289" s="86">
        <f>+VLOOKUP(B4289,ARTICULOS!$D$10:$I$699,6)</f>
        <v/>
      </c>
      <c r="D4289" s="212" t="n"/>
      <c r="E4289" s="75">
        <f>+C4289&amp;F4289</f>
        <v/>
      </c>
      <c r="F4289" s="80" t="n"/>
      <c r="G4289" s="81" t="n"/>
      <c r="H4289" s="78" t="n"/>
      <c r="I4289" s="78" t="n"/>
      <c r="J4289" s="78" t="n"/>
    </row>
    <row r="4290">
      <c r="A4290" s="84">
        <f>ROW()-6</f>
        <v/>
      </c>
      <c r="B4290" s="85">
        <f>+MATCH(D4290,ARTICULOS!$F$10:$F$699,0)</f>
        <v/>
      </c>
      <c r="C4290" s="86">
        <f>+VLOOKUP(B4290,ARTICULOS!$D$10:$I$699,6)</f>
        <v/>
      </c>
      <c r="D4290" s="212" t="n"/>
      <c r="E4290" s="75">
        <f>+C4290&amp;F4290</f>
        <v/>
      </c>
      <c r="F4290" s="80" t="n"/>
      <c r="G4290" s="81" t="n"/>
      <c r="H4290" s="78" t="n"/>
      <c r="I4290" s="78" t="n"/>
      <c r="J4290" s="78" t="n"/>
    </row>
    <row r="4291">
      <c r="A4291" s="84">
        <f>ROW()-6</f>
        <v/>
      </c>
      <c r="B4291" s="85">
        <f>+MATCH(D4291,ARTICULOS!$F$10:$F$699,0)</f>
        <v/>
      </c>
      <c r="C4291" s="86">
        <f>+VLOOKUP(B4291,ARTICULOS!$D$10:$I$699,6)</f>
        <v/>
      </c>
      <c r="D4291" s="212" t="n"/>
      <c r="E4291" s="75">
        <f>+C4291&amp;F4291</f>
        <v/>
      </c>
      <c r="F4291" s="80" t="n"/>
      <c r="G4291" s="81" t="n"/>
      <c r="H4291" s="78" t="n"/>
      <c r="I4291" s="78" t="n"/>
      <c r="J4291" s="78" t="n"/>
    </row>
    <row r="4292">
      <c r="A4292" s="84">
        <f>ROW()-6</f>
        <v/>
      </c>
      <c r="B4292" s="85">
        <f>+MATCH(D4292,ARTICULOS!$F$10:$F$699,0)</f>
        <v/>
      </c>
      <c r="C4292" s="86">
        <f>+VLOOKUP(B4292,ARTICULOS!$D$10:$I$699,6)</f>
        <v/>
      </c>
      <c r="D4292" s="212" t="n"/>
      <c r="E4292" s="75">
        <f>+C4292&amp;F4292</f>
        <v/>
      </c>
      <c r="F4292" s="80" t="n"/>
      <c r="G4292" s="81" t="n"/>
      <c r="H4292" s="78" t="n"/>
      <c r="I4292" s="78" t="n"/>
      <c r="J4292" s="78" t="n"/>
    </row>
    <row r="4293">
      <c r="A4293" s="84">
        <f>ROW()-6</f>
        <v/>
      </c>
      <c r="B4293" s="85">
        <f>+MATCH(D4293,ARTICULOS!$F$10:$F$699,0)</f>
        <v/>
      </c>
      <c r="C4293" s="86">
        <f>+VLOOKUP(B4293,ARTICULOS!$D$10:$I$699,6)</f>
        <v/>
      </c>
      <c r="D4293" s="212" t="n"/>
      <c r="E4293" s="75">
        <f>+C4293&amp;F4293</f>
        <v/>
      </c>
      <c r="F4293" s="80" t="n"/>
      <c r="G4293" s="81" t="n"/>
      <c r="H4293" s="78" t="n"/>
      <c r="I4293" s="78" t="n"/>
      <c r="J4293" s="78" t="n"/>
    </row>
    <row r="4294">
      <c r="A4294" s="84">
        <f>ROW()-6</f>
        <v/>
      </c>
      <c r="B4294" s="85">
        <f>+MATCH(D4294,ARTICULOS!$F$10:$F$699,0)</f>
        <v/>
      </c>
      <c r="C4294" s="86">
        <f>+VLOOKUP(B4294,ARTICULOS!$D$10:$I$699,6)</f>
        <v/>
      </c>
      <c r="D4294" s="212" t="n"/>
      <c r="E4294" s="75">
        <f>+C4294&amp;F4294</f>
        <v/>
      </c>
      <c r="F4294" s="80" t="n"/>
      <c r="G4294" s="81" t="n"/>
      <c r="H4294" s="78" t="n"/>
      <c r="I4294" s="78" t="n"/>
      <c r="J4294" s="78" t="n"/>
    </row>
    <row r="4295">
      <c r="A4295" s="84">
        <f>ROW()-6</f>
        <v/>
      </c>
      <c r="B4295" s="85">
        <f>+MATCH(D4295,ARTICULOS!$F$10:$F$699,0)</f>
        <v/>
      </c>
      <c r="C4295" s="86">
        <f>+VLOOKUP(B4295,ARTICULOS!$D$10:$I$699,6)</f>
        <v/>
      </c>
      <c r="D4295" s="212" t="n"/>
      <c r="E4295" s="75">
        <f>+C4295&amp;F4295</f>
        <v/>
      </c>
      <c r="F4295" s="80" t="n"/>
      <c r="G4295" s="81" t="n"/>
      <c r="H4295" s="78" t="n"/>
      <c r="I4295" s="78" t="n"/>
      <c r="J4295" s="78" t="n"/>
    </row>
    <row r="4296">
      <c r="A4296" s="84">
        <f>ROW()-6</f>
        <v/>
      </c>
      <c r="B4296" s="85">
        <f>+MATCH(D4296,ARTICULOS!$F$10:$F$699,0)</f>
        <v/>
      </c>
      <c r="C4296" s="86">
        <f>+VLOOKUP(B4296,ARTICULOS!$D$10:$I$699,6)</f>
        <v/>
      </c>
      <c r="D4296" s="212" t="n"/>
      <c r="E4296" s="75">
        <f>+C4296&amp;F4296</f>
        <v/>
      </c>
      <c r="F4296" s="80" t="n"/>
      <c r="G4296" s="81" t="n"/>
      <c r="H4296" s="78" t="n"/>
      <c r="I4296" s="78" t="n"/>
      <c r="J4296" s="78" t="n"/>
    </row>
    <row r="4297">
      <c r="A4297" s="84">
        <f>ROW()-6</f>
        <v/>
      </c>
      <c r="B4297" s="85">
        <f>+MATCH(D4297,ARTICULOS!$F$10:$F$699,0)</f>
        <v/>
      </c>
      <c r="C4297" s="86">
        <f>+VLOOKUP(B4297,ARTICULOS!$D$10:$I$699,6)</f>
        <v/>
      </c>
      <c r="D4297" s="212" t="n"/>
      <c r="E4297" s="75">
        <f>+C4297&amp;F4297</f>
        <v/>
      </c>
      <c r="F4297" s="80" t="n"/>
      <c r="G4297" s="81" t="n"/>
      <c r="H4297" s="78" t="n"/>
      <c r="I4297" s="78" t="n"/>
      <c r="J4297" s="78" t="n"/>
    </row>
    <row r="4298">
      <c r="A4298" s="84">
        <f>ROW()-6</f>
        <v/>
      </c>
      <c r="B4298" s="85">
        <f>+MATCH(D4298,ARTICULOS!$F$10:$F$699,0)</f>
        <v/>
      </c>
      <c r="C4298" s="86">
        <f>+VLOOKUP(B4298,ARTICULOS!$D$10:$I$699,6)</f>
        <v/>
      </c>
      <c r="D4298" s="212" t="n"/>
      <c r="E4298" s="75">
        <f>+C4298&amp;F4298</f>
        <v/>
      </c>
      <c r="F4298" s="80" t="n"/>
      <c r="G4298" s="81" t="n"/>
      <c r="H4298" s="78" t="n"/>
      <c r="I4298" s="78" t="n"/>
      <c r="J4298" s="78" t="n"/>
    </row>
    <row r="4299">
      <c r="A4299" s="84">
        <f>ROW()-6</f>
        <v/>
      </c>
      <c r="B4299" s="85">
        <f>+MATCH(D4299,ARTICULOS!$F$10:$F$699,0)</f>
        <v/>
      </c>
      <c r="C4299" s="86">
        <f>+VLOOKUP(B4299,ARTICULOS!$D$10:$I$699,6)</f>
        <v/>
      </c>
      <c r="D4299" s="212" t="n"/>
      <c r="E4299" s="75">
        <f>+C4299&amp;F4299</f>
        <v/>
      </c>
      <c r="F4299" s="80" t="n"/>
      <c r="G4299" s="81" t="n"/>
      <c r="H4299" s="78" t="n"/>
      <c r="I4299" s="78" t="n"/>
      <c r="J4299" s="78" t="n"/>
    </row>
    <row r="4300">
      <c r="A4300" s="84">
        <f>ROW()-6</f>
        <v/>
      </c>
      <c r="B4300" s="85">
        <f>+MATCH(D4300,ARTICULOS!$F$10:$F$699,0)</f>
        <v/>
      </c>
      <c r="C4300" s="86">
        <f>+VLOOKUP(B4300,ARTICULOS!$D$10:$I$699,6)</f>
        <v/>
      </c>
      <c r="D4300" s="212" t="n"/>
      <c r="E4300" s="75">
        <f>+C4300&amp;F4300</f>
        <v/>
      </c>
      <c r="F4300" s="80" t="n"/>
      <c r="G4300" s="81" t="n"/>
      <c r="H4300" s="78" t="n"/>
      <c r="I4300" s="78" t="n"/>
      <c r="J4300" s="78" t="n"/>
    </row>
    <row r="4301">
      <c r="A4301" s="84">
        <f>ROW()-6</f>
        <v/>
      </c>
      <c r="B4301" s="85">
        <f>+MATCH(D4301,ARTICULOS!$F$10:$F$699,0)</f>
        <v/>
      </c>
      <c r="C4301" s="86">
        <f>+VLOOKUP(B4301,ARTICULOS!$D$10:$I$699,6)</f>
        <v/>
      </c>
      <c r="D4301" s="212" t="n"/>
      <c r="E4301" s="75">
        <f>+C4301&amp;F4301</f>
        <v/>
      </c>
      <c r="F4301" s="80" t="n"/>
      <c r="G4301" s="81" t="n"/>
      <c r="H4301" s="78" t="n"/>
      <c r="I4301" s="78" t="n"/>
      <c r="J4301" s="78" t="n"/>
    </row>
    <row r="4302">
      <c r="A4302" s="84">
        <f>ROW()-6</f>
        <v/>
      </c>
      <c r="B4302" s="85">
        <f>+MATCH(D4302,ARTICULOS!$F$10:$F$699,0)</f>
        <v/>
      </c>
      <c r="C4302" s="86">
        <f>+VLOOKUP(B4302,ARTICULOS!$D$10:$I$699,6)</f>
        <v/>
      </c>
      <c r="D4302" s="212" t="n"/>
      <c r="E4302" s="75">
        <f>+C4302&amp;F4302</f>
        <v/>
      </c>
      <c r="F4302" s="80" t="n"/>
      <c r="G4302" s="81" t="n"/>
      <c r="H4302" s="78" t="n"/>
      <c r="I4302" s="78" t="n"/>
      <c r="J4302" s="78" t="n"/>
    </row>
    <row r="4303">
      <c r="A4303" s="84">
        <f>ROW()-6</f>
        <v/>
      </c>
      <c r="B4303" s="85">
        <f>+MATCH(D4303,ARTICULOS!$F$10:$F$699,0)</f>
        <v/>
      </c>
      <c r="C4303" s="86">
        <f>+VLOOKUP(B4303,ARTICULOS!$D$10:$I$699,6)</f>
        <v/>
      </c>
      <c r="D4303" s="212" t="n"/>
      <c r="E4303" s="75">
        <f>+C4303&amp;F4303</f>
        <v/>
      </c>
      <c r="F4303" s="80" t="n"/>
      <c r="G4303" s="81" t="n"/>
      <c r="H4303" s="78" t="n"/>
      <c r="I4303" s="78" t="n"/>
      <c r="J4303" s="78" t="n"/>
    </row>
    <row r="4304">
      <c r="A4304" s="84">
        <f>ROW()-6</f>
        <v/>
      </c>
      <c r="B4304" s="85">
        <f>+MATCH(D4304,ARTICULOS!$F$10:$F$699,0)</f>
        <v/>
      </c>
      <c r="C4304" s="86">
        <f>+VLOOKUP(B4304,ARTICULOS!$D$10:$I$699,6)</f>
        <v/>
      </c>
      <c r="D4304" s="212" t="n"/>
      <c r="E4304" s="75">
        <f>+C4304&amp;F4304</f>
        <v/>
      </c>
      <c r="F4304" s="80" t="n"/>
      <c r="G4304" s="81" t="n"/>
      <c r="H4304" s="78" t="n"/>
      <c r="I4304" s="78" t="n"/>
      <c r="J4304" s="78" t="n"/>
    </row>
    <row r="4305">
      <c r="A4305" s="84">
        <f>ROW()-6</f>
        <v/>
      </c>
      <c r="B4305" s="85">
        <f>+MATCH(D4305,ARTICULOS!$F$10:$F$699,0)</f>
        <v/>
      </c>
      <c r="C4305" s="86">
        <f>+VLOOKUP(B4305,ARTICULOS!$D$10:$I$699,6)</f>
        <v/>
      </c>
      <c r="D4305" s="212" t="n"/>
      <c r="E4305" s="75">
        <f>+C4305&amp;F4305</f>
        <v/>
      </c>
      <c r="F4305" s="80" t="n"/>
      <c r="G4305" s="81" t="n"/>
      <c r="H4305" s="78" t="n"/>
      <c r="I4305" s="78" t="n"/>
      <c r="J4305" s="78" t="n"/>
    </row>
    <row r="4306">
      <c r="A4306" s="84">
        <f>ROW()-6</f>
        <v/>
      </c>
      <c r="B4306" s="85">
        <f>+MATCH(D4306,ARTICULOS!$F$10:$F$699,0)</f>
        <v/>
      </c>
      <c r="C4306" s="86">
        <f>+VLOOKUP(B4306,ARTICULOS!$D$10:$I$699,6)</f>
        <v/>
      </c>
      <c r="D4306" s="212" t="n"/>
      <c r="E4306" s="75">
        <f>+C4306&amp;F4306</f>
        <v/>
      </c>
      <c r="F4306" s="80" t="n"/>
      <c r="G4306" s="81" t="n"/>
      <c r="H4306" s="78" t="n"/>
      <c r="I4306" s="78" t="n"/>
      <c r="J4306" s="78" t="n"/>
    </row>
    <row r="4307">
      <c r="A4307" s="84">
        <f>ROW()-6</f>
        <v/>
      </c>
      <c r="B4307" s="85">
        <f>+MATCH(D4307,ARTICULOS!$F$10:$F$699,0)</f>
        <v/>
      </c>
      <c r="C4307" s="86">
        <f>+VLOOKUP(B4307,ARTICULOS!$D$10:$I$699,6)</f>
        <v/>
      </c>
      <c r="D4307" s="212" t="n"/>
      <c r="E4307" s="75">
        <f>+C4307&amp;F4307</f>
        <v/>
      </c>
      <c r="F4307" s="80" t="n"/>
      <c r="G4307" s="81" t="n"/>
      <c r="H4307" s="78" t="n"/>
      <c r="I4307" s="78" t="n"/>
      <c r="J4307" s="78" t="n"/>
    </row>
    <row r="4308">
      <c r="A4308" s="84">
        <f>ROW()-6</f>
        <v/>
      </c>
      <c r="B4308" s="85">
        <f>+MATCH(D4308,ARTICULOS!$F$10:$F$699,0)</f>
        <v/>
      </c>
      <c r="C4308" s="86">
        <f>+VLOOKUP(B4308,ARTICULOS!$D$10:$I$699,6)</f>
        <v/>
      </c>
      <c r="D4308" s="212" t="n"/>
      <c r="E4308" s="75">
        <f>+C4308&amp;F4308</f>
        <v/>
      </c>
      <c r="F4308" s="80" t="n"/>
      <c r="G4308" s="81" t="n"/>
      <c r="H4308" s="78" t="n"/>
      <c r="I4308" s="78" t="n"/>
      <c r="J4308" s="78" t="n"/>
    </row>
    <row r="4309">
      <c r="A4309" s="84">
        <f>ROW()-6</f>
        <v/>
      </c>
      <c r="B4309" s="85">
        <f>+MATCH(D4309,ARTICULOS!$F$10:$F$699,0)</f>
        <v/>
      </c>
      <c r="C4309" s="86">
        <f>+VLOOKUP(B4309,ARTICULOS!$D$10:$I$699,6)</f>
        <v/>
      </c>
      <c r="D4309" s="212" t="n"/>
      <c r="E4309" s="75">
        <f>+C4309&amp;F4309</f>
        <v/>
      </c>
      <c r="F4309" s="80" t="n"/>
      <c r="G4309" s="81" t="n"/>
      <c r="H4309" s="78" t="n"/>
      <c r="I4309" s="78" t="n"/>
      <c r="J4309" s="78" t="n"/>
    </row>
    <row r="4310">
      <c r="A4310" s="84">
        <f>ROW()-6</f>
        <v/>
      </c>
      <c r="B4310" s="85">
        <f>+MATCH(D4310,ARTICULOS!$F$10:$F$699,0)</f>
        <v/>
      </c>
      <c r="C4310" s="86">
        <f>+VLOOKUP(B4310,ARTICULOS!$D$10:$I$699,6)</f>
        <v/>
      </c>
      <c r="D4310" s="212" t="n"/>
      <c r="E4310" s="75">
        <f>+C4310&amp;F4310</f>
        <v/>
      </c>
      <c r="F4310" s="80" t="n"/>
      <c r="G4310" s="81" t="n"/>
      <c r="H4310" s="78" t="n"/>
      <c r="I4310" s="78" t="n"/>
      <c r="J4310" s="78" t="n"/>
    </row>
    <row r="4311">
      <c r="A4311" s="84">
        <f>ROW()-6</f>
        <v/>
      </c>
      <c r="B4311" s="85">
        <f>+MATCH(D4311,ARTICULOS!$F$10:$F$699,0)</f>
        <v/>
      </c>
      <c r="C4311" s="86">
        <f>+VLOOKUP(B4311,ARTICULOS!$D$10:$I$699,6)</f>
        <v/>
      </c>
      <c r="D4311" s="212" t="n"/>
      <c r="E4311" s="75">
        <f>+C4311&amp;F4311</f>
        <v/>
      </c>
      <c r="F4311" s="80" t="n"/>
      <c r="G4311" s="81" t="n"/>
      <c r="H4311" s="78" t="n"/>
      <c r="I4311" s="78" t="n"/>
      <c r="J4311" s="78" t="n"/>
    </row>
    <row r="4312">
      <c r="A4312" s="84">
        <f>ROW()-6</f>
        <v/>
      </c>
      <c r="B4312" s="85">
        <f>+MATCH(D4312,ARTICULOS!$F$10:$F$699,0)</f>
        <v/>
      </c>
      <c r="C4312" s="86">
        <f>+VLOOKUP(B4312,ARTICULOS!$D$10:$I$699,6)</f>
        <v/>
      </c>
      <c r="D4312" s="212" t="n"/>
      <c r="E4312" s="75">
        <f>+C4312&amp;F4312</f>
        <v/>
      </c>
      <c r="F4312" s="80" t="n"/>
      <c r="G4312" s="81" t="n"/>
      <c r="H4312" s="78" t="n"/>
      <c r="I4312" s="78" t="n"/>
      <c r="J4312" s="78" t="n"/>
    </row>
    <row r="4313">
      <c r="A4313" s="84">
        <f>ROW()-6</f>
        <v/>
      </c>
      <c r="B4313" s="85">
        <f>+MATCH(D4313,ARTICULOS!$F$10:$F$699,0)</f>
        <v/>
      </c>
      <c r="C4313" s="86">
        <f>+VLOOKUP(B4313,ARTICULOS!$D$10:$I$699,6)</f>
        <v/>
      </c>
      <c r="D4313" s="212" t="n"/>
      <c r="E4313" s="75">
        <f>+C4313&amp;F4313</f>
        <v/>
      </c>
      <c r="F4313" s="80" t="n"/>
      <c r="G4313" s="81" t="n"/>
      <c r="H4313" s="78" t="n"/>
      <c r="I4313" s="78" t="n"/>
      <c r="J4313" s="78" t="n"/>
    </row>
    <row r="4314">
      <c r="A4314" s="84">
        <f>ROW()-6</f>
        <v/>
      </c>
      <c r="B4314" s="85">
        <f>+MATCH(D4314,ARTICULOS!$F$10:$F$699,0)</f>
        <v/>
      </c>
      <c r="C4314" s="86">
        <f>+VLOOKUP(B4314,ARTICULOS!$D$10:$I$699,6)</f>
        <v/>
      </c>
      <c r="D4314" s="212" t="n"/>
      <c r="E4314" s="75">
        <f>+C4314&amp;F4314</f>
        <v/>
      </c>
      <c r="F4314" s="80" t="n"/>
      <c r="G4314" s="81" t="n"/>
      <c r="H4314" s="78" t="n"/>
      <c r="I4314" s="78" t="n"/>
      <c r="J4314" s="78" t="n"/>
    </row>
    <row r="4315">
      <c r="A4315" s="84">
        <f>ROW()-6</f>
        <v/>
      </c>
      <c r="B4315" s="85">
        <f>+MATCH(D4315,ARTICULOS!$F$10:$F$699,0)</f>
        <v/>
      </c>
      <c r="C4315" s="86">
        <f>+VLOOKUP(B4315,ARTICULOS!$D$10:$I$699,6)</f>
        <v/>
      </c>
      <c r="D4315" s="212" t="n"/>
      <c r="E4315" s="75">
        <f>+C4315&amp;F4315</f>
        <v/>
      </c>
      <c r="F4315" s="80" t="n"/>
      <c r="G4315" s="81" t="n"/>
      <c r="H4315" s="78" t="n"/>
      <c r="I4315" s="78" t="n"/>
      <c r="J4315" s="78" t="n"/>
    </row>
    <row r="4316">
      <c r="A4316" s="84">
        <f>ROW()-6</f>
        <v/>
      </c>
      <c r="B4316" s="85">
        <f>+MATCH(D4316,ARTICULOS!$F$10:$F$699,0)</f>
        <v/>
      </c>
      <c r="C4316" s="86">
        <f>+VLOOKUP(B4316,ARTICULOS!$D$10:$I$699,6)</f>
        <v/>
      </c>
      <c r="D4316" s="212" t="n"/>
      <c r="E4316" s="75">
        <f>+C4316&amp;F4316</f>
        <v/>
      </c>
      <c r="F4316" s="80" t="n"/>
      <c r="G4316" s="81" t="n"/>
      <c r="H4316" s="78" t="n"/>
      <c r="I4316" s="78" t="n"/>
      <c r="J4316" s="78" t="n"/>
    </row>
    <row r="4317">
      <c r="A4317" s="84">
        <f>ROW()-6</f>
        <v/>
      </c>
      <c r="B4317" s="85">
        <f>+MATCH(D4317,ARTICULOS!$F$10:$F$699,0)</f>
        <v/>
      </c>
      <c r="C4317" s="86">
        <f>+VLOOKUP(B4317,ARTICULOS!$D$10:$I$699,6)</f>
        <v/>
      </c>
      <c r="D4317" s="212" t="n"/>
      <c r="E4317" s="75">
        <f>+C4317&amp;F4317</f>
        <v/>
      </c>
      <c r="F4317" s="80" t="n"/>
      <c r="G4317" s="81" t="n"/>
      <c r="H4317" s="78" t="n"/>
      <c r="I4317" s="78" t="n"/>
      <c r="J4317" s="78" t="n"/>
    </row>
    <row r="4318">
      <c r="A4318" s="84">
        <f>ROW()-6</f>
        <v/>
      </c>
      <c r="B4318" s="85">
        <f>+MATCH(D4318,ARTICULOS!$F$10:$F$699,0)</f>
        <v/>
      </c>
      <c r="C4318" s="86">
        <f>+VLOOKUP(B4318,ARTICULOS!$D$10:$I$699,6)</f>
        <v/>
      </c>
      <c r="D4318" s="212" t="n"/>
      <c r="E4318" s="75">
        <f>+C4318&amp;F4318</f>
        <v/>
      </c>
      <c r="F4318" s="80" t="n"/>
      <c r="G4318" s="81" t="n"/>
      <c r="H4318" s="78" t="n"/>
      <c r="I4318" s="78" t="n"/>
      <c r="J4318" s="78" t="n"/>
    </row>
    <row r="4319">
      <c r="A4319" s="84">
        <f>ROW()-6</f>
        <v/>
      </c>
      <c r="B4319" s="85">
        <f>+MATCH(D4319,ARTICULOS!$F$10:$F$699,0)</f>
        <v/>
      </c>
      <c r="C4319" s="86">
        <f>+VLOOKUP(B4319,ARTICULOS!$D$10:$I$699,6)</f>
        <v/>
      </c>
      <c r="D4319" s="212" t="n"/>
      <c r="E4319" s="75">
        <f>+C4319&amp;F4319</f>
        <v/>
      </c>
      <c r="F4319" s="80" t="n"/>
      <c r="G4319" s="81" t="n"/>
      <c r="H4319" s="78" t="n"/>
      <c r="I4319" s="78" t="n"/>
      <c r="J4319" s="78" t="n"/>
    </row>
    <row r="4320">
      <c r="A4320" s="84">
        <f>ROW()-6</f>
        <v/>
      </c>
      <c r="B4320" s="85">
        <f>+MATCH(D4320,ARTICULOS!$F$10:$F$699,0)</f>
        <v/>
      </c>
      <c r="C4320" s="86">
        <f>+VLOOKUP(B4320,ARTICULOS!$D$10:$I$699,6)</f>
        <v/>
      </c>
      <c r="D4320" s="212" t="n"/>
      <c r="E4320" s="75">
        <f>+C4320&amp;F4320</f>
        <v/>
      </c>
      <c r="F4320" s="80" t="n"/>
      <c r="G4320" s="81" t="n"/>
      <c r="H4320" s="78" t="n"/>
      <c r="I4320" s="78" t="n"/>
      <c r="J4320" s="78" t="n"/>
    </row>
    <row r="4321">
      <c r="A4321" s="84">
        <f>ROW()-6</f>
        <v/>
      </c>
      <c r="B4321" s="85">
        <f>+MATCH(D4321,ARTICULOS!$F$10:$F$699,0)</f>
        <v/>
      </c>
      <c r="C4321" s="86">
        <f>+VLOOKUP(B4321,ARTICULOS!$D$10:$I$699,6)</f>
        <v/>
      </c>
      <c r="D4321" s="212" t="n"/>
      <c r="E4321" s="75">
        <f>+C4321&amp;F4321</f>
        <v/>
      </c>
      <c r="F4321" s="80" t="n"/>
      <c r="G4321" s="81" t="n"/>
      <c r="H4321" s="78" t="n"/>
      <c r="I4321" s="78" t="n"/>
      <c r="J4321" s="78" t="n"/>
    </row>
    <row r="4322">
      <c r="A4322" s="84">
        <f>ROW()-6</f>
        <v/>
      </c>
      <c r="B4322" s="85">
        <f>+MATCH(D4322,ARTICULOS!$F$10:$F$699,0)</f>
        <v/>
      </c>
      <c r="C4322" s="86">
        <f>+VLOOKUP(B4322,ARTICULOS!$D$10:$I$699,6)</f>
        <v/>
      </c>
      <c r="D4322" s="212" t="n"/>
      <c r="E4322" s="75">
        <f>+C4322&amp;F4322</f>
        <v/>
      </c>
      <c r="F4322" s="80" t="n"/>
      <c r="G4322" s="81" t="n"/>
      <c r="H4322" s="78" t="n"/>
      <c r="I4322" s="78" t="n"/>
      <c r="J4322" s="78" t="n"/>
    </row>
    <row r="4323">
      <c r="A4323" s="84">
        <f>ROW()-6</f>
        <v/>
      </c>
      <c r="B4323" s="85">
        <f>+MATCH(D4323,ARTICULOS!$F$10:$F$699,0)</f>
        <v/>
      </c>
      <c r="C4323" s="86">
        <f>+VLOOKUP(B4323,ARTICULOS!$D$10:$I$699,6)</f>
        <v/>
      </c>
      <c r="D4323" s="212" t="n"/>
      <c r="E4323" s="75">
        <f>+C4323&amp;F4323</f>
        <v/>
      </c>
      <c r="F4323" s="80" t="n"/>
      <c r="G4323" s="81" t="n"/>
      <c r="H4323" s="78" t="n"/>
      <c r="I4323" s="78" t="n"/>
      <c r="J4323" s="78" t="n"/>
    </row>
    <row r="4324">
      <c r="A4324" s="84">
        <f>ROW()-6</f>
        <v/>
      </c>
      <c r="B4324" s="85">
        <f>+MATCH(D4324,ARTICULOS!$F$10:$F$699,0)</f>
        <v/>
      </c>
      <c r="C4324" s="86">
        <f>+VLOOKUP(B4324,ARTICULOS!$D$10:$I$699,6)</f>
        <v/>
      </c>
      <c r="D4324" s="212" t="n"/>
      <c r="E4324" s="75">
        <f>+C4324&amp;F4324</f>
        <v/>
      </c>
      <c r="F4324" s="80" t="n"/>
      <c r="G4324" s="81" t="n"/>
      <c r="H4324" s="78" t="n"/>
      <c r="I4324" s="78" t="n"/>
      <c r="J4324" s="78" t="n"/>
    </row>
    <row r="4325">
      <c r="A4325" s="84">
        <f>ROW()-6</f>
        <v/>
      </c>
      <c r="B4325" s="85">
        <f>+MATCH(D4325,ARTICULOS!$F$10:$F$699,0)</f>
        <v/>
      </c>
      <c r="C4325" s="86">
        <f>+VLOOKUP(B4325,ARTICULOS!$D$10:$I$699,6)</f>
        <v/>
      </c>
      <c r="D4325" s="212" t="n"/>
      <c r="E4325" s="75">
        <f>+C4325&amp;F4325</f>
        <v/>
      </c>
      <c r="F4325" s="80" t="n"/>
      <c r="G4325" s="81" t="n"/>
      <c r="H4325" s="78" t="n"/>
      <c r="I4325" s="78" t="n"/>
      <c r="J4325" s="78" t="n"/>
    </row>
    <row r="4326">
      <c r="A4326" s="84">
        <f>ROW()-6</f>
        <v/>
      </c>
      <c r="B4326" s="85">
        <f>+MATCH(D4326,ARTICULOS!$F$10:$F$699,0)</f>
        <v/>
      </c>
      <c r="C4326" s="86">
        <f>+VLOOKUP(B4326,ARTICULOS!$D$10:$I$699,6)</f>
        <v/>
      </c>
      <c r="D4326" s="212" t="n"/>
      <c r="E4326" s="75">
        <f>+C4326&amp;F4326</f>
        <v/>
      </c>
      <c r="F4326" s="80" t="n"/>
      <c r="G4326" s="81" t="n"/>
      <c r="H4326" s="78" t="n"/>
      <c r="I4326" s="78" t="n"/>
      <c r="J4326" s="78" t="n"/>
    </row>
    <row r="4327">
      <c r="A4327" s="84">
        <f>ROW()-6</f>
        <v/>
      </c>
      <c r="B4327" s="85">
        <f>+MATCH(D4327,ARTICULOS!$F$10:$F$699,0)</f>
        <v/>
      </c>
      <c r="C4327" s="86">
        <f>+VLOOKUP(B4327,ARTICULOS!$D$10:$I$699,6)</f>
        <v/>
      </c>
      <c r="D4327" s="212" t="n"/>
      <c r="E4327" s="75">
        <f>+C4327&amp;F4327</f>
        <v/>
      </c>
      <c r="F4327" s="80" t="n"/>
      <c r="G4327" s="81" t="n"/>
      <c r="H4327" s="78" t="n"/>
      <c r="I4327" s="78" t="n"/>
      <c r="J4327" s="78" t="n"/>
    </row>
    <row r="4328">
      <c r="A4328" s="84">
        <f>ROW()-6</f>
        <v/>
      </c>
      <c r="B4328" s="85">
        <f>+MATCH(D4328,ARTICULOS!$F$10:$F$699,0)</f>
        <v/>
      </c>
      <c r="C4328" s="86">
        <f>+VLOOKUP(B4328,ARTICULOS!$D$10:$I$699,6)</f>
        <v/>
      </c>
      <c r="D4328" s="212" t="n"/>
      <c r="E4328" s="75">
        <f>+C4328&amp;F4328</f>
        <v/>
      </c>
      <c r="F4328" s="80" t="n"/>
      <c r="G4328" s="81" t="n"/>
      <c r="H4328" s="78" t="n"/>
      <c r="I4328" s="78" t="n"/>
      <c r="J4328" s="78" t="n"/>
    </row>
    <row r="4329">
      <c r="A4329" s="84">
        <f>ROW()-6</f>
        <v/>
      </c>
      <c r="B4329" s="85">
        <f>+MATCH(D4329,ARTICULOS!$F$10:$F$699,0)</f>
        <v/>
      </c>
      <c r="C4329" s="86">
        <f>+VLOOKUP(B4329,ARTICULOS!$D$10:$I$699,6)</f>
        <v/>
      </c>
      <c r="D4329" s="212" t="n"/>
      <c r="E4329" s="75">
        <f>+C4329&amp;F4329</f>
        <v/>
      </c>
      <c r="F4329" s="80" t="n"/>
      <c r="G4329" s="81" t="n"/>
      <c r="H4329" s="78" t="n"/>
      <c r="I4329" s="78" t="n"/>
      <c r="J4329" s="78" t="n"/>
    </row>
    <row r="4330">
      <c r="A4330" s="84">
        <f>ROW()-6</f>
        <v/>
      </c>
      <c r="B4330" s="85">
        <f>+MATCH(D4330,ARTICULOS!$F$10:$F$699,0)</f>
        <v/>
      </c>
      <c r="C4330" s="86">
        <f>+VLOOKUP(B4330,ARTICULOS!$D$10:$I$699,6)</f>
        <v/>
      </c>
      <c r="D4330" s="212" t="n"/>
      <c r="E4330" s="75">
        <f>+C4330&amp;F4330</f>
        <v/>
      </c>
      <c r="F4330" s="80" t="n"/>
      <c r="G4330" s="81" t="n"/>
      <c r="H4330" s="78" t="n"/>
      <c r="I4330" s="78" t="n"/>
      <c r="J4330" s="78" t="n"/>
    </row>
    <row r="4331">
      <c r="A4331" s="84">
        <f>ROW()-6</f>
        <v/>
      </c>
      <c r="B4331" s="85">
        <f>+MATCH(D4331,ARTICULOS!$F$10:$F$699,0)</f>
        <v/>
      </c>
      <c r="C4331" s="86">
        <f>+VLOOKUP(B4331,ARTICULOS!$D$10:$I$699,6)</f>
        <v/>
      </c>
      <c r="D4331" s="212" t="n"/>
      <c r="E4331" s="75">
        <f>+C4331&amp;F4331</f>
        <v/>
      </c>
      <c r="F4331" s="80" t="n"/>
      <c r="G4331" s="81" t="n"/>
      <c r="H4331" s="78" t="n"/>
      <c r="I4331" s="78" t="n"/>
      <c r="J4331" s="78" t="n"/>
    </row>
    <row r="4332">
      <c r="A4332" s="84">
        <f>ROW()-6</f>
        <v/>
      </c>
      <c r="B4332" s="85">
        <f>+MATCH(D4332,ARTICULOS!$F$10:$F$699,0)</f>
        <v/>
      </c>
      <c r="C4332" s="86">
        <f>+VLOOKUP(B4332,ARTICULOS!$D$10:$I$699,6)</f>
        <v/>
      </c>
      <c r="D4332" s="212" t="n"/>
      <c r="E4332" s="75">
        <f>+C4332&amp;F4332</f>
        <v/>
      </c>
      <c r="F4332" s="80" t="n"/>
      <c r="G4332" s="81" t="n"/>
      <c r="H4332" s="78" t="n"/>
      <c r="I4332" s="78" t="n"/>
      <c r="J4332" s="78" t="n"/>
    </row>
    <row r="4333">
      <c r="A4333" s="84">
        <f>ROW()-6</f>
        <v/>
      </c>
      <c r="B4333" s="85">
        <f>+MATCH(D4333,ARTICULOS!$F$10:$F$699,0)</f>
        <v/>
      </c>
      <c r="C4333" s="86">
        <f>+VLOOKUP(B4333,ARTICULOS!$D$10:$I$699,6)</f>
        <v/>
      </c>
      <c r="D4333" s="212" t="n"/>
      <c r="E4333" s="75">
        <f>+C4333&amp;F4333</f>
        <v/>
      </c>
      <c r="F4333" s="80" t="n"/>
      <c r="G4333" s="81" t="n"/>
      <c r="H4333" s="78" t="n"/>
      <c r="I4333" s="78" t="n"/>
      <c r="J4333" s="78" t="n"/>
    </row>
    <row r="4334">
      <c r="A4334" s="84">
        <f>ROW()-6</f>
        <v/>
      </c>
      <c r="B4334" s="85">
        <f>+MATCH(D4334,ARTICULOS!$F$10:$F$699,0)</f>
        <v/>
      </c>
      <c r="C4334" s="86">
        <f>+VLOOKUP(B4334,ARTICULOS!$D$10:$I$699,6)</f>
        <v/>
      </c>
      <c r="D4334" s="212" t="n"/>
      <c r="E4334" s="75">
        <f>+C4334&amp;F4334</f>
        <v/>
      </c>
      <c r="F4334" s="80" t="n"/>
      <c r="G4334" s="81" t="n"/>
      <c r="H4334" s="78" t="n"/>
      <c r="I4334" s="78" t="n"/>
      <c r="J4334" s="78" t="n"/>
    </row>
    <row r="4335">
      <c r="A4335" s="84">
        <f>ROW()-6</f>
        <v/>
      </c>
      <c r="B4335" s="85">
        <f>+MATCH(D4335,ARTICULOS!$F$10:$F$699,0)</f>
        <v/>
      </c>
      <c r="C4335" s="86">
        <f>+VLOOKUP(B4335,ARTICULOS!$D$10:$I$699,6)</f>
        <v/>
      </c>
      <c r="D4335" s="212" t="n"/>
      <c r="E4335" s="75">
        <f>+C4335&amp;F4335</f>
        <v/>
      </c>
      <c r="F4335" s="80" t="n"/>
      <c r="G4335" s="81" t="n"/>
      <c r="H4335" s="78" t="n"/>
      <c r="I4335" s="78" t="n"/>
      <c r="J4335" s="78" t="n"/>
    </row>
    <row r="4336">
      <c r="A4336" s="84">
        <f>ROW()-6</f>
        <v/>
      </c>
      <c r="B4336" s="85">
        <f>+MATCH(D4336,ARTICULOS!$F$10:$F$699,0)</f>
        <v/>
      </c>
      <c r="C4336" s="86">
        <f>+VLOOKUP(B4336,ARTICULOS!$D$10:$I$699,6)</f>
        <v/>
      </c>
      <c r="D4336" s="212" t="n"/>
      <c r="E4336" s="75">
        <f>+C4336&amp;F4336</f>
        <v/>
      </c>
      <c r="F4336" s="80" t="n"/>
      <c r="G4336" s="81" t="n"/>
      <c r="H4336" s="78" t="n"/>
      <c r="I4336" s="78" t="n"/>
      <c r="J4336" s="78" t="n"/>
    </row>
    <row r="4337">
      <c r="A4337" s="84">
        <f>ROW()-6</f>
        <v/>
      </c>
      <c r="B4337" s="85">
        <f>+MATCH(D4337,ARTICULOS!$F$10:$F$699,0)</f>
        <v/>
      </c>
      <c r="C4337" s="86">
        <f>+VLOOKUP(B4337,ARTICULOS!$D$10:$I$699,6)</f>
        <v/>
      </c>
      <c r="D4337" s="212" t="n"/>
      <c r="E4337" s="75">
        <f>+C4337&amp;F4337</f>
        <v/>
      </c>
      <c r="F4337" s="80" t="n"/>
      <c r="G4337" s="81" t="n"/>
      <c r="H4337" s="78" t="n"/>
      <c r="I4337" s="78" t="n"/>
      <c r="J4337" s="78" t="n"/>
    </row>
    <row r="4338">
      <c r="A4338" s="84">
        <f>ROW()-6</f>
        <v/>
      </c>
      <c r="B4338" s="85">
        <f>+MATCH(D4338,ARTICULOS!$F$10:$F$699,0)</f>
        <v/>
      </c>
      <c r="C4338" s="86">
        <f>+VLOOKUP(B4338,ARTICULOS!$D$10:$I$699,6)</f>
        <v/>
      </c>
      <c r="D4338" s="212" t="n"/>
      <c r="E4338" s="75">
        <f>+C4338&amp;F4338</f>
        <v/>
      </c>
      <c r="F4338" s="80" t="n"/>
      <c r="G4338" s="81" t="n"/>
      <c r="H4338" s="78" t="n"/>
      <c r="I4338" s="78" t="n"/>
      <c r="J4338" s="78" t="n"/>
    </row>
    <row r="4339">
      <c r="A4339" s="84">
        <f>ROW()-6</f>
        <v/>
      </c>
      <c r="B4339" s="85">
        <f>+MATCH(D4339,ARTICULOS!$F$10:$F$699,0)</f>
        <v/>
      </c>
      <c r="C4339" s="86">
        <f>+VLOOKUP(B4339,ARTICULOS!$D$10:$I$699,6)</f>
        <v/>
      </c>
      <c r="D4339" s="212" t="n"/>
      <c r="E4339" s="75">
        <f>+C4339&amp;F4339</f>
        <v/>
      </c>
      <c r="F4339" s="80" t="n"/>
      <c r="G4339" s="81" t="n"/>
      <c r="H4339" s="78" t="n"/>
      <c r="I4339" s="78" t="n"/>
      <c r="J4339" s="78" t="n"/>
    </row>
    <row r="4340">
      <c r="A4340" s="84">
        <f>ROW()-6</f>
        <v/>
      </c>
      <c r="B4340" s="85">
        <f>+MATCH(D4340,ARTICULOS!$F$10:$F$699,0)</f>
        <v/>
      </c>
      <c r="C4340" s="86">
        <f>+VLOOKUP(B4340,ARTICULOS!$D$10:$I$699,6)</f>
        <v/>
      </c>
      <c r="D4340" s="212" t="n"/>
      <c r="E4340" s="75">
        <f>+C4340&amp;F4340</f>
        <v/>
      </c>
      <c r="F4340" s="80" t="n"/>
      <c r="G4340" s="81" t="n"/>
      <c r="H4340" s="78" t="n"/>
      <c r="I4340" s="78" t="n"/>
      <c r="J4340" s="78" t="n"/>
    </row>
    <row r="4341">
      <c r="A4341" s="84">
        <f>ROW()-6</f>
        <v/>
      </c>
      <c r="B4341" s="85">
        <f>+MATCH(D4341,ARTICULOS!$F$10:$F$699,0)</f>
        <v/>
      </c>
      <c r="C4341" s="86">
        <f>+VLOOKUP(B4341,ARTICULOS!$D$10:$I$699,6)</f>
        <v/>
      </c>
      <c r="D4341" s="212" t="n"/>
      <c r="E4341" s="75">
        <f>+C4341&amp;F4341</f>
        <v/>
      </c>
      <c r="F4341" s="80" t="n"/>
      <c r="G4341" s="81" t="n"/>
      <c r="H4341" s="78" t="n"/>
      <c r="I4341" s="78" t="n"/>
      <c r="J4341" s="78" t="n"/>
    </row>
    <row r="4342">
      <c r="A4342" s="84">
        <f>ROW()-6</f>
        <v/>
      </c>
      <c r="B4342" s="85">
        <f>+MATCH(D4342,ARTICULOS!$F$10:$F$699,0)</f>
        <v/>
      </c>
      <c r="C4342" s="86">
        <f>+VLOOKUP(B4342,ARTICULOS!$D$10:$I$699,6)</f>
        <v/>
      </c>
      <c r="D4342" s="212" t="n"/>
      <c r="E4342" s="75">
        <f>+C4342&amp;F4342</f>
        <v/>
      </c>
      <c r="F4342" s="80" t="n"/>
      <c r="G4342" s="81" t="n"/>
      <c r="H4342" s="78" t="n"/>
      <c r="I4342" s="78" t="n"/>
      <c r="J4342" s="78" t="n"/>
    </row>
    <row r="4343">
      <c r="A4343" s="84">
        <f>ROW()-6</f>
        <v/>
      </c>
      <c r="B4343" s="85">
        <f>+MATCH(D4343,ARTICULOS!$F$10:$F$699,0)</f>
        <v/>
      </c>
      <c r="C4343" s="86">
        <f>+VLOOKUP(B4343,ARTICULOS!$D$10:$I$699,6)</f>
        <v/>
      </c>
      <c r="D4343" s="212" t="n"/>
      <c r="E4343" s="75">
        <f>+C4343&amp;F4343</f>
        <v/>
      </c>
      <c r="F4343" s="80" t="n"/>
      <c r="G4343" s="81" t="n"/>
      <c r="H4343" s="78" t="n"/>
      <c r="I4343" s="78" t="n"/>
      <c r="J4343" s="78" t="n"/>
    </row>
    <row r="4344">
      <c r="A4344" s="84">
        <f>ROW()-6</f>
        <v/>
      </c>
      <c r="B4344" s="85">
        <f>+MATCH(D4344,ARTICULOS!$F$10:$F$699,0)</f>
        <v/>
      </c>
      <c r="C4344" s="86">
        <f>+VLOOKUP(B4344,ARTICULOS!$D$10:$I$699,6)</f>
        <v/>
      </c>
      <c r="D4344" s="212" t="n"/>
      <c r="E4344" s="75">
        <f>+C4344&amp;F4344</f>
        <v/>
      </c>
      <c r="F4344" s="80" t="n"/>
      <c r="G4344" s="81" t="n"/>
      <c r="H4344" s="78" t="n"/>
      <c r="I4344" s="78" t="n"/>
      <c r="J4344" s="78" t="n"/>
    </row>
    <row r="4345">
      <c r="A4345" s="84">
        <f>ROW()-6</f>
        <v/>
      </c>
      <c r="B4345" s="85">
        <f>+MATCH(D4345,ARTICULOS!$F$10:$F$699,0)</f>
        <v/>
      </c>
      <c r="C4345" s="86">
        <f>+VLOOKUP(B4345,ARTICULOS!$D$10:$I$699,6)</f>
        <v/>
      </c>
      <c r="D4345" s="212" t="n"/>
      <c r="E4345" s="75">
        <f>+C4345&amp;F4345</f>
        <v/>
      </c>
      <c r="F4345" s="80" t="n"/>
      <c r="G4345" s="81" t="n"/>
      <c r="H4345" s="78" t="n"/>
      <c r="I4345" s="78" t="n"/>
      <c r="J4345" s="78" t="n"/>
    </row>
    <row r="4346">
      <c r="A4346" s="84">
        <f>ROW()-6</f>
        <v/>
      </c>
      <c r="B4346" s="85">
        <f>+MATCH(D4346,ARTICULOS!$F$10:$F$699,0)</f>
        <v/>
      </c>
      <c r="C4346" s="86">
        <f>+VLOOKUP(B4346,ARTICULOS!$D$10:$I$699,6)</f>
        <v/>
      </c>
      <c r="D4346" s="212" t="n"/>
      <c r="E4346" s="75">
        <f>+C4346&amp;F4346</f>
        <v/>
      </c>
      <c r="F4346" s="80" t="n"/>
      <c r="G4346" s="81" t="n"/>
      <c r="H4346" s="78" t="n"/>
      <c r="I4346" s="78" t="n"/>
      <c r="J4346" s="78" t="n"/>
    </row>
    <row r="4347">
      <c r="A4347" s="84">
        <f>ROW()-6</f>
        <v/>
      </c>
      <c r="B4347" s="85">
        <f>+MATCH(D4347,ARTICULOS!$F$10:$F$699,0)</f>
        <v/>
      </c>
      <c r="C4347" s="86">
        <f>+VLOOKUP(B4347,ARTICULOS!$D$10:$I$699,6)</f>
        <v/>
      </c>
      <c r="D4347" s="212" t="n"/>
      <c r="E4347" s="75">
        <f>+C4347&amp;F4347</f>
        <v/>
      </c>
      <c r="F4347" s="80" t="n"/>
      <c r="G4347" s="81" t="n"/>
      <c r="H4347" s="78" t="n"/>
      <c r="I4347" s="78" t="n"/>
      <c r="J4347" s="78" t="n"/>
    </row>
    <row r="4348">
      <c r="A4348" s="84">
        <f>ROW()-6</f>
        <v/>
      </c>
      <c r="B4348" s="85">
        <f>+MATCH(D4348,ARTICULOS!$F$10:$F$699,0)</f>
        <v/>
      </c>
      <c r="C4348" s="86">
        <f>+VLOOKUP(B4348,ARTICULOS!$D$10:$I$699,6)</f>
        <v/>
      </c>
      <c r="D4348" s="212" t="n"/>
      <c r="E4348" s="75">
        <f>+C4348&amp;F4348</f>
        <v/>
      </c>
      <c r="F4348" s="80" t="n"/>
      <c r="G4348" s="81" t="n"/>
      <c r="H4348" s="78" t="n"/>
      <c r="I4348" s="78" t="n"/>
      <c r="J4348" s="78" t="n"/>
    </row>
    <row r="4349">
      <c r="A4349" s="84">
        <f>ROW()-6</f>
        <v/>
      </c>
      <c r="B4349" s="85">
        <f>+MATCH(D4349,ARTICULOS!$F$10:$F$699,0)</f>
        <v/>
      </c>
      <c r="C4349" s="86">
        <f>+VLOOKUP(B4349,ARTICULOS!$D$10:$I$699,6)</f>
        <v/>
      </c>
      <c r="D4349" s="212" t="n"/>
      <c r="E4349" s="75">
        <f>+C4349&amp;F4349</f>
        <v/>
      </c>
      <c r="F4349" s="80" t="n"/>
      <c r="G4349" s="81" t="n"/>
      <c r="H4349" s="78" t="n"/>
      <c r="I4349" s="78" t="n"/>
      <c r="J4349" s="78" t="n"/>
    </row>
    <row r="4350">
      <c r="A4350" s="84">
        <f>ROW()-6</f>
        <v/>
      </c>
      <c r="B4350" s="85">
        <f>+MATCH(D4350,ARTICULOS!$F$10:$F$699,0)</f>
        <v/>
      </c>
      <c r="C4350" s="86">
        <f>+VLOOKUP(B4350,ARTICULOS!$D$10:$I$699,6)</f>
        <v/>
      </c>
      <c r="D4350" s="212" t="n"/>
      <c r="E4350" s="75">
        <f>+C4350&amp;F4350</f>
        <v/>
      </c>
      <c r="F4350" s="80" t="n"/>
      <c r="G4350" s="81" t="n"/>
      <c r="H4350" s="78" t="n"/>
      <c r="I4350" s="78" t="n"/>
      <c r="J4350" s="78" t="n"/>
    </row>
    <row r="4351">
      <c r="A4351" s="84">
        <f>ROW()-6</f>
        <v/>
      </c>
      <c r="B4351" s="85">
        <f>+MATCH(D4351,ARTICULOS!$F$10:$F$699,0)</f>
        <v/>
      </c>
      <c r="C4351" s="86">
        <f>+VLOOKUP(B4351,ARTICULOS!$D$10:$I$699,6)</f>
        <v/>
      </c>
      <c r="D4351" s="212" t="n"/>
      <c r="E4351" s="75">
        <f>+C4351&amp;F4351</f>
        <v/>
      </c>
      <c r="F4351" s="80" t="n"/>
      <c r="G4351" s="81" t="n"/>
      <c r="H4351" s="78" t="n"/>
      <c r="I4351" s="78" t="n"/>
      <c r="J4351" s="78" t="n"/>
    </row>
    <row r="4352">
      <c r="A4352" s="84">
        <f>ROW()-6</f>
        <v/>
      </c>
      <c r="B4352" s="85">
        <f>+MATCH(D4352,ARTICULOS!$F$10:$F$699,0)</f>
        <v/>
      </c>
      <c r="C4352" s="86">
        <f>+VLOOKUP(B4352,ARTICULOS!$D$10:$I$699,6)</f>
        <v/>
      </c>
      <c r="D4352" s="212" t="n"/>
      <c r="E4352" s="75">
        <f>+C4352&amp;F4352</f>
        <v/>
      </c>
      <c r="F4352" s="80" t="n"/>
      <c r="G4352" s="81" t="n"/>
      <c r="H4352" s="78" t="n"/>
      <c r="I4352" s="78" t="n"/>
      <c r="J4352" s="78" t="n"/>
    </row>
    <row r="4353">
      <c r="A4353" s="84">
        <f>ROW()-6</f>
        <v/>
      </c>
      <c r="B4353" s="85">
        <f>+MATCH(D4353,ARTICULOS!$F$10:$F$699,0)</f>
        <v/>
      </c>
      <c r="C4353" s="86">
        <f>+VLOOKUP(B4353,ARTICULOS!$D$10:$I$699,6)</f>
        <v/>
      </c>
      <c r="D4353" s="212" t="n"/>
      <c r="E4353" s="75">
        <f>+C4353&amp;F4353</f>
        <v/>
      </c>
      <c r="F4353" s="80" t="n"/>
      <c r="G4353" s="81" t="n"/>
      <c r="H4353" s="78" t="n"/>
      <c r="I4353" s="78" t="n"/>
      <c r="J4353" s="78" t="n"/>
    </row>
    <row r="4354">
      <c r="A4354" s="84">
        <f>ROW()-6</f>
        <v/>
      </c>
      <c r="B4354" s="85">
        <f>+MATCH(D4354,ARTICULOS!$F$10:$F$699,0)</f>
        <v/>
      </c>
      <c r="C4354" s="86">
        <f>+VLOOKUP(B4354,ARTICULOS!$D$10:$I$699,6)</f>
        <v/>
      </c>
      <c r="D4354" s="212" t="n"/>
      <c r="E4354" s="75">
        <f>+C4354&amp;F4354</f>
        <v/>
      </c>
      <c r="F4354" s="80" t="n"/>
      <c r="G4354" s="81" t="n"/>
      <c r="H4354" s="78" t="n"/>
      <c r="I4354" s="78" t="n"/>
      <c r="J4354" s="78" t="n"/>
    </row>
    <row r="4355">
      <c r="A4355" s="84">
        <f>ROW()-6</f>
        <v/>
      </c>
      <c r="B4355" s="85">
        <f>+MATCH(D4355,ARTICULOS!$F$10:$F$699,0)</f>
        <v/>
      </c>
      <c r="C4355" s="86">
        <f>+VLOOKUP(B4355,ARTICULOS!$D$10:$I$699,6)</f>
        <v/>
      </c>
      <c r="D4355" s="212" t="n"/>
      <c r="E4355" s="75">
        <f>+C4355&amp;F4355</f>
        <v/>
      </c>
      <c r="F4355" s="80" t="n"/>
      <c r="G4355" s="81" t="n"/>
      <c r="H4355" s="78" t="n"/>
      <c r="I4355" s="78" t="n"/>
      <c r="J4355" s="78" t="n"/>
    </row>
    <row r="4356">
      <c r="A4356" s="84">
        <f>ROW()-6</f>
        <v/>
      </c>
      <c r="B4356" s="85">
        <f>+MATCH(D4356,ARTICULOS!$F$10:$F$699,0)</f>
        <v/>
      </c>
      <c r="C4356" s="86">
        <f>+VLOOKUP(B4356,ARTICULOS!$D$10:$I$699,6)</f>
        <v/>
      </c>
      <c r="D4356" s="212" t="n"/>
      <c r="E4356" s="75">
        <f>+C4356&amp;F4356</f>
        <v/>
      </c>
      <c r="F4356" s="80" t="n"/>
      <c r="G4356" s="81" t="n"/>
      <c r="H4356" s="78" t="n"/>
      <c r="I4356" s="78" t="n"/>
      <c r="J4356" s="78" t="n"/>
    </row>
    <row r="4357">
      <c r="A4357" s="84">
        <f>ROW()-6</f>
        <v/>
      </c>
      <c r="B4357" s="85">
        <f>+MATCH(D4357,ARTICULOS!$F$10:$F$699,0)</f>
        <v/>
      </c>
      <c r="C4357" s="86">
        <f>+VLOOKUP(B4357,ARTICULOS!$D$10:$I$699,6)</f>
        <v/>
      </c>
      <c r="D4357" s="212" t="n"/>
      <c r="E4357" s="75">
        <f>+C4357&amp;F4357</f>
        <v/>
      </c>
      <c r="F4357" s="80" t="n"/>
      <c r="G4357" s="81" t="n"/>
      <c r="H4357" s="78" t="n"/>
      <c r="I4357" s="78" t="n"/>
      <c r="J4357" s="78" t="n"/>
    </row>
    <row r="4358">
      <c r="A4358" s="84">
        <f>ROW()-6</f>
        <v/>
      </c>
      <c r="B4358" s="85">
        <f>+MATCH(D4358,ARTICULOS!$F$10:$F$699,0)</f>
        <v/>
      </c>
      <c r="C4358" s="86">
        <f>+VLOOKUP(B4358,ARTICULOS!$D$10:$I$699,6)</f>
        <v/>
      </c>
      <c r="D4358" s="212" t="n"/>
      <c r="E4358" s="75">
        <f>+C4358&amp;F4358</f>
        <v/>
      </c>
      <c r="F4358" s="80" t="n"/>
      <c r="G4358" s="81" t="n"/>
      <c r="H4358" s="78" t="n"/>
      <c r="I4358" s="78" t="n"/>
      <c r="J4358" s="78" t="n"/>
    </row>
    <row r="4359">
      <c r="A4359" s="84">
        <f>ROW()-6</f>
        <v/>
      </c>
      <c r="B4359" s="85">
        <f>+MATCH(D4359,ARTICULOS!$F$10:$F$699,0)</f>
        <v/>
      </c>
      <c r="C4359" s="86">
        <f>+VLOOKUP(B4359,ARTICULOS!$D$10:$I$699,6)</f>
        <v/>
      </c>
      <c r="D4359" s="212" t="n"/>
      <c r="E4359" s="75">
        <f>+C4359&amp;F4359</f>
        <v/>
      </c>
      <c r="F4359" s="80" t="n"/>
      <c r="G4359" s="81" t="n"/>
      <c r="H4359" s="78" t="n"/>
      <c r="I4359" s="78" t="n"/>
      <c r="J4359" s="78" t="n"/>
    </row>
    <row r="4360">
      <c r="A4360" s="84">
        <f>ROW()-6</f>
        <v/>
      </c>
      <c r="B4360" s="85">
        <f>+MATCH(D4360,ARTICULOS!$F$10:$F$699,0)</f>
        <v/>
      </c>
      <c r="C4360" s="86">
        <f>+VLOOKUP(B4360,ARTICULOS!$D$10:$I$699,6)</f>
        <v/>
      </c>
      <c r="D4360" s="212" t="n"/>
      <c r="E4360" s="75">
        <f>+C4360&amp;F4360</f>
        <v/>
      </c>
      <c r="F4360" s="80" t="n"/>
      <c r="G4360" s="81" t="n"/>
      <c r="H4360" s="78" t="n"/>
      <c r="I4360" s="78" t="n"/>
      <c r="J4360" s="78" t="n"/>
    </row>
    <row r="4361">
      <c r="A4361" s="84">
        <f>ROW()-6</f>
        <v/>
      </c>
      <c r="B4361" s="85">
        <f>+MATCH(D4361,ARTICULOS!$F$10:$F$699,0)</f>
        <v/>
      </c>
      <c r="C4361" s="86">
        <f>+VLOOKUP(B4361,ARTICULOS!$D$10:$I$699,6)</f>
        <v/>
      </c>
      <c r="D4361" s="212" t="n"/>
      <c r="E4361" s="75">
        <f>+C4361&amp;F4361</f>
        <v/>
      </c>
      <c r="F4361" s="80" t="n"/>
      <c r="G4361" s="81" t="n"/>
      <c r="H4361" s="78" t="n"/>
      <c r="I4361" s="78" t="n"/>
      <c r="J4361" s="78" t="n"/>
    </row>
    <row r="4362">
      <c r="A4362" s="84">
        <f>ROW()-6</f>
        <v/>
      </c>
      <c r="B4362" s="85">
        <f>+MATCH(D4362,ARTICULOS!$F$10:$F$699,0)</f>
        <v/>
      </c>
      <c r="C4362" s="86">
        <f>+VLOOKUP(B4362,ARTICULOS!$D$10:$I$699,6)</f>
        <v/>
      </c>
      <c r="D4362" s="212" t="n"/>
      <c r="E4362" s="75">
        <f>+C4362&amp;F4362</f>
        <v/>
      </c>
      <c r="F4362" s="80" t="n"/>
      <c r="G4362" s="81" t="n"/>
      <c r="H4362" s="78" t="n"/>
      <c r="I4362" s="78" t="n"/>
      <c r="J4362" s="78" t="n"/>
    </row>
    <row r="4363">
      <c r="A4363" s="84">
        <f>ROW()-6</f>
        <v/>
      </c>
      <c r="B4363" s="85">
        <f>+MATCH(D4363,ARTICULOS!$F$10:$F$699,0)</f>
        <v/>
      </c>
      <c r="C4363" s="86">
        <f>+VLOOKUP(B4363,ARTICULOS!$D$10:$I$699,6)</f>
        <v/>
      </c>
      <c r="D4363" s="212" t="n"/>
      <c r="E4363" s="75">
        <f>+C4363&amp;F4363</f>
        <v/>
      </c>
      <c r="F4363" s="80" t="n"/>
      <c r="G4363" s="81" t="n"/>
      <c r="H4363" s="78" t="n"/>
      <c r="I4363" s="78" t="n"/>
      <c r="J4363" s="78" t="n"/>
    </row>
    <row r="4364">
      <c r="A4364" s="84">
        <f>ROW()-6</f>
        <v/>
      </c>
      <c r="B4364" s="85">
        <f>+MATCH(D4364,ARTICULOS!$F$10:$F$699,0)</f>
        <v/>
      </c>
      <c r="C4364" s="86">
        <f>+VLOOKUP(B4364,ARTICULOS!$D$10:$I$699,6)</f>
        <v/>
      </c>
      <c r="D4364" s="212" t="n"/>
      <c r="E4364" s="75">
        <f>+C4364&amp;F4364</f>
        <v/>
      </c>
      <c r="F4364" s="80" t="n"/>
      <c r="G4364" s="81" t="n"/>
      <c r="H4364" s="78" t="n"/>
      <c r="I4364" s="78" t="n"/>
      <c r="J4364" s="78" t="n"/>
    </row>
    <row r="4365">
      <c r="A4365" s="84">
        <f>ROW()-6</f>
        <v/>
      </c>
      <c r="B4365" s="85">
        <f>+MATCH(D4365,ARTICULOS!$F$10:$F$699,0)</f>
        <v/>
      </c>
      <c r="C4365" s="86">
        <f>+VLOOKUP(B4365,ARTICULOS!$D$10:$I$699,6)</f>
        <v/>
      </c>
      <c r="D4365" s="212" t="n"/>
      <c r="E4365" s="75">
        <f>+C4365&amp;F4365</f>
        <v/>
      </c>
      <c r="F4365" s="80" t="n"/>
      <c r="G4365" s="81" t="n"/>
      <c r="H4365" s="78" t="n"/>
      <c r="I4365" s="78" t="n"/>
      <c r="J4365" s="78" t="n"/>
    </row>
    <row r="4366">
      <c r="A4366" s="84">
        <f>ROW()-6</f>
        <v/>
      </c>
      <c r="B4366" s="85">
        <f>+MATCH(D4366,ARTICULOS!$F$10:$F$699,0)</f>
        <v/>
      </c>
      <c r="C4366" s="86">
        <f>+VLOOKUP(B4366,ARTICULOS!$D$10:$I$699,6)</f>
        <v/>
      </c>
      <c r="D4366" s="212" t="n"/>
      <c r="E4366" s="75">
        <f>+C4366&amp;F4366</f>
        <v/>
      </c>
      <c r="F4366" s="80" t="n"/>
      <c r="G4366" s="81" t="n"/>
      <c r="H4366" s="78" t="n"/>
      <c r="I4366" s="78" t="n"/>
      <c r="J4366" s="78" t="n"/>
    </row>
    <row r="4367">
      <c r="A4367" s="84">
        <f>ROW()-6</f>
        <v/>
      </c>
      <c r="B4367" s="85">
        <f>+MATCH(D4367,ARTICULOS!$F$10:$F$699,0)</f>
        <v/>
      </c>
      <c r="C4367" s="86">
        <f>+VLOOKUP(B4367,ARTICULOS!$D$10:$I$699,6)</f>
        <v/>
      </c>
      <c r="D4367" s="212" t="n"/>
      <c r="E4367" s="75">
        <f>+C4367&amp;F4367</f>
        <v/>
      </c>
      <c r="F4367" s="80" t="n"/>
      <c r="G4367" s="81" t="n"/>
      <c r="H4367" s="78" t="n"/>
      <c r="I4367" s="78" t="n"/>
      <c r="J4367" s="78" t="n"/>
    </row>
    <row r="4368">
      <c r="A4368" s="84">
        <f>ROW()-6</f>
        <v/>
      </c>
      <c r="B4368" s="85">
        <f>+MATCH(D4368,ARTICULOS!$F$10:$F$699,0)</f>
        <v/>
      </c>
      <c r="C4368" s="86">
        <f>+VLOOKUP(B4368,ARTICULOS!$D$10:$I$699,6)</f>
        <v/>
      </c>
      <c r="D4368" s="212" t="n"/>
      <c r="E4368" s="75">
        <f>+C4368&amp;F4368</f>
        <v/>
      </c>
      <c r="F4368" s="80" t="n"/>
      <c r="G4368" s="81" t="n"/>
      <c r="H4368" s="78" t="n"/>
      <c r="I4368" s="78" t="n"/>
      <c r="J4368" s="78" t="n"/>
    </row>
    <row r="4369">
      <c r="A4369" s="84">
        <f>ROW()-6</f>
        <v/>
      </c>
      <c r="B4369" s="85">
        <f>+MATCH(D4369,ARTICULOS!$F$10:$F$699,0)</f>
        <v/>
      </c>
      <c r="C4369" s="86">
        <f>+VLOOKUP(B4369,ARTICULOS!$D$10:$I$699,6)</f>
        <v/>
      </c>
      <c r="D4369" s="212" t="n"/>
      <c r="E4369" s="75">
        <f>+C4369&amp;F4369</f>
        <v/>
      </c>
      <c r="F4369" s="80" t="n"/>
      <c r="G4369" s="81" t="n"/>
      <c r="H4369" s="78" t="n"/>
      <c r="I4369" s="78" t="n"/>
      <c r="J4369" s="78" t="n"/>
    </row>
    <row r="4370">
      <c r="A4370" s="84">
        <f>ROW()-6</f>
        <v/>
      </c>
      <c r="B4370" s="85">
        <f>+MATCH(D4370,ARTICULOS!$F$10:$F$699,0)</f>
        <v/>
      </c>
      <c r="C4370" s="86">
        <f>+VLOOKUP(B4370,ARTICULOS!$D$10:$I$699,6)</f>
        <v/>
      </c>
      <c r="D4370" s="212" t="n"/>
      <c r="E4370" s="75">
        <f>+C4370&amp;F4370</f>
        <v/>
      </c>
      <c r="F4370" s="80" t="n"/>
      <c r="G4370" s="81" t="n"/>
      <c r="H4370" s="78" t="n"/>
      <c r="I4370" s="78" t="n"/>
      <c r="J4370" s="78" t="n"/>
    </row>
    <row r="4371">
      <c r="A4371" s="84">
        <f>ROW()-6</f>
        <v/>
      </c>
      <c r="B4371" s="85">
        <f>+MATCH(D4371,ARTICULOS!$F$10:$F$699,0)</f>
        <v/>
      </c>
      <c r="C4371" s="86">
        <f>+VLOOKUP(B4371,ARTICULOS!$D$10:$I$699,6)</f>
        <v/>
      </c>
      <c r="D4371" s="212" t="n"/>
      <c r="E4371" s="75">
        <f>+C4371&amp;F4371</f>
        <v/>
      </c>
      <c r="F4371" s="80" t="n"/>
      <c r="G4371" s="81" t="n"/>
      <c r="H4371" s="78" t="n"/>
      <c r="I4371" s="78" t="n"/>
      <c r="J4371" s="78" t="n"/>
    </row>
    <row r="4372">
      <c r="A4372" s="84">
        <f>ROW()-6</f>
        <v/>
      </c>
      <c r="B4372" s="85">
        <f>+MATCH(D4372,ARTICULOS!$F$10:$F$699,0)</f>
        <v/>
      </c>
      <c r="C4372" s="86">
        <f>+VLOOKUP(B4372,ARTICULOS!$D$10:$I$699,6)</f>
        <v/>
      </c>
      <c r="D4372" s="212" t="n"/>
      <c r="E4372" s="75">
        <f>+C4372&amp;F4372</f>
        <v/>
      </c>
      <c r="F4372" s="80" t="n"/>
      <c r="G4372" s="81" t="n"/>
      <c r="H4372" s="78" t="n"/>
      <c r="I4372" s="78" t="n"/>
      <c r="J4372" s="78" t="n"/>
    </row>
    <row r="4373">
      <c r="A4373" s="84">
        <f>ROW()-6</f>
        <v/>
      </c>
      <c r="B4373" s="85">
        <f>+MATCH(D4373,ARTICULOS!$F$10:$F$699,0)</f>
        <v/>
      </c>
      <c r="C4373" s="86">
        <f>+VLOOKUP(B4373,ARTICULOS!$D$10:$I$699,6)</f>
        <v/>
      </c>
      <c r="D4373" s="212" t="n"/>
      <c r="E4373" s="75">
        <f>+C4373&amp;F4373</f>
        <v/>
      </c>
      <c r="F4373" s="80" t="n"/>
      <c r="G4373" s="81" t="n"/>
      <c r="H4373" s="78" t="n"/>
      <c r="I4373" s="78" t="n"/>
      <c r="J4373" s="78" t="n"/>
    </row>
    <row r="4374">
      <c r="A4374" s="84">
        <f>ROW()-6</f>
        <v/>
      </c>
      <c r="B4374" s="85">
        <f>+MATCH(D4374,ARTICULOS!$F$10:$F$699,0)</f>
        <v/>
      </c>
      <c r="C4374" s="86">
        <f>+VLOOKUP(B4374,ARTICULOS!$D$10:$I$699,6)</f>
        <v/>
      </c>
      <c r="D4374" s="212" t="n"/>
      <c r="E4374" s="75">
        <f>+C4374&amp;F4374</f>
        <v/>
      </c>
      <c r="F4374" s="80" t="n"/>
      <c r="G4374" s="81" t="n"/>
      <c r="H4374" s="78" t="n"/>
      <c r="I4374" s="78" t="n"/>
      <c r="J4374" s="78" t="n"/>
    </row>
    <row r="4375">
      <c r="A4375" s="84">
        <f>ROW()-6</f>
        <v/>
      </c>
      <c r="B4375" s="85">
        <f>+MATCH(D4375,ARTICULOS!$F$10:$F$699,0)</f>
        <v/>
      </c>
      <c r="C4375" s="86">
        <f>+VLOOKUP(B4375,ARTICULOS!$D$10:$I$699,6)</f>
        <v/>
      </c>
      <c r="D4375" s="212" t="n"/>
      <c r="E4375" s="75">
        <f>+C4375&amp;F4375</f>
        <v/>
      </c>
      <c r="F4375" s="80" t="n"/>
      <c r="G4375" s="81" t="n"/>
      <c r="H4375" s="78" t="n"/>
      <c r="I4375" s="78" t="n"/>
      <c r="J4375" s="78" t="n"/>
    </row>
    <row r="4376">
      <c r="A4376" s="84">
        <f>ROW()-6</f>
        <v/>
      </c>
      <c r="B4376" s="85">
        <f>+MATCH(D4376,ARTICULOS!$F$10:$F$699,0)</f>
        <v/>
      </c>
      <c r="C4376" s="86">
        <f>+VLOOKUP(B4376,ARTICULOS!$D$10:$I$699,6)</f>
        <v/>
      </c>
      <c r="D4376" s="212" t="n"/>
      <c r="E4376" s="75">
        <f>+C4376&amp;F4376</f>
        <v/>
      </c>
      <c r="F4376" s="80" t="n"/>
      <c r="G4376" s="81" t="n"/>
      <c r="H4376" s="78" t="n"/>
      <c r="I4376" s="78" t="n"/>
      <c r="J4376" s="78" t="n"/>
    </row>
    <row r="4377">
      <c r="A4377" s="84">
        <f>ROW()-6</f>
        <v/>
      </c>
      <c r="B4377" s="85">
        <f>+MATCH(D4377,ARTICULOS!$F$10:$F$699,0)</f>
        <v/>
      </c>
      <c r="C4377" s="86">
        <f>+VLOOKUP(B4377,ARTICULOS!$D$10:$I$699,6)</f>
        <v/>
      </c>
      <c r="D4377" s="212" t="n"/>
      <c r="E4377" s="75">
        <f>+C4377&amp;F4377</f>
        <v/>
      </c>
      <c r="F4377" s="80" t="n"/>
      <c r="G4377" s="81" t="n"/>
      <c r="H4377" s="78" t="n"/>
      <c r="I4377" s="78" t="n"/>
      <c r="J4377" s="78" t="n"/>
    </row>
    <row r="4378">
      <c r="A4378" s="84">
        <f>ROW()-6</f>
        <v/>
      </c>
      <c r="B4378" s="85">
        <f>+MATCH(D4378,ARTICULOS!$F$10:$F$699,0)</f>
        <v/>
      </c>
      <c r="C4378" s="86">
        <f>+VLOOKUP(B4378,ARTICULOS!$D$10:$I$699,6)</f>
        <v/>
      </c>
      <c r="D4378" s="212" t="n"/>
      <c r="E4378" s="75">
        <f>+C4378&amp;F4378</f>
        <v/>
      </c>
      <c r="F4378" s="80" t="n"/>
      <c r="G4378" s="81" t="n"/>
      <c r="H4378" s="78" t="n"/>
      <c r="I4378" s="78" t="n"/>
      <c r="J4378" s="78" t="n"/>
    </row>
    <row r="4379">
      <c r="A4379" s="84">
        <f>ROW()-6</f>
        <v/>
      </c>
      <c r="B4379" s="85">
        <f>+MATCH(D4379,ARTICULOS!$F$10:$F$699,0)</f>
        <v/>
      </c>
      <c r="C4379" s="86">
        <f>+VLOOKUP(B4379,ARTICULOS!$D$10:$I$699,6)</f>
        <v/>
      </c>
      <c r="D4379" s="212" t="n"/>
      <c r="E4379" s="75">
        <f>+C4379&amp;F4379</f>
        <v/>
      </c>
      <c r="F4379" s="80" t="n"/>
      <c r="G4379" s="81" t="n"/>
      <c r="H4379" s="78" t="n"/>
      <c r="I4379" s="78" t="n"/>
      <c r="J4379" s="78" t="n"/>
    </row>
    <row r="4380">
      <c r="A4380" s="84">
        <f>ROW()-6</f>
        <v/>
      </c>
      <c r="B4380" s="85">
        <f>+MATCH(D4380,ARTICULOS!$F$10:$F$699,0)</f>
        <v/>
      </c>
      <c r="C4380" s="86">
        <f>+VLOOKUP(B4380,ARTICULOS!$D$10:$I$699,6)</f>
        <v/>
      </c>
      <c r="D4380" s="212" t="n"/>
      <c r="E4380" s="75">
        <f>+C4380&amp;F4380</f>
        <v/>
      </c>
      <c r="F4380" s="80" t="n"/>
      <c r="G4380" s="81" t="n"/>
      <c r="H4380" s="78" t="n"/>
      <c r="I4380" s="78" t="n"/>
      <c r="J4380" s="78" t="n"/>
    </row>
    <row r="4381">
      <c r="A4381" s="84">
        <f>ROW()-6</f>
        <v/>
      </c>
      <c r="B4381" s="85">
        <f>+MATCH(D4381,ARTICULOS!$F$10:$F$699,0)</f>
        <v/>
      </c>
      <c r="C4381" s="86">
        <f>+VLOOKUP(B4381,ARTICULOS!$D$10:$I$699,6)</f>
        <v/>
      </c>
      <c r="D4381" s="212" t="n"/>
      <c r="E4381" s="75">
        <f>+C4381&amp;F4381</f>
        <v/>
      </c>
      <c r="F4381" s="80" t="n"/>
      <c r="G4381" s="81" t="n"/>
      <c r="H4381" s="78" t="n"/>
      <c r="I4381" s="78" t="n"/>
      <c r="J4381" s="78" t="n"/>
    </row>
    <row r="4382">
      <c r="A4382" s="84">
        <f>ROW()-6</f>
        <v/>
      </c>
      <c r="B4382" s="85">
        <f>+MATCH(D4382,ARTICULOS!$F$10:$F$699,0)</f>
        <v/>
      </c>
      <c r="C4382" s="86">
        <f>+VLOOKUP(B4382,ARTICULOS!$D$10:$I$699,6)</f>
        <v/>
      </c>
      <c r="D4382" s="212" t="n"/>
      <c r="E4382" s="75">
        <f>+C4382&amp;F4382</f>
        <v/>
      </c>
      <c r="F4382" s="80" t="n"/>
      <c r="G4382" s="81" t="n"/>
      <c r="H4382" s="78" t="n"/>
      <c r="I4382" s="78" t="n"/>
      <c r="J4382" s="78" t="n"/>
    </row>
    <row r="4383">
      <c r="A4383" s="84">
        <f>ROW()-6</f>
        <v/>
      </c>
      <c r="B4383" s="85">
        <f>+MATCH(D4383,ARTICULOS!$F$10:$F$699,0)</f>
        <v/>
      </c>
      <c r="C4383" s="86">
        <f>+VLOOKUP(B4383,ARTICULOS!$D$10:$I$699,6)</f>
        <v/>
      </c>
      <c r="D4383" s="212" t="n"/>
      <c r="E4383" s="75">
        <f>+C4383&amp;F4383</f>
        <v/>
      </c>
      <c r="F4383" s="80" t="n"/>
      <c r="G4383" s="81" t="n"/>
      <c r="H4383" s="78" t="n"/>
      <c r="I4383" s="78" t="n"/>
      <c r="J4383" s="78" t="n"/>
    </row>
    <row r="4384">
      <c r="A4384" s="84">
        <f>ROW()-6</f>
        <v/>
      </c>
      <c r="B4384" s="85">
        <f>+MATCH(D4384,ARTICULOS!$F$10:$F$699,0)</f>
        <v/>
      </c>
      <c r="C4384" s="86">
        <f>+VLOOKUP(B4384,ARTICULOS!$D$10:$I$699,6)</f>
        <v/>
      </c>
      <c r="D4384" s="212" t="n"/>
      <c r="E4384" s="75">
        <f>+C4384&amp;F4384</f>
        <v/>
      </c>
      <c r="F4384" s="80" t="n"/>
      <c r="G4384" s="81" t="n"/>
      <c r="H4384" s="78" t="n"/>
      <c r="I4384" s="78" t="n"/>
      <c r="J4384" s="78" t="n"/>
    </row>
    <row r="4385">
      <c r="A4385" s="84">
        <f>ROW()-6</f>
        <v/>
      </c>
      <c r="B4385" s="85">
        <f>+MATCH(D4385,ARTICULOS!$F$10:$F$699,0)</f>
        <v/>
      </c>
      <c r="C4385" s="86">
        <f>+VLOOKUP(B4385,ARTICULOS!$D$10:$I$699,6)</f>
        <v/>
      </c>
      <c r="D4385" s="212" t="n"/>
      <c r="E4385" s="75">
        <f>+C4385&amp;F4385</f>
        <v/>
      </c>
      <c r="F4385" s="80" t="n"/>
      <c r="G4385" s="81" t="n"/>
      <c r="H4385" s="78" t="n"/>
      <c r="I4385" s="78" t="n"/>
      <c r="J4385" s="78" t="n"/>
    </row>
    <row r="4386">
      <c r="A4386" s="84">
        <f>ROW()-6</f>
        <v/>
      </c>
      <c r="B4386" s="85">
        <f>+MATCH(D4386,ARTICULOS!$F$10:$F$699,0)</f>
        <v/>
      </c>
      <c r="C4386" s="86">
        <f>+VLOOKUP(B4386,ARTICULOS!$D$10:$I$699,6)</f>
        <v/>
      </c>
      <c r="D4386" s="212" t="n"/>
      <c r="E4386" s="75">
        <f>+C4386&amp;F4386</f>
        <v/>
      </c>
      <c r="F4386" s="80" t="n"/>
      <c r="G4386" s="81" t="n"/>
      <c r="H4386" s="78" t="n"/>
      <c r="I4386" s="78" t="n"/>
      <c r="J4386" s="78" t="n"/>
    </row>
    <row r="4387">
      <c r="A4387" s="84">
        <f>ROW()-6</f>
        <v/>
      </c>
      <c r="B4387" s="85">
        <f>+MATCH(D4387,ARTICULOS!$F$10:$F$699,0)</f>
        <v/>
      </c>
      <c r="C4387" s="86">
        <f>+VLOOKUP(B4387,ARTICULOS!$D$10:$I$699,6)</f>
        <v/>
      </c>
      <c r="D4387" s="212" t="n"/>
      <c r="E4387" s="75">
        <f>+C4387&amp;F4387</f>
        <v/>
      </c>
      <c r="F4387" s="80" t="n"/>
      <c r="G4387" s="81" t="n"/>
      <c r="H4387" s="78" t="n"/>
      <c r="I4387" s="78" t="n"/>
      <c r="J4387" s="78" t="n"/>
    </row>
    <row r="4388">
      <c r="A4388" s="84">
        <f>ROW()-6</f>
        <v/>
      </c>
      <c r="B4388" s="85">
        <f>+MATCH(D4388,ARTICULOS!$F$10:$F$699,0)</f>
        <v/>
      </c>
      <c r="C4388" s="86">
        <f>+VLOOKUP(B4388,ARTICULOS!$D$10:$I$699,6)</f>
        <v/>
      </c>
      <c r="D4388" s="212" t="n"/>
      <c r="E4388" s="75">
        <f>+C4388&amp;F4388</f>
        <v/>
      </c>
      <c r="F4388" s="80" t="n"/>
      <c r="G4388" s="81" t="n"/>
      <c r="H4388" s="78" t="n"/>
      <c r="I4388" s="78" t="n"/>
      <c r="J4388" s="78" t="n"/>
    </row>
    <row r="4389">
      <c r="A4389" s="84">
        <f>ROW()-6</f>
        <v/>
      </c>
      <c r="B4389" s="85">
        <f>+MATCH(D4389,ARTICULOS!$F$10:$F$699,0)</f>
        <v/>
      </c>
      <c r="C4389" s="86">
        <f>+VLOOKUP(B4389,ARTICULOS!$D$10:$I$699,6)</f>
        <v/>
      </c>
      <c r="D4389" s="212" t="n"/>
      <c r="E4389" s="75">
        <f>+C4389&amp;F4389</f>
        <v/>
      </c>
      <c r="F4389" s="80" t="n"/>
      <c r="G4389" s="81" t="n"/>
      <c r="H4389" s="78" t="n"/>
      <c r="I4389" s="78" t="n"/>
      <c r="J4389" s="78" t="n"/>
    </row>
    <row r="4390">
      <c r="A4390" s="84">
        <f>ROW()-6</f>
        <v/>
      </c>
      <c r="B4390" s="85">
        <f>+MATCH(D4390,ARTICULOS!$F$10:$F$699,0)</f>
        <v/>
      </c>
      <c r="C4390" s="86">
        <f>+VLOOKUP(B4390,ARTICULOS!$D$10:$I$699,6)</f>
        <v/>
      </c>
      <c r="D4390" s="212" t="n"/>
      <c r="E4390" s="75">
        <f>+C4390&amp;F4390</f>
        <v/>
      </c>
      <c r="F4390" s="80" t="n"/>
      <c r="G4390" s="81" t="n"/>
      <c r="H4390" s="78" t="n"/>
      <c r="I4390" s="78" t="n"/>
      <c r="J4390" s="78" t="n"/>
    </row>
    <row r="4391">
      <c r="A4391" s="84">
        <f>ROW()-6</f>
        <v/>
      </c>
      <c r="B4391" s="85">
        <f>+MATCH(D4391,ARTICULOS!$F$10:$F$699,0)</f>
        <v/>
      </c>
      <c r="C4391" s="86">
        <f>+VLOOKUP(B4391,ARTICULOS!$D$10:$I$699,6)</f>
        <v/>
      </c>
      <c r="D4391" s="212" t="n"/>
      <c r="E4391" s="75">
        <f>+C4391&amp;F4391</f>
        <v/>
      </c>
      <c r="F4391" s="80" t="n"/>
      <c r="G4391" s="81" t="n"/>
      <c r="H4391" s="78" t="n"/>
      <c r="I4391" s="78" t="n"/>
      <c r="J4391" s="78" t="n"/>
    </row>
    <row r="4392">
      <c r="A4392" s="84">
        <f>ROW()-6</f>
        <v/>
      </c>
      <c r="B4392" s="85">
        <f>+MATCH(D4392,ARTICULOS!$F$10:$F$699,0)</f>
        <v/>
      </c>
      <c r="C4392" s="86">
        <f>+VLOOKUP(B4392,ARTICULOS!$D$10:$I$699,6)</f>
        <v/>
      </c>
      <c r="D4392" s="212" t="n"/>
      <c r="E4392" s="75">
        <f>+C4392&amp;F4392</f>
        <v/>
      </c>
      <c r="F4392" s="80" t="n"/>
      <c r="G4392" s="81" t="n"/>
      <c r="H4392" s="78" t="n"/>
      <c r="I4392" s="78" t="n"/>
      <c r="J4392" s="78" t="n"/>
    </row>
    <row r="4393">
      <c r="A4393" s="84">
        <f>ROW()-6</f>
        <v/>
      </c>
      <c r="B4393" s="85">
        <f>+MATCH(D4393,ARTICULOS!$F$10:$F$699,0)</f>
        <v/>
      </c>
      <c r="C4393" s="86">
        <f>+VLOOKUP(B4393,ARTICULOS!$D$10:$I$699,6)</f>
        <v/>
      </c>
      <c r="D4393" s="212" t="n"/>
      <c r="E4393" s="75">
        <f>+C4393&amp;F4393</f>
        <v/>
      </c>
      <c r="F4393" s="80" t="n"/>
      <c r="G4393" s="81" t="n"/>
      <c r="H4393" s="78" t="n"/>
      <c r="I4393" s="78" t="n"/>
      <c r="J4393" s="78" t="n"/>
    </row>
    <row r="4394" ht="13.5" customHeight="1" thickBot="1">
      <c r="A4394" s="87">
        <f>ROW()-6</f>
        <v/>
      </c>
      <c r="B4394" s="88">
        <f>+MATCH(D4394,ARTICULOS!$F$10:$F$699,0)</f>
        <v/>
      </c>
      <c r="C4394" s="89">
        <f>+VLOOKUP(B4394,ARTICULOS!$D$10:$I$699,6)</f>
        <v/>
      </c>
      <c r="D4394" s="213" t="n"/>
      <c r="E4394" s="76">
        <f>+C4394&amp;F4394</f>
        <v/>
      </c>
      <c r="F4394" s="82" t="n"/>
      <c r="G4394" s="83" t="n"/>
      <c r="H4394" s="79" t="n"/>
      <c r="I4394" s="79" t="n"/>
      <c r="J4394" s="79" t="n"/>
    </row>
    <row r="64930">
      <c r="G64930" s="81" t="n"/>
    </row>
  </sheetData>
  <mergeCells count="1">
    <mergeCell ref="F6:G6"/>
  </mergeCells>
  <pageMargins left="0.75" right="0.75" top="1" bottom="1" header="0" footer="0"/>
  <pageSetup orientation="portrait" paperSize="9" horizontalDpi="4294967293" verticalDpi="300"/>
</worksheet>
</file>

<file path=xl/worksheets/sheet5.xml><?xml version="1.0" encoding="utf-8"?>
<worksheet xmlns="http://schemas.openxmlformats.org/spreadsheetml/2006/main">
  <sheetPr codeName="Hoja5">
    <outlinePr summaryBelow="1" summaryRight="1"/>
    <pageSetUpPr/>
  </sheetPr>
  <dimension ref="A1:F33"/>
  <sheetViews>
    <sheetView workbookViewId="0">
      <selection activeCell="F2" sqref="F2"/>
    </sheetView>
  </sheetViews>
  <sheetFormatPr baseColWidth="10" defaultRowHeight="12.75"/>
  <cols>
    <col width="20.28515625" customWidth="1" min="1" max="1"/>
    <col width="20.42578125" customWidth="1" min="2" max="2"/>
    <col width="15" bestFit="1" customWidth="1" min="3" max="3"/>
    <col width="17.28515625" customWidth="1" min="4" max="4"/>
    <col width="17.7109375" bestFit="1" customWidth="1" min="5" max="5"/>
    <col width="17.42578125" bestFit="1" customWidth="1" min="6" max="6"/>
  </cols>
  <sheetData>
    <row r="1">
      <c r="A1" t="inlineStr">
        <is>
          <t>ANCHO DEL TEJIDO</t>
        </is>
      </c>
      <c r="B1" t="inlineStr">
        <is>
          <t>ANCHO DEL MANTEL</t>
        </is>
      </c>
      <c r="C1" t="inlineStr">
        <is>
          <t>REF. EMPALME</t>
        </is>
      </c>
      <c r="D1" t="inlineStr">
        <is>
          <t>LARGO EMPALME</t>
        </is>
      </c>
      <c r="E1" t="inlineStr">
        <is>
          <t>ANCHO EMPALME</t>
        </is>
      </c>
      <c r="F1" t="inlineStr">
        <is>
          <t>AL ANCHO SALEN</t>
        </is>
      </c>
    </row>
    <row r="2">
      <c r="A2" t="n">
        <v>280</v>
      </c>
      <c r="B2" t="n">
        <v>300</v>
      </c>
      <c r="C2">
        <f>+A2&amp;B2</f>
        <v/>
      </c>
      <c r="D2" t="n">
        <v>110</v>
      </c>
      <c r="E2">
        <f>+B2-A2+2</f>
        <v/>
      </c>
      <c r="F2">
        <f>INT(A2/E2)</f>
        <v/>
      </c>
    </row>
    <row r="3">
      <c r="A3" t="n">
        <v>280</v>
      </c>
      <c r="B3" t="n">
        <v>305</v>
      </c>
      <c r="C3">
        <f>+A3&amp;B3</f>
        <v/>
      </c>
      <c r="D3" t="n">
        <v>160</v>
      </c>
      <c r="E3">
        <f>+B3-A3+2</f>
        <v/>
      </c>
      <c r="F3">
        <f>INT(A3/E3)</f>
        <v/>
      </c>
    </row>
    <row r="4">
      <c r="A4" t="n">
        <v>280</v>
      </c>
      <c r="B4" t="n">
        <v>310</v>
      </c>
      <c r="C4">
        <f>+A4&amp;B4</f>
        <v/>
      </c>
      <c r="D4" t="n">
        <v>170</v>
      </c>
      <c r="E4">
        <f>+B4-A4+2</f>
        <v/>
      </c>
      <c r="F4">
        <f>INT(A4/E4)</f>
        <v/>
      </c>
    </row>
    <row r="5">
      <c r="A5" t="n">
        <v>280</v>
      </c>
      <c r="B5" t="n">
        <v>315</v>
      </c>
      <c r="C5">
        <f>+A5&amp;B5</f>
        <v/>
      </c>
      <c r="D5" t="n">
        <v>190</v>
      </c>
      <c r="E5">
        <f>+B5-A5+2</f>
        <v/>
      </c>
      <c r="F5">
        <f>INT(A5/E5)</f>
        <v/>
      </c>
    </row>
    <row r="6">
      <c r="A6" t="n">
        <v>280</v>
      </c>
      <c r="B6" t="n">
        <v>320</v>
      </c>
      <c r="C6">
        <f>+A6&amp;B6</f>
        <v/>
      </c>
      <c r="D6" t="n">
        <v>200</v>
      </c>
      <c r="E6">
        <f>+B6-A6+2</f>
        <v/>
      </c>
      <c r="F6">
        <f>INT(A6/E6)</f>
        <v/>
      </c>
    </row>
    <row r="7">
      <c r="A7" t="n">
        <v>280</v>
      </c>
      <c r="B7" t="n">
        <v>325</v>
      </c>
      <c r="C7">
        <f>+A7&amp;B7</f>
        <v/>
      </c>
      <c r="D7" t="n">
        <v>230</v>
      </c>
      <c r="E7">
        <f>+B7-A7+2</f>
        <v/>
      </c>
      <c r="F7">
        <f>INT(A7/E7)</f>
        <v/>
      </c>
    </row>
    <row r="8">
      <c r="A8" t="n">
        <v>280</v>
      </c>
      <c r="B8" t="n">
        <v>330</v>
      </c>
      <c r="C8">
        <f>+A8&amp;B8</f>
        <v/>
      </c>
      <c r="D8" t="n">
        <v>245</v>
      </c>
      <c r="E8">
        <f>+B8-A8+2</f>
        <v/>
      </c>
      <c r="F8">
        <f>INT(A8/E8)</f>
        <v/>
      </c>
    </row>
    <row r="9">
      <c r="A9" t="n">
        <v>280</v>
      </c>
      <c r="B9" t="n">
        <v>335</v>
      </c>
      <c r="C9">
        <f>+A9&amp;B9</f>
        <v/>
      </c>
      <c r="D9" t="n">
        <v>260</v>
      </c>
      <c r="E9">
        <f>+B9-A9+2</f>
        <v/>
      </c>
      <c r="F9">
        <f>INT(A9/E9)</f>
        <v/>
      </c>
    </row>
    <row r="10">
      <c r="A10" t="n">
        <v>280</v>
      </c>
      <c r="B10" t="n">
        <v>340</v>
      </c>
      <c r="C10">
        <f>+A10&amp;B10</f>
        <v/>
      </c>
      <c r="D10" t="n">
        <v>265</v>
      </c>
      <c r="E10">
        <f>+B10-A10+2</f>
        <v/>
      </c>
      <c r="F10">
        <f>INT(A10/E10)</f>
        <v/>
      </c>
    </row>
    <row r="11">
      <c r="A11" t="n">
        <v>280</v>
      </c>
      <c r="B11" t="n">
        <v>345</v>
      </c>
      <c r="C11">
        <f>+A11&amp;B11</f>
        <v/>
      </c>
      <c r="D11" t="n">
        <v>290</v>
      </c>
      <c r="E11">
        <f>+B11-A11+2</f>
        <v/>
      </c>
      <c r="F11">
        <f>INT(A11/E11)</f>
        <v/>
      </c>
    </row>
    <row r="12">
      <c r="A12" t="n">
        <v>280</v>
      </c>
      <c r="B12" t="n">
        <v>350</v>
      </c>
      <c r="C12">
        <f>+A12&amp;B12</f>
        <v/>
      </c>
      <c r="D12" t="n">
        <v>295</v>
      </c>
      <c r="E12">
        <f>+B12-A12+2</f>
        <v/>
      </c>
      <c r="F12">
        <f>INT(A12/E12)</f>
        <v/>
      </c>
    </row>
    <row r="13">
      <c r="A13" t="n">
        <v>280</v>
      </c>
      <c r="B13" t="n">
        <v>360</v>
      </c>
      <c r="C13">
        <f>+A13&amp;B13</f>
        <v/>
      </c>
      <c r="D13" t="n">
        <v>300</v>
      </c>
      <c r="E13">
        <f>+B13-A13+2</f>
        <v/>
      </c>
      <c r="F13">
        <f>INT(A13/E13)</f>
        <v/>
      </c>
    </row>
    <row r="14">
      <c r="A14" t="n">
        <v>280</v>
      </c>
      <c r="B14" t="n">
        <v>365</v>
      </c>
      <c r="C14">
        <f>+A14&amp;B14</f>
        <v/>
      </c>
      <c r="D14" t="n">
        <v>305</v>
      </c>
      <c r="E14">
        <f>+B14-A14+2</f>
        <v/>
      </c>
      <c r="F14">
        <f>INT(A14/E14)</f>
        <v/>
      </c>
    </row>
    <row r="15">
      <c r="A15" t="n">
        <v>300</v>
      </c>
      <c r="B15" t="n">
        <v>310</v>
      </c>
      <c r="C15">
        <f>+A15&amp;B15</f>
        <v/>
      </c>
      <c r="D15" t="n">
        <v>115</v>
      </c>
      <c r="E15">
        <f>+B15-A15+2</f>
        <v/>
      </c>
      <c r="F15">
        <f>INT(A15/E15)</f>
        <v/>
      </c>
    </row>
    <row r="16">
      <c r="A16" t="n">
        <v>300</v>
      </c>
      <c r="B16" t="n">
        <v>315</v>
      </c>
      <c r="C16">
        <f>+A16&amp;B16</f>
        <v/>
      </c>
      <c r="D16" t="n">
        <v>165</v>
      </c>
      <c r="E16">
        <f>+B16-A16+2</f>
        <v/>
      </c>
      <c r="F16">
        <f>INT(A16/E16)</f>
        <v/>
      </c>
    </row>
    <row r="17">
      <c r="A17" t="n">
        <v>300</v>
      </c>
      <c r="B17" t="n">
        <v>320</v>
      </c>
      <c r="C17">
        <f>+A17&amp;B17</f>
        <v/>
      </c>
      <c r="D17" t="n">
        <v>170</v>
      </c>
      <c r="E17">
        <f>+B17-A17+2</f>
        <v/>
      </c>
      <c r="F17">
        <f>INT(A17/E17)</f>
        <v/>
      </c>
    </row>
    <row r="18">
      <c r="A18" t="n">
        <v>300</v>
      </c>
      <c r="B18" t="n">
        <v>325</v>
      </c>
      <c r="C18">
        <f>+A18&amp;B18</f>
        <v/>
      </c>
      <c r="D18" t="n">
        <v>200</v>
      </c>
      <c r="E18">
        <f>+B18-A18+2</f>
        <v/>
      </c>
      <c r="F18">
        <f>INT(A18/E18)</f>
        <v/>
      </c>
    </row>
    <row r="19">
      <c r="A19" t="n">
        <v>300</v>
      </c>
      <c r="B19" t="n">
        <v>330</v>
      </c>
      <c r="C19">
        <f>+A19&amp;B19</f>
        <v/>
      </c>
      <c r="D19" t="n">
        <v>205</v>
      </c>
      <c r="E19">
        <f>+B19-A19+2</f>
        <v/>
      </c>
      <c r="F19">
        <f>INT(A19/E19)</f>
        <v/>
      </c>
    </row>
    <row r="20">
      <c r="A20" t="n">
        <v>300</v>
      </c>
      <c r="B20" t="n">
        <v>335</v>
      </c>
      <c r="C20">
        <f>+A20&amp;B20</f>
        <v/>
      </c>
      <c r="D20" t="n">
        <v>240</v>
      </c>
      <c r="E20">
        <f>+B20-A20+2</f>
        <v/>
      </c>
      <c r="F20">
        <f>INT(A20/E20)</f>
        <v/>
      </c>
    </row>
    <row r="21">
      <c r="A21" t="n">
        <v>300</v>
      </c>
      <c r="B21" t="n">
        <v>340</v>
      </c>
      <c r="C21">
        <f>+A21&amp;B21</f>
        <v/>
      </c>
      <c r="D21" t="n">
        <v>245</v>
      </c>
      <c r="E21">
        <f>+B21-A21+2</f>
        <v/>
      </c>
      <c r="F21">
        <f>INT(A21/E21)</f>
        <v/>
      </c>
    </row>
    <row r="22">
      <c r="A22" t="n">
        <v>300</v>
      </c>
      <c r="B22" t="n">
        <v>345</v>
      </c>
      <c r="C22">
        <f>+A22&amp;B22</f>
        <v/>
      </c>
      <c r="D22" t="n">
        <v>280</v>
      </c>
      <c r="E22">
        <f>+B22-A22+2</f>
        <v/>
      </c>
      <c r="F22">
        <f>INT(A22/E22)</f>
        <v/>
      </c>
    </row>
    <row r="23">
      <c r="A23" t="n">
        <v>300</v>
      </c>
      <c r="B23" t="n">
        <v>350</v>
      </c>
      <c r="C23">
        <f>+A23&amp;B23</f>
        <v/>
      </c>
      <c r="D23" t="n">
        <v>285</v>
      </c>
      <c r="E23">
        <f>+B23-A23+2</f>
        <v/>
      </c>
      <c r="F23">
        <f>INT(A23/E23)</f>
        <v/>
      </c>
    </row>
    <row r="24">
      <c r="A24" t="n">
        <v>310</v>
      </c>
      <c r="B24" t="n">
        <v>380</v>
      </c>
      <c r="C24">
        <f>+A24&amp;B24</f>
        <v/>
      </c>
      <c r="D24" t="n">
        <v>290</v>
      </c>
      <c r="E24">
        <f>+B24-A24+2</f>
        <v/>
      </c>
      <c r="F24">
        <f>INT(A24/E24)</f>
        <v/>
      </c>
    </row>
    <row r="25">
      <c r="A25" t="n">
        <v>310</v>
      </c>
      <c r="B25" t="n">
        <v>400</v>
      </c>
      <c r="C25">
        <f>+A25&amp;B25</f>
        <v/>
      </c>
      <c r="D25" t="n">
        <v>270</v>
      </c>
      <c r="E25">
        <f>+B25-A25+2</f>
        <v/>
      </c>
      <c r="F25">
        <f>INT(A25/E25)</f>
        <v/>
      </c>
    </row>
    <row r="26">
      <c r="A26" t="n">
        <v>320</v>
      </c>
      <c r="B26" t="n">
        <v>330</v>
      </c>
      <c r="C26">
        <f>+A26&amp;B26</f>
        <v/>
      </c>
      <c r="D26" t="n">
        <v>170</v>
      </c>
      <c r="E26">
        <f>+B26-A26+2</f>
        <v/>
      </c>
      <c r="F26">
        <f>INT(A26/E26)</f>
        <v/>
      </c>
    </row>
    <row r="27">
      <c r="A27" t="n">
        <v>320</v>
      </c>
      <c r="B27" t="n">
        <v>335</v>
      </c>
      <c r="C27">
        <f>+A27&amp;B27</f>
        <v/>
      </c>
      <c r="D27" t="n">
        <v>210</v>
      </c>
      <c r="E27">
        <f>+B27-A27+2</f>
        <v/>
      </c>
      <c r="F27">
        <f>INT(A27/E27)</f>
        <v/>
      </c>
    </row>
    <row r="28">
      <c r="A28" t="n">
        <v>320</v>
      </c>
      <c r="B28" t="n">
        <v>340</v>
      </c>
      <c r="C28">
        <f>+A28&amp;B28</f>
        <v/>
      </c>
      <c r="D28" t="n">
        <v>215</v>
      </c>
      <c r="E28">
        <f>+B28-A28+2</f>
        <v/>
      </c>
      <c r="F28">
        <f>INT(A28/E28)</f>
        <v/>
      </c>
    </row>
    <row r="29">
      <c r="A29" t="n">
        <v>320</v>
      </c>
      <c r="B29" t="n">
        <v>345</v>
      </c>
      <c r="C29">
        <f>+A29&amp;B29</f>
        <v/>
      </c>
      <c r="D29" t="n">
        <v>250</v>
      </c>
      <c r="E29">
        <f>+B29-A29+2</f>
        <v/>
      </c>
      <c r="F29">
        <f>INT(A29/E29)</f>
        <v/>
      </c>
    </row>
    <row r="30">
      <c r="A30" t="n">
        <v>320</v>
      </c>
      <c r="B30" t="n">
        <v>350</v>
      </c>
      <c r="C30">
        <f>+A30&amp;B30</f>
        <v/>
      </c>
      <c r="D30" t="n">
        <v>255</v>
      </c>
      <c r="E30">
        <f>+B30-A30+2</f>
        <v/>
      </c>
      <c r="F30">
        <f>INT(A30/E30)</f>
        <v/>
      </c>
    </row>
    <row r="31">
      <c r="A31" t="n">
        <v>330</v>
      </c>
      <c r="B31" t="n">
        <v>340</v>
      </c>
      <c r="C31">
        <f>+A31&amp;B31</f>
        <v/>
      </c>
      <c r="D31" t="n">
        <v>230</v>
      </c>
      <c r="E31">
        <f>+B31-A31+2</f>
        <v/>
      </c>
      <c r="F31">
        <f>INT(A31/E31)</f>
        <v/>
      </c>
    </row>
    <row r="32">
      <c r="A32" t="n">
        <v>330</v>
      </c>
      <c r="B32" t="n">
        <v>345</v>
      </c>
      <c r="C32">
        <f>+A32&amp;B32</f>
        <v/>
      </c>
      <c r="D32" t="n">
        <v>270</v>
      </c>
      <c r="E32">
        <f>+B32-A32+2</f>
        <v/>
      </c>
      <c r="F32">
        <f>INT(A32/E32)</f>
        <v/>
      </c>
    </row>
    <row r="33">
      <c r="A33" t="n">
        <v>330</v>
      </c>
      <c r="B33" t="n">
        <v>350</v>
      </c>
      <c r="C33">
        <f>+A33&amp;B33</f>
        <v/>
      </c>
      <c r="D33" t="n">
        <v>275</v>
      </c>
      <c r="E33">
        <f>+B33-A33+2</f>
        <v/>
      </c>
      <c r="F33">
        <f>INT(A33/E33)</f>
        <v/>
      </c>
    </row>
  </sheetData>
  <pageMargins left="0.75" right="0.75" top="1" bottom="1" header="0" footer="0"/>
</worksheet>
</file>

<file path=xl/worksheets/sheet6.xml><?xml version="1.0" encoding="utf-8"?>
<worksheet xmlns="http://schemas.openxmlformats.org/spreadsheetml/2006/main">
  <sheetPr codeName="Hoja6">
    <outlinePr summaryBelow="1" summaryRight="1"/>
    <pageSetUpPr/>
  </sheetPr>
  <dimension ref="A2:AJ668"/>
  <sheetViews>
    <sheetView workbookViewId="0">
      <selection activeCell="C5" sqref="C5"/>
    </sheetView>
  </sheetViews>
  <sheetFormatPr baseColWidth="10" defaultRowHeight="12.75"/>
  <cols>
    <col width="11.42578125" customWidth="1" style="6" min="1" max="2"/>
    <col width="8.7109375" customWidth="1" style="6" min="3" max="16"/>
    <col width="11.42578125" customWidth="1" style="6" min="17" max="16384"/>
  </cols>
  <sheetData>
    <row r="2" ht="25.5" customHeight="1">
      <c r="B2" s="323" t="inlineStr">
        <is>
          <t>TARIFA DE CONFECCIÓN 2003</t>
        </is>
      </c>
    </row>
    <row r="4" ht="13.5" customHeight="1">
      <c r="B4" s="7" t="inlineStr">
        <is>
          <t>METROS</t>
        </is>
      </c>
      <c r="C4" s="8" t="n">
        <v>0.5</v>
      </c>
      <c r="D4" s="8">
        <f>C4+0.5</f>
        <v/>
      </c>
      <c r="E4" s="8">
        <f>D4+0.5</f>
        <v/>
      </c>
      <c r="F4" s="8">
        <f>E4+0.5</f>
        <v/>
      </c>
      <c r="G4" s="8">
        <f>F4+0.5</f>
        <v/>
      </c>
      <c r="H4" s="8">
        <f>G4+0.5</f>
        <v/>
      </c>
      <c r="I4" s="8">
        <f>H4+0.5</f>
        <v/>
      </c>
      <c r="J4" s="8">
        <f>I4+0.5</f>
        <v/>
      </c>
      <c r="K4" s="8">
        <f>J4+0.5</f>
        <v/>
      </c>
      <c r="L4" s="8">
        <f>K4+0.5</f>
        <v/>
      </c>
      <c r="M4" s="8">
        <f>L4+0.5</f>
        <v/>
      </c>
      <c r="N4" s="8">
        <f>M4+0.5</f>
        <v/>
      </c>
      <c r="O4" s="8">
        <f>N4+0.5</f>
        <v/>
      </c>
      <c r="P4" s="8">
        <f>O4+0.5</f>
        <v/>
      </c>
    </row>
    <row r="5" ht="18" customHeight="1">
      <c r="B5" s="8" t="n">
        <v>0.5</v>
      </c>
      <c r="C5" s="9">
        <f>0.36*(1+3.5%)</f>
        <v/>
      </c>
      <c r="D5" s="9">
        <f>0.45*(1+3.5%)</f>
        <v/>
      </c>
      <c r="E5" s="9">
        <f>0.54*(1+3.5%)</f>
        <v/>
      </c>
      <c r="F5" s="9">
        <f>0.63*(1+3.5%)</f>
        <v/>
      </c>
      <c r="G5" s="9">
        <f>0.72*(1+3.5%)</f>
        <v/>
      </c>
      <c r="H5" s="9">
        <f>0.81*(1+3.5%)</f>
        <v/>
      </c>
      <c r="I5" s="9">
        <f>0.9*(1+3.5%)</f>
        <v/>
      </c>
      <c r="J5" s="9">
        <f>1*(1+3.5%)</f>
        <v/>
      </c>
      <c r="K5" s="9">
        <f>1.08*(1+3.5%)</f>
        <v/>
      </c>
      <c r="L5" s="9">
        <f>1.17*(1+3.5%)</f>
        <v/>
      </c>
      <c r="M5" s="9">
        <f>1.26*(1+3.5%)</f>
        <v/>
      </c>
      <c r="N5" s="9">
        <f>1.35*(1+3.5%)</f>
        <v/>
      </c>
      <c r="O5" s="9">
        <f>1.44*(1+3.5%)</f>
        <v/>
      </c>
      <c r="P5" s="9">
        <f>1.53*(1+3.5%)</f>
        <v/>
      </c>
    </row>
    <row r="6" ht="13.5" customHeight="1">
      <c r="B6" s="8">
        <f>B5+0.5</f>
        <v/>
      </c>
      <c r="C6" s="9">
        <f>0.45*(1+3.5%)</f>
        <v/>
      </c>
      <c r="D6" s="9">
        <f>0.54*(1+3.5%)</f>
        <v/>
      </c>
      <c r="E6" s="9">
        <f>0.63*(1+3.5%)</f>
        <v/>
      </c>
      <c r="F6" s="9">
        <f>0.72*(1+3.5%)</f>
        <v/>
      </c>
      <c r="G6" s="9">
        <f>0.81*(1+3.5%)</f>
        <v/>
      </c>
      <c r="H6" s="9">
        <f>0.9*(1+3.5%)</f>
        <v/>
      </c>
      <c r="I6" s="9">
        <f>1*(1+3.5%)</f>
        <v/>
      </c>
      <c r="J6" s="9">
        <f>1.08*(1+3.5%)</f>
        <v/>
      </c>
      <c r="K6" s="9">
        <f>1.17*(1+3.5%)</f>
        <v/>
      </c>
      <c r="L6" s="9">
        <f>1.26*(1+3.5%)</f>
        <v/>
      </c>
      <c r="M6" s="9">
        <f>1.35*(1+3.5%)</f>
        <v/>
      </c>
      <c r="N6" s="9">
        <f>1.44*(1+3.5%)</f>
        <v/>
      </c>
      <c r="O6" s="9">
        <f>1.53*(1+3.5%)</f>
        <v/>
      </c>
      <c r="P6" s="9">
        <f>1.62*(1+3.5%)</f>
        <v/>
      </c>
    </row>
    <row r="7" ht="13.5" customHeight="1">
      <c r="B7" s="8">
        <f>B6+0.5</f>
        <v/>
      </c>
      <c r="C7" s="9">
        <f>0.54*(1+3.5%)</f>
        <v/>
      </c>
      <c r="D7" s="9">
        <f>0.63*(1+3.5%)</f>
        <v/>
      </c>
      <c r="E7" s="9">
        <f>0.72*(1+3.5%)</f>
        <v/>
      </c>
      <c r="F7" s="9">
        <f>0.81*(1+3.5%)</f>
        <v/>
      </c>
      <c r="G7" s="9">
        <f>0.9*(1+3.5%)</f>
        <v/>
      </c>
      <c r="H7" s="9">
        <f>1*(1+3.5%)</f>
        <v/>
      </c>
      <c r="I7" s="9">
        <f>1.08*(1+3.5%)</f>
        <v/>
      </c>
      <c r="J7" s="9">
        <f>1.17*(1+3.5%)</f>
        <v/>
      </c>
      <c r="K7" s="9">
        <f>1.26*(1+3.5%)</f>
        <v/>
      </c>
      <c r="L7" s="9">
        <f>1.35*(1+3.5%)</f>
        <v/>
      </c>
      <c r="M7" s="9">
        <f>1.44*(1+3.5%)</f>
        <v/>
      </c>
      <c r="N7" s="9">
        <f>1.53*(1+3.5%)</f>
        <v/>
      </c>
      <c r="O7" s="9">
        <f>1.62*(1+3.5%)</f>
        <v/>
      </c>
      <c r="P7" s="9">
        <f>1.71*(1+3.5%)</f>
        <v/>
      </c>
    </row>
    <row r="8" ht="13.5" customHeight="1">
      <c r="B8" s="8">
        <f>B7+0.5</f>
        <v/>
      </c>
      <c r="C8" s="9">
        <f>0.63*(1+3.5%)</f>
        <v/>
      </c>
      <c r="D8" s="9">
        <f>0.72*(1+3.5%)</f>
        <v/>
      </c>
      <c r="E8" s="9">
        <f>0.81*(1+3.5%)</f>
        <v/>
      </c>
      <c r="F8" s="9">
        <f>0.9*(1+3.5%)</f>
        <v/>
      </c>
      <c r="G8" s="9">
        <f>1*(1+3.5%)</f>
        <v/>
      </c>
      <c r="H8" s="9">
        <f>1.08*(1+3.5%)</f>
        <v/>
      </c>
      <c r="I8" s="9">
        <f>1.17*(1+3.5%)</f>
        <v/>
      </c>
      <c r="J8" s="9">
        <f>1.26*(1+3.5%)</f>
        <v/>
      </c>
      <c r="K8" s="9">
        <f>1.35*(1+3.5%)</f>
        <v/>
      </c>
      <c r="L8" s="9">
        <f>1.44*(1+3.5%)</f>
        <v/>
      </c>
      <c r="M8" s="9">
        <f>1.53*(1+3.5%)</f>
        <v/>
      </c>
      <c r="N8" s="9">
        <f>1.62*(1+3.5%)</f>
        <v/>
      </c>
      <c r="O8" s="9">
        <f>1.71*(1+3.5%)</f>
        <v/>
      </c>
      <c r="P8" s="9">
        <f>1.8*(1+3.5%)</f>
        <v/>
      </c>
    </row>
    <row r="9" ht="13.5" customHeight="1">
      <c r="B9" s="8">
        <f>B8+0.5</f>
        <v/>
      </c>
      <c r="C9" s="9">
        <f>0.72*(1+3.5%)</f>
        <v/>
      </c>
      <c r="D9" s="9">
        <f>0.81*(1+3.5%)</f>
        <v/>
      </c>
      <c r="E9" s="9">
        <f>0.9*(1+3.5%)</f>
        <v/>
      </c>
      <c r="F9" s="9">
        <f>1*(1+3.5%)</f>
        <v/>
      </c>
      <c r="G9" s="9">
        <f>1.08*(1+3.5%)</f>
        <v/>
      </c>
      <c r="H9" s="9">
        <f>1.17*(1+3.5%)</f>
        <v/>
      </c>
      <c r="I9" s="9">
        <f>1.26*(1+3.5%)</f>
        <v/>
      </c>
      <c r="J9" s="9">
        <f>1.35*(1+3.5%)</f>
        <v/>
      </c>
      <c r="K9" s="9">
        <f>1.44*(1+3.5%)</f>
        <v/>
      </c>
      <c r="L9" s="9">
        <f>1.53*(1+3.5%)</f>
        <v/>
      </c>
      <c r="M9" s="9">
        <f>1.62*(1+3.5%)</f>
        <v/>
      </c>
      <c r="N9" s="9">
        <f>1.71*(1+3.5%)</f>
        <v/>
      </c>
      <c r="O9" s="9">
        <f>1.8*(1+3.5%)</f>
        <v/>
      </c>
      <c r="P9" s="9">
        <f>1.89*(1+3.5%)</f>
        <v/>
      </c>
    </row>
    <row r="10" ht="13.5" customHeight="1">
      <c r="B10" s="8">
        <f>B9+0.5</f>
        <v/>
      </c>
      <c r="C10" s="9">
        <f>0.81*(1+3.5%)</f>
        <v/>
      </c>
      <c r="D10" s="9">
        <f>0.9*(1+3.5%)</f>
        <v/>
      </c>
      <c r="E10" s="9">
        <f>1*(1+3.5%)</f>
        <v/>
      </c>
      <c r="F10" s="9">
        <f>1.08*(1+3.5%)</f>
        <v/>
      </c>
      <c r="G10" s="9">
        <f>1.17*(1+3.5%)</f>
        <v/>
      </c>
      <c r="H10" s="9">
        <f>1.26*(1+3.5%)</f>
        <v/>
      </c>
      <c r="I10" s="9">
        <f>1.35*(1+3.5%)</f>
        <v/>
      </c>
      <c r="J10" s="9">
        <f>1.44*(1+3.5%)</f>
        <v/>
      </c>
      <c r="K10" s="9">
        <f>1.53*(1+3.5%)</f>
        <v/>
      </c>
      <c r="L10" s="9">
        <f>1.62*(1+3.5%)</f>
        <v/>
      </c>
      <c r="M10" s="9">
        <f>1.71*(1+3.5%)</f>
        <v/>
      </c>
      <c r="N10" s="9">
        <f>1.8*(1+3.5%)</f>
        <v/>
      </c>
      <c r="O10" s="9">
        <f>1.89*(1+3.5%)</f>
        <v/>
      </c>
      <c r="P10" s="9">
        <f>1.98*(1+3.5%)</f>
        <v/>
      </c>
    </row>
    <row r="11" ht="13.5" customHeight="1">
      <c r="B11" s="8">
        <f>B10+0.5</f>
        <v/>
      </c>
      <c r="C11" s="9">
        <f>0.9*(1+3.5%)</f>
        <v/>
      </c>
      <c r="D11" s="9">
        <f>1*(1+3.5%)</f>
        <v/>
      </c>
      <c r="E11" s="9">
        <f>1.08*(1+3.5%)</f>
        <v/>
      </c>
      <c r="F11" s="9">
        <f>1.17*(1+3.5%)</f>
        <v/>
      </c>
      <c r="G11" s="9">
        <f>1.26*(1+3.5%)</f>
        <v/>
      </c>
      <c r="H11" s="9">
        <f>1.35*(1+3.5%)</f>
        <v/>
      </c>
      <c r="I11" s="9">
        <f>1.44*(1+3.5%)</f>
        <v/>
      </c>
      <c r="J11" s="9">
        <f>1.53*(1+3.5%)</f>
        <v/>
      </c>
      <c r="K11" s="9">
        <f>1.62*(1+3.5%)</f>
        <v/>
      </c>
      <c r="L11" s="9">
        <f>1.71*(1+3.5%)</f>
        <v/>
      </c>
      <c r="M11" s="9">
        <f>1.8*(1+3.5%)</f>
        <v/>
      </c>
      <c r="N11" s="9">
        <f>1.89*(1+3.5%)</f>
        <v/>
      </c>
      <c r="O11" s="9">
        <f>1.98*(1+3.5%)</f>
        <v/>
      </c>
      <c r="P11" s="9">
        <f>2.07*(1+3.5%)</f>
        <v/>
      </c>
    </row>
    <row r="12" ht="13.5" customHeight="1">
      <c r="B12" s="8">
        <f>B11+0.5</f>
        <v/>
      </c>
      <c r="C12" s="9">
        <f>1*(1+3.5%)</f>
        <v/>
      </c>
      <c r="D12" s="9">
        <f>1.08*(1+3.5%)</f>
        <v/>
      </c>
      <c r="E12" s="9">
        <f>1.17*(1+3.5%)</f>
        <v/>
      </c>
      <c r="F12" s="9">
        <f>1.26*(1+3.5%)</f>
        <v/>
      </c>
      <c r="G12" s="9">
        <f>1.35*(1+3.5%)</f>
        <v/>
      </c>
      <c r="H12" s="9">
        <f>1.44*(1+3.5%)</f>
        <v/>
      </c>
      <c r="I12" s="9">
        <f>1.53*(1+3.5%)</f>
        <v/>
      </c>
      <c r="J12" s="9">
        <f>1.62*(1+3.5%)</f>
        <v/>
      </c>
      <c r="K12" s="9">
        <f>1.71*(1+3.5%)</f>
        <v/>
      </c>
      <c r="L12" s="9">
        <f>1.8*(1+3.5%)</f>
        <v/>
      </c>
      <c r="M12" s="9">
        <f>1.89*(1+3.5%)</f>
        <v/>
      </c>
      <c r="N12" s="9">
        <f>1.98*(1+3.5%)</f>
        <v/>
      </c>
      <c r="O12" s="9">
        <f>2.07*(1+3.5%)</f>
        <v/>
      </c>
      <c r="P12" s="9">
        <f>2.16*(1+3.5%)</f>
        <v/>
      </c>
    </row>
    <row r="13"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</row>
    <row r="15" ht="13.5" customHeight="1">
      <c r="B15" s="11" t="inlineStr">
        <is>
          <t>Los precios de la confección con dobladillo a dos centímetros, son los anteriores multiplicados por dos</t>
        </is>
      </c>
    </row>
    <row r="17" ht="13.5" customFormat="1" customHeight="1" s="12">
      <c r="B17" s="12" t="inlineStr">
        <is>
          <t>Nº Fila</t>
        </is>
      </c>
      <c r="C17" s="12" t="n">
        <v>1</v>
      </c>
      <c r="D17" s="12" t="n">
        <v>50</v>
      </c>
      <c r="E17" s="12" t="n">
        <v>51</v>
      </c>
      <c r="F17" s="12" t="n">
        <v>100</v>
      </c>
      <c r="G17" s="12" t="n">
        <v>101</v>
      </c>
      <c r="H17" s="12" t="n">
        <v>150</v>
      </c>
      <c r="I17" s="12" t="n">
        <v>151</v>
      </c>
      <c r="J17" s="12" t="n">
        <v>200</v>
      </c>
      <c r="K17" s="12" t="n">
        <v>201</v>
      </c>
      <c r="L17" s="12" t="n">
        <v>250</v>
      </c>
      <c r="M17" s="12" t="n">
        <v>251</v>
      </c>
      <c r="N17" s="12" t="n">
        <v>300</v>
      </c>
      <c r="O17" s="12" t="n">
        <v>301</v>
      </c>
      <c r="P17" s="12" t="n">
        <v>350</v>
      </c>
      <c r="Q17" s="12" t="n">
        <v>351</v>
      </c>
      <c r="R17" s="12" t="n">
        <v>400</v>
      </c>
      <c r="S17" s="12" t="n">
        <v>401</v>
      </c>
      <c r="T17" s="12" t="n">
        <v>450</v>
      </c>
      <c r="U17" s="12" t="n">
        <v>451</v>
      </c>
      <c r="V17" s="12" t="n">
        <v>500</v>
      </c>
      <c r="W17" s="12" t="n">
        <v>501</v>
      </c>
      <c r="X17" s="12" t="n">
        <v>550</v>
      </c>
      <c r="Y17" s="12" t="n">
        <v>551</v>
      </c>
      <c r="Z17" s="12" t="n">
        <v>600</v>
      </c>
      <c r="AA17" s="12" t="n">
        <v>601</v>
      </c>
      <c r="AB17" s="12" t="n">
        <v>650</v>
      </c>
      <c r="AC17" s="12" t="n">
        <v>651</v>
      </c>
      <c r="AD17" s="12" t="n">
        <v>700</v>
      </c>
    </row>
    <row r="18" ht="13.5" customFormat="1" customHeight="1" s="12">
      <c r="A18" s="13" t="n">
        <v>1</v>
      </c>
      <c r="B18" s="13">
        <f>ROW(A18)</f>
        <v/>
      </c>
      <c r="C18" s="71">
        <f>0.36*(1+3.5%)</f>
        <v/>
      </c>
      <c r="D18" s="71">
        <f>0.36*(1+3.5%)</f>
        <v/>
      </c>
      <c r="E18" s="71">
        <f>0.45*(1+3.5%)</f>
        <v/>
      </c>
      <c r="F18" s="71">
        <f>0.45*(1+3.5%)</f>
        <v/>
      </c>
      <c r="G18" s="6" t="n">
        <v>0.54</v>
      </c>
      <c r="H18" s="71">
        <f>0.54*(1+3.5%)</f>
        <v/>
      </c>
      <c r="I18" s="71">
        <f>0.63*(1+3.5%)</f>
        <v/>
      </c>
      <c r="J18" s="71">
        <f>0.63*(1+3.5%)</f>
        <v/>
      </c>
      <c r="K18" s="71">
        <f>0.72*(1+3.5%)</f>
        <v/>
      </c>
      <c r="L18" s="71">
        <f>0.72*(1+3.5%)</f>
        <v/>
      </c>
      <c r="M18" s="71">
        <f>0.81*(1+3.5%)</f>
        <v/>
      </c>
      <c r="N18" s="71">
        <f>0.81*(1+3.5%)</f>
        <v/>
      </c>
      <c r="O18" s="71">
        <f>0.9*(1+3.5%)</f>
        <v/>
      </c>
      <c r="P18" s="71">
        <f>0.9*(1+3.5%)</f>
        <v/>
      </c>
      <c r="Q18" s="71">
        <f>1*(1+3.5%)</f>
        <v/>
      </c>
      <c r="R18" s="71">
        <f>1*(1+3.5%)</f>
        <v/>
      </c>
      <c r="S18" s="71">
        <f>1.08*(1+3.5%)</f>
        <v/>
      </c>
      <c r="T18" s="71">
        <f>1.08*(1+3.5%)</f>
        <v/>
      </c>
      <c r="U18" s="71">
        <f>1.17*(1+3.5%)</f>
        <v/>
      </c>
      <c r="V18" s="71">
        <f>1.17*(1+3.5%)</f>
        <v/>
      </c>
      <c r="W18" s="71">
        <f>1.26*(1+3.5%)</f>
        <v/>
      </c>
      <c r="X18" s="71">
        <f>1.26*(1+3.5%)</f>
        <v/>
      </c>
      <c r="Y18" s="71">
        <f>1.35*(1+3.5%)</f>
        <v/>
      </c>
      <c r="Z18" s="71">
        <f>1.35*(1+3.5%)</f>
        <v/>
      </c>
      <c r="AA18" s="71">
        <f>1.44*(1+3.5%)</f>
        <v/>
      </c>
      <c r="AB18" s="71">
        <f>1.44*(1+3.5%)</f>
        <v/>
      </c>
      <c r="AC18" s="71">
        <f>1.53*(1+3.5%)</f>
        <v/>
      </c>
      <c r="AD18" s="71">
        <f>1.53*(1+3.5%)</f>
        <v/>
      </c>
      <c r="AE18" s="6" t="n"/>
      <c r="AF18" s="6" t="n"/>
      <c r="AG18" s="6" t="n"/>
      <c r="AH18" s="6" t="n"/>
      <c r="AI18" s="6" t="n"/>
      <c r="AJ18" s="6" t="n"/>
    </row>
    <row r="19" ht="13.5" customHeight="1">
      <c r="A19" s="13" t="n">
        <v>50</v>
      </c>
      <c r="B19" s="13">
        <f>ROW(A19)</f>
        <v/>
      </c>
      <c r="C19" s="71">
        <f>0.36*(1+3.5%)</f>
        <v/>
      </c>
      <c r="D19" s="71">
        <f>0.36*(1+3.5%)</f>
        <v/>
      </c>
      <c r="E19" s="71">
        <f>0.45*(1+3.5%)</f>
        <v/>
      </c>
      <c r="F19" s="71">
        <f>0.45*(1+3.5%)</f>
        <v/>
      </c>
      <c r="G19" s="71">
        <f>0.54*(1+3.5%)</f>
        <v/>
      </c>
      <c r="H19" s="71">
        <f>0.54*(1+3.5%)</f>
        <v/>
      </c>
      <c r="I19" s="71">
        <f>0.63*(1+3.5%)</f>
        <v/>
      </c>
      <c r="J19" s="71">
        <f>0.63*(1+3.5%)</f>
        <v/>
      </c>
      <c r="K19" s="71">
        <f>0.72*(1+3.5%)</f>
        <v/>
      </c>
      <c r="L19" s="71">
        <f>0.72*(1+3.5%)</f>
        <v/>
      </c>
      <c r="M19" s="71">
        <f>0.81*(1+3.5%)</f>
        <v/>
      </c>
      <c r="N19" s="71">
        <f>0.81*(1+3.5%)</f>
        <v/>
      </c>
      <c r="O19" s="71">
        <f>0.9*(1+3.5%)</f>
        <v/>
      </c>
      <c r="P19" s="71">
        <f>0.9*(1+3.5%)</f>
        <v/>
      </c>
      <c r="Q19" s="71">
        <f>1*(1+3.5%)</f>
        <v/>
      </c>
      <c r="R19" s="71">
        <f>1*(1+3.5%)</f>
        <v/>
      </c>
      <c r="S19" s="71">
        <f>1.08*(1+3.5%)</f>
        <v/>
      </c>
      <c r="T19" s="71">
        <f>1.08*(1+3.5%)</f>
        <v/>
      </c>
      <c r="U19" s="71">
        <f>1.17*(1+3.5%)</f>
        <v/>
      </c>
      <c r="V19" s="71">
        <f>1.17*(1+3.5%)</f>
        <v/>
      </c>
      <c r="W19" s="71">
        <f>1.26*(1+3.5%)</f>
        <v/>
      </c>
      <c r="X19" s="71">
        <f>1.26*(1+3.5%)</f>
        <v/>
      </c>
      <c r="Y19" s="71">
        <f>1.35*(1+3.5%)</f>
        <v/>
      </c>
      <c r="Z19" s="71">
        <f>1.35*(1+3.5%)</f>
        <v/>
      </c>
      <c r="AA19" s="71">
        <f>1.44*(1+3.5%)</f>
        <v/>
      </c>
      <c r="AB19" s="71">
        <f>1.44*(1+3.5%)</f>
        <v/>
      </c>
      <c r="AC19" s="71">
        <f>1.53*(1+3.5%)</f>
        <v/>
      </c>
      <c r="AD19" s="71">
        <f>1.53*(1+3.5%)</f>
        <v/>
      </c>
    </row>
    <row r="20" ht="13.5" customHeight="1">
      <c r="A20" s="13">
        <f>A19+1</f>
        <v/>
      </c>
      <c r="B20" s="13">
        <f>ROW(A20)</f>
        <v/>
      </c>
      <c r="C20" s="71">
        <f>0.45*(1+3.5%)</f>
        <v/>
      </c>
      <c r="D20" s="71">
        <f>0.45*(1+3.5%)</f>
        <v/>
      </c>
      <c r="E20" s="71">
        <f>0.54*(1+3.5%)</f>
        <v/>
      </c>
      <c r="F20" s="71">
        <f>0.54*(1+3.5%)</f>
        <v/>
      </c>
      <c r="G20" s="71">
        <f>0.63*(1+3.5%)</f>
        <v/>
      </c>
      <c r="H20" s="71">
        <f>0.63*(1+3.5%)</f>
        <v/>
      </c>
      <c r="I20" s="71">
        <f>0.72*(1+3.5%)</f>
        <v/>
      </c>
      <c r="J20" s="71">
        <f>0.72*(1+3.5%)</f>
        <v/>
      </c>
      <c r="K20" s="71">
        <f>0.81*(1+3.5%)</f>
        <v/>
      </c>
      <c r="L20" s="71">
        <f>0.81*(1+3.5%)</f>
        <v/>
      </c>
      <c r="M20" s="71">
        <f>0.9*(1+3.5%)</f>
        <v/>
      </c>
      <c r="N20" s="71">
        <f>0.9*(1+3.5%)</f>
        <v/>
      </c>
      <c r="O20" s="71">
        <f>1*(1+3.5%)</f>
        <v/>
      </c>
      <c r="P20" s="71">
        <f>1*(1+3.5%)</f>
        <v/>
      </c>
      <c r="Q20" s="71">
        <f>1.08*(1+3.5%)</f>
        <v/>
      </c>
      <c r="R20" s="71">
        <f>1.08*(1+3.5%)</f>
        <v/>
      </c>
      <c r="S20" s="71">
        <f>1.17*(1+3.5%)</f>
        <v/>
      </c>
      <c r="T20" s="71">
        <f>1.17*(1+3.5%)</f>
        <v/>
      </c>
      <c r="U20" s="71">
        <f>1.26*(1+3.5%)</f>
        <v/>
      </c>
      <c r="V20" s="71">
        <f>1.26*(1+3.5%)</f>
        <v/>
      </c>
      <c r="W20" s="71">
        <f>1.35*(1+3.5%)</f>
        <v/>
      </c>
      <c r="X20" s="71">
        <f>1.35*(1+3.5%)</f>
        <v/>
      </c>
      <c r="Y20" s="71">
        <f>1.44*(1+3.5%)</f>
        <v/>
      </c>
      <c r="Z20" s="71">
        <f>1.44*(1+3.5%)</f>
        <v/>
      </c>
      <c r="AA20" s="71">
        <f>1.53*(1+3.5%)</f>
        <v/>
      </c>
      <c r="AB20" s="71">
        <f>1.53*(1+3.5%)</f>
        <v/>
      </c>
      <c r="AC20" s="71">
        <f>1.62*(1+3.5%)</f>
        <v/>
      </c>
      <c r="AD20" s="71">
        <f>1.62*(1+3.5%)</f>
        <v/>
      </c>
    </row>
    <row r="21" ht="13.5" customHeight="1">
      <c r="A21" s="13" t="n">
        <v>100</v>
      </c>
      <c r="B21" s="13">
        <f>ROW(A21)</f>
        <v/>
      </c>
      <c r="C21" s="71">
        <f>0.45*(1+3.5%)</f>
        <v/>
      </c>
      <c r="D21" s="71">
        <f>0.45*(1+3.5%)</f>
        <v/>
      </c>
      <c r="E21" s="71">
        <f>0.54*(1+3.5%)</f>
        <v/>
      </c>
      <c r="F21" s="71">
        <f>0.54*(1+3.5%)</f>
        <v/>
      </c>
      <c r="G21" s="71">
        <f>0.63*(1+3.5%)</f>
        <v/>
      </c>
      <c r="H21" s="71">
        <f>0.63*(1+3.5%)</f>
        <v/>
      </c>
      <c r="I21" s="71">
        <f>0.72*(1+3.5%)</f>
        <v/>
      </c>
      <c r="J21" s="71">
        <f>0.72*(1+3.5%)</f>
        <v/>
      </c>
      <c r="K21" s="71">
        <f>0.81*(1+3.5%)</f>
        <v/>
      </c>
      <c r="L21" s="71">
        <f>0.81*(1+3.5%)</f>
        <v/>
      </c>
      <c r="M21" s="71">
        <f>0.9*(1+3.5%)</f>
        <v/>
      </c>
      <c r="N21" s="71">
        <f>0.9*(1+3.5%)</f>
        <v/>
      </c>
      <c r="O21" s="71">
        <f>1*(1+3.5%)</f>
        <v/>
      </c>
      <c r="P21" s="71">
        <f>1*(1+3.5%)</f>
        <v/>
      </c>
      <c r="Q21" s="71">
        <f>1.08*(1+3.5%)</f>
        <v/>
      </c>
      <c r="R21" s="71">
        <f>1.08*(1+3.5%)</f>
        <v/>
      </c>
      <c r="S21" s="71">
        <f>1.17*(1+3.5%)</f>
        <v/>
      </c>
      <c r="T21" s="71">
        <f>1.17*(1+3.5%)</f>
        <v/>
      </c>
      <c r="U21" s="71">
        <f>1.26*(1+3.5%)</f>
        <v/>
      </c>
      <c r="V21" s="71">
        <f>1.26*(1+3.5%)</f>
        <v/>
      </c>
      <c r="W21" s="71">
        <f>1.35*(1+3.5%)</f>
        <v/>
      </c>
      <c r="X21" s="71">
        <f>1.35*(1+3.5%)</f>
        <v/>
      </c>
      <c r="Y21" s="71">
        <f>1.44*(1+3.5%)</f>
        <v/>
      </c>
      <c r="Z21" s="71">
        <f>1.44*(1+3.5%)</f>
        <v/>
      </c>
      <c r="AA21" s="71">
        <f>1.53*(1+3.5%)</f>
        <v/>
      </c>
      <c r="AB21" s="71">
        <f>1.53*(1+3.5%)</f>
        <v/>
      </c>
      <c r="AC21" s="71">
        <f>1.62*(1+3.5%)</f>
        <v/>
      </c>
      <c r="AD21" s="71">
        <f>1.62*(1+3.5%)</f>
        <v/>
      </c>
    </row>
    <row r="22" ht="13.5" customHeight="1">
      <c r="A22" s="13">
        <f>A21+1</f>
        <v/>
      </c>
      <c r="B22" s="13">
        <f>ROW(A22)</f>
        <v/>
      </c>
      <c r="C22" s="71">
        <f>0.54*(1+3.5%)</f>
        <v/>
      </c>
      <c r="D22" s="71">
        <f>0.54*(1+3.5%)</f>
        <v/>
      </c>
      <c r="E22" s="71">
        <f>0.63*(1+3.5%)</f>
        <v/>
      </c>
      <c r="F22" s="71">
        <f>0.63*(1+3.5%)</f>
        <v/>
      </c>
      <c r="G22" s="71">
        <f>0.72*(1+3.5%)</f>
        <v/>
      </c>
      <c r="H22" s="71">
        <f>0.72*(1+3.5%)</f>
        <v/>
      </c>
      <c r="I22" s="71">
        <f>0.81*(1+3.5%)</f>
        <v/>
      </c>
      <c r="J22" s="71">
        <f>0.81*(1+3.5%)</f>
        <v/>
      </c>
      <c r="K22" s="71">
        <f>0.9*(1+3.5%)</f>
        <v/>
      </c>
      <c r="L22" s="71">
        <f>0.9*(1+3.5%)</f>
        <v/>
      </c>
      <c r="M22" s="71">
        <f>1*(1+3.5%)</f>
        <v/>
      </c>
      <c r="N22" s="71">
        <f>1*(1+3.5%)</f>
        <v/>
      </c>
      <c r="O22" s="71">
        <f>1.08*(1+3.5%)</f>
        <v/>
      </c>
      <c r="P22" s="71">
        <f>1.08*(1+3.5%)</f>
        <v/>
      </c>
      <c r="Q22" s="71">
        <f>1.17*(1+3.5%)</f>
        <v/>
      </c>
      <c r="R22" s="71">
        <f>1.17*(1+3.5%)</f>
        <v/>
      </c>
      <c r="S22" s="71">
        <f>1.26*(1+3.5%)</f>
        <v/>
      </c>
      <c r="T22" s="71">
        <f>1.26*(1+3.5%)</f>
        <v/>
      </c>
      <c r="U22" s="71">
        <f>1.35*(1+3.5%)</f>
        <v/>
      </c>
      <c r="V22" s="71">
        <f>1.35*(1+3.5%)</f>
        <v/>
      </c>
      <c r="W22" s="71">
        <f>1.44*(1+3.5%)</f>
        <v/>
      </c>
      <c r="X22" s="71">
        <f>1.44*(1+3.5%)</f>
        <v/>
      </c>
      <c r="Y22" s="71">
        <f>1.53*(1+3.5%)</f>
        <v/>
      </c>
      <c r="Z22" s="71">
        <f>1.53*(1+3.5%)</f>
        <v/>
      </c>
      <c r="AA22" s="71">
        <f>1.62*(1+3.5%)</f>
        <v/>
      </c>
      <c r="AB22" s="71">
        <f>1.62*(1+3.5%)</f>
        <v/>
      </c>
      <c r="AC22" s="71">
        <f>1.71*(1+3.5%)</f>
        <v/>
      </c>
      <c r="AD22" s="71">
        <f>1.71*(1+3.5%)</f>
        <v/>
      </c>
    </row>
    <row r="23" ht="13.5" customHeight="1">
      <c r="A23" s="13" t="n">
        <v>150</v>
      </c>
      <c r="B23" s="13">
        <f>ROW(A23)</f>
        <v/>
      </c>
      <c r="C23" s="71">
        <f>0.54*(1+3.5%)</f>
        <v/>
      </c>
      <c r="D23" s="71">
        <f>0.54*(1+3.5%)</f>
        <v/>
      </c>
      <c r="E23" s="71">
        <f>0.63*(1+3.5%)</f>
        <v/>
      </c>
      <c r="F23" s="71">
        <f>0.63*(1+3.5%)</f>
        <v/>
      </c>
      <c r="G23" s="71">
        <f>0.72*(1+3.5%)</f>
        <v/>
      </c>
      <c r="H23" s="71">
        <f>0.72*(1+3.5%)</f>
        <v/>
      </c>
      <c r="I23" s="71">
        <f>0.81*(1+3.5%)</f>
        <v/>
      </c>
      <c r="J23" s="71">
        <f>0.81*(1+3.5%)</f>
        <v/>
      </c>
      <c r="K23" s="71">
        <f>0.9*(1+3.5%)</f>
        <v/>
      </c>
      <c r="L23" s="71">
        <f>0.9*(1+3.5%)</f>
        <v/>
      </c>
      <c r="M23" s="71">
        <f>1*(1+3.5%)</f>
        <v/>
      </c>
      <c r="N23" s="71">
        <f>1*(1+3.5%)</f>
        <v/>
      </c>
      <c r="O23" s="71">
        <f>1.08*(1+3.5%)</f>
        <v/>
      </c>
      <c r="P23" s="71">
        <f>1.08*(1+3.5%)</f>
        <v/>
      </c>
      <c r="Q23" s="71">
        <f>1.17*(1+3.5%)</f>
        <v/>
      </c>
      <c r="R23" s="71">
        <f>1.17*(1+3.5%)</f>
        <v/>
      </c>
      <c r="S23" s="71">
        <f>1.26*(1+3.5%)</f>
        <v/>
      </c>
      <c r="T23" s="71">
        <f>1.26*(1+3.5%)</f>
        <v/>
      </c>
      <c r="U23" s="71">
        <f>1.35*(1+3.5%)</f>
        <v/>
      </c>
      <c r="V23" s="71">
        <f>1.35*(1+3.5%)</f>
        <v/>
      </c>
      <c r="W23" s="71">
        <f>1.44*(1+3.5%)</f>
        <v/>
      </c>
      <c r="X23" s="71">
        <f>1.44*(1+3.5%)</f>
        <v/>
      </c>
      <c r="Y23" s="71">
        <f>1.53*(1+3.5%)</f>
        <v/>
      </c>
      <c r="Z23" s="71">
        <f>1.53*(1+3.5%)</f>
        <v/>
      </c>
      <c r="AA23" s="71">
        <f>1.62*(1+3.5%)</f>
        <v/>
      </c>
      <c r="AB23" s="71">
        <f>1.62*(1+3.5%)</f>
        <v/>
      </c>
      <c r="AC23" s="71">
        <f>1.71*(1+3.5%)</f>
        <v/>
      </c>
      <c r="AD23" s="71">
        <f>1.71*(1+3.5%)</f>
        <v/>
      </c>
    </row>
    <row r="24" ht="13.5" customHeight="1">
      <c r="A24" s="13" t="n">
        <v>151</v>
      </c>
      <c r="B24" s="13">
        <f>ROW(A24)</f>
        <v/>
      </c>
      <c r="C24" s="71">
        <f>0.63*(1+3.5%)</f>
        <v/>
      </c>
      <c r="D24" s="71">
        <f>0.63*(1+3.5%)</f>
        <v/>
      </c>
      <c r="E24" s="71">
        <f>0.72*(1+3.5%)</f>
        <v/>
      </c>
      <c r="F24" s="71">
        <f>0.72*(1+3.5%)</f>
        <v/>
      </c>
      <c r="G24" s="71">
        <f>0.81*(1+3.5%)</f>
        <v/>
      </c>
      <c r="H24" s="71">
        <f>0.81*(1+3.5%)</f>
        <v/>
      </c>
      <c r="I24" s="71">
        <f>0.9*(1+3.5%)</f>
        <v/>
      </c>
      <c r="J24" s="71">
        <f>0.9*(1+3.5%)</f>
        <v/>
      </c>
      <c r="K24" s="71">
        <f>1*(1+3.5%)</f>
        <v/>
      </c>
      <c r="L24" s="71">
        <f>1*(1+3.5%)</f>
        <v/>
      </c>
      <c r="M24" s="71">
        <f>1.08*(1+3.5%)</f>
        <v/>
      </c>
      <c r="N24" s="71">
        <f>1.08*(1+3.5%)</f>
        <v/>
      </c>
      <c r="O24" s="71">
        <f>1.17*(1+3.5%)</f>
        <v/>
      </c>
      <c r="P24" s="71">
        <f>1.17*(1+3.5%)</f>
        <v/>
      </c>
      <c r="Q24" s="71">
        <f>1.26*(1+3.5%)</f>
        <v/>
      </c>
      <c r="R24" s="71">
        <f>1.26*(1+3.5%)</f>
        <v/>
      </c>
      <c r="S24" s="71">
        <f>1.35*(1+3.5%)</f>
        <v/>
      </c>
      <c r="T24" s="71">
        <f>1.35*(1+3.5%)</f>
        <v/>
      </c>
      <c r="U24" s="71">
        <f>1.44*(1+3.5%)</f>
        <v/>
      </c>
      <c r="V24" s="71">
        <f>1.44*(1+3.5%)</f>
        <v/>
      </c>
      <c r="W24" s="71">
        <f>1.53*(1+3.5%)</f>
        <v/>
      </c>
      <c r="X24" s="71">
        <f>1.53*(1+3.5%)</f>
        <v/>
      </c>
      <c r="Y24" s="71">
        <f>1.62*(1+3.5%)</f>
        <v/>
      </c>
      <c r="Z24" s="71">
        <f>1.62*(1+3.5%)</f>
        <v/>
      </c>
      <c r="AA24" s="71">
        <f>1.71*(1+3.5%)</f>
        <v/>
      </c>
      <c r="AB24" s="71">
        <f>1.71*(1+3.5%)</f>
        <v/>
      </c>
      <c r="AC24" s="71">
        <f>1.8*(1+3.5%)</f>
        <v/>
      </c>
      <c r="AD24" s="71">
        <f>1.8*(1+3.5%)</f>
        <v/>
      </c>
    </row>
    <row r="25" ht="13.5" customHeight="1">
      <c r="A25" s="13" t="n">
        <v>200</v>
      </c>
      <c r="B25" s="13">
        <f>ROW(A25)</f>
        <v/>
      </c>
      <c r="C25" s="71">
        <f>0.63*(1+3.5%)</f>
        <v/>
      </c>
      <c r="D25" s="71">
        <f>0.63*(1+3.5%)</f>
        <v/>
      </c>
      <c r="E25" s="71">
        <f>0.72*(1+3.5%)</f>
        <v/>
      </c>
      <c r="F25" s="71">
        <f>0.72*(1+3.5%)</f>
        <v/>
      </c>
      <c r="G25" s="71">
        <f>0.81*(1+3.5%)</f>
        <v/>
      </c>
      <c r="H25" s="71">
        <f>0.81*(1+3.5%)</f>
        <v/>
      </c>
      <c r="I25" s="71">
        <f>0.9*(1+3.5%)</f>
        <v/>
      </c>
      <c r="J25" s="71">
        <f>0.9*(1+3.5%)</f>
        <v/>
      </c>
      <c r="K25" s="71">
        <f>1*(1+3.5%)</f>
        <v/>
      </c>
      <c r="L25" s="71">
        <f>1*(1+3.5%)</f>
        <v/>
      </c>
      <c r="M25" s="71">
        <f>1.08*(1+3.5%)</f>
        <v/>
      </c>
      <c r="N25" s="71">
        <f>1.08*(1+3.5%)</f>
        <v/>
      </c>
      <c r="O25" s="71">
        <f>1.17*(1+3.5%)</f>
        <v/>
      </c>
      <c r="P25" s="71">
        <f>1.17*(1+3.5%)</f>
        <v/>
      </c>
      <c r="Q25" s="71">
        <f>1.26*(1+3.5%)</f>
        <v/>
      </c>
      <c r="R25" s="71">
        <f>1.26*(1+3.5%)</f>
        <v/>
      </c>
      <c r="S25" s="71">
        <f>1.35*(1+3.5%)</f>
        <v/>
      </c>
      <c r="T25" s="71">
        <f>1.35*(1+3.5%)</f>
        <v/>
      </c>
      <c r="U25" s="71">
        <f>1.44*(1+3.5%)</f>
        <v/>
      </c>
      <c r="V25" s="71">
        <f>1.44*(1+3.5%)</f>
        <v/>
      </c>
      <c r="W25" s="71">
        <f>1.53*(1+3.5%)</f>
        <v/>
      </c>
      <c r="X25" s="71">
        <f>1.53*(1+3.5%)</f>
        <v/>
      </c>
      <c r="Y25" s="71">
        <f>1.62*(1+3.5%)</f>
        <v/>
      </c>
      <c r="Z25" s="71">
        <f>1.62*(1+3.5%)</f>
        <v/>
      </c>
      <c r="AA25" s="71">
        <f>1.71*(1+3.5%)</f>
        <v/>
      </c>
      <c r="AB25" s="71">
        <f>1.71*(1+3.5%)</f>
        <v/>
      </c>
      <c r="AC25" s="71">
        <f>1.8*(1+3.5%)</f>
        <v/>
      </c>
      <c r="AD25" s="71">
        <f>1.8*(1+3.5%)</f>
        <v/>
      </c>
    </row>
    <row r="26" ht="13.5" customHeight="1">
      <c r="A26" s="13">
        <f>A25+1</f>
        <v/>
      </c>
      <c r="B26" s="13">
        <f>ROW(A26)</f>
        <v/>
      </c>
      <c r="C26" s="71">
        <f>0.72*(1+3.5%)</f>
        <v/>
      </c>
      <c r="D26" s="71">
        <f>0.72*(1+3.5%)</f>
        <v/>
      </c>
      <c r="E26" s="71">
        <f>0.81*(1+3.5%)</f>
        <v/>
      </c>
      <c r="F26" s="71">
        <f>0.81*(1+3.5%)</f>
        <v/>
      </c>
      <c r="G26" s="71">
        <f>0.9*(1+3.5%)</f>
        <v/>
      </c>
      <c r="H26" s="71">
        <f>0.9*(1+3.5%)</f>
        <v/>
      </c>
      <c r="I26" s="71">
        <f>1*(1+3.5%)</f>
        <v/>
      </c>
      <c r="J26" s="71">
        <f>1*(1+3.5%)</f>
        <v/>
      </c>
      <c r="K26" s="71">
        <f>1.08*(1+3.5%)</f>
        <v/>
      </c>
      <c r="L26" s="71">
        <f>1.08*(1+3.5%)</f>
        <v/>
      </c>
      <c r="M26" s="71">
        <f>1.17*(1+3.5%)</f>
        <v/>
      </c>
      <c r="N26" s="71">
        <f>1.17*(1+3.5%)</f>
        <v/>
      </c>
      <c r="O26" s="71">
        <f>1.26*(1+3.5%)</f>
        <v/>
      </c>
      <c r="P26" s="71">
        <f>1.26*(1+3.5%)</f>
        <v/>
      </c>
      <c r="Q26" s="71">
        <f>1.35*(1+3.5%)</f>
        <v/>
      </c>
      <c r="R26" s="71">
        <f>1.35*(1+3.5%)</f>
        <v/>
      </c>
      <c r="S26" s="71">
        <f>1.44*(1+3.5%)</f>
        <v/>
      </c>
      <c r="T26" s="71">
        <f>1.44*(1+3.5%)</f>
        <v/>
      </c>
      <c r="U26" s="71">
        <f>1.53*(1+3.5%)</f>
        <v/>
      </c>
      <c r="V26" s="71">
        <f>1.53*(1+3.5%)</f>
        <v/>
      </c>
      <c r="W26" s="71">
        <f>1.62*(1+3.5%)</f>
        <v/>
      </c>
      <c r="X26" s="71">
        <f>1.62*(1+3.5%)</f>
        <v/>
      </c>
      <c r="Y26" s="71">
        <f>1.71*(1+3.5%)</f>
        <v/>
      </c>
      <c r="Z26" s="71">
        <f>1.71*(1+3.5%)</f>
        <v/>
      </c>
      <c r="AA26" s="71">
        <f>1.8*(1+3.5%)</f>
        <v/>
      </c>
      <c r="AB26" s="71">
        <f>1.8*(1+3.5%)</f>
        <v/>
      </c>
      <c r="AC26" s="71">
        <f>1.89*(1+3.5%)</f>
        <v/>
      </c>
      <c r="AD26" s="71">
        <f>1.89*(1+3.5%)</f>
        <v/>
      </c>
    </row>
    <row r="27" ht="13.5" customHeight="1">
      <c r="A27" s="13" t="n">
        <v>250</v>
      </c>
      <c r="B27" s="13">
        <f>ROW(A27)</f>
        <v/>
      </c>
      <c r="C27" s="71">
        <f>0.72*(1+3.5%)</f>
        <v/>
      </c>
      <c r="D27" s="71">
        <f>0.72*(1+3.5%)</f>
        <v/>
      </c>
      <c r="E27" s="71">
        <f>0.81*(1+3.5%)</f>
        <v/>
      </c>
      <c r="F27" s="71">
        <f>0.81*(1+3.5%)</f>
        <v/>
      </c>
      <c r="G27" s="71">
        <f>0.9*(1+3.5%)</f>
        <v/>
      </c>
      <c r="H27" s="71">
        <f>0.9*(1+3.5%)</f>
        <v/>
      </c>
      <c r="I27" s="71">
        <f>1*(1+3.5%)</f>
        <v/>
      </c>
      <c r="J27" s="71">
        <f>1*(1+3.5%)</f>
        <v/>
      </c>
      <c r="K27" s="71">
        <f>1.08*(1+3.5%)</f>
        <v/>
      </c>
      <c r="L27" s="71">
        <f>1.08*(1+3.5%)</f>
        <v/>
      </c>
      <c r="M27" s="71">
        <f>1.17*(1+3.5%)</f>
        <v/>
      </c>
      <c r="N27" s="71">
        <f>1.17*(1+3.5%)</f>
        <v/>
      </c>
      <c r="O27" s="71">
        <f>1.26*(1+3.5%)</f>
        <v/>
      </c>
      <c r="P27" s="71">
        <f>1.26*(1+3.5%)</f>
        <v/>
      </c>
      <c r="Q27" s="71">
        <f>1.35*(1+3.5%)</f>
        <v/>
      </c>
      <c r="R27" s="71">
        <f>1.35*(1+3.5%)</f>
        <v/>
      </c>
      <c r="S27" s="71">
        <f>1.44*(1+3.5%)</f>
        <v/>
      </c>
      <c r="T27" s="71">
        <f>1.44*(1+3.5%)</f>
        <v/>
      </c>
      <c r="U27" s="71">
        <f>1.53*(1+3.5%)</f>
        <v/>
      </c>
      <c r="V27" s="71">
        <f>1.53*(1+3.5%)</f>
        <v/>
      </c>
      <c r="W27" s="71">
        <f>1.62*(1+3.5%)</f>
        <v/>
      </c>
      <c r="X27" s="71">
        <f>1.62*(1+3.5%)</f>
        <v/>
      </c>
      <c r="Y27" s="71">
        <f>1.71*(1+3.5%)</f>
        <v/>
      </c>
      <c r="Z27" s="71">
        <f>1.71*(1+3.5%)</f>
        <v/>
      </c>
      <c r="AA27" s="71">
        <f>1.8*(1+3.5%)</f>
        <v/>
      </c>
      <c r="AB27" s="71">
        <f>1.8*(1+3.5%)</f>
        <v/>
      </c>
      <c r="AC27" s="71">
        <f>1.89*(1+3.5%)</f>
        <v/>
      </c>
      <c r="AD27" s="71">
        <f>1.89*(1+3.5%)</f>
        <v/>
      </c>
    </row>
    <row r="28" ht="13.5" customHeight="1">
      <c r="A28" s="13" t="n">
        <v>251</v>
      </c>
      <c r="B28" s="13">
        <f>ROW(A28)</f>
        <v/>
      </c>
      <c r="C28" s="71">
        <f>0.81*(1+3.5%)</f>
        <v/>
      </c>
      <c r="D28" s="71">
        <f>0.81*(1+3.5%)</f>
        <v/>
      </c>
      <c r="E28" s="71">
        <f>0.9*(1+3.5%)</f>
        <v/>
      </c>
      <c r="F28" s="71">
        <f>0.9*(1+3.5%)</f>
        <v/>
      </c>
      <c r="G28" s="71">
        <f>1*(1+3.5%)</f>
        <v/>
      </c>
      <c r="H28" s="71">
        <f>1*(1+3.5%)</f>
        <v/>
      </c>
      <c r="I28" s="71">
        <f>1.08*(1+3.5%)</f>
        <v/>
      </c>
      <c r="J28" s="71">
        <f>1.08*(1+3.5%)</f>
        <v/>
      </c>
      <c r="K28" s="71">
        <f>1.17*(1+3.5%)</f>
        <v/>
      </c>
      <c r="L28" s="71">
        <f>1.17*(1+3.5%)</f>
        <v/>
      </c>
      <c r="M28" s="71">
        <f>1.26*(1+3.5%)</f>
        <v/>
      </c>
      <c r="N28" s="71">
        <f>1.26*(1+3.5%)</f>
        <v/>
      </c>
      <c r="O28" s="71">
        <f>1.35*(1+3.5%)</f>
        <v/>
      </c>
      <c r="P28" s="71">
        <f>1.35*(1+3.5%)</f>
        <v/>
      </c>
      <c r="Q28" s="71">
        <f>1.44*(1+3.5%)</f>
        <v/>
      </c>
      <c r="R28" s="71">
        <f>1.44*(1+3.5%)</f>
        <v/>
      </c>
      <c r="S28" s="71">
        <f>1.53*(1+3.5%)</f>
        <v/>
      </c>
      <c r="T28" s="71">
        <f>1.53*(1+3.5%)</f>
        <v/>
      </c>
      <c r="U28" s="71">
        <f>1.62*(1+3.5%)</f>
        <v/>
      </c>
      <c r="V28" s="71">
        <f>1.62*(1+3.5%)</f>
        <v/>
      </c>
      <c r="W28" s="71">
        <f>1.71*(1+3.5%)</f>
        <v/>
      </c>
      <c r="X28" s="71">
        <f>1.71*(1+3.5%)</f>
        <v/>
      </c>
      <c r="Y28" s="71">
        <f>1.8*(1+3.5%)</f>
        <v/>
      </c>
      <c r="Z28" s="71">
        <f>1.8*(1+3.5%)</f>
        <v/>
      </c>
      <c r="AA28" s="71">
        <f>1.89*(1+3.5%)</f>
        <v/>
      </c>
      <c r="AB28" s="71">
        <f>1.89*(1+3.5%)</f>
        <v/>
      </c>
      <c r="AC28" s="71">
        <f>1.98*(1+3.5%)</f>
        <v/>
      </c>
      <c r="AD28" s="71">
        <f>1.98*(1+3.5%)</f>
        <v/>
      </c>
    </row>
    <row r="29" ht="13.5" customHeight="1">
      <c r="A29" s="13" t="n">
        <v>300</v>
      </c>
      <c r="B29" s="13">
        <f>ROW(A29)</f>
        <v/>
      </c>
      <c r="C29" s="71">
        <f>0.81*(1+3.5%)</f>
        <v/>
      </c>
      <c r="D29" s="71">
        <f>0.81*(1+3.5%)</f>
        <v/>
      </c>
      <c r="E29" s="71">
        <f>0.9*(1+3.5%)</f>
        <v/>
      </c>
      <c r="F29" s="71">
        <f>0.9*(1+3.5%)</f>
        <v/>
      </c>
      <c r="G29" s="71">
        <f>1*(1+3.5%)</f>
        <v/>
      </c>
      <c r="H29" s="71">
        <f>1*(1+3.5%)</f>
        <v/>
      </c>
      <c r="I29" s="71">
        <f>1.08*(1+3.5%)</f>
        <v/>
      </c>
      <c r="J29" s="71">
        <f>1.08*(1+3.5%)</f>
        <v/>
      </c>
      <c r="K29" s="71">
        <f>1.17*(1+3.5%)</f>
        <v/>
      </c>
      <c r="L29" s="71">
        <f>1.17*(1+3.5%)</f>
        <v/>
      </c>
      <c r="M29" s="71">
        <f>1.26*(1+3.5%)</f>
        <v/>
      </c>
      <c r="N29" s="71">
        <f>1.26*(1+3.5%)</f>
        <v/>
      </c>
      <c r="O29" s="71">
        <f>1.35*(1+3.5%)</f>
        <v/>
      </c>
      <c r="P29" s="71">
        <f>1.35*(1+3.5%)</f>
        <v/>
      </c>
      <c r="Q29" s="71">
        <f>1.44*(1+3.5%)</f>
        <v/>
      </c>
      <c r="R29" s="71">
        <f>1.44*(1+3.5%)</f>
        <v/>
      </c>
      <c r="S29" s="71">
        <f>1.53*(1+3.5%)</f>
        <v/>
      </c>
      <c r="T29" s="71">
        <f>1.53*(1+3.5%)</f>
        <v/>
      </c>
      <c r="U29" s="71">
        <f>1.62*(1+3.5%)</f>
        <v/>
      </c>
      <c r="V29" s="71">
        <f>1.62*(1+3.5%)</f>
        <v/>
      </c>
      <c r="W29" s="71">
        <f>1.71*(1+3.5%)</f>
        <v/>
      </c>
      <c r="X29" s="71">
        <f>1.71*(1+3.5%)</f>
        <v/>
      </c>
      <c r="Y29" s="71">
        <f>1.8*(1+3.5%)</f>
        <v/>
      </c>
      <c r="Z29" s="71">
        <f>1.8*(1+3.5%)</f>
        <v/>
      </c>
      <c r="AA29" s="71">
        <f>1.89*(1+3.5%)</f>
        <v/>
      </c>
      <c r="AB29" s="71">
        <f>1.89*(1+3.5%)</f>
        <v/>
      </c>
      <c r="AC29" s="71">
        <f>1.98*(1+3.5%)</f>
        <v/>
      </c>
      <c r="AD29" s="71">
        <f>1.98*(1+3.5%)</f>
        <v/>
      </c>
    </row>
    <row r="30" ht="13.5" customHeight="1">
      <c r="A30" s="13" t="n">
        <v>301</v>
      </c>
      <c r="B30" s="13">
        <f>ROW(A30)</f>
        <v/>
      </c>
      <c r="C30" s="71">
        <f>0.9*(1+3.5%)</f>
        <v/>
      </c>
      <c r="D30" s="71">
        <f>0.9*(1+3.5%)</f>
        <v/>
      </c>
      <c r="E30" s="71">
        <f>1*(1+3.5%)</f>
        <v/>
      </c>
      <c r="F30" s="71">
        <f>1*(1+3.5%)</f>
        <v/>
      </c>
      <c r="G30" s="71">
        <f>1.08*(1+3.5%)</f>
        <v/>
      </c>
      <c r="H30" s="71">
        <f>1.08*(1+3.5%)</f>
        <v/>
      </c>
      <c r="I30" s="71">
        <f>1.17*(1+3.5%)</f>
        <v/>
      </c>
      <c r="J30" s="71">
        <f>1.17*(1+3.5%)</f>
        <v/>
      </c>
      <c r="K30" s="71">
        <f>1.26*(1+3.5%)</f>
        <v/>
      </c>
      <c r="L30" s="71">
        <f>1.26*(1+3.5%)</f>
        <v/>
      </c>
      <c r="M30" s="71">
        <f>1.35*(1+3.5%)</f>
        <v/>
      </c>
      <c r="N30" s="71">
        <f>1.35*(1+3.5%)</f>
        <v/>
      </c>
      <c r="O30" s="71">
        <f>1.44*(1+3.5%)</f>
        <v/>
      </c>
      <c r="P30" s="71">
        <f>1.44*(1+3.5%)</f>
        <v/>
      </c>
      <c r="Q30" s="71">
        <f>1.53*(1+3.5%)</f>
        <v/>
      </c>
      <c r="R30" s="71">
        <f>1.53*(1+3.5%)</f>
        <v/>
      </c>
      <c r="S30" s="71">
        <f>1.62*(1+3.5%)</f>
        <v/>
      </c>
      <c r="T30" s="71">
        <f>1.62*(1+3.5%)</f>
        <v/>
      </c>
      <c r="U30" s="71">
        <f>1.71*(1+3.5%)</f>
        <v/>
      </c>
      <c r="V30" s="71">
        <f>1.71*(1+3.5%)</f>
        <v/>
      </c>
      <c r="W30" s="71">
        <f>1.8*(1+3.5%)</f>
        <v/>
      </c>
      <c r="X30" s="71">
        <f>1.8*(1+3.5%)</f>
        <v/>
      </c>
      <c r="Y30" s="71">
        <f>1.89*(1+3.5%)</f>
        <v/>
      </c>
      <c r="Z30" s="71">
        <f>1.89*(1+3.5%)</f>
        <v/>
      </c>
      <c r="AA30" s="71">
        <f>1.98*(1+3.5%)</f>
        <v/>
      </c>
      <c r="AB30" s="71">
        <f>1.98*(1+3.5%)</f>
        <v/>
      </c>
      <c r="AC30" s="71">
        <f>2.07*(1+3.5%)</f>
        <v/>
      </c>
      <c r="AD30" s="71">
        <f>2.07*(1+3.5%)</f>
        <v/>
      </c>
    </row>
    <row r="31" ht="13.5" customHeight="1">
      <c r="A31" s="13" t="n">
        <v>350</v>
      </c>
      <c r="B31" s="13">
        <f>ROW(A31)</f>
        <v/>
      </c>
      <c r="C31" s="71">
        <f>0.9*(1+3.5%)</f>
        <v/>
      </c>
      <c r="D31" s="71">
        <f>0.9*(1+3.5%)</f>
        <v/>
      </c>
      <c r="E31" s="71">
        <f>1*(1+3.5%)</f>
        <v/>
      </c>
      <c r="F31" s="71">
        <f>1*(1+3.5%)</f>
        <v/>
      </c>
      <c r="G31" s="71">
        <f>1.08*(1+3.5%)</f>
        <v/>
      </c>
      <c r="H31" s="71">
        <f>1.08*(1+3.5%)</f>
        <v/>
      </c>
      <c r="I31" s="71">
        <f>1.17*(1+3.5%)</f>
        <v/>
      </c>
      <c r="J31" s="71">
        <f>1.17*(1+3.5%)</f>
        <v/>
      </c>
      <c r="K31" s="71">
        <f>1.26*(1+3.5%)</f>
        <v/>
      </c>
      <c r="L31" s="71">
        <f>1.26*(1+3.5%)</f>
        <v/>
      </c>
      <c r="M31" s="71">
        <f>1.35*(1+3.5%)</f>
        <v/>
      </c>
      <c r="N31" s="71">
        <f>1.35*(1+3.5%)</f>
        <v/>
      </c>
      <c r="O31" s="71">
        <f>1.44*(1+3.5%)</f>
        <v/>
      </c>
      <c r="P31" s="71">
        <f>1.44*(1+3.5%)</f>
        <v/>
      </c>
      <c r="Q31" s="71">
        <f>1.53*(1+3.5%)</f>
        <v/>
      </c>
      <c r="R31" s="71">
        <f>1.53*(1+3.5%)</f>
        <v/>
      </c>
      <c r="S31" s="71">
        <f>1.62*(1+3.5%)</f>
        <v/>
      </c>
      <c r="T31" s="71">
        <f>1.62*(1+3.5%)</f>
        <v/>
      </c>
      <c r="U31" s="71">
        <f>1.71*(1+3.5%)</f>
        <v/>
      </c>
      <c r="V31" s="71">
        <f>1.71*(1+3.5%)</f>
        <v/>
      </c>
      <c r="W31" s="71">
        <f>1.8*(1+3.5%)</f>
        <v/>
      </c>
      <c r="X31" s="71">
        <f>1.8*(1+3.5%)</f>
        <v/>
      </c>
      <c r="Y31" s="71">
        <f>1.89*(1+3.5%)</f>
        <v/>
      </c>
      <c r="Z31" s="71">
        <f>1.89*(1+3.5%)</f>
        <v/>
      </c>
      <c r="AA31" s="71">
        <f>1.98*(1+3.5%)</f>
        <v/>
      </c>
      <c r="AB31" s="71">
        <f>1.98*(1+3.5%)</f>
        <v/>
      </c>
      <c r="AC31" s="71">
        <f>2.07*(1+3.5%)</f>
        <v/>
      </c>
      <c r="AD31" s="71">
        <f>2.07*(1+3.5%)</f>
        <v/>
      </c>
    </row>
    <row r="32" ht="13.5" customHeight="1">
      <c r="A32" s="13" t="n">
        <v>351</v>
      </c>
      <c r="B32" s="13">
        <f>ROW(A32)</f>
        <v/>
      </c>
      <c r="C32" s="71">
        <f>1*(1+3.5%)</f>
        <v/>
      </c>
      <c r="D32" s="71">
        <f>1*(1+3.5%)</f>
        <v/>
      </c>
      <c r="E32" s="71">
        <f>1.08*(1+3.5%)</f>
        <v/>
      </c>
      <c r="F32" s="71">
        <f>1.08*(1+3.5%)</f>
        <v/>
      </c>
      <c r="G32" s="71">
        <f>1.17*(1+3.5%)</f>
        <v/>
      </c>
      <c r="H32" s="71">
        <f>1.17*(1+3.5%)</f>
        <v/>
      </c>
      <c r="I32" s="71">
        <f>1.26*(1+3.5%)</f>
        <v/>
      </c>
      <c r="J32" s="71">
        <f>1.26*(1+3.5%)</f>
        <v/>
      </c>
      <c r="K32" s="71">
        <f>1.35*(1+3.5%)</f>
        <v/>
      </c>
      <c r="L32" s="71">
        <f>1.35*(1+3.5%)</f>
        <v/>
      </c>
      <c r="M32" s="71">
        <f>1.44*(1+3.5%)</f>
        <v/>
      </c>
      <c r="N32" s="71">
        <f>1.44*(1+3.5%)</f>
        <v/>
      </c>
      <c r="O32" s="71">
        <f>1.53*(1+3.5%)</f>
        <v/>
      </c>
      <c r="P32" s="71">
        <f>1.53*(1+3.5%)</f>
        <v/>
      </c>
      <c r="Q32" s="71">
        <f>1.62*(1+3.5%)</f>
        <v/>
      </c>
      <c r="R32" s="71">
        <f>1.62*(1+3.5%)</f>
        <v/>
      </c>
      <c r="S32" s="71">
        <f>1.71*(1+3.5%)</f>
        <v/>
      </c>
      <c r="T32" s="71">
        <f>1.71*(1+3.5%)</f>
        <v/>
      </c>
      <c r="U32" s="71">
        <f>1.8*(1+3.5%)</f>
        <v/>
      </c>
      <c r="V32" s="71">
        <f>1.8*(1+3.5%)</f>
        <v/>
      </c>
      <c r="W32" s="71">
        <f>1.89*(1+3.5%)</f>
        <v/>
      </c>
      <c r="X32" s="71">
        <f>1.89*(1+3.5%)</f>
        <v/>
      </c>
      <c r="Y32" s="71">
        <f>1.98*(1+3.5%)</f>
        <v/>
      </c>
      <c r="Z32" s="71">
        <f>1.98*(1+3.5%)</f>
        <v/>
      </c>
      <c r="AA32" s="71">
        <f>2.07*(1+3.5%)</f>
        <v/>
      </c>
      <c r="AB32" s="71">
        <f>2.07*(1+3.5%)</f>
        <v/>
      </c>
      <c r="AC32" s="71">
        <f>2.16*(1+3.5%)</f>
        <v/>
      </c>
      <c r="AD32" s="71">
        <f>2.16*(1+3.5%)</f>
        <v/>
      </c>
    </row>
    <row r="33" ht="13.5" customHeight="1">
      <c r="A33" s="13" t="n">
        <v>400</v>
      </c>
      <c r="B33" s="13">
        <f>ROW(A33)</f>
        <v/>
      </c>
      <c r="C33" s="71">
        <f>1*(1+3.5%)</f>
        <v/>
      </c>
      <c r="D33" s="71">
        <f>1*(1+3.5%)</f>
        <v/>
      </c>
      <c r="E33" s="71">
        <f>1.08*(1+3.5%)</f>
        <v/>
      </c>
      <c r="F33" s="71">
        <f>1.08*(1+3.5%)</f>
        <v/>
      </c>
      <c r="G33" s="71">
        <f>1.17*(1+3.5%)</f>
        <v/>
      </c>
      <c r="H33" s="71">
        <f>1.17*(1+3.5%)</f>
        <v/>
      </c>
      <c r="I33" s="71">
        <f>1.26*(1+3.5%)</f>
        <v/>
      </c>
      <c r="J33" s="71">
        <f>1.26*(1+3.5%)</f>
        <v/>
      </c>
      <c r="K33" s="71">
        <f>1.35*(1+3.5%)</f>
        <v/>
      </c>
      <c r="L33" s="71">
        <f>1.35*(1+3.5%)</f>
        <v/>
      </c>
      <c r="M33" s="71">
        <f>1.44*(1+3.5%)</f>
        <v/>
      </c>
      <c r="N33" s="71">
        <f>1.44*(1+3.5%)</f>
        <v/>
      </c>
      <c r="O33" s="71">
        <f>1.53*(1+3.5%)</f>
        <v/>
      </c>
      <c r="P33" s="71">
        <f>1.53*(1+3.5%)</f>
        <v/>
      </c>
      <c r="Q33" s="71">
        <f>1.62*(1+3.5%)</f>
        <v/>
      </c>
      <c r="R33" s="71">
        <f>1.62*(1+3.5%)</f>
        <v/>
      </c>
      <c r="S33" s="71">
        <f>1.71*(1+3.5%)</f>
        <v/>
      </c>
      <c r="T33" s="71">
        <f>1.71*(1+3.5%)</f>
        <v/>
      </c>
      <c r="U33" s="71">
        <f>1.8*(1+3.5%)</f>
        <v/>
      </c>
      <c r="V33" s="71">
        <f>1.8*(1+3.5%)</f>
        <v/>
      </c>
      <c r="W33" s="71">
        <f>1.89*(1+3.5%)</f>
        <v/>
      </c>
      <c r="X33" s="71">
        <f>1.89*(1+3.5%)</f>
        <v/>
      </c>
      <c r="Y33" s="71">
        <f>1.98*(1+3.5%)</f>
        <v/>
      </c>
      <c r="Z33" s="71">
        <f>1.98*(1+3.5%)</f>
        <v/>
      </c>
      <c r="AA33" s="71">
        <f>2.07*(1+3.5%)</f>
        <v/>
      </c>
      <c r="AB33" s="71">
        <f>2.07*(1+3.5%)</f>
        <v/>
      </c>
      <c r="AC33" s="71">
        <f>2.16*(1+3.5%)</f>
        <v/>
      </c>
      <c r="AD33" s="71">
        <f>2.16*(1+3.5%)</f>
        <v/>
      </c>
    </row>
    <row r="34" ht="13.5" customHeight="1">
      <c r="A34" s="13" t="n"/>
      <c r="B34" s="13" t="n"/>
    </row>
    <row r="35" ht="13.5" customHeight="1">
      <c r="A35" s="13" t="inlineStr">
        <is>
          <t>FESTÓN</t>
        </is>
      </c>
      <c r="B35" s="13" t="n">
        <v>0.75</v>
      </c>
      <c r="C35" s="6" t="inlineStr">
        <is>
          <t>€/Mt.</t>
        </is>
      </c>
    </row>
    <row r="36" ht="13.5" customHeight="1">
      <c r="A36" s="13" t="n"/>
      <c r="B36" s="13" t="n"/>
    </row>
    <row r="37" ht="13.5" customHeight="1">
      <c r="A37" s="13" t="n"/>
      <c r="B37" s="13" t="n"/>
    </row>
    <row r="38" ht="13.5" customHeight="1">
      <c r="A38" s="13" t="n"/>
      <c r="B38" s="13" t="n"/>
    </row>
    <row r="39" ht="13.5" customHeight="1">
      <c r="A39" s="13" t="n"/>
      <c r="B39" s="13" t="n"/>
    </row>
    <row r="40" ht="13.5" customHeight="1">
      <c r="A40" s="13" t="n"/>
      <c r="B40" s="13" t="n"/>
    </row>
    <row r="41" ht="13.5" customHeight="1">
      <c r="A41" s="13" t="n"/>
      <c r="B41" s="13" t="n"/>
    </row>
    <row r="42" ht="13.5" customHeight="1">
      <c r="A42" s="13" t="n"/>
      <c r="B42" s="13" t="n"/>
    </row>
    <row r="43" ht="13.5" customHeight="1">
      <c r="A43" s="13" t="n"/>
      <c r="B43" s="13" t="n"/>
    </row>
    <row r="44" ht="13.5" customHeight="1">
      <c r="A44" s="13" t="n"/>
      <c r="B44" s="13" t="n"/>
    </row>
    <row r="45" ht="13.5" customHeight="1">
      <c r="A45" s="13" t="n"/>
      <c r="B45" s="13" t="n"/>
    </row>
    <row r="46" ht="13.5" customHeight="1">
      <c r="A46" s="13" t="n"/>
      <c r="B46" s="13" t="n"/>
    </row>
    <row r="47" ht="13.5" customHeight="1">
      <c r="A47" s="13" t="n"/>
      <c r="B47" s="13" t="n"/>
    </row>
    <row r="48" ht="13.5" customHeight="1">
      <c r="A48" s="13" t="n"/>
      <c r="B48" s="13" t="n"/>
    </row>
    <row r="49" ht="13.5" customHeight="1">
      <c r="A49" s="13" t="n"/>
      <c r="B49" s="13" t="n"/>
    </row>
    <row r="50" ht="13.5" customHeight="1">
      <c r="A50" s="13" t="n"/>
      <c r="B50" s="13" t="n"/>
    </row>
    <row r="51" ht="13.5" customHeight="1">
      <c r="A51" s="13" t="n"/>
      <c r="B51" s="13" t="n"/>
    </row>
    <row r="52" ht="13.5" customHeight="1">
      <c r="A52" s="13" t="n"/>
      <c r="B52" s="13" t="n"/>
    </row>
    <row r="53" ht="13.5" customHeight="1">
      <c r="A53" s="13" t="n"/>
      <c r="B53" s="13" t="n"/>
    </row>
    <row r="54" ht="13.5" customHeight="1">
      <c r="A54" s="13" t="n"/>
      <c r="B54" s="13" t="n"/>
    </row>
    <row r="55" ht="13.5" customHeight="1">
      <c r="A55" s="13" t="n"/>
      <c r="B55" s="13" t="n"/>
    </row>
    <row r="56" ht="13.5" customHeight="1">
      <c r="A56" s="13" t="n"/>
      <c r="B56" s="13" t="n"/>
    </row>
    <row r="57" ht="13.5" customHeight="1">
      <c r="A57" s="13" t="n"/>
      <c r="B57" s="13" t="n"/>
    </row>
    <row r="58" ht="13.5" customHeight="1">
      <c r="A58" s="13" t="n"/>
      <c r="B58" s="13" t="n"/>
    </row>
    <row r="59" ht="13.5" customHeight="1">
      <c r="A59" s="13" t="n"/>
      <c r="B59" s="13" t="n"/>
    </row>
    <row r="60" ht="13.5" customHeight="1">
      <c r="A60" s="13" t="n"/>
      <c r="B60" s="13" t="n"/>
    </row>
    <row r="61" ht="13.5" customHeight="1">
      <c r="A61" s="13" t="n"/>
      <c r="B61" s="13" t="n"/>
    </row>
    <row r="62" ht="13.5" customHeight="1">
      <c r="A62" s="13" t="n"/>
      <c r="B62" s="13" t="n"/>
    </row>
    <row r="63" ht="13.5" customHeight="1">
      <c r="A63" s="13" t="n"/>
      <c r="B63" s="13" t="n"/>
    </row>
    <row r="64" ht="13.5" customHeight="1">
      <c r="A64" s="13" t="n"/>
      <c r="B64" s="13" t="n"/>
    </row>
    <row r="65" ht="13.5" customHeight="1">
      <c r="A65" s="13" t="n"/>
      <c r="B65" s="13" t="n"/>
    </row>
    <row r="66" ht="13.5" customHeight="1">
      <c r="A66" s="13" t="n"/>
      <c r="B66" s="13" t="n"/>
    </row>
    <row r="67" ht="13.5" customHeight="1">
      <c r="A67" s="13" t="n"/>
      <c r="B67" s="13" t="n"/>
    </row>
    <row r="68" ht="13.5" customHeight="1">
      <c r="A68" s="13" t="n"/>
      <c r="B68" s="13" t="n"/>
    </row>
    <row r="69" ht="13.5" customHeight="1">
      <c r="A69" s="13" t="n"/>
      <c r="B69" s="13" t="n"/>
    </row>
    <row r="70" ht="13.5" customHeight="1">
      <c r="A70" s="13" t="n"/>
      <c r="B70" s="13" t="n"/>
    </row>
    <row r="71" ht="13.5" customHeight="1">
      <c r="A71" s="13" t="n"/>
      <c r="B71" s="13" t="n"/>
    </row>
    <row r="72" ht="13.5" customHeight="1">
      <c r="A72" s="13" t="n"/>
      <c r="B72" s="13" t="n"/>
    </row>
    <row r="73" ht="13.5" customHeight="1">
      <c r="A73" s="13" t="n"/>
      <c r="B73" s="13" t="n"/>
    </row>
    <row r="74" ht="13.5" customHeight="1">
      <c r="A74" s="13" t="n"/>
      <c r="B74" s="13" t="n"/>
    </row>
    <row r="75" ht="13.5" customHeight="1">
      <c r="A75" s="13" t="n"/>
      <c r="B75" s="13" t="n"/>
    </row>
    <row r="76" ht="13.5" customHeight="1">
      <c r="A76" s="13" t="n"/>
      <c r="B76" s="13" t="n"/>
    </row>
    <row r="77" ht="13.5" customHeight="1">
      <c r="A77" s="13" t="n"/>
      <c r="B77" s="13" t="n"/>
    </row>
    <row r="78" ht="13.5" customHeight="1">
      <c r="A78" s="13" t="n"/>
      <c r="B78" s="13" t="n"/>
    </row>
    <row r="79" ht="13.5" customHeight="1">
      <c r="A79" s="13" t="n"/>
      <c r="B79" s="13" t="n"/>
    </row>
    <row r="80" ht="13.5" customHeight="1">
      <c r="A80" s="13" t="n"/>
      <c r="B80" s="13" t="n"/>
    </row>
    <row r="81" ht="13.5" customHeight="1">
      <c r="A81" s="13" t="n"/>
      <c r="B81" s="13" t="n"/>
    </row>
    <row r="82" ht="13.5" customHeight="1">
      <c r="A82" s="13" t="n"/>
      <c r="B82" s="13" t="n"/>
    </row>
    <row r="83" ht="13.5" customHeight="1">
      <c r="A83" s="13" t="n"/>
      <c r="B83" s="13" t="n"/>
    </row>
    <row r="84" ht="13.5" customHeight="1">
      <c r="A84" s="13" t="n"/>
      <c r="B84" s="13" t="n"/>
    </row>
    <row r="85" ht="13.5" customHeight="1">
      <c r="A85" s="13" t="n"/>
      <c r="B85" s="13" t="n"/>
    </row>
    <row r="86" ht="13.5" customHeight="1">
      <c r="A86" s="13" t="n"/>
      <c r="B86" s="13" t="n"/>
    </row>
    <row r="87" ht="13.5" customHeight="1">
      <c r="A87" s="13" t="n"/>
      <c r="B87" s="13" t="n"/>
    </row>
    <row r="88" ht="13.5" customHeight="1">
      <c r="A88" s="13" t="n"/>
      <c r="B88" s="13" t="n"/>
    </row>
    <row r="89" ht="13.5" customHeight="1">
      <c r="A89" s="13" t="n"/>
      <c r="B89" s="13" t="n"/>
    </row>
    <row r="90" ht="13.5" customHeight="1">
      <c r="A90" s="13" t="n"/>
      <c r="B90" s="13" t="n"/>
    </row>
    <row r="91" ht="13.5" customHeight="1">
      <c r="A91" s="13" t="n"/>
      <c r="B91" s="13" t="n"/>
    </row>
    <row r="92" ht="13.5" customHeight="1">
      <c r="A92" s="13" t="n"/>
      <c r="B92" s="13" t="n"/>
    </row>
    <row r="93" ht="13.5" customHeight="1">
      <c r="A93" s="13" t="n"/>
      <c r="B93" s="13" t="n"/>
    </row>
    <row r="94" ht="13.5" customHeight="1">
      <c r="A94" s="13" t="n"/>
      <c r="B94" s="13" t="n"/>
    </row>
    <row r="95" ht="13.5" customHeight="1">
      <c r="A95" s="13" t="n"/>
      <c r="B95" s="13" t="n"/>
    </row>
    <row r="96" ht="13.5" customHeight="1">
      <c r="A96" s="13" t="n"/>
      <c r="B96" s="13" t="n"/>
    </row>
    <row r="97" ht="13.5" customHeight="1">
      <c r="A97" s="13" t="n"/>
      <c r="B97" s="13" t="n"/>
    </row>
    <row r="98" ht="13.5" customHeight="1">
      <c r="A98" s="13" t="n"/>
      <c r="B98" s="13" t="n"/>
    </row>
    <row r="99" ht="13.5" customHeight="1">
      <c r="A99" s="13" t="n"/>
      <c r="B99" s="13" t="n"/>
    </row>
    <row r="100" ht="13.5" customHeight="1">
      <c r="A100" s="13" t="n"/>
      <c r="B100" s="13" t="n"/>
    </row>
    <row r="101" ht="13.5" customHeight="1">
      <c r="A101" s="13" t="n"/>
      <c r="B101" s="13" t="n"/>
    </row>
    <row r="102" ht="13.5" customHeight="1">
      <c r="A102" s="13" t="n"/>
      <c r="B102" s="13" t="n"/>
    </row>
    <row r="103" ht="13.5" customHeight="1">
      <c r="A103" s="13" t="n"/>
      <c r="B103" s="13" t="n"/>
    </row>
    <row r="104" ht="13.5" customHeight="1">
      <c r="A104" s="13" t="n"/>
      <c r="B104" s="13" t="n"/>
    </row>
    <row r="105" ht="13.5" customHeight="1">
      <c r="A105" s="13" t="n"/>
      <c r="B105" s="13" t="n"/>
    </row>
    <row r="106" ht="13.5" customHeight="1">
      <c r="A106" s="13" t="n"/>
      <c r="B106" s="13" t="n"/>
    </row>
    <row r="107" ht="13.5" customHeight="1">
      <c r="A107" s="13" t="n"/>
      <c r="B107" s="13" t="n"/>
    </row>
    <row r="108" ht="13.5" customHeight="1">
      <c r="A108" s="13" t="n"/>
      <c r="B108" s="13" t="n"/>
    </row>
    <row r="109" ht="13.5" customHeight="1">
      <c r="A109" s="13" t="n"/>
      <c r="B109" s="13" t="n"/>
    </row>
    <row r="110" ht="13.5" customHeight="1">
      <c r="A110" s="13" t="n"/>
      <c r="B110" s="13" t="n"/>
    </row>
    <row r="111" ht="13.5" customHeight="1">
      <c r="A111" s="13" t="n"/>
      <c r="B111" s="13" t="n"/>
    </row>
    <row r="112" ht="13.5" customHeight="1">
      <c r="A112" s="13" t="n"/>
      <c r="B112" s="13" t="n"/>
    </row>
    <row r="113" ht="13.5" customHeight="1">
      <c r="A113" s="13" t="n"/>
      <c r="B113" s="13" t="n"/>
    </row>
    <row r="114" ht="13.5" customHeight="1">
      <c r="A114" s="13" t="n"/>
      <c r="B114" s="13" t="n"/>
    </row>
    <row r="115" ht="13.5" customHeight="1">
      <c r="A115" s="13" t="n"/>
      <c r="B115" s="13" t="n"/>
    </row>
    <row r="116" ht="13.5" customHeight="1">
      <c r="A116" s="13" t="n"/>
      <c r="B116" s="13" t="n"/>
    </row>
    <row r="117" ht="13.5" customHeight="1">
      <c r="A117" s="13" t="n"/>
      <c r="B117" s="13" t="n"/>
    </row>
    <row r="118" ht="13.5" customHeight="1">
      <c r="A118" s="13" t="n"/>
      <c r="B118" s="13" t="n"/>
    </row>
    <row r="119" ht="13.5" customHeight="1">
      <c r="A119" s="13" t="n"/>
      <c r="B119" s="13" t="n"/>
    </row>
    <row r="120" ht="13.5" customHeight="1">
      <c r="A120" s="13" t="n"/>
      <c r="B120" s="13" t="n"/>
    </row>
    <row r="121" ht="13.5" customHeight="1">
      <c r="A121" s="13" t="n"/>
      <c r="B121" s="13" t="n"/>
    </row>
    <row r="122" ht="13.5" customHeight="1">
      <c r="A122" s="13" t="n"/>
      <c r="B122" s="13" t="n"/>
    </row>
    <row r="123" ht="13.5" customHeight="1">
      <c r="A123" s="13" t="n"/>
      <c r="B123" s="13" t="n"/>
    </row>
    <row r="124" ht="13.5" customHeight="1">
      <c r="A124" s="13" t="n"/>
      <c r="B124" s="13" t="n"/>
    </row>
    <row r="125" ht="13.5" customHeight="1">
      <c r="A125" s="13" t="n"/>
      <c r="B125" s="13" t="n"/>
    </row>
    <row r="126" ht="13.5" customHeight="1">
      <c r="A126" s="13" t="n"/>
      <c r="B126" s="13" t="n"/>
    </row>
    <row r="127" ht="13.5" customHeight="1">
      <c r="A127" s="13" t="n"/>
      <c r="B127" s="13" t="n"/>
    </row>
    <row r="128" ht="13.5" customHeight="1">
      <c r="A128" s="13" t="n"/>
      <c r="B128" s="13" t="n"/>
    </row>
    <row r="129" ht="13.5" customHeight="1">
      <c r="A129" s="13" t="n"/>
      <c r="B129" s="13" t="n"/>
    </row>
    <row r="130" ht="13.5" customHeight="1">
      <c r="A130" s="13" t="n"/>
      <c r="B130" s="13" t="n"/>
    </row>
    <row r="131" ht="13.5" customHeight="1">
      <c r="A131" s="13" t="n"/>
      <c r="B131" s="13" t="n"/>
    </row>
    <row r="132" ht="13.5" customHeight="1">
      <c r="A132" s="13" t="n"/>
      <c r="B132" s="13" t="n"/>
    </row>
    <row r="133" ht="13.5" customHeight="1">
      <c r="A133" s="13" t="n"/>
      <c r="B133" s="13" t="n"/>
    </row>
    <row r="134" ht="13.5" customHeight="1">
      <c r="A134" s="13" t="n"/>
      <c r="B134" s="13" t="n"/>
    </row>
    <row r="135" ht="13.5" customHeight="1">
      <c r="A135" s="13" t="n"/>
      <c r="B135" s="13" t="n"/>
    </row>
    <row r="136" ht="13.5" customHeight="1">
      <c r="A136" s="13" t="n"/>
      <c r="B136" s="13" t="n"/>
    </row>
    <row r="137" ht="13.5" customHeight="1">
      <c r="A137" s="13" t="n"/>
      <c r="B137" s="13" t="n"/>
    </row>
    <row r="138" ht="13.5" customHeight="1">
      <c r="A138" s="13" t="n"/>
      <c r="B138" s="13" t="n"/>
    </row>
    <row r="139" ht="13.5" customHeight="1">
      <c r="A139" s="13" t="n"/>
      <c r="B139" s="13" t="n"/>
    </row>
    <row r="140" ht="13.5" customHeight="1">
      <c r="A140" s="13" t="n"/>
      <c r="B140" s="13" t="n"/>
    </row>
    <row r="141" ht="13.5" customHeight="1">
      <c r="A141" s="13" t="n"/>
      <c r="B141" s="13" t="n"/>
    </row>
    <row r="142" ht="13.5" customHeight="1">
      <c r="A142" s="13" t="n"/>
      <c r="B142" s="13" t="n"/>
    </row>
    <row r="143" ht="13.5" customHeight="1">
      <c r="A143" s="13" t="n"/>
      <c r="B143" s="13" t="n"/>
    </row>
    <row r="144" ht="13.5" customHeight="1">
      <c r="A144" s="13" t="n"/>
      <c r="B144" s="13" t="n"/>
    </row>
    <row r="145" ht="13.5" customHeight="1">
      <c r="A145" s="13" t="n"/>
      <c r="B145" s="13" t="n"/>
    </row>
    <row r="146" ht="13.5" customHeight="1">
      <c r="A146" s="13" t="n"/>
      <c r="B146" s="13" t="n"/>
    </row>
    <row r="147" ht="13.5" customHeight="1">
      <c r="A147" s="13" t="n"/>
      <c r="B147" s="13" t="n"/>
    </row>
    <row r="148" ht="13.5" customHeight="1">
      <c r="A148" s="13" t="n"/>
      <c r="B148" s="13" t="n"/>
    </row>
    <row r="149" ht="13.5" customHeight="1">
      <c r="A149" s="13" t="n"/>
      <c r="B149" s="13" t="n"/>
    </row>
    <row r="150" ht="13.5" customHeight="1">
      <c r="A150" s="13" t="n"/>
      <c r="B150" s="13" t="n"/>
    </row>
    <row r="151" ht="13.5" customHeight="1">
      <c r="A151" s="13" t="n"/>
      <c r="B151" s="13" t="n"/>
    </row>
    <row r="152" ht="13.5" customHeight="1">
      <c r="A152" s="13" t="n"/>
      <c r="B152" s="13" t="n"/>
    </row>
    <row r="153" ht="13.5" customHeight="1">
      <c r="A153" s="13" t="n"/>
      <c r="B153" s="13" t="n"/>
    </row>
    <row r="154" ht="13.5" customHeight="1">
      <c r="A154" s="13" t="n"/>
      <c r="B154" s="13" t="n"/>
    </row>
    <row r="155" ht="13.5" customHeight="1">
      <c r="A155" s="13" t="n"/>
      <c r="B155" s="13" t="n"/>
    </row>
    <row r="156" ht="13.5" customHeight="1">
      <c r="A156" s="13" t="n"/>
      <c r="B156" s="13" t="n"/>
    </row>
    <row r="157" ht="13.5" customHeight="1">
      <c r="A157" s="13" t="n"/>
      <c r="B157" s="13" t="n"/>
    </row>
    <row r="158" ht="13.5" customHeight="1">
      <c r="A158" s="13" t="n"/>
      <c r="B158" s="13" t="n"/>
    </row>
    <row r="159" ht="13.5" customHeight="1">
      <c r="A159" s="13" t="n"/>
      <c r="B159" s="13" t="n"/>
    </row>
    <row r="160" ht="13.5" customHeight="1">
      <c r="A160" s="13" t="n"/>
      <c r="B160" s="13" t="n"/>
    </row>
    <row r="161" ht="13.5" customHeight="1">
      <c r="A161" s="13" t="n"/>
      <c r="B161" s="13" t="n"/>
    </row>
    <row r="162" ht="13.5" customHeight="1">
      <c r="A162" s="13" t="n"/>
      <c r="B162" s="13" t="n"/>
    </row>
    <row r="163" ht="13.5" customHeight="1">
      <c r="A163" s="13" t="n"/>
      <c r="B163" s="13" t="n"/>
    </row>
    <row r="164" ht="13.5" customHeight="1">
      <c r="A164" s="13" t="n"/>
      <c r="B164" s="13" t="n"/>
    </row>
    <row r="165" ht="13.5" customHeight="1">
      <c r="A165" s="13" t="n"/>
      <c r="B165" s="13" t="n"/>
    </row>
    <row r="166" ht="13.5" customHeight="1">
      <c r="A166" s="13" t="n"/>
      <c r="B166" s="13" t="n"/>
    </row>
    <row r="167" ht="13.5" customHeight="1">
      <c r="A167" s="13" t="n"/>
      <c r="B167" s="13" t="n"/>
    </row>
    <row r="168" ht="13.5" customHeight="1">
      <c r="A168" s="13" t="n"/>
      <c r="B168" s="13" t="n"/>
    </row>
    <row r="169" ht="13.5" customHeight="1">
      <c r="A169" s="13" t="n"/>
      <c r="B169" s="13" t="n"/>
    </row>
    <row r="170" ht="13.5" customHeight="1">
      <c r="A170" s="13" t="n"/>
      <c r="B170" s="13" t="n"/>
    </row>
    <row r="171" ht="13.5" customHeight="1">
      <c r="A171" s="13" t="n"/>
      <c r="B171" s="13" t="n"/>
    </row>
    <row r="172" ht="13.5" customHeight="1">
      <c r="A172" s="13" t="n"/>
      <c r="B172" s="13" t="n"/>
    </row>
    <row r="173" ht="13.5" customHeight="1">
      <c r="A173" s="13" t="n"/>
      <c r="B173" s="13" t="n"/>
    </row>
    <row r="174" ht="13.5" customHeight="1">
      <c r="A174" s="13" t="n"/>
      <c r="B174" s="13" t="n"/>
    </row>
    <row r="175" ht="13.5" customHeight="1">
      <c r="A175" s="13" t="n"/>
      <c r="B175" s="13" t="n"/>
    </row>
    <row r="176" ht="13.5" customHeight="1">
      <c r="A176" s="13" t="n"/>
      <c r="B176" s="13" t="n"/>
    </row>
    <row r="177" ht="13.5" customHeight="1">
      <c r="A177" s="13" t="n"/>
      <c r="B177" s="13" t="n"/>
    </row>
    <row r="178" ht="13.5" customHeight="1">
      <c r="A178" s="13" t="n"/>
      <c r="B178" s="13" t="n"/>
    </row>
    <row r="179" ht="13.5" customHeight="1">
      <c r="A179" s="13" t="n"/>
      <c r="B179" s="13" t="n"/>
    </row>
    <row r="180" ht="13.5" customHeight="1">
      <c r="A180" s="13" t="n"/>
      <c r="B180" s="13" t="n"/>
    </row>
    <row r="181" ht="13.5" customHeight="1">
      <c r="A181" s="13" t="n"/>
      <c r="B181" s="13" t="n"/>
    </row>
    <row r="182" ht="13.5" customHeight="1">
      <c r="A182" s="13" t="n"/>
      <c r="B182" s="13" t="n"/>
    </row>
    <row r="183" ht="13.5" customHeight="1">
      <c r="A183" s="13" t="n"/>
      <c r="B183" s="13" t="n"/>
    </row>
    <row r="184" ht="13.5" customHeight="1">
      <c r="A184" s="13" t="n"/>
      <c r="B184" s="13" t="n"/>
    </row>
    <row r="185" ht="13.5" customHeight="1">
      <c r="A185" s="13" t="n"/>
      <c r="B185" s="13" t="n"/>
    </row>
    <row r="186" ht="13.5" customHeight="1">
      <c r="A186" s="13" t="n"/>
      <c r="B186" s="13" t="n"/>
    </row>
    <row r="187" ht="13.5" customHeight="1">
      <c r="A187" s="13" t="n"/>
      <c r="B187" s="13" t="n"/>
    </row>
    <row r="188" ht="13.5" customHeight="1">
      <c r="A188" s="13" t="n"/>
      <c r="B188" s="13" t="n"/>
    </row>
    <row r="189" ht="13.5" customHeight="1">
      <c r="A189" s="13" t="n"/>
      <c r="B189" s="13" t="n"/>
    </row>
    <row r="190" ht="13.5" customHeight="1">
      <c r="A190" s="13" t="n"/>
      <c r="B190" s="13" t="n"/>
    </row>
    <row r="191" ht="13.5" customHeight="1">
      <c r="A191" s="13" t="n"/>
      <c r="B191" s="13" t="n"/>
    </row>
    <row r="192" ht="13.5" customHeight="1">
      <c r="A192" s="13" t="n"/>
      <c r="B192" s="13" t="n"/>
    </row>
    <row r="193" ht="13.5" customHeight="1">
      <c r="A193" s="13" t="n"/>
      <c r="B193" s="13" t="n"/>
    </row>
    <row r="194" ht="13.5" customHeight="1">
      <c r="A194" s="13" t="n"/>
      <c r="B194" s="13" t="n"/>
    </row>
    <row r="195" ht="13.5" customHeight="1">
      <c r="A195" s="13" t="n"/>
      <c r="B195" s="13" t="n"/>
    </row>
    <row r="196" ht="13.5" customHeight="1">
      <c r="A196" s="13" t="n"/>
      <c r="B196" s="13" t="n"/>
    </row>
    <row r="197" ht="13.5" customHeight="1">
      <c r="A197" s="13" t="n"/>
      <c r="B197" s="13" t="n"/>
    </row>
    <row r="198" ht="13.5" customHeight="1">
      <c r="A198" s="13" t="n"/>
      <c r="B198" s="13" t="n"/>
    </row>
    <row r="199" ht="13.5" customHeight="1">
      <c r="A199" s="13" t="n"/>
      <c r="B199" s="13" t="n"/>
    </row>
    <row r="200" ht="13.5" customHeight="1">
      <c r="A200" s="13" t="n"/>
      <c r="B200" s="13" t="n"/>
    </row>
    <row r="201" ht="13.5" customHeight="1">
      <c r="A201" s="13" t="n"/>
      <c r="B201" s="13" t="n"/>
    </row>
    <row r="202" ht="13.5" customHeight="1">
      <c r="A202" s="13" t="n"/>
      <c r="B202" s="13" t="n"/>
    </row>
    <row r="203" ht="13.5" customHeight="1">
      <c r="A203" s="13" t="n"/>
      <c r="B203" s="13" t="n"/>
    </row>
    <row r="204" ht="13.5" customHeight="1">
      <c r="A204" s="13" t="n"/>
      <c r="B204" s="13" t="n"/>
    </row>
    <row r="205" ht="13.5" customHeight="1">
      <c r="A205" s="13" t="n"/>
      <c r="B205" s="13" t="n"/>
    </row>
    <row r="206" ht="13.5" customHeight="1">
      <c r="A206" s="13" t="n"/>
      <c r="B206" s="13" t="n"/>
    </row>
    <row r="207" ht="13.5" customHeight="1">
      <c r="A207" s="13" t="n"/>
      <c r="B207" s="13" t="n"/>
    </row>
    <row r="208" ht="13.5" customHeight="1">
      <c r="A208" s="13" t="n"/>
      <c r="B208" s="13" t="n"/>
    </row>
    <row r="209" ht="13.5" customHeight="1">
      <c r="A209" s="13" t="n"/>
      <c r="B209" s="13" t="n"/>
    </row>
    <row r="210" ht="13.5" customHeight="1">
      <c r="A210" s="13" t="n"/>
      <c r="B210" s="13" t="n"/>
    </row>
    <row r="211" ht="13.5" customHeight="1">
      <c r="A211" s="13" t="n"/>
      <c r="B211" s="13" t="n"/>
    </row>
    <row r="212" ht="13.5" customHeight="1">
      <c r="A212" s="13" t="n"/>
      <c r="B212" s="13" t="n"/>
    </row>
    <row r="213" ht="13.5" customHeight="1">
      <c r="A213" s="13" t="n"/>
      <c r="B213" s="13" t="n"/>
    </row>
    <row r="214" ht="13.5" customHeight="1">
      <c r="A214" s="13" t="n"/>
      <c r="B214" s="13" t="n"/>
    </row>
    <row r="215" ht="13.5" customHeight="1">
      <c r="A215" s="13" t="n"/>
      <c r="B215" s="13" t="n"/>
    </row>
    <row r="216" ht="13.5" customHeight="1">
      <c r="A216" s="13" t="n"/>
      <c r="B216" s="13" t="n"/>
    </row>
    <row r="217" ht="13.5" customHeight="1">
      <c r="A217" s="13" t="n"/>
      <c r="B217" s="13" t="n"/>
    </row>
    <row r="218" ht="13.5" customHeight="1">
      <c r="A218" s="13" t="n"/>
      <c r="B218" s="13" t="n"/>
    </row>
    <row r="219" ht="13.5" customHeight="1">
      <c r="A219" s="13" t="n"/>
      <c r="B219" s="13" t="n"/>
    </row>
    <row r="220" ht="13.5" customHeight="1">
      <c r="A220" s="13" t="n"/>
      <c r="B220" s="13" t="n"/>
    </row>
    <row r="221" ht="13.5" customHeight="1">
      <c r="A221" s="13" t="n"/>
      <c r="B221" s="13" t="n"/>
    </row>
    <row r="222" ht="13.5" customHeight="1">
      <c r="A222" s="13" t="n"/>
      <c r="B222" s="13" t="n"/>
    </row>
    <row r="223" ht="13.5" customHeight="1">
      <c r="A223" s="13" t="n"/>
      <c r="B223" s="13" t="n"/>
    </row>
    <row r="224" ht="13.5" customHeight="1">
      <c r="A224" s="13" t="n"/>
      <c r="B224" s="13" t="n"/>
    </row>
    <row r="225" ht="13.5" customHeight="1">
      <c r="A225" s="13" t="n"/>
      <c r="B225" s="13" t="n"/>
    </row>
    <row r="226" ht="13.5" customHeight="1">
      <c r="A226" s="13" t="n"/>
      <c r="B226" s="13" t="n"/>
    </row>
    <row r="227" ht="13.5" customHeight="1">
      <c r="A227" s="13" t="n"/>
      <c r="B227" s="13" t="n"/>
    </row>
    <row r="228" ht="13.5" customHeight="1">
      <c r="A228" s="13" t="n"/>
      <c r="B228" s="13" t="n"/>
    </row>
    <row r="229" ht="13.5" customHeight="1">
      <c r="A229" s="13" t="n"/>
      <c r="B229" s="13" t="n"/>
    </row>
    <row r="230" ht="13.5" customHeight="1">
      <c r="A230" s="13" t="n"/>
      <c r="B230" s="13" t="n"/>
    </row>
    <row r="231" ht="13.5" customHeight="1">
      <c r="A231" s="13" t="n"/>
      <c r="B231" s="13" t="n"/>
    </row>
    <row r="232" ht="13.5" customHeight="1">
      <c r="A232" s="13" t="n"/>
      <c r="B232" s="13" t="n"/>
    </row>
    <row r="233" ht="13.5" customHeight="1">
      <c r="A233" s="13" t="n"/>
      <c r="B233" s="13" t="n"/>
    </row>
    <row r="234" ht="13.5" customHeight="1">
      <c r="A234" s="13" t="n"/>
      <c r="B234" s="13" t="n"/>
    </row>
    <row r="235" ht="13.5" customHeight="1">
      <c r="A235" s="13" t="n"/>
      <c r="B235" s="13" t="n"/>
    </row>
    <row r="236" ht="13.5" customHeight="1">
      <c r="A236" s="13" t="n"/>
      <c r="B236" s="13" t="n"/>
    </row>
    <row r="237" ht="13.5" customHeight="1">
      <c r="A237" s="13" t="n"/>
      <c r="B237" s="13" t="n"/>
    </row>
    <row r="238" ht="13.5" customHeight="1">
      <c r="A238" s="13" t="n"/>
      <c r="B238" s="13" t="n"/>
    </row>
    <row r="239" ht="13.5" customHeight="1">
      <c r="A239" s="13" t="n"/>
      <c r="B239" s="13" t="n"/>
    </row>
    <row r="240" ht="13.5" customHeight="1">
      <c r="A240" s="13" t="n"/>
      <c r="B240" s="13" t="n"/>
    </row>
    <row r="241" ht="13.5" customHeight="1">
      <c r="A241" s="13" t="n"/>
      <c r="B241" s="13" t="n"/>
    </row>
    <row r="242" ht="13.5" customHeight="1">
      <c r="A242" s="13" t="n"/>
      <c r="B242" s="13" t="n"/>
    </row>
    <row r="243" ht="13.5" customHeight="1">
      <c r="A243" s="13" t="n"/>
      <c r="B243" s="13" t="n"/>
    </row>
    <row r="244" ht="13.5" customHeight="1">
      <c r="A244" s="13" t="n"/>
      <c r="B244" s="13" t="n"/>
    </row>
    <row r="245" ht="13.5" customHeight="1">
      <c r="A245" s="13" t="n"/>
      <c r="B245" s="13" t="n"/>
    </row>
    <row r="246" ht="13.5" customHeight="1">
      <c r="A246" s="13" t="n"/>
      <c r="B246" s="13" t="n"/>
    </row>
    <row r="247" ht="13.5" customHeight="1">
      <c r="A247" s="13" t="n"/>
      <c r="B247" s="13" t="n"/>
    </row>
    <row r="248" ht="13.5" customHeight="1">
      <c r="A248" s="13" t="n"/>
      <c r="B248" s="13" t="n"/>
    </row>
    <row r="249" ht="13.5" customHeight="1">
      <c r="A249" s="13" t="n"/>
      <c r="B249" s="13" t="n"/>
    </row>
    <row r="250" ht="13.5" customHeight="1">
      <c r="A250" s="13" t="n"/>
      <c r="B250" s="13" t="n"/>
    </row>
    <row r="251" ht="13.5" customHeight="1">
      <c r="A251" s="13" t="n"/>
      <c r="B251" s="13" t="n"/>
    </row>
    <row r="252" ht="13.5" customHeight="1">
      <c r="A252" s="13" t="n"/>
      <c r="B252" s="13" t="n"/>
    </row>
    <row r="253" ht="13.5" customHeight="1">
      <c r="A253" s="13" t="n"/>
      <c r="B253" s="13" t="n"/>
    </row>
    <row r="254" ht="13.5" customHeight="1">
      <c r="A254" s="13" t="n"/>
      <c r="B254" s="13" t="n"/>
    </row>
    <row r="255" ht="13.5" customHeight="1">
      <c r="A255" s="13" t="n"/>
      <c r="B255" s="13" t="n"/>
    </row>
    <row r="256" ht="13.5" customHeight="1">
      <c r="A256" s="13" t="n"/>
      <c r="B256" s="13" t="n"/>
    </row>
    <row r="257" ht="13.5" customHeight="1">
      <c r="A257" s="13" t="n"/>
      <c r="B257" s="13" t="n"/>
    </row>
    <row r="258" ht="13.5" customHeight="1">
      <c r="A258" s="13" t="n"/>
      <c r="B258" s="13" t="n"/>
    </row>
    <row r="259" ht="13.5" customHeight="1">
      <c r="A259" s="13" t="n"/>
      <c r="B259" s="13" t="n"/>
    </row>
    <row r="260" ht="13.5" customHeight="1">
      <c r="A260" s="13" t="n"/>
      <c r="B260" s="13" t="n"/>
    </row>
    <row r="261" ht="13.5" customHeight="1">
      <c r="A261" s="13" t="n"/>
      <c r="B261" s="13" t="n"/>
    </row>
    <row r="262" ht="13.5" customHeight="1">
      <c r="A262" s="13" t="n"/>
      <c r="B262" s="13" t="n"/>
    </row>
    <row r="263" ht="13.5" customHeight="1">
      <c r="A263" s="13" t="n"/>
      <c r="B263" s="13" t="n"/>
    </row>
    <row r="264" ht="13.5" customHeight="1">
      <c r="A264" s="13" t="n"/>
      <c r="B264" s="13" t="n"/>
    </row>
    <row r="265" ht="13.5" customHeight="1">
      <c r="A265" s="13" t="n"/>
      <c r="B265" s="13" t="n"/>
    </row>
    <row r="266" ht="13.5" customHeight="1">
      <c r="A266" s="13" t="n"/>
      <c r="B266" s="13" t="n"/>
    </row>
    <row r="267" ht="13.5" customHeight="1">
      <c r="A267" s="13" t="n"/>
      <c r="B267" s="13" t="n"/>
    </row>
    <row r="268" ht="13.5" customHeight="1">
      <c r="A268" s="13" t="n"/>
      <c r="B268" s="13" t="n"/>
    </row>
    <row r="269" ht="13.5" customHeight="1">
      <c r="A269" s="13" t="n"/>
      <c r="B269" s="13" t="n"/>
    </row>
    <row r="270" ht="13.5" customHeight="1">
      <c r="A270" s="13" t="n"/>
      <c r="B270" s="13" t="n"/>
    </row>
    <row r="271" ht="13.5" customHeight="1">
      <c r="A271" s="13" t="n"/>
      <c r="B271" s="13" t="n"/>
    </row>
    <row r="272" ht="13.5" customHeight="1">
      <c r="A272" s="13" t="n"/>
      <c r="B272" s="13" t="n"/>
    </row>
    <row r="273" ht="13.5" customHeight="1">
      <c r="A273" s="13" t="n"/>
      <c r="B273" s="13" t="n"/>
    </row>
    <row r="274" ht="13.5" customHeight="1">
      <c r="A274" s="13" t="n"/>
      <c r="B274" s="13" t="n"/>
    </row>
    <row r="275" ht="13.5" customHeight="1">
      <c r="A275" s="13" t="n"/>
      <c r="B275" s="13" t="n"/>
    </row>
    <row r="276" ht="13.5" customHeight="1">
      <c r="A276" s="13" t="n"/>
      <c r="B276" s="13" t="n"/>
    </row>
    <row r="277" ht="13.5" customHeight="1">
      <c r="A277" s="13" t="n"/>
      <c r="B277" s="13" t="n"/>
    </row>
    <row r="278" ht="13.5" customHeight="1">
      <c r="A278" s="13" t="n"/>
      <c r="B278" s="13" t="n"/>
    </row>
    <row r="279" ht="13.5" customHeight="1">
      <c r="A279" s="13" t="n"/>
      <c r="B279" s="13" t="n"/>
    </row>
    <row r="280" ht="13.5" customHeight="1">
      <c r="A280" s="13" t="n"/>
      <c r="B280" s="13" t="n"/>
    </row>
    <row r="281" ht="13.5" customHeight="1">
      <c r="A281" s="13" t="n"/>
      <c r="B281" s="13" t="n"/>
    </row>
    <row r="282" ht="13.5" customHeight="1">
      <c r="A282" s="13" t="n"/>
      <c r="B282" s="13" t="n"/>
    </row>
    <row r="283" ht="13.5" customHeight="1">
      <c r="A283" s="13" t="n"/>
      <c r="B283" s="13" t="n"/>
    </row>
    <row r="284" ht="13.5" customHeight="1">
      <c r="A284" s="13" t="n"/>
      <c r="B284" s="13" t="n"/>
    </row>
    <row r="285" ht="13.5" customHeight="1">
      <c r="A285" s="13" t="n"/>
      <c r="B285" s="13" t="n"/>
    </row>
    <row r="286" ht="13.5" customHeight="1">
      <c r="A286" s="13" t="n"/>
      <c r="B286" s="13" t="n"/>
    </row>
    <row r="287" ht="13.5" customHeight="1">
      <c r="A287" s="13" t="n"/>
      <c r="B287" s="13" t="n"/>
    </row>
    <row r="288" ht="13.5" customHeight="1">
      <c r="A288" s="13" t="n"/>
      <c r="B288" s="13" t="n"/>
    </row>
    <row r="289" ht="13.5" customHeight="1">
      <c r="A289" s="13" t="n"/>
      <c r="B289" s="13" t="n"/>
    </row>
    <row r="290" ht="13.5" customHeight="1">
      <c r="A290" s="13" t="n"/>
      <c r="B290" s="13" t="n"/>
    </row>
    <row r="291" ht="13.5" customHeight="1">
      <c r="A291" s="13" t="n"/>
      <c r="B291" s="13" t="n"/>
    </row>
    <row r="292" ht="13.5" customHeight="1">
      <c r="A292" s="13" t="n"/>
      <c r="B292" s="13" t="n"/>
    </row>
    <row r="293" ht="13.5" customHeight="1">
      <c r="A293" s="13" t="n"/>
      <c r="B293" s="13" t="n"/>
    </row>
    <row r="294" ht="13.5" customHeight="1">
      <c r="A294" s="13" t="n"/>
      <c r="B294" s="13" t="n"/>
    </row>
    <row r="295" ht="13.5" customHeight="1">
      <c r="A295" s="13" t="n"/>
      <c r="B295" s="13" t="n"/>
    </row>
    <row r="296" ht="13.5" customHeight="1">
      <c r="A296" s="13" t="n"/>
      <c r="B296" s="13" t="n"/>
    </row>
    <row r="297" ht="13.5" customHeight="1">
      <c r="A297" s="13" t="n"/>
      <c r="B297" s="13" t="n"/>
    </row>
    <row r="298" ht="13.5" customHeight="1">
      <c r="A298" s="13" t="n"/>
      <c r="B298" s="13" t="n"/>
    </row>
    <row r="299" ht="13.5" customHeight="1">
      <c r="A299" s="13" t="n"/>
      <c r="B299" s="13" t="n"/>
    </row>
    <row r="300" ht="13.5" customHeight="1">
      <c r="A300" s="13" t="n"/>
      <c r="B300" s="13" t="n"/>
    </row>
    <row r="301" ht="13.5" customHeight="1">
      <c r="A301" s="13" t="n"/>
      <c r="B301" s="13" t="n"/>
    </row>
    <row r="302" ht="13.5" customHeight="1">
      <c r="A302" s="13" t="n"/>
      <c r="B302" s="13" t="n"/>
    </row>
    <row r="303" ht="13.5" customHeight="1">
      <c r="A303" s="13" t="n"/>
      <c r="B303" s="13" t="n"/>
    </row>
    <row r="304" ht="13.5" customHeight="1">
      <c r="A304" s="13" t="n"/>
      <c r="B304" s="13" t="n"/>
    </row>
    <row r="305" ht="13.5" customHeight="1">
      <c r="A305" s="13" t="n"/>
      <c r="B305" s="13" t="n"/>
    </row>
    <row r="306" ht="13.5" customHeight="1">
      <c r="A306" s="13" t="n"/>
      <c r="B306" s="13" t="n"/>
    </row>
    <row r="307" ht="13.5" customHeight="1">
      <c r="A307" s="13" t="n"/>
      <c r="B307" s="13" t="n"/>
    </row>
    <row r="308" ht="13.5" customHeight="1">
      <c r="A308" s="13" t="n"/>
      <c r="B308" s="13" t="n"/>
    </row>
    <row r="309" ht="13.5" customHeight="1">
      <c r="A309" s="13" t="n"/>
      <c r="B309" s="13" t="n"/>
    </row>
    <row r="310" ht="13.5" customHeight="1">
      <c r="A310" s="13" t="n"/>
      <c r="B310" s="13" t="n"/>
    </row>
    <row r="311" ht="13.5" customHeight="1">
      <c r="A311" s="13" t="n"/>
      <c r="B311" s="13" t="n"/>
    </row>
    <row r="312" ht="13.5" customHeight="1">
      <c r="A312" s="13" t="n"/>
      <c r="B312" s="13" t="n"/>
    </row>
    <row r="313" ht="13.5" customHeight="1">
      <c r="A313" s="13" t="n"/>
      <c r="B313" s="13" t="n"/>
    </row>
    <row r="314" ht="13.5" customHeight="1">
      <c r="A314" s="13" t="n"/>
      <c r="B314" s="13" t="n"/>
    </row>
    <row r="315" ht="13.5" customHeight="1">
      <c r="A315" s="13" t="n"/>
      <c r="B315" s="13" t="n"/>
    </row>
    <row r="316" ht="13.5" customHeight="1">
      <c r="A316" s="13" t="n"/>
      <c r="B316" s="13" t="n"/>
    </row>
    <row r="317" ht="13.5" customHeight="1">
      <c r="A317" s="13" t="n"/>
      <c r="B317" s="13" t="n"/>
    </row>
    <row r="318" ht="13.5" customHeight="1">
      <c r="A318" s="13" t="n"/>
      <c r="B318" s="13" t="n"/>
    </row>
    <row r="319" ht="13.5" customHeight="1">
      <c r="A319" s="13" t="n"/>
      <c r="B319" s="13" t="n"/>
    </row>
    <row r="320" ht="13.5" customHeight="1">
      <c r="A320" s="13" t="n"/>
      <c r="B320" s="13" t="n"/>
    </row>
    <row r="321" ht="13.5" customHeight="1">
      <c r="A321" s="13" t="n"/>
      <c r="B321" s="13" t="n"/>
    </row>
    <row r="322" ht="13.5" customHeight="1">
      <c r="A322" s="13" t="n"/>
      <c r="B322" s="13" t="n"/>
    </row>
    <row r="323" ht="13.5" customHeight="1">
      <c r="A323" s="13" t="n"/>
      <c r="B323" s="13" t="n"/>
    </row>
    <row r="324" ht="13.5" customHeight="1">
      <c r="A324" s="13" t="n"/>
      <c r="B324" s="13" t="n"/>
    </row>
    <row r="325" ht="13.5" customHeight="1">
      <c r="A325" s="13" t="n"/>
      <c r="B325" s="13" t="n"/>
    </row>
    <row r="326" ht="13.5" customHeight="1">
      <c r="A326" s="13" t="n"/>
      <c r="B326" s="13" t="n"/>
    </row>
    <row r="327" ht="13.5" customHeight="1">
      <c r="A327" s="13" t="n"/>
      <c r="B327" s="13" t="n"/>
    </row>
    <row r="328" ht="13.5" customHeight="1">
      <c r="A328" s="13" t="n"/>
      <c r="B328" s="13" t="n"/>
    </row>
    <row r="329" ht="13.5" customHeight="1">
      <c r="A329" s="13" t="n"/>
      <c r="B329" s="13" t="n"/>
    </row>
    <row r="330" ht="13.5" customHeight="1">
      <c r="A330" s="13" t="n"/>
      <c r="B330" s="13" t="n"/>
    </row>
    <row r="331" ht="13.5" customHeight="1">
      <c r="A331" s="13" t="n"/>
      <c r="B331" s="13" t="n"/>
    </row>
    <row r="332" ht="13.5" customHeight="1">
      <c r="A332" s="13" t="n"/>
      <c r="B332" s="13" t="n"/>
    </row>
    <row r="333" ht="13.5" customHeight="1">
      <c r="A333" s="13" t="n"/>
      <c r="B333" s="13" t="n"/>
    </row>
    <row r="334" ht="13.5" customHeight="1">
      <c r="A334" s="13" t="n"/>
      <c r="B334" s="13" t="n"/>
    </row>
    <row r="335" ht="13.5" customHeight="1">
      <c r="A335" s="13" t="n"/>
      <c r="B335" s="13" t="n"/>
    </row>
    <row r="336" ht="13.5" customHeight="1">
      <c r="A336" s="13" t="n"/>
      <c r="B336" s="13" t="n"/>
    </row>
    <row r="337" ht="13.5" customHeight="1">
      <c r="A337" s="13" t="n"/>
      <c r="B337" s="13" t="n"/>
    </row>
    <row r="338" ht="13.5" customHeight="1">
      <c r="A338" s="13" t="n"/>
      <c r="B338" s="13" t="n"/>
    </row>
    <row r="339" ht="13.5" customHeight="1">
      <c r="A339" s="13" t="n"/>
      <c r="B339" s="13" t="n"/>
    </row>
    <row r="340" ht="13.5" customHeight="1">
      <c r="A340" s="13" t="n"/>
      <c r="B340" s="13" t="n"/>
    </row>
    <row r="341" ht="13.5" customHeight="1">
      <c r="A341" s="13" t="n"/>
      <c r="B341" s="13" t="n"/>
    </row>
    <row r="342" ht="13.5" customHeight="1">
      <c r="A342" s="13" t="n"/>
      <c r="B342" s="13" t="n"/>
    </row>
    <row r="343" ht="13.5" customHeight="1">
      <c r="A343" s="13" t="n"/>
      <c r="B343" s="13" t="n"/>
    </row>
    <row r="344" ht="13.5" customHeight="1">
      <c r="A344" s="13" t="n"/>
      <c r="B344" s="13" t="n"/>
    </row>
    <row r="345" ht="13.5" customHeight="1">
      <c r="A345" s="13" t="n"/>
      <c r="B345" s="13" t="n"/>
    </row>
    <row r="346" ht="13.5" customHeight="1">
      <c r="A346" s="13" t="n"/>
      <c r="B346" s="13" t="n"/>
    </row>
    <row r="347" ht="13.5" customHeight="1">
      <c r="A347" s="13" t="n"/>
      <c r="B347" s="13" t="n"/>
    </row>
    <row r="348" ht="13.5" customHeight="1">
      <c r="A348" s="13" t="n"/>
      <c r="B348" s="13" t="n"/>
    </row>
    <row r="349" ht="13.5" customHeight="1">
      <c r="A349" s="13" t="n"/>
      <c r="B349" s="13" t="n"/>
    </row>
    <row r="350" ht="13.5" customHeight="1">
      <c r="A350" s="13" t="n"/>
      <c r="B350" s="13" t="n"/>
    </row>
    <row r="351" ht="13.5" customHeight="1">
      <c r="A351" s="13" t="n"/>
      <c r="B351" s="13" t="n"/>
    </row>
    <row r="352" ht="13.5" customHeight="1">
      <c r="A352" s="13" t="n"/>
      <c r="B352" s="13" t="n"/>
    </row>
    <row r="353" ht="13.5" customHeight="1">
      <c r="A353" s="13" t="n"/>
      <c r="B353" s="13" t="n"/>
    </row>
    <row r="354" ht="13.5" customHeight="1">
      <c r="A354" s="13" t="n"/>
      <c r="B354" s="13" t="n"/>
    </row>
    <row r="355" ht="13.5" customHeight="1">
      <c r="A355" s="13" t="n"/>
      <c r="B355" s="13" t="n"/>
    </row>
    <row r="356" ht="13.5" customHeight="1">
      <c r="A356" s="13" t="n"/>
      <c r="B356" s="13" t="n"/>
    </row>
    <row r="357" ht="13.5" customHeight="1">
      <c r="A357" s="13" t="n"/>
      <c r="B357" s="13" t="n"/>
    </row>
    <row r="358" ht="13.5" customHeight="1">
      <c r="A358" s="13" t="n"/>
      <c r="B358" s="13" t="n"/>
    </row>
    <row r="359" ht="13.5" customHeight="1">
      <c r="A359" s="13" t="n"/>
      <c r="B359" s="13" t="n"/>
    </row>
    <row r="360" ht="13.5" customHeight="1">
      <c r="A360" s="13" t="n"/>
      <c r="B360" s="13" t="n"/>
    </row>
    <row r="361" ht="13.5" customHeight="1">
      <c r="A361" s="13" t="n"/>
      <c r="B361" s="13" t="n"/>
    </row>
    <row r="362" ht="13.5" customHeight="1">
      <c r="A362" s="13" t="n"/>
      <c r="B362" s="13" t="n"/>
    </row>
    <row r="363" ht="13.5" customHeight="1">
      <c r="A363" s="13" t="n"/>
      <c r="B363" s="13" t="n"/>
    </row>
    <row r="364" ht="13.5" customHeight="1">
      <c r="A364" s="13" t="n"/>
      <c r="B364" s="13" t="n"/>
    </row>
    <row r="365" ht="13.5" customHeight="1">
      <c r="A365" s="13" t="n"/>
      <c r="B365" s="13" t="n"/>
    </row>
    <row r="366" ht="13.5" customHeight="1">
      <c r="A366" s="13" t="n"/>
      <c r="B366" s="13" t="n"/>
    </row>
    <row r="367" ht="13.5" customHeight="1">
      <c r="A367" s="13" t="n"/>
      <c r="B367" s="13" t="n"/>
    </row>
    <row r="368" ht="13.5" customHeight="1">
      <c r="A368" s="13" t="n"/>
      <c r="B368" s="13" t="n"/>
    </row>
    <row r="369" ht="13.5" customHeight="1">
      <c r="A369" s="13" t="n"/>
      <c r="B369" s="13" t="n"/>
    </row>
    <row r="370" ht="13.5" customHeight="1">
      <c r="A370" s="13" t="n"/>
      <c r="B370" s="13" t="n"/>
    </row>
    <row r="371" ht="13.5" customHeight="1">
      <c r="A371" s="13" t="n"/>
      <c r="B371" s="13" t="n"/>
    </row>
    <row r="372" ht="13.5" customHeight="1">
      <c r="A372" s="13" t="n"/>
      <c r="B372" s="13" t="n"/>
    </row>
    <row r="373" ht="13.5" customHeight="1">
      <c r="A373" s="13" t="n"/>
      <c r="B373" s="13" t="n"/>
    </row>
    <row r="374" ht="13.5" customHeight="1">
      <c r="A374" s="13" t="n"/>
      <c r="B374" s="13" t="n"/>
    </row>
    <row r="375" ht="13.5" customHeight="1">
      <c r="A375" s="13" t="n"/>
      <c r="B375" s="13" t="n"/>
    </row>
    <row r="376" ht="13.5" customHeight="1">
      <c r="A376" s="13" t="n"/>
      <c r="B376" s="13" t="n"/>
    </row>
    <row r="377" ht="13.5" customHeight="1">
      <c r="A377" s="13" t="n"/>
      <c r="B377" s="13" t="n"/>
    </row>
    <row r="378" ht="13.5" customHeight="1">
      <c r="A378" s="13" t="n"/>
      <c r="B378" s="13" t="n"/>
    </row>
    <row r="379" ht="13.5" customHeight="1">
      <c r="A379" s="13" t="n"/>
      <c r="B379" s="13" t="n"/>
    </row>
    <row r="380" ht="13.5" customHeight="1">
      <c r="A380" s="13" t="n"/>
      <c r="B380" s="13" t="n"/>
    </row>
    <row r="381" ht="13.5" customHeight="1">
      <c r="A381" s="13" t="n"/>
      <c r="B381" s="13" t="n"/>
    </row>
    <row r="382" ht="13.5" customHeight="1">
      <c r="A382" s="13" t="n"/>
      <c r="B382" s="13" t="n"/>
    </row>
    <row r="383" ht="13.5" customHeight="1">
      <c r="A383" s="13" t="n"/>
      <c r="B383" s="13" t="n"/>
    </row>
    <row r="384" ht="13.5" customHeight="1">
      <c r="A384" s="13" t="n"/>
      <c r="B384" s="13" t="n"/>
    </row>
    <row r="385" ht="13.5" customHeight="1">
      <c r="A385" s="13" t="n"/>
      <c r="B385" s="13" t="n"/>
    </row>
    <row r="386" ht="13.5" customHeight="1">
      <c r="A386" s="13" t="n"/>
      <c r="B386" s="13" t="n"/>
    </row>
    <row r="387" ht="13.5" customHeight="1">
      <c r="A387" s="13" t="n"/>
      <c r="B387" s="13" t="n"/>
    </row>
    <row r="388" ht="13.5" customHeight="1">
      <c r="A388" s="13" t="n"/>
      <c r="B388" s="13" t="n"/>
    </row>
    <row r="389" ht="13.5" customHeight="1">
      <c r="A389" s="13" t="n"/>
      <c r="B389" s="13" t="n"/>
    </row>
    <row r="390" ht="13.5" customHeight="1">
      <c r="A390" s="13" t="n"/>
      <c r="B390" s="13" t="n"/>
    </row>
    <row r="391" ht="13.5" customHeight="1">
      <c r="A391" s="13" t="n"/>
      <c r="B391" s="13" t="n"/>
    </row>
    <row r="392" ht="13.5" customHeight="1">
      <c r="A392" s="13" t="n"/>
      <c r="B392" s="13" t="n"/>
    </row>
    <row r="393" ht="13.5" customHeight="1">
      <c r="A393" s="13" t="n"/>
      <c r="B393" s="13" t="n"/>
    </row>
    <row r="394" ht="13.5" customHeight="1">
      <c r="A394" s="13" t="n"/>
      <c r="B394" s="13" t="n"/>
    </row>
    <row r="395" ht="13.5" customHeight="1">
      <c r="A395" s="13" t="n"/>
      <c r="B395" s="13" t="n"/>
    </row>
    <row r="396" ht="13.5" customHeight="1">
      <c r="A396" s="13" t="n"/>
      <c r="B396" s="13" t="n"/>
    </row>
    <row r="397" ht="13.5" customHeight="1">
      <c r="A397" s="13" t="n"/>
      <c r="B397" s="13" t="n"/>
    </row>
    <row r="398" ht="13.5" customHeight="1">
      <c r="A398" s="13" t="n"/>
      <c r="B398" s="13" t="n"/>
    </row>
    <row r="399" ht="13.5" customHeight="1">
      <c r="A399" s="13" t="n"/>
      <c r="B399" s="13" t="n"/>
    </row>
    <row r="400" ht="13.5" customHeight="1">
      <c r="A400" s="13" t="n"/>
      <c r="B400" s="13" t="n"/>
    </row>
    <row r="401" ht="13.5" customHeight="1">
      <c r="A401" s="13" t="n"/>
      <c r="B401" s="13" t="n"/>
    </row>
    <row r="402" ht="13.5" customHeight="1">
      <c r="A402" s="13" t="n"/>
      <c r="B402" s="13" t="n"/>
    </row>
    <row r="403" ht="13.5" customHeight="1">
      <c r="A403" s="13" t="n"/>
      <c r="B403" s="13" t="n"/>
    </row>
    <row r="404" ht="13.5" customHeight="1">
      <c r="A404" s="13" t="n"/>
      <c r="B404" s="13" t="n"/>
    </row>
    <row r="405" ht="13.5" customHeight="1">
      <c r="A405" s="13" t="n"/>
      <c r="B405" s="13" t="n"/>
    </row>
    <row r="406" ht="13.5" customHeight="1">
      <c r="A406" s="13" t="n"/>
      <c r="B406" s="13" t="n"/>
    </row>
    <row r="407" ht="13.5" customHeight="1">
      <c r="A407" s="13" t="n"/>
      <c r="B407" s="13" t="n"/>
    </row>
    <row r="408" ht="13.5" customHeight="1">
      <c r="A408" s="13" t="n"/>
      <c r="B408" s="13" t="n"/>
    </row>
    <row r="409" ht="13.5" customHeight="1">
      <c r="A409" s="13" t="n"/>
      <c r="B409" s="13" t="n"/>
    </row>
    <row r="410" ht="13.5" customHeight="1">
      <c r="A410" s="13" t="n"/>
      <c r="B410" s="13" t="n"/>
    </row>
    <row r="411" ht="13.5" customHeight="1">
      <c r="A411" s="13" t="n"/>
      <c r="B411" s="13" t="n"/>
    </row>
    <row r="412" ht="13.5" customHeight="1">
      <c r="A412" s="13" t="n"/>
      <c r="B412" s="13" t="n"/>
    </row>
    <row r="413" ht="13.5" customHeight="1">
      <c r="A413" s="13" t="n"/>
      <c r="B413" s="13" t="n"/>
    </row>
    <row r="414" ht="13.5" customHeight="1">
      <c r="A414" s="13" t="n"/>
      <c r="B414" s="13" t="n"/>
    </row>
    <row r="415" ht="13.5" customHeight="1">
      <c r="A415" s="13" t="n"/>
      <c r="B415" s="13" t="n"/>
    </row>
    <row r="416" ht="13.5" customHeight="1">
      <c r="A416" s="13" t="n"/>
      <c r="B416" s="13" t="n"/>
    </row>
    <row r="417" ht="13.5" customHeight="1">
      <c r="A417" s="13" t="n"/>
      <c r="B417" s="13" t="n"/>
    </row>
    <row r="418" ht="13.5" customHeight="1">
      <c r="A418" s="13" t="n"/>
      <c r="B418" s="13" t="n"/>
    </row>
    <row r="419" ht="13.5" customHeight="1">
      <c r="A419" s="13" t="n"/>
      <c r="B419" s="13" t="n"/>
    </row>
    <row r="420" ht="13.5" customHeight="1">
      <c r="A420" s="13" t="n"/>
    </row>
    <row r="421" ht="13.5" customHeight="1">
      <c r="A421" s="13" t="n"/>
    </row>
    <row r="422" ht="13.5" customHeight="1">
      <c r="A422" s="13" t="n"/>
    </row>
    <row r="423" ht="13.5" customHeight="1">
      <c r="A423" s="13" t="n"/>
    </row>
    <row r="424" ht="13.5" customHeight="1">
      <c r="A424" s="13" t="n"/>
    </row>
    <row r="425" ht="13.5" customHeight="1">
      <c r="A425" s="13" t="n"/>
    </row>
    <row r="426" ht="13.5" customHeight="1">
      <c r="A426" s="13" t="n"/>
    </row>
    <row r="427" ht="13.5" customHeight="1">
      <c r="A427" s="13" t="n"/>
    </row>
    <row r="428" ht="13.5" customHeight="1">
      <c r="A428" s="13" t="n"/>
    </row>
    <row r="429" ht="13.5" customHeight="1">
      <c r="A429" s="13" t="n"/>
    </row>
    <row r="430" ht="13.5" customHeight="1">
      <c r="A430" s="13" t="n"/>
    </row>
    <row r="431" ht="13.5" customHeight="1">
      <c r="A431" s="13" t="n"/>
    </row>
    <row r="432" ht="13.5" customHeight="1">
      <c r="A432" s="13" t="n"/>
    </row>
    <row r="433" ht="13.5" customHeight="1">
      <c r="A433" s="13" t="n"/>
    </row>
    <row r="434" ht="13.5" customHeight="1">
      <c r="A434" s="13" t="n"/>
    </row>
    <row r="435" ht="13.5" customHeight="1">
      <c r="A435" s="13" t="n"/>
    </row>
    <row r="436" ht="13.5" customHeight="1">
      <c r="A436" s="13" t="n"/>
    </row>
    <row r="437" ht="13.5" customHeight="1">
      <c r="A437" s="13" t="n"/>
    </row>
    <row r="438" ht="13.5" customHeight="1">
      <c r="A438" s="13" t="n"/>
    </row>
    <row r="439" ht="13.5" customHeight="1">
      <c r="A439" s="13" t="n"/>
    </row>
    <row r="440" ht="13.5" customHeight="1">
      <c r="A440" s="13" t="n"/>
    </row>
    <row r="441" ht="13.5" customHeight="1">
      <c r="A441" s="13" t="n"/>
    </row>
    <row r="442" ht="13.5" customHeight="1">
      <c r="A442" s="13" t="n"/>
    </row>
    <row r="443" ht="13.5" customHeight="1">
      <c r="A443" s="13" t="n"/>
    </row>
    <row r="444" ht="13.5" customHeight="1">
      <c r="A444" s="13" t="n"/>
    </row>
    <row r="445" ht="13.5" customHeight="1">
      <c r="A445" s="13" t="n"/>
    </row>
    <row r="446" ht="13.5" customHeight="1">
      <c r="A446" s="13" t="n"/>
    </row>
    <row r="447" ht="13.5" customHeight="1">
      <c r="A447" s="13" t="n"/>
    </row>
    <row r="448" ht="13.5" customHeight="1">
      <c r="A448" s="13" t="n"/>
    </row>
    <row r="449" ht="13.5" customHeight="1">
      <c r="A449" s="13" t="n"/>
    </row>
    <row r="450" ht="13.5" customHeight="1">
      <c r="A450" s="13" t="n"/>
    </row>
    <row r="451" ht="13.5" customHeight="1">
      <c r="A451" s="13" t="n"/>
    </row>
    <row r="452" ht="13.5" customHeight="1">
      <c r="A452" s="13" t="n"/>
    </row>
    <row r="453" ht="13.5" customHeight="1">
      <c r="A453" s="13" t="n"/>
    </row>
    <row r="454" ht="13.5" customHeight="1">
      <c r="A454" s="13" t="n"/>
    </row>
    <row r="455" ht="13.5" customHeight="1">
      <c r="A455" s="13" t="n"/>
    </row>
    <row r="456" ht="13.5" customHeight="1">
      <c r="A456" s="13" t="n"/>
    </row>
    <row r="457" ht="13.5" customHeight="1">
      <c r="A457" s="13" t="n"/>
    </row>
    <row r="458" ht="13.5" customHeight="1">
      <c r="A458" s="13" t="n"/>
    </row>
    <row r="459" ht="13.5" customHeight="1">
      <c r="A459" s="13" t="n"/>
    </row>
    <row r="460" ht="13.5" customHeight="1">
      <c r="A460" s="13" t="n"/>
    </row>
    <row r="461" ht="13.5" customHeight="1">
      <c r="A461" s="13" t="n"/>
    </row>
    <row r="462" ht="13.5" customHeight="1">
      <c r="A462" s="13" t="n"/>
    </row>
    <row r="463" ht="13.5" customHeight="1">
      <c r="A463" s="13" t="n"/>
    </row>
    <row r="464" ht="13.5" customHeight="1">
      <c r="A464" s="13" t="n"/>
    </row>
    <row r="465" ht="13.5" customHeight="1">
      <c r="A465" s="13" t="n"/>
    </row>
    <row r="466" ht="13.5" customHeight="1">
      <c r="A466" s="13" t="n"/>
    </row>
    <row r="467" ht="13.5" customHeight="1">
      <c r="A467" s="13" t="n"/>
    </row>
    <row r="468" ht="13.5" customHeight="1">
      <c r="A468" s="13" t="n"/>
    </row>
    <row r="469" ht="13.5" customHeight="1">
      <c r="A469" s="13" t="n"/>
    </row>
    <row r="470" ht="13.5" customHeight="1">
      <c r="A470" s="13" t="n"/>
    </row>
    <row r="471" ht="13.5" customHeight="1">
      <c r="A471" s="13" t="n"/>
    </row>
    <row r="472" ht="13.5" customHeight="1">
      <c r="A472" s="13" t="n"/>
    </row>
    <row r="473" ht="13.5" customHeight="1">
      <c r="A473" s="13" t="n"/>
    </row>
    <row r="474" ht="13.5" customHeight="1">
      <c r="A474" s="13" t="n"/>
    </row>
    <row r="475" ht="13.5" customHeight="1">
      <c r="A475" s="13" t="n"/>
    </row>
    <row r="476" ht="13.5" customHeight="1">
      <c r="A476" s="13" t="n"/>
    </row>
    <row r="477" ht="13.5" customHeight="1">
      <c r="A477" s="13" t="n"/>
    </row>
    <row r="478" ht="13.5" customHeight="1">
      <c r="A478" s="13" t="n"/>
    </row>
    <row r="479" ht="13.5" customHeight="1">
      <c r="A479" s="13" t="n"/>
    </row>
    <row r="480" ht="13.5" customHeight="1">
      <c r="A480" s="13" t="n"/>
    </row>
    <row r="481" ht="13.5" customHeight="1">
      <c r="A481" s="13" t="n"/>
    </row>
    <row r="482" ht="13.5" customHeight="1">
      <c r="A482" s="13" t="n"/>
    </row>
    <row r="483" ht="13.5" customHeight="1">
      <c r="A483" s="13" t="n"/>
    </row>
    <row r="484" ht="13.5" customHeight="1">
      <c r="A484" s="13" t="n"/>
    </row>
    <row r="485" ht="13.5" customHeight="1">
      <c r="A485" s="13" t="n"/>
    </row>
    <row r="486" ht="13.5" customHeight="1">
      <c r="A486" s="13" t="n"/>
    </row>
    <row r="487" ht="13.5" customHeight="1">
      <c r="A487" s="13" t="n"/>
    </row>
    <row r="488" ht="13.5" customHeight="1">
      <c r="A488" s="13" t="n"/>
    </row>
    <row r="489" ht="13.5" customHeight="1">
      <c r="A489" s="13" t="n"/>
    </row>
    <row r="490" ht="13.5" customHeight="1">
      <c r="A490" s="13" t="n"/>
    </row>
    <row r="491" ht="13.5" customHeight="1">
      <c r="A491" s="13" t="n"/>
    </row>
    <row r="492" ht="13.5" customHeight="1">
      <c r="A492" s="13" t="n"/>
    </row>
    <row r="493" ht="13.5" customHeight="1">
      <c r="A493" s="13" t="n"/>
    </row>
    <row r="494" ht="13.5" customHeight="1">
      <c r="A494" s="13" t="n"/>
    </row>
    <row r="495" ht="13.5" customHeight="1">
      <c r="A495" s="13" t="n"/>
    </row>
    <row r="496" ht="13.5" customHeight="1">
      <c r="A496" s="13" t="n"/>
    </row>
    <row r="497" ht="13.5" customHeight="1">
      <c r="A497" s="13" t="n"/>
    </row>
    <row r="498" ht="13.5" customHeight="1">
      <c r="A498" s="13" t="n"/>
    </row>
    <row r="499" ht="13.5" customHeight="1">
      <c r="A499" s="13" t="n"/>
    </row>
    <row r="500" ht="13.5" customHeight="1">
      <c r="A500" s="13" t="n"/>
    </row>
    <row r="501" ht="13.5" customHeight="1">
      <c r="A501" s="13" t="n"/>
    </row>
    <row r="502" ht="13.5" customHeight="1">
      <c r="A502" s="13" t="n"/>
    </row>
    <row r="503" ht="13.5" customHeight="1">
      <c r="A503" s="13" t="n"/>
    </row>
    <row r="504" ht="13.5" customHeight="1">
      <c r="A504" s="13" t="n"/>
    </row>
    <row r="505" ht="13.5" customHeight="1">
      <c r="A505" s="13" t="n"/>
    </row>
    <row r="506" ht="13.5" customHeight="1">
      <c r="A506" s="13" t="n"/>
    </row>
    <row r="507" ht="13.5" customHeight="1">
      <c r="A507" s="13" t="n"/>
    </row>
    <row r="508" ht="13.5" customHeight="1">
      <c r="A508" s="13" t="n"/>
    </row>
    <row r="509" ht="13.5" customHeight="1">
      <c r="A509" s="13" t="n"/>
    </row>
    <row r="510" ht="13.5" customHeight="1">
      <c r="A510" s="13" t="n"/>
    </row>
    <row r="511" ht="13.5" customHeight="1">
      <c r="A511" s="13" t="n"/>
    </row>
    <row r="512" ht="13.5" customHeight="1">
      <c r="A512" s="13" t="n"/>
    </row>
    <row r="513" ht="13.5" customHeight="1">
      <c r="A513" s="13" t="n"/>
    </row>
    <row r="514" ht="13.5" customHeight="1">
      <c r="A514" s="13" t="n"/>
    </row>
    <row r="515" ht="13.5" customHeight="1">
      <c r="A515" s="13" t="n"/>
    </row>
    <row r="516" ht="13.5" customHeight="1">
      <c r="A516" s="13" t="n"/>
    </row>
    <row r="517" ht="13.5" customHeight="1">
      <c r="A517" s="13" t="n"/>
    </row>
    <row r="518" ht="13.5" customHeight="1">
      <c r="A518" s="13" t="n"/>
    </row>
    <row r="519" ht="13.5" customHeight="1">
      <c r="A519" s="13" t="n"/>
    </row>
    <row r="520" ht="13.5" customHeight="1">
      <c r="A520" s="13" t="n"/>
    </row>
    <row r="521" ht="13.5" customHeight="1">
      <c r="A521" s="13" t="n"/>
    </row>
    <row r="522" ht="13.5" customHeight="1">
      <c r="A522" s="13" t="n"/>
    </row>
    <row r="523" ht="13.5" customHeight="1">
      <c r="A523" s="13" t="n"/>
    </row>
    <row r="524" ht="13.5" customHeight="1">
      <c r="A524" s="13" t="n"/>
    </row>
    <row r="525" ht="13.5" customHeight="1">
      <c r="A525" s="13" t="n"/>
    </row>
    <row r="526" ht="13.5" customHeight="1">
      <c r="A526" s="13" t="n"/>
    </row>
    <row r="527" ht="13.5" customHeight="1">
      <c r="A527" s="13" t="n"/>
    </row>
    <row r="528" ht="13.5" customHeight="1">
      <c r="A528" s="13" t="n"/>
    </row>
    <row r="529" ht="13.5" customHeight="1">
      <c r="A529" s="13" t="n"/>
    </row>
    <row r="530" ht="13.5" customHeight="1">
      <c r="A530" s="13" t="n"/>
    </row>
    <row r="531" ht="13.5" customHeight="1">
      <c r="A531" s="13" t="n"/>
    </row>
    <row r="532" ht="13.5" customHeight="1">
      <c r="A532" s="13" t="n"/>
    </row>
    <row r="533" ht="13.5" customHeight="1">
      <c r="A533" s="13" t="n"/>
    </row>
    <row r="534" ht="13.5" customHeight="1">
      <c r="A534" s="13" t="n"/>
    </row>
    <row r="535" ht="13.5" customHeight="1">
      <c r="A535" s="13" t="n"/>
    </row>
    <row r="536" ht="13.5" customHeight="1">
      <c r="A536" s="13" t="n"/>
    </row>
    <row r="537" ht="13.5" customHeight="1">
      <c r="A537" s="13" t="n"/>
    </row>
    <row r="538" ht="13.5" customHeight="1">
      <c r="A538" s="13" t="n"/>
    </row>
    <row r="539" ht="13.5" customHeight="1">
      <c r="A539" s="13" t="n"/>
    </row>
    <row r="540" ht="13.5" customHeight="1">
      <c r="A540" s="13" t="n"/>
    </row>
    <row r="541" ht="13.5" customHeight="1">
      <c r="A541" s="13" t="n"/>
    </row>
    <row r="542" ht="13.5" customHeight="1">
      <c r="A542" s="13" t="n"/>
    </row>
    <row r="543" ht="13.5" customHeight="1">
      <c r="A543" s="13" t="n"/>
    </row>
    <row r="544" ht="13.5" customHeight="1">
      <c r="A544" s="13" t="n"/>
    </row>
    <row r="545" ht="13.5" customHeight="1">
      <c r="A545" s="13" t="n"/>
    </row>
    <row r="546" ht="13.5" customHeight="1">
      <c r="A546" s="13" t="n"/>
    </row>
    <row r="547" ht="13.5" customHeight="1">
      <c r="A547" s="13" t="n"/>
    </row>
    <row r="548" ht="13.5" customHeight="1">
      <c r="A548" s="13" t="n"/>
    </row>
    <row r="549" ht="13.5" customHeight="1">
      <c r="A549" s="13" t="n"/>
    </row>
    <row r="550" ht="13.5" customHeight="1">
      <c r="A550" s="13" t="n"/>
    </row>
    <row r="551" ht="13.5" customHeight="1">
      <c r="A551" s="13" t="n"/>
    </row>
    <row r="552" ht="13.5" customHeight="1">
      <c r="A552" s="13" t="n"/>
    </row>
    <row r="553" ht="13.5" customHeight="1">
      <c r="A553" s="13" t="n"/>
    </row>
    <row r="554" ht="13.5" customHeight="1">
      <c r="A554" s="13" t="n"/>
    </row>
    <row r="555" ht="13.5" customHeight="1">
      <c r="A555" s="13" t="n"/>
    </row>
    <row r="556" ht="13.5" customHeight="1">
      <c r="A556" s="13" t="n"/>
    </row>
    <row r="557" ht="13.5" customHeight="1">
      <c r="A557" s="13" t="n"/>
    </row>
    <row r="558" ht="13.5" customHeight="1">
      <c r="A558" s="13" t="n"/>
    </row>
    <row r="559" ht="13.5" customHeight="1">
      <c r="A559" s="13" t="n"/>
    </row>
    <row r="560" ht="13.5" customHeight="1">
      <c r="A560" s="13" t="n"/>
    </row>
    <row r="561" ht="13.5" customHeight="1">
      <c r="A561" s="13" t="n"/>
    </row>
    <row r="562" ht="13.5" customHeight="1">
      <c r="A562" s="13" t="n"/>
    </row>
    <row r="563" ht="13.5" customHeight="1">
      <c r="A563" s="13" t="n"/>
    </row>
    <row r="564" ht="13.5" customHeight="1">
      <c r="A564" s="13" t="n"/>
    </row>
    <row r="565" ht="13.5" customHeight="1">
      <c r="A565" s="13" t="n"/>
    </row>
    <row r="566" ht="13.5" customHeight="1">
      <c r="A566" s="13" t="n"/>
    </row>
    <row r="567" ht="13.5" customHeight="1">
      <c r="A567" s="13" t="n"/>
    </row>
    <row r="568" ht="13.5" customHeight="1">
      <c r="A568" s="13" t="n"/>
    </row>
    <row r="569" ht="13.5" customHeight="1">
      <c r="A569" s="13" t="n"/>
    </row>
    <row r="570" ht="13.5" customHeight="1">
      <c r="A570" s="13" t="n"/>
    </row>
    <row r="571" ht="13.5" customHeight="1">
      <c r="A571" s="13" t="n"/>
    </row>
    <row r="572" ht="13.5" customHeight="1">
      <c r="A572" s="13" t="n"/>
    </row>
    <row r="573" ht="13.5" customHeight="1">
      <c r="A573" s="13" t="n"/>
    </row>
    <row r="574" ht="13.5" customHeight="1">
      <c r="A574" s="13" t="n"/>
    </row>
    <row r="575" ht="13.5" customHeight="1">
      <c r="A575" s="13" t="n"/>
    </row>
    <row r="576" ht="13.5" customHeight="1">
      <c r="A576" s="13" t="n"/>
    </row>
    <row r="577" ht="13.5" customHeight="1">
      <c r="A577" s="13" t="n"/>
    </row>
    <row r="578" ht="13.5" customHeight="1">
      <c r="A578" s="13" t="n"/>
    </row>
    <row r="579" ht="13.5" customHeight="1">
      <c r="A579" s="13" t="n"/>
    </row>
    <row r="580" ht="13.5" customHeight="1">
      <c r="A580" s="13" t="n"/>
    </row>
    <row r="581" ht="13.5" customHeight="1">
      <c r="A581" s="13" t="n"/>
    </row>
    <row r="582" ht="13.5" customHeight="1">
      <c r="A582" s="13" t="n"/>
    </row>
    <row r="583" ht="13.5" customHeight="1">
      <c r="A583" s="13" t="n"/>
    </row>
    <row r="584" ht="13.5" customHeight="1">
      <c r="A584" s="13" t="n"/>
    </row>
    <row r="585" ht="13.5" customHeight="1">
      <c r="A585" s="13" t="n"/>
    </row>
    <row r="586" ht="13.5" customHeight="1">
      <c r="A586" s="13" t="n"/>
    </row>
    <row r="587" ht="13.5" customHeight="1">
      <c r="A587" s="13" t="n"/>
    </row>
    <row r="588" ht="13.5" customHeight="1">
      <c r="A588" s="13" t="n"/>
    </row>
    <row r="589" ht="13.5" customHeight="1">
      <c r="A589" s="13" t="n"/>
    </row>
    <row r="590" ht="13.5" customHeight="1">
      <c r="A590" s="13" t="n"/>
    </row>
    <row r="591" ht="13.5" customHeight="1">
      <c r="A591" s="13" t="n"/>
    </row>
    <row r="592" ht="13.5" customHeight="1">
      <c r="A592" s="13" t="n"/>
    </row>
    <row r="593" ht="13.5" customHeight="1">
      <c r="A593" s="13" t="n"/>
    </row>
    <row r="594" ht="13.5" customHeight="1">
      <c r="A594" s="13" t="n"/>
    </row>
    <row r="595" ht="13.5" customHeight="1">
      <c r="A595" s="13" t="n"/>
    </row>
    <row r="596" ht="13.5" customHeight="1">
      <c r="A596" s="13" t="n"/>
    </row>
    <row r="597" ht="13.5" customHeight="1">
      <c r="A597" s="13" t="n"/>
    </row>
    <row r="598" ht="13.5" customHeight="1">
      <c r="A598" s="13" t="n"/>
    </row>
    <row r="599" ht="13.5" customHeight="1">
      <c r="A599" s="13" t="n"/>
    </row>
    <row r="600" ht="13.5" customHeight="1">
      <c r="A600" s="13" t="n"/>
    </row>
    <row r="601" ht="13.5" customHeight="1">
      <c r="A601" s="13" t="n"/>
    </row>
    <row r="602" ht="13.5" customHeight="1">
      <c r="A602" s="13" t="n"/>
    </row>
    <row r="603" ht="13.5" customHeight="1">
      <c r="A603" s="13" t="n"/>
    </row>
    <row r="604" ht="13.5" customHeight="1">
      <c r="A604" s="13" t="n"/>
    </row>
    <row r="605" ht="13.5" customHeight="1">
      <c r="A605" s="13" t="n"/>
    </row>
    <row r="606" ht="13.5" customHeight="1">
      <c r="A606" s="13" t="n"/>
    </row>
    <row r="607" ht="13.5" customHeight="1">
      <c r="A607" s="13" t="n"/>
    </row>
    <row r="608" ht="13.5" customHeight="1">
      <c r="A608" s="13" t="n"/>
    </row>
    <row r="609" ht="13.5" customHeight="1">
      <c r="A609" s="13" t="n"/>
    </row>
    <row r="610" ht="13.5" customHeight="1">
      <c r="A610" s="13" t="n"/>
    </row>
    <row r="611" ht="13.5" customHeight="1">
      <c r="A611" s="13" t="n"/>
    </row>
    <row r="612" ht="13.5" customHeight="1">
      <c r="A612" s="13" t="n"/>
    </row>
    <row r="613" ht="13.5" customHeight="1">
      <c r="A613" s="13" t="n"/>
    </row>
    <row r="614" ht="13.5" customHeight="1">
      <c r="A614" s="13" t="n"/>
    </row>
    <row r="615" ht="13.5" customHeight="1">
      <c r="A615" s="13" t="n"/>
    </row>
    <row r="616" ht="13.5" customHeight="1">
      <c r="A616" s="13" t="n"/>
    </row>
    <row r="617" ht="13.5" customHeight="1">
      <c r="A617" s="13" t="n"/>
    </row>
    <row r="618" ht="13.5" customHeight="1">
      <c r="A618" s="13" t="n"/>
    </row>
    <row r="619" ht="13.5" customHeight="1">
      <c r="A619" s="13" t="n"/>
    </row>
    <row r="620" ht="13.5" customHeight="1">
      <c r="A620" s="13" t="n"/>
    </row>
    <row r="621" ht="13.5" customHeight="1">
      <c r="A621" s="13" t="n"/>
    </row>
    <row r="622" ht="13.5" customHeight="1">
      <c r="A622" s="13" t="n"/>
    </row>
    <row r="623" ht="13.5" customHeight="1">
      <c r="A623" s="13" t="n"/>
    </row>
    <row r="624" ht="13.5" customHeight="1">
      <c r="A624" s="13" t="n"/>
    </row>
    <row r="625" ht="13.5" customHeight="1">
      <c r="A625" s="13" t="n"/>
    </row>
    <row r="626" ht="13.5" customHeight="1">
      <c r="A626" s="13" t="n"/>
    </row>
    <row r="627" ht="13.5" customHeight="1">
      <c r="A627" s="13" t="n"/>
    </row>
    <row r="628" ht="13.5" customHeight="1">
      <c r="A628" s="13" t="n"/>
    </row>
    <row r="629" ht="13.5" customHeight="1">
      <c r="A629" s="13" t="n"/>
    </row>
    <row r="630" ht="13.5" customHeight="1">
      <c r="A630" s="13" t="n"/>
    </row>
    <row r="631" ht="13.5" customHeight="1">
      <c r="A631" s="13" t="n"/>
    </row>
    <row r="632" ht="13.5" customHeight="1">
      <c r="A632" s="13" t="n"/>
    </row>
    <row r="633" ht="13.5" customHeight="1">
      <c r="A633" s="13" t="n"/>
    </row>
    <row r="634" ht="13.5" customHeight="1">
      <c r="A634" s="13" t="n"/>
    </row>
    <row r="635" ht="13.5" customHeight="1">
      <c r="A635" s="13" t="n"/>
    </row>
    <row r="636" ht="13.5" customHeight="1">
      <c r="A636" s="13" t="n"/>
    </row>
    <row r="637" ht="13.5" customHeight="1">
      <c r="A637" s="13" t="n"/>
    </row>
    <row r="638" ht="13.5" customHeight="1">
      <c r="A638" s="13" t="n"/>
    </row>
    <row r="639" ht="13.5" customHeight="1">
      <c r="A639" s="13" t="n"/>
    </row>
    <row r="640" ht="13.5" customHeight="1">
      <c r="A640" s="13" t="n"/>
    </row>
    <row r="641" ht="13.5" customHeight="1">
      <c r="A641" s="13" t="n"/>
    </row>
    <row r="642" ht="13.5" customHeight="1">
      <c r="A642" s="13" t="n"/>
    </row>
    <row r="643" ht="13.5" customHeight="1">
      <c r="A643" s="13" t="n"/>
    </row>
    <row r="644" ht="13.5" customHeight="1">
      <c r="A644" s="13" t="n"/>
    </row>
    <row r="645" ht="13.5" customHeight="1">
      <c r="A645" s="13" t="n"/>
    </row>
    <row r="646" ht="13.5" customHeight="1">
      <c r="A646" s="13" t="n"/>
    </row>
    <row r="647" ht="13.5" customHeight="1">
      <c r="A647" s="13" t="n"/>
    </row>
    <row r="648" ht="13.5" customHeight="1">
      <c r="A648" s="13" t="n"/>
    </row>
    <row r="649" ht="13.5" customHeight="1">
      <c r="A649" s="13" t="n"/>
    </row>
    <row r="650" ht="13.5" customHeight="1">
      <c r="A650" s="13" t="n"/>
    </row>
    <row r="651" ht="13.5" customHeight="1">
      <c r="A651" s="13" t="n"/>
    </row>
    <row r="652" ht="13.5" customHeight="1">
      <c r="A652" s="13" t="n"/>
    </row>
    <row r="653" ht="13.5" customHeight="1">
      <c r="A653" s="13" t="n"/>
    </row>
    <row r="654" ht="13.5" customHeight="1">
      <c r="A654" s="13" t="n"/>
    </row>
    <row r="655" ht="13.5" customHeight="1">
      <c r="A655" s="13" t="n"/>
    </row>
    <row r="656" ht="13.5" customHeight="1">
      <c r="A656" s="13" t="n"/>
    </row>
    <row r="657" ht="13.5" customHeight="1">
      <c r="A657" s="13" t="n"/>
    </row>
    <row r="658" ht="13.5" customHeight="1">
      <c r="A658" s="13" t="n"/>
    </row>
    <row r="659" ht="13.5" customHeight="1">
      <c r="A659" s="13" t="n"/>
    </row>
    <row r="660" ht="13.5" customHeight="1">
      <c r="A660" s="13" t="n"/>
    </row>
    <row r="661" ht="13.5" customHeight="1">
      <c r="A661" s="13" t="n"/>
    </row>
    <row r="662" ht="13.5" customHeight="1">
      <c r="A662" s="13" t="n"/>
    </row>
    <row r="663" ht="13.5" customHeight="1">
      <c r="A663" s="13" t="n"/>
    </row>
    <row r="664" ht="13.5" customHeight="1">
      <c r="A664" s="13" t="n"/>
    </row>
    <row r="665" ht="13.5" customHeight="1">
      <c r="A665" s="13" t="n"/>
    </row>
    <row r="666" ht="13.5" customHeight="1">
      <c r="A666" s="13" t="n"/>
    </row>
    <row r="667" ht="13.5" customHeight="1">
      <c r="A667" s="13" t="n"/>
    </row>
    <row r="668" ht="13.5" customHeight="1">
      <c r="A668" s="13" t="n"/>
    </row>
  </sheetData>
  <mergeCells count="1">
    <mergeCell ref="B2:P2"/>
  </mergeCells>
  <printOptions horizontalCentered="1" verticalCentered="1"/>
  <pageMargins left="0.75" right="0.75" top="1" bottom="1.2" header="0" footer="0"/>
  <pageSetup orientation="landscape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</dc:creator>
  <dcterms:created xsi:type="dcterms:W3CDTF">2002-05-29T17:28:59Z</dcterms:created>
  <dcterms:modified xsi:type="dcterms:W3CDTF">2026-07-01T11:25:57Z</dcterms:modified>
  <cp:lastModifiedBy>Mantelerias Alma</cp:lastModifiedBy>
  <cp:lastPrinted>2025-01-28T09:45:19Z</cp:lastPrinted>
</cp:coreProperties>
</file>