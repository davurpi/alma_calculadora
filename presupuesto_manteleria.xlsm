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MARIO\ODOO\"/>
    </mc:Choice>
  </mc:AlternateContent>
  <xr:revisionPtr revIDLastSave="0" documentId="8_{7A00703B-EC34-4A44-B2A2-6D558EBEADCB}" xr6:coauthVersionLast="47" xr6:coauthVersionMax="47" xr10:uidLastSave="{00000000-0000-0000-0000-000000000000}"/>
  <bookViews>
    <workbookView xWindow="-120" yWindow="-120" windowWidth="38640" windowHeight="21240" activeTab="1" xr2:uid="{00000000-000D-0000-FFFF-FFFF00000000}"/>
  </bookViews>
  <sheets>
    <sheet name="DATOS" sheetId="39" r:id="rId1"/>
    <sheet name="PRESUPUESTO " sheetId="31" r:id="rId2"/>
    <sheet name="CORTE" sheetId="37" r:id="rId3"/>
    <sheet name="CLIENTE" sheetId="38" r:id="rId4"/>
    <sheet name="ARTICULOS" sheetId="16" r:id="rId5"/>
    <sheet name="COLORES" sheetId="14" r:id="rId6"/>
    <sheet name="EMPALME" sheetId="18" r:id="rId7"/>
    <sheet name="CONFECCION" sheetId="17" r:id="rId8"/>
    <sheet name="MARGEN" sheetId="19" r:id="rId9"/>
    <sheet name="PORTADA" sheetId="13" r:id="rId10"/>
    <sheet name="Informe de compatibilidad" sheetId="20" r:id="rId11"/>
    <sheet name="EMPAMES ESTAMPADOS" sheetId="23" r:id="rId12"/>
  </sheets>
  <definedNames>
    <definedName name="_xleta.TODAY" hidden="1" xlm="1">#NAME?</definedName>
    <definedName name="_xlnm.Extract" localSheetId="9">#REF!</definedName>
    <definedName name="_xlnm.Extract">#REF!</definedName>
    <definedName name="_xlnm.Print_Area" localSheetId="9">PORTADA!$A$1:$A$7</definedName>
    <definedName name="_xlnm.Print_Area" localSheetId="1">'PRESUPUESTO '!$AP$1:$BA$40</definedName>
    <definedName name="Precio" localSheetId="9">#REF!</definedName>
    <definedName name="Precio">#REF!</definedName>
    <definedName name="PrecTejido" localSheetId="9">#REF!</definedName>
    <definedName name="PrecTejido">#REF!</definedName>
    <definedName name="SUMA" localSheetId="1">'PRESUPUESTO 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A19" i="31" l="1"/>
  <c r="AZ19" i="31"/>
  <c r="AY19" i="31"/>
  <c r="AX19" i="31"/>
  <c r="AW19" i="31"/>
  <c r="AV19" i="31"/>
  <c r="AU19" i="31"/>
  <c r="AT19" i="31"/>
  <c r="AS19" i="31"/>
  <c r="AR19" i="31"/>
  <c r="AQ19" i="31"/>
  <c r="AK19" i="31"/>
  <c r="AE19" i="31"/>
  <c r="AD19" i="31"/>
  <c r="U19" i="31"/>
  <c r="X19" i="31" s="1"/>
  <c r="AA19" i="31" s="1"/>
  <c r="T19" i="31"/>
  <c r="W19" i="31" s="1"/>
  <c r="Z19" i="31" s="1"/>
  <c r="S19" i="31"/>
  <c r="E19" i="31"/>
  <c r="F19" i="31" s="1"/>
  <c r="G19" i="31" s="1"/>
  <c r="H19" i="31" s="1"/>
  <c r="BA18" i="31"/>
  <c r="AZ18" i="31"/>
  <c r="AY18" i="31"/>
  <c r="AX18" i="31"/>
  <c r="AW18" i="31"/>
  <c r="AV18" i="31"/>
  <c r="AU18" i="31"/>
  <c r="AT18" i="31"/>
  <c r="AS18" i="31"/>
  <c r="AR18" i="31"/>
  <c r="AQ18" i="31"/>
  <c r="AK18" i="31"/>
  <c r="AE18" i="31"/>
  <c r="AD18" i="31"/>
  <c r="U18" i="31"/>
  <c r="X18" i="31" s="1"/>
  <c r="AA18" i="31" s="1"/>
  <c r="T18" i="31"/>
  <c r="W18" i="31" s="1"/>
  <c r="Z18" i="31" s="1"/>
  <c r="S18" i="31"/>
  <c r="E18" i="31"/>
  <c r="F18" i="31" s="1"/>
  <c r="G18" i="31" s="1"/>
  <c r="H18" i="31" s="1"/>
  <c r="BA17" i="31"/>
  <c r="AZ17" i="31"/>
  <c r="AY17" i="31"/>
  <c r="AX17" i="31"/>
  <c r="AW17" i="31"/>
  <c r="AV17" i="31"/>
  <c r="AU17" i="31"/>
  <c r="AT17" i="31"/>
  <c r="AS17" i="31"/>
  <c r="AR17" i="31"/>
  <c r="AQ17" i="31"/>
  <c r="AK17" i="31"/>
  <c r="AE17" i="31"/>
  <c r="AD17" i="31"/>
  <c r="Z17" i="31"/>
  <c r="X17" i="31"/>
  <c r="AA17" i="31" s="1"/>
  <c r="AG17" i="31" s="1"/>
  <c r="W17" i="31"/>
  <c r="U17" i="31"/>
  <c r="T17" i="31"/>
  <c r="S17" i="31"/>
  <c r="E17" i="31"/>
  <c r="F17" i="31" s="1"/>
  <c r="G17" i="31" s="1"/>
  <c r="H17" i="31" s="1"/>
  <c r="BA16" i="31"/>
  <c r="AZ16" i="31"/>
  <c r="AY16" i="31"/>
  <c r="AX16" i="31"/>
  <c r="AW16" i="31"/>
  <c r="AV16" i="31"/>
  <c r="AU16" i="31"/>
  <c r="AT16" i="31"/>
  <c r="AS16" i="31"/>
  <c r="AR16" i="31"/>
  <c r="AQ16" i="31"/>
  <c r="AK16" i="31"/>
  <c r="AE16" i="31"/>
  <c r="AD16" i="31"/>
  <c r="W16" i="31"/>
  <c r="Z16" i="31" s="1"/>
  <c r="U16" i="31"/>
  <c r="X16" i="31" s="1"/>
  <c r="AA16" i="31" s="1"/>
  <c r="AG16" i="31" s="1"/>
  <c r="T16" i="31"/>
  <c r="S16" i="31"/>
  <c r="E16" i="31"/>
  <c r="F16" i="31" s="1"/>
  <c r="G16" i="31" s="1"/>
  <c r="H16" i="31" s="1"/>
  <c r="BA15" i="31"/>
  <c r="AZ15" i="31"/>
  <c r="AY15" i="31"/>
  <c r="AX15" i="31"/>
  <c r="AW15" i="31"/>
  <c r="AV15" i="31"/>
  <c r="AU15" i="31"/>
  <c r="AT15" i="31"/>
  <c r="AS15" i="31"/>
  <c r="AR15" i="31"/>
  <c r="AK15" i="31"/>
  <c r="AE15" i="31"/>
  <c r="AD15" i="31"/>
  <c r="U15" i="31"/>
  <c r="X15" i="31" s="1"/>
  <c r="AA15" i="31" s="1"/>
  <c r="T15" i="31"/>
  <c r="W15" i="31" s="1"/>
  <c r="Z15" i="31" s="1"/>
  <c r="S15" i="31"/>
  <c r="AQ15" i="31" s="1"/>
  <c r="E15" i="31"/>
  <c r="F15" i="31" s="1"/>
  <c r="G15" i="31" s="1"/>
  <c r="H15" i="31" s="1"/>
  <c r="BA14" i="31"/>
  <c r="AZ14" i="31"/>
  <c r="AY14" i="31"/>
  <c r="AX14" i="31"/>
  <c r="AW14" i="31"/>
  <c r="AV14" i="31"/>
  <c r="AU14" i="31"/>
  <c r="AT14" i="31"/>
  <c r="AS14" i="31"/>
  <c r="AR14" i="31"/>
  <c r="AK14" i="31"/>
  <c r="AE14" i="31"/>
  <c r="AD14" i="31"/>
  <c r="U14" i="31"/>
  <c r="X14" i="31" s="1"/>
  <c r="AA14" i="31" s="1"/>
  <c r="AG14" i="31" s="1"/>
  <c r="T14" i="31"/>
  <c r="W14" i="31" s="1"/>
  <c r="Z14" i="31" s="1"/>
  <c r="S14" i="31"/>
  <c r="AQ14" i="31" s="1"/>
  <c r="E14" i="31"/>
  <c r="F14" i="31" s="1"/>
  <c r="G14" i="31" s="1"/>
  <c r="H14" i="31" s="1"/>
  <c r="BA13" i="31"/>
  <c r="AZ13" i="31"/>
  <c r="AY13" i="31"/>
  <c r="AX13" i="31"/>
  <c r="AW13" i="31"/>
  <c r="AV13" i="31"/>
  <c r="AU13" i="31"/>
  <c r="AT13" i="31"/>
  <c r="AS13" i="31"/>
  <c r="AR13" i="31"/>
  <c r="AQ13" i="31"/>
  <c r="AK13" i="31"/>
  <c r="AE13" i="31"/>
  <c r="AD13" i="31"/>
  <c r="U13" i="31"/>
  <c r="X13" i="31" s="1"/>
  <c r="AA13" i="31" s="1"/>
  <c r="AG13" i="31" s="1"/>
  <c r="T13" i="31"/>
  <c r="W13" i="31" s="1"/>
  <c r="Z13" i="31" s="1"/>
  <c r="S13" i="31"/>
  <c r="E13" i="31"/>
  <c r="F13" i="31" s="1"/>
  <c r="G13" i="31" s="1"/>
  <c r="H13" i="31" s="1"/>
  <c r="BA12" i="31"/>
  <c r="AZ12" i="31"/>
  <c r="AY12" i="31"/>
  <c r="AX12" i="31"/>
  <c r="AW12" i="31"/>
  <c r="AV12" i="31"/>
  <c r="AU12" i="31"/>
  <c r="AT12" i="31"/>
  <c r="AS12" i="31"/>
  <c r="AR12" i="31"/>
  <c r="AQ12" i="31"/>
  <c r="AK12" i="31"/>
  <c r="AE12" i="31"/>
  <c r="AD12" i="31"/>
  <c r="U12" i="31"/>
  <c r="X12" i="31" s="1"/>
  <c r="AA12" i="31" s="1"/>
  <c r="T12" i="31"/>
  <c r="W12" i="31" s="1"/>
  <c r="Z12" i="31" s="1"/>
  <c r="S12" i="31"/>
  <c r="E12" i="31"/>
  <c r="F12" i="31" s="1"/>
  <c r="G12" i="31" s="1"/>
  <c r="H12" i="31" s="1"/>
  <c r="BA11" i="31"/>
  <c r="AZ11" i="31"/>
  <c r="AY11" i="31"/>
  <c r="AX11" i="31"/>
  <c r="AW11" i="31"/>
  <c r="AV11" i="31"/>
  <c r="AU11" i="31"/>
  <c r="AT11" i="31"/>
  <c r="AS11" i="31"/>
  <c r="AR11" i="31"/>
  <c r="AQ11" i="31"/>
  <c r="AK11" i="31"/>
  <c r="AE11" i="31"/>
  <c r="AD11" i="31"/>
  <c r="U11" i="31"/>
  <c r="X11" i="31" s="1"/>
  <c r="AA11" i="31" s="1"/>
  <c r="T11" i="31"/>
  <c r="W11" i="31" s="1"/>
  <c r="Z11" i="31" s="1"/>
  <c r="S11" i="31"/>
  <c r="E11" i="31"/>
  <c r="F11" i="31" s="1"/>
  <c r="G11" i="31" s="1"/>
  <c r="H11" i="31" s="1"/>
  <c r="BA28" i="31"/>
  <c r="AZ28" i="31"/>
  <c r="AY28" i="31"/>
  <c r="AX28" i="31"/>
  <c r="AW28" i="31"/>
  <c r="AV28" i="31"/>
  <c r="AU28" i="31"/>
  <c r="AT28" i="31"/>
  <c r="AS28" i="31"/>
  <c r="AR28" i="31"/>
  <c r="AK28" i="31"/>
  <c r="AE28" i="31"/>
  <c r="AD28" i="31"/>
  <c r="U28" i="31"/>
  <c r="X28" i="31" s="1"/>
  <c r="AA28" i="31" s="1"/>
  <c r="T28" i="31"/>
  <c r="W28" i="31" s="1"/>
  <c r="Z28" i="31" s="1"/>
  <c r="S28" i="31"/>
  <c r="AQ28" i="31" s="1"/>
  <c r="E28" i="31"/>
  <c r="F28" i="31" s="1"/>
  <c r="G28" i="31" s="1"/>
  <c r="H28" i="31" s="1"/>
  <c r="BA27" i="31"/>
  <c r="AZ27" i="31"/>
  <c r="AY27" i="31"/>
  <c r="AX27" i="31"/>
  <c r="AW27" i="31"/>
  <c r="AV27" i="31"/>
  <c r="AU27" i="31"/>
  <c r="AT27" i="31"/>
  <c r="AS27" i="31"/>
  <c r="AR27" i="31"/>
  <c r="AQ27" i="31"/>
  <c r="AK27" i="31"/>
  <c r="AE27" i="31"/>
  <c r="AD27" i="31"/>
  <c r="U27" i="31"/>
  <c r="X27" i="31" s="1"/>
  <c r="AA27" i="31" s="1"/>
  <c r="AG27" i="31" s="1"/>
  <c r="T27" i="31"/>
  <c r="W27" i="31" s="1"/>
  <c r="Z27" i="31" s="1"/>
  <c r="S27" i="31"/>
  <c r="E27" i="31"/>
  <c r="F27" i="31" s="1"/>
  <c r="G27" i="31" s="1"/>
  <c r="H27" i="31" s="1"/>
  <c r="BA26" i="31"/>
  <c r="AZ26" i="31"/>
  <c r="AY26" i="31"/>
  <c r="AX26" i="31"/>
  <c r="AW26" i="31"/>
  <c r="AV26" i="31"/>
  <c r="AU26" i="31"/>
  <c r="AT26" i="31"/>
  <c r="AS26" i="31"/>
  <c r="AR26" i="31"/>
  <c r="AQ26" i="31"/>
  <c r="AK26" i="31"/>
  <c r="AE26" i="31"/>
  <c r="AD26" i="31"/>
  <c r="Z26" i="31"/>
  <c r="X26" i="31"/>
  <c r="AA26" i="31" s="1"/>
  <c r="AG26" i="31" s="1"/>
  <c r="W26" i="31"/>
  <c r="U26" i="31"/>
  <c r="T26" i="31"/>
  <c r="S26" i="31"/>
  <c r="E26" i="31"/>
  <c r="F26" i="31" s="1"/>
  <c r="G26" i="31" s="1"/>
  <c r="H26" i="31" s="1"/>
  <c r="BA25" i="31"/>
  <c r="AZ25" i="31"/>
  <c r="AY25" i="31"/>
  <c r="AX25" i="31"/>
  <c r="AW25" i="31"/>
  <c r="AV25" i="31"/>
  <c r="AU25" i="31"/>
  <c r="AT25" i="31"/>
  <c r="AS25" i="31"/>
  <c r="AR25" i="31"/>
  <c r="AQ25" i="31"/>
  <c r="AK25" i="31"/>
  <c r="AE25" i="31"/>
  <c r="AD25" i="31"/>
  <c r="W25" i="31"/>
  <c r="Z25" i="31" s="1"/>
  <c r="U25" i="31"/>
  <c r="X25" i="31" s="1"/>
  <c r="AA25" i="31" s="1"/>
  <c r="AG25" i="31" s="1"/>
  <c r="T25" i="31"/>
  <c r="S25" i="31"/>
  <c r="E25" i="31"/>
  <c r="F25" i="31" s="1"/>
  <c r="G25" i="31" s="1"/>
  <c r="H25" i="31" s="1"/>
  <c r="BA24" i="31"/>
  <c r="AZ24" i="31"/>
  <c r="AY24" i="31"/>
  <c r="AX24" i="31"/>
  <c r="AW24" i="31"/>
  <c r="AV24" i="31"/>
  <c r="AU24" i="31"/>
  <c r="AT24" i="31"/>
  <c r="AS24" i="31"/>
  <c r="AR24" i="31"/>
  <c r="AK24" i="31"/>
  <c r="AE24" i="31"/>
  <c r="AD24" i="31"/>
  <c r="U24" i="31"/>
  <c r="X24" i="31" s="1"/>
  <c r="AA24" i="31" s="1"/>
  <c r="AG24" i="31" s="1"/>
  <c r="T24" i="31"/>
  <c r="W24" i="31" s="1"/>
  <c r="Z24" i="31" s="1"/>
  <c r="S24" i="31"/>
  <c r="AQ24" i="31" s="1"/>
  <c r="E24" i="31"/>
  <c r="F24" i="31" s="1"/>
  <c r="G24" i="31" s="1"/>
  <c r="H24" i="31" s="1"/>
  <c r="BA23" i="31"/>
  <c r="AZ23" i="31"/>
  <c r="AY23" i="31"/>
  <c r="AX23" i="31"/>
  <c r="AW23" i="31"/>
  <c r="AV23" i="31"/>
  <c r="AU23" i="31"/>
  <c r="AT23" i="31"/>
  <c r="AS23" i="31"/>
  <c r="AR23" i="31"/>
  <c r="AK23" i="31"/>
  <c r="AE23" i="31"/>
  <c r="AD23" i="31"/>
  <c r="X23" i="31"/>
  <c r="AA23" i="31" s="1"/>
  <c r="AG23" i="31" s="1"/>
  <c r="W23" i="31"/>
  <c r="Z23" i="31" s="1"/>
  <c r="U23" i="31"/>
  <c r="T23" i="31"/>
  <c r="S23" i="31"/>
  <c r="AQ23" i="31" s="1"/>
  <c r="E23" i="31"/>
  <c r="F23" i="31" s="1"/>
  <c r="G23" i="31" s="1"/>
  <c r="H23" i="31" s="1"/>
  <c r="BA22" i="31"/>
  <c r="AZ22" i="31"/>
  <c r="AY22" i="31"/>
  <c r="AX22" i="31"/>
  <c r="AW22" i="31"/>
  <c r="AV22" i="31"/>
  <c r="AU22" i="31"/>
  <c r="AT22" i="31"/>
  <c r="AS22" i="31"/>
  <c r="AR22" i="31"/>
  <c r="AQ22" i="31"/>
  <c r="AK22" i="31"/>
  <c r="AE22" i="31"/>
  <c r="AD22" i="31"/>
  <c r="U22" i="31"/>
  <c r="X22" i="31" s="1"/>
  <c r="AA22" i="31" s="1"/>
  <c r="T22" i="31"/>
  <c r="W22" i="31" s="1"/>
  <c r="Z22" i="31" s="1"/>
  <c r="S22" i="31"/>
  <c r="E22" i="31"/>
  <c r="F22" i="31" s="1"/>
  <c r="G22" i="31" s="1"/>
  <c r="H22" i="31" s="1"/>
  <c r="BA21" i="31"/>
  <c r="AZ21" i="31"/>
  <c r="AY21" i="31"/>
  <c r="AX21" i="31"/>
  <c r="AW21" i="31"/>
  <c r="AV21" i="31"/>
  <c r="AU21" i="31"/>
  <c r="AT21" i="31"/>
  <c r="AS21" i="31"/>
  <c r="AR21" i="31"/>
  <c r="AK21" i="31"/>
  <c r="AE21" i="31"/>
  <c r="AD21" i="31"/>
  <c r="U21" i="31"/>
  <c r="X21" i="31" s="1"/>
  <c r="AA21" i="31" s="1"/>
  <c r="T21" i="31"/>
  <c r="W21" i="31" s="1"/>
  <c r="Z21" i="31" s="1"/>
  <c r="S21" i="31"/>
  <c r="AQ21" i="31" s="1"/>
  <c r="E21" i="31"/>
  <c r="F21" i="31" s="1"/>
  <c r="G21" i="31" s="1"/>
  <c r="H21" i="31" s="1"/>
  <c r="BA20" i="31"/>
  <c r="AZ20" i="31"/>
  <c r="AY20" i="31"/>
  <c r="AX20" i="31"/>
  <c r="AW20" i="31"/>
  <c r="AV20" i="31"/>
  <c r="AU20" i="31"/>
  <c r="AT20" i="31"/>
  <c r="AS20" i="31"/>
  <c r="AR20" i="31"/>
  <c r="AK20" i="31"/>
  <c r="AE20" i="31"/>
  <c r="AD20" i="31"/>
  <c r="U20" i="31"/>
  <c r="X20" i="31" s="1"/>
  <c r="AA20" i="31" s="1"/>
  <c r="AG20" i="31" s="1"/>
  <c r="T20" i="31"/>
  <c r="W20" i="31" s="1"/>
  <c r="Z20" i="31" s="1"/>
  <c r="S20" i="31"/>
  <c r="AQ20" i="31" s="1"/>
  <c r="E20" i="31"/>
  <c r="F20" i="31" s="1"/>
  <c r="G20" i="31" s="1"/>
  <c r="H20" i="31" s="1"/>
  <c r="B5" i="39"/>
  <c r="C3" i="31"/>
  <c r="AG19" i="31" l="1"/>
  <c r="J14" i="31"/>
  <c r="I14" i="31"/>
  <c r="K14" i="31" s="1"/>
  <c r="AI14" i="31" s="1"/>
  <c r="AG12" i="31"/>
  <c r="J17" i="31"/>
  <c r="I17" i="31"/>
  <c r="K17" i="31" s="1"/>
  <c r="AI17" i="31" s="1"/>
  <c r="J18" i="31"/>
  <c r="I18" i="31"/>
  <c r="K18" i="31" s="1"/>
  <c r="AI18" i="31" s="1"/>
  <c r="I13" i="31"/>
  <c r="K13" i="31" s="1"/>
  <c r="AI13" i="31" s="1"/>
  <c r="J13" i="31"/>
  <c r="J15" i="31"/>
  <c r="I15" i="31"/>
  <c r="K15" i="31" s="1"/>
  <c r="AI15" i="31" s="1"/>
  <c r="J11" i="31"/>
  <c r="I11" i="31"/>
  <c r="K11" i="31" s="1"/>
  <c r="AI11" i="31" s="1"/>
  <c r="J19" i="31"/>
  <c r="I19" i="31"/>
  <c r="K19" i="31" s="1"/>
  <c r="AI19" i="31" s="1"/>
  <c r="J16" i="31"/>
  <c r="I16" i="31"/>
  <c r="K16" i="31" s="1"/>
  <c r="AI16" i="31" s="1"/>
  <c r="AG15" i="31"/>
  <c r="J12" i="31"/>
  <c r="I12" i="31"/>
  <c r="K12" i="31" s="1"/>
  <c r="AI12" i="31" s="1"/>
  <c r="AG11" i="31"/>
  <c r="AG18" i="31"/>
  <c r="AG28" i="31"/>
  <c r="J25" i="31"/>
  <c r="I25" i="31"/>
  <c r="K25" i="31" s="1"/>
  <c r="AI25" i="31" s="1"/>
  <c r="J24" i="31"/>
  <c r="I24" i="31"/>
  <c r="K24" i="31" s="1"/>
  <c r="AI24" i="31" s="1"/>
  <c r="AG22" i="31"/>
  <c r="J26" i="31"/>
  <c r="I26" i="31"/>
  <c r="K26" i="31" s="1"/>
  <c r="AI26" i="31" s="1"/>
  <c r="AG21" i="31"/>
  <c r="J23" i="31"/>
  <c r="I23" i="31"/>
  <c r="K23" i="31" s="1"/>
  <c r="AI23" i="31" s="1"/>
  <c r="J27" i="31"/>
  <c r="I27" i="31"/>
  <c r="K27" i="31" s="1"/>
  <c r="AI27" i="31" s="1"/>
  <c r="J20" i="31"/>
  <c r="I20" i="31"/>
  <c r="K20" i="31" s="1"/>
  <c r="AI20" i="31" s="1"/>
  <c r="J21" i="31"/>
  <c r="I21" i="31"/>
  <c r="K21" i="31" s="1"/>
  <c r="J22" i="31"/>
  <c r="I22" i="31"/>
  <c r="K22" i="31" s="1"/>
  <c r="AI22" i="31" s="1"/>
  <c r="J28" i="31"/>
  <c r="I28" i="31"/>
  <c r="K28" i="31" s="1"/>
  <c r="AI28" i="31" s="1"/>
  <c r="C6" i="31"/>
  <c r="C4" i="31"/>
  <c r="AR4" i="31" s="1"/>
  <c r="C5" i="31"/>
  <c r="C49" i="38"/>
  <c r="C48" i="38"/>
  <c r="C47" i="38"/>
  <c r="C46" i="38"/>
  <c r="C45" i="38"/>
  <c r="C44" i="38"/>
  <c r="C43" i="38"/>
  <c r="C42" i="38"/>
  <c r="C41" i="38"/>
  <c r="C40" i="38"/>
  <c r="C39" i="38"/>
  <c r="C38" i="38"/>
  <c r="C37" i="38"/>
  <c r="C36" i="38"/>
  <c r="A24" i="37"/>
  <c r="A23" i="37"/>
  <c r="A22" i="37"/>
  <c r="A21" i="37"/>
  <c r="A20" i="37"/>
  <c r="A19" i="37"/>
  <c r="A18" i="37"/>
  <c r="A17" i="37"/>
  <c r="A16" i="37"/>
  <c r="A15" i="37"/>
  <c r="A14" i="37"/>
  <c r="A13" i="37"/>
  <c r="A12" i="37"/>
  <c r="AI21" i="31" l="1"/>
  <c r="H28" i="38"/>
  <c r="F18" i="37"/>
  <c r="H14" i="37"/>
  <c r="E12" i="37"/>
  <c r="D2" i="37"/>
  <c r="B2" i="37"/>
  <c r="BA29" i="31"/>
  <c r="H34" i="38" s="1"/>
  <c r="AZ29" i="31"/>
  <c r="G37" i="38" s="1"/>
  <c r="AY29" i="31"/>
  <c r="F34" i="38" s="1"/>
  <c r="AX29" i="31"/>
  <c r="H24" i="37" s="1"/>
  <c r="AW29" i="31"/>
  <c r="AV29" i="31"/>
  <c r="G24" i="37" s="1"/>
  <c r="AU29" i="31"/>
  <c r="F24" i="37" s="1"/>
  <c r="AT29" i="31"/>
  <c r="AS29" i="31"/>
  <c r="AR29" i="31"/>
  <c r="AK29" i="31"/>
  <c r="AE29" i="31"/>
  <c r="AD29" i="31"/>
  <c r="U29" i="31"/>
  <c r="X29" i="31" s="1"/>
  <c r="AA29" i="31" s="1"/>
  <c r="T29" i="31"/>
  <c r="W29" i="31" s="1"/>
  <c r="Z29" i="31" s="1"/>
  <c r="S29" i="31"/>
  <c r="AQ29" i="31" s="1"/>
  <c r="E29" i="31"/>
  <c r="F29" i="31" s="1"/>
  <c r="G29" i="31" s="1"/>
  <c r="H29" i="31" s="1"/>
  <c r="BA10" i="31"/>
  <c r="AZ10" i="31"/>
  <c r="AY10" i="31"/>
  <c r="AX10" i="31"/>
  <c r="AW10" i="31"/>
  <c r="AV10" i="31"/>
  <c r="AU10" i="31"/>
  <c r="AT10" i="31"/>
  <c r="AS10" i="31"/>
  <c r="AR10" i="31"/>
  <c r="AK10" i="31"/>
  <c r="AE10" i="31"/>
  <c r="AD10" i="31"/>
  <c r="U10" i="31"/>
  <c r="X10" i="31" s="1"/>
  <c r="AA10" i="31" s="1"/>
  <c r="T10" i="31"/>
  <c r="W10" i="31" s="1"/>
  <c r="Z10" i="31" s="1"/>
  <c r="S10" i="31"/>
  <c r="AQ10" i="31" s="1"/>
  <c r="E10" i="31"/>
  <c r="F10" i="31" s="1"/>
  <c r="G10" i="31" s="1"/>
  <c r="H10" i="31" s="1"/>
  <c r="I86" i="16"/>
  <c r="H29" i="38"/>
  <c r="F29" i="38"/>
  <c r="H19" i="37"/>
  <c r="G19" i="37"/>
  <c r="F19" i="37"/>
  <c r="H18" i="37"/>
  <c r="G18" i="37"/>
  <c r="H17" i="37"/>
  <c r="G17" i="37"/>
  <c r="G16" i="37"/>
  <c r="F16" i="37"/>
  <c r="H15" i="37"/>
  <c r="G15" i="37"/>
  <c r="F15" i="37"/>
  <c r="G14" i="37"/>
  <c r="H13" i="37"/>
  <c r="G13" i="37"/>
  <c r="F13" i="37"/>
  <c r="G12" i="37"/>
  <c r="B12" i="37"/>
  <c r="C15" i="38"/>
  <c r="AR3" i="31"/>
  <c r="H30" i="38"/>
  <c r="F30" i="38"/>
  <c r="H20" i="37"/>
  <c r="G20" i="37"/>
  <c r="F20" i="37"/>
  <c r="F28" i="38" l="1"/>
  <c r="F27" i="38"/>
  <c r="H16" i="37"/>
  <c r="C29" i="38"/>
  <c r="C34" i="38"/>
  <c r="C30" i="38"/>
  <c r="C25" i="38"/>
  <c r="C26" i="38"/>
  <c r="C28" i="38"/>
  <c r="B18" i="37"/>
  <c r="B28" i="38"/>
  <c r="B27" i="38"/>
  <c r="B17" i="37"/>
  <c r="B13" i="37"/>
  <c r="G27" i="38"/>
  <c r="I17" i="37"/>
  <c r="G28" i="38"/>
  <c r="I18" i="37"/>
  <c r="A34" i="38"/>
  <c r="C24" i="37"/>
  <c r="I19" i="37"/>
  <c r="G29" i="38"/>
  <c r="E34" i="38"/>
  <c r="D24" i="37"/>
  <c r="D13" i="37"/>
  <c r="C14" i="37"/>
  <c r="A30" i="38"/>
  <c r="C20" i="37"/>
  <c r="D20" i="37"/>
  <c r="E30" i="38"/>
  <c r="E14" i="37"/>
  <c r="E25" i="38"/>
  <c r="D15" i="37"/>
  <c r="A26" i="38"/>
  <c r="C16" i="37"/>
  <c r="E24" i="37"/>
  <c r="E13" i="37"/>
  <c r="D14" i="37"/>
  <c r="E24" i="38"/>
  <c r="E15" i="37"/>
  <c r="E26" i="38"/>
  <c r="D16" i="37"/>
  <c r="B29" i="38"/>
  <c r="B19" i="37"/>
  <c r="A25" i="38"/>
  <c r="C15" i="37"/>
  <c r="E20" i="37"/>
  <c r="E16" i="37"/>
  <c r="C13" i="37"/>
  <c r="A27" i="38"/>
  <c r="C17" i="37"/>
  <c r="I13" i="37"/>
  <c r="E27" i="38"/>
  <c r="D17" i="37"/>
  <c r="G34" i="38"/>
  <c r="I24" i="37"/>
  <c r="I14" i="37"/>
  <c r="G24" i="38"/>
  <c r="E17" i="37"/>
  <c r="A28" i="38"/>
  <c r="C18" i="37"/>
  <c r="G30" i="38"/>
  <c r="I20" i="37"/>
  <c r="G25" i="38"/>
  <c r="I15" i="37"/>
  <c r="E28" i="38"/>
  <c r="D18" i="37"/>
  <c r="C19" i="37"/>
  <c r="A29" i="38"/>
  <c r="B24" i="38"/>
  <c r="B14" i="37"/>
  <c r="G26" i="38"/>
  <c r="I16" i="37"/>
  <c r="E18" i="37"/>
  <c r="E29" i="38"/>
  <c r="D19" i="37"/>
  <c r="B24" i="37"/>
  <c r="B34" i="38"/>
  <c r="B30" i="38"/>
  <c r="B20" i="37"/>
  <c r="B25" i="38"/>
  <c r="B15" i="37"/>
  <c r="E19" i="37"/>
  <c r="B26" i="38"/>
  <c r="B16" i="37"/>
  <c r="B22" i="38"/>
  <c r="G22" i="38"/>
  <c r="I12" i="37"/>
  <c r="C12" i="37"/>
  <c r="A22" i="38"/>
  <c r="H12" i="37"/>
  <c r="AG29" i="31"/>
  <c r="AG10" i="31"/>
  <c r="J10" i="31"/>
  <c r="I10" i="31"/>
  <c r="K10" i="31" s="1"/>
  <c r="J29" i="31"/>
  <c r="I29" i="31"/>
  <c r="K29" i="31" s="1"/>
  <c r="E37" i="38"/>
  <c r="H23" i="37"/>
  <c r="G23" i="37"/>
  <c r="F23" i="37"/>
  <c r="H22" i="37"/>
  <c r="G22" i="37"/>
  <c r="F22" i="37"/>
  <c r="F31" i="38"/>
  <c r="H21" i="37"/>
  <c r="G21" i="37"/>
  <c r="F21" i="37"/>
  <c r="H31" i="38" l="1"/>
  <c r="C32" i="38"/>
  <c r="C33" i="38"/>
  <c r="C31" i="38"/>
  <c r="E22" i="37"/>
  <c r="B21" i="37"/>
  <c r="B31" i="38"/>
  <c r="A31" i="38"/>
  <c r="C21" i="37"/>
  <c r="D21" i="37"/>
  <c r="E31" i="38"/>
  <c r="B22" i="37"/>
  <c r="B32" i="38"/>
  <c r="B33" i="38"/>
  <c r="B23" i="37"/>
  <c r="E21" i="37"/>
  <c r="A32" i="38"/>
  <c r="C22" i="37"/>
  <c r="E35" i="38"/>
  <c r="D22" i="37"/>
  <c r="E32" i="38"/>
  <c r="A33" i="38"/>
  <c r="C23" i="37"/>
  <c r="I21" i="37"/>
  <c r="G31" i="38"/>
  <c r="E36" i="38"/>
  <c r="D23" i="37"/>
  <c r="E33" i="38"/>
  <c r="E23" i="37"/>
  <c r="F35" i="38"/>
  <c r="F32" i="38"/>
  <c r="G35" i="38"/>
  <c r="I22" i="37"/>
  <c r="G32" i="38"/>
  <c r="F36" i="38"/>
  <c r="F33" i="38"/>
  <c r="H35" i="38"/>
  <c r="H32" i="38"/>
  <c r="G36" i="38"/>
  <c r="I23" i="37"/>
  <c r="G33" i="38"/>
  <c r="H36" i="38"/>
  <c r="H33" i="38"/>
  <c r="D12" i="37"/>
  <c r="AI10" i="31"/>
  <c r="AI29" i="31"/>
  <c r="F26" i="37"/>
  <c r="AR5" i="31"/>
  <c r="G15" i="38"/>
  <c r="E11" i="38"/>
  <c r="E10" i="38"/>
  <c r="E9" i="38"/>
  <c r="E8" i="38"/>
  <c r="F7" i="38"/>
  <c r="C7" i="31"/>
  <c r="G26" i="37"/>
  <c r="B26" i="37"/>
  <c r="G21" i="38"/>
  <c r="D11" i="37"/>
  <c r="A21" i="38"/>
  <c r="B11" i="37"/>
  <c r="AR30" i="31"/>
  <c r="C26" i="37"/>
  <c r="I26" i="37"/>
  <c r="H26" i="37"/>
  <c r="D26" i="37"/>
  <c r="A26" i="37"/>
  <c r="A25" i="37"/>
  <c r="G25" i="37"/>
  <c r="H25" i="37"/>
  <c r="B25" i="37"/>
  <c r="F25" i="37"/>
  <c r="A11" i="37"/>
  <c r="J12" i="23"/>
  <c r="L12" i="23" s="1"/>
  <c r="E16" i="23"/>
  <c r="G16" i="23" s="1"/>
  <c r="E17" i="23"/>
  <c r="G17" i="23" s="1"/>
  <c r="E18" i="23"/>
  <c r="H18" i="23" s="1"/>
  <c r="E19" i="23"/>
  <c r="H19" i="23" s="1"/>
  <c r="E20" i="23"/>
  <c r="G20" i="23" s="1"/>
  <c r="E21" i="23"/>
  <c r="G21" i="23" s="1"/>
  <c r="A4" i="13"/>
  <c r="A7" i="13"/>
  <c r="D4" i="17"/>
  <c r="E4" i="17" s="1"/>
  <c r="F4" i="17" s="1"/>
  <c r="G4" i="17" s="1"/>
  <c r="H4" i="17" s="1"/>
  <c r="I4" i="17" s="1"/>
  <c r="J4" i="17" s="1"/>
  <c r="K4" i="17" s="1"/>
  <c r="L4" i="17" s="1"/>
  <c r="M4" i="17" s="1"/>
  <c r="N4" i="17" s="1"/>
  <c r="O4" i="17" s="1"/>
  <c r="P4" i="17" s="1"/>
  <c r="C5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B6" i="17"/>
  <c r="B7" i="17" s="1"/>
  <c r="B8" i="17" s="1"/>
  <c r="B9" i="17" s="1"/>
  <c r="B10" i="17" s="1"/>
  <c r="B11" i="17" s="1"/>
  <c r="B12" i="17" s="1"/>
  <c r="C6" i="17"/>
  <c r="D6" i="17"/>
  <c r="E6" i="17"/>
  <c r="F6" i="17"/>
  <c r="G6" i="17"/>
  <c r="H6" i="17"/>
  <c r="I6" i="17"/>
  <c r="J6" i="17"/>
  <c r="K6" i="17"/>
  <c r="L6" i="17"/>
  <c r="M6" i="17"/>
  <c r="N6" i="17"/>
  <c r="O6" i="17"/>
  <c r="P6" i="17"/>
  <c r="C7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C8" i="17"/>
  <c r="D8" i="17"/>
  <c r="E8" i="17"/>
  <c r="F8" i="17"/>
  <c r="G8" i="17"/>
  <c r="H8" i="17"/>
  <c r="I8" i="17"/>
  <c r="J8" i="17"/>
  <c r="K8" i="17"/>
  <c r="L8" i="17"/>
  <c r="M8" i="17"/>
  <c r="N8" i="17"/>
  <c r="O8" i="17"/>
  <c r="P8" i="17"/>
  <c r="C9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C10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C11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C12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B18" i="17"/>
  <c r="C18" i="17"/>
  <c r="D18" i="17"/>
  <c r="E18" i="17"/>
  <c r="F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B19" i="17"/>
  <c r="C19" i="17"/>
  <c r="D19" i="17"/>
  <c r="E19" i="17"/>
  <c r="F19" i="17"/>
  <c r="G19" i="17"/>
  <c r="H19" i="17"/>
  <c r="I19" i="17"/>
  <c r="J19" i="17"/>
  <c r="K19" i="17"/>
  <c r="L19" i="17"/>
  <c r="M19" i="17"/>
  <c r="N19" i="17"/>
  <c r="O19" i="17"/>
  <c r="P19" i="17"/>
  <c r="Q19" i="17"/>
  <c r="R19" i="17"/>
  <c r="S19" i="17"/>
  <c r="T19" i="17"/>
  <c r="U19" i="17"/>
  <c r="V19" i="17"/>
  <c r="W19" i="17"/>
  <c r="X19" i="17"/>
  <c r="Y19" i="17"/>
  <c r="Z19" i="17"/>
  <c r="AA19" i="17"/>
  <c r="AB19" i="17"/>
  <c r="AC19" i="17"/>
  <c r="AD19" i="17"/>
  <c r="A20" i="17"/>
  <c r="B20" i="17"/>
  <c r="C20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B21" i="17"/>
  <c r="C21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22" i="17"/>
  <c r="B22" i="17"/>
  <c r="C22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B23" i="17"/>
  <c r="C23" i="17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B24" i="17"/>
  <c r="C24" i="17"/>
  <c r="D24" i="17"/>
  <c r="E24" i="17"/>
  <c r="F24" i="17"/>
  <c r="G24" i="17"/>
  <c r="H24" i="17"/>
  <c r="I24" i="17"/>
  <c r="J24" i="17"/>
  <c r="K24" i="17"/>
  <c r="L24" i="17"/>
  <c r="M24" i="17"/>
  <c r="N24" i="17"/>
  <c r="O24" i="17"/>
  <c r="P24" i="17"/>
  <c r="Q24" i="17"/>
  <c r="R24" i="17"/>
  <c r="S24" i="17"/>
  <c r="T24" i="17"/>
  <c r="U24" i="17"/>
  <c r="V24" i="17"/>
  <c r="W24" i="17"/>
  <c r="X24" i="17"/>
  <c r="Y24" i="17"/>
  <c r="Z24" i="17"/>
  <c r="AA24" i="17"/>
  <c r="AB24" i="17"/>
  <c r="AC24" i="17"/>
  <c r="AD24" i="17"/>
  <c r="B25" i="17"/>
  <c r="C25" i="17"/>
  <c r="D25" i="17"/>
  <c r="E25" i="17"/>
  <c r="F25" i="17"/>
  <c r="G25" i="17"/>
  <c r="H25" i="17"/>
  <c r="I25" i="17"/>
  <c r="J25" i="17"/>
  <c r="K25" i="17"/>
  <c r="L25" i="17"/>
  <c r="M25" i="17"/>
  <c r="N25" i="17"/>
  <c r="O25" i="17"/>
  <c r="P25" i="17"/>
  <c r="Q25" i="17"/>
  <c r="R25" i="17"/>
  <c r="S25" i="17"/>
  <c r="T25" i="17"/>
  <c r="U25" i="17"/>
  <c r="V25" i="17"/>
  <c r="W25" i="17"/>
  <c r="X25" i="17"/>
  <c r="Y25" i="17"/>
  <c r="Z25" i="17"/>
  <c r="AA25" i="17"/>
  <c r="AB25" i="17"/>
  <c r="AC25" i="17"/>
  <c r="AD25" i="17"/>
  <c r="A26" i="17"/>
  <c r="B26" i="17"/>
  <c r="C26" i="17"/>
  <c r="D26" i="17"/>
  <c r="E26" i="17"/>
  <c r="F26" i="17"/>
  <c r="G26" i="17"/>
  <c r="H26" i="17"/>
  <c r="I26" i="17"/>
  <c r="J26" i="17"/>
  <c r="K26" i="17"/>
  <c r="L26" i="17"/>
  <c r="M26" i="17"/>
  <c r="N26" i="17"/>
  <c r="O26" i="17"/>
  <c r="P26" i="17"/>
  <c r="Q26" i="17"/>
  <c r="R26" i="17"/>
  <c r="S26" i="17"/>
  <c r="T26" i="17"/>
  <c r="U26" i="17"/>
  <c r="V26" i="17"/>
  <c r="W26" i="17"/>
  <c r="X26" i="17"/>
  <c r="Y26" i="17"/>
  <c r="Z26" i="17"/>
  <c r="AA26" i="17"/>
  <c r="AB26" i="17"/>
  <c r="AC26" i="17"/>
  <c r="AD26" i="17"/>
  <c r="B27" i="17"/>
  <c r="C27" i="17"/>
  <c r="D27" i="17"/>
  <c r="E27" i="17"/>
  <c r="F27" i="17"/>
  <c r="G27" i="17"/>
  <c r="H27" i="17"/>
  <c r="I27" i="17"/>
  <c r="J27" i="17"/>
  <c r="K27" i="17"/>
  <c r="L27" i="17"/>
  <c r="M27" i="17"/>
  <c r="N27" i="17"/>
  <c r="O27" i="17"/>
  <c r="P27" i="17"/>
  <c r="Q27" i="17"/>
  <c r="R27" i="17"/>
  <c r="S27" i="17"/>
  <c r="T27" i="17"/>
  <c r="U27" i="17"/>
  <c r="V27" i="17"/>
  <c r="W27" i="17"/>
  <c r="X27" i="17"/>
  <c r="Y27" i="17"/>
  <c r="Z27" i="17"/>
  <c r="AA27" i="17"/>
  <c r="AB27" i="17"/>
  <c r="AC27" i="17"/>
  <c r="AD27" i="17"/>
  <c r="B28" i="17"/>
  <c r="C28" i="17"/>
  <c r="D28" i="17"/>
  <c r="E28" i="17"/>
  <c r="F28" i="17"/>
  <c r="G28" i="17"/>
  <c r="H28" i="17"/>
  <c r="I28" i="17"/>
  <c r="J28" i="17"/>
  <c r="K28" i="17"/>
  <c r="L28" i="17"/>
  <c r="M28" i="17"/>
  <c r="N28" i="17"/>
  <c r="O28" i="17"/>
  <c r="P28" i="17"/>
  <c r="Q28" i="17"/>
  <c r="R28" i="17"/>
  <c r="S28" i="17"/>
  <c r="T28" i="17"/>
  <c r="U28" i="17"/>
  <c r="V28" i="17"/>
  <c r="W28" i="17"/>
  <c r="X28" i="17"/>
  <c r="Y28" i="17"/>
  <c r="Z28" i="17"/>
  <c r="AA28" i="17"/>
  <c r="AB28" i="17"/>
  <c r="AC28" i="17"/>
  <c r="AD28" i="17"/>
  <c r="B29" i="17"/>
  <c r="C29" i="17"/>
  <c r="D29" i="17"/>
  <c r="E29" i="17"/>
  <c r="F29" i="17"/>
  <c r="G29" i="17"/>
  <c r="H29" i="17"/>
  <c r="I29" i="17"/>
  <c r="J29" i="17"/>
  <c r="K29" i="17"/>
  <c r="L29" i="17"/>
  <c r="M29" i="17"/>
  <c r="N29" i="17"/>
  <c r="O29" i="17"/>
  <c r="P29" i="17"/>
  <c r="Q29" i="17"/>
  <c r="R29" i="17"/>
  <c r="S29" i="17"/>
  <c r="T29" i="17"/>
  <c r="U29" i="17"/>
  <c r="V29" i="17"/>
  <c r="W29" i="17"/>
  <c r="X29" i="17"/>
  <c r="Y29" i="17"/>
  <c r="Z29" i="17"/>
  <c r="AA29" i="17"/>
  <c r="AB29" i="17"/>
  <c r="AC29" i="17"/>
  <c r="AD29" i="17"/>
  <c r="B30" i="17"/>
  <c r="C30" i="17"/>
  <c r="D30" i="17"/>
  <c r="E30" i="17"/>
  <c r="F30" i="17"/>
  <c r="G30" i="17"/>
  <c r="H30" i="17"/>
  <c r="I30" i="17"/>
  <c r="J30" i="17"/>
  <c r="K30" i="17"/>
  <c r="L30" i="17"/>
  <c r="M30" i="17"/>
  <c r="N30" i="17"/>
  <c r="O30" i="17"/>
  <c r="P30" i="17"/>
  <c r="Q30" i="17"/>
  <c r="R30" i="17"/>
  <c r="S30" i="17"/>
  <c r="T30" i="17"/>
  <c r="U30" i="17"/>
  <c r="V30" i="17"/>
  <c r="W30" i="17"/>
  <c r="X30" i="17"/>
  <c r="Y30" i="17"/>
  <c r="Z30" i="17"/>
  <c r="AA30" i="17"/>
  <c r="AB30" i="17"/>
  <c r="AC30" i="17"/>
  <c r="AD30" i="17"/>
  <c r="B31" i="17"/>
  <c r="C31" i="17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B32" i="17"/>
  <c r="C32" i="17"/>
  <c r="D32" i="17"/>
  <c r="E32" i="17"/>
  <c r="F32" i="17"/>
  <c r="G32" i="17"/>
  <c r="H32" i="17"/>
  <c r="I32" i="17"/>
  <c r="J32" i="17"/>
  <c r="K32" i="17"/>
  <c r="L32" i="17"/>
  <c r="M32" i="17"/>
  <c r="N32" i="17"/>
  <c r="O32" i="17"/>
  <c r="P32" i="17"/>
  <c r="Q32" i="17"/>
  <c r="R32" i="17"/>
  <c r="S32" i="17"/>
  <c r="T32" i="17"/>
  <c r="U32" i="17"/>
  <c r="V32" i="17"/>
  <c r="W32" i="17"/>
  <c r="X32" i="17"/>
  <c r="Y32" i="17"/>
  <c r="Z32" i="17"/>
  <c r="AA32" i="17"/>
  <c r="AB32" i="17"/>
  <c r="AC32" i="17"/>
  <c r="AD32" i="17"/>
  <c r="B33" i="17"/>
  <c r="C33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C2" i="18"/>
  <c r="E2" i="18"/>
  <c r="F2" i="18" s="1"/>
  <c r="C3" i="18"/>
  <c r="E3" i="18"/>
  <c r="F3" i="18" s="1"/>
  <c r="C4" i="18"/>
  <c r="E4" i="18"/>
  <c r="F4" i="18" s="1"/>
  <c r="C5" i="18"/>
  <c r="E5" i="18"/>
  <c r="F5" i="18" s="1"/>
  <c r="C6" i="18"/>
  <c r="E6" i="18"/>
  <c r="F6" i="18" s="1"/>
  <c r="C7" i="18"/>
  <c r="E7" i="18"/>
  <c r="F7" i="18" s="1"/>
  <c r="C8" i="18"/>
  <c r="E8" i="18"/>
  <c r="F8" i="18" s="1"/>
  <c r="C9" i="18"/>
  <c r="E9" i="18"/>
  <c r="F9" i="18" s="1"/>
  <c r="C10" i="18"/>
  <c r="E10" i="18"/>
  <c r="F10" i="18" s="1"/>
  <c r="C11" i="18"/>
  <c r="E11" i="18"/>
  <c r="F11" i="18" s="1"/>
  <c r="C12" i="18"/>
  <c r="E12" i="18"/>
  <c r="F12" i="18" s="1"/>
  <c r="C13" i="18"/>
  <c r="E13" i="18"/>
  <c r="F13" i="18" s="1"/>
  <c r="C14" i="18"/>
  <c r="E14" i="18"/>
  <c r="F14" i="18" s="1"/>
  <c r="C15" i="18"/>
  <c r="E15" i="18"/>
  <c r="F15" i="18" s="1"/>
  <c r="C16" i="18"/>
  <c r="E16" i="18"/>
  <c r="F16" i="18" s="1"/>
  <c r="C17" i="18"/>
  <c r="E17" i="18"/>
  <c r="F17" i="18" s="1"/>
  <c r="C18" i="18"/>
  <c r="E18" i="18"/>
  <c r="F18" i="18" s="1"/>
  <c r="C19" i="18"/>
  <c r="E19" i="18"/>
  <c r="F19" i="18" s="1"/>
  <c r="C20" i="18"/>
  <c r="E20" i="18"/>
  <c r="F20" i="18" s="1"/>
  <c r="C21" i="18"/>
  <c r="E21" i="18"/>
  <c r="F21" i="18" s="1"/>
  <c r="C22" i="18"/>
  <c r="E22" i="18"/>
  <c r="F22" i="18" s="1"/>
  <c r="C23" i="18"/>
  <c r="E23" i="18"/>
  <c r="F23" i="18" s="1"/>
  <c r="C24" i="18"/>
  <c r="E24" i="18"/>
  <c r="F24" i="18" s="1"/>
  <c r="C25" i="18"/>
  <c r="E25" i="18"/>
  <c r="F25" i="18" s="1"/>
  <c r="C26" i="18"/>
  <c r="E26" i="18"/>
  <c r="F26" i="18" s="1"/>
  <c r="C27" i="18"/>
  <c r="E27" i="18"/>
  <c r="F27" i="18" s="1"/>
  <c r="C28" i="18"/>
  <c r="E28" i="18"/>
  <c r="F28" i="18" s="1"/>
  <c r="C29" i="18"/>
  <c r="E29" i="18"/>
  <c r="F29" i="18" s="1"/>
  <c r="C30" i="18"/>
  <c r="E30" i="18"/>
  <c r="F30" i="18" s="1"/>
  <c r="C31" i="18"/>
  <c r="E31" i="18"/>
  <c r="F31" i="18" s="1"/>
  <c r="C32" i="18"/>
  <c r="E32" i="18"/>
  <c r="F32" i="18" s="1"/>
  <c r="C33" i="18"/>
  <c r="E33" i="18"/>
  <c r="F33" i="18" s="1"/>
  <c r="A7" i="14"/>
  <c r="A8" i="14"/>
  <c r="B8" i="14"/>
  <c r="A9" i="14"/>
  <c r="B9" i="14"/>
  <c r="A10" i="14"/>
  <c r="B10" i="14"/>
  <c r="A11" i="14"/>
  <c r="B11" i="14"/>
  <c r="A12" i="14"/>
  <c r="B12" i="14"/>
  <c r="A13" i="14"/>
  <c r="B13" i="14"/>
  <c r="A14" i="14"/>
  <c r="B14" i="14"/>
  <c r="A15" i="14"/>
  <c r="B15" i="14"/>
  <c r="A16" i="14"/>
  <c r="B16" i="14"/>
  <c r="A17" i="14"/>
  <c r="B17" i="14"/>
  <c r="A18" i="14"/>
  <c r="B18" i="14"/>
  <c r="A19" i="14"/>
  <c r="B19" i="14"/>
  <c r="A20" i="14"/>
  <c r="B20" i="14"/>
  <c r="A21" i="14"/>
  <c r="B21" i="14"/>
  <c r="A22" i="14"/>
  <c r="B22" i="14"/>
  <c r="A23" i="14"/>
  <c r="B23" i="14"/>
  <c r="A24" i="14"/>
  <c r="B24" i="14"/>
  <c r="A25" i="14"/>
  <c r="B25" i="14"/>
  <c r="A26" i="14"/>
  <c r="B26" i="14"/>
  <c r="A27" i="14"/>
  <c r="B27" i="14"/>
  <c r="A28" i="14"/>
  <c r="B28" i="14"/>
  <c r="A29" i="14"/>
  <c r="B29" i="14"/>
  <c r="A30" i="14"/>
  <c r="B30" i="14"/>
  <c r="A31" i="14"/>
  <c r="B31" i="14"/>
  <c r="A32" i="14"/>
  <c r="B32" i="14"/>
  <c r="A33" i="14"/>
  <c r="B33" i="14"/>
  <c r="A34" i="14"/>
  <c r="B34" i="14"/>
  <c r="A35" i="14"/>
  <c r="B35" i="14"/>
  <c r="A36" i="14"/>
  <c r="B36" i="14"/>
  <c r="A37" i="14"/>
  <c r="B37" i="14"/>
  <c r="A38" i="14"/>
  <c r="B38" i="14"/>
  <c r="A39" i="14"/>
  <c r="B39" i="14"/>
  <c r="A40" i="14"/>
  <c r="B40" i="14"/>
  <c r="A41" i="14"/>
  <c r="B41" i="14"/>
  <c r="A42" i="14"/>
  <c r="B42" i="14"/>
  <c r="A43" i="14"/>
  <c r="B43" i="14"/>
  <c r="A44" i="14"/>
  <c r="B44" i="14"/>
  <c r="A45" i="14"/>
  <c r="B45" i="14"/>
  <c r="A46" i="14"/>
  <c r="A47" i="14"/>
  <c r="A48" i="14"/>
  <c r="B48" i="14"/>
  <c r="A49" i="14"/>
  <c r="B49" i="14"/>
  <c r="A50" i="14"/>
  <c r="B50" i="14"/>
  <c r="A51" i="14"/>
  <c r="B51" i="14"/>
  <c r="A52" i="14"/>
  <c r="B52" i="14"/>
  <c r="A53" i="14"/>
  <c r="B53" i="14"/>
  <c r="A54" i="14"/>
  <c r="B54" i="14"/>
  <c r="A55" i="14"/>
  <c r="B55" i="14"/>
  <c r="A56" i="14"/>
  <c r="B56" i="14"/>
  <c r="A57" i="14"/>
  <c r="B57" i="14"/>
  <c r="A58" i="14"/>
  <c r="B58" i="14"/>
  <c r="A59" i="14"/>
  <c r="B59" i="14"/>
  <c r="A60" i="14"/>
  <c r="B60" i="14"/>
  <c r="A61" i="14"/>
  <c r="B61" i="14"/>
  <c r="A62" i="14"/>
  <c r="B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B80" i="14"/>
  <c r="A81" i="14"/>
  <c r="B81" i="14"/>
  <c r="A82" i="14"/>
  <c r="B82" i="14"/>
  <c r="A83" i="14"/>
  <c r="B83" i="14"/>
  <c r="A84" i="14"/>
  <c r="B84" i="14"/>
  <c r="A85" i="14"/>
  <c r="B85" i="14"/>
  <c r="A86" i="14"/>
  <c r="B86" i="14"/>
  <c r="A87" i="14"/>
  <c r="B87" i="14"/>
  <c r="A88" i="14"/>
  <c r="B88" i="14"/>
  <c r="A89" i="14"/>
  <c r="B89" i="14"/>
  <c r="A90" i="14"/>
  <c r="B90" i="14"/>
  <c r="A91" i="14"/>
  <c r="B91" i="14"/>
  <c r="A92" i="14"/>
  <c r="B92" i="14"/>
  <c r="A93" i="14"/>
  <c r="B93" i="14"/>
  <c r="A94" i="14"/>
  <c r="B94" i="14"/>
  <c r="A95" i="14"/>
  <c r="B95" i="14"/>
  <c r="A96" i="14"/>
  <c r="B96" i="14"/>
  <c r="A97" i="14"/>
  <c r="B97" i="14"/>
  <c r="A98" i="14"/>
  <c r="B98" i="14"/>
  <c r="A99" i="14"/>
  <c r="B99" i="14"/>
  <c r="A100" i="14"/>
  <c r="B100" i="14"/>
  <c r="C100" i="14" s="1"/>
  <c r="E100" i="14" s="1"/>
  <c r="A101" i="14"/>
  <c r="B101" i="14"/>
  <c r="C101" i="14" s="1"/>
  <c r="E101" i="14" s="1"/>
  <c r="A102" i="14"/>
  <c r="B102" i="14"/>
  <c r="C102" i="14" s="1"/>
  <c r="E102" i="14" s="1"/>
  <c r="A103" i="14"/>
  <c r="B103" i="14"/>
  <c r="C103" i="14" s="1"/>
  <c r="E103" i="14" s="1"/>
  <c r="A104" i="14"/>
  <c r="B104" i="14"/>
  <c r="C104" i="14" s="1"/>
  <c r="E104" i="14" s="1"/>
  <c r="A105" i="14"/>
  <c r="B105" i="14"/>
  <c r="C105" i="14" s="1"/>
  <c r="E105" i="14" s="1"/>
  <c r="A106" i="14"/>
  <c r="B106" i="14"/>
  <c r="C106" i="14" s="1"/>
  <c r="E106" i="14" s="1"/>
  <c r="A107" i="14"/>
  <c r="B107" i="14"/>
  <c r="C107" i="14" s="1"/>
  <c r="E107" i="14" s="1"/>
  <c r="A108" i="14"/>
  <c r="B108" i="14"/>
  <c r="C108" i="14" s="1"/>
  <c r="E108" i="14" s="1"/>
  <c r="A109" i="14"/>
  <c r="B109" i="14"/>
  <c r="C109" i="14" s="1"/>
  <c r="E109" i="14" s="1"/>
  <c r="A110" i="14"/>
  <c r="B110" i="14"/>
  <c r="C110" i="14" s="1"/>
  <c r="E110" i="14" s="1"/>
  <c r="A111" i="14"/>
  <c r="B111" i="14"/>
  <c r="C111" i="14" s="1"/>
  <c r="E111" i="14" s="1"/>
  <c r="A112" i="14"/>
  <c r="B112" i="14"/>
  <c r="C112" i="14" s="1"/>
  <c r="E112" i="14" s="1"/>
  <c r="A113" i="14"/>
  <c r="B113" i="14"/>
  <c r="C113" i="14" s="1"/>
  <c r="E113" i="14" s="1"/>
  <c r="A114" i="14"/>
  <c r="B114" i="14"/>
  <c r="C114" i="14" s="1"/>
  <c r="E114" i="14" s="1"/>
  <c r="A115" i="14"/>
  <c r="B115" i="14"/>
  <c r="C115" i="14" s="1"/>
  <c r="E115" i="14" s="1"/>
  <c r="A116" i="14"/>
  <c r="B116" i="14"/>
  <c r="C116" i="14" s="1"/>
  <c r="E116" i="14" s="1"/>
  <c r="A117" i="14"/>
  <c r="B117" i="14"/>
  <c r="C117" i="14" s="1"/>
  <c r="E117" i="14" s="1"/>
  <c r="A118" i="14"/>
  <c r="B118" i="14"/>
  <c r="C118" i="14" s="1"/>
  <c r="E118" i="14" s="1"/>
  <c r="A119" i="14"/>
  <c r="B119" i="14"/>
  <c r="C119" i="14" s="1"/>
  <c r="E119" i="14" s="1"/>
  <c r="A120" i="14"/>
  <c r="B120" i="14"/>
  <c r="C120" i="14" s="1"/>
  <c r="E120" i="14" s="1"/>
  <c r="A121" i="14"/>
  <c r="B121" i="14"/>
  <c r="C121" i="14" s="1"/>
  <c r="E121" i="14" s="1"/>
  <c r="A122" i="14"/>
  <c r="B122" i="14"/>
  <c r="C122" i="14" s="1"/>
  <c r="E122" i="14" s="1"/>
  <c r="A123" i="14"/>
  <c r="B123" i="14"/>
  <c r="C123" i="14" s="1"/>
  <c r="E123" i="14" s="1"/>
  <c r="A124" i="14"/>
  <c r="B124" i="14"/>
  <c r="C124" i="14" s="1"/>
  <c r="E124" i="14" s="1"/>
  <c r="A125" i="14"/>
  <c r="B125" i="14"/>
  <c r="C125" i="14" s="1"/>
  <c r="E125" i="14" s="1"/>
  <c r="A126" i="14"/>
  <c r="B126" i="14"/>
  <c r="C126" i="14" s="1"/>
  <c r="E126" i="14" s="1"/>
  <c r="A127" i="14"/>
  <c r="B127" i="14"/>
  <c r="C127" i="14" s="1"/>
  <c r="E127" i="14" s="1"/>
  <c r="A128" i="14"/>
  <c r="B128" i="14"/>
  <c r="C128" i="14" s="1"/>
  <c r="E128" i="14" s="1"/>
  <c r="A129" i="14"/>
  <c r="B129" i="14"/>
  <c r="C129" i="14" s="1"/>
  <c r="E129" i="14" s="1"/>
  <c r="A130" i="14"/>
  <c r="B130" i="14"/>
  <c r="C130" i="14" s="1"/>
  <c r="E130" i="14" s="1"/>
  <c r="A131" i="14"/>
  <c r="B131" i="14"/>
  <c r="C131" i="14" s="1"/>
  <c r="E131" i="14" s="1"/>
  <c r="A132" i="14"/>
  <c r="B132" i="14"/>
  <c r="C132" i="14" s="1"/>
  <c r="E132" i="14" s="1"/>
  <c r="A133" i="14"/>
  <c r="B133" i="14"/>
  <c r="C133" i="14" s="1"/>
  <c r="E133" i="14" s="1"/>
  <c r="A134" i="14"/>
  <c r="B134" i="14"/>
  <c r="C134" i="14" s="1"/>
  <c r="E134" i="14" s="1"/>
  <c r="A135" i="14"/>
  <c r="B135" i="14"/>
  <c r="C135" i="14" s="1"/>
  <c r="E135" i="14" s="1"/>
  <c r="A136" i="14"/>
  <c r="B136" i="14"/>
  <c r="C136" i="14" s="1"/>
  <c r="E136" i="14" s="1"/>
  <c r="A137" i="14"/>
  <c r="B137" i="14"/>
  <c r="C137" i="14" s="1"/>
  <c r="E137" i="14" s="1"/>
  <c r="A138" i="14"/>
  <c r="B138" i="14"/>
  <c r="C138" i="14" s="1"/>
  <c r="E138" i="14" s="1"/>
  <c r="A139" i="14"/>
  <c r="B139" i="14"/>
  <c r="C139" i="14" s="1"/>
  <c r="E139" i="14" s="1"/>
  <c r="A140" i="14"/>
  <c r="B140" i="14"/>
  <c r="C140" i="14" s="1"/>
  <c r="E140" i="14" s="1"/>
  <c r="A141" i="14"/>
  <c r="B141" i="14"/>
  <c r="C141" i="14" s="1"/>
  <c r="E141" i="14" s="1"/>
  <c r="A142" i="14"/>
  <c r="B142" i="14"/>
  <c r="C142" i="14" s="1"/>
  <c r="E142" i="14" s="1"/>
  <c r="A143" i="14"/>
  <c r="B143" i="14"/>
  <c r="C143" i="14" s="1"/>
  <c r="E143" i="14" s="1"/>
  <c r="A144" i="14"/>
  <c r="B144" i="14"/>
  <c r="C144" i="14" s="1"/>
  <c r="E144" i="14" s="1"/>
  <c r="A145" i="14"/>
  <c r="B145" i="14"/>
  <c r="C145" i="14" s="1"/>
  <c r="E145" i="14" s="1"/>
  <c r="A146" i="14"/>
  <c r="B146" i="14"/>
  <c r="C146" i="14" s="1"/>
  <c r="E146" i="14" s="1"/>
  <c r="A147" i="14"/>
  <c r="B147" i="14"/>
  <c r="C147" i="14" s="1"/>
  <c r="E147" i="14" s="1"/>
  <c r="A148" i="14"/>
  <c r="B148" i="14"/>
  <c r="C148" i="14" s="1"/>
  <c r="E148" i="14" s="1"/>
  <c r="A149" i="14"/>
  <c r="B149" i="14"/>
  <c r="C149" i="14" s="1"/>
  <c r="E149" i="14" s="1"/>
  <c r="A150" i="14"/>
  <c r="B150" i="14"/>
  <c r="C150" i="14" s="1"/>
  <c r="E150" i="14" s="1"/>
  <c r="A151" i="14"/>
  <c r="B151" i="14"/>
  <c r="C151" i="14" s="1"/>
  <c r="E151" i="14" s="1"/>
  <c r="A152" i="14"/>
  <c r="B152" i="14"/>
  <c r="C152" i="14" s="1"/>
  <c r="E152" i="14" s="1"/>
  <c r="A153" i="14"/>
  <c r="B153" i="14"/>
  <c r="C153" i="14" s="1"/>
  <c r="E153" i="14" s="1"/>
  <c r="A154" i="14"/>
  <c r="B154" i="14"/>
  <c r="C154" i="14" s="1"/>
  <c r="E154" i="14" s="1"/>
  <c r="A155" i="14"/>
  <c r="B155" i="14"/>
  <c r="C155" i="14" s="1"/>
  <c r="E155" i="14" s="1"/>
  <c r="A156" i="14"/>
  <c r="B156" i="14"/>
  <c r="C156" i="14" s="1"/>
  <c r="E156" i="14" s="1"/>
  <c r="A157" i="14"/>
  <c r="B157" i="14"/>
  <c r="C157" i="14" s="1"/>
  <c r="E157" i="14" s="1"/>
  <c r="A158" i="14"/>
  <c r="B158" i="14"/>
  <c r="C158" i="14" s="1"/>
  <c r="E158" i="14" s="1"/>
  <c r="A159" i="14"/>
  <c r="B159" i="14"/>
  <c r="C159" i="14" s="1"/>
  <c r="E159" i="14" s="1"/>
  <c r="A160" i="14"/>
  <c r="B160" i="14"/>
  <c r="C160" i="14" s="1"/>
  <c r="E160" i="14" s="1"/>
  <c r="A161" i="14"/>
  <c r="B161" i="14"/>
  <c r="C161" i="14" s="1"/>
  <c r="E161" i="14" s="1"/>
  <c r="A162" i="14"/>
  <c r="B162" i="14"/>
  <c r="C162" i="14" s="1"/>
  <c r="E162" i="14" s="1"/>
  <c r="A163" i="14"/>
  <c r="B163" i="14"/>
  <c r="C163" i="14" s="1"/>
  <c r="E163" i="14" s="1"/>
  <c r="A164" i="14"/>
  <c r="B164" i="14"/>
  <c r="C164" i="14" s="1"/>
  <c r="E164" i="14" s="1"/>
  <c r="A165" i="14"/>
  <c r="B165" i="14"/>
  <c r="C165" i="14" s="1"/>
  <c r="E165" i="14" s="1"/>
  <c r="A166" i="14"/>
  <c r="B166" i="14"/>
  <c r="C166" i="14" s="1"/>
  <c r="E166" i="14" s="1"/>
  <c r="A167" i="14"/>
  <c r="B167" i="14"/>
  <c r="C167" i="14" s="1"/>
  <c r="E167" i="14" s="1"/>
  <c r="A168" i="14"/>
  <c r="B168" i="14"/>
  <c r="C168" i="14" s="1"/>
  <c r="E168" i="14" s="1"/>
  <c r="A169" i="14"/>
  <c r="B169" i="14"/>
  <c r="C169" i="14" s="1"/>
  <c r="E169" i="14" s="1"/>
  <c r="A170" i="14"/>
  <c r="B170" i="14"/>
  <c r="C170" i="14" s="1"/>
  <c r="E170" i="14" s="1"/>
  <c r="A171" i="14"/>
  <c r="B171" i="14"/>
  <c r="C171" i="14" s="1"/>
  <c r="E171" i="14" s="1"/>
  <c r="A172" i="14"/>
  <c r="B172" i="14"/>
  <c r="C172" i="14" s="1"/>
  <c r="E172" i="14" s="1"/>
  <c r="A173" i="14"/>
  <c r="B173" i="14"/>
  <c r="C173" i="14" s="1"/>
  <c r="E173" i="14" s="1"/>
  <c r="A174" i="14"/>
  <c r="B174" i="14"/>
  <c r="C174" i="14" s="1"/>
  <c r="E174" i="14" s="1"/>
  <c r="A175" i="14"/>
  <c r="B175" i="14"/>
  <c r="C175" i="14" s="1"/>
  <c r="E175" i="14" s="1"/>
  <c r="A176" i="14"/>
  <c r="B176" i="14"/>
  <c r="C176" i="14" s="1"/>
  <c r="E176" i="14" s="1"/>
  <c r="A177" i="14"/>
  <c r="B177" i="14"/>
  <c r="C177" i="14" s="1"/>
  <c r="E177" i="14" s="1"/>
  <c r="A178" i="14"/>
  <c r="B178" i="14"/>
  <c r="C178" i="14" s="1"/>
  <c r="E178" i="14" s="1"/>
  <c r="A179" i="14"/>
  <c r="B179" i="14"/>
  <c r="C179" i="14" s="1"/>
  <c r="E179" i="14" s="1"/>
  <c r="A180" i="14"/>
  <c r="B180" i="14"/>
  <c r="C180" i="14" s="1"/>
  <c r="E180" i="14" s="1"/>
  <c r="A181" i="14"/>
  <c r="B181" i="14"/>
  <c r="C181" i="14" s="1"/>
  <c r="E181" i="14" s="1"/>
  <c r="A182" i="14"/>
  <c r="B182" i="14"/>
  <c r="C182" i="14" s="1"/>
  <c r="E182" i="14" s="1"/>
  <c r="A183" i="14"/>
  <c r="B183" i="14"/>
  <c r="C183" i="14" s="1"/>
  <c r="E183" i="14" s="1"/>
  <c r="A184" i="14"/>
  <c r="B184" i="14"/>
  <c r="C184" i="14" s="1"/>
  <c r="E184" i="14" s="1"/>
  <c r="A185" i="14"/>
  <c r="B185" i="14"/>
  <c r="C185" i="14" s="1"/>
  <c r="E185" i="14" s="1"/>
  <c r="A186" i="14"/>
  <c r="B186" i="14"/>
  <c r="C186" i="14" s="1"/>
  <c r="E186" i="14" s="1"/>
  <c r="A187" i="14"/>
  <c r="B187" i="14"/>
  <c r="C187" i="14" s="1"/>
  <c r="E187" i="14" s="1"/>
  <c r="A188" i="14"/>
  <c r="B188" i="14"/>
  <c r="C188" i="14" s="1"/>
  <c r="E188" i="14" s="1"/>
  <c r="A189" i="14"/>
  <c r="B189" i="14"/>
  <c r="C189" i="14" s="1"/>
  <c r="E189" i="14" s="1"/>
  <c r="A190" i="14"/>
  <c r="B190" i="14"/>
  <c r="C190" i="14" s="1"/>
  <c r="E190" i="14" s="1"/>
  <c r="A191" i="14"/>
  <c r="B191" i="14"/>
  <c r="C191" i="14" s="1"/>
  <c r="E191" i="14" s="1"/>
  <c r="A192" i="14"/>
  <c r="B192" i="14"/>
  <c r="C192" i="14" s="1"/>
  <c r="E192" i="14" s="1"/>
  <c r="A193" i="14"/>
  <c r="B193" i="14"/>
  <c r="C193" i="14" s="1"/>
  <c r="E193" i="14" s="1"/>
  <c r="A194" i="14"/>
  <c r="B194" i="14"/>
  <c r="C194" i="14" s="1"/>
  <c r="E194" i="14" s="1"/>
  <c r="A195" i="14"/>
  <c r="B195" i="14"/>
  <c r="C195" i="14" s="1"/>
  <c r="E195" i="14" s="1"/>
  <c r="A196" i="14"/>
  <c r="B196" i="14"/>
  <c r="C196" i="14" s="1"/>
  <c r="E196" i="14" s="1"/>
  <c r="A197" i="14"/>
  <c r="B197" i="14"/>
  <c r="C197" i="14" s="1"/>
  <c r="E197" i="14" s="1"/>
  <c r="A198" i="14"/>
  <c r="B198" i="14"/>
  <c r="C198" i="14" s="1"/>
  <c r="E198" i="14" s="1"/>
  <c r="A199" i="14"/>
  <c r="B199" i="14"/>
  <c r="C199" i="14" s="1"/>
  <c r="E199" i="14" s="1"/>
  <c r="A200" i="14"/>
  <c r="B200" i="14"/>
  <c r="C200" i="14" s="1"/>
  <c r="E200" i="14" s="1"/>
  <c r="A201" i="14"/>
  <c r="B201" i="14"/>
  <c r="C201" i="14" s="1"/>
  <c r="E201" i="14" s="1"/>
  <c r="A202" i="14"/>
  <c r="B202" i="14"/>
  <c r="C202" i="14" s="1"/>
  <c r="E202" i="14" s="1"/>
  <c r="A203" i="14"/>
  <c r="B203" i="14"/>
  <c r="C203" i="14" s="1"/>
  <c r="E203" i="14" s="1"/>
  <c r="A204" i="14"/>
  <c r="B204" i="14"/>
  <c r="C204" i="14" s="1"/>
  <c r="E204" i="14" s="1"/>
  <c r="A205" i="14"/>
  <c r="B205" i="14"/>
  <c r="C205" i="14" s="1"/>
  <c r="E205" i="14" s="1"/>
  <c r="A206" i="14"/>
  <c r="B206" i="14"/>
  <c r="C206" i="14" s="1"/>
  <c r="E206" i="14" s="1"/>
  <c r="A207" i="14"/>
  <c r="B207" i="14"/>
  <c r="C207" i="14" s="1"/>
  <c r="E207" i="14" s="1"/>
  <c r="A208" i="14"/>
  <c r="B208" i="14"/>
  <c r="C208" i="14" s="1"/>
  <c r="E208" i="14" s="1"/>
  <c r="A209" i="14"/>
  <c r="B209" i="14"/>
  <c r="C209" i="14" s="1"/>
  <c r="E209" i="14" s="1"/>
  <c r="A210" i="14"/>
  <c r="B210" i="14"/>
  <c r="C210" i="14" s="1"/>
  <c r="E210" i="14" s="1"/>
  <c r="A211" i="14"/>
  <c r="B211" i="14"/>
  <c r="C211" i="14" s="1"/>
  <c r="E211" i="14" s="1"/>
  <c r="A212" i="14"/>
  <c r="B212" i="14"/>
  <c r="C212" i="14" s="1"/>
  <c r="E212" i="14" s="1"/>
  <c r="A213" i="14"/>
  <c r="B213" i="14"/>
  <c r="C213" i="14" s="1"/>
  <c r="E213" i="14" s="1"/>
  <c r="A214" i="14"/>
  <c r="B214" i="14"/>
  <c r="C214" i="14" s="1"/>
  <c r="E214" i="14" s="1"/>
  <c r="A215" i="14"/>
  <c r="B215" i="14"/>
  <c r="C215" i="14" s="1"/>
  <c r="E215" i="14" s="1"/>
  <c r="A216" i="14"/>
  <c r="B216" i="14"/>
  <c r="C216" i="14" s="1"/>
  <c r="E216" i="14" s="1"/>
  <c r="A217" i="14"/>
  <c r="B217" i="14"/>
  <c r="C217" i="14" s="1"/>
  <c r="E217" i="14" s="1"/>
  <c r="A218" i="14"/>
  <c r="B218" i="14"/>
  <c r="C218" i="14" s="1"/>
  <c r="E218" i="14" s="1"/>
  <c r="A219" i="14"/>
  <c r="B219" i="14"/>
  <c r="C219" i="14" s="1"/>
  <c r="E219" i="14" s="1"/>
  <c r="A220" i="14"/>
  <c r="B220" i="14"/>
  <c r="C220" i="14" s="1"/>
  <c r="E220" i="14" s="1"/>
  <c r="A221" i="14"/>
  <c r="B221" i="14"/>
  <c r="C221" i="14" s="1"/>
  <c r="E221" i="14" s="1"/>
  <c r="A222" i="14"/>
  <c r="B222" i="14"/>
  <c r="C222" i="14" s="1"/>
  <c r="E222" i="14" s="1"/>
  <c r="A223" i="14"/>
  <c r="B223" i="14"/>
  <c r="C223" i="14" s="1"/>
  <c r="E223" i="14" s="1"/>
  <c r="A224" i="14"/>
  <c r="B224" i="14"/>
  <c r="C224" i="14" s="1"/>
  <c r="E224" i="14" s="1"/>
  <c r="A225" i="14"/>
  <c r="B225" i="14"/>
  <c r="C225" i="14" s="1"/>
  <c r="E225" i="14" s="1"/>
  <c r="A226" i="14"/>
  <c r="B226" i="14"/>
  <c r="C226" i="14" s="1"/>
  <c r="E226" i="14" s="1"/>
  <c r="A227" i="14"/>
  <c r="B227" i="14"/>
  <c r="C227" i="14" s="1"/>
  <c r="E227" i="14" s="1"/>
  <c r="A228" i="14"/>
  <c r="B228" i="14"/>
  <c r="C228" i="14" s="1"/>
  <c r="E228" i="14" s="1"/>
  <c r="A229" i="14"/>
  <c r="B229" i="14"/>
  <c r="C229" i="14" s="1"/>
  <c r="E229" i="14" s="1"/>
  <c r="A230" i="14"/>
  <c r="B230" i="14"/>
  <c r="C230" i="14" s="1"/>
  <c r="E230" i="14" s="1"/>
  <c r="A231" i="14"/>
  <c r="B231" i="14"/>
  <c r="C231" i="14" s="1"/>
  <c r="E231" i="14" s="1"/>
  <c r="A232" i="14"/>
  <c r="B232" i="14"/>
  <c r="C232" i="14" s="1"/>
  <c r="E232" i="14" s="1"/>
  <c r="A233" i="14"/>
  <c r="B233" i="14"/>
  <c r="C233" i="14" s="1"/>
  <c r="E233" i="14" s="1"/>
  <c r="A234" i="14"/>
  <c r="B234" i="14"/>
  <c r="C234" i="14" s="1"/>
  <c r="E234" i="14" s="1"/>
  <c r="A235" i="14"/>
  <c r="B235" i="14"/>
  <c r="C235" i="14" s="1"/>
  <c r="E235" i="14" s="1"/>
  <c r="A236" i="14"/>
  <c r="B236" i="14"/>
  <c r="C236" i="14" s="1"/>
  <c r="E236" i="14" s="1"/>
  <c r="A237" i="14"/>
  <c r="B237" i="14"/>
  <c r="C237" i="14" s="1"/>
  <c r="E237" i="14" s="1"/>
  <c r="A238" i="14"/>
  <c r="B238" i="14"/>
  <c r="C238" i="14" s="1"/>
  <c r="E238" i="14" s="1"/>
  <c r="A239" i="14"/>
  <c r="B239" i="14"/>
  <c r="C239" i="14" s="1"/>
  <c r="E239" i="14" s="1"/>
  <c r="A240" i="14"/>
  <c r="B240" i="14"/>
  <c r="C240" i="14" s="1"/>
  <c r="E240" i="14" s="1"/>
  <c r="A241" i="14"/>
  <c r="B241" i="14"/>
  <c r="C241" i="14" s="1"/>
  <c r="E241" i="14" s="1"/>
  <c r="A242" i="14"/>
  <c r="B242" i="14"/>
  <c r="C242" i="14" s="1"/>
  <c r="E242" i="14" s="1"/>
  <c r="A243" i="14"/>
  <c r="B243" i="14"/>
  <c r="C243" i="14" s="1"/>
  <c r="E243" i="14" s="1"/>
  <c r="A244" i="14"/>
  <c r="B244" i="14"/>
  <c r="C244" i="14" s="1"/>
  <c r="E244" i="14" s="1"/>
  <c r="A245" i="14"/>
  <c r="B245" i="14"/>
  <c r="C245" i="14" s="1"/>
  <c r="E245" i="14" s="1"/>
  <c r="A246" i="14"/>
  <c r="B246" i="14"/>
  <c r="C246" i="14" s="1"/>
  <c r="E246" i="14" s="1"/>
  <c r="A247" i="14"/>
  <c r="B247" i="14"/>
  <c r="C247" i="14" s="1"/>
  <c r="E247" i="14" s="1"/>
  <c r="A248" i="14"/>
  <c r="B248" i="14"/>
  <c r="C248" i="14" s="1"/>
  <c r="E248" i="14" s="1"/>
  <c r="A249" i="14"/>
  <c r="B249" i="14"/>
  <c r="C249" i="14" s="1"/>
  <c r="E249" i="14" s="1"/>
  <c r="A250" i="14"/>
  <c r="B250" i="14"/>
  <c r="C250" i="14" s="1"/>
  <c r="E250" i="14" s="1"/>
  <c r="A251" i="14"/>
  <c r="B251" i="14"/>
  <c r="C251" i="14" s="1"/>
  <c r="E251" i="14" s="1"/>
  <c r="A252" i="14"/>
  <c r="B252" i="14"/>
  <c r="C252" i="14" s="1"/>
  <c r="E252" i="14" s="1"/>
  <c r="A253" i="14"/>
  <c r="B253" i="14"/>
  <c r="C253" i="14" s="1"/>
  <c r="E253" i="14" s="1"/>
  <c r="A254" i="14"/>
  <c r="B254" i="14"/>
  <c r="C254" i="14" s="1"/>
  <c r="E254" i="14" s="1"/>
  <c r="A255" i="14"/>
  <c r="B255" i="14"/>
  <c r="C255" i="14" s="1"/>
  <c r="E255" i="14" s="1"/>
  <c r="A256" i="14"/>
  <c r="B256" i="14"/>
  <c r="C256" i="14" s="1"/>
  <c r="E256" i="14" s="1"/>
  <c r="A257" i="14"/>
  <c r="B257" i="14"/>
  <c r="C257" i="14" s="1"/>
  <c r="E257" i="14" s="1"/>
  <c r="A258" i="14"/>
  <c r="B258" i="14"/>
  <c r="C258" i="14" s="1"/>
  <c r="E258" i="14" s="1"/>
  <c r="A259" i="14"/>
  <c r="B259" i="14"/>
  <c r="C259" i="14" s="1"/>
  <c r="E259" i="14" s="1"/>
  <c r="A260" i="14"/>
  <c r="B260" i="14"/>
  <c r="C260" i="14" s="1"/>
  <c r="E260" i="14" s="1"/>
  <c r="A261" i="14"/>
  <c r="B261" i="14"/>
  <c r="C261" i="14" s="1"/>
  <c r="E261" i="14" s="1"/>
  <c r="A262" i="14"/>
  <c r="B262" i="14"/>
  <c r="C262" i="14" s="1"/>
  <c r="E262" i="14" s="1"/>
  <c r="A263" i="14"/>
  <c r="B263" i="14"/>
  <c r="C263" i="14" s="1"/>
  <c r="E263" i="14" s="1"/>
  <c r="A264" i="14"/>
  <c r="B264" i="14"/>
  <c r="C264" i="14" s="1"/>
  <c r="E264" i="14" s="1"/>
  <c r="A265" i="14"/>
  <c r="B265" i="14"/>
  <c r="C265" i="14" s="1"/>
  <c r="E265" i="14" s="1"/>
  <c r="A266" i="14"/>
  <c r="B266" i="14"/>
  <c r="C266" i="14" s="1"/>
  <c r="E266" i="14" s="1"/>
  <c r="A267" i="14"/>
  <c r="B267" i="14"/>
  <c r="C267" i="14" s="1"/>
  <c r="E267" i="14" s="1"/>
  <c r="A268" i="14"/>
  <c r="B268" i="14"/>
  <c r="C268" i="14" s="1"/>
  <c r="E268" i="14" s="1"/>
  <c r="A269" i="14"/>
  <c r="B269" i="14"/>
  <c r="C269" i="14" s="1"/>
  <c r="E269" i="14" s="1"/>
  <c r="A270" i="14"/>
  <c r="B270" i="14"/>
  <c r="C270" i="14" s="1"/>
  <c r="E270" i="14" s="1"/>
  <c r="A271" i="14"/>
  <c r="B271" i="14"/>
  <c r="C271" i="14" s="1"/>
  <c r="E271" i="14" s="1"/>
  <c r="A272" i="14"/>
  <c r="B272" i="14"/>
  <c r="C272" i="14" s="1"/>
  <c r="E272" i="14" s="1"/>
  <c r="A273" i="14"/>
  <c r="B273" i="14"/>
  <c r="C273" i="14" s="1"/>
  <c r="E273" i="14" s="1"/>
  <c r="A274" i="14"/>
  <c r="B274" i="14"/>
  <c r="C274" i="14" s="1"/>
  <c r="E274" i="14" s="1"/>
  <c r="A275" i="14"/>
  <c r="B275" i="14"/>
  <c r="C275" i="14" s="1"/>
  <c r="E275" i="14" s="1"/>
  <c r="A276" i="14"/>
  <c r="B276" i="14"/>
  <c r="C276" i="14" s="1"/>
  <c r="E276" i="14" s="1"/>
  <c r="A277" i="14"/>
  <c r="B277" i="14"/>
  <c r="C277" i="14" s="1"/>
  <c r="E277" i="14" s="1"/>
  <c r="A278" i="14"/>
  <c r="B278" i="14"/>
  <c r="C278" i="14" s="1"/>
  <c r="E278" i="14" s="1"/>
  <c r="A279" i="14"/>
  <c r="B279" i="14"/>
  <c r="C279" i="14" s="1"/>
  <c r="E279" i="14" s="1"/>
  <c r="A280" i="14"/>
  <c r="B280" i="14"/>
  <c r="C280" i="14" s="1"/>
  <c r="E280" i="14" s="1"/>
  <c r="A281" i="14"/>
  <c r="B281" i="14"/>
  <c r="C281" i="14" s="1"/>
  <c r="E281" i="14" s="1"/>
  <c r="A282" i="14"/>
  <c r="B282" i="14"/>
  <c r="C282" i="14" s="1"/>
  <c r="E282" i="14" s="1"/>
  <c r="A283" i="14"/>
  <c r="B283" i="14"/>
  <c r="C283" i="14" s="1"/>
  <c r="E283" i="14" s="1"/>
  <c r="A284" i="14"/>
  <c r="B284" i="14"/>
  <c r="C284" i="14" s="1"/>
  <c r="E284" i="14" s="1"/>
  <c r="A285" i="14"/>
  <c r="B285" i="14"/>
  <c r="C285" i="14" s="1"/>
  <c r="E285" i="14" s="1"/>
  <c r="A286" i="14"/>
  <c r="B286" i="14"/>
  <c r="C286" i="14" s="1"/>
  <c r="E286" i="14" s="1"/>
  <c r="A287" i="14"/>
  <c r="B287" i="14"/>
  <c r="C287" i="14" s="1"/>
  <c r="E287" i="14" s="1"/>
  <c r="A288" i="14"/>
  <c r="B288" i="14"/>
  <c r="C288" i="14" s="1"/>
  <c r="E288" i="14" s="1"/>
  <c r="A289" i="14"/>
  <c r="B289" i="14"/>
  <c r="C289" i="14" s="1"/>
  <c r="E289" i="14" s="1"/>
  <c r="A290" i="14"/>
  <c r="B290" i="14"/>
  <c r="C290" i="14" s="1"/>
  <c r="E290" i="14" s="1"/>
  <c r="A291" i="14"/>
  <c r="B291" i="14"/>
  <c r="C291" i="14" s="1"/>
  <c r="E291" i="14" s="1"/>
  <c r="A292" i="14"/>
  <c r="B292" i="14"/>
  <c r="C292" i="14" s="1"/>
  <c r="E292" i="14" s="1"/>
  <c r="A293" i="14"/>
  <c r="B293" i="14"/>
  <c r="C293" i="14" s="1"/>
  <c r="E293" i="14" s="1"/>
  <c r="A294" i="14"/>
  <c r="B294" i="14"/>
  <c r="C294" i="14" s="1"/>
  <c r="E294" i="14" s="1"/>
  <c r="A295" i="14"/>
  <c r="B295" i="14"/>
  <c r="C295" i="14" s="1"/>
  <c r="E295" i="14" s="1"/>
  <c r="A296" i="14"/>
  <c r="B296" i="14"/>
  <c r="C296" i="14" s="1"/>
  <c r="E296" i="14" s="1"/>
  <c r="A297" i="14"/>
  <c r="B297" i="14"/>
  <c r="C297" i="14" s="1"/>
  <c r="E297" i="14" s="1"/>
  <c r="A298" i="14"/>
  <c r="B298" i="14"/>
  <c r="C298" i="14" s="1"/>
  <c r="E298" i="14" s="1"/>
  <c r="A299" i="14"/>
  <c r="B299" i="14"/>
  <c r="C299" i="14" s="1"/>
  <c r="E299" i="14" s="1"/>
  <c r="A300" i="14"/>
  <c r="B300" i="14"/>
  <c r="C300" i="14" s="1"/>
  <c r="E300" i="14" s="1"/>
  <c r="A301" i="14"/>
  <c r="B301" i="14"/>
  <c r="C301" i="14" s="1"/>
  <c r="E301" i="14" s="1"/>
  <c r="A302" i="14"/>
  <c r="B302" i="14"/>
  <c r="C302" i="14" s="1"/>
  <c r="E302" i="14" s="1"/>
  <c r="A303" i="14"/>
  <c r="B303" i="14"/>
  <c r="C303" i="14" s="1"/>
  <c r="E303" i="14" s="1"/>
  <c r="A304" i="14"/>
  <c r="B304" i="14"/>
  <c r="C304" i="14" s="1"/>
  <c r="E304" i="14" s="1"/>
  <c r="A305" i="14"/>
  <c r="B305" i="14"/>
  <c r="C305" i="14" s="1"/>
  <c r="E305" i="14" s="1"/>
  <c r="A306" i="14"/>
  <c r="B306" i="14"/>
  <c r="C306" i="14" s="1"/>
  <c r="E306" i="14" s="1"/>
  <c r="A307" i="14"/>
  <c r="B307" i="14"/>
  <c r="C307" i="14" s="1"/>
  <c r="E307" i="14" s="1"/>
  <c r="A308" i="14"/>
  <c r="B308" i="14"/>
  <c r="C308" i="14" s="1"/>
  <c r="E308" i="14" s="1"/>
  <c r="A309" i="14"/>
  <c r="B309" i="14"/>
  <c r="C309" i="14" s="1"/>
  <c r="E309" i="14" s="1"/>
  <c r="A310" i="14"/>
  <c r="B310" i="14"/>
  <c r="C310" i="14" s="1"/>
  <c r="E310" i="14" s="1"/>
  <c r="A311" i="14"/>
  <c r="B311" i="14"/>
  <c r="C311" i="14" s="1"/>
  <c r="E311" i="14" s="1"/>
  <c r="A312" i="14"/>
  <c r="B312" i="14"/>
  <c r="C312" i="14" s="1"/>
  <c r="E312" i="14" s="1"/>
  <c r="A313" i="14"/>
  <c r="B313" i="14"/>
  <c r="C313" i="14" s="1"/>
  <c r="E313" i="14" s="1"/>
  <c r="A314" i="14"/>
  <c r="B314" i="14"/>
  <c r="C314" i="14" s="1"/>
  <c r="E314" i="14" s="1"/>
  <c r="A315" i="14"/>
  <c r="B315" i="14"/>
  <c r="C315" i="14" s="1"/>
  <c r="E315" i="14" s="1"/>
  <c r="A316" i="14"/>
  <c r="B316" i="14"/>
  <c r="C316" i="14" s="1"/>
  <c r="E316" i="14" s="1"/>
  <c r="A317" i="14"/>
  <c r="B317" i="14"/>
  <c r="C317" i="14" s="1"/>
  <c r="E317" i="14" s="1"/>
  <c r="A318" i="14"/>
  <c r="B318" i="14"/>
  <c r="C318" i="14" s="1"/>
  <c r="E318" i="14" s="1"/>
  <c r="A319" i="14"/>
  <c r="B319" i="14"/>
  <c r="C319" i="14" s="1"/>
  <c r="E319" i="14" s="1"/>
  <c r="A320" i="14"/>
  <c r="B320" i="14"/>
  <c r="C320" i="14" s="1"/>
  <c r="E320" i="14" s="1"/>
  <c r="A321" i="14"/>
  <c r="B321" i="14"/>
  <c r="C321" i="14" s="1"/>
  <c r="E321" i="14" s="1"/>
  <c r="A322" i="14"/>
  <c r="B322" i="14"/>
  <c r="C322" i="14" s="1"/>
  <c r="E322" i="14" s="1"/>
  <c r="A323" i="14"/>
  <c r="B323" i="14"/>
  <c r="C323" i="14" s="1"/>
  <c r="E323" i="14" s="1"/>
  <c r="A324" i="14"/>
  <c r="B324" i="14"/>
  <c r="C324" i="14" s="1"/>
  <c r="E324" i="14" s="1"/>
  <c r="A325" i="14"/>
  <c r="B325" i="14"/>
  <c r="C325" i="14" s="1"/>
  <c r="E325" i="14" s="1"/>
  <c r="A326" i="14"/>
  <c r="B326" i="14"/>
  <c r="C326" i="14" s="1"/>
  <c r="E326" i="14" s="1"/>
  <c r="A327" i="14"/>
  <c r="B327" i="14"/>
  <c r="C327" i="14" s="1"/>
  <c r="E327" i="14" s="1"/>
  <c r="A328" i="14"/>
  <c r="B328" i="14"/>
  <c r="C328" i="14" s="1"/>
  <c r="E328" i="14" s="1"/>
  <c r="A329" i="14"/>
  <c r="B329" i="14"/>
  <c r="C329" i="14" s="1"/>
  <c r="E329" i="14" s="1"/>
  <c r="A330" i="14"/>
  <c r="B330" i="14"/>
  <c r="C330" i="14" s="1"/>
  <c r="E330" i="14" s="1"/>
  <c r="A331" i="14"/>
  <c r="B331" i="14"/>
  <c r="C331" i="14" s="1"/>
  <c r="E331" i="14" s="1"/>
  <c r="A332" i="14"/>
  <c r="B332" i="14"/>
  <c r="C332" i="14" s="1"/>
  <c r="E332" i="14" s="1"/>
  <c r="A333" i="14"/>
  <c r="B333" i="14"/>
  <c r="C333" i="14" s="1"/>
  <c r="E333" i="14" s="1"/>
  <c r="A334" i="14"/>
  <c r="B334" i="14"/>
  <c r="C334" i="14" s="1"/>
  <c r="E334" i="14" s="1"/>
  <c r="A335" i="14"/>
  <c r="B335" i="14"/>
  <c r="C335" i="14" s="1"/>
  <c r="E335" i="14" s="1"/>
  <c r="A336" i="14"/>
  <c r="B336" i="14"/>
  <c r="C336" i="14" s="1"/>
  <c r="E336" i="14" s="1"/>
  <c r="A337" i="14"/>
  <c r="B337" i="14"/>
  <c r="C337" i="14" s="1"/>
  <c r="E337" i="14" s="1"/>
  <c r="A338" i="14"/>
  <c r="B338" i="14"/>
  <c r="C338" i="14" s="1"/>
  <c r="E338" i="14" s="1"/>
  <c r="A339" i="14"/>
  <c r="B339" i="14"/>
  <c r="C339" i="14" s="1"/>
  <c r="E339" i="14" s="1"/>
  <c r="A340" i="14"/>
  <c r="B340" i="14"/>
  <c r="C340" i="14" s="1"/>
  <c r="E340" i="14" s="1"/>
  <c r="A341" i="14"/>
  <c r="B341" i="14"/>
  <c r="C341" i="14" s="1"/>
  <c r="E341" i="14" s="1"/>
  <c r="A342" i="14"/>
  <c r="B342" i="14"/>
  <c r="C342" i="14" s="1"/>
  <c r="E342" i="14" s="1"/>
  <c r="A343" i="14"/>
  <c r="B343" i="14"/>
  <c r="C343" i="14" s="1"/>
  <c r="E343" i="14" s="1"/>
  <c r="A344" i="14"/>
  <c r="B344" i="14"/>
  <c r="C344" i="14" s="1"/>
  <c r="E344" i="14" s="1"/>
  <c r="A345" i="14"/>
  <c r="B345" i="14"/>
  <c r="C345" i="14" s="1"/>
  <c r="E345" i="14" s="1"/>
  <c r="A346" i="14"/>
  <c r="B346" i="14"/>
  <c r="C346" i="14" s="1"/>
  <c r="E346" i="14" s="1"/>
  <c r="A347" i="14"/>
  <c r="B347" i="14"/>
  <c r="C347" i="14" s="1"/>
  <c r="E347" i="14" s="1"/>
  <c r="A348" i="14"/>
  <c r="B348" i="14"/>
  <c r="C348" i="14" s="1"/>
  <c r="E348" i="14" s="1"/>
  <c r="A349" i="14"/>
  <c r="B349" i="14"/>
  <c r="C349" i="14" s="1"/>
  <c r="E349" i="14" s="1"/>
  <c r="A350" i="14"/>
  <c r="B350" i="14"/>
  <c r="C350" i="14" s="1"/>
  <c r="E350" i="14" s="1"/>
  <c r="A351" i="14"/>
  <c r="B351" i="14"/>
  <c r="C351" i="14" s="1"/>
  <c r="E351" i="14" s="1"/>
  <c r="A352" i="14"/>
  <c r="B352" i="14"/>
  <c r="C352" i="14" s="1"/>
  <c r="E352" i="14" s="1"/>
  <c r="A353" i="14"/>
  <c r="B353" i="14"/>
  <c r="C353" i="14" s="1"/>
  <c r="E353" i="14" s="1"/>
  <c r="A354" i="14"/>
  <c r="B354" i="14"/>
  <c r="C354" i="14" s="1"/>
  <c r="E354" i="14" s="1"/>
  <c r="A355" i="14"/>
  <c r="B355" i="14"/>
  <c r="C355" i="14" s="1"/>
  <c r="E355" i="14" s="1"/>
  <c r="A356" i="14"/>
  <c r="B356" i="14"/>
  <c r="C356" i="14" s="1"/>
  <c r="E356" i="14" s="1"/>
  <c r="A357" i="14"/>
  <c r="B357" i="14"/>
  <c r="C357" i="14" s="1"/>
  <c r="E357" i="14" s="1"/>
  <c r="A358" i="14"/>
  <c r="B358" i="14"/>
  <c r="C358" i="14" s="1"/>
  <c r="E358" i="14" s="1"/>
  <c r="A359" i="14"/>
  <c r="B359" i="14"/>
  <c r="C359" i="14" s="1"/>
  <c r="E359" i="14" s="1"/>
  <c r="A360" i="14"/>
  <c r="B360" i="14"/>
  <c r="C360" i="14" s="1"/>
  <c r="E360" i="14" s="1"/>
  <c r="A361" i="14"/>
  <c r="B361" i="14"/>
  <c r="C361" i="14" s="1"/>
  <c r="E361" i="14" s="1"/>
  <c r="A362" i="14"/>
  <c r="B362" i="14"/>
  <c r="C362" i="14" s="1"/>
  <c r="E362" i="14" s="1"/>
  <c r="A363" i="14"/>
  <c r="B363" i="14"/>
  <c r="C363" i="14" s="1"/>
  <c r="E363" i="14" s="1"/>
  <c r="A364" i="14"/>
  <c r="B364" i="14"/>
  <c r="C364" i="14" s="1"/>
  <c r="E364" i="14" s="1"/>
  <c r="A365" i="14"/>
  <c r="B365" i="14"/>
  <c r="C365" i="14" s="1"/>
  <c r="E365" i="14" s="1"/>
  <c r="A366" i="14"/>
  <c r="B366" i="14"/>
  <c r="C366" i="14" s="1"/>
  <c r="E366" i="14" s="1"/>
  <c r="A367" i="14"/>
  <c r="B367" i="14"/>
  <c r="C367" i="14" s="1"/>
  <c r="E367" i="14" s="1"/>
  <c r="A368" i="14"/>
  <c r="B368" i="14"/>
  <c r="C368" i="14" s="1"/>
  <c r="E368" i="14" s="1"/>
  <c r="A369" i="14"/>
  <c r="B369" i="14"/>
  <c r="C369" i="14" s="1"/>
  <c r="E369" i="14" s="1"/>
  <c r="A370" i="14"/>
  <c r="B370" i="14"/>
  <c r="C370" i="14" s="1"/>
  <c r="E370" i="14" s="1"/>
  <c r="A371" i="14"/>
  <c r="B371" i="14"/>
  <c r="C371" i="14" s="1"/>
  <c r="E371" i="14" s="1"/>
  <c r="A372" i="14"/>
  <c r="B372" i="14"/>
  <c r="C372" i="14" s="1"/>
  <c r="E372" i="14" s="1"/>
  <c r="A373" i="14"/>
  <c r="B373" i="14"/>
  <c r="C373" i="14" s="1"/>
  <c r="E373" i="14" s="1"/>
  <c r="A374" i="14"/>
  <c r="B374" i="14"/>
  <c r="C374" i="14" s="1"/>
  <c r="E374" i="14" s="1"/>
  <c r="A375" i="14"/>
  <c r="B375" i="14"/>
  <c r="C375" i="14" s="1"/>
  <c r="E375" i="14" s="1"/>
  <c r="A376" i="14"/>
  <c r="B376" i="14"/>
  <c r="C376" i="14" s="1"/>
  <c r="E376" i="14" s="1"/>
  <c r="A377" i="14"/>
  <c r="B377" i="14"/>
  <c r="C377" i="14" s="1"/>
  <c r="E377" i="14" s="1"/>
  <c r="A378" i="14"/>
  <c r="B378" i="14"/>
  <c r="C378" i="14" s="1"/>
  <c r="E378" i="14" s="1"/>
  <c r="A379" i="14"/>
  <c r="B379" i="14"/>
  <c r="C379" i="14" s="1"/>
  <c r="E379" i="14" s="1"/>
  <c r="A380" i="14"/>
  <c r="B380" i="14"/>
  <c r="C380" i="14" s="1"/>
  <c r="E380" i="14" s="1"/>
  <c r="A381" i="14"/>
  <c r="B381" i="14"/>
  <c r="C381" i="14" s="1"/>
  <c r="E381" i="14" s="1"/>
  <c r="A382" i="14"/>
  <c r="B382" i="14"/>
  <c r="C382" i="14" s="1"/>
  <c r="E382" i="14" s="1"/>
  <c r="A383" i="14"/>
  <c r="B383" i="14"/>
  <c r="C383" i="14" s="1"/>
  <c r="E383" i="14" s="1"/>
  <c r="A384" i="14"/>
  <c r="B384" i="14"/>
  <c r="C384" i="14" s="1"/>
  <c r="E384" i="14" s="1"/>
  <c r="A385" i="14"/>
  <c r="B385" i="14"/>
  <c r="C385" i="14" s="1"/>
  <c r="E385" i="14" s="1"/>
  <c r="A386" i="14"/>
  <c r="B386" i="14"/>
  <c r="C386" i="14" s="1"/>
  <c r="E386" i="14" s="1"/>
  <c r="A387" i="14"/>
  <c r="B387" i="14"/>
  <c r="C387" i="14" s="1"/>
  <c r="E387" i="14" s="1"/>
  <c r="A388" i="14"/>
  <c r="B388" i="14"/>
  <c r="C388" i="14" s="1"/>
  <c r="E388" i="14" s="1"/>
  <c r="A389" i="14"/>
  <c r="B389" i="14"/>
  <c r="C389" i="14" s="1"/>
  <c r="E389" i="14" s="1"/>
  <c r="A390" i="14"/>
  <c r="B390" i="14"/>
  <c r="C390" i="14" s="1"/>
  <c r="E390" i="14" s="1"/>
  <c r="A391" i="14"/>
  <c r="B391" i="14"/>
  <c r="C391" i="14" s="1"/>
  <c r="E391" i="14" s="1"/>
  <c r="A392" i="14"/>
  <c r="B392" i="14"/>
  <c r="C392" i="14" s="1"/>
  <c r="E392" i="14" s="1"/>
  <c r="A393" i="14"/>
  <c r="B393" i="14"/>
  <c r="C393" i="14" s="1"/>
  <c r="E393" i="14" s="1"/>
  <c r="A394" i="14"/>
  <c r="B394" i="14"/>
  <c r="C394" i="14" s="1"/>
  <c r="E394" i="14" s="1"/>
  <c r="A395" i="14"/>
  <c r="B395" i="14"/>
  <c r="C395" i="14" s="1"/>
  <c r="E395" i="14" s="1"/>
  <c r="A396" i="14"/>
  <c r="B396" i="14"/>
  <c r="C396" i="14" s="1"/>
  <c r="E396" i="14" s="1"/>
  <c r="A397" i="14"/>
  <c r="B397" i="14"/>
  <c r="C397" i="14" s="1"/>
  <c r="E397" i="14" s="1"/>
  <c r="A398" i="14"/>
  <c r="B398" i="14"/>
  <c r="C398" i="14" s="1"/>
  <c r="E398" i="14" s="1"/>
  <c r="A399" i="14"/>
  <c r="B399" i="14"/>
  <c r="C399" i="14" s="1"/>
  <c r="E399" i="14" s="1"/>
  <c r="A400" i="14"/>
  <c r="B400" i="14"/>
  <c r="C400" i="14" s="1"/>
  <c r="E400" i="14" s="1"/>
  <c r="A401" i="14"/>
  <c r="B401" i="14"/>
  <c r="C401" i="14" s="1"/>
  <c r="E401" i="14" s="1"/>
  <c r="A402" i="14"/>
  <c r="B402" i="14"/>
  <c r="C402" i="14" s="1"/>
  <c r="E402" i="14" s="1"/>
  <c r="A403" i="14"/>
  <c r="B403" i="14"/>
  <c r="C403" i="14" s="1"/>
  <c r="E403" i="14" s="1"/>
  <c r="A404" i="14"/>
  <c r="B404" i="14"/>
  <c r="C404" i="14" s="1"/>
  <c r="E404" i="14" s="1"/>
  <c r="A405" i="14"/>
  <c r="B405" i="14"/>
  <c r="C405" i="14" s="1"/>
  <c r="E405" i="14" s="1"/>
  <c r="A406" i="14"/>
  <c r="B406" i="14"/>
  <c r="C406" i="14" s="1"/>
  <c r="E406" i="14" s="1"/>
  <c r="A407" i="14"/>
  <c r="B407" i="14"/>
  <c r="C407" i="14" s="1"/>
  <c r="E407" i="14" s="1"/>
  <c r="A408" i="14"/>
  <c r="B408" i="14"/>
  <c r="C408" i="14" s="1"/>
  <c r="E408" i="14" s="1"/>
  <c r="A409" i="14"/>
  <c r="B409" i="14"/>
  <c r="C409" i="14" s="1"/>
  <c r="E409" i="14" s="1"/>
  <c r="A410" i="14"/>
  <c r="B410" i="14"/>
  <c r="C410" i="14" s="1"/>
  <c r="E410" i="14" s="1"/>
  <c r="A411" i="14"/>
  <c r="B411" i="14"/>
  <c r="C411" i="14" s="1"/>
  <c r="E411" i="14" s="1"/>
  <c r="A412" i="14"/>
  <c r="B412" i="14"/>
  <c r="C412" i="14" s="1"/>
  <c r="E412" i="14" s="1"/>
  <c r="A413" i="14"/>
  <c r="B413" i="14"/>
  <c r="C413" i="14" s="1"/>
  <c r="E413" i="14" s="1"/>
  <c r="A414" i="14"/>
  <c r="B414" i="14"/>
  <c r="C414" i="14" s="1"/>
  <c r="E414" i="14" s="1"/>
  <c r="A415" i="14"/>
  <c r="B415" i="14"/>
  <c r="C415" i="14" s="1"/>
  <c r="E415" i="14" s="1"/>
  <c r="A416" i="14"/>
  <c r="B416" i="14"/>
  <c r="C416" i="14" s="1"/>
  <c r="E416" i="14" s="1"/>
  <c r="A417" i="14"/>
  <c r="B417" i="14"/>
  <c r="C417" i="14" s="1"/>
  <c r="E417" i="14" s="1"/>
  <c r="A418" i="14"/>
  <c r="B418" i="14"/>
  <c r="C418" i="14" s="1"/>
  <c r="E418" i="14" s="1"/>
  <c r="A419" i="14"/>
  <c r="B419" i="14"/>
  <c r="C419" i="14" s="1"/>
  <c r="E419" i="14" s="1"/>
  <c r="A420" i="14"/>
  <c r="B420" i="14"/>
  <c r="C420" i="14" s="1"/>
  <c r="E420" i="14" s="1"/>
  <c r="A421" i="14"/>
  <c r="B421" i="14"/>
  <c r="C421" i="14" s="1"/>
  <c r="E421" i="14" s="1"/>
  <c r="A422" i="14"/>
  <c r="B422" i="14"/>
  <c r="C422" i="14" s="1"/>
  <c r="E422" i="14" s="1"/>
  <c r="A423" i="14"/>
  <c r="B423" i="14"/>
  <c r="C423" i="14" s="1"/>
  <c r="E423" i="14" s="1"/>
  <c r="A424" i="14"/>
  <c r="B424" i="14"/>
  <c r="C424" i="14" s="1"/>
  <c r="E424" i="14" s="1"/>
  <c r="A425" i="14"/>
  <c r="B425" i="14"/>
  <c r="C425" i="14" s="1"/>
  <c r="E425" i="14" s="1"/>
  <c r="A426" i="14"/>
  <c r="B426" i="14"/>
  <c r="C426" i="14" s="1"/>
  <c r="E426" i="14" s="1"/>
  <c r="A427" i="14"/>
  <c r="B427" i="14"/>
  <c r="C427" i="14" s="1"/>
  <c r="E427" i="14" s="1"/>
  <c r="A428" i="14"/>
  <c r="B428" i="14"/>
  <c r="C428" i="14" s="1"/>
  <c r="E428" i="14" s="1"/>
  <c r="A429" i="14"/>
  <c r="B429" i="14"/>
  <c r="C429" i="14" s="1"/>
  <c r="E429" i="14" s="1"/>
  <c r="A430" i="14"/>
  <c r="B430" i="14"/>
  <c r="C430" i="14" s="1"/>
  <c r="E430" i="14" s="1"/>
  <c r="A431" i="14"/>
  <c r="B431" i="14"/>
  <c r="C431" i="14" s="1"/>
  <c r="E431" i="14" s="1"/>
  <c r="A432" i="14"/>
  <c r="B432" i="14"/>
  <c r="C432" i="14" s="1"/>
  <c r="E432" i="14" s="1"/>
  <c r="A433" i="14"/>
  <c r="B433" i="14"/>
  <c r="C433" i="14" s="1"/>
  <c r="E433" i="14" s="1"/>
  <c r="A434" i="14"/>
  <c r="B434" i="14"/>
  <c r="C434" i="14" s="1"/>
  <c r="E434" i="14" s="1"/>
  <c r="A435" i="14"/>
  <c r="B435" i="14"/>
  <c r="C435" i="14" s="1"/>
  <c r="E435" i="14" s="1"/>
  <c r="A436" i="14"/>
  <c r="B436" i="14"/>
  <c r="C436" i="14" s="1"/>
  <c r="E436" i="14" s="1"/>
  <c r="A437" i="14"/>
  <c r="B437" i="14"/>
  <c r="C437" i="14" s="1"/>
  <c r="E437" i="14" s="1"/>
  <c r="A438" i="14"/>
  <c r="B438" i="14"/>
  <c r="C438" i="14" s="1"/>
  <c r="E438" i="14" s="1"/>
  <c r="A439" i="14"/>
  <c r="B439" i="14"/>
  <c r="C439" i="14" s="1"/>
  <c r="E439" i="14" s="1"/>
  <c r="A440" i="14"/>
  <c r="B440" i="14"/>
  <c r="C440" i="14" s="1"/>
  <c r="E440" i="14" s="1"/>
  <c r="A441" i="14"/>
  <c r="B441" i="14"/>
  <c r="C441" i="14" s="1"/>
  <c r="E441" i="14" s="1"/>
  <c r="A442" i="14"/>
  <c r="B442" i="14"/>
  <c r="C442" i="14" s="1"/>
  <c r="E442" i="14" s="1"/>
  <c r="A443" i="14"/>
  <c r="B443" i="14"/>
  <c r="C443" i="14" s="1"/>
  <c r="E443" i="14" s="1"/>
  <c r="A444" i="14"/>
  <c r="B444" i="14"/>
  <c r="C444" i="14" s="1"/>
  <c r="E444" i="14" s="1"/>
  <c r="A445" i="14"/>
  <c r="B445" i="14"/>
  <c r="C445" i="14" s="1"/>
  <c r="E445" i="14" s="1"/>
  <c r="A446" i="14"/>
  <c r="B446" i="14"/>
  <c r="C446" i="14" s="1"/>
  <c r="E446" i="14" s="1"/>
  <c r="A447" i="14"/>
  <c r="B447" i="14"/>
  <c r="C447" i="14" s="1"/>
  <c r="E447" i="14" s="1"/>
  <c r="A448" i="14"/>
  <c r="B448" i="14"/>
  <c r="C448" i="14" s="1"/>
  <c r="E448" i="14" s="1"/>
  <c r="A449" i="14"/>
  <c r="B449" i="14"/>
  <c r="C449" i="14" s="1"/>
  <c r="E449" i="14" s="1"/>
  <c r="A450" i="14"/>
  <c r="B450" i="14"/>
  <c r="C450" i="14" s="1"/>
  <c r="E450" i="14" s="1"/>
  <c r="A451" i="14"/>
  <c r="B451" i="14"/>
  <c r="C451" i="14" s="1"/>
  <c r="E451" i="14" s="1"/>
  <c r="A452" i="14"/>
  <c r="B452" i="14"/>
  <c r="C452" i="14" s="1"/>
  <c r="E452" i="14" s="1"/>
  <c r="A453" i="14"/>
  <c r="B453" i="14"/>
  <c r="C453" i="14" s="1"/>
  <c r="E453" i="14" s="1"/>
  <c r="A454" i="14"/>
  <c r="B454" i="14"/>
  <c r="C454" i="14" s="1"/>
  <c r="E454" i="14" s="1"/>
  <c r="A455" i="14"/>
  <c r="B455" i="14"/>
  <c r="C455" i="14" s="1"/>
  <c r="E455" i="14" s="1"/>
  <c r="A456" i="14"/>
  <c r="B456" i="14"/>
  <c r="C456" i="14" s="1"/>
  <c r="E456" i="14" s="1"/>
  <c r="A457" i="14"/>
  <c r="B457" i="14"/>
  <c r="C457" i="14" s="1"/>
  <c r="E457" i="14" s="1"/>
  <c r="A458" i="14"/>
  <c r="B458" i="14"/>
  <c r="C458" i="14" s="1"/>
  <c r="E458" i="14" s="1"/>
  <c r="A459" i="14"/>
  <c r="B459" i="14"/>
  <c r="C459" i="14" s="1"/>
  <c r="E459" i="14" s="1"/>
  <c r="A460" i="14"/>
  <c r="B460" i="14"/>
  <c r="C460" i="14" s="1"/>
  <c r="E460" i="14" s="1"/>
  <c r="A461" i="14"/>
  <c r="B461" i="14"/>
  <c r="C461" i="14" s="1"/>
  <c r="E461" i="14" s="1"/>
  <c r="A462" i="14"/>
  <c r="B462" i="14"/>
  <c r="C462" i="14" s="1"/>
  <c r="E462" i="14" s="1"/>
  <c r="A463" i="14"/>
  <c r="B463" i="14"/>
  <c r="C463" i="14" s="1"/>
  <c r="E463" i="14" s="1"/>
  <c r="A464" i="14"/>
  <c r="B464" i="14"/>
  <c r="C464" i="14" s="1"/>
  <c r="E464" i="14" s="1"/>
  <c r="A465" i="14"/>
  <c r="B465" i="14"/>
  <c r="C465" i="14" s="1"/>
  <c r="E465" i="14" s="1"/>
  <c r="A466" i="14"/>
  <c r="B466" i="14"/>
  <c r="C466" i="14" s="1"/>
  <c r="E466" i="14" s="1"/>
  <c r="A467" i="14"/>
  <c r="B467" i="14"/>
  <c r="C467" i="14" s="1"/>
  <c r="E467" i="14" s="1"/>
  <c r="A468" i="14"/>
  <c r="B468" i="14"/>
  <c r="C468" i="14" s="1"/>
  <c r="E468" i="14" s="1"/>
  <c r="A469" i="14"/>
  <c r="B469" i="14"/>
  <c r="C469" i="14" s="1"/>
  <c r="E469" i="14" s="1"/>
  <c r="A470" i="14"/>
  <c r="B470" i="14"/>
  <c r="C470" i="14" s="1"/>
  <c r="E470" i="14" s="1"/>
  <c r="A471" i="14"/>
  <c r="B471" i="14"/>
  <c r="C471" i="14" s="1"/>
  <c r="E471" i="14" s="1"/>
  <c r="A472" i="14"/>
  <c r="B472" i="14"/>
  <c r="C472" i="14" s="1"/>
  <c r="E472" i="14" s="1"/>
  <c r="A473" i="14"/>
  <c r="B473" i="14"/>
  <c r="C473" i="14" s="1"/>
  <c r="E473" i="14" s="1"/>
  <c r="A474" i="14"/>
  <c r="B474" i="14"/>
  <c r="C474" i="14" s="1"/>
  <c r="E474" i="14" s="1"/>
  <c r="A475" i="14"/>
  <c r="B475" i="14"/>
  <c r="C475" i="14" s="1"/>
  <c r="E475" i="14" s="1"/>
  <c r="A476" i="14"/>
  <c r="B476" i="14"/>
  <c r="C476" i="14" s="1"/>
  <c r="E476" i="14" s="1"/>
  <c r="A477" i="14"/>
  <c r="B477" i="14"/>
  <c r="C477" i="14" s="1"/>
  <c r="E477" i="14" s="1"/>
  <c r="A478" i="14"/>
  <c r="B478" i="14"/>
  <c r="C478" i="14" s="1"/>
  <c r="E478" i="14" s="1"/>
  <c r="A479" i="14"/>
  <c r="B479" i="14"/>
  <c r="C479" i="14" s="1"/>
  <c r="E479" i="14" s="1"/>
  <c r="A480" i="14"/>
  <c r="B480" i="14"/>
  <c r="C480" i="14" s="1"/>
  <c r="E480" i="14" s="1"/>
  <c r="A481" i="14"/>
  <c r="B481" i="14"/>
  <c r="C481" i="14" s="1"/>
  <c r="E481" i="14" s="1"/>
  <c r="A482" i="14"/>
  <c r="B482" i="14"/>
  <c r="C482" i="14" s="1"/>
  <c r="E482" i="14" s="1"/>
  <c r="A483" i="14"/>
  <c r="B483" i="14"/>
  <c r="C483" i="14" s="1"/>
  <c r="E483" i="14" s="1"/>
  <c r="A484" i="14"/>
  <c r="B484" i="14"/>
  <c r="C484" i="14" s="1"/>
  <c r="E484" i="14" s="1"/>
  <c r="A485" i="14"/>
  <c r="B485" i="14"/>
  <c r="C485" i="14" s="1"/>
  <c r="E485" i="14" s="1"/>
  <c r="A486" i="14"/>
  <c r="B486" i="14"/>
  <c r="C486" i="14" s="1"/>
  <c r="E486" i="14" s="1"/>
  <c r="A487" i="14"/>
  <c r="B487" i="14"/>
  <c r="C487" i="14" s="1"/>
  <c r="E487" i="14" s="1"/>
  <c r="A488" i="14"/>
  <c r="B488" i="14"/>
  <c r="C488" i="14" s="1"/>
  <c r="E488" i="14" s="1"/>
  <c r="A489" i="14"/>
  <c r="B489" i="14"/>
  <c r="C489" i="14" s="1"/>
  <c r="E489" i="14" s="1"/>
  <c r="A490" i="14"/>
  <c r="B490" i="14"/>
  <c r="C490" i="14" s="1"/>
  <c r="E490" i="14" s="1"/>
  <c r="A491" i="14"/>
  <c r="B491" i="14"/>
  <c r="C491" i="14" s="1"/>
  <c r="E491" i="14" s="1"/>
  <c r="A492" i="14"/>
  <c r="B492" i="14"/>
  <c r="C492" i="14" s="1"/>
  <c r="E492" i="14" s="1"/>
  <c r="A493" i="14"/>
  <c r="B493" i="14"/>
  <c r="C493" i="14" s="1"/>
  <c r="E493" i="14" s="1"/>
  <c r="A494" i="14"/>
  <c r="B494" i="14"/>
  <c r="C494" i="14" s="1"/>
  <c r="E494" i="14" s="1"/>
  <c r="A495" i="14"/>
  <c r="B495" i="14"/>
  <c r="C495" i="14" s="1"/>
  <c r="E495" i="14" s="1"/>
  <c r="A496" i="14"/>
  <c r="B496" i="14"/>
  <c r="C496" i="14" s="1"/>
  <c r="E496" i="14" s="1"/>
  <c r="A497" i="14"/>
  <c r="B497" i="14"/>
  <c r="C497" i="14" s="1"/>
  <c r="E497" i="14" s="1"/>
  <c r="A498" i="14"/>
  <c r="B498" i="14"/>
  <c r="C498" i="14" s="1"/>
  <c r="E498" i="14" s="1"/>
  <c r="A499" i="14"/>
  <c r="B499" i="14"/>
  <c r="C499" i="14" s="1"/>
  <c r="E499" i="14" s="1"/>
  <c r="A500" i="14"/>
  <c r="B500" i="14"/>
  <c r="C500" i="14" s="1"/>
  <c r="E500" i="14" s="1"/>
  <c r="A501" i="14"/>
  <c r="B501" i="14"/>
  <c r="C501" i="14" s="1"/>
  <c r="E501" i="14" s="1"/>
  <c r="A502" i="14"/>
  <c r="B502" i="14"/>
  <c r="C502" i="14" s="1"/>
  <c r="E502" i="14" s="1"/>
  <c r="A503" i="14"/>
  <c r="B503" i="14"/>
  <c r="C503" i="14" s="1"/>
  <c r="E503" i="14" s="1"/>
  <c r="A504" i="14"/>
  <c r="B504" i="14"/>
  <c r="C504" i="14" s="1"/>
  <c r="E504" i="14" s="1"/>
  <c r="A505" i="14"/>
  <c r="B505" i="14"/>
  <c r="C505" i="14" s="1"/>
  <c r="E505" i="14" s="1"/>
  <c r="A506" i="14"/>
  <c r="B506" i="14"/>
  <c r="C506" i="14" s="1"/>
  <c r="E506" i="14" s="1"/>
  <c r="A507" i="14"/>
  <c r="B507" i="14"/>
  <c r="C507" i="14" s="1"/>
  <c r="E507" i="14" s="1"/>
  <c r="A508" i="14"/>
  <c r="B508" i="14"/>
  <c r="C508" i="14" s="1"/>
  <c r="E508" i="14" s="1"/>
  <c r="A509" i="14"/>
  <c r="B509" i="14"/>
  <c r="C509" i="14" s="1"/>
  <c r="E509" i="14" s="1"/>
  <c r="A510" i="14"/>
  <c r="B510" i="14"/>
  <c r="C510" i="14" s="1"/>
  <c r="E510" i="14" s="1"/>
  <c r="A511" i="14"/>
  <c r="B511" i="14"/>
  <c r="C511" i="14" s="1"/>
  <c r="E511" i="14" s="1"/>
  <c r="A512" i="14"/>
  <c r="B512" i="14"/>
  <c r="C512" i="14" s="1"/>
  <c r="E512" i="14" s="1"/>
  <c r="A513" i="14"/>
  <c r="B513" i="14"/>
  <c r="C513" i="14" s="1"/>
  <c r="E513" i="14" s="1"/>
  <c r="A514" i="14"/>
  <c r="B514" i="14"/>
  <c r="C514" i="14" s="1"/>
  <c r="E514" i="14" s="1"/>
  <c r="A515" i="14"/>
  <c r="B515" i="14"/>
  <c r="C515" i="14" s="1"/>
  <c r="E515" i="14" s="1"/>
  <c r="A516" i="14"/>
  <c r="B516" i="14"/>
  <c r="C516" i="14" s="1"/>
  <c r="E516" i="14" s="1"/>
  <c r="A517" i="14"/>
  <c r="B517" i="14"/>
  <c r="C517" i="14" s="1"/>
  <c r="E517" i="14" s="1"/>
  <c r="A518" i="14"/>
  <c r="B518" i="14"/>
  <c r="C518" i="14" s="1"/>
  <c r="E518" i="14" s="1"/>
  <c r="A519" i="14"/>
  <c r="B519" i="14"/>
  <c r="C519" i="14" s="1"/>
  <c r="E519" i="14" s="1"/>
  <c r="A520" i="14"/>
  <c r="B520" i="14"/>
  <c r="C520" i="14" s="1"/>
  <c r="E520" i="14" s="1"/>
  <c r="A521" i="14"/>
  <c r="B521" i="14"/>
  <c r="C521" i="14" s="1"/>
  <c r="E521" i="14" s="1"/>
  <c r="A522" i="14"/>
  <c r="B522" i="14"/>
  <c r="C522" i="14" s="1"/>
  <c r="E522" i="14" s="1"/>
  <c r="A523" i="14"/>
  <c r="B523" i="14"/>
  <c r="C523" i="14" s="1"/>
  <c r="E523" i="14" s="1"/>
  <c r="A524" i="14"/>
  <c r="B524" i="14"/>
  <c r="C524" i="14" s="1"/>
  <c r="E524" i="14" s="1"/>
  <c r="A525" i="14"/>
  <c r="B525" i="14"/>
  <c r="C525" i="14" s="1"/>
  <c r="E525" i="14" s="1"/>
  <c r="A526" i="14"/>
  <c r="B526" i="14"/>
  <c r="C526" i="14" s="1"/>
  <c r="E526" i="14" s="1"/>
  <c r="A527" i="14"/>
  <c r="B527" i="14"/>
  <c r="C527" i="14" s="1"/>
  <c r="E527" i="14" s="1"/>
  <c r="A528" i="14"/>
  <c r="B528" i="14"/>
  <c r="C528" i="14" s="1"/>
  <c r="E528" i="14" s="1"/>
  <c r="A529" i="14"/>
  <c r="B529" i="14"/>
  <c r="C529" i="14" s="1"/>
  <c r="E529" i="14" s="1"/>
  <c r="A530" i="14"/>
  <c r="B530" i="14"/>
  <c r="C530" i="14" s="1"/>
  <c r="E530" i="14" s="1"/>
  <c r="A531" i="14"/>
  <c r="B531" i="14"/>
  <c r="C531" i="14" s="1"/>
  <c r="E531" i="14" s="1"/>
  <c r="A532" i="14"/>
  <c r="B532" i="14"/>
  <c r="C532" i="14" s="1"/>
  <c r="E532" i="14" s="1"/>
  <c r="A533" i="14"/>
  <c r="B533" i="14"/>
  <c r="C533" i="14" s="1"/>
  <c r="E533" i="14" s="1"/>
  <c r="A534" i="14"/>
  <c r="B534" i="14"/>
  <c r="C534" i="14" s="1"/>
  <c r="E534" i="14" s="1"/>
  <c r="A535" i="14"/>
  <c r="B535" i="14"/>
  <c r="C535" i="14" s="1"/>
  <c r="E535" i="14" s="1"/>
  <c r="A536" i="14"/>
  <c r="B536" i="14"/>
  <c r="C536" i="14" s="1"/>
  <c r="E536" i="14" s="1"/>
  <c r="A537" i="14"/>
  <c r="B537" i="14"/>
  <c r="C537" i="14" s="1"/>
  <c r="E537" i="14" s="1"/>
  <c r="A538" i="14"/>
  <c r="B538" i="14"/>
  <c r="C538" i="14" s="1"/>
  <c r="E538" i="14" s="1"/>
  <c r="A539" i="14"/>
  <c r="B539" i="14"/>
  <c r="C539" i="14" s="1"/>
  <c r="E539" i="14" s="1"/>
  <c r="A540" i="14"/>
  <c r="B540" i="14"/>
  <c r="C540" i="14" s="1"/>
  <c r="E540" i="14" s="1"/>
  <c r="A541" i="14"/>
  <c r="B541" i="14"/>
  <c r="C541" i="14" s="1"/>
  <c r="E541" i="14" s="1"/>
  <c r="A542" i="14"/>
  <c r="B542" i="14"/>
  <c r="C542" i="14" s="1"/>
  <c r="E542" i="14" s="1"/>
  <c r="A543" i="14"/>
  <c r="B543" i="14"/>
  <c r="C543" i="14" s="1"/>
  <c r="E543" i="14" s="1"/>
  <c r="A544" i="14"/>
  <c r="B544" i="14"/>
  <c r="C544" i="14" s="1"/>
  <c r="E544" i="14" s="1"/>
  <c r="A545" i="14"/>
  <c r="B545" i="14"/>
  <c r="C545" i="14" s="1"/>
  <c r="E545" i="14" s="1"/>
  <c r="A546" i="14"/>
  <c r="B546" i="14"/>
  <c r="C546" i="14" s="1"/>
  <c r="E546" i="14" s="1"/>
  <c r="A547" i="14"/>
  <c r="B547" i="14"/>
  <c r="C547" i="14" s="1"/>
  <c r="E547" i="14" s="1"/>
  <c r="A548" i="14"/>
  <c r="B548" i="14"/>
  <c r="C548" i="14" s="1"/>
  <c r="E548" i="14" s="1"/>
  <c r="A549" i="14"/>
  <c r="B549" i="14"/>
  <c r="C549" i="14" s="1"/>
  <c r="E549" i="14" s="1"/>
  <c r="A550" i="14"/>
  <c r="B550" i="14"/>
  <c r="C550" i="14" s="1"/>
  <c r="E550" i="14" s="1"/>
  <c r="A551" i="14"/>
  <c r="B551" i="14"/>
  <c r="C551" i="14" s="1"/>
  <c r="E551" i="14" s="1"/>
  <c r="A552" i="14"/>
  <c r="B552" i="14"/>
  <c r="C552" i="14" s="1"/>
  <c r="E552" i="14" s="1"/>
  <c r="A553" i="14"/>
  <c r="B553" i="14"/>
  <c r="C553" i="14" s="1"/>
  <c r="E553" i="14" s="1"/>
  <c r="A554" i="14"/>
  <c r="B554" i="14"/>
  <c r="C554" i="14" s="1"/>
  <c r="E554" i="14" s="1"/>
  <c r="A555" i="14"/>
  <c r="B555" i="14"/>
  <c r="C555" i="14" s="1"/>
  <c r="E555" i="14" s="1"/>
  <c r="A556" i="14"/>
  <c r="B556" i="14"/>
  <c r="C556" i="14" s="1"/>
  <c r="E556" i="14" s="1"/>
  <c r="A557" i="14"/>
  <c r="B557" i="14"/>
  <c r="C557" i="14" s="1"/>
  <c r="E557" i="14" s="1"/>
  <c r="A558" i="14"/>
  <c r="B558" i="14"/>
  <c r="C558" i="14" s="1"/>
  <c r="E558" i="14" s="1"/>
  <c r="A559" i="14"/>
  <c r="B559" i="14"/>
  <c r="C559" i="14" s="1"/>
  <c r="E559" i="14" s="1"/>
  <c r="A560" i="14"/>
  <c r="B560" i="14"/>
  <c r="C560" i="14" s="1"/>
  <c r="E560" i="14" s="1"/>
  <c r="A561" i="14"/>
  <c r="B561" i="14"/>
  <c r="C561" i="14" s="1"/>
  <c r="E561" i="14" s="1"/>
  <c r="A562" i="14"/>
  <c r="B562" i="14"/>
  <c r="C562" i="14" s="1"/>
  <c r="E562" i="14" s="1"/>
  <c r="A563" i="14"/>
  <c r="B563" i="14"/>
  <c r="C563" i="14" s="1"/>
  <c r="E563" i="14" s="1"/>
  <c r="A564" i="14"/>
  <c r="B564" i="14"/>
  <c r="C564" i="14" s="1"/>
  <c r="E564" i="14" s="1"/>
  <c r="A565" i="14"/>
  <c r="B565" i="14"/>
  <c r="C565" i="14" s="1"/>
  <c r="E565" i="14" s="1"/>
  <c r="A566" i="14"/>
  <c r="B566" i="14"/>
  <c r="C566" i="14" s="1"/>
  <c r="E566" i="14" s="1"/>
  <c r="A567" i="14"/>
  <c r="B567" i="14"/>
  <c r="C567" i="14" s="1"/>
  <c r="E567" i="14" s="1"/>
  <c r="A568" i="14"/>
  <c r="B568" i="14"/>
  <c r="C568" i="14" s="1"/>
  <c r="E568" i="14" s="1"/>
  <c r="A569" i="14"/>
  <c r="B569" i="14"/>
  <c r="C569" i="14" s="1"/>
  <c r="E569" i="14" s="1"/>
  <c r="A570" i="14"/>
  <c r="B570" i="14"/>
  <c r="C570" i="14" s="1"/>
  <c r="E570" i="14" s="1"/>
  <c r="A571" i="14"/>
  <c r="B571" i="14"/>
  <c r="C571" i="14" s="1"/>
  <c r="E571" i="14" s="1"/>
  <c r="A572" i="14"/>
  <c r="B572" i="14"/>
  <c r="C572" i="14" s="1"/>
  <c r="E572" i="14" s="1"/>
  <c r="A573" i="14"/>
  <c r="B573" i="14"/>
  <c r="C573" i="14" s="1"/>
  <c r="E573" i="14" s="1"/>
  <c r="A574" i="14"/>
  <c r="B574" i="14"/>
  <c r="C574" i="14" s="1"/>
  <c r="E574" i="14" s="1"/>
  <c r="A575" i="14"/>
  <c r="B575" i="14"/>
  <c r="C575" i="14" s="1"/>
  <c r="E575" i="14" s="1"/>
  <c r="A576" i="14"/>
  <c r="B576" i="14"/>
  <c r="C576" i="14" s="1"/>
  <c r="E576" i="14" s="1"/>
  <c r="A577" i="14"/>
  <c r="B577" i="14"/>
  <c r="C577" i="14" s="1"/>
  <c r="E577" i="14" s="1"/>
  <c r="A578" i="14"/>
  <c r="B578" i="14"/>
  <c r="C578" i="14" s="1"/>
  <c r="E578" i="14" s="1"/>
  <c r="A579" i="14"/>
  <c r="B579" i="14"/>
  <c r="C579" i="14" s="1"/>
  <c r="E579" i="14" s="1"/>
  <c r="A580" i="14"/>
  <c r="B580" i="14"/>
  <c r="C580" i="14" s="1"/>
  <c r="E580" i="14" s="1"/>
  <c r="A581" i="14"/>
  <c r="B581" i="14"/>
  <c r="C581" i="14" s="1"/>
  <c r="E581" i="14" s="1"/>
  <c r="A582" i="14"/>
  <c r="B582" i="14"/>
  <c r="C582" i="14" s="1"/>
  <c r="E582" i="14" s="1"/>
  <c r="A583" i="14"/>
  <c r="B583" i="14"/>
  <c r="C583" i="14" s="1"/>
  <c r="E583" i="14" s="1"/>
  <c r="A584" i="14"/>
  <c r="B584" i="14"/>
  <c r="C584" i="14" s="1"/>
  <c r="E584" i="14" s="1"/>
  <c r="A585" i="14"/>
  <c r="B585" i="14"/>
  <c r="C585" i="14" s="1"/>
  <c r="E585" i="14" s="1"/>
  <c r="A586" i="14"/>
  <c r="B586" i="14"/>
  <c r="C586" i="14" s="1"/>
  <c r="E586" i="14" s="1"/>
  <c r="A587" i="14"/>
  <c r="B587" i="14"/>
  <c r="C587" i="14" s="1"/>
  <c r="E587" i="14" s="1"/>
  <c r="A588" i="14"/>
  <c r="B588" i="14"/>
  <c r="C588" i="14" s="1"/>
  <c r="E588" i="14" s="1"/>
  <c r="A589" i="14"/>
  <c r="B589" i="14"/>
  <c r="C589" i="14" s="1"/>
  <c r="E589" i="14" s="1"/>
  <c r="A590" i="14"/>
  <c r="B590" i="14"/>
  <c r="C590" i="14" s="1"/>
  <c r="E590" i="14" s="1"/>
  <c r="A591" i="14"/>
  <c r="B591" i="14"/>
  <c r="C591" i="14" s="1"/>
  <c r="E591" i="14" s="1"/>
  <c r="A592" i="14"/>
  <c r="B592" i="14"/>
  <c r="C592" i="14" s="1"/>
  <c r="E592" i="14" s="1"/>
  <c r="A593" i="14"/>
  <c r="B593" i="14"/>
  <c r="C593" i="14" s="1"/>
  <c r="E593" i="14" s="1"/>
  <c r="A594" i="14"/>
  <c r="B594" i="14"/>
  <c r="C594" i="14" s="1"/>
  <c r="E594" i="14" s="1"/>
  <c r="A595" i="14"/>
  <c r="B595" i="14"/>
  <c r="C595" i="14" s="1"/>
  <c r="E595" i="14" s="1"/>
  <c r="A596" i="14"/>
  <c r="B596" i="14"/>
  <c r="C596" i="14" s="1"/>
  <c r="E596" i="14" s="1"/>
  <c r="A597" i="14"/>
  <c r="B597" i="14"/>
  <c r="C597" i="14" s="1"/>
  <c r="E597" i="14" s="1"/>
  <c r="A598" i="14"/>
  <c r="B598" i="14"/>
  <c r="C598" i="14" s="1"/>
  <c r="E598" i="14" s="1"/>
  <c r="A599" i="14"/>
  <c r="B599" i="14"/>
  <c r="C599" i="14" s="1"/>
  <c r="E599" i="14" s="1"/>
  <c r="A600" i="14"/>
  <c r="B600" i="14"/>
  <c r="C600" i="14" s="1"/>
  <c r="E600" i="14" s="1"/>
  <c r="A601" i="14"/>
  <c r="B601" i="14"/>
  <c r="C601" i="14" s="1"/>
  <c r="E601" i="14" s="1"/>
  <c r="A602" i="14"/>
  <c r="B602" i="14"/>
  <c r="C602" i="14" s="1"/>
  <c r="E602" i="14" s="1"/>
  <c r="A603" i="14"/>
  <c r="B603" i="14"/>
  <c r="C603" i="14" s="1"/>
  <c r="E603" i="14" s="1"/>
  <c r="A604" i="14"/>
  <c r="B604" i="14"/>
  <c r="C604" i="14" s="1"/>
  <c r="E604" i="14" s="1"/>
  <c r="A605" i="14"/>
  <c r="B605" i="14"/>
  <c r="C605" i="14" s="1"/>
  <c r="E605" i="14" s="1"/>
  <c r="A606" i="14"/>
  <c r="B606" i="14"/>
  <c r="C606" i="14" s="1"/>
  <c r="E606" i="14" s="1"/>
  <c r="A607" i="14"/>
  <c r="B607" i="14"/>
  <c r="C607" i="14" s="1"/>
  <c r="E607" i="14" s="1"/>
  <c r="A608" i="14"/>
  <c r="B608" i="14"/>
  <c r="C608" i="14" s="1"/>
  <c r="E608" i="14" s="1"/>
  <c r="A609" i="14"/>
  <c r="B609" i="14"/>
  <c r="C609" i="14" s="1"/>
  <c r="E609" i="14" s="1"/>
  <c r="A610" i="14"/>
  <c r="B610" i="14"/>
  <c r="C610" i="14" s="1"/>
  <c r="E610" i="14" s="1"/>
  <c r="A611" i="14"/>
  <c r="B611" i="14"/>
  <c r="C611" i="14" s="1"/>
  <c r="E611" i="14" s="1"/>
  <c r="A612" i="14"/>
  <c r="B612" i="14"/>
  <c r="C612" i="14" s="1"/>
  <c r="E612" i="14" s="1"/>
  <c r="A613" i="14"/>
  <c r="B613" i="14"/>
  <c r="C613" i="14" s="1"/>
  <c r="E613" i="14" s="1"/>
  <c r="A614" i="14"/>
  <c r="B614" i="14"/>
  <c r="C614" i="14" s="1"/>
  <c r="E614" i="14" s="1"/>
  <c r="A615" i="14"/>
  <c r="B615" i="14"/>
  <c r="C615" i="14" s="1"/>
  <c r="E615" i="14" s="1"/>
  <c r="A616" i="14"/>
  <c r="B616" i="14"/>
  <c r="C616" i="14" s="1"/>
  <c r="E616" i="14" s="1"/>
  <c r="A617" i="14"/>
  <c r="B617" i="14"/>
  <c r="C617" i="14" s="1"/>
  <c r="E617" i="14" s="1"/>
  <c r="A618" i="14"/>
  <c r="B618" i="14"/>
  <c r="C618" i="14" s="1"/>
  <c r="E618" i="14" s="1"/>
  <c r="A619" i="14"/>
  <c r="B619" i="14"/>
  <c r="C619" i="14" s="1"/>
  <c r="E619" i="14" s="1"/>
  <c r="A620" i="14"/>
  <c r="B620" i="14"/>
  <c r="C620" i="14" s="1"/>
  <c r="E620" i="14" s="1"/>
  <c r="A621" i="14"/>
  <c r="B621" i="14"/>
  <c r="C621" i="14" s="1"/>
  <c r="E621" i="14" s="1"/>
  <c r="A622" i="14"/>
  <c r="B622" i="14"/>
  <c r="C622" i="14" s="1"/>
  <c r="E622" i="14" s="1"/>
  <c r="A623" i="14"/>
  <c r="B623" i="14"/>
  <c r="C623" i="14" s="1"/>
  <c r="E623" i="14" s="1"/>
  <c r="A624" i="14"/>
  <c r="B624" i="14"/>
  <c r="C624" i="14" s="1"/>
  <c r="E624" i="14" s="1"/>
  <c r="A625" i="14"/>
  <c r="B625" i="14"/>
  <c r="C625" i="14" s="1"/>
  <c r="E625" i="14" s="1"/>
  <c r="A626" i="14"/>
  <c r="B626" i="14"/>
  <c r="C626" i="14" s="1"/>
  <c r="E626" i="14" s="1"/>
  <c r="A627" i="14"/>
  <c r="B627" i="14"/>
  <c r="C627" i="14" s="1"/>
  <c r="E627" i="14" s="1"/>
  <c r="A628" i="14"/>
  <c r="B628" i="14"/>
  <c r="C628" i="14" s="1"/>
  <c r="E628" i="14" s="1"/>
  <c r="A629" i="14"/>
  <c r="B629" i="14"/>
  <c r="C629" i="14" s="1"/>
  <c r="E629" i="14" s="1"/>
  <c r="A630" i="14"/>
  <c r="B630" i="14"/>
  <c r="C630" i="14" s="1"/>
  <c r="E630" i="14" s="1"/>
  <c r="A631" i="14"/>
  <c r="B631" i="14"/>
  <c r="C631" i="14" s="1"/>
  <c r="E631" i="14" s="1"/>
  <c r="A632" i="14"/>
  <c r="B632" i="14"/>
  <c r="C632" i="14" s="1"/>
  <c r="E632" i="14" s="1"/>
  <c r="A633" i="14"/>
  <c r="B633" i="14"/>
  <c r="C633" i="14" s="1"/>
  <c r="E633" i="14" s="1"/>
  <c r="A634" i="14"/>
  <c r="B634" i="14"/>
  <c r="C634" i="14" s="1"/>
  <c r="E634" i="14" s="1"/>
  <c r="A635" i="14"/>
  <c r="B635" i="14"/>
  <c r="C635" i="14" s="1"/>
  <c r="E635" i="14" s="1"/>
  <c r="A636" i="14"/>
  <c r="B636" i="14"/>
  <c r="C636" i="14" s="1"/>
  <c r="E636" i="14" s="1"/>
  <c r="A637" i="14"/>
  <c r="B637" i="14"/>
  <c r="C637" i="14" s="1"/>
  <c r="E637" i="14" s="1"/>
  <c r="A638" i="14"/>
  <c r="B638" i="14"/>
  <c r="C638" i="14" s="1"/>
  <c r="E638" i="14" s="1"/>
  <c r="A639" i="14"/>
  <c r="B639" i="14"/>
  <c r="C639" i="14" s="1"/>
  <c r="E639" i="14" s="1"/>
  <c r="A640" i="14"/>
  <c r="B640" i="14"/>
  <c r="C640" i="14" s="1"/>
  <c r="E640" i="14" s="1"/>
  <c r="A641" i="14"/>
  <c r="B641" i="14"/>
  <c r="C641" i="14" s="1"/>
  <c r="E641" i="14" s="1"/>
  <c r="A642" i="14"/>
  <c r="B642" i="14"/>
  <c r="C642" i="14" s="1"/>
  <c r="E642" i="14" s="1"/>
  <c r="A643" i="14"/>
  <c r="B643" i="14"/>
  <c r="C643" i="14" s="1"/>
  <c r="E643" i="14" s="1"/>
  <c r="A644" i="14"/>
  <c r="B644" i="14"/>
  <c r="C644" i="14" s="1"/>
  <c r="E644" i="14" s="1"/>
  <c r="A645" i="14"/>
  <c r="B645" i="14"/>
  <c r="C645" i="14" s="1"/>
  <c r="E645" i="14" s="1"/>
  <c r="A646" i="14"/>
  <c r="B646" i="14"/>
  <c r="C646" i="14" s="1"/>
  <c r="E646" i="14" s="1"/>
  <c r="A647" i="14"/>
  <c r="B647" i="14"/>
  <c r="C647" i="14" s="1"/>
  <c r="E647" i="14" s="1"/>
  <c r="A648" i="14"/>
  <c r="B648" i="14"/>
  <c r="C648" i="14" s="1"/>
  <c r="E648" i="14" s="1"/>
  <c r="A649" i="14"/>
  <c r="B649" i="14"/>
  <c r="C649" i="14" s="1"/>
  <c r="E649" i="14" s="1"/>
  <c r="A650" i="14"/>
  <c r="B650" i="14"/>
  <c r="C650" i="14" s="1"/>
  <c r="E650" i="14" s="1"/>
  <c r="A651" i="14"/>
  <c r="B651" i="14"/>
  <c r="C651" i="14" s="1"/>
  <c r="E651" i="14" s="1"/>
  <c r="A652" i="14"/>
  <c r="B652" i="14"/>
  <c r="C652" i="14" s="1"/>
  <c r="E652" i="14" s="1"/>
  <c r="A653" i="14"/>
  <c r="B653" i="14"/>
  <c r="C653" i="14" s="1"/>
  <c r="E653" i="14" s="1"/>
  <c r="A654" i="14"/>
  <c r="B654" i="14"/>
  <c r="C654" i="14" s="1"/>
  <c r="E654" i="14" s="1"/>
  <c r="A655" i="14"/>
  <c r="B655" i="14"/>
  <c r="C655" i="14" s="1"/>
  <c r="E655" i="14" s="1"/>
  <c r="A656" i="14"/>
  <c r="B656" i="14"/>
  <c r="C656" i="14" s="1"/>
  <c r="E656" i="14" s="1"/>
  <c r="A657" i="14"/>
  <c r="B657" i="14"/>
  <c r="C657" i="14" s="1"/>
  <c r="E657" i="14" s="1"/>
  <c r="A658" i="14"/>
  <c r="B658" i="14"/>
  <c r="C658" i="14" s="1"/>
  <c r="E658" i="14" s="1"/>
  <c r="A659" i="14"/>
  <c r="B659" i="14"/>
  <c r="C659" i="14" s="1"/>
  <c r="E659" i="14" s="1"/>
  <c r="A660" i="14"/>
  <c r="B660" i="14"/>
  <c r="C660" i="14" s="1"/>
  <c r="E660" i="14" s="1"/>
  <c r="A661" i="14"/>
  <c r="B661" i="14"/>
  <c r="C661" i="14" s="1"/>
  <c r="E661" i="14" s="1"/>
  <c r="A662" i="14"/>
  <c r="B662" i="14"/>
  <c r="C662" i="14" s="1"/>
  <c r="E662" i="14" s="1"/>
  <c r="A663" i="14"/>
  <c r="B663" i="14"/>
  <c r="C663" i="14" s="1"/>
  <c r="E663" i="14" s="1"/>
  <c r="A664" i="14"/>
  <c r="B664" i="14"/>
  <c r="C664" i="14" s="1"/>
  <c r="E664" i="14" s="1"/>
  <c r="A665" i="14"/>
  <c r="B665" i="14"/>
  <c r="C665" i="14" s="1"/>
  <c r="E665" i="14" s="1"/>
  <c r="A666" i="14"/>
  <c r="B666" i="14"/>
  <c r="C666" i="14" s="1"/>
  <c r="E666" i="14" s="1"/>
  <c r="A667" i="14"/>
  <c r="B667" i="14"/>
  <c r="C667" i="14" s="1"/>
  <c r="E667" i="14" s="1"/>
  <c r="A668" i="14"/>
  <c r="B668" i="14"/>
  <c r="C668" i="14" s="1"/>
  <c r="E668" i="14" s="1"/>
  <c r="A669" i="14"/>
  <c r="B669" i="14"/>
  <c r="C669" i="14" s="1"/>
  <c r="E669" i="14" s="1"/>
  <c r="A670" i="14"/>
  <c r="B670" i="14"/>
  <c r="C670" i="14" s="1"/>
  <c r="E670" i="14" s="1"/>
  <c r="A671" i="14"/>
  <c r="B671" i="14"/>
  <c r="C671" i="14" s="1"/>
  <c r="E671" i="14" s="1"/>
  <c r="A672" i="14"/>
  <c r="B672" i="14"/>
  <c r="C672" i="14" s="1"/>
  <c r="E672" i="14" s="1"/>
  <c r="A673" i="14"/>
  <c r="B673" i="14"/>
  <c r="C673" i="14" s="1"/>
  <c r="E673" i="14" s="1"/>
  <c r="A674" i="14"/>
  <c r="B674" i="14"/>
  <c r="C674" i="14" s="1"/>
  <c r="E674" i="14" s="1"/>
  <c r="A675" i="14"/>
  <c r="B675" i="14"/>
  <c r="C675" i="14" s="1"/>
  <c r="E675" i="14" s="1"/>
  <c r="A676" i="14"/>
  <c r="B676" i="14"/>
  <c r="C676" i="14" s="1"/>
  <c r="E676" i="14" s="1"/>
  <c r="A677" i="14"/>
  <c r="B677" i="14"/>
  <c r="C677" i="14" s="1"/>
  <c r="E677" i="14" s="1"/>
  <c r="A678" i="14"/>
  <c r="B678" i="14"/>
  <c r="C678" i="14" s="1"/>
  <c r="E678" i="14" s="1"/>
  <c r="A679" i="14"/>
  <c r="B679" i="14"/>
  <c r="C679" i="14" s="1"/>
  <c r="E679" i="14" s="1"/>
  <c r="A680" i="14"/>
  <c r="B680" i="14"/>
  <c r="C680" i="14" s="1"/>
  <c r="E680" i="14" s="1"/>
  <c r="A681" i="14"/>
  <c r="B681" i="14"/>
  <c r="C681" i="14" s="1"/>
  <c r="E681" i="14" s="1"/>
  <c r="A682" i="14"/>
  <c r="B682" i="14"/>
  <c r="C682" i="14" s="1"/>
  <c r="E682" i="14" s="1"/>
  <c r="A683" i="14"/>
  <c r="B683" i="14"/>
  <c r="C683" i="14" s="1"/>
  <c r="E683" i="14" s="1"/>
  <c r="A684" i="14"/>
  <c r="B684" i="14"/>
  <c r="C684" i="14" s="1"/>
  <c r="E684" i="14" s="1"/>
  <c r="A685" i="14"/>
  <c r="B685" i="14"/>
  <c r="C685" i="14" s="1"/>
  <c r="E685" i="14" s="1"/>
  <c r="A686" i="14"/>
  <c r="B686" i="14"/>
  <c r="C686" i="14" s="1"/>
  <c r="E686" i="14" s="1"/>
  <c r="A687" i="14"/>
  <c r="B687" i="14"/>
  <c r="C687" i="14" s="1"/>
  <c r="E687" i="14" s="1"/>
  <c r="A688" i="14"/>
  <c r="B688" i="14"/>
  <c r="C688" i="14" s="1"/>
  <c r="E688" i="14" s="1"/>
  <c r="A689" i="14"/>
  <c r="B689" i="14"/>
  <c r="C689" i="14" s="1"/>
  <c r="E689" i="14" s="1"/>
  <c r="A690" i="14"/>
  <c r="B690" i="14"/>
  <c r="C690" i="14" s="1"/>
  <c r="E690" i="14" s="1"/>
  <c r="A691" i="14"/>
  <c r="B691" i="14"/>
  <c r="C691" i="14" s="1"/>
  <c r="E691" i="14" s="1"/>
  <c r="A692" i="14"/>
  <c r="B692" i="14"/>
  <c r="C692" i="14" s="1"/>
  <c r="E692" i="14" s="1"/>
  <c r="A693" i="14"/>
  <c r="B693" i="14"/>
  <c r="C693" i="14" s="1"/>
  <c r="E693" i="14" s="1"/>
  <c r="A694" i="14"/>
  <c r="B694" i="14"/>
  <c r="C694" i="14" s="1"/>
  <c r="E694" i="14" s="1"/>
  <c r="A695" i="14"/>
  <c r="B695" i="14"/>
  <c r="C695" i="14" s="1"/>
  <c r="E695" i="14" s="1"/>
  <c r="A696" i="14"/>
  <c r="B696" i="14"/>
  <c r="C696" i="14" s="1"/>
  <c r="E696" i="14" s="1"/>
  <c r="A697" i="14"/>
  <c r="B697" i="14"/>
  <c r="C697" i="14" s="1"/>
  <c r="E697" i="14" s="1"/>
  <c r="A698" i="14"/>
  <c r="B698" i="14"/>
  <c r="C698" i="14" s="1"/>
  <c r="E698" i="14" s="1"/>
  <c r="A699" i="14"/>
  <c r="B699" i="14"/>
  <c r="C699" i="14" s="1"/>
  <c r="E699" i="14" s="1"/>
  <c r="A700" i="14"/>
  <c r="B700" i="14"/>
  <c r="C700" i="14" s="1"/>
  <c r="E700" i="14" s="1"/>
  <c r="A701" i="14"/>
  <c r="B701" i="14"/>
  <c r="C701" i="14" s="1"/>
  <c r="E701" i="14" s="1"/>
  <c r="A702" i="14"/>
  <c r="B702" i="14"/>
  <c r="C702" i="14" s="1"/>
  <c r="E702" i="14" s="1"/>
  <c r="A703" i="14"/>
  <c r="B703" i="14"/>
  <c r="C703" i="14" s="1"/>
  <c r="E703" i="14" s="1"/>
  <c r="A704" i="14"/>
  <c r="B704" i="14"/>
  <c r="C704" i="14" s="1"/>
  <c r="E704" i="14" s="1"/>
  <c r="A705" i="14"/>
  <c r="B705" i="14"/>
  <c r="C705" i="14" s="1"/>
  <c r="E705" i="14" s="1"/>
  <c r="A706" i="14"/>
  <c r="B706" i="14"/>
  <c r="C706" i="14" s="1"/>
  <c r="E706" i="14" s="1"/>
  <c r="A707" i="14"/>
  <c r="B707" i="14"/>
  <c r="C707" i="14" s="1"/>
  <c r="E707" i="14" s="1"/>
  <c r="A708" i="14"/>
  <c r="B708" i="14"/>
  <c r="C708" i="14" s="1"/>
  <c r="E708" i="14" s="1"/>
  <c r="A709" i="14"/>
  <c r="B709" i="14"/>
  <c r="C709" i="14" s="1"/>
  <c r="E709" i="14" s="1"/>
  <c r="A710" i="14"/>
  <c r="B710" i="14"/>
  <c r="C710" i="14" s="1"/>
  <c r="E710" i="14" s="1"/>
  <c r="A711" i="14"/>
  <c r="B711" i="14"/>
  <c r="C711" i="14" s="1"/>
  <c r="E711" i="14" s="1"/>
  <c r="A712" i="14"/>
  <c r="B712" i="14"/>
  <c r="C712" i="14" s="1"/>
  <c r="E712" i="14" s="1"/>
  <c r="A713" i="14"/>
  <c r="B713" i="14"/>
  <c r="C713" i="14" s="1"/>
  <c r="E713" i="14" s="1"/>
  <c r="A714" i="14"/>
  <c r="B714" i="14"/>
  <c r="C714" i="14" s="1"/>
  <c r="E714" i="14" s="1"/>
  <c r="A715" i="14"/>
  <c r="B715" i="14"/>
  <c r="C715" i="14" s="1"/>
  <c r="E715" i="14" s="1"/>
  <c r="A716" i="14"/>
  <c r="B716" i="14"/>
  <c r="C716" i="14" s="1"/>
  <c r="E716" i="14" s="1"/>
  <c r="A717" i="14"/>
  <c r="B717" i="14"/>
  <c r="C717" i="14" s="1"/>
  <c r="E717" i="14" s="1"/>
  <c r="A718" i="14"/>
  <c r="B718" i="14"/>
  <c r="C718" i="14" s="1"/>
  <c r="E718" i="14" s="1"/>
  <c r="A719" i="14"/>
  <c r="B719" i="14"/>
  <c r="C719" i="14" s="1"/>
  <c r="E719" i="14" s="1"/>
  <c r="A720" i="14"/>
  <c r="B720" i="14"/>
  <c r="C720" i="14" s="1"/>
  <c r="E720" i="14" s="1"/>
  <c r="A721" i="14"/>
  <c r="B721" i="14"/>
  <c r="C721" i="14" s="1"/>
  <c r="E721" i="14" s="1"/>
  <c r="A722" i="14"/>
  <c r="B722" i="14"/>
  <c r="C722" i="14" s="1"/>
  <c r="E722" i="14" s="1"/>
  <c r="A723" i="14"/>
  <c r="B723" i="14"/>
  <c r="C723" i="14" s="1"/>
  <c r="E723" i="14" s="1"/>
  <c r="A724" i="14"/>
  <c r="B724" i="14"/>
  <c r="C724" i="14" s="1"/>
  <c r="E724" i="14" s="1"/>
  <c r="A725" i="14"/>
  <c r="B725" i="14"/>
  <c r="C725" i="14" s="1"/>
  <c r="E725" i="14" s="1"/>
  <c r="A726" i="14"/>
  <c r="B726" i="14"/>
  <c r="C726" i="14" s="1"/>
  <c r="E726" i="14" s="1"/>
  <c r="A727" i="14"/>
  <c r="B727" i="14"/>
  <c r="C727" i="14" s="1"/>
  <c r="E727" i="14" s="1"/>
  <c r="A728" i="14"/>
  <c r="B728" i="14"/>
  <c r="C728" i="14" s="1"/>
  <c r="E728" i="14" s="1"/>
  <c r="A729" i="14"/>
  <c r="B729" i="14"/>
  <c r="C729" i="14" s="1"/>
  <c r="E729" i="14" s="1"/>
  <c r="A730" i="14"/>
  <c r="B730" i="14"/>
  <c r="C730" i="14" s="1"/>
  <c r="E730" i="14" s="1"/>
  <c r="A731" i="14"/>
  <c r="B731" i="14"/>
  <c r="C731" i="14" s="1"/>
  <c r="E731" i="14" s="1"/>
  <c r="A732" i="14"/>
  <c r="B732" i="14"/>
  <c r="C732" i="14" s="1"/>
  <c r="E732" i="14" s="1"/>
  <c r="A733" i="14"/>
  <c r="B733" i="14"/>
  <c r="C733" i="14" s="1"/>
  <c r="E733" i="14" s="1"/>
  <c r="A734" i="14"/>
  <c r="B734" i="14"/>
  <c r="C734" i="14" s="1"/>
  <c r="E734" i="14" s="1"/>
  <c r="A735" i="14"/>
  <c r="B735" i="14"/>
  <c r="C735" i="14" s="1"/>
  <c r="E735" i="14" s="1"/>
  <c r="A736" i="14"/>
  <c r="B736" i="14"/>
  <c r="C736" i="14" s="1"/>
  <c r="E736" i="14" s="1"/>
  <c r="A737" i="14"/>
  <c r="B737" i="14"/>
  <c r="C737" i="14" s="1"/>
  <c r="E737" i="14" s="1"/>
  <c r="A738" i="14"/>
  <c r="B738" i="14"/>
  <c r="C738" i="14" s="1"/>
  <c r="E738" i="14" s="1"/>
  <c r="A739" i="14"/>
  <c r="B739" i="14"/>
  <c r="C739" i="14" s="1"/>
  <c r="E739" i="14" s="1"/>
  <c r="A740" i="14"/>
  <c r="B740" i="14"/>
  <c r="C740" i="14" s="1"/>
  <c r="E740" i="14" s="1"/>
  <c r="A741" i="14"/>
  <c r="B741" i="14"/>
  <c r="C741" i="14" s="1"/>
  <c r="E741" i="14" s="1"/>
  <c r="A742" i="14"/>
  <c r="B742" i="14"/>
  <c r="C742" i="14" s="1"/>
  <c r="E742" i="14" s="1"/>
  <c r="A743" i="14"/>
  <c r="B743" i="14"/>
  <c r="C743" i="14" s="1"/>
  <c r="E743" i="14" s="1"/>
  <c r="A744" i="14"/>
  <c r="B744" i="14"/>
  <c r="C744" i="14" s="1"/>
  <c r="E744" i="14" s="1"/>
  <c r="A745" i="14"/>
  <c r="B745" i="14"/>
  <c r="C745" i="14" s="1"/>
  <c r="E745" i="14" s="1"/>
  <c r="A746" i="14"/>
  <c r="B746" i="14"/>
  <c r="C746" i="14" s="1"/>
  <c r="E746" i="14" s="1"/>
  <c r="A747" i="14"/>
  <c r="B747" i="14"/>
  <c r="C747" i="14" s="1"/>
  <c r="E747" i="14" s="1"/>
  <c r="A748" i="14"/>
  <c r="B748" i="14"/>
  <c r="C748" i="14" s="1"/>
  <c r="E748" i="14" s="1"/>
  <c r="A749" i="14"/>
  <c r="B749" i="14"/>
  <c r="C749" i="14" s="1"/>
  <c r="E749" i="14" s="1"/>
  <c r="A750" i="14"/>
  <c r="B750" i="14"/>
  <c r="C750" i="14" s="1"/>
  <c r="E750" i="14" s="1"/>
  <c r="A751" i="14"/>
  <c r="B751" i="14"/>
  <c r="C751" i="14" s="1"/>
  <c r="E751" i="14" s="1"/>
  <c r="A752" i="14"/>
  <c r="B752" i="14"/>
  <c r="C752" i="14" s="1"/>
  <c r="E752" i="14" s="1"/>
  <c r="A753" i="14"/>
  <c r="B753" i="14"/>
  <c r="C753" i="14" s="1"/>
  <c r="E753" i="14" s="1"/>
  <c r="A754" i="14"/>
  <c r="B754" i="14"/>
  <c r="C754" i="14" s="1"/>
  <c r="E754" i="14" s="1"/>
  <c r="A755" i="14"/>
  <c r="B755" i="14"/>
  <c r="C755" i="14" s="1"/>
  <c r="E755" i="14" s="1"/>
  <c r="A756" i="14"/>
  <c r="B756" i="14"/>
  <c r="C756" i="14" s="1"/>
  <c r="E756" i="14" s="1"/>
  <c r="A757" i="14"/>
  <c r="B757" i="14"/>
  <c r="C757" i="14" s="1"/>
  <c r="E757" i="14" s="1"/>
  <c r="A758" i="14"/>
  <c r="B758" i="14"/>
  <c r="C758" i="14" s="1"/>
  <c r="E758" i="14" s="1"/>
  <c r="A759" i="14"/>
  <c r="B759" i="14"/>
  <c r="C759" i="14" s="1"/>
  <c r="E759" i="14" s="1"/>
  <c r="A760" i="14"/>
  <c r="B760" i="14"/>
  <c r="C760" i="14" s="1"/>
  <c r="E760" i="14" s="1"/>
  <c r="A761" i="14"/>
  <c r="B761" i="14"/>
  <c r="C761" i="14" s="1"/>
  <c r="E761" i="14" s="1"/>
  <c r="A762" i="14"/>
  <c r="B762" i="14"/>
  <c r="C762" i="14" s="1"/>
  <c r="E762" i="14" s="1"/>
  <c r="A763" i="14"/>
  <c r="B763" i="14"/>
  <c r="C763" i="14" s="1"/>
  <c r="E763" i="14" s="1"/>
  <c r="A764" i="14"/>
  <c r="B764" i="14"/>
  <c r="C764" i="14" s="1"/>
  <c r="E764" i="14" s="1"/>
  <c r="A765" i="14"/>
  <c r="B765" i="14"/>
  <c r="C765" i="14" s="1"/>
  <c r="E765" i="14" s="1"/>
  <c r="A766" i="14"/>
  <c r="B766" i="14"/>
  <c r="C766" i="14" s="1"/>
  <c r="E766" i="14" s="1"/>
  <c r="A767" i="14"/>
  <c r="B767" i="14"/>
  <c r="C767" i="14" s="1"/>
  <c r="E767" i="14" s="1"/>
  <c r="A768" i="14"/>
  <c r="B768" i="14"/>
  <c r="C768" i="14" s="1"/>
  <c r="E768" i="14" s="1"/>
  <c r="A769" i="14"/>
  <c r="B769" i="14"/>
  <c r="C769" i="14" s="1"/>
  <c r="E769" i="14" s="1"/>
  <c r="A770" i="14"/>
  <c r="B770" i="14"/>
  <c r="C770" i="14" s="1"/>
  <c r="E770" i="14" s="1"/>
  <c r="A771" i="14"/>
  <c r="B771" i="14"/>
  <c r="C771" i="14" s="1"/>
  <c r="E771" i="14" s="1"/>
  <c r="A772" i="14"/>
  <c r="B772" i="14"/>
  <c r="C772" i="14" s="1"/>
  <c r="E772" i="14" s="1"/>
  <c r="A773" i="14"/>
  <c r="B773" i="14"/>
  <c r="C773" i="14" s="1"/>
  <c r="E773" i="14" s="1"/>
  <c r="A774" i="14"/>
  <c r="B774" i="14"/>
  <c r="C774" i="14" s="1"/>
  <c r="E774" i="14" s="1"/>
  <c r="A775" i="14"/>
  <c r="B775" i="14"/>
  <c r="C775" i="14" s="1"/>
  <c r="E775" i="14" s="1"/>
  <c r="A776" i="14"/>
  <c r="B776" i="14"/>
  <c r="C776" i="14" s="1"/>
  <c r="E776" i="14" s="1"/>
  <c r="A777" i="14"/>
  <c r="B777" i="14"/>
  <c r="C777" i="14" s="1"/>
  <c r="E777" i="14" s="1"/>
  <c r="A778" i="14"/>
  <c r="B778" i="14"/>
  <c r="C778" i="14" s="1"/>
  <c r="E778" i="14" s="1"/>
  <c r="A779" i="14"/>
  <c r="B779" i="14"/>
  <c r="C779" i="14" s="1"/>
  <c r="E779" i="14" s="1"/>
  <c r="A780" i="14"/>
  <c r="B780" i="14"/>
  <c r="C780" i="14" s="1"/>
  <c r="E780" i="14" s="1"/>
  <c r="A781" i="14"/>
  <c r="B781" i="14"/>
  <c r="C781" i="14" s="1"/>
  <c r="E781" i="14" s="1"/>
  <c r="A782" i="14"/>
  <c r="B782" i="14"/>
  <c r="C782" i="14" s="1"/>
  <c r="E782" i="14" s="1"/>
  <c r="A783" i="14"/>
  <c r="B783" i="14"/>
  <c r="C783" i="14" s="1"/>
  <c r="E783" i="14" s="1"/>
  <c r="A784" i="14"/>
  <c r="B784" i="14"/>
  <c r="C784" i="14" s="1"/>
  <c r="E784" i="14" s="1"/>
  <c r="A785" i="14"/>
  <c r="B785" i="14"/>
  <c r="C785" i="14" s="1"/>
  <c r="E785" i="14" s="1"/>
  <c r="A786" i="14"/>
  <c r="B786" i="14"/>
  <c r="C786" i="14" s="1"/>
  <c r="E786" i="14" s="1"/>
  <c r="A787" i="14"/>
  <c r="B787" i="14"/>
  <c r="C787" i="14" s="1"/>
  <c r="E787" i="14" s="1"/>
  <c r="A788" i="14"/>
  <c r="B788" i="14"/>
  <c r="C788" i="14" s="1"/>
  <c r="E788" i="14" s="1"/>
  <c r="A789" i="14"/>
  <c r="B789" i="14"/>
  <c r="C789" i="14" s="1"/>
  <c r="E789" i="14" s="1"/>
  <c r="A790" i="14"/>
  <c r="B790" i="14"/>
  <c r="C790" i="14" s="1"/>
  <c r="E790" i="14" s="1"/>
  <c r="A791" i="14"/>
  <c r="B791" i="14"/>
  <c r="C791" i="14" s="1"/>
  <c r="E791" i="14" s="1"/>
  <c r="A792" i="14"/>
  <c r="B792" i="14"/>
  <c r="C792" i="14" s="1"/>
  <c r="E792" i="14" s="1"/>
  <c r="A793" i="14"/>
  <c r="B793" i="14"/>
  <c r="C793" i="14" s="1"/>
  <c r="E793" i="14" s="1"/>
  <c r="A794" i="14"/>
  <c r="B794" i="14"/>
  <c r="C794" i="14" s="1"/>
  <c r="E794" i="14" s="1"/>
  <c r="A795" i="14"/>
  <c r="B795" i="14"/>
  <c r="C795" i="14" s="1"/>
  <c r="E795" i="14" s="1"/>
  <c r="A796" i="14"/>
  <c r="B796" i="14"/>
  <c r="C796" i="14" s="1"/>
  <c r="E796" i="14" s="1"/>
  <c r="A797" i="14"/>
  <c r="B797" i="14"/>
  <c r="C797" i="14" s="1"/>
  <c r="E797" i="14" s="1"/>
  <c r="A798" i="14"/>
  <c r="B798" i="14"/>
  <c r="C798" i="14" s="1"/>
  <c r="E798" i="14" s="1"/>
  <c r="A799" i="14"/>
  <c r="B799" i="14"/>
  <c r="C799" i="14" s="1"/>
  <c r="E799" i="14" s="1"/>
  <c r="A800" i="14"/>
  <c r="B800" i="14"/>
  <c r="C800" i="14" s="1"/>
  <c r="E800" i="14" s="1"/>
  <c r="A801" i="14"/>
  <c r="B801" i="14"/>
  <c r="C801" i="14" s="1"/>
  <c r="E801" i="14" s="1"/>
  <c r="A802" i="14"/>
  <c r="B802" i="14"/>
  <c r="C802" i="14" s="1"/>
  <c r="E802" i="14" s="1"/>
  <c r="A803" i="14"/>
  <c r="B803" i="14"/>
  <c r="C803" i="14" s="1"/>
  <c r="E803" i="14" s="1"/>
  <c r="A804" i="14"/>
  <c r="B804" i="14"/>
  <c r="C804" i="14" s="1"/>
  <c r="E804" i="14" s="1"/>
  <c r="A805" i="14"/>
  <c r="B805" i="14"/>
  <c r="C805" i="14" s="1"/>
  <c r="E805" i="14" s="1"/>
  <c r="A806" i="14"/>
  <c r="B806" i="14"/>
  <c r="C806" i="14" s="1"/>
  <c r="E806" i="14" s="1"/>
  <c r="A807" i="14"/>
  <c r="B807" i="14"/>
  <c r="C807" i="14" s="1"/>
  <c r="E807" i="14" s="1"/>
  <c r="A808" i="14"/>
  <c r="B808" i="14"/>
  <c r="C808" i="14" s="1"/>
  <c r="E808" i="14" s="1"/>
  <c r="A809" i="14"/>
  <c r="B809" i="14"/>
  <c r="C809" i="14" s="1"/>
  <c r="E809" i="14" s="1"/>
  <c r="A810" i="14"/>
  <c r="B810" i="14"/>
  <c r="C810" i="14" s="1"/>
  <c r="E810" i="14" s="1"/>
  <c r="A811" i="14"/>
  <c r="B811" i="14"/>
  <c r="C811" i="14" s="1"/>
  <c r="E811" i="14" s="1"/>
  <c r="A812" i="14"/>
  <c r="B812" i="14"/>
  <c r="C812" i="14" s="1"/>
  <c r="E812" i="14" s="1"/>
  <c r="A813" i="14"/>
  <c r="B813" i="14"/>
  <c r="C813" i="14" s="1"/>
  <c r="E813" i="14" s="1"/>
  <c r="A814" i="14"/>
  <c r="B814" i="14"/>
  <c r="C814" i="14" s="1"/>
  <c r="E814" i="14" s="1"/>
  <c r="A815" i="14"/>
  <c r="B815" i="14"/>
  <c r="C815" i="14" s="1"/>
  <c r="E815" i="14" s="1"/>
  <c r="A816" i="14"/>
  <c r="B816" i="14"/>
  <c r="C816" i="14" s="1"/>
  <c r="E816" i="14" s="1"/>
  <c r="A817" i="14"/>
  <c r="B817" i="14"/>
  <c r="C817" i="14" s="1"/>
  <c r="E817" i="14" s="1"/>
  <c r="A818" i="14"/>
  <c r="B818" i="14"/>
  <c r="C818" i="14" s="1"/>
  <c r="E818" i="14" s="1"/>
  <c r="A819" i="14"/>
  <c r="B819" i="14"/>
  <c r="C819" i="14" s="1"/>
  <c r="E819" i="14" s="1"/>
  <c r="A820" i="14"/>
  <c r="B820" i="14"/>
  <c r="C820" i="14" s="1"/>
  <c r="E820" i="14" s="1"/>
  <c r="A821" i="14"/>
  <c r="B821" i="14"/>
  <c r="C821" i="14" s="1"/>
  <c r="E821" i="14" s="1"/>
  <c r="A822" i="14"/>
  <c r="B822" i="14"/>
  <c r="C822" i="14" s="1"/>
  <c r="E822" i="14" s="1"/>
  <c r="A823" i="14"/>
  <c r="B823" i="14"/>
  <c r="C823" i="14" s="1"/>
  <c r="E823" i="14" s="1"/>
  <c r="A824" i="14"/>
  <c r="B824" i="14"/>
  <c r="C824" i="14" s="1"/>
  <c r="E824" i="14" s="1"/>
  <c r="A825" i="14"/>
  <c r="B825" i="14"/>
  <c r="C825" i="14" s="1"/>
  <c r="E825" i="14" s="1"/>
  <c r="A826" i="14"/>
  <c r="B826" i="14"/>
  <c r="C826" i="14" s="1"/>
  <c r="E826" i="14" s="1"/>
  <c r="A827" i="14"/>
  <c r="B827" i="14"/>
  <c r="C827" i="14" s="1"/>
  <c r="E827" i="14" s="1"/>
  <c r="A828" i="14"/>
  <c r="B828" i="14"/>
  <c r="C828" i="14" s="1"/>
  <c r="E828" i="14" s="1"/>
  <c r="A829" i="14"/>
  <c r="B829" i="14"/>
  <c r="C829" i="14" s="1"/>
  <c r="E829" i="14" s="1"/>
  <c r="A830" i="14"/>
  <c r="B830" i="14"/>
  <c r="C830" i="14" s="1"/>
  <c r="E830" i="14" s="1"/>
  <c r="A831" i="14"/>
  <c r="B831" i="14"/>
  <c r="C831" i="14" s="1"/>
  <c r="E831" i="14" s="1"/>
  <c r="A832" i="14"/>
  <c r="B832" i="14"/>
  <c r="C832" i="14" s="1"/>
  <c r="E832" i="14" s="1"/>
  <c r="A833" i="14"/>
  <c r="B833" i="14"/>
  <c r="C833" i="14" s="1"/>
  <c r="E833" i="14" s="1"/>
  <c r="A834" i="14"/>
  <c r="B834" i="14"/>
  <c r="C834" i="14" s="1"/>
  <c r="E834" i="14" s="1"/>
  <c r="A835" i="14"/>
  <c r="B835" i="14"/>
  <c r="C835" i="14" s="1"/>
  <c r="E835" i="14" s="1"/>
  <c r="A836" i="14"/>
  <c r="B836" i="14"/>
  <c r="C836" i="14" s="1"/>
  <c r="E836" i="14" s="1"/>
  <c r="A837" i="14"/>
  <c r="B837" i="14"/>
  <c r="C837" i="14" s="1"/>
  <c r="E837" i="14" s="1"/>
  <c r="A838" i="14"/>
  <c r="B838" i="14"/>
  <c r="C838" i="14" s="1"/>
  <c r="E838" i="14" s="1"/>
  <c r="A839" i="14"/>
  <c r="B839" i="14"/>
  <c r="C839" i="14" s="1"/>
  <c r="E839" i="14" s="1"/>
  <c r="A840" i="14"/>
  <c r="B840" i="14"/>
  <c r="C840" i="14" s="1"/>
  <c r="E840" i="14" s="1"/>
  <c r="A841" i="14"/>
  <c r="B841" i="14"/>
  <c r="C841" i="14" s="1"/>
  <c r="E841" i="14" s="1"/>
  <c r="A842" i="14"/>
  <c r="B842" i="14"/>
  <c r="C842" i="14" s="1"/>
  <c r="E842" i="14" s="1"/>
  <c r="A843" i="14"/>
  <c r="B843" i="14"/>
  <c r="C843" i="14" s="1"/>
  <c r="E843" i="14" s="1"/>
  <c r="A844" i="14"/>
  <c r="B844" i="14"/>
  <c r="C844" i="14" s="1"/>
  <c r="E844" i="14" s="1"/>
  <c r="A845" i="14"/>
  <c r="B845" i="14"/>
  <c r="C845" i="14" s="1"/>
  <c r="E845" i="14" s="1"/>
  <c r="A846" i="14"/>
  <c r="B846" i="14"/>
  <c r="C846" i="14" s="1"/>
  <c r="E846" i="14" s="1"/>
  <c r="A847" i="14"/>
  <c r="B847" i="14"/>
  <c r="C847" i="14" s="1"/>
  <c r="E847" i="14" s="1"/>
  <c r="A848" i="14"/>
  <c r="B848" i="14"/>
  <c r="C848" i="14" s="1"/>
  <c r="E848" i="14" s="1"/>
  <c r="A849" i="14"/>
  <c r="B849" i="14"/>
  <c r="C849" i="14" s="1"/>
  <c r="E849" i="14" s="1"/>
  <c r="A850" i="14"/>
  <c r="B850" i="14"/>
  <c r="C850" i="14" s="1"/>
  <c r="E850" i="14" s="1"/>
  <c r="A851" i="14"/>
  <c r="B851" i="14"/>
  <c r="C851" i="14" s="1"/>
  <c r="E851" i="14" s="1"/>
  <c r="A852" i="14"/>
  <c r="B852" i="14"/>
  <c r="C852" i="14" s="1"/>
  <c r="E852" i="14" s="1"/>
  <c r="A853" i="14"/>
  <c r="B853" i="14"/>
  <c r="C853" i="14" s="1"/>
  <c r="E853" i="14" s="1"/>
  <c r="A854" i="14"/>
  <c r="B854" i="14"/>
  <c r="C854" i="14" s="1"/>
  <c r="E854" i="14" s="1"/>
  <c r="A855" i="14"/>
  <c r="B855" i="14"/>
  <c r="C855" i="14" s="1"/>
  <c r="E855" i="14" s="1"/>
  <c r="A856" i="14"/>
  <c r="B856" i="14"/>
  <c r="C856" i="14" s="1"/>
  <c r="E856" i="14" s="1"/>
  <c r="A857" i="14"/>
  <c r="B857" i="14"/>
  <c r="C857" i="14" s="1"/>
  <c r="E857" i="14" s="1"/>
  <c r="A858" i="14"/>
  <c r="B858" i="14"/>
  <c r="C858" i="14" s="1"/>
  <c r="E858" i="14" s="1"/>
  <c r="A859" i="14"/>
  <c r="B859" i="14"/>
  <c r="C859" i="14" s="1"/>
  <c r="E859" i="14" s="1"/>
  <c r="A860" i="14"/>
  <c r="B860" i="14"/>
  <c r="C860" i="14" s="1"/>
  <c r="E860" i="14" s="1"/>
  <c r="A861" i="14"/>
  <c r="B861" i="14"/>
  <c r="C861" i="14" s="1"/>
  <c r="E861" i="14" s="1"/>
  <c r="A862" i="14"/>
  <c r="B862" i="14"/>
  <c r="C862" i="14" s="1"/>
  <c r="E862" i="14" s="1"/>
  <c r="A863" i="14"/>
  <c r="B863" i="14"/>
  <c r="C863" i="14" s="1"/>
  <c r="E863" i="14" s="1"/>
  <c r="A864" i="14"/>
  <c r="B864" i="14"/>
  <c r="C864" i="14" s="1"/>
  <c r="E864" i="14" s="1"/>
  <c r="A865" i="14"/>
  <c r="B865" i="14"/>
  <c r="C865" i="14" s="1"/>
  <c r="E865" i="14" s="1"/>
  <c r="A866" i="14"/>
  <c r="B866" i="14"/>
  <c r="C866" i="14" s="1"/>
  <c r="E866" i="14" s="1"/>
  <c r="A867" i="14"/>
  <c r="B867" i="14"/>
  <c r="C867" i="14" s="1"/>
  <c r="E867" i="14" s="1"/>
  <c r="A868" i="14"/>
  <c r="B868" i="14"/>
  <c r="C868" i="14" s="1"/>
  <c r="E868" i="14" s="1"/>
  <c r="A869" i="14"/>
  <c r="B869" i="14"/>
  <c r="C869" i="14" s="1"/>
  <c r="E869" i="14" s="1"/>
  <c r="A870" i="14"/>
  <c r="B870" i="14"/>
  <c r="C870" i="14" s="1"/>
  <c r="E870" i="14" s="1"/>
  <c r="A871" i="14"/>
  <c r="B871" i="14"/>
  <c r="C871" i="14" s="1"/>
  <c r="E871" i="14" s="1"/>
  <c r="A872" i="14"/>
  <c r="B872" i="14"/>
  <c r="C872" i="14" s="1"/>
  <c r="E872" i="14" s="1"/>
  <c r="A873" i="14"/>
  <c r="B873" i="14"/>
  <c r="C873" i="14" s="1"/>
  <c r="E873" i="14" s="1"/>
  <c r="A874" i="14"/>
  <c r="B874" i="14"/>
  <c r="C874" i="14" s="1"/>
  <c r="E874" i="14" s="1"/>
  <c r="A875" i="14"/>
  <c r="B875" i="14"/>
  <c r="C875" i="14" s="1"/>
  <c r="E875" i="14" s="1"/>
  <c r="A876" i="14"/>
  <c r="B876" i="14"/>
  <c r="C876" i="14" s="1"/>
  <c r="E876" i="14" s="1"/>
  <c r="A877" i="14"/>
  <c r="B877" i="14"/>
  <c r="C877" i="14" s="1"/>
  <c r="E877" i="14" s="1"/>
  <c r="A878" i="14"/>
  <c r="B878" i="14"/>
  <c r="C878" i="14" s="1"/>
  <c r="E878" i="14" s="1"/>
  <c r="A879" i="14"/>
  <c r="B879" i="14"/>
  <c r="C879" i="14" s="1"/>
  <c r="E879" i="14" s="1"/>
  <c r="A880" i="14"/>
  <c r="B880" i="14"/>
  <c r="C880" i="14" s="1"/>
  <c r="E880" i="14" s="1"/>
  <c r="A881" i="14"/>
  <c r="B881" i="14"/>
  <c r="C881" i="14" s="1"/>
  <c r="E881" i="14" s="1"/>
  <c r="A882" i="14"/>
  <c r="B882" i="14"/>
  <c r="C882" i="14" s="1"/>
  <c r="E882" i="14" s="1"/>
  <c r="A883" i="14"/>
  <c r="B883" i="14"/>
  <c r="C883" i="14" s="1"/>
  <c r="E883" i="14" s="1"/>
  <c r="A884" i="14"/>
  <c r="B884" i="14"/>
  <c r="C884" i="14" s="1"/>
  <c r="E884" i="14" s="1"/>
  <c r="A885" i="14"/>
  <c r="B885" i="14"/>
  <c r="C885" i="14" s="1"/>
  <c r="E885" i="14" s="1"/>
  <c r="A886" i="14"/>
  <c r="B886" i="14"/>
  <c r="C886" i="14" s="1"/>
  <c r="E886" i="14" s="1"/>
  <c r="A887" i="14"/>
  <c r="B887" i="14"/>
  <c r="C887" i="14" s="1"/>
  <c r="E887" i="14" s="1"/>
  <c r="A888" i="14"/>
  <c r="B888" i="14"/>
  <c r="C888" i="14" s="1"/>
  <c r="E888" i="14" s="1"/>
  <c r="A889" i="14"/>
  <c r="B889" i="14"/>
  <c r="C889" i="14" s="1"/>
  <c r="E889" i="14" s="1"/>
  <c r="A890" i="14"/>
  <c r="B890" i="14"/>
  <c r="C890" i="14" s="1"/>
  <c r="E890" i="14" s="1"/>
  <c r="A891" i="14"/>
  <c r="B891" i="14"/>
  <c r="C891" i="14" s="1"/>
  <c r="E891" i="14" s="1"/>
  <c r="A892" i="14"/>
  <c r="B892" i="14"/>
  <c r="C892" i="14" s="1"/>
  <c r="E892" i="14" s="1"/>
  <c r="A893" i="14"/>
  <c r="B893" i="14"/>
  <c r="C893" i="14" s="1"/>
  <c r="E893" i="14" s="1"/>
  <c r="A894" i="14"/>
  <c r="B894" i="14"/>
  <c r="C894" i="14" s="1"/>
  <c r="E894" i="14" s="1"/>
  <c r="A895" i="14"/>
  <c r="B895" i="14"/>
  <c r="C895" i="14" s="1"/>
  <c r="E895" i="14" s="1"/>
  <c r="A896" i="14"/>
  <c r="B896" i="14"/>
  <c r="C896" i="14" s="1"/>
  <c r="E896" i="14" s="1"/>
  <c r="A897" i="14"/>
  <c r="B897" i="14"/>
  <c r="C897" i="14" s="1"/>
  <c r="E897" i="14" s="1"/>
  <c r="A898" i="14"/>
  <c r="B898" i="14"/>
  <c r="C898" i="14" s="1"/>
  <c r="E898" i="14" s="1"/>
  <c r="A899" i="14"/>
  <c r="B899" i="14"/>
  <c r="C899" i="14" s="1"/>
  <c r="E899" i="14" s="1"/>
  <c r="A900" i="14"/>
  <c r="B900" i="14"/>
  <c r="C900" i="14" s="1"/>
  <c r="E900" i="14" s="1"/>
  <c r="A901" i="14"/>
  <c r="B901" i="14"/>
  <c r="C901" i="14" s="1"/>
  <c r="E901" i="14" s="1"/>
  <c r="A902" i="14"/>
  <c r="B902" i="14"/>
  <c r="C902" i="14" s="1"/>
  <c r="E902" i="14" s="1"/>
  <c r="A903" i="14"/>
  <c r="B903" i="14"/>
  <c r="C903" i="14" s="1"/>
  <c r="E903" i="14" s="1"/>
  <c r="A904" i="14"/>
  <c r="B904" i="14"/>
  <c r="C904" i="14" s="1"/>
  <c r="E904" i="14" s="1"/>
  <c r="A905" i="14"/>
  <c r="B905" i="14"/>
  <c r="C905" i="14" s="1"/>
  <c r="E905" i="14" s="1"/>
  <c r="A906" i="14"/>
  <c r="B906" i="14"/>
  <c r="C906" i="14" s="1"/>
  <c r="E906" i="14" s="1"/>
  <c r="A907" i="14"/>
  <c r="B907" i="14"/>
  <c r="C907" i="14" s="1"/>
  <c r="E907" i="14" s="1"/>
  <c r="A908" i="14"/>
  <c r="B908" i="14"/>
  <c r="C908" i="14" s="1"/>
  <c r="E908" i="14" s="1"/>
  <c r="A909" i="14"/>
  <c r="B909" i="14"/>
  <c r="C909" i="14" s="1"/>
  <c r="E909" i="14" s="1"/>
  <c r="A910" i="14"/>
  <c r="B910" i="14"/>
  <c r="C910" i="14" s="1"/>
  <c r="E910" i="14" s="1"/>
  <c r="A911" i="14"/>
  <c r="B911" i="14"/>
  <c r="C911" i="14" s="1"/>
  <c r="E911" i="14" s="1"/>
  <c r="A912" i="14"/>
  <c r="B912" i="14"/>
  <c r="C912" i="14" s="1"/>
  <c r="E912" i="14" s="1"/>
  <c r="A913" i="14"/>
  <c r="B913" i="14"/>
  <c r="C913" i="14" s="1"/>
  <c r="E913" i="14" s="1"/>
  <c r="A914" i="14"/>
  <c r="B914" i="14"/>
  <c r="C914" i="14" s="1"/>
  <c r="E914" i="14" s="1"/>
  <c r="A915" i="14"/>
  <c r="B915" i="14"/>
  <c r="C915" i="14" s="1"/>
  <c r="E915" i="14" s="1"/>
  <c r="A916" i="14"/>
  <c r="B916" i="14"/>
  <c r="C916" i="14" s="1"/>
  <c r="E916" i="14" s="1"/>
  <c r="A917" i="14"/>
  <c r="B917" i="14"/>
  <c r="C917" i="14" s="1"/>
  <c r="E917" i="14" s="1"/>
  <c r="A918" i="14"/>
  <c r="B918" i="14"/>
  <c r="C918" i="14" s="1"/>
  <c r="E918" i="14" s="1"/>
  <c r="A919" i="14"/>
  <c r="B919" i="14"/>
  <c r="C919" i="14" s="1"/>
  <c r="E919" i="14" s="1"/>
  <c r="A920" i="14"/>
  <c r="B920" i="14"/>
  <c r="C920" i="14" s="1"/>
  <c r="E920" i="14" s="1"/>
  <c r="A921" i="14"/>
  <c r="B921" i="14"/>
  <c r="C921" i="14" s="1"/>
  <c r="E921" i="14" s="1"/>
  <c r="A922" i="14"/>
  <c r="B922" i="14"/>
  <c r="C922" i="14" s="1"/>
  <c r="E922" i="14" s="1"/>
  <c r="A923" i="14"/>
  <c r="B923" i="14"/>
  <c r="C923" i="14" s="1"/>
  <c r="E923" i="14" s="1"/>
  <c r="A924" i="14"/>
  <c r="B924" i="14"/>
  <c r="C924" i="14" s="1"/>
  <c r="E924" i="14" s="1"/>
  <c r="A925" i="14"/>
  <c r="B925" i="14"/>
  <c r="C925" i="14" s="1"/>
  <c r="E925" i="14" s="1"/>
  <c r="A926" i="14"/>
  <c r="B926" i="14"/>
  <c r="C926" i="14" s="1"/>
  <c r="E926" i="14" s="1"/>
  <c r="A927" i="14"/>
  <c r="B927" i="14"/>
  <c r="C927" i="14" s="1"/>
  <c r="E927" i="14" s="1"/>
  <c r="A928" i="14"/>
  <c r="B928" i="14"/>
  <c r="C928" i="14" s="1"/>
  <c r="E928" i="14" s="1"/>
  <c r="A929" i="14"/>
  <c r="B929" i="14"/>
  <c r="C929" i="14" s="1"/>
  <c r="E929" i="14" s="1"/>
  <c r="A930" i="14"/>
  <c r="B930" i="14"/>
  <c r="C930" i="14" s="1"/>
  <c r="E930" i="14" s="1"/>
  <c r="A931" i="14"/>
  <c r="B931" i="14"/>
  <c r="C931" i="14" s="1"/>
  <c r="E931" i="14" s="1"/>
  <c r="A932" i="14"/>
  <c r="B932" i="14"/>
  <c r="C932" i="14" s="1"/>
  <c r="E932" i="14" s="1"/>
  <c r="A933" i="14"/>
  <c r="B933" i="14"/>
  <c r="C933" i="14" s="1"/>
  <c r="E933" i="14" s="1"/>
  <c r="A934" i="14"/>
  <c r="B934" i="14"/>
  <c r="C934" i="14" s="1"/>
  <c r="E934" i="14" s="1"/>
  <c r="A935" i="14"/>
  <c r="B935" i="14"/>
  <c r="C935" i="14" s="1"/>
  <c r="E935" i="14" s="1"/>
  <c r="A936" i="14"/>
  <c r="B936" i="14"/>
  <c r="C936" i="14" s="1"/>
  <c r="E936" i="14" s="1"/>
  <c r="A937" i="14"/>
  <c r="B937" i="14"/>
  <c r="C937" i="14" s="1"/>
  <c r="E937" i="14" s="1"/>
  <c r="A938" i="14"/>
  <c r="B938" i="14"/>
  <c r="C938" i="14" s="1"/>
  <c r="E938" i="14" s="1"/>
  <c r="A939" i="14"/>
  <c r="B939" i="14"/>
  <c r="C939" i="14" s="1"/>
  <c r="E939" i="14" s="1"/>
  <c r="A940" i="14"/>
  <c r="B940" i="14"/>
  <c r="C940" i="14" s="1"/>
  <c r="E940" i="14" s="1"/>
  <c r="A941" i="14"/>
  <c r="B941" i="14"/>
  <c r="C941" i="14" s="1"/>
  <c r="E941" i="14" s="1"/>
  <c r="A942" i="14"/>
  <c r="B942" i="14"/>
  <c r="C942" i="14" s="1"/>
  <c r="E942" i="14" s="1"/>
  <c r="A943" i="14"/>
  <c r="B943" i="14"/>
  <c r="C943" i="14" s="1"/>
  <c r="E943" i="14" s="1"/>
  <c r="A944" i="14"/>
  <c r="B944" i="14"/>
  <c r="C944" i="14" s="1"/>
  <c r="E944" i="14" s="1"/>
  <c r="A945" i="14"/>
  <c r="B945" i="14"/>
  <c r="C945" i="14" s="1"/>
  <c r="E945" i="14" s="1"/>
  <c r="A946" i="14"/>
  <c r="B946" i="14"/>
  <c r="C946" i="14" s="1"/>
  <c r="E946" i="14" s="1"/>
  <c r="A947" i="14"/>
  <c r="B947" i="14"/>
  <c r="C947" i="14" s="1"/>
  <c r="E947" i="14" s="1"/>
  <c r="A948" i="14"/>
  <c r="B948" i="14"/>
  <c r="C948" i="14" s="1"/>
  <c r="E948" i="14" s="1"/>
  <c r="A949" i="14"/>
  <c r="B949" i="14"/>
  <c r="C949" i="14" s="1"/>
  <c r="E949" i="14" s="1"/>
  <c r="A950" i="14"/>
  <c r="B950" i="14"/>
  <c r="C950" i="14" s="1"/>
  <c r="E950" i="14" s="1"/>
  <c r="A951" i="14"/>
  <c r="B951" i="14"/>
  <c r="C951" i="14" s="1"/>
  <c r="E951" i="14" s="1"/>
  <c r="A952" i="14"/>
  <c r="B952" i="14"/>
  <c r="C952" i="14" s="1"/>
  <c r="E952" i="14" s="1"/>
  <c r="A953" i="14"/>
  <c r="B953" i="14"/>
  <c r="C953" i="14" s="1"/>
  <c r="E953" i="14" s="1"/>
  <c r="A954" i="14"/>
  <c r="B954" i="14"/>
  <c r="C954" i="14" s="1"/>
  <c r="E954" i="14" s="1"/>
  <c r="A955" i="14"/>
  <c r="B955" i="14"/>
  <c r="C955" i="14" s="1"/>
  <c r="E955" i="14" s="1"/>
  <c r="A956" i="14"/>
  <c r="B956" i="14"/>
  <c r="C956" i="14" s="1"/>
  <c r="E956" i="14" s="1"/>
  <c r="A957" i="14"/>
  <c r="B957" i="14"/>
  <c r="C957" i="14" s="1"/>
  <c r="E957" i="14" s="1"/>
  <c r="A958" i="14"/>
  <c r="B958" i="14"/>
  <c r="C958" i="14" s="1"/>
  <c r="E958" i="14" s="1"/>
  <c r="A959" i="14"/>
  <c r="B959" i="14"/>
  <c r="C959" i="14" s="1"/>
  <c r="E959" i="14" s="1"/>
  <c r="A960" i="14"/>
  <c r="B960" i="14"/>
  <c r="C960" i="14" s="1"/>
  <c r="E960" i="14" s="1"/>
  <c r="A961" i="14"/>
  <c r="B961" i="14"/>
  <c r="C961" i="14" s="1"/>
  <c r="E961" i="14" s="1"/>
  <c r="A962" i="14"/>
  <c r="B962" i="14"/>
  <c r="C962" i="14" s="1"/>
  <c r="E962" i="14" s="1"/>
  <c r="A963" i="14"/>
  <c r="B963" i="14"/>
  <c r="C963" i="14" s="1"/>
  <c r="E963" i="14" s="1"/>
  <c r="A964" i="14"/>
  <c r="B964" i="14"/>
  <c r="C964" i="14" s="1"/>
  <c r="E964" i="14" s="1"/>
  <c r="A965" i="14"/>
  <c r="B965" i="14"/>
  <c r="C965" i="14" s="1"/>
  <c r="E965" i="14" s="1"/>
  <c r="A966" i="14"/>
  <c r="B966" i="14"/>
  <c r="C966" i="14" s="1"/>
  <c r="E966" i="14" s="1"/>
  <c r="A967" i="14"/>
  <c r="B967" i="14"/>
  <c r="C967" i="14" s="1"/>
  <c r="E967" i="14" s="1"/>
  <c r="A968" i="14"/>
  <c r="B968" i="14"/>
  <c r="C968" i="14" s="1"/>
  <c r="E968" i="14" s="1"/>
  <c r="A969" i="14"/>
  <c r="B969" i="14"/>
  <c r="C969" i="14" s="1"/>
  <c r="E969" i="14" s="1"/>
  <c r="A970" i="14"/>
  <c r="B970" i="14"/>
  <c r="C970" i="14" s="1"/>
  <c r="E970" i="14" s="1"/>
  <c r="A971" i="14"/>
  <c r="B971" i="14"/>
  <c r="C971" i="14" s="1"/>
  <c r="E971" i="14" s="1"/>
  <c r="A972" i="14"/>
  <c r="B972" i="14"/>
  <c r="C972" i="14" s="1"/>
  <c r="E972" i="14" s="1"/>
  <c r="A973" i="14"/>
  <c r="B973" i="14"/>
  <c r="C973" i="14" s="1"/>
  <c r="E973" i="14" s="1"/>
  <c r="A974" i="14"/>
  <c r="B974" i="14"/>
  <c r="C974" i="14" s="1"/>
  <c r="E974" i="14" s="1"/>
  <c r="A975" i="14"/>
  <c r="B975" i="14"/>
  <c r="C975" i="14" s="1"/>
  <c r="E975" i="14" s="1"/>
  <c r="A976" i="14"/>
  <c r="B976" i="14"/>
  <c r="C976" i="14" s="1"/>
  <c r="E976" i="14" s="1"/>
  <c r="A977" i="14"/>
  <c r="B977" i="14"/>
  <c r="C977" i="14" s="1"/>
  <c r="E977" i="14" s="1"/>
  <c r="A978" i="14"/>
  <c r="B978" i="14"/>
  <c r="C978" i="14" s="1"/>
  <c r="E978" i="14" s="1"/>
  <c r="A979" i="14"/>
  <c r="B979" i="14"/>
  <c r="C979" i="14" s="1"/>
  <c r="E979" i="14" s="1"/>
  <c r="A980" i="14"/>
  <c r="B980" i="14"/>
  <c r="C980" i="14" s="1"/>
  <c r="E980" i="14" s="1"/>
  <c r="A981" i="14"/>
  <c r="B981" i="14"/>
  <c r="C981" i="14" s="1"/>
  <c r="E981" i="14" s="1"/>
  <c r="A982" i="14"/>
  <c r="B982" i="14"/>
  <c r="C982" i="14" s="1"/>
  <c r="E982" i="14" s="1"/>
  <c r="A983" i="14"/>
  <c r="B983" i="14"/>
  <c r="C983" i="14" s="1"/>
  <c r="E983" i="14" s="1"/>
  <c r="A984" i="14"/>
  <c r="B984" i="14"/>
  <c r="C984" i="14" s="1"/>
  <c r="E984" i="14" s="1"/>
  <c r="A985" i="14"/>
  <c r="B985" i="14"/>
  <c r="C985" i="14" s="1"/>
  <c r="E985" i="14" s="1"/>
  <c r="A986" i="14"/>
  <c r="B986" i="14"/>
  <c r="C986" i="14" s="1"/>
  <c r="E986" i="14" s="1"/>
  <c r="A987" i="14"/>
  <c r="B987" i="14"/>
  <c r="C987" i="14" s="1"/>
  <c r="E987" i="14" s="1"/>
  <c r="A988" i="14"/>
  <c r="B988" i="14"/>
  <c r="C988" i="14" s="1"/>
  <c r="E988" i="14" s="1"/>
  <c r="A989" i="14"/>
  <c r="B989" i="14"/>
  <c r="C989" i="14" s="1"/>
  <c r="E989" i="14" s="1"/>
  <c r="A990" i="14"/>
  <c r="B990" i="14"/>
  <c r="C990" i="14" s="1"/>
  <c r="E990" i="14" s="1"/>
  <c r="A991" i="14"/>
  <c r="B991" i="14"/>
  <c r="C991" i="14" s="1"/>
  <c r="E991" i="14" s="1"/>
  <c r="A992" i="14"/>
  <c r="B992" i="14"/>
  <c r="C992" i="14" s="1"/>
  <c r="E992" i="14" s="1"/>
  <c r="A993" i="14"/>
  <c r="B993" i="14"/>
  <c r="C993" i="14" s="1"/>
  <c r="E993" i="14" s="1"/>
  <c r="A994" i="14"/>
  <c r="B994" i="14"/>
  <c r="C994" i="14" s="1"/>
  <c r="E994" i="14" s="1"/>
  <c r="A995" i="14"/>
  <c r="B995" i="14"/>
  <c r="C995" i="14" s="1"/>
  <c r="E995" i="14" s="1"/>
  <c r="A996" i="14"/>
  <c r="B996" i="14"/>
  <c r="C996" i="14" s="1"/>
  <c r="E996" i="14" s="1"/>
  <c r="A997" i="14"/>
  <c r="B997" i="14"/>
  <c r="C997" i="14" s="1"/>
  <c r="E997" i="14" s="1"/>
  <c r="A998" i="14"/>
  <c r="B998" i="14"/>
  <c r="C998" i="14" s="1"/>
  <c r="E998" i="14" s="1"/>
  <c r="A999" i="14"/>
  <c r="B999" i="14"/>
  <c r="C999" i="14" s="1"/>
  <c r="E999" i="14" s="1"/>
  <c r="A1000" i="14"/>
  <c r="B1000" i="14"/>
  <c r="C1000" i="14" s="1"/>
  <c r="E1000" i="14" s="1"/>
  <c r="A1001" i="14"/>
  <c r="B1001" i="14"/>
  <c r="C1001" i="14" s="1"/>
  <c r="E1001" i="14" s="1"/>
  <c r="A1002" i="14"/>
  <c r="B1002" i="14"/>
  <c r="C1002" i="14" s="1"/>
  <c r="E1002" i="14" s="1"/>
  <c r="A1003" i="14"/>
  <c r="B1003" i="14"/>
  <c r="C1003" i="14" s="1"/>
  <c r="E1003" i="14" s="1"/>
  <c r="A1004" i="14"/>
  <c r="B1004" i="14"/>
  <c r="C1004" i="14" s="1"/>
  <c r="E1004" i="14" s="1"/>
  <c r="A1005" i="14"/>
  <c r="B1005" i="14"/>
  <c r="C1005" i="14" s="1"/>
  <c r="E1005" i="14" s="1"/>
  <c r="A1006" i="14"/>
  <c r="B1006" i="14"/>
  <c r="C1006" i="14" s="1"/>
  <c r="E1006" i="14" s="1"/>
  <c r="A1007" i="14"/>
  <c r="B1007" i="14"/>
  <c r="C1007" i="14" s="1"/>
  <c r="E1007" i="14" s="1"/>
  <c r="A1008" i="14"/>
  <c r="B1008" i="14"/>
  <c r="C1008" i="14" s="1"/>
  <c r="E1008" i="14" s="1"/>
  <c r="A1009" i="14"/>
  <c r="B1009" i="14"/>
  <c r="C1009" i="14" s="1"/>
  <c r="E1009" i="14" s="1"/>
  <c r="A1010" i="14"/>
  <c r="B1010" i="14"/>
  <c r="C1010" i="14" s="1"/>
  <c r="E1010" i="14" s="1"/>
  <c r="A1011" i="14"/>
  <c r="B1011" i="14"/>
  <c r="C1011" i="14" s="1"/>
  <c r="E1011" i="14" s="1"/>
  <c r="A1012" i="14"/>
  <c r="B1012" i="14"/>
  <c r="C1012" i="14" s="1"/>
  <c r="E1012" i="14" s="1"/>
  <c r="A1013" i="14"/>
  <c r="B1013" i="14"/>
  <c r="C1013" i="14" s="1"/>
  <c r="E1013" i="14" s="1"/>
  <c r="A1014" i="14"/>
  <c r="B1014" i="14"/>
  <c r="C1014" i="14" s="1"/>
  <c r="E1014" i="14" s="1"/>
  <c r="A1015" i="14"/>
  <c r="B1015" i="14"/>
  <c r="C1015" i="14" s="1"/>
  <c r="E1015" i="14" s="1"/>
  <c r="A1016" i="14"/>
  <c r="B1016" i="14"/>
  <c r="C1016" i="14" s="1"/>
  <c r="E1016" i="14" s="1"/>
  <c r="A1017" i="14"/>
  <c r="B1017" i="14"/>
  <c r="C1017" i="14" s="1"/>
  <c r="E1017" i="14" s="1"/>
  <c r="A1018" i="14"/>
  <c r="B1018" i="14"/>
  <c r="C1018" i="14" s="1"/>
  <c r="E1018" i="14" s="1"/>
  <c r="A1019" i="14"/>
  <c r="B1019" i="14"/>
  <c r="C1019" i="14" s="1"/>
  <c r="E1019" i="14" s="1"/>
  <c r="A1020" i="14"/>
  <c r="B1020" i="14"/>
  <c r="C1020" i="14" s="1"/>
  <c r="E1020" i="14" s="1"/>
  <c r="A1021" i="14"/>
  <c r="B1021" i="14"/>
  <c r="C1021" i="14" s="1"/>
  <c r="E1021" i="14" s="1"/>
  <c r="A1022" i="14"/>
  <c r="B1022" i="14"/>
  <c r="C1022" i="14" s="1"/>
  <c r="E1022" i="14" s="1"/>
  <c r="A1023" i="14"/>
  <c r="B1023" i="14"/>
  <c r="C1023" i="14" s="1"/>
  <c r="E1023" i="14" s="1"/>
  <c r="A1024" i="14"/>
  <c r="B1024" i="14"/>
  <c r="C1024" i="14" s="1"/>
  <c r="E1024" i="14" s="1"/>
  <c r="A1025" i="14"/>
  <c r="B1025" i="14"/>
  <c r="C1025" i="14" s="1"/>
  <c r="E1025" i="14" s="1"/>
  <c r="A1026" i="14"/>
  <c r="B1026" i="14"/>
  <c r="C1026" i="14" s="1"/>
  <c r="E1026" i="14" s="1"/>
  <c r="A1027" i="14"/>
  <c r="B1027" i="14"/>
  <c r="C1027" i="14" s="1"/>
  <c r="E1027" i="14" s="1"/>
  <c r="A1028" i="14"/>
  <c r="B1028" i="14"/>
  <c r="C1028" i="14" s="1"/>
  <c r="E1028" i="14" s="1"/>
  <c r="A1029" i="14"/>
  <c r="B1029" i="14"/>
  <c r="C1029" i="14" s="1"/>
  <c r="E1029" i="14" s="1"/>
  <c r="A1030" i="14"/>
  <c r="B1030" i="14"/>
  <c r="C1030" i="14" s="1"/>
  <c r="E1030" i="14" s="1"/>
  <c r="A1031" i="14"/>
  <c r="B1031" i="14"/>
  <c r="C1031" i="14" s="1"/>
  <c r="E1031" i="14" s="1"/>
  <c r="A1032" i="14"/>
  <c r="B1032" i="14"/>
  <c r="C1032" i="14" s="1"/>
  <c r="E1032" i="14" s="1"/>
  <c r="A1033" i="14"/>
  <c r="B1033" i="14"/>
  <c r="C1033" i="14" s="1"/>
  <c r="E1033" i="14" s="1"/>
  <c r="A1034" i="14"/>
  <c r="B1034" i="14"/>
  <c r="C1034" i="14" s="1"/>
  <c r="E1034" i="14" s="1"/>
  <c r="A1035" i="14"/>
  <c r="B1035" i="14"/>
  <c r="C1035" i="14" s="1"/>
  <c r="E1035" i="14" s="1"/>
  <c r="A1036" i="14"/>
  <c r="B1036" i="14"/>
  <c r="C1036" i="14" s="1"/>
  <c r="E1036" i="14" s="1"/>
  <c r="A1037" i="14"/>
  <c r="B1037" i="14"/>
  <c r="C1037" i="14" s="1"/>
  <c r="E1037" i="14" s="1"/>
  <c r="A1038" i="14"/>
  <c r="B1038" i="14"/>
  <c r="C1038" i="14" s="1"/>
  <c r="E1038" i="14" s="1"/>
  <c r="A1039" i="14"/>
  <c r="B1039" i="14"/>
  <c r="C1039" i="14" s="1"/>
  <c r="E1039" i="14" s="1"/>
  <c r="A1040" i="14"/>
  <c r="B1040" i="14"/>
  <c r="C1040" i="14" s="1"/>
  <c r="E1040" i="14" s="1"/>
  <c r="A1041" i="14"/>
  <c r="B1041" i="14"/>
  <c r="C1041" i="14" s="1"/>
  <c r="E1041" i="14" s="1"/>
  <c r="A1042" i="14"/>
  <c r="B1042" i="14"/>
  <c r="C1042" i="14" s="1"/>
  <c r="E1042" i="14" s="1"/>
  <c r="A1043" i="14"/>
  <c r="B1043" i="14"/>
  <c r="C1043" i="14" s="1"/>
  <c r="E1043" i="14" s="1"/>
  <c r="A1044" i="14"/>
  <c r="B1044" i="14"/>
  <c r="C1044" i="14" s="1"/>
  <c r="E1044" i="14" s="1"/>
  <c r="A1045" i="14"/>
  <c r="B1045" i="14"/>
  <c r="C1045" i="14" s="1"/>
  <c r="E1045" i="14" s="1"/>
  <c r="A1046" i="14"/>
  <c r="B1046" i="14"/>
  <c r="C1046" i="14" s="1"/>
  <c r="E1046" i="14" s="1"/>
  <c r="A1047" i="14"/>
  <c r="B1047" i="14"/>
  <c r="C1047" i="14" s="1"/>
  <c r="E1047" i="14" s="1"/>
  <c r="A1048" i="14"/>
  <c r="B1048" i="14"/>
  <c r="C1048" i="14" s="1"/>
  <c r="E1048" i="14" s="1"/>
  <c r="A1049" i="14"/>
  <c r="B1049" i="14"/>
  <c r="C1049" i="14" s="1"/>
  <c r="E1049" i="14" s="1"/>
  <c r="A1050" i="14"/>
  <c r="B1050" i="14"/>
  <c r="C1050" i="14" s="1"/>
  <c r="E1050" i="14" s="1"/>
  <c r="A1051" i="14"/>
  <c r="B1051" i="14"/>
  <c r="C1051" i="14" s="1"/>
  <c r="E1051" i="14" s="1"/>
  <c r="A1052" i="14"/>
  <c r="B1052" i="14"/>
  <c r="C1052" i="14" s="1"/>
  <c r="E1052" i="14" s="1"/>
  <c r="A1053" i="14"/>
  <c r="B1053" i="14"/>
  <c r="C1053" i="14" s="1"/>
  <c r="E1053" i="14" s="1"/>
  <c r="A1054" i="14"/>
  <c r="B1054" i="14"/>
  <c r="C1054" i="14" s="1"/>
  <c r="E1054" i="14" s="1"/>
  <c r="A1055" i="14"/>
  <c r="B1055" i="14"/>
  <c r="C1055" i="14" s="1"/>
  <c r="E1055" i="14" s="1"/>
  <c r="A1056" i="14"/>
  <c r="B1056" i="14"/>
  <c r="C1056" i="14" s="1"/>
  <c r="E1056" i="14" s="1"/>
  <c r="A1057" i="14"/>
  <c r="B1057" i="14"/>
  <c r="C1057" i="14" s="1"/>
  <c r="E1057" i="14" s="1"/>
  <c r="A1058" i="14"/>
  <c r="B1058" i="14"/>
  <c r="C1058" i="14" s="1"/>
  <c r="E1058" i="14" s="1"/>
  <c r="A1059" i="14"/>
  <c r="B1059" i="14"/>
  <c r="C1059" i="14" s="1"/>
  <c r="E1059" i="14" s="1"/>
  <c r="A1060" i="14"/>
  <c r="B1060" i="14"/>
  <c r="C1060" i="14" s="1"/>
  <c r="E1060" i="14" s="1"/>
  <c r="A1061" i="14"/>
  <c r="B1061" i="14"/>
  <c r="C1061" i="14" s="1"/>
  <c r="E1061" i="14" s="1"/>
  <c r="A1062" i="14"/>
  <c r="B1062" i="14"/>
  <c r="C1062" i="14" s="1"/>
  <c r="E1062" i="14" s="1"/>
  <c r="A1063" i="14"/>
  <c r="B1063" i="14"/>
  <c r="C1063" i="14" s="1"/>
  <c r="E1063" i="14" s="1"/>
  <c r="A1064" i="14"/>
  <c r="B1064" i="14"/>
  <c r="C1064" i="14" s="1"/>
  <c r="E1064" i="14" s="1"/>
  <c r="A1065" i="14"/>
  <c r="B1065" i="14"/>
  <c r="C1065" i="14" s="1"/>
  <c r="E1065" i="14" s="1"/>
  <c r="A1066" i="14"/>
  <c r="B1066" i="14"/>
  <c r="C1066" i="14" s="1"/>
  <c r="E1066" i="14" s="1"/>
  <c r="A1067" i="14"/>
  <c r="B1067" i="14"/>
  <c r="C1067" i="14" s="1"/>
  <c r="E1067" i="14" s="1"/>
  <c r="A1068" i="14"/>
  <c r="B1068" i="14"/>
  <c r="C1068" i="14" s="1"/>
  <c r="E1068" i="14" s="1"/>
  <c r="A1069" i="14"/>
  <c r="B1069" i="14"/>
  <c r="C1069" i="14" s="1"/>
  <c r="E1069" i="14" s="1"/>
  <c r="A1070" i="14"/>
  <c r="B1070" i="14"/>
  <c r="C1070" i="14" s="1"/>
  <c r="E1070" i="14" s="1"/>
  <c r="A1071" i="14"/>
  <c r="B1071" i="14"/>
  <c r="C1071" i="14" s="1"/>
  <c r="E1071" i="14" s="1"/>
  <c r="A1072" i="14"/>
  <c r="B1072" i="14"/>
  <c r="C1072" i="14" s="1"/>
  <c r="E1072" i="14" s="1"/>
  <c r="A1073" i="14"/>
  <c r="B1073" i="14"/>
  <c r="C1073" i="14" s="1"/>
  <c r="E1073" i="14" s="1"/>
  <c r="A1074" i="14"/>
  <c r="B1074" i="14"/>
  <c r="C1074" i="14" s="1"/>
  <c r="E1074" i="14" s="1"/>
  <c r="A1075" i="14"/>
  <c r="B1075" i="14"/>
  <c r="C1075" i="14" s="1"/>
  <c r="E1075" i="14" s="1"/>
  <c r="A1076" i="14"/>
  <c r="B1076" i="14"/>
  <c r="C1076" i="14" s="1"/>
  <c r="E1076" i="14" s="1"/>
  <c r="A1077" i="14"/>
  <c r="B1077" i="14"/>
  <c r="C1077" i="14" s="1"/>
  <c r="E1077" i="14" s="1"/>
  <c r="A1078" i="14"/>
  <c r="B1078" i="14"/>
  <c r="C1078" i="14" s="1"/>
  <c r="E1078" i="14" s="1"/>
  <c r="A1079" i="14"/>
  <c r="B1079" i="14"/>
  <c r="C1079" i="14" s="1"/>
  <c r="E1079" i="14" s="1"/>
  <c r="A1080" i="14"/>
  <c r="B1080" i="14"/>
  <c r="C1080" i="14" s="1"/>
  <c r="E1080" i="14" s="1"/>
  <c r="A1081" i="14"/>
  <c r="B1081" i="14"/>
  <c r="C1081" i="14" s="1"/>
  <c r="E1081" i="14" s="1"/>
  <c r="A1082" i="14"/>
  <c r="B1082" i="14"/>
  <c r="C1082" i="14" s="1"/>
  <c r="E1082" i="14" s="1"/>
  <c r="A1083" i="14"/>
  <c r="B1083" i="14"/>
  <c r="C1083" i="14" s="1"/>
  <c r="E1083" i="14" s="1"/>
  <c r="A1084" i="14"/>
  <c r="B1084" i="14"/>
  <c r="C1084" i="14" s="1"/>
  <c r="E1084" i="14" s="1"/>
  <c r="A1085" i="14"/>
  <c r="B1085" i="14"/>
  <c r="C1085" i="14" s="1"/>
  <c r="E1085" i="14" s="1"/>
  <c r="A1086" i="14"/>
  <c r="B1086" i="14"/>
  <c r="C1086" i="14" s="1"/>
  <c r="E1086" i="14" s="1"/>
  <c r="A1087" i="14"/>
  <c r="B1087" i="14"/>
  <c r="C1087" i="14" s="1"/>
  <c r="E1087" i="14" s="1"/>
  <c r="A1088" i="14"/>
  <c r="B1088" i="14"/>
  <c r="C1088" i="14" s="1"/>
  <c r="E1088" i="14" s="1"/>
  <c r="A1089" i="14"/>
  <c r="B1089" i="14"/>
  <c r="C1089" i="14" s="1"/>
  <c r="E1089" i="14" s="1"/>
  <c r="A1090" i="14"/>
  <c r="B1090" i="14"/>
  <c r="C1090" i="14" s="1"/>
  <c r="E1090" i="14" s="1"/>
  <c r="A1091" i="14"/>
  <c r="B1091" i="14"/>
  <c r="C1091" i="14" s="1"/>
  <c r="E1091" i="14" s="1"/>
  <c r="A1092" i="14"/>
  <c r="B1092" i="14"/>
  <c r="C1092" i="14" s="1"/>
  <c r="E1092" i="14" s="1"/>
  <c r="A1093" i="14"/>
  <c r="B1093" i="14"/>
  <c r="C1093" i="14" s="1"/>
  <c r="E1093" i="14" s="1"/>
  <c r="A1094" i="14"/>
  <c r="B1094" i="14"/>
  <c r="C1094" i="14" s="1"/>
  <c r="E1094" i="14" s="1"/>
  <c r="A1095" i="14"/>
  <c r="B1095" i="14"/>
  <c r="C1095" i="14" s="1"/>
  <c r="E1095" i="14" s="1"/>
  <c r="A1096" i="14"/>
  <c r="B1096" i="14"/>
  <c r="C1096" i="14" s="1"/>
  <c r="E1096" i="14" s="1"/>
  <c r="A1097" i="14"/>
  <c r="B1097" i="14"/>
  <c r="C1097" i="14" s="1"/>
  <c r="E1097" i="14" s="1"/>
  <c r="A1098" i="14"/>
  <c r="B1098" i="14"/>
  <c r="C1098" i="14" s="1"/>
  <c r="E1098" i="14" s="1"/>
  <c r="A1099" i="14"/>
  <c r="B1099" i="14"/>
  <c r="C1099" i="14" s="1"/>
  <c r="E1099" i="14" s="1"/>
  <c r="A1100" i="14"/>
  <c r="B1100" i="14"/>
  <c r="C1100" i="14" s="1"/>
  <c r="E1100" i="14" s="1"/>
  <c r="A1101" i="14"/>
  <c r="B1101" i="14"/>
  <c r="C1101" i="14" s="1"/>
  <c r="E1101" i="14" s="1"/>
  <c r="A1102" i="14"/>
  <c r="B1102" i="14"/>
  <c r="C1102" i="14" s="1"/>
  <c r="E1102" i="14" s="1"/>
  <c r="A1103" i="14"/>
  <c r="B1103" i="14"/>
  <c r="C1103" i="14" s="1"/>
  <c r="E1103" i="14" s="1"/>
  <c r="A1104" i="14"/>
  <c r="B1104" i="14"/>
  <c r="C1104" i="14" s="1"/>
  <c r="E1104" i="14" s="1"/>
  <c r="A1105" i="14"/>
  <c r="B1105" i="14"/>
  <c r="C1105" i="14" s="1"/>
  <c r="E1105" i="14" s="1"/>
  <c r="A1106" i="14"/>
  <c r="B1106" i="14"/>
  <c r="C1106" i="14" s="1"/>
  <c r="E1106" i="14" s="1"/>
  <c r="A1107" i="14"/>
  <c r="B1107" i="14"/>
  <c r="C1107" i="14" s="1"/>
  <c r="E1107" i="14" s="1"/>
  <c r="A1108" i="14"/>
  <c r="B1108" i="14"/>
  <c r="C1108" i="14" s="1"/>
  <c r="E1108" i="14" s="1"/>
  <c r="A1109" i="14"/>
  <c r="B1109" i="14"/>
  <c r="C1109" i="14" s="1"/>
  <c r="E1109" i="14" s="1"/>
  <c r="A1110" i="14"/>
  <c r="B1110" i="14"/>
  <c r="C1110" i="14" s="1"/>
  <c r="E1110" i="14" s="1"/>
  <c r="A1111" i="14"/>
  <c r="B1111" i="14"/>
  <c r="C1111" i="14" s="1"/>
  <c r="E1111" i="14" s="1"/>
  <c r="A1112" i="14"/>
  <c r="B1112" i="14"/>
  <c r="C1112" i="14" s="1"/>
  <c r="E1112" i="14" s="1"/>
  <c r="A1113" i="14"/>
  <c r="B1113" i="14"/>
  <c r="C1113" i="14" s="1"/>
  <c r="E1113" i="14" s="1"/>
  <c r="A1114" i="14"/>
  <c r="B1114" i="14"/>
  <c r="C1114" i="14" s="1"/>
  <c r="E1114" i="14" s="1"/>
  <c r="A1115" i="14"/>
  <c r="B1115" i="14"/>
  <c r="C1115" i="14" s="1"/>
  <c r="E1115" i="14" s="1"/>
  <c r="A1116" i="14"/>
  <c r="B1116" i="14"/>
  <c r="C1116" i="14" s="1"/>
  <c r="E1116" i="14" s="1"/>
  <c r="A1117" i="14"/>
  <c r="B1117" i="14"/>
  <c r="C1117" i="14" s="1"/>
  <c r="E1117" i="14" s="1"/>
  <c r="A1118" i="14"/>
  <c r="B1118" i="14"/>
  <c r="C1118" i="14" s="1"/>
  <c r="E1118" i="14" s="1"/>
  <c r="A1119" i="14"/>
  <c r="B1119" i="14"/>
  <c r="C1119" i="14" s="1"/>
  <c r="E1119" i="14" s="1"/>
  <c r="A1120" i="14"/>
  <c r="B1120" i="14"/>
  <c r="C1120" i="14" s="1"/>
  <c r="E1120" i="14" s="1"/>
  <c r="A1121" i="14"/>
  <c r="B1121" i="14"/>
  <c r="C1121" i="14" s="1"/>
  <c r="E1121" i="14" s="1"/>
  <c r="A1122" i="14"/>
  <c r="B1122" i="14"/>
  <c r="C1122" i="14" s="1"/>
  <c r="E1122" i="14" s="1"/>
  <c r="A1123" i="14"/>
  <c r="B1123" i="14"/>
  <c r="C1123" i="14" s="1"/>
  <c r="E1123" i="14" s="1"/>
  <c r="A1124" i="14"/>
  <c r="B1124" i="14"/>
  <c r="C1124" i="14" s="1"/>
  <c r="E1124" i="14" s="1"/>
  <c r="A1125" i="14"/>
  <c r="B1125" i="14"/>
  <c r="C1125" i="14" s="1"/>
  <c r="E1125" i="14" s="1"/>
  <c r="A1126" i="14"/>
  <c r="B1126" i="14"/>
  <c r="C1126" i="14" s="1"/>
  <c r="E1126" i="14" s="1"/>
  <c r="A1127" i="14"/>
  <c r="B1127" i="14"/>
  <c r="C1127" i="14" s="1"/>
  <c r="E1127" i="14" s="1"/>
  <c r="A1128" i="14"/>
  <c r="B1128" i="14"/>
  <c r="C1128" i="14" s="1"/>
  <c r="E1128" i="14" s="1"/>
  <c r="A1129" i="14"/>
  <c r="B1129" i="14"/>
  <c r="C1129" i="14" s="1"/>
  <c r="E1129" i="14" s="1"/>
  <c r="A1130" i="14"/>
  <c r="B1130" i="14"/>
  <c r="C1130" i="14" s="1"/>
  <c r="E1130" i="14" s="1"/>
  <c r="A1131" i="14"/>
  <c r="B1131" i="14"/>
  <c r="C1131" i="14" s="1"/>
  <c r="E1131" i="14" s="1"/>
  <c r="A1132" i="14"/>
  <c r="B1132" i="14"/>
  <c r="C1132" i="14" s="1"/>
  <c r="E1132" i="14" s="1"/>
  <c r="A1133" i="14"/>
  <c r="B1133" i="14"/>
  <c r="C1133" i="14" s="1"/>
  <c r="E1133" i="14" s="1"/>
  <c r="A1134" i="14"/>
  <c r="B1134" i="14"/>
  <c r="C1134" i="14" s="1"/>
  <c r="E1134" i="14" s="1"/>
  <c r="A1135" i="14"/>
  <c r="B1135" i="14"/>
  <c r="C1135" i="14" s="1"/>
  <c r="E1135" i="14" s="1"/>
  <c r="A1136" i="14"/>
  <c r="B1136" i="14"/>
  <c r="C1136" i="14" s="1"/>
  <c r="E1136" i="14" s="1"/>
  <c r="A1137" i="14"/>
  <c r="B1137" i="14"/>
  <c r="C1137" i="14" s="1"/>
  <c r="E1137" i="14" s="1"/>
  <c r="A1138" i="14"/>
  <c r="B1138" i="14"/>
  <c r="C1138" i="14" s="1"/>
  <c r="E1138" i="14" s="1"/>
  <c r="A1139" i="14"/>
  <c r="B1139" i="14"/>
  <c r="C1139" i="14" s="1"/>
  <c r="E1139" i="14" s="1"/>
  <c r="A1140" i="14"/>
  <c r="B1140" i="14"/>
  <c r="C1140" i="14" s="1"/>
  <c r="E1140" i="14" s="1"/>
  <c r="A1141" i="14"/>
  <c r="B1141" i="14"/>
  <c r="C1141" i="14" s="1"/>
  <c r="E1141" i="14" s="1"/>
  <c r="A1142" i="14"/>
  <c r="B1142" i="14"/>
  <c r="C1142" i="14" s="1"/>
  <c r="E1142" i="14" s="1"/>
  <c r="A1143" i="14"/>
  <c r="B1143" i="14"/>
  <c r="C1143" i="14" s="1"/>
  <c r="E1143" i="14" s="1"/>
  <c r="A1144" i="14"/>
  <c r="B1144" i="14"/>
  <c r="C1144" i="14" s="1"/>
  <c r="E1144" i="14" s="1"/>
  <c r="A1145" i="14"/>
  <c r="B1145" i="14"/>
  <c r="C1145" i="14" s="1"/>
  <c r="E1145" i="14" s="1"/>
  <c r="A1146" i="14"/>
  <c r="B1146" i="14"/>
  <c r="C1146" i="14" s="1"/>
  <c r="E1146" i="14" s="1"/>
  <c r="A1147" i="14"/>
  <c r="B1147" i="14"/>
  <c r="C1147" i="14" s="1"/>
  <c r="E1147" i="14" s="1"/>
  <c r="A1148" i="14"/>
  <c r="B1148" i="14"/>
  <c r="C1148" i="14" s="1"/>
  <c r="E1148" i="14" s="1"/>
  <c r="A1149" i="14"/>
  <c r="B1149" i="14"/>
  <c r="C1149" i="14" s="1"/>
  <c r="E1149" i="14" s="1"/>
  <c r="A1150" i="14"/>
  <c r="B1150" i="14"/>
  <c r="C1150" i="14" s="1"/>
  <c r="E1150" i="14" s="1"/>
  <c r="A1151" i="14"/>
  <c r="B1151" i="14"/>
  <c r="C1151" i="14" s="1"/>
  <c r="E1151" i="14" s="1"/>
  <c r="A1152" i="14"/>
  <c r="B1152" i="14"/>
  <c r="C1152" i="14" s="1"/>
  <c r="E1152" i="14" s="1"/>
  <c r="A1153" i="14"/>
  <c r="B1153" i="14"/>
  <c r="C1153" i="14" s="1"/>
  <c r="E1153" i="14" s="1"/>
  <c r="A1154" i="14"/>
  <c r="B1154" i="14"/>
  <c r="C1154" i="14" s="1"/>
  <c r="E1154" i="14" s="1"/>
  <c r="A1155" i="14"/>
  <c r="B1155" i="14"/>
  <c r="C1155" i="14" s="1"/>
  <c r="E1155" i="14" s="1"/>
  <c r="A1156" i="14"/>
  <c r="B1156" i="14"/>
  <c r="C1156" i="14" s="1"/>
  <c r="E1156" i="14" s="1"/>
  <c r="A1157" i="14"/>
  <c r="B1157" i="14"/>
  <c r="C1157" i="14" s="1"/>
  <c r="E1157" i="14" s="1"/>
  <c r="A1158" i="14"/>
  <c r="B1158" i="14"/>
  <c r="C1158" i="14" s="1"/>
  <c r="E1158" i="14" s="1"/>
  <c r="A1159" i="14"/>
  <c r="B1159" i="14"/>
  <c r="C1159" i="14" s="1"/>
  <c r="E1159" i="14" s="1"/>
  <c r="A1160" i="14"/>
  <c r="B1160" i="14"/>
  <c r="C1160" i="14" s="1"/>
  <c r="E1160" i="14" s="1"/>
  <c r="A1161" i="14"/>
  <c r="B1161" i="14"/>
  <c r="C1161" i="14" s="1"/>
  <c r="E1161" i="14" s="1"/>
  <c r="A1162" i="14"/>
  <c r="B1162" i="14"/>
  <c r="C1162" i="14" s="1"/>
  <c r="E1162" i="14" s="1"/>
  <c r="A1163" i="14"/>
  <c r="B1163" i="14"/>
  <c r="C1163" i="14" s="1"/>
  <c r="E1163" i="14" s="1"/>
  <c r="A1164" i="14"/>
  <c r="B1164" i="14"/>
  <c r="C1164" i="14" s="1"/>
  <c r="E1164" i="14" s="1"/>
  <c r="A1165" i="14"/>
  <c r="B1165" i="14"/>
  <c r="C1165" i="14" s="1"/>
  <c r="E1165" i="14" s="1"/>
  <c r="A1166" i="14"/>
  <c r="B1166" i="14"/>
  <c r="C1166" i="14" s="1"/>
  <c r="E1166" i="14" s="1"/>
  <c r="A1167" i="14"/>
  <c r="B1167" i="14"/>
  <c r="C1167" i="14" s="1"/>
  <c r="E1167" i="14" s="1"/>
  <c r="A1168" i="14"/>
  <c r="B1168" i="14"/>
  <c r="C1168" i="14" s="1"/>
  <c r="E1168" i="14" s="1"/>
  <c r="A1169" i="14"/>
  <c r="B1169" i="14"/>
  <c r="C1169" i="14" s="1"/>
  <c r="E1169" i="14" s="1"/>
  <c r="A1170" i="14"/>
  <c r="B1170" i="14"/>
  <c r="C1170" i="14" s="1"/>
  <c r="E1170" i="14" s="1"/>
  <c r="A1171" i="14"/>
  <c r="B1171" i="14"/>
  <c r="C1171" i="14" s="1"/>
  <c r="E1171" i="14" s="1"/>
  <c r="A1172" i="14"/>
  <c r="B1172" i="14"/>
  <c r="C1172" i="14" s="1"/>
  <c r="E1172" i="14" s="1"/>
  <c r="A1173" i="14"/>
  <c r="B1173" i="14"/>
  <c r="C1173" i="14" s="1"/>
  <c r="E1173" i="14" s="1"/>
  <c r="A1174" i="14"/>
  <c r="B1174" i="14"/>
  <c r="C1174" i="14" s="1"/>
  <c r="E1174" i="14" s="1"/>
  <c r="A1175" i="14"/>
  <c r="B1175" i="14"/>
  <c r="C1175" i="14" s="1"/>
  <c r="E1175" i="14" s="1"/>
  <c r="A1176" i="14"/>
  <c r="B1176" i="14"/>
  <c r="C1176" i="14" s="1"/>
  <c r="E1176" i="14" s="1"/>
  <c r="A1177" i="14"/>
  <c r="B1177" i="14"/>
  <c r="C1177" i="14" s="1"/>
  <c r="E1177" i="14" s="1"/>
  <c r="A1178" i="14"/>
  <c r="B1178" i="14"/>
  <c r="C1178" i="14" s="1"/>
  <c r="E1178" i="14" s="1"/>
  <c r="A1179" i="14"/>
  <c r="B1179" i="14"/>
  <c r="C1179" i="14" s="1"/>
  <c r="E1179" i="14" s="1"/>
  <c r="A1180" i="14"/>
  <c r="B1180" i="14"/>
  <c r="C1180" i="14" s="1"/>
  <c r="E1180" i="14" s="1"/>
  <c r="A1181" i="14"/>
  <c r="B1181" i="14"/>
  <c r="C1181" i="14" s="1"/>
  <c r="E1181" i="14" s="1"/>
  <c r="A1182" i="14"/>
  <c r="B1182" i="14"/>
  <c r="C1182" i="14" s="1"/>
  <c r="E1182" i="14" s="1"/>
  <c r="A1183" i="14"/>
  <c r="B1183" i="14"/>
  <c r="C1183" i="14" s="1"/>
  <c r="E1183" i="14" s="1"/>
  <c r="A1184" i="14"/>
  <c r="B1184" i="14"/>
  <c r="C1184" i="14" s="1"/>
  <c r="E1184" i="14" s="1"/>
  <c r="A1185" i="14"/>
  <c r="B1185" i="14"/>
  <c r="C1185" i="14" s="1"/>
  <c r="E1185" i="14" s="1"/>
  <c r="A1186" i="14"/>
  <c r="B1186" i="14"/>
  <c r="C1186" i="14" s="1"/>
  <c r="E1186" i="14" s="1"/>
  <c r="A1187" i="14"/>
  <c r="B1187" i="14"/>
  <c r="C1187" i="14" s="1"/>
  <c r="E1187" i="14" s="1"/>
  <c r="A1188" i="14"/>
  <c r="B1188" i="14"/>
  <c r="C1188" i="14" s="1"/>
  <c r="E1188" i="14" s="1"/>
  <c r="A1189" i="14"/>
  <c r="B1189" i="14"/>
  <c r="C1189" i="14" s="1"/>
  <c r="E1189" i="14" s="1"/>
  <c r="A1190" i="14"/>
  <c r="B1190" i="14"/>
  <c r="C1190" i="14" s="1"/>
  <c r="E1190" i="14" s="1"/>
  <c r="A1191" i="14"/>
  <c r="B1191" i="14"/>
  <c r="C1191" i="14" s="1"/>
  <c r="E1191" i="14" s="1"/>
  <c r="A1192" i="14"/>
  <c r="B1192" i="14"/>
  <c r="C1192" i="14" s="1"/>
  <c r="E1192" i="14" s="1"/>
  <c r="A1193" i="14"/>
  <c r="B1193" i="14"/>
  <c r="C1193" i="14" s="1"/>
  <c r="E1193" i="14" s="1"/>
  <c r="A1194" i="14"/>
  <c r="B1194" i="14"/>
  <c r="C1194" i="14" s="1"/>
  <c r="E1194" i="14" s="1"/>
  <c r="A1195" i="14"/>
  <c r="B1195" i="14"/>
  <c r="C1195" i="14" s="1"/>
  <c r="E1195" i="14" s="1"/>
  <c r="A1196" i="14"/>
  <c r="B1196" i="14"/>
  <c r="C1196" i="14" s="1"/>
  <c r="E1196" i="14" s="1"/>
  <c r="A1197" i="14"/>
  <c r="B1197" i="14"/>
  <c r="C1197" i="14" s="1"/>
  <c r="E1197" i="14" s="1"/>
  <c r="A1198" i="14"/>
  <c r="B1198" i="14"/>
  <c r="C1198" i="14" s="1"/>
  <c r="E1198" i="14" s="1"/>
  <c r="A1199" i="14"/>
  <c r="B1199" i="14"/>
  <c r="C1199" i="14" s="1"/>
  <c r="E1199" i="14" s="1"/>
  <c r="A1200" i="14"/>
  <c r="B1200" i="14"/>
  <c r="C1200" i="14" s="1"/>
  <c r="E1200" i="14" s="1"/>
  <c r="A1201" i="14"/>
  <c r="B1201" i="14"/>
  <c r="C1201" i="14" s="1"/>
  <c r="E1201" i="14" s="1"/>
  <c r="A1202" i="14"/>
  <c r="B1202" i="14"/>
  <c r="C1202" i="14" s="1"/>
  <c r="E1202" i="14" s="1"/>
  <c r="A1203" i="14"/>
  <c r="B1203" i="14"/>
  <c r="C1203" i="14" s="1"/>
  <c r="E1203" i="14" s="1"/>
  <c r="A1204" i="14"/>
  <c r="B1204" i="14"/>
  <c r="C1204" i="14" s="1"/>
  <c r="E1204" i="14" s="1"/>
  <c r="A1205" i="14"/>
  <c r="B1205" i="14"/>
  <c r="C1205" i="14" s="1"/>
  <c r="E1205" i="14" s="1"/>
  <c r="A1206" i="14"/>
  <c r="B1206" i="14"/>
  <c r="C1206" i="14" s="1"/>
  <c r="E1206" i="14" s="1"/>
  <c r="A1207" i="14"/>
  <c r="B1207" i="14"/>
  <c r="C1207" i="14" s="1"/>
  <c r="E1207" i="14" s="1"/>
  <c r="A1208" i="14"/>
  <c r="B1208" i="14"/>
  <c r="C1208" i="14" s="1"/>
  <c r="E1208" i="14" s="1"/>
  <c r="A1209" i="14"/>
  <c r="B1209" i="14"/>
  <c r="C1209" i="14" s="1"/>
  <c r="E1209" i="14" s="1"/>
  <c r="A1210" i="14"/>
  <c r="B1210" i="14"/>
  <c r="C1210" i="14" s="1"/>
  <c r="E1210" i="14" s="1"/>
  <c r="A1211" i="14"/>
  <c r="B1211" i="14"/>
  <c r="C1211" i="14" s="1"/>
  <c r="E1211" i="14" s="1"/>
  <c r="A1212" i="14"/>
  <c r="B1212" i="14"/>
  <c r="C1212" i="14" s="1"/>
  <c r="E1212" i="14" s="1"/>
  <c r="A1213" i="14"/>
  <c r="B1213" i="14"/>
  <c r="C1213" i="14" s="1"/>
  <c r="E1213" i="14" s="1"/>
  <c r="A1214" i="14"/>
  <c r="B1214" i="14"/>
  <c r="C1214" i="14" s="1"/>
  <c r="E1214" i="14" s="1"/>
  <c r="A1215" i="14"/>
  <c r="B1215" i="14"/>
  <c r="C1215" i="14" s="1"/>
  <c r="E1215" i="14" s="1"/>
  <c r="A1216" i="14"/>
  <c r="B1216" i="14"/>
  <c r="C1216" i="14" s="1"/>
  <c r="E1216" i="14" s="1"/>
  <c r="A1217" i="14"/>
  <c r="B1217" i="14"/>
  <c r="C1217" i="14" s="1"/>
  <c r="E1217" i="14" s="1"/>
  <c r="A1218" i="14"/>
  <c r="B1218" i="14"/>
  <c r="C1218" i="14" s="1"/>
  <c r="E1218" i="14" s="1"/>
  <c r="A1219" i="14"/>
  <c r="B1219" i="14"/>
  <c r="C1219" i="14" s="1"/>
  <c r="E1219" i="14" s="1"/>
  <c r="A1220" i="14"/>
  <c r="B1220" i="14"/>
  <c r="C1220" i="14" s="1"/>
  <c r="E1220" i="14" s="1"/>
  <c r="A1221" i="14"/>
  <c r="B1221" i="14"/>
  <c r="C1221" i="14" s="1"/>
  <c r="E1221" i="14" s="1"/>
  <c r="A1222" i="14"/>
  <c r="B1222" i="14"/>
  <c r="C1222" i="14" s="1"/>
  <c r="E1222" i="14" s="1"/>
  <c r="A1223" i="14"/>
  <c r="B1223" i="14"/>
  <c r="C1223" i="14" s="1"/>
  <c r="E1223" i="14" s="1"/>
  <c r="A1224" i="14"/>
  <c r="B1224" i="14"/>
  <c r="C1224" i="14" s="1"/>
  <c r="E1224" i="14" s="1"/>
  <c r="A1225" i="14"/>
  <c r="B1225" i="14"/>
  <c r="C1225" i="14" s="1"/>
  <c r="E1225" i="14" s="1"/>
  <c r="A1226" i="14"/>
  <c r="B1226" i="14"/>
  <c r="C1226" i="14" s="1"/>
  <c r="E1226" i="14" s="1"/>
  <c r="A1227" i="14"/>
  <c r="B1227" i="14"/>
  <c r="C1227" i="14" s="1"/>
  <c r="E1227" i="14" s="1"/>
  <c r="A1228" i="14"/>
  <c r="B1228" i="14"/>
  <c r="C1228" i="14" s="1"/>
  <c r="E1228" i="14" s="1"/>
  <c r="A1229" i="14"/>
  <c r="B1229" i="14"/>
  <c r="C1229" i="14" s="1"/>
  <c r="E1229" i="14" s="1"/>
  <c r="A1230" i="14"/>
  <c r="B1230" i="14"/>
  <c r="C1230" i="14" s="1"/>
  <c r="E1230" i="14" s="1"/>
  <c r="A1231" i="14"/>
  <c r="B1231" i="14"/>
  <c r="C1231" i="14" s="1"/>
  <c r="E1231" i="14" s="1"/>
  <c r="A1232" i="14"/>
  <c r="B1232" i="14"/>
  <c r="C1232" i="14" s="1"/>
  <c r="E1232" i="14" s="1"/>
  <c r="A1233" i="14"/>
  <c r="B1233" i="14"/>
  <c r="C1233" i="14" s="1"/>
  <c r="E1233" i="14" s="1"/>
  <c r="A1234" i="14"/>
  <c r="B1234" i="14"/>
  <c r="C1234" i="14" s="1"/>
  <c r="E1234" i="14" s="1"/>
  <c r="A1235" i="14"/>
  <c r="B1235" i="14"/>
  <c r="C1235" i="14" s="1"/>
  <c r="E1235" i="14" s="1"/>
  <c r="A1236" i="14"/>
  <c r="B1236" i="14"/>
  <c r="C1236" i="14" s="1"/>
  <c r="E1236" i="14" s="1"/>
  <c r="A1237" i="14"/>
  <c r="B1237" i="14"/>
  <c r="C1237" i="14" s="1"/>
  <c r="E1237" i="14" s="1"/>
  <c r="A1238" i="14"/>
  <c r="B1238" i="14"/>
  <c r="C1238" i="14" s="1"/>
  <c r="E1238" i="14" s="1"/>
  <c r="A1239" i="14"/>
  <c r="B1239" i="14"/>
  <c r="C1239" i="14" s="1"/>
  <c r="E1239" i="14" s="1"/>
  <c r="A1240" i="14"/>
  <c r="B1240" i="14"/>
  <c r="C1240" i="14" s="1"/>
  <c r="E1240" i="14" s="1"/>
  <c r="A1241" i="14"/>
  <c r="B1241" i="14"/>
  <c r="C1241" i="14" s="1"/>
  <c r="E1241" i="14" s="1"/>
  <c r="A1242" i="14"/>
  <c r="B1242" i="14"/>
  <c r="C1242" i="14" s="1"/>
  <c r="E1242" i="14" s="1"/>
  <c r="A1243" i="14"/>
  <c r="B1243" i="14"/>
  <c r="C1243" i="14" s="1"/>
  <c r="E1243" i="14" s="1"/>
  <c r="A1244" i="14"/>
  <c r="B1244" i="14"/>
  <c r="C1244" i="14" s="1"/>
  <c r="E1244" i="14" s="1"/>
  <c r="A1245" i="14"/>
  <c r="B1245" i="14"/>
  <c r="C1245" i="14" s="1"/>
  <c r="E1245" i="14" s="1"/>
  <c r="A1246" i="14"/>
  <c r="B1246" i="14"/>
  <c r="C1246" i="14" s="1"/>
  <c r="E1246" i="14" s="1"/>
  <c r="A1247" i="14"/>
  <c r="B1247" i="14"/>
  <c r="C1247" i="14" s="1"/>
  <c r="E1247" i="14" s="1"/>
  <c r="A1248" i="14"/>
  <c r="B1248" i="14"/>
  <c r="C1248" i="14" s="1"/>
  <c r="E1248" i="14" s="1"/>
  <c r="A1249" i="14"/>
  <c r="B1249" i="14"/>
  <c r="C1249" i="14" s="1"/>
  <c r="E1249" i="14" s="1"/>
  <c r="A1250" i="14"/>
  <c r="B1250" i="14"/>
  <c r="C1250" i="14" s="1"/>
  <c r="E1250" i="14" s="1"/>
  <c r="A1251" i="14"/>
  <c r="B1251" i="14"/>
  <c r="C1251" i="14" s="1"/>
  <c r="E1251" i="14" s="1"/>
  <c r="A1252" i="14"/>
  <c r="B1252" i="14"/>
  <c r="C1252" i="14" s="1"/>
  <c r="E1252" i="14" s="1"/>
  <c r="A1253" i="14"/>
  <c r="B1253" i="14"/>
  <c r="C1253" i="14" s="1"/>
  <c r="E1253" i="14" s="1"/>
  <c r="A1254" i="14"/>
  <c r="B1254" i="14"/>
  <c r="C1254" i="14" s="1"/>
  <c r="E1254" i="14" s="1"/>
  <c r="A1255" i="14"/>
  <c r="B1255" i="14"/>
  <c r="C1255" i="14" s="1"/>
  <c r="E1255" i="14" s="1"/>
  <c r="A1256" i="14"/>
  <c r="B1256" i="14"/>
  <c r="C1256" i="14" s="1"/>
  <c r="E1256" i="14" s="1"/>
  <c r="A1257" i="14"/>
  <c r="B1257" i="14"/>
  <c r="C1257" i="14" s="1"/>
  <c r="E1257" i="14" s="1"/>
  <c r="A1258" i="14"/>
  <c r="B1258" i="14"/>
  <c r="C1258" i="14" s="1"/>
  <c r="E1258" i="14" s="1"/>
  <c r="A1259" i="14"/>
  <c r="B1259" i="14"/>
  <c r="C1259" i="14" s="1"/>
  <c r="E1259" i="14" s="1"/>
  <c r="A1260" i="14"/>
  <c r="B1260" i="14"/>
  <c r="C1260" i="14" s="1"/>
  <c r="E1260" i="14" s="1"/>
  <c r="A1261" i="14"/>
  <c r="B1261" i="14"/>
  <c r="C1261" i="14" s="1"/>
  <c r="E1261" i="14" s="1"/>
  <c r="A1262" i="14"/>
  <c r="B1262" i="14"/>
  <c r="C1262" i="14" s="1"/>
  <c r="E1262" i="14" s="1"/>
  <c r="A1263" i="14"/>
  <c r="B1263" i="14"/>
  <c r="C1263" i="14" s="1"/>
  <c r="E1263" i="14" s="1"/>
  <c r="A1264" i="14"/>
  <c r="B1264" i="14"/>
  <c r="C1264" i="14" s="1"/>
  <c r="E1264" i="14" s="1"/>
  <c r="A1265" i="14"/>
  <c r="B1265" i="14"/>
  <c r="C1265" i="14" s="1"/>
  <c r="E1265" i="14" s="1"/>
  <c r="A1266" i="14"/>
  <c r="B1266" i="14"/>
  <c r="C1266" i="14" s="1"/>
  <c r="E1266" i="14" s="1"/>
  <c r="A1267" i="14"/>
  <c r="B1267" i="14"/>
  <c r="C1267" i="14" s="1"/>
  <c r="E1267" i="14" s="1"/>
  <c r="A1268" i="14"/>
  <c r="B1268" i="14"/>
  <c r="C1268" i="14" s="1"/>
  <c r="E1268" i="14" s="1"/>
  <c r="A1269" i="14"/>
  <c r="B1269" i="14"/>
  <c r="C1269" i="14" s="1"/>
  <c r="E1269" i="14" s="1"/>
  <c r="A1270" i="14"/>
  <c r="B1270" i="14"/>
  <c r="C1270" i="14" s="1"/>
  <c r="E1270" i="14" s="1"/>
  <c r="A1271" i="14"/>
  <c r="B1271" i="14"/>
  <c r="C1271" i="14" s="1"/>
  <c r="E1271" i="14" s="1"/>
  <c r="A1272" i="14"/>
  <c r="B1272" i="14"/>
  <c r="C1272" i="14" s="1"/>
  <c r="E1272" i="14" s="1"/>
  <c r="A1273" i="14"/>
  <c r="B1273" i="14"/>
  <c r="C1273" i="14" s="1"/>
  <c r="E1273" i="14" s="1"/>
  <c r="A1274" i="14"/>
  <c r="B1274" i="14"/>
  <c r="C1274" i="14" s="1"/>
  <c r="E1274" i="14" s="1"/>
  <c r="A1275" i="14"/>
  <c r="B1275" i="14"/>
  <c r="C1275" i="14" s="1"/>
  <c r="E1275" i="14" s="1"/>
  <c r="A1276" i="14"/>
  <c r="B1276" i="14"/>
  <c r="C1276" i="14" s="1"/>
  <c r="E1276" i="14" s="1"/>
  <c r="A1277" i="14"/>
  <c r="B1277" i="14"/>
  <c r="C1277" i="14" s="1"/>
  <c r="E1277" i="14" s="1"/>
  <c r="A1278" i="14"/>
  <c r="B1278" i="14"/>
  <c r="C1278" i="14" s="1"/>
  <c r="E1278" i="14" s="1"/>
  <c r="A1279" i="14"/>
  <c r="B1279" i="14"/>
  <c r="C1279" i="14" s="1"/>
  <c r="E1279" i="14" s="1"/>
  <c r="A1280" i="14"/>
  <c r="B1280" i="14"/>
  <c r="C1280" i="14" s="1"/>
  <c r="E1280" i="14" s="1"/>
  <c r="A1281" i="14"/>
  <c r="B1281" i="14"/>
  <c r="C1281" i="14" s="1"/>
  <c r="E1281" i="14" s="1"/>
  <c r="A1282" i="14"/>
  <c r="B1282" i="14"/>
  <c r="C1282" i="14" s="1"/>
  <c r="E1282" i="14" s="1"/>
  <c r="A1283" i="14"/>
  <c r="B1283" i="14"/>
  <c r="C1283" i="14" s="1"/>
  <c r="E1283" i="14" s="1"/>
  <c r="A1284" i="14"/>
  <c r="B1284" i="14"/>
  <c r="C1284" i="14" s="1"/>
  <c r="E1284" i="14" s="1"/>
  <c r="A1285" i="14"/>
  <c r="B1285" i="14"/>
  <c r="C1285" i="14" s="1"/>
  <c r="E1285" i="14" s="1"/>
  <c r="A1286" i="14"/>
  <c r="B1286" i="14"/>
  <c r="C1286" i="14" s="1"/>
  <c r="E1286" i="14" s="1"/>
  <c r="A1287" i="14"/>
  <c r="B1287" i="14"/>
  <c r="C1287" i="14" s="1"/>
  <c r="E1287" i="14" s="1"/>
  <c r="A1288" i="14"/>
  <c r="B1288" i="14"/>
  <c r="C1288" i="14" s="1"/>
  <c r="E1288" i="14" s="1"/>
  <c r="A1289" i="14"/>
  <c r="B1289" i="14"/>
  <c r="C1289" i="14" s="1"/>
  <c r="E1289" i="14" s="1"/>
  <c r="A1290" i="14"/>
  <c r="B1290" i="14"/>
  <c r="C1290" i="14" s="1"/>
  <c r="E1290" i="14" s="1"/>
  <c r="A1291" i="14"/>
  <c r="B1291" i="14"/>
  <c r="C1291" i="14" s="1"/>
  <c r="E1291" i="14" s="1"/>
  <c r="A1292" i="14"/>
  <c r="B1292" i="14"/>
  <c r="C1292" i="14" s="1"/>
  <c r="E1292" i="14" s="1"/>
  <c r="A1293" i="14"/>
  <c r="B1293" i="14"/>
  <c r="C1293" i="14" s="1"/>
  <c r="E1293" i="14" s="1"/>
  <c r="A1294" i="14"/>
  <c r="B1294" i="14"/>
  <c r="C1294" i="14" s="1"/>
  <c r="E1294" i="14" s="1"/>
  <c r="A1295" i="14"/>
  <c r="B1295" i="14"/>
  <c r="C1295" i="14" s="1"/>
  <c r="E1295" i="14" s="1"/>
  <c r="A1296" i="14"/>
  <c r="B1296" i="14"/>
  <c r="C1296" i="14" s="1"/>
  <c r="E1296" i="14" s="1"/>
  <c r="A1297" i="14"/>
  <c r="B1297" i="14"/>
  <c r="C1297" i="14" s="1"/>
  <c r="E1297" i="14" s="1"/>
  <c r="A1298" i="14"/>
  <c r="B1298" i="14"/>
  <c r="C1298" i="14" s="1"/>
  <c r="E1298" i="14" s="1"/>
  <c r="A1299" i="14"/>
  <c r="B1299" i="14"/>
  <c r="C1299" i="14" s="1"/>
  <c r="E1299" i="14" s="1"/>
  <c r="A1300" i="14"/>
  <c r="B1300" i="14"/>
  <c r="C1300" i="14" s="1"/>
  <c r="E1300" i="14" s="1"/>
  <c r="A1301" i="14"/>
  <c r="B1301" i="14"/>
  <c r="C1301" i="14" s="1"/>
  <c r="E1301" i="14" s="1"/>
  <c r="A1302" i="14"/>
  <c r="B1302" i="14"/>
  <c r="C1302" i="14" s="1"/>
  <c r="E1302" i="14" s="1"/>
  <c r="A1303" i="14"/>
  <c r="B1303" i="14"/>
  <c r="C1303" i="14" s="1"/>
  <c r="E1303" i="14" s="1"/>
  <c r="A1304" i="14"/>
  <c r="B1304" i="14"/>
  <c r="C1304" i="14" s="1"/>
  <c r="E1304" i="14" s="1"/>
  <c r="A1305" i="14"/>
  <c r="B1305" i="14"/>
  <c r="C1305" i="14" s="1"/>
  <c r="E1305" i="14" s="1"/>
  <c r="A1306" i="14"/>
  <c r="B1306" i="14"/>
  <c r="C1306" i="14" s="1"/>
  <c r="E1306" i="14" s="1"/>
  <c r="A1307" i="14"/>
  <c r="B1307" i="14"/>
  <c r="C1307" i="14" s="1"/>
  <c r="E1307" i="14" s="1"/>
  <c r="A1308" i="14"/>
  <c r="B1308" i="14"/>
  <c r="C1308" i="14" s="1"/>
  <c r="E1308" i="14" s="1"/>
  <c r="A1309" i="14"/>
  <c r="B1309" i="14"/>
  <c r="C1309" i="14" s="1"/>
  <c r="E1309" i="14" s="1"/>
  <c r="A1310" i="14"/>
  <c r="B1310" i="14"/>
  <c r="C1310" i="14" s="1"/>
  <c r="E1310" i="14" s="1"/>
  <c r="A1311" i="14"/>
  <c r="B1311" i="14"/>
  <c r="C1311" i="14" s="1"/>
  <c r="E1311" i="14" s="1"/>
  <c r="A1312" i="14"/>
  <c r="B1312" i="14"/>
  <c r="C1312" i="14" s="1"/>
  <c r="E1312" i="14" s="1"/>
  <c r="A1313" i="14"/>
  <c r="B1313" i="14"/>
  <c r="C1313" i="14" s="1"/>
  <c r="E1313" i="14" s="1"/>
  <c r="A1314" i="14"/>
  <c r="B1314" i="14"/>
  <c r="C1314" i="14" s="1"/>
  <c r="E1314" i="14" s="1"/>
  <c r="A1315" i="14"/>
  <c r="B1315" i="14"/>
  <c r="C1315" i="14" s="1"/>
  <c r="E1315" i="14" s="1"/>
  <c r="A1316" i="14"/>
  <c r="B1316" i="14"/>
  <c r="C1316" i="14" s="1"/>
  <c r="E1316" i="14" s="1"/>
  <c r="A1317" i="14"/>
  <c r="B1317" i="14"/>
  <c r="C1317" i="14" s="1"/>
  <c r="E1317" i="14" s="1"/>
  <c r="A1318" i="14"/>
  <c r="B1318" i="14"/>
  <c r="C1318" i="14" s="1"/>
  <c r="E1318" i="14" s="1"/>
  <c r="A1319" i="14"/>
  <c r="B1319" i="14"/>
  <c r="C1319" i="14" s="1"/>
  <c r="E1319" i="14" s="1"/>
  <c r="A1320" i="14"/>
  <c r="B1320" i="14"/>
  <c r="C1320" i="14" s="1"/>
  <c r="E1320" i="14" s="1"/>
  <c r="A1321" i="14"/>
  <c r="B1321" i="14"/>
  <c r="C1321" i="14" s="1"/>
  <c r="E1321" i="14" s="1"/>
  <c r="A1322" i="14"/>
  <c r="B1322" i="14"/>
  <c r="C1322" i="14" s="1"/>
  <c r="E1322" i="14" s="1"/>
  <c r="A1323" i="14"/>
  <c r="B1323" i="14"/>
  <c r="C1323" i="14" s="1"/>
  <c r="E1323" i="14" s="1"/>
  <c r="A1324" i="14"/>
  <c r="B1324" i="14"/>
  <c r="C1324" i="14" s="1"/>
  <c r="E1324" i="14" s="1"/>
  <c r="A1325" i="14"/>
  <c r="B1325" i="14"/>
  <c r="C1325" i="14" s="1"/>
  <c r="E1325" i="14" s="1"/>
  <c r="A1326" i="14"/>
  <c r="B1326" i="14"/>
  <c r="C1326" i="14" s="1"/>
  <c r="E1326" i="14" s="1"/>
  <c r="A1327" i="14"/>
  <c r="B1327" i="14"/>
  <c r="C1327" i="14" s="1"/>
  <c r="E1327" i="14" s="1"/>
  <c r="A1328" i="14"/>
  <c r="B1328" i="14"/>
  <c r="C1328" i="14" s="1"/>
  <c r="E1328" i="14" s="1"/>
  <c r="A1329" i="14"/>
  <c r="B1329" i="14"/>
  <c r="C1329" i="14" s="1"/>
  <c r="E1329" i="14" s="1"/>
  <c r="A1330" i="14"/>
  <c r="B1330" i="14"/>
  <c r="C1330" i="14" s="1"/>
  <c r="E1330" i="14" s="1"/>
  <c r="A1331" i="14"/>
  <c r="B1331" i="14"/>
  <c r="C1331" i="14" s="1"/>
  <c r="E1331" i="14" s="1"/>
  <c r="A1332" i="14"/>
  <c r="B1332" i="14"/>
  <c r="C1332" i="14" s="1"/>
  <c r="E1332" i="14" s="1"/>
  <c r="A1333" i="14"/>
  <c r="B1333" i="14"/>
  <c r="C1333" i="14" s="1"/>
  <c r="E1333" i="14" s="1"/>
  <c r="A1334" i="14"/>
  <c r="B1334" i="14"/>
  <c r="C1334" i="14" s="1"/>
  <c r="E1334" i="14" s="1"/>
  <c r="A1335" i="14"/>
  <c r="B1335" i="14"/>
  <c r="C1335" i="14" s="1"/>
  <c r="E1335" i="14" s="1"/>
  <c r="A1336" i="14"/>
  <c r="B1336" i="14"/>
  <c r="C1336" i="14" s="1"/>
  <c r="E1336" i="14" s="1"/>
  <c r="A1337" i="14"/>
  <c r="B1337" i="14"/>
  <c r="C1337" i="14" s="1"/>
  <c r="E1337" i="14" s="1"/>
  <c r="A1338" i="14"/>
  <c r="B1338" i="14"/>
  <c r="C1338" i="14" s="1"/>
  <c r="E1338" i="14" s="1"/>
  <c r="A1339" i="14"/>
  <c r="B1339" i="14"/>
  <c r="C1339" i="14" s="1"/>
  <c r="E1339" i="14" s="1"/>
  <c r="A1340" i="14"/>
  <c r="B1340" i="14"/>
  <c r="C1340" i="14" s="1"/>
  <c r="E1340" i="14" s="1"/>
  <c r="A1341" i="14"/>
  <c r="B1341" i="14"/>
  <c r="C1341" i="14" s="1"/>
  <c r="E1341" i="14" s="1"/>
  <c r="A1342" i="14"/>
  <c r="B1342" i="14"/>
  <c r="C1342" i="14" s="1"/>
  <c r="E1342" i="14" s="1"/>
  <c r="A1343" i="14"/>
  <c r="B1343" i="14"/>
  <c r="C1343" i="14" s="1"/>
  <c r="E1343" i="14" s="1"/>
  <c r="A1344" i="14"/>
  <c r="B1344" i="14"/>
  <c r="C1344" i="14" s="1"/>
  <c r="E1344" i="14" s="1"/>
  <c r="A1345" i="14"/>
  <c r="B1345" i="14"/>
  <c r="C1345" i="14" s="1"/>
  <c r="E1345" i="14" s="1"/>
  <c r="A1346" i="14"/>
  <c r="B1346" i="14"/>
  <c r="C1346" i="14" s="1"/>
  <c r="E1346" i="14" s="1"/>
  <c r="A1347" i="14"/>
  <c r="B1347" i="14"/>
  <c r="C1347" i="14" s="1"/>
  <c r="E1347" i="14" s="1"/>
  <c r="A1348" i="14"/>
  <c r="B1348" i="14"/>
  <c r="C1348" i="14" s="1"/>
  <c r="E1348" i="14" s="1"/>
  <c r="A1349" i="14"/>
  <c r="B1349" i="14"/>
  <c r="C1349" i="14" s="1"/>
  <c r="E1349" i="14" s="1"/>
  <c r="A1350" i="14"/>
  <c r="B1350" i="14"/>
  <c r="C1350" i="14" s="1"/>
  <c r="E1350" i="14" s="1"/>
  <c r="A1351" i="14"/>
  <c r="B1351" i="14"/>
  <c r="C1351" i="14" s="1"/>
  <c r="E1351" i="14" s="1"/>
  <c r="A1352" i="14"/>
  <c r="B1352" i="14"/>
  <c r="C1352" i="14" s="1"/>
  <c r="E1352" i="14" s="1"/>
  <c r="A1353" i="14"/>
  <c r="B1353" i="14"/>
  <c r="C1353" i="14" s="1"/>
  <c r="E1353" i="14" s="1"/>
  <c r="A1354" i="14"/>
  <c r="B1354" i="14"/>
  <c r="C1354" i="14" s="1"/>
  <c r="E1354" i="14" s="1"/>
  <c r="A1355" i="14"/>
  <c r="B1355" i="14"/>
  <c r="C1355" i="14" s="1"/>
  <c r="E1355" i="14" s="1"/>
  <c r="A1356" i="14"/>
  <c r="B1356" i="14"/>
  <c r="C1356" i="14" s="1"/>
  <c r="E1356" i="14" s="1"/>
  <c r="A1357" i="14"/>
  <c r="B1357" i="14"/>
  <c r="C1357" i="14" s="1"/>
  <c r="E1357" i="14" s="1"/>
  <c r="A1358" i="14"/>
  <c r="B1358" i="14"/>
  <c r="C1358" i="14" s="1"/>
  <c r="E1358" i="14" s="1"/>
  <c r="A1359" i="14"/>
  <c r="B1359" i="14"/>
  <c r="C1359" i="14" s="1"/>
  <c r="E1359" i="14" s="1"/>
  <c r="A1360" i="14"/>
  <c r="B1360" i="14"/>
  <c r="C1360" i="14" s="1"/>
  <c r="E1360" i="14" s="1"/>
  <c r="A1361" i="14"/>
  <c r="B1361" i="14"/>
  <c r="C1361" i="14" s="1"/>
  <c r="E1361" i="14" s="1"/>
  <c r="A1362" i="14"/>
  <c r="B1362" i="14"/>
  <c r="C1362" i="14" s="1"/>
  <c r="E1362" i="14" s="1"/>
  <c r="A1363" i="14"/>
  <c r="B1363" i="14"/>
  <c r="C1363" i="14" s="1"/>
  <c r="E1363" i="14" s="1"/>
  <c r="A1364" i="14"/>
  <c r="B1364" i="14"/>
  <c r="C1364" i="14" s="1"/>
  <c r="E1364" i="14" s="1"/>
  <c r="A1365" i="14"/>
  <c r="B1365" i="14"/>
  <c r="C1365" i="14" s="1"/>
  <c r="E1365" i="14" s="1"/>
  <c r="A1366" i="14"/>
  <c r="B1366" i="14"/>
  <c r="C1366" i="14" s="1"/>
  <c r="E1366" i="14" s="1"/>
  <c r="A1367" i="14"/>
  <c r="B1367" i="14"/>
  <c r="C1367" i="14" s="1"/>
  <c r="E1367" i="14" s="1"/>
  <c r="A1368" i="14"/>
  <c r="B1368" i="14"/>
  <c r="C1368" i="14" s="1"/>
  <c r="E1368" i="14" s="1"/>
  <c r="A1369" i="14"/>
  <c r="B1369" i="14"/>
  <c r="C1369" i="14" s="1"/>
  <c r="E1369" i="14" s="1"/>
  <c r="A1370" i="14"/>
  <c r="B1370" i="14"/>
  <c r="C1370" i="14" s="1"/>
  <c r="E1370" i="14" s="1"/>
  <c r="A1371" i="14"/>
  <c r="B1371" i="14"/>
  <c r="C1371" i="14" s="1"/>
  <c r="E1371" i="14" s="1"/>
  <c r="A1372" i="14"/>
  <c r="B1372" i="14"/>
  <c r="C1372" i="14" s="1"/>
  <c r="E1372" i="14" s="1"/>
  <c r="A1373" i="14"/>
  <c r="B1373" i="14"/>
  <c r="C1373" i="14" s="1"/>
  <c r="E1373" i="14" s="1"/>
  <c r="A1374" i="14"/>
  <c r="B1374" i="14"/>
  <c r="C1374" i="14" s="1"/>
  <c r="E1374" i="14" s="1"/>
  <c r="A1375" i="14"/>
  <c r="B1375" i="14"/>
  <c r="C1375" i="14" s="1"/>
  <c r="E1375" i="14" s="1"/>
  <c r="A1376" i="14"/>
  <c r="B1376" i="14"/>
  <c r="C1376" i="14" s="1"/>
  <c r="E1376" i="14" s="1"/>
  <c r="A1377" i="14"/>
  <c r="B1377" i="14"/>
  <c r="C1377" i="14" s="1"/>
  <c r="E1377" i="14" s="1"/>
  <c r="A1378" i="14"/>
  <c r="B1378" i="14"/>
  <c r="C1378" i="14" s="1"/>
  <c r="E1378" i="14" s="1"/>
  <c r="A1379" i="14"/>
  <c r="B1379" i="14"/>
  <c r="C1379" i="14" s="1"/>
  <c r="E1379" i="14" s="1"/>
  <c r="A1380" i="14"/>
  <c r="B1380" i="14"/>
  <c r="C1380" i="14" s="1"/>
  <c r="E1380" i="14" s="1"/>
  <c r="A1381" i="14"/>
  <c r="B1381" i="14"/>
  <c r="C1381" i="14" s="1"/>
  <c r="E1381" i="14" s="1"/>
  <c r="A1382" i="14"/>
  <c r="B1382" i="14"/>
  <c r="C1382" i="14" s="1"/>
  <c r="E1382" i="14" s="1"/>
  <c r="A1383" i="14"/>
  <c r="B1383" i="14"/>
  <c r="C1383" i="14" s="1"/>
  <c r="E1383" i="14" s="1"/>
  <c r="A1384" i="14"/>
  <c r="B1384" i="14"/>
  <c r="C1384" i="14" s="1"/>
  <c r="E1384" i="14" s="1"/>
  <c r="A1385" i="14"/>
  <c r="B1385" i="14"/>
  <c r="C1385" i="14" s="1"/>
  <c r="E1385" i="14" s="1"/>
  <c r="A1386" i="14"/>
  <c r="B1386" i="14"/>
  <c r="C1386" i="14" s="1"/>
  <c r="E1386" i="14" s="1"/>
  <c r="A1387" i="14"/>
  <c r="B1387" i="14"/>
  <c r="C1387" i="14" s="1"/>
  <c r="E1387" i="14" s="1"/>
  <c r="A1388" i="14"/>
  <c r="B1388" i="14"/>
  <c r="C1388" i="14" s="1"/>
  <c r="E1388" i="14" s="1"/>
  <c r="A1389" i="14"/>
  <c r="B1389" i="14"/>
  <c r="C1389" i="14" s="1"/>
  <c r="E1389" i="14" s="1"/>
  <c r="A1390" i="14"/>
  <c r="B1390" i="14"/>
  <c r="C1390" i="14" s="1"/>
  <c r="E1390" i="14" s="1"/>
  <c r="A1391" i="14"/>
  <c r="B1391" i="14"/>
  <c r="C1391" i="14" s="1"/>
  <c r="E1391" i="14" s="1"/>
  <c r="A1392" i="14"/>
  <c r="B1392" i="14"/>
  <c r="C1392" i="14" s="1"/>
  <c r="E1392" i="14" s="1"/>
  <c r="A1393" i="14"/>
  <c r="B1393" i="14"/>
  <c r="C1393" i="14" s="1"/>
  <c r="E1393" i="14" s="1"/>
  <c r="A1394" i="14"/>
  <c r="B1394" i="14"/>
  <c r="C1394" i="14" s="1"/>
  <c r="E1394" i="14" s="1"/>
  <c r="A1395" i="14"/>
  <c r="B1395" i="14"/>
  <c r="C1395" i="14" s="1"/>
  <c r="E1395" i="14" s="1"/>
  <c r="A1396" i="14"/>
  <c r="B1396" i="14"/>
  <c r="C1396" i="14" s="1"/>
  <c r="E1396" i="14" s="1"/>
  <c r="A1397" i="14"/>
  <c r="B1397" i="14"/>
  <c r="C1397" i="14" s="1"/>
  <c r="E1397" i="14" s="1"/>
  <c r="A1398" i="14"/>
  <c r="B1398" i="14"/>
  <c r="C1398" i="14" s="1"/>
  <c r="E1398" i="14" s="1"/>
  <c r="A1399" i="14"/>
  <c r="B1399" i="14"/>
  <c r="C1399" i="14" s="1"/>
  <c r="E1399" i="14" s="1"/>
  <c r="A1400" i="14"/>
  <c r="B1400" i="14"/>
  <c r="C1400" i="14" s="1"/>
  <c r="E1400" i="14" s="1"/>
  <c r="A1401" i="14"/>
  <c r="B1401" i="14"/>
  <c r="C1401" i="14" s="1"/>
  <c r="E1401" i="14" s="1"/>
  <c r="A1402" i="14"/>
  <c r="B1402" i="14"/>
  <c r="C1402" i="14" s="1"/>
  <c r="E1402" i="14" s="1"/>
  <c r="A1403" i="14"/>
  <c r="B1403" i="14"/>
  <c r="C1403" i="14" s="1"/>
  <c r="E1403" i="14" s="1"/>
  <c r="A1404" i="14"/>
  <c r="B1404" i="14"/>
  <c r="C1404" i="14" s="1"/>
  <c r="E1404" i="14" s="1"/>
  <c r="A1405" i="14"/>
  <c r="B1405" i="14"/>
  <c r="C1405" i="14" s="1"/>
  <c r="E1405" i="14" s="1"/>
  <c r="A1406" i="14"/>
  <c r="B1406" i="14"/>
  <c r="C1406" i="14" s="1"/>
  <c r="E1406" i="14" s="1"/>
  <c r="A1407" i="14"/>
  <c r="B1407" i="14"/>
  <c r="C1407" i="14" s="1"/>
  <c r="E1407" i="14" s="1"/>
  <c r="A1408" i="14"/>
  <c r="B1408" i="14"/>
  <c r="C1408" i="14" s="1"/>
  <c r="E1408" i="14" s="1"/>
  <c r="A1409" i="14"/>
  <c r="B1409" i="14"/>
  <c r="C1409" i="14" s="1"/>
  <c r="E1409" i="14" s="1"/>
  <c r="A1410" i="14"/>
  <c r="B1410" i="14"/>
  <c r="C1410" i="14" s="1"/>
  <c r="E1410" i="14" s="1"/>
  <c r="A1411" i="14"/>
  <c r="B1411" i="14"/>
  <c r="C1411" i="14" s="1"/>
  <c r="E1411" i="14" s="1"/>
  <c r="A1412" i="14"/>
  <c r="B1412" i="14"/>
  <c r="C1412" i="14" s="1"/>
  <c r="E1412" i="14" s="1"/>
  <c r="A1413" i="14"/>
  <c r="B1413" i="14"/>
  <c r="C1413" i="14" s="1"/>
  <c r="E1413" i="14" s="1"/>
  <c r="A1414" i="14"/>
  <c r="B1414" i="14"/>
  <c r="C1414" i="14" s="1"/>
  <c r="E1414" i="14" s="1"/>
  <c r="A1415" i="14"/>
  <c r="B1415" i="14"/>
  <c r="C1415" i="14" s="1"/>
  <c r="E1415" i="14" s="1"/>
  <c r="A1416" i="14"/>
  <c r="B1416" i="14"/>
  <c r="C1416" i="14" s="1"/>
  <c r="E1416" i="14" s="1"/>
  <c r="A1417" i="14"/>
  <c r="B1417" i="14"/>
  <c r="C1417" i="14" s="1"/>
  <c r="E1417" i="14" s="1"/>
  <c r="A1418" i="14"/>
  <c r="B1418" i="14"/>
  <c r="C1418" i="14" s="1"/>
  <c r="E1418" i="14" s="1"/>
  <c r="A1419" i="14"/>
  <c r="B1419" i="14"/>
  <c r="C1419" i="14" s="1"/>
  <c r="E1419" i="14" s="1"/>
  <c r="A1420" i="14"/>
  <c r="B1420" i="14"/>
  <c r="C1420" i="14" s="1"/>
  <c r="E1420" i="14" s="1"/>
  <c r="A1421" i="14"/>
  <c r="B1421" i="14"/>
  <c r="C1421" i="14" s="1"/>
  <c r="E1421" i="14" s="1"/>
  <c r="A1422" i="14"/>
  <c r="B1422" i="14"/>
  <c r="C1422" i="14" s="1"/>
  <c r="E1422" i="14" s="1"/>
  <c r="A1423" i="14"/>
  <c r="B1423" i="14"/>
  <c r="C1423" i="14" s="1"/>
  <c r="E1423" i="14" s="1"/>
  <c r="A1424" i="14"/>
  <c r="B1424" i="14"/>
  <c r="C1424" i="14" s="1"/>
  <c r="E1424" i="14" s="1"/>
  <c r="A1425" i="14"/>
  <c r="B1425" i="14"/>
  <c r="C1425" i="14" s="1"/>
  <c r="E1425" i="14" s="1"/>
  <c r="A1426" i="14"/>
  <c r="B1426" i="14"/>
  <c r="C1426" i="14" s="1"/>
  <c r="E1426" i="14" s="1"/>
  <c r="A1427" i="14"/>
  <c r="B1427" i="14"/>
  <c r="C1427" i="14" s="1"/>
  <c r="E1427" i="14" s="1"/>
  <c r="A1428" i="14"/>
  <c r="B1428" i="14"/>
  <c r="C1428" i="14" s="1"/>
  <c r="E1428" i="14" s="1"/>
  <c r="A1429" i="14"/>
  <c r="B1429" i="14"/>
  <c r="C1429" i="14" s="1"/>
  <c r="E1429" i="14" s="1"/>
  <c r="A1430" i="14"/>
  <c r="B1430" i="14"/>
  <c r="C1430" i="14" s="1"/>
  <c r="E1430" i="14" s="1"/>
  <c r="A1431" i="14"/>
  <c r="B1431" i="14"/>
  <c r="C1431" i="14" s="1"/>
  <c r="E1431" i="14" s="1"/>
  <c r="A1432" i="14"/>
  <c r="B1432" i="14"/>
  <c r="C1432" i="14" s="1"/>
  <c r="E1432" i="14" s="1"/>
  <c r="A1433" i="14"/>
  <c r="B1433" i="14"/>
  <c r="C1433" i="14" s="1"/>
  <c r="E1433" i="14" s="1"/>
  <c r="A1434" i="14"/>
  <c r="B1434" i="14"/>
  <c r="C1434" i="14" s="1"/>
  <c r="E1434" i="14" s="1"/>
  <c r="A1435" i="14"/>
  <c r="B1435" i="14"/>
  <c r="C1435" i="14" s="1"/>
  <c r="E1435" i="14" s="1"/>
  <c r="A1436" i="14"/>
  <c r="B1436" i="14"/>
  <c r="C1436" i="14" s="1"/>
  <c r="E1436" i="14" s="1"/>
  <c r="A1437" i="14"/>
  <c r="B1437" i="14"/>
  <c r="C1437" i="14" s="1"/>
  <c r="E1437" i="14" s="1"/>
  <c r="A1438" i="14"/>
  <c r="B1438" i="14"/>
  <c r="C1438" i="14" s="1"/>
  <c r="E1438" i="14" s="1"/>
  <c r="A1439" i="14"/>
  <c r="B1439" i="14"/>
  <c r="C1439" i="14" s="1"/>
  <c r="E1439" i="14" s="1"/>
  <c r="A1440" i="14"/>
  <c r="B1440" i="14"/>
  <c r="C1440" i="14" s="1"/>
  <c r="E1440" i="14" s="1"/>
  <c r="A1441" i="14"/>
  <c r="B1441" i="14"/>
  <c r="C1441" i="14" s="1"/>
  <c r="E1441" i="14" s="1"/>
  <c r="A1442" i="14"/>
  <c r="B1442" i="14"/>
  <c r="C1442" i="14" s="1"/>
  <c r="E1442" i="14" s="1"/>
  <c r="A1443" i="14"/>
  <c r="B1443" i="14"/>
  <c r="C1443" i="14" s="1"/>
  <c r="E1443" i="14" s="1"/>
  <c r="A1444" i="14"/>
  <c r="B1444" i="14"/>
  <c r="C1444" i="14" s="1"/>
  <c r="E1444" i="14" s="1"/>
  <c r="A1445" i="14"/>
  <c r="B1445" i="14"/>
  <c r="C1445" i="14" s="1"/>
  <c r="E1445" i="14" s="1"/>
  <c r="A1446" i="14"/>
  <c r="B1446" i="14"/>
  <c r="C1446" i="14" s="1"/>
  <c r="E1446" i="14" s="1"/>
  <c r="A1447" i="14"/>
  <c r="B1447" i="14"/>
  <c r="C1447" i="14" s="1"/>
  <c r="E1447" i="14" s="1"/>
  <c r="A1448" i="14"/>
  <c r="B1448" i="14"/>
  <c r="C1448" i="14" s="1"/>
  <c r="E1448" i="14" s="1"/>
  <c r="A1449" i="14"/>
  <c r="B1449" i="14"/>
  <c r="C1449" i="14" s="1"/>
  <c r="E1449" i="14" s="1"/>
  <c r="A1450" i="14"/>
  <c r="B1450" i="14"/>
  <c r="C1450" i="14" s="1"/>
  <c r="E1450" i="14" s="1"/>
  <c r="A1451" i="14"/>
  <c r="B1451" i="14"/>
  <c r="C1451" i="14" s="1"/>
  <c r="E1451" i="14" s="1"/>
  <c r="A1452" i="14"/>
  <c r="B1452" i="14"/>
  <c r="C1452" i="14" s="1"/>
  <c r="E1452" i="14" s="1"/>
  <c r="A1453" i="14"/>
  <c r="B1453" i="14"/>
  <c r="C1453" i="14" s="1"/>
  <c r="E1453" i="14" s="1"/>
  <c r="A1454" i="14"/>
  <c r="B1454" i="14"/>
  <c r="C1454" i="14" s="1"/>
  <c r="E1454" i="14" s="1"/>
  <c r="A1455" i="14"/>
  <c r="B1455" i="14"/>
  <c r="C1455" i="14" s="1"/>
  <c r="E1455" i="14" s="1"/>
  <c r="A1456" i="14"/>
  <c r="B1456" i="14"/>
  <c r="C1456" i="14" s="1"/>
  <c r="E1456" i="14" s="1"/>
  <c r="A1457" i="14"/>
  <c r="B1457" i="14"/>
  <c r="C1457" i="14" s="1"/>
  <c r="E1457" i="14" s="1"/>
  <c r="A1458" i="14"/>
  <c r="B1458" i="14"/>
  <c r="C1458" i="14" s="1"/>
  <c r="E1458" i="14" s="1"/>
  <c r="A1459" i="14"/>
  <c r="B1459" i="14"/>
  <c r="C1459" i="14" s="1"/>
  <c r="E1459" i="14" s="1"/>
  <c r="A1460" i="14"/>
  <c r="B1460" i="14"/>
  <c r="C1460" i="14" s="1"/>
  <c r="E1460" i="14" s="1"/>
  <c r="A1461" i="14"/>
  <c r="B1461" i="14"/>
  <c r="C1461" i="14" s="1"/>
  <c r="E1461" i="14" s="1"/>
  <c r="A1462" i="14"/>
  <c r="B1462" i="14"/>
  <c r="C1462" i="14" s="1"/>
  <c r="E1462" i="14" s="1"/>
  <c r="A1463" i="14"/>
  <c r="B1463" i="14"/>
  <c r="C1463" i="14" s="1"/>
  <c r="E1463" i="14" s="1"/>
  <c r="A1464" i="14"/>
  <c r="B1464" i="14"/>
  <c r="C1464" i="14" s="1"/>
  <c r="E1464" i="14" s="1"/>
  <c r="A1465" i="14"/>
  <c r="B1465" i="14"/>
  <c r="C1465" i="14" s="1"/>
  <c r="E1465" i="14" s="1"/>
  <c r="A1466" i="14"/>
  <c r="B1466" i="14"/>
  <c r="C1466" i="14" s="1"/>
  <c r="E1466" i="14" s="1"/>
  <c r="A1467" i="14"/>
  <c r="B1467" i="14"/>
  <c r="C1467" i="14" s="1"/>
  <c r="E1467" i="14" s="1"/>
  <c r="A1468" i="14"/>
  <c r="B1468" i="14"/>
  <c r="C1468" i="14" s="1"/>
  <c r="E1468" i="14" s="1"/>
  <c r="A1469" i="14"/>
  <c r="B1469" i="14"/>
  <c r="C1469" i="14" s="1"/>
  <c r="E1469" i="14" s="1"/>
  <c r="A1470" i="14"/>
  <c r="B1470" i="14"/>
  <c r="C1470" i="14" s="1"/>
  <c r="E1470" i="14" s="1"/>
  <c r="A1471" i="14"/>
  <c r="B1471" i="14"/>
  <c r="C1471" i="14" s="1"/>
  <c r="E1471" i="14" s="1"/>
  <c r="A1472" i="14"/>
  <c r="B1472" i="14"/>
  <c r="C1472" i="14" s="1"/>
  <c r="E1472" i="14" s="1"/>
  <c r="A1473" i="14"/>
  <c r="B1473" i="14"/>
  <c r="C1473" i="14" s="1"/>
  <c r="E1473" i="14" s="1"/>
  <c r="A1474" i="14"/>
  <c r="B1474" i="14"/>
  <c r="C1474" i="14" s="1"/>
  <c r="E1474" i="14" s="1"/>
  <c r="A1475" i="14"/>
  <c r="B1475" i="14"/>
  <c r="C1475" i="14" s="1"/>
  <c r="E1475" i="14" s="1"/>
  <c r="A1476" i="14"/>
  <c r="B1476" i="14"/>
  <c r="C1476" i="14" s="1"/>
  <c r="E1476" i="14" s="1"/>
  <c r="A1477" i="14"/>
  <c r="B1477" i="14"/>
  <c r="C1477" i="14" s="1"/>
  <c r="E1477" i="14" s="1"/>
  <c r="A1478" i="14"/>
  <c r="B1478" i="14"/>
  <c r="C1478" i="14" s="1"/>
  <c r="E1478" i="14" s="1"/>
  <c r="A1479" i="14"/>
  <c r="B1479" i="14"/>
  <c r="C1479" i="14" s="1"/>
  <c r="E1479" i="14" s="1"/>
  <c r="A1480" i="14"/>
  <c r="B1480" i="14"/>
  <c r="C1480" i="14" s="1"/>
  <c r="E1480" i="14" s="1"/>
  <c r="A1481" i="14"/>
  <c r="B1481" i="14"/>
  <c r="C1481" i="14" s="1"/>
  <c r="E1481" i="14" s="1"/>
  <c r="A1482" i="14"/>
  <c r="B1482" i="14"/>
  <c r="C1482" i="14" s="1"/>
  <c r="E1482" i="14" s="1"/>
  <c r="A1483" i="14"/>
  <c r="B1483" i="14"/>
  <c r="C1483" i="14" s="1"/>
  <c r="E1483" i="14" s="1"/>
  <c r="A1484" i="14"/>
  <c r="B1484" i="14"/>
  <c r="C1484" i="14" s="1"/>
  <c r="E1484" i="14" s="1"/>
  <c r="A1485" i="14"/>
  <c r="B1485" i="14"/>
  <c r="C1485" i="14" s="1"/>
  <c r="E1485" i="14" s="1"/>
  <c r="A1486" i="14"/>
  <c r="B1486" i="14"/>
  <c r="C1486" i="14" s="1"/>
  <c r="E1486" i="14" s="1"/>
  <c r="A1487" i="14"/>
  <c r="B1487" i="14"/>
  <c r="C1487" i="14" s="1"/>
  <c r="E1487" i="14" s="1"/>
  <c r="A1488" i="14"/>
  <c r="B1488" i="14"/>
  <c r="C1488" i="14" s="1"/>
  <c r="E1488" i="14" s="1"/>
  <c r="A1489" i="14"/>
  <c r="B1489" i="14"/>
  <c r="C1489" i="14" s="1"/>
  <c r="E1489" i="14" s="1"/>
  <c r="A1490" i="14"/>
  <c r="B1490" i="14"/>
  <c r="C1490" i="14" s="1"/>
  <c r="E1490" i="14" s="1"/>
  <c r="A1491" i="14"/>
  <c r="B1491" i="14"/>
  <c r="C1491" i="14" s="1"/>
  <c r="E1491" i="14" s="1"/>
  <c r="A1492" i="14"/>
  <c r="B1492" i="14"/>
  <c r="C1492" i="14" s="1"/>
  <c r="E1492" i="14" s="1"/>
  <c r="A1493" i="14"/>
  <c r="B1493" i="14"/>
  <c r="C1493" i="14" s="1"/>
  <c r="E1493" i="14" s="1"/>
  <c r="A1494" i="14"/>
  <c r="B1494" i="14"/>
  <c r="C1494" i="14" s="1"/>
  <c r="E1494" i="14" s="1"/>
  <c r="A1495" i="14"/>
  <c r="B1495" i="14"/>
  <c r="C1495" i="14" s="1"/>
  <c r="E1495" i="14" s="1"/>
  <c r="A1496" i="14"/>
  <c r="B1496" i="14"/>
  <c r="C1496" i="14" s="1"/>
  <c r="E1496" i="14" s="1"/>
  <c r="A1497" i="14"/>
  <c r="B1497" i="14"/>
  <c r="C1497" i="14" s="1"/>
  <c r="E1497" i="14" s="1"/>
  <c r="A1498" i="14"/>
  <c r="B1498" i="14"/>
  <c r="C1498" i="14" s="1"/>
  <c r="E1498" i="14" s="1"/>
  <c r="A1499" i="14"/>
  <c r="B1499" i="14"/>
  <c r="C1499" i="14" s="1"/>
  <c r="E1499" i="14" s="1"/>
  <c r="A1500" i="14"/>
  <c r="B1500" i="14"/>
  <c r="C1500" i="14" s="1"/>
  <c r="E1500" i="14" s="1"/>
  <c r="A1501" i="14"/>
  <c r="B1501" i="14"/>
  <c r="C1501" i="14" s="1"/>
  <c r="E1501" i="14" s="1"/>
  <c r="A1502" i="14"/>
  <c r="B1502" i="14"/>
  <c r="C1502" i="14" s="1"/>
  <c r="E1502" i="14" s="1"/>
  <c r="A1503" i="14"/>
  <c r="B1503" i="14"/>
  <c r="C1503" i="14" s="1"/>
  <c r="E1503" i="14" s="1"/>
  <c r="A1504" i="14"/>
  <c r="B1504" i="14"/>
  <c r="C1504" i="14" s="1"/>
  <c r="E1504" i="14" s="1"/>
  <c r="A1505" i="14"/>
  <c r="B1505" i="14"/>
  <c r="C1505" i="14" s="1"/>
  <c r="E1505" i="14" s="1"/>
  <c r="A1506" i="14"/>
  <c r="B1506" i="14"/>
  <c r="C1506" i="14" s="1"/>
  <c r="E1506" i="14" s="1"/>
  <c r="A1507" i="14"/>
  <c r="B1507" i="14"/>
  <c r="C1507" i="14" s="1"/>
  <c r="E1507" i="14" s="1"/>
  <c r="A1508" i="14"/>
  <c r="B1508" i="14"/>
  <c r="C1508" i="14" s="1"/>
  <c r="E1508" i="14" s="1"/>
  <c r="A1509" i="14"/>
  <c r="B1509" i="14"/>
  <c r="C1509" i="14" s="1"/>
  <c r="E1509" i="14" s="1"/>
  <c r="A1510" i="14"/>
  <c r="B1510" i="14"/>
  <c r="C1510" i="14" s="1"/>
  <c r="E1510" i="14" s="1"/>
  <c r="A1511" i="14"/>
  <c r="B1511" i="14"/>
  <c r="C1511" i="14" s="1"/>
  <c r="E1511" i="14" s="1"/>
  <c r="A1512" i="14"/>
  <c r="B1512" i="14"/>
  <c r="C1512" i="14" s="1"/>
  <c r="E1512" i="14" s="1"/>
  <c r="A1513" i="14"/>
  <c r="B1513" i="14"/>
  <c r="C1513" i="14" s="1"/>
  <c r="E1513" i="14" s="1"/>
  <c r="A1514" i="14"/>
  <c r="B1514" i="14"/>
  <c r="C1514" i="14" s="1"/>
  <c r="E1514" i="14" s="1"/>
  <c r="A1515" i="14"/>
  <c r="B1515" i="14"/>
  <c r="C1515" i="14" s="1"/>
  <c r="E1515" i="14" s="1"/>
  <c r="A1516" i="14"/>
  <c r="B1516" i="14"/>
  <c r="C1516" i="14" s="1"/>
  <c r="E1516" i="14" s="1"/>
  <c r="A1517" i="14"/>
  <c r="B1517" i="14"/>
  <c r="C1517" i="14" s="1"/>
  <c r="E1517" i="14" s="1"/>
  <c r="A1518" i="14"/>
  <c r="B1518" i="14"/>
  <c r="C1518" i="14" s="1"/>
  <c r="E1518" i="14" s="1"/>
  <c r="A1519" i="14"/>
  <c r="B1519" i="14"/>
  <c r="C1519" i="14" s="1"/>
  <c r="E1519" i="14" s="1"/>
  <c r="A1520" i="14"/>
  <c r="B1520" i="14"/>
  <c r="C1520" i="14" s="1"/>
  <c r="E1520" i="14" s="1"/>
  <c r="A1521" i="14"/>
  <c r="B1521" i="14"/>
  <c r="C1521" i="14" s="1"/>
  <c r="E1521" i="14" s="1"/>
  <c r="A1522" i="14"/>
  <c r="B1522" i="14"/>
  <c r="C1522" i="14" s="1"/>
  <c r="E1522" i="14" s="1"/>
  <c r="A1523" i="14"/>
  <c r="B1523" i="14"/>
  <c r="C1523" i="14" s="1"/>
  <c r="E1523" i="14" s="1"/>
  <c r="A1524" i="14"/>
  <c r="B1524" i="14"/>
  <c r="C1524" i="14" s="1"/>
  <c r="E1524" i="14" s="1"/>
  <c r="A1525" i="14"/>
  <c r="B1525" i="14"/>
  <c r="C1525" i="14" s="1"/>
  <c r="E1525" i="14" s="1"/>
  <c r="A1526" i="14"/>
  <c r="B1526" i="14"/>
  <c r="C1526" i="14" s="1"/>
  <c r="E1526" i="14" s="1"/>
  <c r="A1527" i="14"/>
  <c r="B1527" i="14"/>
  <c r="C1527" i="14" s="1"/>
  <c r="E1527" i="14" s="1"/>
  <c r="A1528" i="14"/>
  <c r="B1528" i="14"/>
  <c r="C1528" i="14" s="1"/>
  <c r="E1528" i="14" s="1"/>
  <c r="A1529" i="14"/>
  <c r="B1529" i="14"/>
  <c r="C1529" i="14" s="1"/>
  <c r="E1529" i="14" s="1"/>
  <c r="A1530" i="14"/>
  <c r="B1530" i="14"/>
  <c r="C1530" i="14" s="1"/>
  <c r="E1530" i="14" s="1"/>
  <c r="A1531" i="14"/>
  <c r="B1531" i="14"/>
  <c r="C1531" i="14" s="1"/>
  <c r="E1531" i="14" s="1"/>
  <c r="A1532" i="14"/>
  <c r="B1532" i="14"/>
  <c r="C1532" i="14" s="1"/>
  <c r="E1532" i="14" s="1"/>
  <c r="A1533" i="14"/>
  <c r="B1533" i="14"/>
  <c r="C1533" i="14" s="1"/>
  <c r="E1533" i="14" s="1"/>
  <c r="A1534" i="14"/>
  <c r="B1534" i="14"/>
  <c r="C1534" i="14" s="1"/>
  <c r="E1534" i="14" s="1"/>
  <c r="A1535" i="14"/>
  <c r="B1535" i="14"/>
  <c r="C1535" i="14" s="1"/>
  <c r="E1535" i="14" s="1"/>
  <c r="A1536" i="14"/>
  <c r="B1536" i="14"/>
  <c r="C1536" i="14" s="1"/>
  <c r="E1536" i="14" s="1"/>
  <c r="A1537" i="14"/>
  <c r="B1537" i="14"/>
  <c r="C1537" i="14" s="1"/>
  <c r="E1537" i="14" s="1"/>
  <c r="A1538" i="14"/>
  <c r="B1538" i="14"/>
  <c r="C1538" i="14" s="1"/>
  <c r="E1538" i="14" s="1"/>
  <c r="A1539" i="14"/>
  <c r="B1539" i="14"/>
  <c r="C1539" i="14" s="1"/>
  <c r="E1539" i="14" s="1"/>
  <c r="A1540" i="14"/>
  <c r="B1540" i="14"/>
  <c r="C1540" i="14" s="1"/>
  <c r="E1540" i="14" s="1"/>
  <c r="A1541" i="14"/>
  <c r="B1541" i="14"/>
  <c r="C1541" i="14" s="1"/>
  <c r="E1541" i="14" s="1"/>
  <c r="A1542" i="14"/>
  <c r="B1542" i="14"/>
  <c r="C1542" i="14" s="1"/>
  <c r="E1542" i="14" s="1"/>
  <c r="A1543" i="14"/>
  <c r="B1543" i="14"/>
  <c r="C1543" i="14" s="1"/>
  <c r="E1543" i="14" s="1"/>
  <c r="A1544" i="14"/>
  <c r="B1544" i="14"/>
  <c r="C1544" i="14" s="1"/>
  <c r="E1544" i="14" s="1"/>
  <c r="A1545" i="14"/>
  <c r="B1545" i="14"/>
  <c r="C1545" i="14" s="1"/>
  <c r="E1545" i="14" s="1"/>
  <c r="A1546" i="14"/>
  <c r="B1546" i="14"/>
  <c r="C1546" i="14" s="1"/>
  <c r="E1546" i="14" s="1"/>
  <c r="A1547" i="14"/>
  <c r="B1547" i="14"/>
  <c r="C1547" i="14" s="1"/>
  <c r="E1547" i="14" s="1"/>
  <c r="A1548" i="14"/>
  <c r="B1548" i="14"/>
  <c r="C1548" i="14" s="1"/>
  <c r="E1548" i="14" s="1"/>
  <c r="A1549" i="14"/>
  <c r="B1549" i="14"/>
  <c r="C1549" i="14" s="1"/>
  <c r="E1549" i="14" s="1"/>
  <c r="A1550" i="14"/>
  <c r="B1550" i="14"/>
  <c r="C1550" i="14" s="1"/>
  <c r="E1550" i="14" s="1"/>
  <c r="A1551" i="14"/>
  <c r="B1551" i="14"/>
  <c r="C1551" i="14" s="1"/>
  <c r="E1551" i="14" s="1"/>
  <c r="A1552" i="14"/>
  <c r="B1552" i="14"/>
  <c r="C1552" i="14" s="1"/>
  <c r="E1552" i="14" s="1"/>
  <c r="A1553" i="14"/>
  <c r="B1553" i="14"/>
  <c r="C1553" i="14" s="1"/>
  <c r="E1553" i="14" s="1"/>
  <c r="A1554" i="14"/>
  <c r="B1554" i="14"/>
  <c r="C1554" i="14" s="1"/>
  <c r="E1554" i="14" s="1"/>
  <c r="A1555" i="14"/>
  <c r="B1555" i="14"/>
  <c r="C1555" i="14" s="1"/>
  <c r="E1555" i="14" s="1"/>
  <c r="A1556" i="14"/>
  <c r="B1556" i="14"/>
  <c r="C1556" i="14" s="1"/>
  <c r="E1556" i="14" s="1"/>
  <c r="A1557" i="14"/>
  <c r="B1557" i="14"/>
  <c r="C1557" i="14" s="1"/>
  <c r="E1557" i="14" s="1"/>
  <c r="A1558" i="14"/>
  <c r="B1558" i="14"/>
  <c r="C1558" i="14" s="1"/>
  <c r="E1558" i="14" s="1"/>
  <c r="A1559" i="14"/>
  <c r="B1559" i="14"/>
  <c r="C1559" i="14" s="1"/>
  <c r="E1559" i="14" s="1"/>
  <c r="A1560" i="14"/>
  <c r="B1560" i="14"/>
  <c r="C1560" i="14" s="1"/>
  <c r="E1560" i="14" s="1"/>
  <c r="A1561" i="14"/>
  <c r="B1561" i="14"/>
  <c r="C1561" i="14" s="1"/>
  <c r="E1561" i="14" s="1"/>
  <c r="A1562" i="14"/>
  <c r="B1562" i="14"/>
  <c r="C1562" i="14" s="1"/>
  <c r="E1562" i="14" s="1"/>
  <c r="A1563" i="14"/>
  <c r="B1563" i="14"/>
  <c r="C1563" i="14" s="1"/>
  <c r="E1563" i="14" s="1"/>
  <c r="A1564" i="14"/>
  <c r="B1564" i="14"/>
  <c r="C1564" i="14" s="1"/>
  <c r="E1564" i="14" s="1"/>
  <c r="A1565" i="14"/>
  <c r="B1565" i="14"/>
  <c r="C1565" i="14" s="1"/>
  <c r="E1565" i="14" s="1"/>
  <c r="A1566" i="14"/>
  <c r="B1566" i="14"/>
  <c r="C1566" i="14" s="1"/>
  <c r="E1566" i="14" s="1"/>
  <c r="A1567" i="14"/>
  <c r="B1567" i="14"/>
  <c r="C1567" i="14" s="1"/>
  <c r="E1567" i="14" s="1"/>
  <c r="A1568" i="14"/>
  <c r="B1568" i="14"/>
  <c r="C1568" i="14" s="1"/>
  <c r="E1568" i="14" s="1"/>
  <c r="A1569" i="14"/>
  <c r="B1569" i="14"/>
  <c r="C1569" i="14" s="1"/>
  <c r="E1569" i="14" s="1"/>
  <c r="A1570" i="14"/>
  <c r="B1570" i="14"/>
  <c r="C1570" i="14" s="1"/>
  <c r="E1570" i="14" s="1"/>
  <c r="A1571" i="14"/>
  <c r="B1571" i="14"/>
  <c r="C1571" i="14" s="1"/>
  <c r="E1571" i="14" s="1"/>
  <c r="A1572" i="14"/>
  <c r="B1572" i="14"/>
  <c r="C1572" i="14" s="1"/>
  <c r="E1572" i="14" s="1"/>
  <c r="A1573" i="14"/>
  <c r="B1573" i="14"/>
  <c r="C1573" i="14" s="1"/>
  <c r="E1573" i="14" s="1"/>
  <c r="A1574" i="14"/>
  <c r="B1574" i="14"/>
  <c r="C1574" i="14" s="1"/>
  <c r="E1574" i="14" s="1"/>
  <c r="A1575" i="14"/>
  <c r="B1575" i="14"/>
  <c r="C1575" i="14" s="1"/>
  <c r="E1575" i="14" s="1"/>
  <c r="A1576" i="14"/>
  <c r="B1576" i="14"/>
  <c r="C1576" i="14" s="1"/>
  <c r="E1576" i="14" s="1"/>
  <c r="A1577" i="14"/>
  <c r="B1577" i="14"/>
  <c r="C1577" i="14" s="1"/>
  <c r="E1577" i="14" s="1"/>
  <c r="A1578" i="14"/>
  <c r="B1578" i="14"/>
  <c r="C1578" i="14" s="1"/>
  <c r="E1578" i="14" s="1"/>
  <c r="A1579" i="14"/>
  <c r="B1579" i="14"/>
  <c r="C1579" i="14" s="1"/>
  <c r="E1579" i="14" s="1"/>
  <c r="A1580" i="14"/>
  <c r="B1580" i="14"/>
  <c r="C1580" i="14" s="1"/>
  <c r="E1580" i="14" s="1"/>
  <c r="A1581" i="14"/>
  <c r="B1581" i="14"/>
  <c r="C1581" i="14" s="1"/>
  <c r="E1581" i="14" s="1"/>
  <c r="A1582" i="14"/>
  <c r="B1582" i="14"/>
  <c r="C1582" i="14" s="1"/>
  <c r="E1582" i="14" s="1"/>
  <c r="A1583" i="14"/>
  <c r="B1583" i="14"/>
  <c r="C1583" i="14" s="1"/>
  <c r="E1583" i="14" s="1"/>
  <c r="A1584" i="14"/>
  <c r="B1584" i="14"/>
  <c r="C1584" i="14" s="1"/>
  <c r="E1584" i="14" s="1"/>
  <c r="A1585" i="14"/>
  <c r="B1585" i="14"/>
  <c r="C1585" i="14" s="1"/>
  <c r="E1585" i="14" s="1"/>
  <c r="A1586" i="14"/>
  <c r="B1586" i="14"/>
  <c r="C1586" i="14" s="1"/>
  <c r="E1586" i="14" s="1"/>
  <c r="A1587" i="14"/>
  <c r="B1587" i="14"/>
  <c r="C1587" i="14" s="1"/>
  <c r="E1587" i="14" s="1"/>
  <c r="A1588" i="14"/>
  <c r="B1588" i="14"/>
  <c r="C1588" i="14" s="1"/>
  <c r="E1588" i="14" s="1"/>
  <c r="A1589" i="14"/>
  <c r="B1589" i="14"/>
  <c r="C1589" i="14" s="1"/>
  <c r="E1589" i="14" s="1"/>
  <c r="A1590" i="14"/>
  <c r="B1590" i="14"/>
  <c r="C1590" i="14" s="1"/>
  <c r="E1590" i="14" s="1"/>
  <c r="A1591" i="14"/>
  <c r="B1591" i="14"/>
  <c r="C1591" i="14" s="1"/>
  <c r="E1591" i="14" s="1"/>
  <c r="A1592" i="14"/>
  <c r="B1592" i="14"/>
  <c r="C1592" i="14" s="1"/>
  <c r="E1592" i="14" s="1"/>
  <c r="A1593" i="14"/>
  <c r="B1593" i="14"/>
  <c r="C1593" i="14" s="1"/>
  <c r="E1593" i="14" s="1"/>
  <c r="A1594" i="14"/>
  <c r="B1594" i="14"/>
  <c r="C1594" i="14" s="1"/>
  <c r="E1594" i="14" s="1"/>
  <c r="A1595" i="14"/>
  <c r="B1595" i="14"/>
  <c r="C1595" i="14" s="1"/>
  <c r="E1595" i="14" s="1"/>
  <c r="A1596" i="14"/>
  <c r="B1596" i="14"/>
  <c r="C1596" i="14" s="1"/>
  <c r="E1596" i="14" s="1"/>
  <c r="A1597" i="14"/>
  <c r="B1597" i="14"/>
  <c r="C1597" i="14" s="1"/>
  <c r="E1597" i="14" s="1"/>
  <c r="A1598" i="14"/>
  <c r="B1598" i="14"/>
  <c r="C1598" i="14" s="1"/>
  <c r="E1598" i="14" s="1"/>
  <c r="A1599" i="14"/>
  <c r="B1599" i="14"/>
  <c r="C1599" i="14" s="1"/>
  <c r="E1599" i="14" s="1"/>
  <c r="A1600" i="14"/>
  <c r="B1600" i="14"/>
  <c r="C1600" i="14" s="1"/>
  <c r="E1600" i="14" s="1"/>
  <c r="A1601" i="14"/>
  <c r="B1601" i="14"/>
  <c r="C1601" i="14" s="1"/>
  <c r="E1601" i="14" s="1"/>
  <c r="A1602" i="14"/>
  <c r="B1602" i="14"/>
  <c r="C1602" i="14" s="1"/>
  <c r="E1602" i="14" s="1"/>
  <c r="A1603" i="14"/>
  <c r="B1603" i="14"/>
  <c r="C1603" i="14" s="1"/>
  <c r="E1603" i="14" s="1"/>
  <c r="A1604" i="14"/>
  <c r="B1604" i="14"/>
  <c r="C1604" i="14" s="1"/>
  <c r="E1604" i="14" s="1"/>
  <c r="A1605" i="14"/>
  <c r="B1605" i="14"/>
  <c r="C1605" i="14" s="1"/>
  <c r="E1605" i="14" s="1"/>
  <c r="A1606" i="14"/>
  <c r="B1606" i="14"/>
  <c r="C1606" i="14" s="1"/>
  <c r="E1606" i="14" s="1"/>
  <c r="A1607" i="14"/>
  <c r="B1607" i="14"/>
  <c r="C1607" i="14" s="1"/>
  <c r="E1607" i="14" s="1"/>
  <c r="A1608" i="14"/>
  <c r="B1608" i="14"/>
  <c r="C1608" i="14" s="1"/>
  <c r="E1608" i="14" s="1"/>
  <c r="A1609" i="14"/>
  <c r="B1609" i="14"/>
  <c r="C1609" i="14" s="1"/>
  <c r="E1609" i="14" s="1"/>
  <c r="A1610" i="14"/>
  <c r="B1610" i="14"/>
  <c r="C1610" i="14" s="1"/>
  <c r="E1610" i="14" s="1"/>
  <c r="A1611" i="14"/>
  <c r="B1611" i="14"/>
  <c r="C1611" i="14" s="1"/>
  <c r="E1611" i="14" s="1"/>
  <c r="A1612" i="14"/>
  <c r="B1612" i="14"/>
  <c r="C1612" i="14" s="1"/>
  <c r="E1612" i="14" s="1"/>
  <c r="A1613" i="14"/>
  <c r="B1613" i="14"/>
  <c r="C1613" i="14" s="1"/>
  <c r="E1613" i="14" s="1"/>
  <c r="A1614" i="14"/>
  <c r="B1614" i="14"/>
  <c r="C1614" i="14" s="1"/>
  <c r="E1614" i="14" s="1"/>
  <c r="A1615" i="14"/>
  <c r="B1615" i="14"/>
  <c r="C1615" i="14" s="1"/>
  <c r="E1615" i="14" s="1"/>
  <c r="A1616" i="14"/>
  <c r="B1616" i="14"/>
  <c r="C1616" i="14" s="1"/>
  <c r="E1616" i="14" s="1"/>
  <c r="A1617" i="14"/>
  <c r="B1617" i="14"/>
  <c r="C1617" i="14" s="1"/>
  <c r="E1617" i="14" s="1"/>
  <c r="A1618" i="14"/>
  <c r="B1618" i="14"/>
  <c r="C1618" i="14" s="1"/>
  <c r="E1618" i="14" s="1"/>
  <c r="A1619" i="14"/>
  <c r="B1619" i="14"/>
  <c r="C1619" i="14" s="1"/>
  <c r="E1619" i="14" s="1"/>
  <c r="A1620" i="14"/>
  <c r="B1620" i="14"/>
  <c r="C1620" i="14" s="1"/>
  <c r="E1620" i="14" s="1"/>
  <c r="A1621" i="14"/>
  <c r="B1621" i="14"/>
  <c r="C1621" i="14" s="1"/>
  <c r="E1621" i="14" s="1"/>
  <c r="A1622" i="14"/>
  <c r="B1622" i="14"/>
  <c r="C1622" i="14" s="1"/>
  <c r="E1622" i="14" s="1"/>
  <c r="A1623" i="14"/>
  <c r="B1623" i="14"/>
  <c r="C1623" i="14" s="1"/>
  <c r="E1623" i="14" s="1"/>
  <c r="A1624" i="14"/>
  <c r="B1624" i="14"/>
  <c r="C1624" i="14" s="1"/>
  <c r="E1624" i="14" s="1"/>
  <c r="A1625" i="14"/>
  <c r="B1625" i="14"/>
  <c r="C1625" i="14" s="1"/>
  <c r="E1625" i="14" s="1"/>
  <c r="A1626" i="14"/>
  <c r="B1626" i="14"/>
  <c r="C1626" i="14" s="1"/>
  <c r="E1626" i="14" s="1"/>
  <c r="A1627" i="14"/>
  <c r="B1627" i="14"/>
  <c r="C1627" i="14" s="1"/>
  <c r="E1627" i="14" s="1"/>
  <c r="A1628" i="14"/>
  <c r="B1628" i="14"/>
  <c r="C1628" i="14" s="1"/>
  <c r="E1628" i="14" s="1"/>
  <c r="A1629" i="14"/>
  <c r="B1629" i="14"/>
  <c r="C1629" i="14" s="1"/>
  <c r="E1629" i="14" s="1"/>
  <c r="A1630" i="14"/>
  <c r="B1630" i="14"/>
  <c r="C1630" i="14" s="1"/>
  <c r="E1630" i="14" s="1"/>
  <c r="A1631" i="14"/>
  <c r="B1631" i="14"/>
  <c r="C1631" i="14" s="1"/>
  <c r="E1631" i="14" s="1"/>
  <c r="A1632" i="14"/>
  <c r="B1632" i="14"/>
  <c r="C1632" i="14" s="1"/>
  <c r="E1632" i="14" s="1"/>
  <c r="A1633" i="14"/>
  <c r="B1633" i="14"/>
  <c r="C1633" i="14" s="1"/>
  <c r="E1633" i="14" s="1"/>
  <c r="A1634" i="14"/>
  <c r="B1634" i="14"/>
  <c r="C1634" i="14" s="1"/>
  <c r="E1634" i="14" s="1"/>
  <c r="A1635" i="14"/>
  <c r="B1635" i="14"/>
  <c r="C1635" i="14" s="1"/>
  <c r="E1635" i="14" s="1"/>
  <c r="A1636" i="14"/>
  <c r="B1636" i="14"/>
  <c r="C1636" i="14" s="1"/>
  <c r="E1636" i="14" s="1"/>
  <c r="A1637" i="14"/>
  <c r="B1637" i="14"/>
  <c r="C1637" i="14" s="1"/>
  <c r="E1637" i="14" s="1"/>
  <c r="A1638" i="14"/>
  <c r="B1638" i="14"/>
  <c r="C1638" i="14" s="1"/>
  <c r="E1638" i="14" s="1"/>
  <c r="A1639" i="14"/>
  <c r="B1639" i="14"/>
  <c r="C1639" i="14" s="1"/>
  <c r="E1639" i="14" s="1"/>
  <c r="A1640" i="14"/>
  <c r="B1640" i="14"/>
  <c r="C1640" i="14" s="1"/>
  <c r="E1640" i="14" s="1"/>
  <c r="A1641" i="14"/>
  <c r="B1641" i="14"/>
  <c r="C1641" i="14" s="1"/>
  <c r="E1641" i="14" s="1"/>
  <c r="A1642" i="14"/>
  <c r="B1642" i="14"/>
  <c r="C1642" i="14" s="1"/>
  <c r="E1642" i="14" s="1"/>
  <c r="A1643" i="14"/>
  <c r="B1643" i="14"/>
  <c r="C1643" i="14" s="1"/>
  <c r="E1643" i="14" s="1"/>
  <c r="A1644" i="14"/>
  <c r="B1644" i="14"/>
  <c r="C1644" i="14" s="1"/>
  <c r="E1644" i="14" s="1"/>
  <c r="A1645" i="14"/>
  <c r="B1645" i="14"/>
  <c r="C1645" i="14" s="1"/>
  <c r="E1645" i="14" s="1"/>
  <c r="A1646" i="14"/>
  <c r="B1646" i="14"/>
  <c r="C1646" i="14" s="1"/>
  <c r="E1646" i="14" s="1"/>
  <c r="A1647" i="14"/>
  <c r="B1647" i="14"/>
  <c r="C1647" i="14" s="1"/>
  <c r="E1647" i="14" s="1"/>
  <c r="A1648" i="14"/>
  <c r="B1648" i="14"/>
  <c r="C1648" i="14" s="1"/>
  <c r="E1648" i="14" s="1"/>
  <c r="A1649" i="14"/>
  <c r="B1649" i="14"/>
  <c r="C1649" i="14" s="1"/>
  <c r="E1649" i="14" s="1"/>
  <c r="A1650" i="14"/>
  <c r="B1650" i="14"/>
  <c r="C1650" i="14" s="1"/>
  <c r="E1650" i="14" s="1"/>
  <c r="A1651" i="14"/>
  <c r="B1651" i="14"/>
  <c r="C1651" i="14" s="1"/>
  <c r="E1651" i="14" s="1"/>
  <c r="A1652" i="14"/>
  <c r="B1652" i="14"/>
  <c r="C1652" i="14" s="1"/>
  <c r="E1652" i="14" s="1"/>
  <c r="A1653" i="14"/>
  <c r="B1653" i="14"/>
  <c r="C1653" i="14" s="1"/>
  <c r="E1653" i="14" s="1"/>
  <c r="A1654" i="14"/>
  <c r="B1654" i="14"/>
  <c r="C1654" i="14" s="1"/>
  <c r="E1654" i="14" s="1"/>
  <c r="A1655" i="14"/>
  <c r="B1655" i="14"/>
  <c r="C1655" i="14" s="1"/>
  <c r="E1655" i="14" s="1"/>
  <c r="A1656" i="14"/>
  <c r="B1656" i="14"/>
  <c r="C1656" i="14" s="1"/>
  <c r="E1656" i="14" s="1"/>
  <c r="A1657" i="14"/>
  <c r="B1657" i="14"/>
  <c r="C1657" i="14" s="1"/>
  <c r="E1657" i="14" s="1"/>
  <c r="A1658" i="14"/>
  <c r="B1658" i="14"/>
  <c r="C1658" i="14" s="1"/>
  <c r="E1658" i="14" s="1"/>
  <c r="A1659" i="14"/>
  <c r="B1659" i="14"/>
  <c r="C1659" i="14" s="1"/>
  <c r="E1659" i="14" s="1"/>
  <c r="A1660" i="14"/>
  <c r="B1660" i="14"/>
  <c r="C1660" i="14" s="1"/>
  <c r="E1660" i="14" s="1"/>
  <c r="A1661" i="14"/>
  <c r="B1661" i="14"/>
  <c r="C1661" i="14" s="1"/>
  <c r="E1661" i="14" s="1"/>
  <c r="A1662" i="14"/>
  <c r="B1662" i="14"/>
  <c r="C1662" i="14" s="1"/>
  <c r="E1662" i="14" s="1"/>
  <c r="A1663" i="14"/>
  <c r="B1663" i="14"/>
  <c r="C1663" i="14" s="1"/>
  <c r="E1663" i="14" s="1"/>
  <c r="A1664" i="14"/>
  <c r="B1664" i="14"/>
  <c r="C1664" i="14" s="1"/>
  <c r="E1664" i="14" s="1"/>
  <c r="A1665" i="14"/>
  <c r="B1665" i="14"/>
  <c r="C1665" i="14" s="1"/>
  <c r="E1665" i="14" s="1"/>
  <c r="A1666" i="14"/>
  <c r="B1666" i="14"/>
  <c r="C1666" i="14" s="1"/>
  <c r="E1666" i="14" s="1"/>
  <c r="A1667" i="14"/>
  <c r="B1667" i="14"/>
  <c r="C1667" i="14" s="1"/>
  <c r="E1667" i="14" s="1"/>
  <c r="A1668" i="14"/>
  <c r="B1668" i="14"/>
  <c r="C1668" i="14" s="1"/>
  <c r="E1668" i="14" s="1"/>
  <c r="A1669" i="14"/>
  <c r="B1669" i="14"/>
  <c r="C1669" i="14" s="1"/>
  <c r="E1669" i="14" s="1"/>
  <c r="A1670" i="14"/>
  <c r="B1670" i="14"/>
  <c r="C1670" i="14" s="1"/>
  <c r="E1670" i="14" s="1"/>
  <c r="A1671" i="14"/>
  <c r="B1671" i="14"/>
  <c r="C1671" i="14" s="1"/>
  <c r="E1671" i="14" s="1"/>
  <c r="A1672" i="14"/>
  <c r="B1672" i="14"/>
  <c r="C1672" i="14" s="1"/>
  <c r="E1672" i="14" s="1"/>
  <c r="A1673" i="14"/>
  <c r="B1673" i="14"/>
  <c r="C1673" i="14" s="1"/>
  <c r="E1673" i="14" s="1"/>
  <c r="A1674" i="14"/>
  <c r="B1674" i="14"/>
  <c r="C1674" i="14" s="1"/>
  <c r="E1674" i="14" s="1"/>
  <c r="A1675" i="14"/>
  <c r="B1675" i="14"/>
  <c r="C1675" i="14" s="1"/>
  <c r="E1675" i="14" s="1"/>
  <c r="A1676" i="14"/>
  <c r="B1676" i="14"/>
  <c r="C1676" i="14" s="1"/>
  <c r="E1676" i="14" s="1"/>
  <c r="A1677" i="14"/>
  <c r="B1677" i="14"/>
  <c r="C1677" i="14" s="1"/>
  <c r="E1677" i="14" s="1"/>
  <c r="A1678" i="14"/>
  <c r="B1678" i="14"/>
  <c r="C1678" i="14" s="1"/>
  <c r="E1678" i="14" s="1"/>
  <c r="A1679" i="14"/>
  <c r="B1679" i="14"/>
  <c r="C1679" i="14" s="1"/>
  <c r="E1679" i="14" s="1"/>
  <c r="A1680" i="14"/>
  <c r="B1680" i="14"/>
  <c r="C1680" i="14" s="1"/>
  <c r="E1680" i="14" s="1"/>
  <c r="A1681" i="14"/>
  <c r="B1681" i="14"/>
  <c r="C1681" i="14" s="1"/>
  <c r="E1681" i="14" s="1"/>
  <c r="A1682" i="14"/>
  <c r="B1682" i="14"/>
  <c r="C1682" i="14" s="1"/>
  <c r="E1682" i="14" s="1"/>
  <c r="A1683" i="14"/>
  <c r="B1683" i="14"/>
  <c r="C1683" i="14" s="1"/>
  <c r="E1683" i="14" s="1"/>
  <c r="A1684" i="14"/>
  <c r="B1684" i="14"/>
  <c r="C1684" i="14" s="1"/>
  <c r="E1684" i="14" s="1"/>
  <c r="A1685" i="14"/>
  <c r="B1685" i="14"/>
  <c r="C1685" i="14" s="1"/>
  <c r="E1685" i="14" s="1"/>
  <c r="A1686" i="14"/>
  <c r="B1686" i="14"/>
  <c r="C1686" i="14" s="1"/>
  <c r="E1686" i="14" s="1"/>
  <c r="A1687" i="14"/>
  <c r="B1687" i="14"/>
  <c r="C1687" i="14" s="1"/>
  <c r="E1687" i="14" s="1"/>
  <c r="A1688" i="14"/>
  <c r="B1688" i="14"/>
  <c r="C1688" i="14" s="1"/>
  <c r="E1688" i="14" s="1"/>
  <c r="A1689" i="14"/>
  <c r="B1689" i="14"/>
  <c r="C1689" i="14" s="1"/>
  <c r="E1689" i="14" s="1"/>
  <c r="A1690" i="14"/>
  <c r="B1690" i="14"/>
  <c r="C1690" i="14" s="1"/>
  <c r="E1690" i="14" s="1"/>
  <c r="A1691" i="14"/>
  <c r="B1691" i="14"/>
  <c r="C1691" i="14" s="1"/>
  <c r="E1691" i="14" s="1"/>
  <c r="A1692" i="14"/>
  <c r="B1692" i="14"/>
  <c r="C1692" i="14" s="1"/>
  <c r="E1692" i="14" s="1"/>
  <c r="A1693" i="14"/>
  <c r="B1693" i="14"/>
  <c r="C1693" i="14" s="1"/>
  <c r="E1693" i="14" s="1"/>
  <c r="A1694" i="14"/>
  <c r="B1694" i="14"/>
  <c r="C1694" i="14" s="1"/>
  <c r="E1694" i="14" s="1"/>
  <c r="A1695" i="14"/>
  <c r="B1695" i="14"/>
  <c r="C1695" i="14" s="1"/>
  <c r="E1695" i="14" s="1"/>
  <c r="A1696" i="14"/>
  <c r="B1696" i="14"/>
  <c r="C1696" i="14" s="1"/>
  <c r="E1696" i="14" s="1"/>
  <c r="A1697" i="14"/>
  <c r="B1697" i="14"/>
  <c r="C1697" i="14" s="1"/>
  <c r="E1697" i="14" s="1"/>
  <c r="A1698" i="14"/>
  <c r="B1698" i="14"/>
  <c r="C1698" i="14" s="1"/>
  <c r="E1698" i="14" s="1"/>
  <c r="A1699" i="14"/>
  <c r="B1699" i="14"/>
  <c r="C1699" i="14" s="1"/>
  <c r="E1699" i="14" s="1"/>
  <c r="A1700" i="14"/>
  <c r="B1700" i="14"/>
  <c r="C1700" i="14" s="1"/>
  <c r="E1700" i="14" s="1"/>
  <c r="A1701" i="14"/>
  <c r="B1701" i="14"/>
  <c r="C1701" i="14" s="1"/>
  <c r="E1701" i="14" s="1"/>
  <c r="A1702" i="14"/>
  <c r="B1702" i="14"/>
  <c r="C1702" i="14" s="1"/>
  <c r="E1702" i="14" s="1"/>
  <c r="A1703" i="14"/>
  <c r="B1703" i="14"/>
  <c r="C1703" i="14" s="1"/>
  <c r="E1703" i="14" s="1"/>
  <c r="A1704" i="14"/>
  <c r="B1704" i="14"/>
  <c r="C1704" i="14" s="1"/>
  <c r="E1704" i="14" s="1"/>
  <c r="A1705" i="14"/>
  <c r="B1705" i="14"/>
  <c r="C1705" i="14" s="1"/>
  <c r="E1705" i="14" s="1"/>
  <c r="A1706" i="14"/>
  <c r="B1706" i="14"/>
  <c r="C1706" i="14" s="1"/>
  <c r="E1706" i="14" s="1"/>
  <c r="A1707" i="14"/>
  <c r="B1707" i="14"/>
  <c r="C1707" i="14" s="1"/>
  <c r="E1707" i="14" s="1"/>
  <c r="A1708" i="14"/>
  <c r="B1708" i="14"/>
  <c r="C1708" i="14" s="1"/>
  <c r="E1708" i="14" s="1"/>
  <c r="A1709" i="14"/>
  <c r="B1709" i="14"/>
  <c r="C1709" i="14" s="1"/>
  <c r="E1709" i="14" s="1"/>
  <c r="A1710" i="14"/>
  <c r="B1710" i="14"/>
  <c r="C1710" i="14" s="1"/>
  <c r="E1710" i="14" s="1"/>
  <c r="A1711" i="14"/>
  <c r="B1711" i="14"/>
  <c r="C1711" i="14" s="1"/>
  <c r="E1711" i="14" s="1"/>
  <c r="A1712" i="14"/>
  <c r="B1712" i="14"/>
  <c r="C1712" i="14" s="1"/>
  <c r="E1712" i="14" s="1"/>
  <c r="A1713" i="14"/>
  <c r="B1713" i="14"/>
  <c r="C1713" i="14" s="1"/>
  <c r="E1713" i="14" s="1"/>
  <c r="A1714" i="14"/>
  <c r="B1714" i="14"/>
  <c r="C1714" i="14" s="1"/>
  <c r="E1714" i="14" s="1"/>
  <c r="A1715" i="14"/>
  <c r="B1715" i="14"/>
  <c r="C1715" i="14" s="1"/>
  <c r="E1715" i="14" s="1"/>
  <c r="A1716" i="14"/>
  <c r="B1716" i="14"/>
  <c r="C1716" i="14" s="1"/>
  <c r="E1716" i="14" s="1"/>
  <c r="A1717" i="14"/>
  <c r="B1717" i="14"/>
  <c r="C1717" i="14" s="1"/>
  <c r="E1717" i="14" s="1"/>
  <c r="A1718" i="14"/>
  <c r="B1718" i="14"/>
  <c r="C1718" i="14" s="1"/>
  <c r="E1718" i="14" s="1"/>
  <c r="A1719" i="14"/>
  <c r="B1719" i="14"/>
  <c r="C1719" i="14" s="1"/>
  <c r="E1719" i="14" s="1"/>
  <c r="A1720" i="14"/>
  <c r="B1720" i="14"/>
  <c r="C1720" i="14" s="1"/>
  <c r="E1720" i="14" s="1"/>
  <c r="A1721" i="14"/>
  <c r="B1721" i="14"/>
  <c r="C1721" i="14" s="1"/>
  <c r="E1721" i="14" s="1"/>
  <c r="A1722" i="14"/>
  <c r="B1722" i="14"/>
  <c r="C1722" i="14" s="1"/>
  <c r="E1722" i="14" s="1"/>
  <c r="A1723" i="14"/>
  <c r="B1723" i="14"/>
  <c r="C1723" i="14" s="1"/>
  <c r="E1723" i="14" s="1"/>
  <c r="A1724" i="14"/>
  <c r="B1724" i="14"/>
  <c r="C1724" i="14" s="1"/>
  <c r="E1724" i="14" s="1"/>
  <c r="A1725" i="14"/>
  <c r="B1725" i="14"/>
  <c r="C1725" i="14" s="1"/>
  <c r="E1725" i="14" s="1"/>
  <c r="A1726" i="14"/>
  <c r="B1726" i="14"/>
  <c r="C1726" i="14" s="1"/>
  <c r="E1726" i="14" s="1"/>
  <c r="A1727" i="14"/>
  <c r="B1727" i="14"/>
  <c r="C1727" i="14" s="1"/>
  <c r="E1727" i="14" s="1"/>
  <c r="A1728" i="14"/>
  <c r="B1728" i="14"/>
  <c r="C1728" i="14" s="1"/>
  <c r="E1728" i="14" s="1"/>
  <c r="A1729" i="14"/>
  <c r="B1729" i="14"/>
  <c r="C1729" i="14" s="1"/>
  <c r="E1729" i="14" s="1"/>
  <c r="A1730" i="14"/>
  <c r="B1730" i="14"/>
  <c r="C1730" i="14" s="1"/>
  <c r="E1730" i="14" s="1"/>
  <c r="A1731" i="14"/>
  <c r="B1731" i="14"/>
  <c r="C1731" i="14" s="1"/>
  <c r="E1731" i="14" s="1"/>
  <c r="A1732" i="14"/>
  <c r="B1732" i="14"/>
  <c r="C1732" i="14" s="1"/>
  <c r="E1732" i="14" s="1"/>
  <c r="A1733" i="14"/>
  <c r="B1733" i="14"/>
  <c r="C1733" i="14" s="1"/>
  <c r="E1733" i="14" s="1"/>
  <c r="A1734" i="14"/>
  <c r="B1734" i="14"/>
  <c r="C1734" i="14" s="1"/>
  <c r="E1734" i="14" s="1"/>
  <c r="A1735" i="14"/>
  <c r="B1735" i="14"/>
  <c r="C1735" i="14" s="1"/>
  <c r="E1735" i="14" s="1"/>
  <c r="A1736" i="14"/>
  <c r="B1736" i="14"/>
  <c r="C1736" i="14" s="1"/>
  <c r="E1736" i="14" s="1"/>
  <c r="A1737" i="14"/>
  <c r="B1737" i="14"/>
  <c r="C1737" i="14" s="1"/>
  <c r="E1737" i="14" s="1"/>
  <c r="A1738" i="14"/>
  <c r="B1738" i="14"/>
  <c r="C1738" i="14" s="1"/>
  <c r="E1738" i="14" s="1"/>
  <c r="A1739" i="14"/>
  <c r="B1739" i="14"/>
  <c r="C1739" i="14" s="1"/>
  <c r="E1739" i="14" s="1"/>
  <c r="A1740" i="14"/>
  <c r="B1740" i="14"/>
  <c r="C1740" i="14" s="1"/>
  <c r="E1740" i="14" s="1"/>
  <c r="A1741" i="14"/>
  <c r="B1741" i="14"/>
  <c r="C1741" i="14" s="1"/>
  <c r="E1741" i="14" s="1"/>
  <c r="A1742" i="14"/>
  <c r="B1742" i="14"/>
  <c r="C1742" i="14" s="1"/>
  <c r="E1742" i="14" s="1"/>
  <c r="A1743" i="14"/>
  <c r="B1743" i="14"/>
  <c r="C1743" i="14" s="1"/>
  <c r="E1743" i="14" s="1"/>
  <c r="A1744" i="14"/>
  <c r="B1744" i="14"/>
  <c r="C1744" i="14" s="1"/>
  <c r="E1744" i="14" s="1"/>
  <c r="A1745" i="14"/>
  <c r="B1745" i="14"/>
  <c r="C1745" i="14" s="1"/>
  <c r="E1745" i="14" s="1"/>
  <c r="A1746" i="14"/>
  <c r="B1746" i="14"/>
  <c r="C1746" i="14" s="1"/>
  <c r="E1746" i="14" s="1"/>
  <c r="A1747" i="14"/>
  <c r="B1747" i="14"/>
  <c r="C1747" i="14" s="1"/>
  <c r="E1747" i="14" s="1"/>
  <c r="A1748" i="14"/>
  <c r="B1748" i="14"/>
  <c r="C1748" i="14" s="1"/>
  <c r="E1748" i="14" s="1"/>
  <c r="A1749" i="14"/>
  <c r="B1749" i="14"/>
  <c r="C1749" i="14" s="1"/>
  <c r="E1749" i="14" s="1"/>
  <c r="A1750" i="14"/>
  <c r="B1750" i="14"/>
  <c r="C1750" i="14" s="1"/>
  <c r="E1750" i="14" s="1"/>
  <c r="A1751" i="14"/>
  <c r="B1751" i="14"/>
  <c r="C1751" i="14" s="1"/>
  <c r="E1751" i="14" s="1"/>
  <c r="A1752" i="14"/>
  <c r="B1752" i="14"/>
  <c r="C1752" i="14" s="1"/>
  <c r="E1752" i="14" s="1"/>
  <c r="A1753" i="14"/>
  <c r="B1753" i="14"/>
  <c r="C1753" i="14" s="1"/>
  <c r="E1753" i="14" s="1"/>
  <c r="A1754" i="14"/>
  <c r="B1754" i="14"/>
  <c r="C1754" i="14" s="1"/>
  <c r="E1754" i="14" s="1"/>
  <c r="A1755" i="14"/>
  <c r="B1755" i="14"/>
  <c r="C1755" i="14" s="1"/>
  <c r="E1755" i="14" s="1"/>
  <c r="A1756" i="14"/>
  <c r="B1756" i="14"/>
  <c r="C1756" i="14" s="1"/>
  <c r="E1756" i="14" s="1"/>
  <c r="A1757" i="14"/>
  <c r="B1757" i="14"/>
  <c r="C1757" i="14" s="1"/>
  <c r="E1757" i="14" s="1"/>
  <c r="A1758" i="14"/>
  <c r="B1758" i="14"/>
  <c r="C1758" i="14" s="1"/>
  <c r="E1758" i="14" s="1"/>
  <c r="A1759" i="14"/>
  <c r="B1759" i="14"/>
  <c r="C1759" i="14" s="1"/>
  <c r="E1759" i="14" s="1"/>
  <c r="A1760" i="14"/>
  <c r="B1760" i="14"/>
  <c r="C1760" i="14" s="1"/>
  <c r="E1760" i="14" s="1"/>
  <c r="A1761" i="14"/>
  <c r="B1761" i="14"/>
  <c r="C1761" i="14" s="1"/>
  <c r="E1761" i="14" s="1"/>
  <c r="A1762" i="14"/>
  <c r="B1762" i="14"/>
  <c r="C1762" i="14" s="1"/>
  <c r="E1762" i="14" s="1"/>
  <c r="A1763" i="14"/>
  <c r="B1763" i="14"/>
  <c r="C1763" i="14" s="1"/>
  <c r="E1763" i="14" s="1"/>
  <c r="A1764" i="14"/>
  <c r="B1764" i="14"/>
  <c r="C1764" i="14" s="1"/>
  <c r="E1764" i="14" s="1"/>
  <c r="A1765" i="14"/>
  <c r="B1765" i="14"/>
  <c r="C1765" i="14" s="1"/>
  <c r="E1765" i="14" s="1"/>
  <c r="A1766" i="14"/>
  <c r="B1766" i="14"/>
  <c r="C1766" i="14" s="1"/>
  <c r="E1766" i="14" s="1"/>
  <c r="A1767" i="14"/>
  <c r="B1767" i="14"/>
  <c r="C1767" i="14" s="1"/>
  <c r="E1767" i="14" s="1"/>
  <c r="A1768" i="14"/>
  <c r="B1768" i="14"/>
  <c r="C1768" i="14" s="1"/>
  <c r="E1768" i="14" s="1"/>
  <c r="A1769" i="14"/>
  <c r="B1769" i="14"/>
  <c r="C1769" i="14" s="1"/>
  <c r="E1769" i="14" s="1"/>
  <c r="A1770" i="14"/>
  <c r="B1770" i="14"/>
  <c r="C1770" i="14" s="1"/>
  <c r="E1770" i="14" s="1"/>
  <c r="A1771" i="14"/>
  <c r="B1771" i="14"/>
  <c r="C1771" i="14" s="1"/>
  <c r="E1771" i="14" s="1"/>
  <c r="A1772" i="14"/>
  <c r="B1772" i="14"/>
  <c r="C1772" i="14" s="1"/>
  <c r="E1772" i="14" s="1"/>
  <c r="A1773" i="14"/>
  <c r="B1773" i="14"/>
  <c r="C1773" i="14" s="1"/>
  <c r="E1773" i="14" s="1"/>
  <c r="A1774" i="14"/>
  <c r="B1774" i="14"/>
  <c r="C1774" i="14" s="1"/>
  <c r="E1774" i="14" s="1"/>
  <c r="A1775" i="14"/>
  <c r="B1775" i="14"/>
  <c r="C1775" i="14" s="1"/>
  <c r="E1775" i="14" s="1"/>
  <c r="A1776" i="14"/>
  <c r="B1776" i="14"/>
  <c r="C1776" i="14" s="1"/>
  <c r="E1776" i="14" s="1"/>
  <c r="A1777" i="14"/>
  <c r="B1777" i="14"/>
  <c r="C1777" i="14" s="1"/>
  <c r="E1777" i="14" s="1"/>
  <c r="A1778" i="14"/>
  <c r="B1778" i="14"/>
  <c r="C1778" i="14" s="1"/>
  <c r="E1778" i="14" s="1"/>
  <c r="A1779" i="14"/>
  <c r="B1779" i="14"/>
  <c r="C1779" i="14" s="1"/>
  <c r="E1779" i="14" s="1"/>
  <c r="A1780" i="14"/>
  <c r="B1780" i="14"/>
  <c r="C1780" i="14" s="1"/>
  <c r="E1780" i="14" s="1"/>
  <c r="A1781" i="14"/>
  <c r="B1781" i="14"/>
  <c r="C1781" i="14" s="1"/>
  <c r="E1781" i="14" s="1"/>
  <c r="A1782" i="14"/>
  <c r="B1782" i="14"/>
  <c r="C1782" i="14" s="1"/>
  <c r="E1782" i="14" s="1"/>
  <c r="A1783" i="14"/>
  <c r="B1783" i="14"/>
  <c r="C1783" i="14" s="1"/>
  <c r="E1783" i="14" s="1"/>
  <c r="A1784" i="14"/>
  <c r="B1784" i="14"/>
  <c r="C1784" i="14" s="1"/>
  <c r="E1784" i="14" s="1"/>
  <c r="A1785" i="14"/>
  <c r="B1785" i="14"/>
  <c r="C1785" i="14" s="1"/>
  <c r="E1785" i="14" s="1"/>
  <c r="A1786" i="14"/>
  <c r="B1786" i="14"/>
  <c r="C1786" i="14" s="1"/>
  <c r="E1786" i="14" s="1"/>
  <c r="A1787" i="14"/>
  <c r="B1787" i="14"/>
  <c r="C1787" i="14" s="1"/>
  <c r="E1787" i="14" s="1"/>
  <c r="A1788" i="14"/>
  <c r="B1788" i="14"/>
  <c r="C1788" i="14" s="1"/>
  <c r="E1788" i="14" s="1"/>
  <c r="A1789" i="14"/>
  <c r="B1789" i="14"/>
  <c r="C1789" i="14" s="1"/>
  <c r="E1789" i="14" s="1"/>
  <c r="A1790" i="14"/>
  <c r="B1790" i="14"/>
  <c r="C1790" i="14" s="1"/>
  <c r="E1790" i="14" s="1"/>
  <c r="A1791" i="14"/>
  <c r="B1791" i="14"/>
  <c r="C1791" i="14" s="1"/>
  <c r="E1791" i="14" s="1"/>
  <c r="A1792" i="14"/>
  <c r="B1792" i="14"/>
  <c r="C1792" i="14" s="1"/>
  <c r="E1792" i="14" s="1"/>
  <c r="A1793" i="14"/>
  <c r="B1793" i="14"/>
  <c r="C1793" i="14" s="1"/>
  <c r="E1793" i="14" s="1"/>
  <c r="A1794" i="14"/>
  <c r="B1794" i="14"/>
  <c r="C1794" i="14" s="1"/>
  <c r="E1794" i="14" s="1"/>
  <c r="A1795" i="14"/>
  <c r="B1795" i="14"/>
  <c r="C1795" i="14" s="1"/>
  <c r="E1795" i="14" s="1"/>
  <c r="A1796" i="14"/>
  <c r="B1796" i="14"/>
  <c r="C1796" i="14" s="1"/>
  <c r="E1796" i="14" s="1"/>
  <c r="A1797" i="14"/>
  <c r="B1797" i="14"/>
  <c r="C1797" i="14" s="1"/>
  <c r="E1797" i="14" s="1"/>
  <c r="A1798" i="14"/>
  <c r="B1798" i="14"/>
  <c r="C1798" i="14" s="1"/>
  <c r="E1798" i="14" s="1"/>
  <c r="A1799" i="14"/>
  <c r="B1799" i="14"/>
  <c r="C1799" i="14" s="1"/>
  <c r="E1799" i="14" s="1"/>
  <c r="A1800" i="14"/>
  <c r="B1800" i="14"/>
  <c r="C1800" i="14" s="1"/>
  <c r="E1800" i="14" s="1"/>
  <c r="A1801" i="14"/>
  <c r="B1801" i="14"/>
  <c r="C1801" i="14" s="1"/>
  <c r="E1801" i="14" s="1"/>
  <c r="A1802" i="14"/>
  <c r="B1802" i="14"/>
  <c r="C1802" i="14" s="1"/>
  <c r="E1802" i="14" s="1"/>
  <c r="A1803" i="14"/>
  <c r="B1803" i="14"/>
  <c r="C1803" i="14" s="1"/>
  <c r="E1803" i="14" s="1"/>
  <c r="A1804" i="14"/>
  <c r="B1804" i="14"/>
  <c r="C1804" i="14" s="1"/>
  <c r="E1804" i="14" s="1"/>
  <c r="A1805" i="14"/>
  <c r="B1805" i="14"/>
  <c r="C1805" i="14" s="1"/>
  <c r="E1805" i="14" s="1"/>
  <c r="A1806" i="14"/>
  <c r="B1806" i="14"/>
  <c r="C1806" i="14" s="1"/>
  <c r="E1806" i="14" s="1"/>
  <c r="A1807" i="14"/>
  <c r="B1807" i="14"/>
  <c r="C1807" i="14" s="1"/>
  <c r="E1807" i="14" s="1"/>
  <c r="A1808" i="14"/>
  <c r="B1808" i="14"/>
  <c r="C1808" i="14" s="1"/>
  <c r="E1808" i="14" s="1"/>
  <c r="A1809" i="14"/>
  <c r="B1809" i="14"/>
  <c r="C1809" i="14" s="1"/>
  <c r="E1809" i="14" s="1"/>
  <c r="A1810" i="14"/>
  <c r="B1810" i="14"/>
  <c r="C1810" i="14" s="1"/>
  <c r="E1810" i="14" s="1"/>
  <c r="A1811" i="14"/>
  <c r="B1811" i="14"/>
  <c r="C1811" i="14" s="1"/>
  <c r="E1811" i="14" s="1"/>
  <c r="A1812" i="14"/>
  <c r="B1812" i="14"/>
  <c r="C1812" i="14" s="1"/>
  <c r="E1812" i="14" s="1"/>
  <c r="A1813" i="14"/>
  <c r="B1813" i="14"/>
  <c r="C1813" i="14" s="1"/>
  <c r="E1813" i="14" s="1"/>
  <c r="A1814" i="14"/>
  <c r="B1814" i="14"/>
  <c r="C1814" i="14" s="1"/>
  <c r="E1814" i="14" s="1"/>
  <c r="A1815" i="14"/>
  <c r="B1815" i="14"/>
  <c r="C1815" i="14" s="1"/>
  <c r="E1815" i="14" s="1"/>
  <c r="A1816" i="14"/>
  <c r="B1816" i="14"/>
  <c r="C1816" i="14" s="1"/>
  <c r="E1816" i="14" s="1"/>
  <c r="A1817" i="14"/>
  <c r="B1817" i="14"/>
  <c r="C1817" i="14" s="1"/>
  <c r="E1817" i="14" s="1"/>
  <c r="A1818" i="14"/>
  <c r="B1818" i="14"/>
  <c r="C1818" i="14" s="1"/>
  <c r="E1818" i="14" s="1"/>
  <c r="A1819" i="14"/>
  <c r="B1819" i="14"/>
  <c r="C1819" i="14" s="1"/>
  <c r="E1819" i="14" s="1"/>
  <c r="A1820" i="14"/>
  <c r="B1820" i="14"/>
  <c r="C1820" i="14" s="1"/>
  <c r="E1820" i="14" s="1"/>
  <c r="A1821" i="14"/>
  <c r="B1821" i="14"/>
  <c r="C1821" i="14" s="1"/>
  <c r="E1821" i="14" s="1"/>
  <c r="A1822" i="14"/>
  <c r="B1822" i="14"/>
  <c r="C1822" i="14" s="1"/>
  <c r="E1822" i="14" s="1"/>
  <c r="A1823" i="14"/>
  <c r="B1823" i="14"/>
  <c r="C1823" i="14" s="1"/>
  <c r="E1823" i="14" s="1"/>
  <c r="A1824" i="14"/>
  <c r="B1824" i="14"/>
  <c r="C1824" i="14" s="1"/>
  <c r="E1824" i="14" s="1"/>
  <c r="A1825" i="14"/>
  <c r="B1825" i="14"/>
  <c r="C1825" i="14" s="1"/>
  <c r="E1825" i="14" s="1"/>
  <c r="A1826" i="14"/>
  <c r="B1826" i="14"/>
  <c r="C1826" i="14" s="1"/>
  <c r="E1826" i="14" s="1"/>
  <c r="A1827" i="14"/>
  <c r="B1827" i="14"/>
  <c r="C1827" i="14" s="1"/>
  <c r="E1827" i="14" s="1"/>
  <c r="A1828" i="14"/>
  <c r="B1828" i="14"/>
  <c r="C1828" i="14" s="1"/>
  <c r="E1828" i="14" s="1"/>
  <c r="A1829" i="14"/>
  <c r="B1829" i="14"/>
  <c r="C1829" i="14" s="1"/>
  <c r="E1829" i="14" s="1"/>
  <c r="A1830" i="14"/>
  <c r="B1830" i="14"/>
  <c r="C1830" i="14" s="1"/>
  <c r="E1830" i="14" s="1"/>
  <c r="A1831" i="14"/>
  <c r="B1831" i="14"/>
  <c r="C1831" i="14" s="1"/>
  <c r="E1831" i="14" s="1"/>
  <c r="A1832" i="14"/>
  <c r="B1832" i="14"/>
  <c r="C1832" i="14" s="1"/>
  <c r="E1832" i="14" s="1"/>
  <c r="A1833" i="14"/>
  <c r="B1833" i="14"/>
  <c r="C1833" i="14" s="1"/>
  <c r="E1833" i="14" s="1"/>
  <c r="A1834" i="14"/>
  <c r="B1834" i="14"/>
  <c r="C1834" i="14" s="1"/>
  <c r="E1834" i="14" s="1"/>
  <c r="A1835" i="14"/>
  <c r="B1835" i="14"/>
  <c r="C1835" i="14" s="1"/>
  <c r="E1835" i="14" s="1"/>
  <c r="A1836" i="14"/>
  <c r="B1836" i="14"/>
  <c r="C1836" i="14" s="1"/>
  <c r="E1836" i="14" s="1"/>
  <c r="A1837" i="14"/>
  <c r="B1837" i="14"/>
  <c r="C1837" i="14" s="1"/>
  <c r="E1837" i="14" s="1"/>
  <c r="A1838" i="14"/>
  <c r="B1838" i="14"/>
  <c r="C1838" i="14" s="1"/>
  <c r="E1838" i="14" s="1"/>
  <c r="A1839" i="14"/>
  <c r="B1839" i="14"/>
  <c r="C1839" i="14" s="1"/>
  <c r="E1839" i="14" s="1"/>
  <c r="A1840" i="14"/>
  <c r="B1840" i="14"/>
  <c r="C1840" i="14" s="1"/>
  <c r="E1840" i="14" s="1"/>
  <c r="A1841" i="14"/>
  <c r="B1841" i="14"/>
  <c r="C1841" i="14" s="1"/>
  <c r="E1841" i="14" s="1"/>
  <c r="A1842" i="14"/>
  <c r="B1842" i="14"/>
  <c r="C1842" i="14" s="1"/>
  <c r="E1842" i="14" s="1"/>
  <c r="A1843" i="14"/>
  <c r="B1843" i="14"/>
  <c r="C1843" i="14" s="1"/>
  <c r="E1843" i="14" s="1"/>
  <c r="A1844" i="14"/>
  <c r="B1844" i="14"/>
  <c r="C1844" i="14" s="1"/>
  <c r="E1844" i="14" s="1"/>
  <c r="A1845" i="14"/>
  <c r="B1845" i="14"/>
  <c r="C1845" i="14" s="1"/>
  <c r="E1845" i="14" s="1"/>
  <c r="A1846" i="14"/>
  <c r="B1846" i="14"/>
  <c r="C1846" i="14" s="1"/>
  <c r="E1846" i="14" s="1"/>
  <c r="A1847" i="14"/>
  <c r="B1847" i="14"/>
  <c r="C1847" i="14" s="1"/>
  <c r="E1847" i="14" s="1"/>
  <c r="A1848" i="14"/>
  <c r="B1848" i="14"/>
  <c r="C1848" i="14" s="1"/>
  <c r="E1848" i="14" s="1"/>
  <c r="A1849" i="14"/>
  <c r="B1849" i="14"/>
  <c r="C1849" i="14" s="1"/>
  <c r="E1849" i="14" s="1"/>
  <c r="A1850" i="14"/>
  <c r="B1850" i="14"/>
  <c r="C1850" i="14" s="1"/>
  <c r="E1850" i="14" s="1"/>
  <c r="A1851" i="14"/>
  <c r="B1851" i="14"/>
  <c r="C1851" i="14" s="1"/>
  <c r="E1851" i="14" s="1"/>
  <c r="A1852" i="14"/>
  <c r="B1852" i="14"/>
  <c r="C1852" i="14" s="1"/>
  <c r="E1852" i="14" s="1"/>
  <c r="A1853" i="14"/>
  <c r="B1853" i="14"/>
  <c r="C1853" i="14" s="1"/>
  <c r="E1853" i="14" s="1"/>
  <c r="A1854" i="14"/>
  <c r="B1854" i="14"/>
  <c r="C1854" i="14" s="1"/>
  <c r="E1854" i="14" s="1"/>
  <c r="A1855" i="14"/>
  <c r="B1855" i="14"/>
  <c r="C1855" i="14" s="1"/>
  <c r="E1855" i="14" s="1"/>
  <c r="A1856" i="14"/>
  <c r="B1856" i="14"/>
  <c r="C1856" i="14" s="1"/>
  <c r="E1856" i="14" s="1"/>
  <c r="A1857" i="14"/>
  <c r="B1857" i="14"/>
  <c r="C1857" i="14" s="1"/>
  <c r="E1857" i="14" s="1"/>
  <c r="A1858" i="14"/>
  <c r="B1858" i="14"/>
  <c r="C1858" i="14" s="1"/>
  <c r="E1858" i="14" s="1"/>
  <c r="A1859" i="14"/>
  <c r="B1859" i="14"/>
  <c r="C1859" i="14" s="1"/>
  <c r="E1859" i="14" s="1"/>
  <c r="A1860" i="14"/>
  <c r="B1860" i="14"/>
  <c r="C1860" i="14" s="1"/>
  <c r="E1860" i="14" s="1"/>
  <c r="A1861" i="14"/>
  <c r="B1861" i="14"/>
  <c r="C1861" i="14" s="1"/>
  <c r="E1861" i="14" s="1"/>
  <c r="A1862" i="14"/>
  <c r="B1862" i="14"/>
  <c r="C1862" i="14" s="1"/>
  <c r="E1862" i="14" s="1"/>
  <c r="A1863" i="14"/>
  <c r="B1863" i="14"/>
  <c r="C1863" i="14" s="1"/>
  <c r="E1863" i="14" s="1"/>
  <c r="A1864" i="14"/>
  <c r="B1864" i="14"/>
  <c r="C1864" i="14" s="1"/>
  <c r="E1864" i="14" s="1"/>
  <c r="A1865" i="14"/>
  <c r="B1865" i="14"/>
  <c r="C1865" i="14" s="1"/>
  <c r="E1865" i="14" s="1"/>
  <c r="A1866" i="14"/>
  <c r="B1866" i="14"/>
  <c r="C1866" i="14" s="1"/>
  <c r="E1866" i="14" s="1"/>
  <c r="A1867" i="14"/>
  <c r="B1867" i="14"/>
  <c r="C1867" i="14" s="1"/>
  <c r="E1867" i="14" s="1"/>
  <c r="A1868" i="14"/>
  <c r="B1868" i="14"/>
  <c r="C1868" i="14" s="1"/>
  <c r="E1868" i="14" s="1"/>
  <c r="A1869" i="14"/>
  <c r="B1869" i="14"/>
  <c r="C1869" i="14" s="1"/>
  <c r="E1869" i="14" s="1"/>
  <c r="A1870" i="14"/>
  <c r="B1870" i="14"/>
  <c r="C1870" i="14" s="1"/>
  <c r="E1870" i="14" s="1"/>
  <c r="A1871" i="14"/>
  <c r="B1871" i="14"/>
  <c r="C1871" i="14" s="1"/>
  <c r="E1871" i="14" s="1"/>
  <c r="A1872" i="14"/>
  <c r="B1872" i="14"/>
  <c r="C1872" i="14" s="1"/>
  <c r="E1872" i="14" s="1"/>
  <c r="A1873" i="14"/>
  <c r="B1873" i="14"/>
  <c r="C1873" i="14" s="1"/>
  <c r="E1873" i="14" s="1"/>
  <c r="A1874" i="14"/>
  <c r="B1874" i="14"/>
  <c r="C1874" i="14" s="1"/>
  <c r="E1874" i="14" s="1"/>
  <c r="A1875" i="14"/>
  <c r="B1875" i="14"/>
  <c r="C1875" i="14" s="1"/>
  <c r="E1875" i="14" s="1"/>
  <c r="A1876" i="14"/>
  <c r="B1876" i="14"/>
  <c r="C1876" i="14" s="1"/>
  <c r="E1876" i="14" s="1"/>
  <c r="A1877" i="14"/>
  <c r="B1877" i="14"/>
  <c r="C1877" i="14" s="1"/>
  <c r="E1877" i="14" s="1"/>
  <c r="A1878" i="14"/>
  <c r="B1878" i="14"/>
  <c r="C1878" i="14" s="1"/>
  <c r="E1878" i="14" s="1"/>
  <c r="A1879" i="14"/>
  <c r="B1879" i="14"/>
  <c r="C1879" i="14" s="1"/>
  <c r="E1879" i="14" s="1"/>
  <c r="A1880" i="14"/>
  <c r="B1880" i="14"/>
  <c r="C1880" i="14" s="1"/>
  <c r="E1880" i="14" s="1"/>
  <c r="A1881" i="14"/>
  <c r="B1881" i="14"/>
  <c r="C1881" i="14" s="1"/>
  <c r="E1881" i="14" s="1"/>
  <c r="A1882" i="14"/>
  <c r="B1882" i="14"/>
  <c r="C1882" i="14" s="1"/>
  <c r="E1882" i="14" s="1"/>
  <c r="A1883" i="14"/>
  <c r="B1883" i="14"/>
  <c r="C1883" i="14" s="1"/>
  <c r="E1883" i="14" s="1"/>
  <c r="A1884" i="14"/>
  <c r="B1884" i="14"/>
  <c r="C1884" i="14" s="1"/>
  <c r="E1884" i="14" s="1"/>
  <c r="A1885" i="14"/>
  <c r="B1885" i="14"/>
  <c r="C1885" i="14" s="1"/>
  <c r="E1885" i="14" s="1"/>
  <c r="A1886" i="14"/>
  <c r="B1886" i="14"/>
  <c r="C1886" i="14" s="1"/>
  <c r="E1886" i="14" s="1"/>
  <c r="A1887" i="14"/>
  <c r="B1887" i="14"/>
  <c r="C1887" i="14" s="1"/>
  <c r="E1887" i="14" s="1"/>
  <c r="A1888" i="14"/>
  <c r="B1888" i="14"/>
  <c r="C1888" i="14" s="1"/>
  <c r="E1888" i="14" s="1"/>
  <c r="A1889" i="14"/>
  <c r="B1889" i="14"/>
  <c r="C1889" i="14" s="1"/>
  <c r="E1889" i="14" s="1"/>
  <c r="A1890" i="14"/>
  <c r="B1890" i="14"/>
  <c r="C1890" i="14" s="1"/>
  <c r="E1890" i="14" s="1"/>
  <c r="A1891" i="14"/>
  <c r="B1891" i="14"/>
  <c r="C1891" i="14" s="1"/>
  <c r="E1891" i="14" s="1"/>
  <c r="A1892" i="14"/>
  <c r="B1892" i="14"/>
  <c r="C1892" i="14" s="1"/>
  <c r="E1892" i="14" s="1"/>
  <c r="A1893" i="14"/>
  <c r="B1893" i="14"/>
  <c r="C1893" i="14" s="1"/>
  <c r="E1893" i="14" s="1"/>
  <c r="A1894" i="14"/>
  <c r="B1894" i="14"/>
  <c r="C1894" i="14" s="1"/>
  <c r="E1894" i="14" s="1"/>
  <c r="A1895" i="14"/>
  <c r="B1895" i="14"/>
  <c r="C1895" i="14" s="1"/>
  <c r="E1895" i="14" s="1"/>
  <c r="A1896" i="14"/>
  <c r="B1896" i="14"/>
  <c r="C1896" i="14" s="1"/>
  <c r="E1896" i="14" s="1"/>
  <c r="A1897" i="14"/>
  <c r="B1897" i="14"/>
  <c r="C1897" i="14" s="1"/>
  <c r="E1897" i="14" s="1"/>
  <c r="A1898" i="14"/>
  <c r="B1898" i="14"/>
  <c r="C1898" i="14" s="1"/>
  <c r="E1898" i="14" s="1"/>
  <c r="A1899" i="14"/>
  <c r="B1899" i="14"/>
  <c r="C1899" i="14" s="1"/>
  <c r="E1899" i="14" s="1"/>
  <c r="A1900" i="14"/>
  <c r="B1900" i="14"/>
  <c r="C1900" i="14" s="1"/>
  <c r="E1900" i="14" s="1"/>
  <c r="A1901" i="14"/>
  <c r="B1901" i="14"/>
  <c r="C1901" i="14" s="1"/>
  <c r="E1901" i="14" s="1"/>
  <c r="A1902" i="14"/>
  <c r="B1902" i="14"/>
  <c r="C1902" i="14" s="1"/>
  <c r="E1902" i="14" s="1"/>
  <c r="A1903" i="14"/>
  <c r="B1903" i="14"/>
  <c r="C1903" i="14" s="1"/>
  <c r="E1903" i="14" s="1"/>
  <c r="A1904" i="14"/>
  <c r="B1904" i="14"/>
  <c r="C1904" i="14" s="1"/>
  <c r="E1904" i="14" s="1"/>
  <c r="A1905" i="14"/>
  <c r="B1905" i="14"/>
  <c r="C1905" i="14" s="1"/>
  <c r="E1905" i="14" s="1"/>
  <c r="A1906" i="14"/>
  <c r="B1906" i="14"/>
  <c r="C1906" i="14" s="1"/>
  <c r="E1906" i="14" s="1"/>
  <c r="A1907" i="14"/>
  <c r="B1907" i="14"/>
  <c r="C1907" i="14" s="1"/>
  <c r="E1907" i="14" s="1"/>
  <c r="A1908" i="14"/>
  <c r="B1908" i="14"/>
  <c r="C1908" i="14" s="1"/>
  <c r="E1908" i="14" s="1"/>
  <c r="A1909" i="14"/>
  <c r="B1909" i="14"/>
  <c r="C1909" i="14" s="1"/>
  <c r="E1909" i="14" s="1"/>
  <c r="A1910" i="14"/>
  <c r="B1910" i="14"/>
  <c r="C1910" i="14" s="1"/>
  <c r="E1910" i="14" s="1"/>
  <c r="A1911" i="14"/>
  <c r="B1911" i="14"/>
  <c r="C1911" i="14" s="1"/>
  <c r="E1911" i="14" s="1"/>
  <c r="A1912" i="14"/>
  <c r="B1912" i="14"/>
  <c r="C1912" i="14" s="1"/>
  <c r="E1912" i="14" s="1"/>
  <c r="A1913" i="14"/>
  <c r="B1913" i="14"/>
  <c r="C1913" i="14" s="1"/>
  <c r="E1913" i="14" s="1"/>
  <c r="A1914" i="14"/>
  <c r="B1914" i="14"/>
  <c r="C1914" i="14" s="1"/>
  <c r="E1914" i="14" s="1"/>
  <c r="A1915" i="14"/>
  <c r="B1915" i="14"/>
  <c r="C1915" i="14" s="1"/>
  <c r="E1915" i="14" s="1"/>
  <c r="A1916" i="14"/>
  <c r="B1916" i="14"/>
  <c r="C1916" i="14" s="1"/>
  <c r="E1916" i="14" s="1"/>
  <c r="A1917" i="14"/>
  <c r="B1917" i="14"/>
  <c r="C1917" i="14" s="1"/>
  <c r="E1917" i="14" s="1"/>
  <c r="A1918" i="14"/>
  <c r="B1918" i="14"/>
  <c r="C1918" i="14" s="1"/>
  <c r="E1918" i="14" s="1"/>
  <c r="A1919" i="14"/>
  <c r="B1919" i="14"/>
  <c r="C1919" i="14" s="1"/>
  <c r="E1919" i="14" s="1"/>
  <c r="A1920" i="14"/>
  <c r="B1920" i="14"/>
  <c r="C1920" i="14" s="1"/>
  <c r="E1920" i="14" s="1"/>
  <c r="A1921" i="14"/>
  <c r="B1921" i="14"/>
  <c r="C1921" i="14" s="1"/>
  <c r="E1921" i="14" s="1"/>
  <c r="A1922" i="14"/>
  <c r="B1922" i="14"/>
  <c r="C1922" i="14" s="1"/>
  <c r="E1922" i="14" s="1"/>
  <c r="A1923" i="14"/>
  <c r="B1923" i="14"/>
  <c r="C1923" i="14" s="1"/>
  <c r="E1923" i="14" s="1"/>
  <c r="A1924" i="14"/>
  <c r="B1924" i="14"/>
  <c r="C1924" i="14" s="1"/>
  <c r="E1924" i="14" s="1"/>
  <c r="A1925" i="14"/>
  <c r="B1925" i="14"/>
  <c r="C1925" i="14" s="1"/>
  <c r="E1925" i="14" s="1"/>
  <c r="A1926" i="14"/>
  <c r="B1926" i="14"/>
  <c r="C1926" i="14" s="1"/>
  <c r="E1926" i="14" s="1"/>
  <c r="A1927" i="14"/>
  <c r="B1927" i="14"/>
  <c r="C1927" i="14" s="1"/>
  <c r="E1927" i="14" s="1"/>
  <c r="A1928" i="14"/>
  <c r="B1928" i="14"/>
  <c r="C1928" i="14" s="1"/>
  <c r="E1928" i="14" s="1"/>
  <c r="A1929" i="14"/>
  <c r="B1929" i="14"/>
  <c r="C1929" i="14" s="1"/>
  <c r="E1929" i="14" s="1"/>
  <c r="A1930" i="14"/>
  <c r="B1930" i="14"/>
  <c r="C1930" i="14" s="1"/>
  <c r="E1930" i="14" s="1"/>
  <c r="A1931" i="14"/>
  <c r="B1931" i="14"/>
  <c r="C1931" i="14" s="1"/>
  <c r="E1931" i="14" s="1"/>
  <c r="A1932" i="14"/>
  <c r="B1932" i="14"/>
  <c r="C1932" i="14" s="1"/>
  <c r="E1932" i="14" s="1"/>
  <c r="A1933" i="14"/>
  <c r="B1933" i="14"/>
  <c r="C1933" i="14" s="1"/>
  <c r="E1933" i="14" s="1"/>
  <c r="A1934" i="14"/>
  <c r="B1934" i="14"/>
  <c r="C1934" i="14" s="1"/>
  <c r="E1934" i="14" s="1"/>
  <c r="A1935" i="14"/>
  <c r="B1935" i="14"/>
  <c r="C1935" i="14" s="1"/>
  <c r="E1935" i="14" s="1"/>
  <c r="A1936" i="14"/>
  <c r="B1936" i="14"/>
  <c r="C1936" i="14" s="1"/>
  <c r="E1936" i="14" s="1"/>
  <c r="A1937" i="14"/>
  <c r="B1937" i="14"/>
  <c r="C1937" i="14" s="1"/>
  <c r="E1937" i="14" s="1"/>
  <c r="A1938" i="14"/>
  <c r="B1938" i="14"/>
  <c r="C1938" i="14" s="1"/>
  <c r="E1938" i="14" s="1"/>
  <c r="A1939" i="14"/>
  <c r="B1939" i="14"/>
  <c r="C1939" i="14" s="1"/>
  <c r="E1939" i="14" s="1"/>
  <c r="A1940" i="14"/>
  <c r="B1940" i="14"/>
  <c r="C1940" i="14" s="1"/>
  <c r="E1940" i="14" s="1"/>
  <c r="A1941" i="14"/>
  <c r="B1941" i="14"/>
  <c r="C1941" i="14" s="1"/>
  <c r="E1941" i="14" s="1"/>
  <c r="A1942" i="14"/>
  <c r="B1942" i="14"/>
  <c r="C1942" i="14" s="1"/>
  <c r="E1942" i="14" s="1"/>
  <c r="A1943" i="14"/>
  <c r="B1943" i="14"/>
  <c r="C1943" i="14" s="1"/>
  <c r="E1943" i="14" s="1"/>
  <c r="A1944" i="14"/>
  <c r="B1944" i="14"/>
  <c r="C1944" i="14" s="1"/>
  <c r="E1944" i="14" s="1"/>
  <c r="A1945" i="14"/>
  <c r="B1945" i="14"/>
  <c r="C1945" i="14" s="1"/>
  <c r="E1945" i="14" s="1"/>
  <c r="A1946" i="14"/>
  <c r="B1946" i="14"/>
  <c r="C1946" i="14" s="1"/>
  <c r="E1946" i="14" s="1"/>
  <c r="A1947" i="14"/>
  <c r="B1947" i="14"/>
  <c r="C1947" i="14" s="1"/>
  <c r="E1947" i="14" s="1"/>
  <c r="A1948" i="14"/>
  <c r="B1948" i="14"/>
  <c r="C1948" i="14" s="1"/>
  <c r="E1948" i="14" s="1"/>
  <c r="A1949" i="14"/>
  <c r="B1949" i="14"/>
  <c r="C1949" i="14" s="1"/>
  <c r="E1949" i="14" s="1"/>
  <c r="A1950" i="14"/>
  <c r="B1950" i="14"/>
  <c r="C1950" i="14" s="1"/>
  <c r="E1950" i="14" s="1"/>
  <c r="A1951" i="14"/>
  <c r="B1951" i="14"/>
  <c r="C1951" i="14" s="1"/>
  <c r="E1951" i="14" s="1"/>
  <c r="A1952" i="14"/>
  <c r="B1952" i="14"/>
  <c r="C1952" i="14" s="1"/>
  <c r="E1952" i="14" s="1"/>
  <c r="A1953" i="14"/>
  <c r="B1953" i="14"/>
  <c r="C1953" i="14" s="1"/>
  <c r="E1953" i="14" s="1"/>
  <c r="A1954" i="14"/>
  <c r="B1954" i="14"/>
  <c r="C1954" i="14" s="1"/>
  <c r="E1954" i="14" s="1"/>
  <c r="A1955" i="14"/>
  <c r="B1955" i="14"/>
  <c r="C1955" i="14" s="1"/>
  <c r="E1955" i="14" s="1"/>
  <c r="A1956" i="14"/>
  <c r="B1956" i="14"/>
  <c r="C1956" i="14" s="1"/>
  <c r="E1956" i="14" s="1"/>
  <c r="A1957" i="14"/>
  <c r="B1957" i="14"/>
  <c r="C1957" i="14" s="1"/>
  <c r="E1957" i="14" s="1"/>
  <c r="A1958" i="14"/>
  <c r="B1958" i="14"/>
  <c r="C1958" i="14" s="1"/>
  <c r="E1958" i="14" s="1"/>
  <c r="A1959" i="14"/>
  <c r="B1959" i="14"/>
  <c r="C1959" i="14" s="1"/>
  <c r="E1959" i="14" s="1"/>
  <c r="A1960" i="14"/>
  <c r="B1960" i="14"/>
  <c r="C1960" i="14" s="1"/>
  <c r="E1960" i="14" s="1"/>
  <c r="A1961" i="14"/>
  <c r="B1961" i="14"/>
  <c r="C1961" i="14" s="1"/>
  <c r="E1961" i="14" s="1"/>
  <c r="A1962" i="14"/>
  <c r="B1962" i="14"/>
  <c r="C1962" i="14" s="1"/>
  <c r="E1962" i="14" s="1"/>
  <c r="A1963" i="14"/>
  <c r="B1963" i="14"/>
  <c r="C1963" i="14" s="1"/>
  <c r="E1963" i="14" s="1"/>
  <c r="A1964" i="14"/>
  <c r="B1964" i="14"/>
  <c r="C1964" i="14" s="1"/>
  <c r="E1964" i="14" s="1"/>
  <c r="A1965" i="14"/>
  <c r="B1965" i="14"/>
  <c r="C1965" i="14" s="1"/>
  <c r="E1965" i="14" s="1"/>
  <c r="A1966" i="14"/>
  <c r="B1966" i="14"/>
  <c r="C1966" i="14" s="1"/>
  <c r="E1966" i="14" s="1"/>
  <c r="A1967" i="14"/>
  <c r="B1967" i="14"/>
  <c r="C1967" i="14" s="1"/>
  <c r="E1967" i="14" s="1"/>
  <c r="A1968" i="14"/>
  <c r="B1968" i="14"/>
  <c r="C1968" i="14" s="1"/>
  <c r="E1968" i="14" s="1"/>
  <c r="A1969" i="14"/>
  <c r="B1969" i="14"/>
  <c r="C1969" i="14" s="1"/>
  <c r="E1969" i="14" s="1"/>
  <c r="A1970" i="14"/>
  <c r="B1970" i="14"/>
  <c r="C1970" i="14" s="1"/>
  <c r="E1970" i="14" s="1"/>
  <c r="A1971" i="14"/>
  <c r="B1971" i="14"/>
  <c r="C1971" i="14" s="1"/>
  <c r="E1971" i="14" s="1"/>
  <c r="A1972" i="14"/>
  <c r="B1972" i="14"/>
  <c r="C1972" i="14" s="1"/>
  <c r="E1972" i="14" s="1"/>
  <c r="A1973" i="14"/>
  <c r="B1973" i="14"/>
  <c r="C1973" i="14" s="1"/>
  <c r="E1973" i="14" s="1"/>
  <c r="A1974" i="14"/>
  <c r="B1974" i="14"/>
  <c r="C1974" i="14" s="1"/>
  <c r="E1974" i="14" s="1"/>
  <c r="A1975" i="14"/>
  <c r="B1975" i="14"/>
  <c r="C1975" i="14" s="1"/>
  <c r="E1975" i="14" s="1"/>
  <c r="A1976" i="14"/>
  <c r="B1976" i="14"/>
  <c r="C1976" i="14" s="1"/>
  <c r="E1976" i="14" s="1"/>
  <c r="A1977" i="14"/>
  <c r="B1977" i="14"/>
  <c r="C1977" i="14" s="1"/>
  <c r="E1977" i="14" s="1"/>
  <c r="A1978" i="14"/>
  <c r="B1978" i="14"/>
  <c r="C1978" i="14" s="1"/>
  <c r="E1978" i="14" s="1"/>
  <c r="A1979" i="14"/>
  <c r="B1979" i="14"/>
  <c r="C1979" i="14" s="1"/>
  <c r="E1979" i="14" s="1"/>
  <c r="A1980" i="14"/>
  <c r="B1980" i="14"/>
  <c r="C1980" i="14" s="1"/>
  <c r="E1980" i="14" s="1"/>
  <c r="A1981" i="14"/>
  <c r="B1981" i="14"/>
  <c r="C1981" i="14" s="1"/>
  <c r="E1981" i="14" s="1"/>
  <c r="A1982" i="14"/>
  <c r="B1982" i="14"/>
  <c r="C1982" i="14" s="1"/>
  <c r="E1982" i="14" s="1"/>
  <c r="A1983" i="14"/>
  <c r="B1983" i="14"/>
  <c r="C1983" i="14" s="1"/>
  <c r="E1983" i="14" s="1"/>
  <c r="A1984" i="14"/>
  <c r="B1984" i="14"/>
  <c r="C1984" i="14" s="1"/>
  <c r="E1984" i="14" s="1"/>
  <c r="A1985" i="14"/>
  <c r="B1985" i="14"/>
  <c r="C1985" i="14" s="1"/>
  <c r="E1985" i="14" s="1"/>
  <c r="A1986" i="14"/>
  <c r="B1986" i="14"/>
  <c r="C1986" i="14" s="1"/>
  <c r="E1986" i="14" s="1"/>
  <c r="A1987" i="14"/>
  <c r="B1987" i="14"/>
  <c r="C1987" i="14" s="1"/>
  <c r="E1987" i="14" s="1"/>
  <c r="A1988" i="14"/>
  <c r="B1988" i="14"/>
  <c r="C1988" i="14" s="1"/>
  <c r="E1988" i="14" s="1"/>
  <c r="A1989" i="14"/>
  <c r="B1989" i="14"/>
  <c r="C1989" i="14" s="1"/>
  <c r="E1989" i="14" s="1"/>
  <c r="A1990" i="14"/>
  <c r="B1990" i="14"/>
  <c r="C1990" i="14" s="1"/>
  <c r="E1990" i="14" s="1"/>
  <c r="A1991" i="14"/>
  <c r="B1991" i="14"/>
  <c r="C1991" i="14" s="1"/>
  <c r="E1991" i="14" s="1"/>
  <c r="A1992" i="14"/>
  <c r="B1992" i="14"/>
  <c r="C1992" i="14" s="1"/>
  <c r="E1992" i="14" s="1"/>
  <c r="A1993" i="14"/>
  <c r="B1993" i="14"/>
  <c r="C1993" i="14" s="1"/>
  <c r="E1993" i="14" s="1"/>
  <c r="A1994" i="14"/>
  <c r="B1994" i="14"/>
  <c r="C1994" i="14" s="1"/>
  <c r="E1994" i="14" s="1"/>
  <c r="A1995" i="14"/>
  <c r="B1995" i="14"/>
  <c r="C1995" i="14" s="1"/>
  <c r="E1995" i="14" s="1"/>
  <c r="A1996" i="14"/>
  <c r="B1996" i="14"/>
  <c r="C1996" i="14" s="1"/>
  <c r="E1996" i="14" s="1"/>
  <c r="A1997" i="14"/>
  <c r="B1997" i="14"/>
  <c r="C1997" i="14" s="1"/>
  <c r="E1997" i="14" s="1"/>
  <c r="A1998" i="14"/>
  <c r="B1998" i="14"/>
  <c r="C1998" i="14" s="1"/>
  <c r="E1998" i="14" s="1"/>
  <c r="A1999" i="14"/>
  <c r="B1999" i="14"/>
  <c r="C1999" i="14" s="1"/>
  <c r="E1999" i="14" s="1"/>
  <c r="A2000" i="14"/>
  <c r="B2000" i="14"/>
  <c r="C2000" i="14" s="1"/>
  <c r="E2000" i="14" s="1"/>
  <c r="A2001" i="14"/>
  <c r="B2001" i="14"/>
  <c r="C2001" i="14" s="1"/>
  <c r="E2001" i="14" s="1"/>
  <c r="A2002" i="14"/>
  <c r="B2002" i="14"/>
  <c r="C2002" i="14" s="1"/>
  <c r="E2002" i="14" s="1"/>
  <c r="A2003" i="14"/>
  <c r="B2003" i="14"/>
  <c r="C2003" i="14" s="1"/>
  <c r="E2003" i="14" s="1"/>
  <c r="A2004" i="14"/>
  <c r="B2004" i="14"/>
  <c r="C2004" i="14" s="1"/>
  <c r="E2004" i="14" s="1"/>
  <c r="A2005" i="14"/>
  <c r="B2005" i="14"/>
  <c r="C2005" i="14" s="1"/>
  <c r="E2005" i="14" s="1"/>
  <c r="A2006" i="14"/>
  <c r="B2006" i="14"/>
  <c r="C2006" i="14" s="1"/>
  <c r="E2006" i="14" s="1"/>
  <c r="A2007" i="14"/>
  <c r="B2007" i="14"/>
  <c r="C2007" i="14" s="1"/>
  <c r="E2007" i="14" s="1"/>
  <c r="A2008" i="14"/>
  <c r="B2008" i="14"/>
  <c r="C2008" i="14" s="1"/>
  <c r="E2008" i="14" s="1"/>
  <c r="A2009" i="14"/>
  <c r="B2009" i="14"/>
  <c r="C2009" i="14" s="1"/>
  <c r="E2009" i="14" s="1"/>
  <c r="A2010" i="14"/>
  <c r="B2010" i="14"/>
  <c r="C2010" i="14" s="1"/>
  <c r="E2010" i="14" s="1"/>
  <c r="A2011" i="14"/>
  <c r="B2011" i="14"/>
  <c r="C2011" i="14" s="1"/>
  <c r="E2011" i="14" s="1"/>
  <c r="A2012" i="14"/>
  <c r="B2012" i="14"/>
  <c r="C2012" i="14" s="1"/>
  <c r="E2012" i="14" s="1"/>
  <c r="A2013" i="14"/>
  <c r="B2013" i="14"/>
  <c r="C2013" i="14" s="1"/>
  <c r="E2013" i="14" s="1"/>
  <c r="A2014" i="14"/>
  <c r="B2014" i="14"/>
  <c r="C2014" i="14" s="1"/>
  <c r="E2014" i="14" s="1"/>
  <c r="A2015" i="14"/>
  <c r="B2015" i="14"/>
  <c r="C2015" i="14" s="1"/>
  <c r="E2015" i="14" s="1"/>
  <c r="A2016" i="14"/>
  <c r="B2016" i="14"/>
  <c r="C2016" i="14" s="1"/>
  <c r="E2016" i="14" s="1"/>
  <c r="A2017" i="14"/>
  <c r="B2017" i="14"/>
  <c r="C2017" i="14" s="1"/>
  <c r="E2017" i="14" s="1"/>
  <c r="A2018" i="14"/>
  <c r="B2018" i="14"/>
  <c r="C2018" i="14" s="1"/>
  <c r="E2018" i="14" s="1"/>
  <c r="A2019" i="14"/>
  <c r="B2019" i="14"/>
  <c r="C2019" i="14" s="1"/>
  <c r="E2019" i="14" s="1"/>
  <c r="A2020" i="14"/>
  <c r="B2020" i="14"/>
  <c r="C2020" i="14" s="1"/>
  <c r="E2020" i="14" s="1"/>
  <c r="A2021" i="14"/>
  <c r="B2021" i="14"/>
  <c r="C2021" i="14" s="1"/>
  <c r="E2021" i="14" s="1"/>
  <c r="A2022" i="14"/>
  <c r="B2022" i="14"/>
  <c r="C2022" i="14" s="1"/>
  <c r="E2022" i="14" s="1"/>
  <c r="A2023" i="14"/>
  <c r="B2023" i="14"/>
  <c r="C2023" i="14" s="1"/>
  <c r="E2023" i="14" s="1"/>
  <c r="A2024" i="14"/>
  <c r="B2024" i="14"/>
  <c r="C2024" i="14" s="1"/>
  <c r="E2024" i="14" s="1"/>
  <c r="A2025" i="14"/>
  <c r="B2025" i="14"/>
  <c r="C2025" i="14" s="1"/>
  <c r="E2025" i="14" s="1"/>
  <c r="A2026" i="14"/>
  <c r="B2026" i="14"/>
  <c r="C2026" i="14" s="1"/>
  <c r="E2026" i="14" s="1"/>
  <c r="A2027" i="14"/>
  <c r="B2027" i="14"/>
  <c r="C2027" i="14" s="1"/>
  <c r="E2027" i="14" s="1"/>
  <c r="A2028" i="14"/>
  <c r="B2028" i="14"/>
  <c r="C2028" i="14" s="1"/>
  <c r="E2028" i="14" s="1"/>
  <c r="A2029" i="14"/>
  <c r="B2029" i="14"/>
  <c r="C2029" i="14" s="1"/>
  <c r="E2029" i="14" s="1"/>
  <c r="A2030" i="14"/>
  <c r="B2030" i="14"/>
  <c r="C2030" i="14" s="1"/>
  <c r="E2030" i="14" s="1"/>
  <c r="A2031" i="14"/>
  <c r="B2031" i="14"/>
  <c r="C2031" i="14" s="1"/>
  <c r="E2031" i="14" s="1"/>
  <c r="A2032" i="14"/>
  <c r="B2032" i="14"/>
  <c r="C2032" i="14" s="1"/>
  <c r="E2032" i="14" s="1"/>
  <c r="A2033" i="14"/>
  <c r="B2033" i="14"/>
  <c r="C2033" i="14" s="1"/>
  <c r="E2033" i="14" s="1"/>
  <c r="A2034" i="14"/>
  <c r="B2034" i="14"/>
  <c r="C2034" i="14" s="1"/>
  <c r="E2034" i="14" s="1"/>
  <c r="A2035" i="14"/>
  <c r="B2035" i="14"/>
  <c r="C2035" i="14" s="1"/>
  <c r="E2035" i="14" s="1"/>
  <c r="A2036" i="14"/>
  <c r="B2036" i="14"/>
  <c r="C2036" i="14" s="1"/>
  <c r="E2036" i="14" s="1"/>
  <c r="A2037" i="14"/>
  <c r="B2037" i="14"/>
  <c r="C2037" i="14" s="1"/>
  <c r="E2037" i="14" s="1"/>
  <c r="A2038" i="14"/>
  <c r="B2038" i="14"/>
  <c r="C2038" i="14" s="1"/>
  <c r="E2038" i="14" s="1"/>
  <c r="A2039" i="14"/>
  <c r="B2039" i="14"/>
  <c r="C2039" i="14" s="1"/>
  <c r="E2039" i="14" s="1"/>
  <c r="A2040" i="14"/>
  <c r="B2040" i="14"/>
  <c r="C2040" i="14" s="1"/>
  <c r="E2040" i="14" s="1"/>
  <c r="A2041" i="14"/>
  <c r="B2041" i="14"/>
  <c r="C2041" i="14" s="1"/>
  <c r="E2041" i="14" s="1"/>
  <c r="A2042" i="14"/>
  <c r="B2042" i="14"/>
  <c r="C2042" i="14" s="1"/>
  <c r="E2042" i="14" s="1"/>
  <c r="A2043" i="14"/>
  <c r="B2043" i="14"/>
  <c r="C2043" i="14" s="1"/>
  <c r="E2043" i="14" s="1"/>
  <c r="A2044" i="14"/>
  <c r="B2044" i="14"/>
  <c r="C2044" i="14" s="1"/>
  <c r="E2044" i="14" s="1"/>
  <c r="A2045" i="14"/>
  <c r="B2045" i="14"/>
  <c r="C2045" i="14" s="1"/>
  <c r="E2045" i="14" s="1"/>
  <c r="A2046" i="14"/>
  <c r="B2046" i="14"/>
  <c r="C2046" i="14" s="1"/>
  <c r="E2046" i="14" s="1"/>
  <c r="A2047" i="14"/>
  <c r="B2047" i="14"/>
  <c r="C2047" i="14" s="1"/>
  <c r="E2047" i="14" s="1"/>
  <c r="A2048" i="14"/>
  <c r="B2048" i="14"/>
  <c r="C2048" i="14" s="1"/>
  <c r="E2048" i="14" s="1"/>
  <c r="A2049" i="14"/>
  <c r="B2049" i="14"/>
  <c r="C2049" i="14" s="1"/>
  <c r="E2049" i="14" s="1"/>
  <c r="A2050" i="14"/>
  <c r="B2050" i="14"/>
  <c r="C2050" i="14" s="1"/>
  <c r="E2050" i="14" s="1"/>
  <c r="A2051" i="14"/>
  <c r="B2051" i="14"/>
  <c r="C2051" i="14" s="1"/>
  <c r="E2051" i="14" s="1"/>
  <c r="A2052" i="14"/>
  <c r="B2052" i="14"/>
  <c r="C2052" i="14" s="1"/>
  <c r="E2052" i="14" s="1"/>
  <c r="A2053" i="14"/>
  <c r="B2053" i="14"/>
  <c r="C2053" i="14" s="1"/>
  <c r="E2053" i="14" s="1"/>
  <c r="A2054" i="14"/>
  <c r="B2054" i="14"/>
  <c r="C2054" i="14" s="1"/>
  <c r="E2054" i="14" s="1"/>
  <c r="A2055" i="14"/>
  <c r="B2055" i="14"/>
  <c r="C2055" i="14" s="1"/>
  <c r="E2055" i="14" s="1"/>
  <c r="A2056" i="14"/>
  <c r="B2056" i="14"/>
  <c r="C2056" i="14" s="1"/>
  <c r="E2056" i="14" s="1"/>
  <c r="A2057" i="14"/>
  <c r="B2057" i="14"/>
  <c r="C2057" i="14" s="1"/>
  <c r="E2057" i="14" s="1"/>
  <c r="A2058" i="14"/>
  <c r="B2058" i="14"/>
  <c r="C2058" i="14" s="1"/>
  <c r="E2058" i="14" s="1"/>
  <c r="A2059" i="14"/>
  <c r="B2059" i="14"/>
  <c r="C2059" i="14" s="1"/>
  <c r="E2059" i="14" s="1"/>
  <c r="A2060" i="14"/>
  <c r="B2060" i="14"/>
  <c r="C2060" i="14" s="1"/>
  <c r="E2060" i="14" s="1"/>
  <c r="A2061" i="14"/>
  <c r="B2061" i="14"/>
  <c r="C2061" i="14" s="1"/>
  <c r="E2061" i="14" s="1"/>
  <c r="A2062" i="14"/>
  <c r="B2062" i="14"/>
  <c r="C2062" i="14" s="1"/>
  <c r="E2062" i="14" s="1"/>
  <c r="A2063" i="14"/>
  <c r="B2063" i="14"/>
  <c r="C2063" i="14" s="1"/>
  <c r="E2063" i="14" s="1"/>
  <c r="A2064" i="14"/>
  <c r="B2064" i="14"/>
  <c r="C2064" i="14" s="1"/>
  <c r="E2064" i="14" s="1"/>
  <c r="A2065" i="14"/>
  <c r="B2065" i="14"/>
  <c r="C2065" i="14" s="1"/>
  <c r="E2065" i="14" s="1"/>
  <c r="A2066" i="14"/>
  <c r="B2066" i="14"/>
  <c r="C2066" i="14" s="1"/>
  <c r="E2066" i="14" s="1"/>
  <c r="A2067" i="14"/>
  <c r="B2067" i="14"/>
  <c r="C2067" i="14" s="1"/>
  <c r="E2067" i="14" s="1"/>
  <c r="A2068" i="14"/>
  <c r="B2068" i="14"/>
  <c r="C2068" i="14" s="1"/>
  <c r="E2068" i="14" s="1"/>
  <c r="A2069" i="14"/>
  <c r="B2069" i="14"/>
  <c r="C2069" i="14" s="1"/>
  <c r="E2069" i="14" s="1"/>
  <c r="A2070" i="14"/>
  <c r="B2070" i="14"/>
  <c r="C2070" i="14" s="1"/>
  <c r="E2070" i="14" s="1"/>
  <c r="A2071" i="14"/>
  <c r="B2071" i="14"/>
  <c r="C2071" i="14" s="1"/>
  <c r="E2071" i="14" s="1"/>
  <c r="A2072" i="14"/>
  <c r="B2072" i="14"/>
  <c r="C2072" i="14" s="1"/>
  <c r="E2072" i="14" s="1"/>
  <c r="A2073" i="14"/>
  <c r="B2073" i="14"/>
  <c r="C2073" i="14" s="1"/>
  <c r="E2073" i="14" s="1"/>
  <c r="A2074" i="14"/>
  <c r="B2074" i="14"/>
  <c r="C2074" i="14" s="1"/>
  <c r="E2074" i="14" s="1"/>
  <c r="A2075" i="14"/>
  <c r="B2075" i="14"/>
  <c r="C2075" i="14" s="1"/>
  <c r="E2075" i="14" s="1"/>
  <c r="A2076" i="14"/>
  <c r="B2076" i="14"/>
  <c r="C2076" i="14" s="1"/>
  <c r="E2076" i="14" s="1"/>
  <c r="A2077" i="14"/>
  <c r="B2077" i="14"/>
  <c r="C2077" i="14" s="1"/>
  <c r="E2077" i="14" s="1"/>
  <c r="A2078" i="14"/>
  <c r="B2078" i="14"/>
  <c r="C2078" i="14" s="1"/>
  <c r="E2078" i="14" s="1"/>
  <c r="A2079" i="14"/>
  <c r="B2079" i="14"/>
  <c r="C2079" i="14" s="1"/>
  <c r="E2079" i="14" s="1"/>
  <c r="A2080" i="14"/>
  <c r="B2080" i="14"/>
  <c r="C2080" i="14" s="1"/>
  <c r="E2080" i="14" s="1"/>
  <c r="A2081" i="14"/>
  <c r="B2081" i="14"/>
  <c r="C2081" i="14" s="1"/>
  <c r="E2081" i="14" s="1"/>
  <c r="A2082" i="14"/>
  <c r="B2082" i="14"/>
  <c r="C2082" i="14" s="1"/>
  <c r="E2082" i="14" s="1"/>
  <c r="A2083" i="14"/>
  <c r="B2083" i="14"/>
  <c r="C2083" i="14" s="1"/>
  <c r="E2083" i="14" s="1"/>
  <c r="A2084" i="14"/>
  <c r="B2084" i="14"/>
  <c r="C2084" i="14" s="1"/>
  <c r="E2084" i="14" s="1"/>
  <c r="A2085" i="14"/>
  <c r="B2085" i="14"/>
  <c r="C2085" i="14" s="1"/>
  <c r="E2085" i="14" s="1"/>
  <c r="A2086" i="14"/>
  <c r="B2086" i="14"/>
  <c r="C2086" i="14" s="1"/>
  <c r="E2086" i="14" s="1"/>
  <c r="A2087" i="14"/>
  <c r="B2087" i="14"/>
  <c r="C2087" i="14" s="1"/>
  <c r="E2087" i="14" s="1"/>
  <c r="A2088" i="14"/>
  <c r="B2088" i="14"/>
  <c r="C2088" i="14" s="1"/>
  <c r="E2088" i="14" s="1"/>
  <c r="A2089" i="14"/>
  <c r="B2089" i="14"/>
  <c r="C2089" i="14" s="1"/>
  <c r="E2089" i="14" s="1"/>
  <c r="A2090" i="14"/>
  <c r="B2090" i="14"/>
  <c r="C2090" i="14" s="1"/>
  <c r="E2090" i="14" s="1"/>
  <c r="A2091" i="14"/>
  <c r="B2091" i="14"/>
  <c r="C2091" i="14" s="1"/>
  <c r="E2091" i="14" s="1"/>
  <c r="A2092" i="14"/>
  <c r="B2092" i="14"/>
  <c r="C2092" i="14" s="1"/>
  <c r="E2092" i="14" s="1"/>
  <c r="A2093" i="14"/>
  <c r="B2093" i="14"/>
  <c r="C2093" i="14" s="1"/>
  <c r="E2093" i="14" s="1"/>
  <c r="A2094" i="14"/>
  <c r="B2094" i="14"/>
  <c r="C2094" i="14" s="1"/>
  <c r="E2094" i="14" s="1"/>
  <c r="A2095" i="14"/>
  <c r="B2095" i="14"/>
  <c r="C2095" i="14" s="1"/>
  <c r="E2095" i="14" s="1"/>
  <c r="A2096" i="14"/>
  <c r="B2096" i="14"/>
  <c r="C2096" i="14" s="1"/>
  <c r="E2096" i="14" s="1"/>
  <c r="A2097" i="14"/>
  <c r="B2097" i="14"/>
  <c r="C2097" i="14" s="1"/>
  <c r="E2097" i="14" s="1"/>
  <c r="A2098" i="14"/>
  <c r="B2098" i="14"/>
  <c r="C2098" i="14" s="1"/>
  <c r="E2098" i="14" s="1"/>
  <c r="A2099" i="14"/>
  <c r="B2099" i="14"/>
  <c r="C2099" i="14" s="1"/>
  <c r="E2099" i="14" s="1"/>
  <c r="A2100" i="14"/>
  <c r="B2100" i="14"/>
  <c r="C2100" i="14" s="1"/>
  <c r="E2100" i="14" s="1"/>
  <c r="A2101" i="14"/>
  <c r="B2101" i="14"/>
  <c r="C2101" i="14" s="1"/>
  <c r="E2101" i="14" s="1"/>
  <c r="A2102" i="14"/>
  <c r="B2102" i="14"/>
  <c r="C2102" i="14" s="1"/>
  <c r="E2102" i="14" s="1"/>
  <c r="A2103" i="14"/>
  <c r="B2103" i="14"/>
  <c r="C2103" i="14" s="1"/>
  <c r="E2103" i="14" s="1"/>
  <c r="A2104" i="14"/>
  <c r="B2104" i="14"/>
  <c r="C2104" i="14" s="1"/>
  <c r="E2104" i="14" s="1"/>
  <c r="A2105" i="14"/>
  <c r="B2105" i="14"/>
  <c r="C2105" i="14" s="1"/>
  <c r="E2105" i="14" s="1"/>
  <c r="A2106" i="14"/>
  <c r="B2106" i="14"/>
  <c r="C2106" i="14" s="1"/>
  <c r="E2106" i="14" s="1"/>
  <c r="A2107" i="14"/>
  <c r="B2107" i="14"/>
  <c r="C2107" i="14" s="1"/>
  <c r="E2107" i="14" s="1"/>
  <c r="A2108" i="14"/>
  <c r="B2108" i="14"/>
  <c r="C2108" i="14" s="1"/>
  <c r="E2108" i="14" s="1"/>
  <c r="A2109" i="14"/>
  <c r="B2109" i="14"/>
  <c r="C2109" i="14" s="1"/>
  <c r="E2109" i="14" s="1"/>
  <c r="A2110" i="14"/>
  <c r="B2110" i="14"/>
  <c r="C2110" i="14" s="1"/>
  <c r="E2110" i="14" s="1"/>
  <c r="A2111" i="14"/>
  <c r="B2111" i="14"/>
  <c r="C2111" i="14" s="1"/>
  <c r="E2111" i="14" s="1"/>
  <c r="A2112" i="14"/>
  <c r="B2112" i="14"/>
  <c r="C2112" i="14" s="1"/>
  <c r="E2112" i="14" s="1"/>
  <c r="A2113" i="14"/>
  <c r="B2113" i="14"/>
  <c r="C2113" i="14" s="1"/>
  <c r="E2113" i="14" s="1"/>
  <c r="A2114" i="14"/>
  <c r="B2114" i="14"/>
  <c r="C2114" i="14" s="1"/>
  <c r="E2114" i="14" s="1"/>
  <c r="A2115" i="14"/>
  <c r="B2115" i="14"/>
  <c r="C2115" i="14" s="1"/>
  <c r="E2115" i="14" s="1"/>
  <c r="A2116" i="14"/>
  <c r="B2116" i="14"/>
  <c r="C2116" i="14" s="1"/>
  <c r="E2116" i="14" s="1"/>
  <c r="A2117" i="14"/>
  <c r="B2117" i="14"/>
  <c r="C2117" i="14" s="1"/>
  <c r="E2117" i="14" s="1"/>
  <c r="A2118" i="14"/>
  <c r="B2118" i="14"/>
  <c r="C2118" i="14" s="1"/>
  <c r="E2118" i="14" s="1"/>
  <c r="A2119" i="14"/>
  <c r="B2119" i="14"/>
  <c r="C2119" i="14" s="1"/>
  <c r="E2119" i="14" s="1"/>
  <c r="A2120" i="14"/>
  <c r="B2120" i="14"/>
  <c r="C2120" i="14" s="1"/>
  <c r="E2120" i="14" s="1"/>
  <c r="A2121" i="14"/>
  <c r="B2121" i="14"/>
  <c r="C2121" i="14" s="1"/>
  <c r="E2121" i="14" s="1"/>
  <c r="A2122" i="14"/>
  <c r="B2122" i="14"/>
  <c r="C2122" i="14" s="1"/>
  <c r="E2122" i="14" s="1"/>
  <c r="A2123" i="14"/>
  <c r="B2123" i="14"/>
  <c r="C2123" i="14" s="1"/>
  <c r="E2123" i="14" s="1"/>
  <c r="A2124" i="14"/>
  <c r="B2124" i="14"/>
  <c r="C2124" i="14" s="1"/>
  <c r="E2124" i="14" s="1"/>
  <c r="A2125" i="14"/>
  <c r="B2125" i="14"/>
  <c r="C2125" i="14" s="1"/>
  <c r="E2125" i="14" s="1"/>
  <c r="A2126" i="14"/>
  <c r="B2126" i="14"/>
  <c r="C2126" i="14" s="1"/>
  <c r="E2126" i="14" s="1"/>
  <c r="A2127" i="14"/>
  <c r="B2127" i="14"/>
  <c r="C2127" i="14" s="1"/>
  <c r="E2127" i="14" s="1"/>
  <c r="A2128" i="14"/>
  <c r="B2128" i="14"/>
  <c r="C2128" i="14" s="1"/>
  <c r="E2128" i="14" s="1"/>
  <c r="A2129" i="14"/>
  <c r="B2129" i="14"/>
  <c r="C2129" i="14" s="1"/>
  <c r="E2129" i="14" s="1"/>
  <c r="A2130" i="14"/>
  <c r="B2130" i="14"/>
  <c r="C2130" i="14" s="1"/>
  <c r="E2130" i="14" s="1"/>
  <c r="A2131" i="14"/>
  <c r="B2131" i="14"/>
  <c r="C2131" i="14" s="1"/>
  <c r="E2131" i="14" s="1"/>
  <c r="A2132" i="14"/>
  <c r="B2132" i="14"/>
  <c r="C2132" i="14" s="1"/>
  <c r="E2132" i="14" s="1"/>
  <c r="A2133" i="14"/>
  <c r="B2133" i="14"/>
  <c r="C2133" i="14" s="1"/>
  <c r="E2133" i="14" s="1"/>
  <c r="A2134" i="14"/>
  <c r="B2134" i="14"/>
  <c r="C2134" i="14" s="1"/>
  <c r="E2134" i="14" s="1"/>
  <c r="A2135" i="14"/>
  <c r="B2135" i="14"/>
  <c r="C2135" i="14" s="1"/>
  <c r="E2135" i="14" s="1"/>
  <c r="A2136" i="14"/>
  <c r="B2136" i="14"/>
  <c r="C2136" i="14" s="1"/>
  <c r="E2136" i="14" s="1"/>
  <c r="A2137" i="14"/>
  <c r="B2137" i="14"/>
  <c r="C2137" i="14" s="1"/>
  <c r="E2137" i="14" s="1"/>
  <c r="A2138" i="14"/>
  <c r="B2138" i="14"/>
  <c r="C2138" i="14" s="1"/>
  <c r="E2138" i="14" s="1"/>
  <c r="A2139" i="14"/>
  <c r="B2139" i="14"/>
  <c r="C2139" i="14" s="1"/>
  <c r="E2139" i="14" s="1"/>
  <c r="A2140" i="14"/>
  <c r="B2140" i="14"/>
  <c r="C2140" i="14" s="1"/>
  <c r="E2140" i="14" s="1"/>
  <c r="A2141" i="14"/>
  <c r="B2141" i="14"/>
  <c r="C2141" i="14" s="1"/>
  <c r="E2141" i="14" s="1"/>
  <c r="A2142" i="14"/>
  <c r="B2142" i="14"/>
  <c r="C2142" i="14" s="1"/>
  <c r="E2142" i="14" s="1"/>
  <c r="A2143" i="14"/>
  <c r="B2143" i="14"/>
  <c r="C2143" i="14" s="1"/>
  <c r="E2143" i="14" s="1"/>
  <c r="A2144" i="14"/>
  <c r="B2144" i="14"/>
  <c r="C2144" i="14" s="1"/>
  <c r="E2144" i="14" s="1"/>
  <c r="A2145" i="14"/>
  <c r="B2145" i="14"/>
  <c r="C2145" i="14" s="1"/>
  <c r="E2145" i="14" s="1"/>
  <c r="A2146" i="14"/>
  <c r="B2146" i="14"/>
  <c r="C2146" i="14" s="1"/>
  <c r="E2146" i="14" s="1"/>
  <c r="A2147" i="14"/>
  <c r="B2147" i="14"/>
  <c r="C2147" i="14" s="1"/>
  <c r="E2147" i="14" s="1"/>
  <c r="A2148" i="14"/>
  <c r="B2148" i="14"/>
  <c r="C2148" i="14" s="1"/>
  <c r="E2148" i="14" s="1"/>
  <c r="A2149" i="14"/>
  <c r="B2149" i="14"/>
  <c r="C2149" i="14" s="1"/>
  <c r="E2149" i="14" s="1"/>
  <c r="A2150" i="14"/>
  <c r="B2150" i="14"/>
  <c r="C2150" i="14" s="1"/>
  <c r="E2150" i="14" s="1"/>
  <c r="A2151" i="14"/>
  <c r="B2151" i="14"/>
  <c r="C2151" i="14" s="1"/>
  <c r="E2151" i="14" s="1"/>
  <c r="A2152" i="14"/>
  <c r="B2152" i="14"/>
  <c r="C2152" i="14" s="1"/>
  <c r="E2152" i="14" s="1"/>
  <c r="A2153" i="14"/>
  <c r="B2153" i="14"/>
  <c r="C2153" i="14" s="1"/>
  <c r="E2153" i="14" s="1"/>
  <c r="A2154" i="14"/>
  <c r="B2154" i="14"/>
  <c r="C2154" i="14" s="1"/>
  <c r="E2154" i="14" s="1"/>
  <c r="A2155" i="14"/>
  <c r="B2155" i="14"/>
  <c r="C2155" i="14" s="1"/>
  <c r="E2155" i="14" s="1"/>
  <c r="A2156" i="14"/>
  <c r="B2156" i="14"/>
  <c r="C2156" i="14" s="1"/>
  <c r="E2156" i="14" s="1"/>
  <c r="A2157" i="14"/>
  <c r="B2157" i="14"/>
  <c r="C2157" i="14" s="1"/>
  <c r="E2157" i="14" s="1"/>
  <c r="A2158" i="14"/>
  <c r="B2158" i="14"/>
  <c r="C2158" i="14" s="1"/>
  <c r="E2158" i="14" s="1"/>
  <c r="A2159" i="14"/>
  <c r="B2159" i="14"/>
  <c r="C2159" i="14" s="1"/>
  <c r="E2159" i="14" s="1"/>
  <c r="A2160" i="14"/>
  <c r="B2160" i="14"/>
  <c r="C2160" i="14" s="1"/>
  <c r="E2160" i="14" s="1"/>
  <c r="A2161" i="14"/>
  <c r="B2161" i="14"/>
  <c r="C2161" i="14" s="1"/>
  <c r="E2161" i="14" s="1"/>
  <c r="A2162" i="14"/>
  <c r="B2162" i="14"/>
  <c r="C2162" i="14" s="1"/>
  <c r="E2162" i="14" s="1"/>
  <c r="A2163" i="14"/>
  <c r="B2163" i="14"/>
  <c r="C2163" i="14" s="1"/>
  <c r="E2163" i="14" s="1"/>
  <c r="A2164" i="14"/>
  <c r="B2164" i="14"/>
  <c r="C2164" i="14" s="1"/>
  <c r="E2164" i="14" s="1"/>
  <c r="A2165" i="14"/>
  <c r="B2165" i="14"/>
  <c r="C2165" i="14" s="1"/>
  <c r="E2165" i="14" s="1"/>
  <c r="A2166" i="14"/>
  <c r="B2166" i="14"/>
  <c r="C2166" i="14" s="1"/>
  <c r="E2166" i="14" s="1"/>
  <c r="A2167" i="14"/>
  <c r="B2167" i="14"/>
  <c r="C2167" i="14" s="1"/>
  <c r="E2167" i="14" s="1"/>
  <c r="A2168" i="14"/>
  <c r="B2168" i="14"/>
  <c r="C2168" i="14" s="1"/>
  <c r="E2168" i="14" s="1"/>
  <c r="A2169" i="14"/>
  <c r="B2169" i="14"/>
  <c r="C2169" i="14" s="1"/>
  <c r="E2169" i="14" s="1"/>
  <c r="A2170" i="14"/>
  <c r="B2170" i="14"/>
  <c r="C2170" i="14" s="1"/>
  <c r="E2170" i="14" s="1"/>
  <c r="A2171" i="14"/>
  <c r="B2171" i="14"/>
  <c r="C2171" i="14" s="1"/>
  <c r="E2171" i="14" s="1"/>
  <c r="A2172" i="14"/>
  <c r="B2172" i="14"/>
  <c r="C2172" i="14" s="1"/>
  <c r="E2172" i="14" s="1"/>
  <c r="A2173" i="14"/>
  <c r="B2173" i="14"/>
  <c r="C2173" i="14" s="1"/>
  <c r="E2173" i="14" s="1"/>
  <c r="A2174" i="14"/>
  <c r="B2174" i="14"/>
  <c r="C2174" i="14" s="1"/>
  <c r="E2174" i="14" s="1"/>
  <c r="A2175" i="14"/>
  <c r="B2175" i="14"/>
  <c r="C2175" i="14" s="1"/>
  <c r="E2175" i="14" s="1"/>
  <c r="A2176" i="14"/>
  <c r="B2176" i="14"/>
  <c r="C2176" i="14" s="1"/>
  <c r="E2176" i="14" s="1"/>
  <c r="A2177" i="14"/>
  <c r="B2177" i="14"/>
  <c r="C2177" i="14" s="1"/>
  <c r="E2177" i="14" s="1"/>
  <c r="A2178" i="14"/>
  <c r="B2178" i="14"/>
  <c r="C2178" i="14" s="1"/>
  <c r="E2178" i="14" s="1"/>
  <c r="A2179" i="14"/>
  <c r="B2179" i="14"/>
  <c r="C2179" i="14" s="1"/>
  <c r="E2179" i="14" s="1"/>
  <c r="A2180" i="14"/>
  <c r="B2180" i="14"/>
  <c r="C2180" i="14" s="1"/>
  <c r="E2180" i="14" s="1"/>
  <c r="A2181" i="14"/>
  <c r="B2181" i="14"/>
  <c r="C2181" i="14" s="1"/>
  <c r="E2181" i="14" s="1"/>
  <c r="A2182" i="14"/>
  <c r="B2182" i="14"/>
  <c r="C2182" i="14" s="1"/>
  <c r="E2182" i="14" s="1"/>
  <c r="A2183" i="14"/>
  <c r="B2183" i="14"/>
  <c r="C2183" i="14" s="1"/>
  <c r="E2183" i="14" s="1"/>
  <c r="A2184" i="14"/>
  <c r="B2184" i="14"/>
  <c r="C2184" i="14" s="1"/>
  <c r="E2184" i="14" s="1"/>
  <c r="A2185" i="14"/>
  <c r="B2185" i="14"/>
  <c r="C2185" i="14" s="1"/>
  <c r="E2185" i="14" s="1"/>
  <c r="A2186" i="14"/>
  <c r="B2186" i="14"/>
  <c r="C2186" i="14" s="1"/>
  <c r="E2186" i="14" s="1"/>
  <c r="A2187" i="14"/>
  <c r="B2187" i="14"/>
  <c r="C2187" i="14" s="1"/>
  <c r="E2187" i="14" s="1"/>
  <c r="A2188" i="14"/>
  <c r="B2188" i="14"/>
  <c r="C2188" i="14" s="1"/>
  <c r="E2188" i="14" s="1"/>
  <c r="A2189" i="14"/>
  <c r="B2189" i="14"/>
  <c r="C2189" i="14" s="1"/>
  <c r="E2189" i="14" s="1"/>
  <c r="A2190" i="14"/>
  <c r="B2190" i="14"/>
  <c r="C2190" i="14" s="1"/>
  <c r="E2190" i="14" s="1"/>
  <c r="A2191" i="14"/>
  <c r="B2191" i="14"/>
  <c r="C2191" i="14" s="1"/>
  <c r="E2191" i="14" s="1"/>
  <c r="A2192" i="14"/>
  <c r="B2192" i="14"/>
  <c r="C2192" i="14" s="1"/>
  <c r="E2192" i="14" s="1"/>
  <c r="A2193" i="14"/>
  <c r="B2193" i="14"/>
  <c r="C2193" i="14" s="1"/>
  <c r="E2193" i="14" s="1"/>
  <c r="A2194" i="14"/>
  <c r="B2194" i="14"/>
  <c r="C2194" i="14" s="1"/>
  <c r="E2194" i="14" s="1"/>
  <c r="A2195" i="14"/>
  <c r="B2195" i="14"/>
  <c r="C2195" i="14" s="1"/>
  <c r="E2195" i="14" s="1"/>
  <c r="A2196" i="14"/>
  <c r="B2196" i="14"/>
  <c r="C2196" i="14" s="1"/>
  <c r="E2196" i="14" s="1"/>
  <c r="A2197" i="14"/>
  <c r="B2197" i="14"/>
  <c r="C2197" i="14" s="1"/>
  <c r="E2197" i="14" s="1"/>
  <c r="A2198" i="14"/>
  <c r="B2198" i="14"/>
  <c r="C2198" i="14" s="1"/>
  <c r="E2198" i="14" s="1"/>
  <c r="A2199" i="14"/>
  <c r="B2199" i="14"/>
  <c r="C2199" i="14" s="1"/>
  <c r="E2199" i="14" s="1"/>
  <c r="A2200" i="14"/>
  <c r="B2200" i="14"/>
  <c r="C2200" i="14" s="1"/>
  <c r="E2200" i="14" s="1"/>
  <c r="A2201" i="14"/>
  <c r="B2201" i="14"/>
  <c r="C2201" i="14" s="1"/>
  <c r="E2201" i="14" s="1"/>
  <c r="A2202" i="14"/>
  <c r="B2202" i="14"/>
  <c r="C2202" i="14" s="1"/>
  <c r="E2202" i="14" s="1"/>
  <c r="A2203" i="14"/>
  <c r="B2203" i="14"/>
  <c r="C2203" i="14" s="1"/>
  <c r="E2203" i="14" s="1"/>
  <c r="A2204" i="14"/>
  <c r="B2204" i="14"/>
  <c r="C2204" i="14" s="1"/>
  <c r="E2204" i="14" s="1"/>
  <c r="A2205" i="14"/>
  <c r="B2205" i="14"/>
  <c r="C2205" i="14" s="1"/>
  <c r="E2205" i="14" s="1"/>
  <c r="A2206" i="14"/>
  <c r="B2206" i="14"/>
  <c r="C2206" i="14" s="1"/>
  <c r="E2206" i="14" s="1"/>
  <c r="A2207" i="14"/>
  <c r="B2207" i="14"/>
  <c r="C2207" i="14" s="1"/>
  <c r="E2207" i="14" s="1"/>
  <c r="A2208" i="14"/>
  <c r="B2208" i="14"/>
  <c r="C2208" i="14" s="1"/>
  <c r="E2208" i="14" s="1"/>
  <c r="A2209" i="14"/>
  <c r="B2209" i="14"/>
  <c r="C2209" i="14" s="1"/>
  <c r="E2209" i="14" s="1"/>
  <c r="A2210" i="14"/>
  <c r="B2210" i="14"/>
  <c r="C2210" i="14" s="1"/>
  <c r="E2210" i="14" s="1"/>
  <c r="A2211" i="14"/>
  <c r="B2211" i="14"/>
  <c r="C2211" i="14" s="1"/>
  <c r="E2211" i="14" s="1"/>
  <c r="A2212" i="14"/>
  <c r="B2212" i="14"/>
  <c r="C2212" i="14" s="1"/>
  <c r="E2212" i="14" s="1"/>
  <c r="A2213" i="14"/>
  <c r="B2213" i="14"/>
  <c r="C2213" i="14" s="1"/>
  <c r="E2213" i="14" s="1"/>
  <c r="A2214" i="14"/>
  <c r="B2214" i="14"/>
  <c r="C2214" i="14" s="1"/>
  <c r="E2214" i="14" s="1"/>
  <c r="A2215" i="14"/>
  <c r="B2215" i="14"/>
  <c r="C2215" i="14" s="1"/>
  <c r="E2215" i="14" s="1"/>
  <c r="A2216" i="14"/>
  <c r="B2216" i="14"/>
  <c r="C2216" i="14" s="1"/>
  <c r="E2216" i="14" s="1"/>
  <c r="A2217" i="14"/>
  <c r="B2217" i="14"/>
  <c r="C2217" i="14" s="1"/>
  <c r="E2217" i="14" s="1"/>
  <c r="A2218" i="14"/>
  <c r="B2218" i="14"/>
  <c r="C2218" i="14" s="1"/>
  <c r="E2218" i="14" s="1"/>
  <c r="A2219" i="14"/>
  <c r="B2219" i="14"/>
  <c r="C2219" i="14" s="1"/>
  <c r="E2219" i="14" s="1"/>
  <c r="A2220" i="14"/>
  <c r="B2220" i="14"/>
  <c r="C2220" i="14" s="1"/>
  <c r="E2220" i="14" s="1"/>
  <c r="A2221" i="14"/>
  <c r="B2221" i="14"/>
  <c r="C2221" i="14" s="1"/>
  <c r="E2221" i="14" s="1"/>
  <c r="A2222" i="14"/>
  <c r="B2222" i="14"/>
  <c r="C2222" i="14" s="1"/>
  <c r="E2222" i="14" s="1"/>
  <c r="A2223" i="14"/>
  <c r="B2223" i="14"/>
  <c r="C2223" i="14" s="1"/>
  <c r="E2223" i="14" s="1"/>
  <c r="A2224" i="14"/>
  <c r="B2224" i="14"/>
  <c r="C2224" i="14" s="1"/>
  <c r="E2224" i="14" s="1"/>
  <c r="A2225" i="14"/>
  <c r="B2225" i="14"/>
  <c r="C2225" i="14" s="1"/>
  <c r="E2225" i="14" s="1"/>
  <c r="A2226" i="14"/>
  <c r="B2226" i="14"/>
  <c r="C2226" i="14" s="1"/>
  <c r="E2226" i="14" s="1"/>
  <c r="A2227" i="14"/>
  <c r="B2227" i="14"/>
  <c r="C2227" i="14" s="1"/>
  <c r="E2227" i="14" s="1"/>
  <c r="A2228" i="14"/>
  <c r="B2228" i="14"/>
  <c r="C2228" i="14" s="1"/>
  <c r="E2228" i="14" s="1"/>
  <c r="A2229" i="14"/>
  <c r="B2229" i="14"/>
  <c r="C2229" i="14" s="1"/>
  <c r="E2229" i="14" s="1"/>
  <c r="A2230" i="14"/>
  <c r="B2230" i="14"/>
  <c r="C2230" i="14" s="1"/>
  <c r="E2230" i="14" s="1"/>
  <c r="A2231" i="14"/>
  <c r="B2231" i="14"/>
  <c r="C2231" i="14" s="1"/>
  <c r="E2231" i="14" s="1"/>
  <c r="A2232" i="14"/>
  <c r="B2232" i="14"/>
  <c r="C2232" i="14" s="1"/>
  <c r="E2232" i="14" s="1"/>
  <c r="A2233" i="14"/>
  <c r="B2233" i="14"/>
  <c r="C2233" i="14" s="1"/>
  <c r="E2233" i="14" s="1"/>
  <c r="A2234" i="14"/>
  <c r="B2234" i="14"/>
  <c r="C2234" i="14" s="1"/>
  <c r="E2234" i="14" s="1"/>
  <c r="A2235" i="14"/>
  <c r="B2235" i="14"/>
  <c r="C2235" i="14" s="1"/>
  <c r="E2235" i="14" s="1"/>
  <c r="A2236" i="14"/>
  <c r="B2236" i="14"/>
  <c r="C2236" i="14" s="1"/>
  <c r="E2236" i="14" s="1"/>
  <c r="A2237" i="14"/>
  <c r="B2237" i="14"/>
  <c r="C2237" i="14" s="1"/>
  <c r="E2237" i="14" s="1"/>
  <c r="A2238" i="14"/>
  <c r="B2238" i="14"/>
  <c r="C2238" i="14" s="1"/>
  <c r="E2238" i="14" s="1"/>
  <c r="A2239" i="14"/>
  <c r="B2239" i="14"/>
  <c r="C2239" i="14" s="1"/>
  <c r="E2239" i="14" s="1"/>
  <c r="A2240" i="14"/>
  <c r="B2240" i="14"/>
  <c r="C2240" i="14" s="1"/>
  <c r="E2240" i="14" s="1"/>
  <c r="A2241" i="14"/>
  <c r="B2241" i="14"/>
  <c r="C2241" i="14" s="1"/>
  <c r="E2241" i="14" s="1"/>
  <c r="A2242" i="14"/>
  <c r="B2242" i="14"/>
  <c r="C2242" i="14" s="1"/>
  <c r="E2242" i="14" s="1"/>
  <c r="A2243" i="14"/>
  <c r="B2243" i="14"/>
  <c r="C2243" i="14" s="1"/>
  <c r="E2243" i="14" s="1"/>
  <c r="A2244" i="14"/>
  <c r="B2244" i="14"/>
  <c r="C2244" i="14" s="1"/>
  <c r="E2244" i="14" s="1"/>
  <c r="A2245" i="14"/>
  <c r="B2245" i="14"/>
  <c r="C2245" i="14" s="1"/>
  <c r="E2245" i="14" s="1"/>
  <c r="A2246" i="14"/>
  <c r="B2246" i="14"/>
  <c r="C2246" i="14" s="1"/>
  <c r="E2246" i="14" s="1"/>
  <c r="A2247" i="14"/>
  <c r="B2247" i="14"/>
  <c r="C2247" i="14" s="1"/>
  <c r="E2247" i="14" s="1"/>
  <c r="A2248" i="14"/>
  <c r="B2248" i="14"/>
  <c r="C2248" i="14" s="1"/>
  <c r="E2248" i="14" s="1"/>
  <c r="A2249" i="14"/>
  <c r="B2249" i="14"/>
  <c r="C2249" i="14" s="1"/>
  <c r="E2249" i="14" s="1"/>
  <c r="A2250" i="14"/>
  <c r="B2250" i="14"/>
  <c r="C2250" i="14" s="1"/>
  <c r="E2250" i="14" s="1"/>
  <c r="A2251" i="14"/>
  <c r="B2251" i="14"/>
  <c r="C2251" i="14" s="1"/>
  <c r="E2251" i="14" s="1"/>
  <c r="A2252" i="14"/>
  <c r="B2252" i="14"/>
  <c r="C2252" i="14" s="1"/>
  <c r="E2252" i="14" s="1"/>
  <c r="A2253" i="14"/>
  <c r="B2253" i="14"/>
  <c r="C2253" i="14" s="1"/>
  <c r="E2253" i="14" s="1"/>
  <c r="A2254" i="14"/>
  <c r="B2254" i="14"/>
  <c r="C2254" i="14" s="1"/>
  <c r="E2254" i="14" s="1"/>
  <c r="A2255" i="14"/>
  <c r="B2255" i="14"/>
  <c r="C2255" i="14" s="1"/>
  <c r="E2255" i="14" s="1"/>
  <c r="A2256" i="14"/>
  <c r="B2256" i="14"/>
  <c r="C2256" i="14" s="1"/>
  <c r="E2256" i="14" s="1"/>
  <c r="A2257" i="14"/>
  <c r="B2257" i="14"/>
  <c r="C2257" i="14" s="1"/>
  <c r="E2257" i="14" s="1"/>
  <c r="A2258" i="14"/>
  <c r="B2258" i="14"/>
  <c r="C2258" i="14" s="1"/>
  <c r="E2258" i="14" s="1"/>
  <c r="A2259" i="14"/>
  <c r="B2259" i="14"/>
  <c r="C2259" i="14" s="1"/>
  <c r="E2259" i="14" s="1"/>
  <c r="A2260" i="14"/>
  <c r="B2260" i="14"/>
  <c r="C2260" i="14" s="1"/>
  <c r="E2260" i="14" s="1"/>
  <c r="A2261" i="14"/>
  <c r="B2261" i="14"/>
  <c r="C2261" i="14" s="1"/>
  <c r="E2261" i="14" s="1"/>
  <c r="A2262" i="14"/>
  <c r="B2262" i="14"/>
  <c r="C2262" i="14" s="1"/>
  <c r="E2262" i="14" s="1"/>
  <c r="A2263" i="14"/>
  <c r="B2263" i="14"/>
  <c r="C2263" i="14" s="1"/>
  <c r="E2263" i="14" s="1"/>
  <c r="A2264" i="14"/>
  <c r="B2264" i="14"/>
  <c r="C2264" i="14" s="1"/>
  <c r="E2264" i="14" s="1"/>
  <c r="A2265" i="14"/>
  <c r="B2265" i="14"/>
  <c r="C2265" i="14" s="1"/>
  <c r="E2265" i="14" s="1"/>
  <c r="A2266" i="14"/>
  <c r="B2266" i="14"/>
  <c r="C2266" i="14" s="1"/>
  <c r="E2266" i="14" s="1"/>
  <c r="A2267" i="14"/>
  <c r="B2267" i="14"/>
  <c r="C2267" i="14" s="1"/>
  <c r="E2267" i="14" s="1"/>
  <c r="A2268" i="14"/>
  <c r="B2268" i="14"/>
  <c r="C2268" i="14" s="1"/>
  <c r="E2268" i="14" s="1"/>
  <c r="A2269" i="14"/>
  <c r="B2269" i="14"/>
  <c r="C2269" i="14" s="1"/>
  <c r="E2269" i="14" s="1"/>
  <c r="A2270" i="14"/>
  <c r="B2270" i="14"/>
  <c r="C2270" i="14" s="1"/>
  <c r="E2270" i="14" s="1"/>
  <c r="A2271" i="14"/>
  <c r="B2271" i="14"/>
  <c r="C2271" i="14" s="1"/>
  <c r="E2271" i="14" s="1"/>
  <c r="A2272" i="14"/>
  <c r="B2272" i="14"/>
  <c r="C2272" i="14" s="1"/>
  <c r="E2272" i="14" s="1"/>
  <c r="A2273" i="14"/>
  <c r="B2273" i="14"/>
  <c r="C2273" i="14" s="1"/>
  <c r="E2273" i="14" s="1"/>
  <c r="A2274" i="14"/>
  <c r="B2274" i="14"/>
  <c r="C2274" i="14" s="1"/>
  <c r="E2274" i="14" s="1"/>
  <c r="A2275" i="14"/>
  <c r="B2275" i="14"/>
  <c r="C2275" i="14" s="1"/>
  <c r="E2275" i="14" s="1"/>
  <c r="A2276" i="14"/>
  <c r="B2276" i="14"/>
  <c r="C2276" i="14" s="1"/>
  <c r="E2276" i="14" s="1"/>
  <c r="A2277" i="14"/>
  <c r="B2277" i="14"/>
  <c r="C2277" i="14" s="1"/>
  <c r="E2277" i="14" s="1"/>
  <c r="A2278" i="14"/>
  <c r="B2278" i="14"/>
  <c r="C2278" i="14" s="1"/>
  <c r="E2278" i="14" s="1"/>
  <c r="A2279" i="14"/>
  <c r="B2279" i="14"/>
  <c r="C2279" i="14" s="1"/>
  <c r="E2279" i="14" s="1"/>
  <c r="A2280" i="14"/>
  <c r="B2280" i="14"/>
  <c r="C2280" i="14" s="1"/>
  <c r="E2280" i="14" s="1"/>
  <c r="A2281" i="14"/>
  <c r="B2281" i="14"/>
  <c r="C2281" i="14" s="1"/>
  <c r="E2281" i="14" s="1"/>
  <c r="A2282" i="14"/>
  <c r="B2282" i="14"/>
  <c r="C2282" i="14" s="1"/>
  <c r="E2282" i="14" s="1"/>
  <c r="A2283" i="14"/>
  <c r="B2283" i="14"/>
  <c r="C2283" i="14" s="1"/>
  <c r="E2283" i="14" s="1"/>
  <c r="A2284" i="14"/>
  <c r="B2284" i="14"/>
  <c r="C2284" i="14" s="1"/>
  <c r="E2284" i="14" s="1"/>
  <c r="A2285" i="14"/>
  <c r="B2285" i="14"/>
  <c r="C2285" i="14" s="1"/>
  <c r="E2285" i="14" s="1"/>
  <c r="A2286" i="14"/>
  <c r="B2286" i="14"/>
  <c r="C2286" i="14" s="1"/>
  <c r="E2286" i="14" s="1"/>
  <c r="A2287" i="14"/>
  <c r="B2287" i="14"/>
  <c r="C2287" i="14" s="1"/>
  <c r="E2287" i="14" s="1"/>
  <c r="A2288" i="14"/>
  <c r="B2288" i="14"/>
  <c r="C2288" i="14" s="1"/>
  <c r="E2288" i="14" s="1"/>
  <c r="A2289" i="14"/>
  <c r="B2289" i="14"/>
  <c r="C2289" i="14" s="1"/>
  <c r="E2289" i="14" s="1"/>
  <c r="A2290" i="14"/>
  <c r="B2290" i="14"/>
  <c r="C2290" i="14" s="1"/>
  <c r="E2290" i="14" s="1"/>
  <c r="A2291" i="14"/>
  <c r="B2291" i="14"/>
  <c r="C2291" i="14" s="1"/>
  <c r="E2291" i="14" s="1"/>
  <c r="A2292" i="14"/>
  <c r="B2292" i="14"/>
  <c r="C2292" i="14" s="1"/>
  <c r="E2292" i="14" s="1"/>
  <c r="A2293" i="14"/>
  <c r="B2293" i="14"/>
  <c r="C2293" i="14" s="1"/>
  <c r="E2293" i="14" s="1"/>
  <c r="A2294" i="14"/>
  <c r="B2294" i="14"/>
  <c r="C2294" i="14" s="1"/>
  <c r="E2294" i="14" s="1"/>
  <c r="A2295" i="14"/>
  <c r="B2295" i="14"/>
  <c r="C2295" i="14" s="1"/>
  <c r="E2295" i="14" s="1"/>
  <c r="A2296" i="14"/>
  <c r="B2296" i="14"/>
  <c r="C2296" i="14" s="1"/>
  <c r="E2296" i="14" s="1"/>
  <c r="A2297" i="14"/>
  <c r="B2297" i="14"/>
  <c r="C2297" i="14" s="1"/>
  <c r="E2297" i="14" s="1"/>
  <c r="A2298" i="14"/>
  <c r="B2298" i="14"/>
  <c r="C2298" i="14" s="1"/>
  <c r="E2298" i="14" s="1"/>
  <c r="A2299" i="14"/>
  <c r="B2299" i="14"/>
  <c r="C2299" i="14" s="1"/>
  <c r="E2299" i="14" s="1"/>
  <c r="A2300" i="14"/>
  <c r="B2300" i="14"/>
  <c r="C2300" i="14" s="1"/>
  <c r="E2300" i="14" s="1"/>
  <c r="A2301" i="14"/>
  <c r="B2301" i="14"/>
  <c r="C2301" i="14" s="1"/>
  <c r="E2301" i="14" s="1"/>
  <c r="A2302" i="14"/>
  <c r="B2302" i="14"/>
  <c r="C2302" i="14" s="1"/>
  <c r="E2302" i="14" s="1"/>
  <c r="A2303" i="14"/>
  <c r="B2303" i="14"/>
  <c r="C2303" i="14" s="1"/>
  <c r="E2303" i="14" s="1"/>
  <c r="A2304" i="14"/>
  <c r="B2304" i="14"/>
  <c r="C2304" i="14" s="1"/>
  <c r="E2304" i="14" s="1"/>
  <c r="A2305" i="14"/>
  <c r="B2305" i="14"/>
  <c r="C2305" i="14" s="1"/>
  <c r="E2305" i="14" s="1"/>
  <c r="A2306" i="14"/>
  <c r="B2306" i="14"/>
  <c r="C2306" i="14" s="1"/>
  <c r="E2306" i="14" s="1"/>
  <c r="A2307" i="14"/>
  <c r="B2307" i="14"/>
  <c r="C2307" i="14" s="1"/>
  <c r="E2307" i="14" s="1"/>
  <c r="A2308" i="14"/>
  <c r="B2308" i="14"/>
  <c r="C2308" i="14" s="1"/>
  <c r="E2308" i="14" s="1"/>
  <c r="A2309" i="14"/>
  <c r="B2309" i="14"/>
  <c r="C2309" i="14" s="1"/>
  <c r="E2309" i="14" s="1"/>
  <c r="A2310" i="14"/>
  <c r="B2310" i="14"/>
  <c r="C2310" i="14" s="1"/>
  <c r="E2310" i="14" s="1"/>
  <c r="A2311" i="14"/>
  <c r="B2311" i="14"/>
  <c r="C2311" i="14" s="1"/>
  <c r="E2311" i="14" s="1"/>
  <c r="A2312" i="14"/>
  <c r="B2312" i="14"/>
  <c r="C2312" i="14" s="1"/>
  <c r="E2312" i="14" s="1"/>
  <c r="A2313" i="14"/>
  <c r="B2313" i="14"/>
  <c r="C2313" i="14" s="1"/>
  <c r="E2313" i="14" s="1"/>
  <c r="A2314" i="14"/>
  <c r="B2314" i="14"/>
  <c r="C2314" i="14" s="1"/>
  <c r="E2314" i="14" s="1"/>
  <c r="A2315" i="14"/>
  <c r="B2315" i="14"/>
  <c r="C2315" i="14" s="1"/>
  <c r="E2315" i="14" s="1"/>
  <c r="A2316" i="14"/>
  <c r="B2316" i="14"/>
  <c r="C2316" i="14" s="1"/>
  <c r="E2316" i="14" s="1"/>
  <c r="A2317" i="14"/>
  <c r="B2317" i="14"/>
  <c r="C2317" i="14" s="1"/>
  <c r="E2317" i="14" s="1"/>
  <c r="A2318" i="14"/>
  <c r="B2318" i="14"/>
  <c r="C2318" i="14" s="1"/>
  <c r="E2318" i="14" s="1"/>
  <c r="A2319" i="14"/>
  <c r="B2319" i="14"/>
  <c r="C2319" i="14" s="1"/>
  <c r="E2319" i="14" s="1"/>
  <c r="A2320" i="14"/>
  <c r="B2320" i="14"/>
  <c r="C2320" i="14" s="1"/>
  <c r="E2320" i="14" s="1"/>
  <c r="A2321" i="14"/>
  <c r="B2321" i="14"/>
  <c r="C2321" i="14" s="1"/>
  <c r="E2321" i="14" s="1"/>
  <c r="A2322" i="14"/>
  <c r="B2322" i="14"/>
  <c r="C2322" i="14" s="1"/>
  <c r="E2322" i="14" s="1"/>
  <c r="A2323" i="14"/>
  <c r="B2323" i="14"/>
  <c r="C2323" i="14" s="1"/>
  <c r="E2323" i="14" s="1"/>
  <c r="A2324" i="14"/>
  <c r="B2324" i="14"/>
  <c r="C2324" i="14" s="1"/>
  <c r="E2324" i="14" s="1"/>
  <c r="A2325" i="14"/>
  <c r="B2325" i="14"/>
  <c r="C2325" i="14" s="1"/>
  <c r="E2325" i="14" s="1"/>
  <c r="A2326" i="14"/>
  <c r="B2326" i="14"/>
  <c r="C2326" i="14" s="1"/>
  <c r="E2326" i="14" s="1"/>
  <c r="A2327" i="14"/>
  <c r="B2327" i="14"/>
  <c r="C2327" i="14" s="1"/>
  <c r="E2327" i="14" s="1"/>
  <c r="A2328" i="14"/>
  <c r="B2328" i="14"/>
  <c r="C2328" i="14" s="1"/>
  <c r="E2328" i="14" s="1"/>
  <c r="A2329" i="14"/>
  <c r="B2329" i="14"/>
  <c r="C2329" i="14" s="1"/>
  <c r="E2329" i="14" s="1"/>
  <c r="A2330" i="14"/>
  <c r="B2330" i="14"/>
  <c r="C2330" i="14" s="1"/>
  <c r="E2330" i="14" s="1"/>
  <c r="A2331" i="14"/>
  <c r="B2331" i="14"/>
  <c r="C2331" i="14" s="1"/>
  <c r="E2331" i="14" s="1"/>
  <c r="A2332" i="14"/>
  <c r="B2332" i="14"/>
  <c r="C2332" i="14" s="1"/>
  <c r="E2332" i="14" s="1"/>
  <c r="A2333" i="14"/>
  <c r="B2333" i="14"/>
  <c r="C2333" i="14" s="1"/>
  <c r="E2333" i="14" s="1"/>
  <c r="A2334" i="14"/>
  <c r="B2334" i="14"/>
  <c r="C2334" i="14" s="1"/>
  <c r="E2334" i="14" s="1"/>
  <c r="A2335" i="14"/>
  <c r="B2335" i="14"/>
  <c r="C2335" i="14" s="1"/>
  <c r="E2335" i="14" s="1"/>
  <c r="A2336" i="14"/>
  <c r="B2336" i="14"/>
  <c r="C2336" i="14" s="1"/>
  <c r="E2336" i="14" s="1"/>
  <c r="A2337" i="14"/>
  <c r="B2337" i="14"/>
  <c r="C2337" i="14" s="1"/>
  <c r="E2337" i="14" s="1"/>
  <c r="A2338" i="14"/>
  <c r="B2338" i="14"/>
  <c r="C2338" i="14" s="1"/>
  <c r="E2338" i="14" s="1"/>
  <c r="A2339" i="14"/>
  <c r="B2339" i="14"/>
  <c r="C2339" i="14" s="1"/>
  <c r="E2339" i="14" s="1"/>
  <c r="A2340" i="14"/>
  <c r="B2340" i="14"/>
  <c r="C2340" i="14" s="1"/>
  <c r="E2340" i="14" s="1"/>
  <c r="A2341" i="14"/>
  <c r="B2341" i="14"/>
  <c r="C2341" i="14" s="1"/>
  <c r="E2341" i="14" s="1"/>
  <c r="A2342" i="14"/>
  <c r="B2342" i="14"/>
  <c r="C2342" i="14" s="1"/>
  <c r="E2342" i="14" s="1"/>
  <c r="A2343" i="14"/>
  <c r="B2343" i="14"/>
  <c r="C2343" i="14" s="1"/>
  <c r="E2343" i="14" s="1"/>
  <c r="A2344" i="14"/>
  <c r="B2344" i="14"/>
  <c r="C2344" i="14" s="1"/>
  <c r="E2344" i="14" s="1"/>
  <c r="A2345" i="14"/>
  <c r="B2345" i="14"/>
  <c r="C2345" i="14" s="1"/>
  <c r="E2345" i="14" s="1"/>
  <c r="A2346" i="14"/>
  <c r="B2346" i="14"/>
  <c r="C2346" i="14" s="1"/>
  <c r="E2346" i="14" s="1"/>
  <c r="A2347" i="14"/>
  <c r="B2347" i="14"/>
  <c r="C2347" i="14" s="1"/>
  <c r="E2347" i="14" s="1"/>
  <c r="A2348" i="14"/>
  <c r="B2348" i="14"/>
  <c r="C2348" i="14" s="1"/>
  <c r="E2348" i="14" s="1"/>
  <c r="A2349" i="14"/>
  <c r="B2349" i="14"/>
  <c r="C2349" i="14" s="1"/>
  <c r="E2349" i="14" s="1"/>
  <c r="A2350" i="14"/>
  <c r="B2350" i="14"/>
  <c r="C2350" i="14" s="1"/>
  <c r="E2350" i="14" s="1"/>
  <c r="A2351" i="14"/>
  <c r="B2351" i="14"/>
  <c r="C2351" i="14" s="1"/>
  <c r="E2351" i="14" s="1"/>
  <c r="A2352" i="14"/>
  <c r="B2352" i="14"/>
  <c r="C2352" i="14" s="1"/>
  <c r="E2352" i="14" s="1"/>
  <c r="A2353" i="14"/>
  <c r="B2353" i="14"/>
  <c r="C2353" i="14" s="1"/>
  <c r="E2353" i="14" s="1"/>
  <c r="A2354" i="14"/>
  <c r="B2354" i="14"/>
  <c r="C2354" i="14" s="1"/>
  <c r="E2354" i="14" s="1"/>
  <c r="A2355" i="14"/>
  <c r="B2355" i="14"/>
  <c r="C2355" i="14" s="1"/>
  <c r="E2355" i="14" s="1"/>
  <c r="A2356" i="14"/>
  <c r="B2356" i="14"/>
  <c r="C2356" i="14" s="1"/>
  <c r="E2356" i="14" s="1"/>
  <c r="A2357" i="14"/>
  <c r="B2357" i="14"/>
  <c r="C2357" i="14" s="1"/>
  <c r="E2357" i="14" s="1"/>
  <c r="A2358" i="14"/>
  <c r="B2358" i="14"/>
  <c r="C2358" i="14" s="1"/>
  <c r="E2358" i="14" s="1"/>
  <c r="A2359" i="14"/>
  <c r="B2359" i="14"/>
  <c r="C2359" i="14" s="1"/>
  <c r="E2359" i="14" s="1"/>
  <c r="A2360" i="14"/>
  <c r="B2360" i="14"/>
  <c r="C2360" i="14" s="1"/>
  <c r="E2360" i="14" s="1"/>
  <c r="A2361" i="14"/>
  <c r="B2361" i="14"/>
  <c r="C2361" i="14" s="1"/>
  <c r="E2361" i="14" s="1"/>
  <c r="A2362" i="14"/>
  <c r="B2362" i="14"/>
  <c r="C2362" i="14" s="1"/>
  <c r="E2362" i="14" s="1"/>
  <c r="A2363" i="14"/>
  <c r="B2363" i="14"/>
  <c r="C2363" i="14" s="1"/>
  <c r="E2363" i="14" s="1"/>
  <c r="A2364" i="14"/>
  <c r="B2364" i="14"/>
  <c r="C2364" i="14" s="1"/>
  <c r="E2364" i="14" s="1"/>
  <c r="A2365" i="14"/>
  <c r="B2365" i="14"/>
  <c r="C2365" i="14" s="1"/>
  <c r="E2365" i="14" s="1"/>
  <c r="A2366" i="14"/>
  <c r="B2366" i="14"/>
  <c r="C2366" i="14" s="1"/>
  <c r="E2366" i="14" s="1"/>
  <c r="A2367" i="14"/>
  <c r="B2367" i="14"/>
  <c r="C2367" i="14" s="1"/>
  <c r="E2367" i="14" s="1"/>
  <c r="A2368" i="14"/>
  <c r="B2368" i="14"/>
  <c r="C2368" i="14" s="1"/>
  <c r="E2368" i="14" s="1"/>
  <c r="A2369" i="14"/>
  <c r="B2369" i="14"/>
  <c r="C2369" i="14" s="1"/>
  <c r="E2369" i="14" s="1"/>
  <c r="A2370" i="14"/>
  <c r="B2370" i="14"/>
  <c r="C2370" i="14" s="1"/>
  <c r="E2370" i="14" s="1"/>
  <c r="A2371" i="14"/>
  <c r="B2371" i="14"/>
  <c r="C2371" i="14" s="1"/>
  <c r="E2371" i="14" s="1"/>
  <c r="A2372" i="14"/>
  <c r="B2372" i="14"/>
  <c r="C2372" i="14" s="1"/>
  <c r="E2372" i="14" s="1"/>
  <c r="A2373" i="14"/>
  <c r="B2373" i="14"/>
  <c r="C2373" i="14" s="1"/>
  <c r="E2373" i="14" s="1"/>
  <c r="A2374" i="14"/>
  <c r="B2374" i="14"/>
  <c r="C2374" i="14" s="1"/>
  <c r="E2374" i="14" s="1"/>
  <c r="A2375" i="14"/>
  <c r="B2375" i="14"/>
  <c r="C2375" i="14" s="1"/>
  <c r="E2375" i="14" s="1"/>
  <c r="A2376" i="14"/>
  <c r="B2376" i="14"/>
  <c r="C2376" i="14" s="1"/>
  <c r="E2376" i="14" s="1"/>
  <c r="A2377" i="14"/>
  <c r="B2377" i="14"/>
  <c r="C2377" i="14" s="1"/>
  <c r="E2377" i="14" s="1"/>
  <c r="A2378" i="14"/>
  <c r="B2378" i="14"/>
  <c r="C2378" i="14" s="1"/>
  <c r="E2378" i="14" s="1"/>
  <c r="A2379" i="14"/>
  <c r="B2379" i="14"/>
  <c r="C2379" i="14" s="1"/>
  <c r="E2379" i="14" s="1"/>
  <c r="A2380" i="14"/>
  <c r="B2380" i="14"/>
  <c r="C2380" i="14" s="1"/>
  <c r="E2380" i="14" s="1"/>
  <c r="A2381" i="14"/>
  <c r="B2381" i="14"/>
  <c r="C2381" i="14" s="1"/>
  <c r="E2381" i="14" s="1"/>
  <c r="A2382" i="14"/>
  <c r="B2382" i="14"/>
  <c r="C2382" i="14" s="1"/>
  <c r="E2382" i="14" s="1"/>
  <c r="A2383" i="14"/>
  <c r="B2383" i="14"/>
  <c r="C2383" i="14" s="1"/>
  <c r="E2383" i="14" s="1"/>
  <c r="A2384" i="14"/>
  <c r="B2384" i="14"/>
  <c r="C2384" i="14" s="1"/>
  <c r="E2384" i="14" s="1"/>
  <c r="A2385" i="14"/>
  <c r="B2385" i="14"/>
  <c r="C2385" i="14" s="1"/>
  <c r="E2385" i="14" s="1"/>
  <c r="A2386" i="14"/>
  <c r="B2386" i="14"/>
  <c r="C2386" i="14" s="1"/>
  <c r="E2386" i="14" s="1"/>
  <c r="A2387" i="14"/>
  <c r="B2387" i="14"/>
  <c r="C2387" i="14" s="1"/>
  <c r="E2387" i="14" s="1"/>
  <c r="A2388" i="14"/>
  <c r="B2388" i="14"/>
  <c r="C2388" i="14" s="1"/>
  <c r="E2388" i="14" s="1"/>
  <c r="A2389" i="14"/>
  <c r="B2389" i="14"/>
  <c r="C2389" i="14" s="1"/>
  <c r="E2389" i="14" s="1"/>
  <c r="A2390" i="14"/>
  <c r="B2390" i="14"/>
  <c r="C2390" i="14" s="1"/>
  <c r="E2390" i="14" s="1"/>
  <c r="A2391" i="14"/>
  <c r="B2391" i="14"/>
  <c r="C2391" i="14" s="1"/>
  <c r="E2391" i="14" s="1"/>
  <c r="A2392" i="14"/>
  <c r="B2392" i="14"/>
  <c r="C2392" i="14" s="1"/>
  <c r="E2392" i="14" s="1"/>
  <c r="A2393" i="14"/>
  <c r="B2393" i="14"/>
  <c r="C2393" i="14" s="1"/>
  <c r="E2393" i="14" s="1"/>
  <c r="A2394" i="14"/>
  <c r="B2394" i="14"/>
  <c r="C2394" i="14" s="1"/>
  <c r="E2394" i="14" s="1"/>
  <c r="A2395" i="14"/>
  <c r="B2395" i="14"/>
  <c r="C2395" i="14" s="1"/>
  <c r="E2395" i="14" s="1"/>
  <c r="A2396" i="14"/>
  <c r="B2396" i="14"/>
  <c r="C2396" i="14" s="1"/>
  <c r="E2396" i="14" s="1"/>
  <c r="A2397" i="14"/>
  <c r="B2397" i="14"/>
  <c r="C2397" i="14" s="1"/>
  <c r="E2397" i="14" s="1"/>
  <c r="A2398" i="14"/>
  <c r="B2398" i="14"/>
  <c r="C2398" i="14" s="1"/>
  <c r="E2398" i="14" s="1"/>
  <c r="A2399" i="14"/>
  <c r="B2399" i="14"/>
  <c r="C2399" i="14" s="1"/>
  <c r="E2399" i="14" s="1"/>
  <c r="A2400" i="14"/>
  <c r="B2400" i="14"/>
  <c r="C2400" i="14" s="1"/>
  <c r="E2400" i="14" s="1"/>
  <c r="A2401" i="14"/>
  <c r="B2401" i="14"/>
  <c r="C2401" i="14" s="1"/>
  <c r="E2401" i="14" s="1"/>
  <c r="A2402" i="14"/>
  <c r="B2402" i="14"/>
  <c r="C2402" i="14" s="1"/>
  <c r="E2402" i="14" s="1"/>
  <c r="A2403" i="14"/>
  <c r="B2403" i="14"/>
  <c r="C2403" i="14" s="1"/>
  <c r="E2403" i="14" s="1"/>
  <c r="A2404" i="14"/>
  <c r="B2404" i="14"/>
  <c r="C2404" i="14" s="1"/>
  <c r="E2404" i="14" s="1"/>
  <c r="A2405" i="14"/>
  <c r="B2405" i="14"/>
  <c r="C2405" i="14" s="1"/>
  <c r="E2405" i="14" s="1"/>
  <c r="A2406" i="14"/>
  <c r="B2406" i="14"/>
  <c r="C2406" i="14" s="1"/>
  <c r="E2406" i="14" s="1"/>
  <c r="A2407" i="14"/>
  <c r="B2407" i="14"/>
  <c r="C2407" i="14" s="1"/>
  <c r="E2407" i="14" s="1"/>
  <c r="A2408" i="14"/>
  <c r="B2408" i="14"/>
  <c r="C2408" i="14" s="1"/>
  <c r="E2408" i="14" s="1"/>
  <c r="A2409" i="14"/>
  <c r="B2409" i="14"/>
  <c r="C2409" i="14" s="1"/>
  <c r="E2409" i="14" s="1"/>
  <c r="A2410" i="14"/>
  <c r="B2410" i="14"/>
  <c r="C2410" i="14" s="1"/>
  <c r="E2410" i="14" s="1"/>
  <c r="A2411" i="14"/>
  <c r="B2411" i="14"/>
  <c r="C2411" i="14" s="1"/>
  <c r="E2411" i="14" s="1"/>
  <c r="A2412" i="14"/>
  <c r="B2412" i="14"/>
  <c r="C2412" i="14" s="1"/>
  <c r="E2412" i="14" s="1"/>
  <c r="A2413" i="14"/>
  <c r="B2413" i="14"/>
  <c r="C2413" i="14" s="1"/>
  <c r="E2413" i="14" s="1"/>
  <c r="A2414" i="14"/>
  <c r="B2414" i="14"/>
  <c r="C2414" i="14" s="1"/>
  <c r="E2414" i="14" s="1"/>
  <c r="A2415" i="14"/>
  <c r="B2415" i="14"/>
  <c r="C2415" i="14" s="1"/>
  <c r="E2415" i="14" s="1"/>
  <c r="A2416" i="14"/>
  <c r="B2416" i="14"/>
  <c r="C2416" i="14" s="1"/>
  <c r="E2416" i="14" s="1"/>
  <c r="A2417" i="14"/>
  <c r="B2417" i="14"/>
  <c r="C2417" i="14" s="1"/>
  <c r="E2417" i="14" s="1"/>
  <c r="A2418" i="14"/>
  <c r="B2418" i="14"/>
  <c r="C2418" i="14" s="1"/>
  <c r="E2418" i="14" s="1"/>
  <c r="A2419" i="14"/>
  <c r="B2419" i="14"/>
  <c r="C2419" i="14" s="1"/>
  <c r="E2419" i="14" s="1"/>
  <c r="A2420" i="14"/>
  <c r="B2420" i="14"/>
  <c r="C2420" i="14" s="1"/>
  <c r="E2420" i="14" s="1"/>
  <c r="A2421" i="14"/>
  <c r="B2421" i="14"/>
  <c r="C2421" i="14" s="1"/>
  <c r="E2421" i="14" s="1"/>
  <c r="A2422" i="14"/>
  <c r="B2422" i="14"/>
  <c r="C2422" i="14" s="1"/>
  <c r="E2422" i="14" s="1"/>
  <c r="A2423" i="14"/>
  <c r="B2423" i="14"/>
  <c r="C2423" i="14" s="1"/>
  <c r="E2423" i="14" s="1"/>
  <c r="A2424" i="14"/>
  <c r="B2424" i="14"/>
  <c r="C2424" i="14" s="1"/>
  <c r="E2424" i="14" s="1"/>
  <c r="A2425" i="14"/>
  <c r="B2425" i="14"/>
  <c r="C2425" i="14" s="1"/>
  <c r="E2425" i="14" s="1"/>
  <c r="A2426" i="14"/>
  <c r="B2426" i="14"/>
  <c r="C2426" i="14" s="1"/>
  <c r="E2426" i="14" s="1"/>
  <c r="A2427" i="14"/>
  <c r="B2427" i="14"/>
  <c r="C2427" i="14" s="1"/>
  <c r="E2427" i="14" s="1"/>
  <c r="A2428" i="14"/>
  <c r="B2428" i="14"/>
  <c r="C2428" i="14" s="1"/>
  <c r="E2428" i="14" s="1"/>
  <c r="A2429" i="14"/>
  <c r="B2429" i="14"/>
  <c r="C2429" i="14" s="1"/>
  <c r="E2429" i="14" s="1"/>
  <c r="A2430" i="14"/>
  <c r="B2430" i="14"/>
  <c r="C2430" i="14" s="1"/>
  <c r="E2430" i="14" s="1"/>
  <c r="A2431" i="14"/>
  <c r="B2431" i="14"/>
  <c r="C2431" i="14" s="1"/>
  <c r="E2431" i="14" s="1"/>
  <c r="A2432" i="14"/>
  <c r="B2432" i="14"/>
  <c r="C2432" i="14" s="1"/>
  <c r="E2432" i="14" s="1"/>
  <c r="A2433" i="14"/>
  <c r="B2433" i="14"/>
  <c r="C2433" i="14" s="1"/>
  <c r="E2433" i="14" s="1"/>
  <c r="A2434" i="14"/>
  <c r="B2434" i="14"/>
  <c r="C2434" i="14" s="1"/>
  <c r="E2434" i="14" s="1"/>
  <c r="A2435" i="14"/>
  <c r="B2435" i="14"/>
  <c r="C2435" i="14" s="1"/>
  <c r="E2435" i="14" s="1"/>
  <c r="A2436" i="14"/>
  <c r="B2436" i="14"/>
  <c r="C2436" i="14" s="1"/>
  <c r="E2436" i="14" s="1"/>
  <c r="A2437" i="14"/>
  <c r="B2437" i="14"/>
  <c r="C2437" i="14" s="1"/>
  <c r="E2437" i="14" s="1"/>
  <c r="A2438" i="14"/>
  <c r="B2438" i="14"/>
  <c r="C2438" i="14" s="1"/>
  <c r="E2438" i="14" s="1"/>
  <c r="A2439" i="14"/>
  <c r="B2439" i="14"/>
  <c r="C2439" i="14" s="1"/>
  <c r="E2439" i="14" s="1"/>
  <c r="A2440" i="14"/>
  <c r="B2440" i="14"/>
  <c r="C2440" i="14" s="1"/>
  <c r="E2440" i="14" s="1"/>
  <c r="A2441" i="14"/>
  <c r="B2441" i="14"/>
  <c r="C2441" i="14" s="1"/>
  <c r="E2441" i="14" s="1"/>
  <c r="A2442" i="14"/>
  <c r="B2442" i="14"/>
  <c r="C2442" i="14" s="1"/>
  <c r="E2442" i="14" s="1"/>
  <c r="A2443" i="14"/>
  <c r="B2443" i="14"/>
  <c r="C2443" i="14" s="1"/>
  <c r="E2443" i="14" s="1"/>
  <c r="A2444" i="14"/>
  <c r="B2444" i="14"/>
  <c r="C2444" i="14" s="1"/>
  <c r="E2444" i="14" s="1"/>
  <c r="A2445" i="14"/>
  <c r="B2445" i="14"/>
  <c r="C2445" i="14" s="1"/>
  <c r="E2445" i="14" s="1"/>
  <c r="A2446" i="14"/>
  <c r="B2446" i="14"/>
  <c r="C2446" i="14" s="1"/>
  <c r="E2446" i="14" s="1"/>
  <c r="A2447" i="14"/>
  <c r="B2447" i="14"/>
  <c r="C2447" i="14" s="1"/>
  <c r="E2447" i="14" s="1"/>
  <c r="A2448" i="14"/>
  <c r="B2448" i="14"/>
  <c r="C2448" i="14" s="1"/>
  <c r="E2448" i="14" s="1"/>
  <c r="A2449" i="14"/>
  <c r="B2449" i="14"/>
  <c r="C2449" i="14" s="1"/>
  <c r="E2449" i="14" s="1"/>
  <c r="A2450" i="14"/>
  <c r="B2450" i="14"/>
  <c r="C2450" i="14" s="1"/>
  <c r="E2450" i="14" s="1"/>
  <c r="A2451" i="14"/>
  <c r="B2451" i="14"/>
  <c r="C2451" i="14" s="1"/>
  <c r="E2451" i="14" s="1"/>
  <c r="A2452" i="14"/>
  <c r="B2452" i="14"/>
  <c r="C2452" i="14" s="1"/>
  <c r="E2452" i="14" s="1"/>
  <c r="A2453" i="14"/>
  <c r="B2453" i="14"/>
  <c r="C2453" i="14" s="1"/>
  <c r="E2453" i="14" s="1"/>
  <c r="A2454" i="14"/>
  <c r="B2454" i="14"/>
  <c r="C2454" i="14" s="1"/>
  <c r="E2454" i="14" s="1"/>
  <c r="A2455" i="14"/>
  <c r="B2455" i="14"/>
  <c r="C2455" i="14" s="1"/>
  <c r="E2455" i="14" s="1"/>
  <c r="A2456" i="14"/>
  <c r="B2456" i="14"/>
  <c r="C2456" i="14" s="1"/>
  <c r="E2456" i="14" s="1"/>
  <c r="A2457" i="14"/>
  <c r="B2457" i="14"/>
  <c r="C2457" i="14" s="1"/>
  <c r="E2457" i="14" s="1"/>
  <c r="A2458" i="14"/>
  <c r="B2458" i="14"/>
  <c r="C2458" i="14" s="1"/>
  <c r="E2458" i="14" s="1"/>
  <c r="A2459" i="14"/>
  <c r="B2459" i="14"/>
  <c r="C2459" i="14" s="1"/>
  <c r="E2459" i="14" s="1"/>
  <c r="A2460" i="14"/>
  <c r="B2460" i="14"/>
  <c r="C2460" i="14" s="1"/>
  <c r="E2460" i="14" s="1"/>
  <c r="A2461" i="14"/>
  <c r="B2461" i="14"/>
  <c r="C2461" i="14" s="1"/>
  <c r="E2461" i="14" s="1"/>
  <c r="A2462" i="14"/>
  <c r="B2462" i="14"/>
  <c r="C2462" i="14" s="1"/>
  <c r="E2462" i="14" s="1"/>
  <c r="A2463" i="14"/>
  <c r="B2463" i="14"/>
  <c r="C2463" i="14" s="1"/>
  <c r="E2463" i="14" s="1"/>
  <c r="A2464" i="14"/>
  <c r="B2464" i="14"/>
  <c r="C2464" i="14" s="1"/>
  <c r="E2464" i="14" s="1"/>
  <c r="A2465" i="14"/>
  <c r="B2465" i="14"/>
  <c r="C2465" i="14" s="1"/>
  <c r="E2465" i="14" s="1"/>
  <c r="A2466" i="14"/>
  <c r="B2466" i="14"/>
  <c r="C2466" i="14" s="1"/>
  <c r="E2466" i="14" s="1"/>
  <c r="A2467" i="14"/>
  <c r="B2467" i="14"/>
  <c r="C2467" i="14" s="1"/>
  <c r="E2467" i="14" s="1"/>
  <c r="A2468" i="14"/>
  <c r="B2468" i="14"/>
  <c r="C2468" i="14" s="1"/>
  <c r="E2468" i="14" s="1"/>
  <c r="A2469" i="14"/>
  <c r="B2469" i="14"/>
  <c r="C2469" i="14" s="1"/>
  <c r="E2469" i="14" s="1"/>
  <c r="A2470" i="14"/>
  <c r="B2470" i="14"/>
  <c r="C2470" i="14" s="1"/>
  <c r="E2470" i="14" s="1"/>
  <c r="A2471" i="14"/>
  <c r="B2471" i="14"/>
  <c r="C2471" i="14" s="1"/>
  <c r="E2471" i="14" s="1"/>
  <c r="A2472" i="14"/>
  <c r="B2472" i="14"/>
  <c r="C2472" i="14" s="1"/>
  <c r="E2472" i="14" s="1"/>
  <c r="A2473" i="14"/>
  <c r="B2473" i="14"/>
  <c r="C2473" i="14" s="1"/>
  <c r="E2473" i="14" s="1"/>
  <c r="A2474" i="14"/>
  <c r="B2474" i="14"/>
  <c r="C2474" i="14" s="1"/>
  <c r="E2474" i="14" s="1"/>
  <c r="A2475" i="14"/>
  <c r="B2475" i="14"/>
  <c r="C2475" i="14" s="1"/>
  <c r="E2475" i="14" s="1"/>
  <c r="A2476" i="14"/>
  <c r="B2476" i="14"/>
  <c r="C2476" i="14" s="1"/>
  <c r="E2476" i="14" s="1"/>
  <c r="A2477" i="14"/>
  <c r="B2477" i="14"/>
  <c r="C2477" i="14" s="1"/>
  <c r="E2477" i="14" s="1"/>
  <c r="A2478" i="14"/>
  <c r="B2478" i="14"/>
  <c r="C2478" i="14" s="1"/>
  <c r="E2478" i="14" s="1"/>
  <c r="A2479" i="14"/>
  <c r="B2479" i="14"/>
  <c r="C2479" i="14" s="1"/>
  <c r="E2479" i="14" s="1"/>
  <c r="A2480" i="14"/>
  <c r="B2480" i="14"/>
  <c r="C2480" i="14" s="1"/>
  <c r="E2480" i="14" s="1"/>
  <c r="A2481" i="14"/>
  <c r="B2481" i="14"/>
  <c r="C2481" i="14" s="1"/>
  <c r="E2481" i="14" s="1"/>
  <c r="A2482" i="14"/>
  <c r="B2482" i="14"/>
  <c r="C2482" i="14" s="1"/>
  <c r="E2482" i="14" s="1"/>
  <c r="A2483" i="14"/>
  <c r="B2483" i="14"/>
  <c r="C2483" i="14" s="1"/>
  <c r="E2483" i="14" s="1"/>
  <c r="A2484" i="14"/>
  <c r="B2484" i="14"/>
  <c r="C2484" i="14" s="1"/>
  <c r="E2484" i="14" s="1"/>
  <c r="A2485" i="14"/>
  <c r="B2485" i="14"/>
  <c r="C2485" i="14" s="1"/>
  <c r="E2485" i="14" s="1"/>
  <c r="A2486" i="14"/>
  <c r="B2486" i="14"/>
  <c r="C2486" i="14" s="1"/>
  <c r="E2486" i="14" s="1"/>
  <c r="A2487" i="14"/>
  <c r="B2487" i="14"/>
  <c r="C2487" i="14" s="1"/>
  <c r="E2487" i="14" s="1"/>
  <c r="A2488" i="14"/>
  <c r="B2488" i="14"/>
  <c r="C2488" i="14" s="1"/>
  <c r="E2488" i="14" s="1"/>
  <c r="A2489" i="14"/>
  <c r="B2489" i="14"/>
  <c r="C2489" i="14" s="1"/>
  <c r="E2489" i="14" s="1"/>
  <c r="A2490" i="14"/>
  <c r="B2490" i="14"/>
  <c r="C2490" i="14" s="1"/>
  <c r="E2490" i="14" s="1"/>
  <c r="A2491" i="14"/>
  <c r="B2491" i="14"/>
  <c r="C2491" i="14" s="1"/>
  <c r="E2491" i="14" s="1"/>
  <c r="A2492" i="14"/>
  <c r="B2492" i="14"/>
  <c r="C2492" i="14" s="1"/>
  <c r="E2492" i="14" s="1"/>
  <c r="A2493" i="14"/>
  <c r="B2493" i="14"/>
  <c r="C2493" i="14" s="1"/>
  <c r="E2493" i="14" s="1"/>
  <c r="A2494" i="14"/>
  <c r="B2494" i="14"/>
  <c r="C2494" i="14" s="1"/>
  <c r="E2494" i="14" s="1"/>
  <c r="A2495" i="14"/>
  <c r="B2495" i="14"/>
  <c r="C2495" i="14" s="1"/>
  <c r="E2495" i="14" s="1"/>
  <c r="A2496" i="14"/>
  <c r="B2496" i="14"/>
  <c r="C2496" i="14" s="1"/>
  <c r="E2496" i="14" s="1"/>
  <c r="A2497" i="14"/>
  <c r="B2497" i="14"/>
  <c r="C2497" i="14" s="1"/>
  <c r="E2497" i="14" s="1"/>
  <c r="A2498" i="14"/>
  <c r="B2498" i="14"/>
  <c r="C2498" i="14" s="1"/>
  <c r="E2498" i="14" s="1"/>
  <c r="A2499" i="14"/>
  <c r="B2499" i="14"/>
  <c r="C2499" i="14" s="1"/>
  <c r="E2499" i="14" s="1"/>
  <c r="A2500" i="14"/>
  <c r="B2500" i="14"/>
  <c r="C2500" i="14" s="1"/>
  <c r="E2500" i="14" s="1"/>
  <c r="A2501" i="14"/>
  <c r="B2501" i="14"/>
  <c r="C2501" i="14" s="1"/>
  <c r="E2501" i="14" s="1"/>
  <c r="A2502" i="14"/>
  <c r="B2502" i="14"/>
  <c r="C2502" i="14" s="1"/>
  <c r="E2502" i="14" s="1"/>
  <c r="A2503" i="14"/>
  <c r="B2503" i="14"/>
  <c r="C2503" i="14" s="1"/>
  <c r="E2503" i="14" s="1"/>
  <c r="A2504" i="14"/>
  <c r="B2504" i="14"/>
  <c r="C2504" i="14" s="1"/>
  <c r="E2504" i="14" s="1"/>
  <c r="A2505" i="14"/>
  <c r="B2505" i="14"/>
  <c r="C2505" i="14" s="1"/>
  <c r="E2505" i="14" s="1"/>
  <c r="A2506" i="14"/>
  <c r="B2506" i="14"/>
  <c r="C2506" i="14" s="1"/>
  <c r="E2506" i="14" s="1"/>
  <c r="A2507" i="14"/>
  <c r="B2507" i="14"/>
  <c r="C2507" i="14" s="1"/>
  <c r="E2507" i="14" s="1"/>
  <c r="A2508" i="14"/>
  <c r="B2508" i="14"/>
  <c r="C2508" i="14" s="1"/>
  <c r="E2508" i="14" s="1"/>
  <c r="A2509" i="14"/>
  <c r="B2509" i="14"/>
  <c r="C2509" i="14" s="1"/>
  <c r="E2509" i="14" s="1"/>
  <c r="A2510" i="14"/>
  <c r="B2510" i="14"/>
  <c r="C2510" i="14" s="1"/>
  <c r="E2510" i="14" s="1"/>
  <c r="A2511" i="14"/>
  <c r="B2511" i="14"/>
  <c r="C2511" i="14" s="1"/>
  <c r="E2511" i="14" s="1"/>
  <c r="A2512" i="14"/>
  <c r="B2512" i="14"/>
  <c r="C2512" i="14" s="1"/>
  <c r="E2512" i="14" s="1"/>
  <c r="A2513" i="14"/>
  <c r="B2513" i="14"/>
  <c r="C2513" i="14" s="1"/>
  <c r="E2513" i="14" s="1"/>
  <c r="A2514" i="14"/>
  <c r="B2514" i="14"/>
  <c r="C2514" i="14" s="1"/>
  <c r="E2514" i="14" s="1"/>
  <c r="A2515" i="14"/>
  <c r="B2515" i="14"/>
  <c r="C2515" i="14" s="1"/>
  <c r="E2515" i="14" s="1"/>
  <c r="A2516" i="14"/>
  <c r="B2516" i="14"/>
  <c r="C2516" i="14" s="1"/>
  <c r="E2516" i="14" s="1"/>
  <c r="A2517" i="14"/>
  <c r="B2517" i="14"/>
  <c r="C2517" i="14" s="1"/>
  <c r="E2517" i="14" s="1"/>
  <c r="A2518" i="14"/>
  <c r="B2518" i="14"/>
  <c r="C2518" i="14" s="1"/>
  <c r="E2518" i="14" s="1"/>
  <c r="A2519" i="14"/>
  <c r="B2519" i="14"/>
  <c r="C2519" i="14" s="1"/>
  <c r="E2519" i="14" s="1"/>
  <c r="A2520" i="14"/>
  <c r="B2520" i="14"/>
  <c r="C2520" i="14" s="1"/>
  <c r="E2520" i="14" s="1"/>
  <c r="A2521" i="14"/>
  <c r="B2521" i="14"/>
  <c r="C2521" i="14" s="1"/>
  <c r="E2521" i="14" s="1"/>
  <c r="A2522" i="14"/>
  <c r="B2522" i="14"/>
  <c r="C2522" i="14" s="1"/>
  <c r="E2522" i="14" s="1"/>
  <c r="A2523" i="14"/>
  <c r="B2523" i="14"/>
  <c r="C2523" i="14" s="1"/>
  <c r="E2523" i="14" s="1"/>
  <c r="A2524" i="14"/>
  <c r="B2524" i="14"/>
  <c r="C2524" i="14" s="1"/>
  <c r="E2524" i="14" s="1"/>
  <c r="A2525" i="14"/>
  <c r="B2525" i="14"/>
  <c r="C2525" i="14" s="1"/>
  <c r="E2525" i="14" s="1"/>
  <c r="A2526" i="14"/>
  <c r="B2526" i="14"/>
  <c r="C2526" i="14" s="1"/>
  <c r="E2526" i="14" s="1"/>
  <c r="A2527" i="14"/>
  <c r="B2527" i="14"/>
  <c r="C2527" i="14" s="1"/>
  <c r="E2527" i="14" s="1"/>
  <c r="A2528" i="14"/>
  <c r="B2528" i="14"/>
  <c r="C2528" i="14" s="1"/>
  <c r="E2528" i="14" s="1"/>
  <c r="A2529" i="14"/>
  <c r="B2529" i="14"/>
  <c r="C2529" i="14" s="1"/>
  <c r="E2529" i="14" s="1"/>
  <c r="A2530" i="14"/>
  <c r="B2530" i="14"/>
  <c r="C2530" i="14" s="1"/>
  <c r="E2530" i="14" s="1"/>
  <c r="A2531" i="14"/>
  <c r="B2531" i="14"/>
  <c r="C2531" i="14" s="1"/>
  <c r="E2531" i="14" s="1"/>
  <c r="A2532" i="14"/>
  <c r="B2532" i="14"/>
  <c r="C2532" i="14" s="1"/>
  <c r="E2532" i="14" s="1"/>
  <c r="A2533" i="14"/>
  <c r="B2533" i="14"/>
  <c r="C2533" i="14" s="1"/>
  <c r="E2533" i="14" s="1"/>
  <c r="A2534" i="14"/>
  <c r="B2534" i="14"/>
  <c r="C2534" i="14" s="1"/>
  <c r="E2534" i="14" s="1"/>
  <c r="A2535" i="14"/>
  <c r="B2535" i="14"/>
  <c r="C2535" i="14" s="1"/>
  <c r="E2535" i="14" s="1"/>
  <c r="A2536" i="14"/>
  <c r="B2536" i="14"/>
  <c r="C2536" i="14" s="1"/>
  <c r="E2536" i="14" s="1"/>
  <c r="A2537" i="14"/>
  <c r="B2537" i="14"/>
  <c r="C2537" i="14" s="1"/>
  <c r="E2537" i="14" s="1"/>
  <c r="A2538" i="14"/>
  <c r="B2538" i="14"/>
  <c r="C2538" i="14" s="1"/>
  <c r="E2538" i="14" s="1"/>
  <c r="A2539" i="14"/>
  <c r="B2539" i="14"/>
  <c r="C2539" i="14" s="1"/>
  <c r="E2539" i="14" s="1"/>
  <c r="A2540" i="14"/>
  <c r="B2540" i="14"/>
  <c r="C2540" i="14" s="1"/>
  <c r="E2540" i="14" s="1"/>
  <c r="A2541" i="14"/>
  <c r="B2541" i="14"/>
  <c r="C2541" i="14" s="1"/>
  <c r="E2541" i="14" s="1"/>
  <c r="A2542" i="14"/>
  <c r="B2542" i="14"/>
  <c r="C2542" i="14" s="1"/>
  <c r="E2542" i="14" s="1"/>
  <c r="A2543" i="14"/>
  <c r="B2543" i="14"/>
  <c r="C2543" i="14" s="1"/>
  <c r="E2543" i="14" s="1"/>
  <c r="A2544" i="14"/>
  <c r="B2544" i="14"/>
  <c r="C2544" i="14" s="1"/>
  <c r="E2544" i="14" s="1"/>
  <c r="A2545" i="14"/>
  <c r="B2545" i="14"/>
  <c r="C2545" i="14" s="1"/>
  <c r="E2545" i="14" s="1"/>
  <c r="A2546" i="14"/>
  <c r="B2546" i="14"/>
  <c r="C2546" i="14" s="1"/>
  <c r="E2546" i="14" s="1"/>
  <c r="A2547" i="14"/>
  <c r="B2547" i="14"/>
  <c r="C2547" i="14" s="1"/>
  <c r="E2547" i="14" s="1"/>
  <c r="A2548" i="14"/>
  <c r="B2548" i="14"/>
  <c r="C2548" i="14" s="1"/>
  <c r="E2548" i="14" s="1"/>
  <c r="A2549" i="14"/>
  <c r="B2549" i="14"/>
  <c r="C2549" i="14" s="1"/>
  <c r="E2549" i="14" s="1"/>
  <c r="A2550" i="14"/>
  <c r="B2550" i="14"/>
  <c r="C2550" i="14" s="1"/>
  <c r="E2550" i="14" s="1"/>
  <c r="A2551" i="14"/>
  <c r="B2551" i="14"/>
  <c r="C2551" i="14" s="1"/>
  <c r="E2551" i="14" s="1"/>
  <c r="A2552" i="14"/>
  <c r="B2552" i="14"/>
  <c r="C2552" i="14" s="1"/>
  <c r="E2552" i="14" s="1"/>
  <c r="A2553" i="14"/>
  <c r="B2553" i="14"/>
  <c r="C2553" i="14" s="1"/>
  <c r="E2553" i="14" s="1"/>
  <c r="A2554" i="14"/>
  <c r="B2554" i="14"/>
  <c r="C2554" i="14" s="1"/>
  <c r="E2554" i="14" s="1"/>
  <c r="A2555" i="14"/>
  <c r="B2555" i="14"/>
  <c r="C2555" i="14" s="1"/>
  <c r="E2555" i="14" s="1"/>
  <c r="A2556" i="14"/>
  <c r="B2556" i="14"/>
  <c r="C2556" i="14" s="1"/>
  <c r="E2556" i="14" s="1"/>
  <c r="A2557" i="14"/>
  <c r="B2557" i="14"/>
  <c r="C2557" i="14" s="1"/>
  <c r="E2557" i="14" s="1"/>
  <c r="A2558" i="14"/>
  <c r="B2558" i="14"/>
  <c r="C2558" i="14" s="1"/>
  <c r="E2558" i="14" s="1"/>
  <c r="A2559" i="14"/>
  <c r="B2559" i="14"/>
  <c r="C2559" i="14" s="1"/>
  <c r="E2559" i="14" s="1"/>
  <c r="A2560" i="14"/>
  <c r="B2560" i="14"/>
  <c r="C2560" i="14" s="1"/>
  <c r="E2560" i="14" s="1"/>
  <c r="A2561" i="14"/>
  <c r="B2561" i="14"/>
  <c r="C2561" i="14" s="1"/>
  <c r="E2561" i="14" s="1"/>
  <c r="A2562" i="14"/>
  <c r="B2562" i="14"/>
  <c r="C2562" i="14" s="1"/>
  <c r="E2562" i="14" s="1"/>
  <c r="A2563" i="14"/>
  <c r="B2563" i="14"/>
  <c r="C2563" i="14" s="1"/>
  <c r="E2563" i="14" s="1"/>
  <c r="A2564" i="14"/>
  <c r="B2564" i="14"/>
  <c r="C2564" i="14" s="1"/>
  <c r="E2564" i="14" s="1"/>
  <c r="A2565" i="14"/>
  <c r="B2565" i="14"/>
  <c r="C2565" i="14" s="1"/>
  <c r="E2565" i="14" s="1"/>
  <c r="A2566" i="14"/>
  <c r="B2566" i="14"/>
  <c r="C2566" i="14" s="1"/>
  <c r="E2566" i="14" s="1"/>
  <c r="A2567" i="14"/>
  <c r="B2567" i="14"/>
  <c r="C2567" i="14" s="1"/>
  <c r="E2567" i="14" s="1"/>
  <c r="A2568" i="14"/>
  <c r="B2568" i="14"/>
  <c r="C2568" i="14" s="1"/>
  <c r="E2568" i="14" s="1"/>
  <c r="A2569" i="14"/>
  <c r="B2569" i="14"/>
  <c r="C2569" i="14" s="1"/>
  <c r="E2569" i="14" s="1"/>
  <c r="A2570" i="14"/>
  <c r="B2570" i="14"/>
  <c r="C2570" i="14" s="1"/>
  <c r="E2570" i="14" s="1"/>
  <c r="A2571" i="14"/>
  <c r="B2571" i="14"/>
  <c r="C2571" i="14" s="1"/>
  <c r="E2571" i="14" s="1"/>
  <c r="A2572" i="14"/>
  <c r="B2572" i="14"/>
  <c r="C2572" i="14" s="1"/>
  <c r="E2572" i="14" s="1"/>
  <c r="A2573" i="14"/>
  <c r="B2573" i="14"/>
  <c r="C2573" i="14" s="1"/>
  <c r="E2573" i="14" s="1"/>
  <c r="A2574" i="14"/>
  <c r="B2574" i="14"/>
  <c r="C2574" i="14" s="1"/>
  <c r="E2574" i="14" s="1"/>
  <c r="A2575" i="14"/>
  <c r="B2575" i="14"/>
  <c r="C2575" i="14" s="1"/>
  <c r="E2575" i="14" s="1"/>
  <c r="A2576" i="14"/>
  <c r="B2576" i="14"/>
  <c r="C2576" i="14" s="1"/>
  <c r="E2576" i="14" s="1"/>
  <c r="A2577" i="14"/>
  <c r="B2577" i="14"/>
  <c r="C2577" i="14" s="1"/>
  <c r="E2577" i="14" s="1"/>
  <c r="A2578" i="14"/>
  <c r="B2578" i="14"/>
  <c r="C2578" i="14" s="1"/>
  <c r="E2578" i="14" s="1"/>
  <c r="A2579" i="14"/>
  <c r="B2579" i="14"/>
  <c r="C2579" i="14" s="1"/>
  <c r="E2579" i="14" s="1"/>
  <c r="A2580" i="14"/>
  <c r="B2580" i="14"/>
  <c r="C2580" i="14" s="1"/>
  <c r="E2580" i="14" s="1"/>
  <c r="A2581" i="14"/>
  <c r="B2581" i="14"/>
  <c r="C2581" i="14" s="1"/>
  <c r="E2581" i="14" s="1"/>
  <c r="A2582" i="14"/>
  <c r="B2582" i="14"/>
  <c r="C2582" i="14" s="1"/>
  <c r="E2582" i="14" s="1"/>
  <c r="A2583" i="14"/>
  <c r="B2583" i="14"/>
  <c r="C2583" i="14" s="1"/>
  <c r="E2583" i="14" s="1"/>
  <c r="A2584" i="14"/>
  <c r="B2584" i="14"/>
  <c r="C2584" i="14" s="1"/>
  <c r="E2584" i="14" s="1"/>
  <c r="A2585" i="14"/>
  <c r="B2585" i="14"/>
  <c r="C2585" i="14" s="1"/>
  <c r="E2585" i="14" s="1"/>
  <c r="A2586" i="14"/>
  <c r="B2586" i="14"/>
  <c r="C2586" i="14" s="1"/>
  <c r="E2586" i="14" s="1"/>
  <c r="A2587" i="14"/>
  <c r="B2587" i="14"/>
  <c r="C2587" i="14" s="1"/>
  <c r="E2587" i="14" s="1"/>
  <c r="A2588" i="14"/>
  <c r="B2588" i="14"/>
  <c r="C2588" i="14" s="1"/>
  <c r="E2588" i="14" s="1"/>
  <c r="A2589" i="14"/>
  <c r="B2589" i="14"/>
  <c r="C2589" i="14" s="1"/>
  <c r="E2589" i="14" s="1"/>
  <c r="A2590" i="14"/>
  <c r="B2590" i="14"/>
  <c r="C2590" i="14" s="1"/>
  <c r="E2590" i="14" s="1"/>
  <c r="A2591" i="14"/>
  <c r="B2591" i="14"/>
  <c r="C2591" i="14" s="1"/>
  <c r="E2591" i="14" s="1"/>
  <c r="A2592" i="14"/>
  <c r="B2592" i="14"/>
  <c r="C2592" i="14" s="1"/>
  <c r="E2592" i="14" s="1"/>
  <c r="A2593" i="14"/>
  <c r="B2593" i="14"/>
  <c r="C2593" i="14" s="1"/>
  <c r="E2593" i="14" s="1"/>
  <c r="A2594" i="14"/>
  <c r="B2594" i="14"/>
  <c r="C2594" i="14" s="1"/>
  <c r="E2594" i="14" s="1"/>
  <c r="A2595" i="14"/>
  <c r="B2595" i="14"/>
  <c r="C2595" i="14" s="1"/>
  <c r="E2595" i="14" s="1"/>
  <c r="A2596" i="14"/>
  <c r="B2596" i="14"/>
  <c r="C2596" i="14" s="1"/>
  <c r="E2596" i="14" s="1"/>
  <c r="A2597" i="14"/>
  <c r="B2597" i="14"/>
  <c r="C2597" i="14" s="1"/>
  <c r="E2597" i="14" s="1"/>
  <c r="A2598" i="14"/>
  <c r="B2598" i="14"/>
  <c r="C2598" i="14" s="1"/>
  <c r="E2598" i="14" s="1"/>
  <c r="A2599" i="14"/>
  <c r="B2599" i="14"/>
  <c r="C2599" i="14" s="1"/>
  <c r="E2599" i="14" s="1"/>
  <c r="A2600" i="14"/>
  <c r="B2600" i="14"/>
  <c r="C2600" i="14" s="1"/>
  <c r="E2600" i="14" s="1"/>
  <c r="A2601" i="14"/>
  <c r="B2601" i="14"/>
  <c r="C2601" i="14" s="1"/>
  <c r="E2601" i="14" s="1"/>
  <c r="A2602" i="14"/>
  <c r="B2602" i="14"/>
  <c r="C2602" i="14" s="1"/>
  <c r="E2602" i="14" s="1"/>
  <c r="A2603" i="14"/>
  <c r="B2603" i="14"/>
  <c r="C2603" i="14" s="1"/>
  <c r="E2603" i="14" s="1"/>
  <c r="A2604" i="14"/>
  <c r="B2604" i="14"/>
  <c r="C2604" i="14" s="1"/>
  <c r="E2604" i="14" s="1"/>
  <c r="A2605" i="14"/>
  <c r="B2605" i="14"/>
  <c r="C2605" i="14" s="1"/>
  <c r="E2605" i="14" s="1"/>
  <c r="A2606" i="14"/>
  <c r="B2606" i="14"/>
  <c r="C2606" i="14" s="1"/>
  <c r="E2606" i="14" s="1"/>
  <c r="A2607" i="14"/>
  <c r="B2607" i="14"/>
  <c r="C2607" i="14" s="1"/>
  <c r="E2607" i="14" s="1"/>
  <c r="A2608" i="14"/>
  <c r="B2608" i="14"/>
  <c r="C2608" i="14" s="1"/>
  <c r="E2608" i="14" s="1"/>
  <c r="A2609" i="14"/>
  <c r="B2609" i="14"/>
  <c r="C2609" i="14" s="1"/>
  <c r="E2609" i="14" s="1"/>
  <c r="A2610" i="14"/>
  <c r="B2610" i="14"/>
  <c r="C2610" i="14" s="1"/>
  <c r="E2610" i="14" s="1"/>
  <c r="A2611" i="14"/>
  <c r="B2611" i="14"/>
  <c r="C2611" i="14" s="1"/>
  <c r="E2611" i="14" s="1"/>
  <c r="A2612" i="14"/>
  <c r="B2612" i="14"/>
  <c r="C2612" i="14" s="1"/>
  <c r="E2612" i="14" s="1"/>
  <c r="A2613" i="14"/>
  <c r="B2613" i="14"/>
  <c r="C2613" i="14" s="1"/>
  <c r="E2613" i="14" s="1"/>
  <c r="A2614" i="14"/>
  <c r="B2614" i="14"/>
  <c r="C2614" i="14" s="1"/>
  <c r="E2614" i="14" s="1"/>
  <c r="A2615" i="14"/>
  <c r="B2615" i="14"/>
  <c r="C2615" i="14" s="1"/>
  <c r="E2615" i="14" s="1"/>
  <c r="A2616" i="14"/>
  <c r="B2616" i="14"/>
  <c r="C2616" i="14" s="1"/>
  <c r="E2616" i="14" s="1"/>
  <c r="A2617" i="14"/>
  <c r="B2617" i="14"/>
  <c r="C2617" i="14" s="1"/>
  <c r="E2617" i="14" s="1"/>
  <c r="A2618" i="14"/>
  <c r="B2618" i="14"/>
  <c r="C2618" i="14" s="1"/>
  <c r="E2618" i="14" s="1"/>
  <c r="A2619" i="14"/>
  <c r="B2619" i="14"/>
  <c r="C2619" i="14" s="1"/>
  <c r="E2619" i="14" s="1"/>
  <c r="A2620" i="14"/>
  <c r="B2620" i="14"/>
  <c r="C2620" i="14" s="1"/>
  <c r="E2620" i="14" s="1"/>
  <c r="A2621" i="14"/>
  <c r="B2621" i="14"/>
  <c r="C2621" i="14" s="1"/>
  <c r="E2621" i="14" s="1"/>
  <c r="A2622" i="14"/>
  <c r="B2622" i="14"/>
  <c r="C2622" i="14" s="1"/>
  <c r="E2622" i="14" s="1"/>
  <c r="A2623" i="14"/>
  <c r="B2623" i="14"/>
  <c r="C2623" i="14" s="1"/>
  <c r="E2623" i="14" s="1"/>
  <c r="A2624" i="14"/>
  <c r="B2624" i="14"/>
  <c r="C2624" i="14" s="1"/>
  <c r="E2624" i="14" s="1"/>
  <c r="A2625" i="14"/>
  <c r="B2625" i="14"/>
  <c r="C2625" i="14" s="1"/>
  <c r="E2625" i="14" s="1"/>
  <c r="A2626" i="14"/>
  <c r="B2626" i="14"/>
  <c r="C2626" i="14" s="1"/>
  <c r="E2626" i="14" s="1"/>
  <c r="A2627" i="14"/>
  <c r="B2627" i="14"/>
  <c r="C2627" i="14" s="1"/>
  <c r="E2627" i="14" s="1"/>
  <c r="A2628" i="14"/>
  <c r="B2628" i="14"/>
  <c r="C2628" i="14" s="1"/>
  <c r="E2628" i="14" s="1"/>
  <c r="A2629" i="14"/>
  <c r="B2629" i="14"/>
  <c r="C2629" i="14" s="1"/>
  <c r="E2629" i="14" s="1"/>
  <c r="A2630" i="14"/>
  <c r="B2630" i="14"/>
  <c r="C2630" i="14" s="1"/>
  <c r="E2630" i="14" s="1"/>
  <c r="A2631" i="14"/>
  <c r="B2631" i="14"/>
  <c r="C2631" i="14" s="1"/>
  <c r="E2631" i="14" s="1"/>
  <c r="A2632" i="14"/>
  <c r="B2632" i="14"/>
  <c r="C2632" i="14" s="1"/>
  <c r="E2632" i="14" s="1"/>
  <c r="A2633" i="14"/>
  <c r="B2633" i="14"/>
  <c r="C2633" i="14" s="1"/>
  <c r="E2633" i="14" s="1"/>
  <c r="A2634" i="14"/>
  <c r="B2634" i="14"/>
  <c r="C2634" i="14" s="1"/>
  <c r="E2634" i="14" s="1"/>
  <c r="A2635" i="14"/>
  <c r="B2635" i="14"/>
  <c r="C2635" i="14" s="1"/>
  <c r="E2635" i="14" s="1"/>
  <c r="A2636" i="14"/>
  <c r="B2636" i="14"/>
  <c r="C2636" i="14" s="1"/>
  <c r="E2636" i="14" s="1"/>
  <c r="A2637" i="14"/>
  <c r="B2637" i="14"/>
  <c r="C2637" i="14" s="1"/>
  <c r="E2637" i="14" s="1"/>
  <c r="A2638" i="14"/>
  <c r="B2638" i="14"/>
  <c r="C2638" i="14" s="1"/>
  <c r="E2638" i="14" s="1"/>
  <c r="A2639" i="14"/>
  <c r="B2639" i="14"/>
  <c r="C2639" i="14" s="1"/>
  <c r="E2639" i="14" s="1"/>
  <c r="A2640" i="14"/>
  <c r="B2640" i="14"/>
  <c r="C2640" i="14" s="1"/>
  <c r="E2640" i="14" s="1"/>
  <c r="A2641" i="14"/>
  <c r="B2641" i="14"/>
  <c r="C2641" i="14" s="1"/>
  <c r="E2641" i="14" s="1"/>
  <c r="A2642" i="14"/>
  <c r="B2642" i="14"/>
  <c r="C2642" i="14" s="1"/>
  <c r="E2642" i="14" s="1"/>
  <c r="A2643" i="14"/>
  <c r="B2643" i="14"/>
  <c r="C2643" i="14" s="1"/>
  <c r="E2643" i="14" s="1"/>
  <c r="A2644" i="14"/>
  <c r="B2644" i="14"/>
  <c r="C2644" i="14" s="1"/>
  <c r="E2644" i="14" s="1"/>
  <c r="A2645" i="14"/>
  <c r="B2645" i="14"/>
  <c r="C2645" i="14" s="1"/>
  <c r="E2645" i="14" s="1"/>
  <c r="A2646" i="14"/>
  <c r="B2646" i="14"/>
  <c r="C2646" i="14" s="1"/>
  <c r="E2646" i="14" s="1"/>
  <c r="A2647" i="14"/>
  <c r="B2647" i="14"/>
  <c r="C2647" i="14" s="1"/>
  <c r="E2647" i="14" s="1"/>
  <c r="A2648" i="14"/>
  <c r="B2648" i="14"/>
  <c r="C2648" i="14" s="1"/>
  <c r="E2648" i="14" s="1"/>
  <c r="A2649" i="14"/>
  <c r="B2649" i="14"/>
  <c r="C2649" i="14" s="1"/>
  <c r="E2649" i="14" s="1"/>
  <c r="A2650" i="14"/>
  <c r="B2650" i="14"/>
  <c r="C2650" i="14" s="1"/>
  <c r="E2650" i="14" s="1"/>
  <c r="A2651" i="14"/>
  <c r="B2651" i="14"/>
  <c r="C2651" i="14" s="1"/>
  <c r="E2651" i="14" s="1"/>
  <c r="A2652" i="14"/>
  <c r="B2652" i="14"/>
  <c r="C2652" i="14" s="1"/>
  <c r="E2652" i="14" s="1"/>
  <c r="A2653" i="14"/>
  <c r="B2653" i="14"/>
  <c r="C2653" i="14" s="1"/>
  <c r="E2653" i="14" s="1"/>
  <c r="A2654" i="14"/>
  <c r="B2654" i="14"/>
  <c r="C2654" i="14" s="1"/>
  <c r="E2654" i="14" s="1"/>
  <c r="A2655" i="14"/>
  <c r="B2655" i="14"/>
  <c r="C2655" i="14" s="1"/>
  <c r="E2655" i="14" s="1"/>
  <c r="A2656" i="14"/>
  <c r="B2656" i="14"/>
  <c r="C2656" i="14" s="1"/>
  <c r="E2656" i="14" s="1"/>
  <c r="A2657" i="14"/>
  <c r="B2657" i="14"/>
  <c r="C2657" i="14" s="1"/>
  <c r="E2657" i="14" s="1"/>
  <c r="A2658" i="14"/>
  <c r="B2658" i="14"/>
  <c r="C2658" i="14" s="1"/>
  <c r="E2658" i="14" s="1"/>
  <c r="A2659" i="14"/>
  <c r="B2659" i="14"/>
  <c r="C2659" i="14" s="1"/>
  <c r="E2659" i="14" s="1"/>
  <c r="A2660" i="14"/>
  <c r="B2660" i="14"/>
  <c r="C2660" i="14" s="1"/>
  <c r="E2660" i="14" s="1"/>
  <c r="A2661" i="14"/>
  <c r="B2661" i="14"/>
  <c r="C2661" i="14" s="1"/>
  <c r="E2661" i="14" s="1"/>
  <c r="A2662" i="14"/>
  <c r="B2662" i="14"/>
  <c r="C2662" i="14" s="1"/>
  <c r="E2662" i="14" s="1"/>
  <c r="A2663" i="14"/>
  <c r="B2663" i="14"/>
  <c r="C2663" i="14" s="1"/>
  <c r="E2663" i="14" s="1"/>
  <c r="A2664" i="14"/>
  <c r="B2664" i="14"/>
  <c r="C2664" i="14" s="1"/>
  <c r="E2664" i="14" s="1"/>
  <c r="A2665" i="14"/>
  <c r="B2665" i="14"/>
  <c r="C2665" i="14" s="1"/>
  <c r="E2665" i="14" s="1"/>
  <c r="A2666" i="14"/>
  <c r="B2666" i="14"/>
  <c r="C2666" i="14" s="1"/>
  <c r="E2666" i="14" s="1"/>
  <c r="A2667" i="14"/>
  <c r="B2667" i="14"/>
  <c r="C2667" i="14" s="1"/>
  <c r="E2667" i="14" s="1"/>
  <c r="A2668" i="14"/>
  <c r="B2668" i="14"/>
  <c r="C2668" i="14" s="1"/>
  <c r="E2668" i="14" s="1"/>
  <c r="A2669" i="14"/>
  <c r="B2669" i="14"/>
  <c r="C2669" i="14" s="1"/>
  <c r="E2669" i="14" s="1"/>
  <c r="A2670" i="14"/>
  <c r="B2670" i="14"/>
  <c r="C2670" i="14" s="1"/>
  <c r="E2670" i="14" s="1"/>
  <c r="A2671" i="14"/>
  <c r="B2671" i="14"/>
  <c r="C2671" i="14" s="1"/>
  <c r="E2671" i="14" s="1"/>
  <c r="A2672" i="14"/>
  <c r="B2672" i="14"/>
  <c r="C2672" i="14" s="1"/>
  <c r="E2672" i="14" s="1"/>
  <c r="A2673" i="14"/>
  <c r="B2673" i="14"/>
  <c r="C2673" i="14" s="1"/>
  <c r="E2673" i="14" s="1"/>
  <c r="A2674" i="14"/>
  <c r="B2674" i="14"/>
  <c r="C2674" i="14" s="1"/>
  <c r="E2674" i="14" s="1"/>
  <c r="A2675" i="14"/>
  <c r="B2675" i="14"/>
  <c r="C2675" i="14" s="1"/>
  <c r="E2675" i="14" s="1"/>
  <c r="A2676" i="14"/>
  <c r="B2676" i="14"/>
  <c r="C2676" i="14" s="1"/>
  <c r="E2676" i="14" s="1"/>
  <c r="A2677" i="14"/>
  <c r="B2677" i="14"/>
  <c r="C2677" i="14" s="1"/>
  <c r="E2677" i="14" s="1"/>
  <c r="A2678" i="14"/>
  <c r="B2678" i="14"/>
  <c r="C2678" i="14" s="1"/>
  <c r="E2678" i="14" s="1"/>
  <c r="A2679" i="14"/>
  <c r="B2679" i="14"/>
  <c r="C2679" i="14" s="1"/>
  <c r="E2679" i="14" s="1"/>
  <c r="A2680" i="14"/>
  <c r="B2680" i="14"/>
  <c r="C2680" i="14" s="1"/>
  <c r="E2680" i="14" s="1"/>
  <c r="A2681" i="14"/>
  <c r="B2681" i="14"/>
  <c r="C2681" i="14" s="1"/>
  <c r="E2681" i="14" s="1"/>
  <c r="A2682" i="14"/>
  <c r="B2682" i="14"/>
  <c r="C2682" i="14" s="1"/>
  <c r="E2682" i="14" s="1"/>
  <c r="A2683" i="14"/>
  <c r="B2683" i="14"/>
  <c r="C2683" i="14" s="1"/>
  <c r="E2683" i="14" s="1"/>
  <c r="A2684" i="14"/>
  <c r="B2684" i="14"/>
  <c r="C2684" i="14" s="1"/>
  <c r="E2684" i="14" s="1"/>
  <c r="A2685" i="14"/>
  <c r="B2685" i="14"/>
  <c r="C2685" i="14" s="1"/>
  <c r="E2685" i="14" s="1"/>
  <c r="A2686" i="14"/>
  <c r="B2686" i="14"/>
  <c r="C2686" i="14" s="1"/>
  <c r="E2686" i="14" s="1"/>
  <c r="A2687" i="14"/>
  <c r="B2687" i="14"/>
  <c r="C2687" i="14" s="1"/>
  <c r="E2687" i="14" s="1"/>
  <c r="A2688" i="14"/>
  <c r="B2688" i="14"/>
  <c r="C2688" i="14" s="1"/>
  <c r="E2688" i="14" s="1"/>
  <c r="A2689" i="14"/>
  <c r="B2689" i="14"/>
  <c r="C2689" i="14" s="1"/>
  <c r="E2689" i="14" s="1"/>
  <c r="A2690" i="14"/>
  <c r="B2690" i="14"/>
  <c r="C2690" i="14" s="1"/>
  <c r="E2690" i="14" s="1"/>
  <c r="A2691" i="14"/>
  <c r="B2691" i="14"/>
  <c r="C2691" i="14" s="1"/>
  <c r="E2691" i="14" s="1"/>
  <c r="A2692" i="14"/>
  <c r="B2692" i="14"/>
  <c r="C2692" i="14" s="1"/>
  <c r="E2692" i="14" s="1"/>
  <c r="A2693" i="14"/>
  <c r="B2693" i="14"/>
  <c r="C2693" i="14" s="1"/>
  <c r="E2693" i="14" s="1"/>
  <c r="A2694" i="14"/>
  <c r="B2694" i="14"/>
  <c r="C2694" i="14" s="1"/>
  <c r="E2694" i="14" s="1"/>
  <c r="A2695" i="14"/>
  <c r="B2695" i="14"/>
  <c r="C2695" i="14" s="1"/>
  <c r="E2695" i="14" s="1"/>
  <c r="A2696" i="14"/>
  <c r="B2696" i="14"/>
  <c r="C2696" i="14" s="1"/>
  <c r="E2696" i="14" s="1"/>
  <c r="A2697" i="14"/>
  <c r="B2697" i="14"/>
  <c r="C2697" i="14" s="1"/>
  <c r="E2697" i="14" s="1"/>
  <c r="A2698" i="14"/>
  <c r="B2698" i="14"/>
  <c r="C2698" i="14" s="1"/>
  <c r="E2698" i="14" s="1"/>
  <c r="A2699" i="14"/>
  <c r="B2699" i="14"/>
  <c r="C2699" i="14" s="1"/>
  <c r="E2699" i="14" s="1"/>
  <c r="A2700" i="14"/>
  <c r="B2700" i="14"/>
  <c r="C2700" i="14" s="1"/>
  <c r="E2700" i="14" s="1"/>
  <c r="A2701" i="14"/>
  <c r="B2701" i="14"/>
  <c r="C2701" i="14" s="1"/>
  <c r="E2701" i="14" s="1"/>
  <c r="A2702" i="14"/>
  <c r="B2702" i="14"/>
  <c r="C2702" i="14" s="1"/>
  <c r="E2702" i="14" s="1"/>
  <c r="A2703" i="14"/>
  <c r="B2703" i="14"/>
  <c r="C2703" i="14" s="1"/>
  <c r="E2703" i="14" s="1"/>
  <c r="A2704" i="14"/>
  <c r="B2704" i="14"/>
  <c r="C2704" i="14" s="1"/>
  <c r="E2704" i="14" s="1"/>
  <c r="A2705" i="14"/>
  <c r="B2705" i="14"/>
  <c r="C2705" i="14" s="1"/>
  <c r="E2705" i="14" s="1"/>
  <c r="A2706" i="14"/>
  <c r="B2706" i="14"/>
  <c r="C2706" i="14" s="1"/>
  <c r="E2706" i="14" s="1"/>
  <c r="A2707" i="14"/>
  <c r="B2707" i="14"/>
  <c r="C2707" i="14" s="1"/>
  <c r="E2707" i="14" s="1"/>
  <c r="A2708" i="14"/>
  <c r="B2708" i="14"/>
  <c r="C2708" i="14" s="1"/>
  <c r="E2708" i="14" s="1"/>
  <c r="A2709" i="14"/>
  <c r="B2709" i="14"/>
  <c r="C2709" i="14" s="1"/>
  <c r="E2709" i="14" s="1"/>
  <c r="A2710" i="14"/>
  <c r="B2710" i="14"/>
  <c r="C2710" i="14" s="1"/>
  <c r="E2710" i="14" s="1"/>
  <c r="A2711" i="14"/>
  <c r="B2711" i="14"/>
  <c r="C2711" i="14" s="1"/>
  <c r="E2711" i="14" s="1"/>
  <c r="A2712" i="14"/>
  <c r="B2712" i="14"/>
  <c r="C2712" i="14" s="1"/>
  <c r="E2712" i="14" s="1"/>
  <c r="A2713" i="14"/>
  <c r="B2713" i="14"/>
  <c r="C2713" i="14" s="1"/>
  <c r="E2713" i="14" s="1"/>
  <c r="A2714" i="14"/>
  <c r="B2714" i="14"/>
  <c r="C2714" i="14" s="1"/>
  <c r="E2714" i="14" s="1"/>
  <c r="A2715" i="14"/>
  <c r="B2715" i="14"/>
  <c r="C2715" i="14" s="1"/>
  <c r="E2715" i="14" s="1"/>
  <c r="A2716" i="14"/>
  <c r="B2716" i="14"/>
  <c r="C2716" i="14" s="1"/>
  <c r="E2716" i="14" s="1"/>
  <c r="A2717" i="14"/>
  <c r="B2717" i="14"/>
  <c r="C2717" i="14" s="1"/>
  <c r="E2717" i="14" s="1"/>
  <c r="A2718" i="14"/>
  <c r="B2718" i="14"/>
  <c r="C2718" i="14" s="1"/>
  <c r="E2718" i="14" s="1"/>
  <c r="A2719" i="14"/>
  <c r="B2719" i="14"/>
  <c r="C2719" i="14" s="1"/>
  <c r="E2719" i="14" s="1"/>
  <c r="A2720" i="14"/>
  <c r="B2720" i="14"/>
  <c r="C2720" i="14" s="1"/>
  <c r="E2720" i="14" s="1"/>
  <c r="A2721" i="14"/>
  <c r="B2721" i="14"/>
  <c r="C2721" i="14" s="1"/>
  <c r="E2721" i="14" s="1"/>
  <c r="A2722" i="14"/>
  <c r="B2722" i="14"/>
  <c r="C2722" i="14" s="1"/>
  <c r="E2722" i="14" s="1"/>
  <c r="A2723" i="14"/>
  <c r="B2723" i="14"/>
  <c r="C2723" i="14" s="1"/>
  <c r="E2723" i="14" s="1"/>
  <c r="A2724" i="14"/>
  <c r="B2724" i="14"/>
  <c r="C2724" i="14" s="1"/>
  <c r="E2724" i="14" s="1"/>
  <c r="A2725" i="14"/>
  <c r="B2725" i="14"/>
  <c r="C2725" i="14" s="1"/>
  <c r="E2725" i="14" s="1"/>
  <c r="A2726" i="14"/>
  <c r="B2726" i="14"/>
  <c r="C2726" i="14" s="1"/>
  <c r="E2726" i="14" s="1"/>
  <c r="A2727" i="14"/>
  <c r="B2727" i="14"/>
  <c r="C2727" i="14" s="1"/>
  <c r="E2727" i="14" s="1"/>
  <c r="A2728" i="14"/>
  <c r="B2728" i="14"/>
  <c r="C2728" i="14" s="1"/>
  <c r="E2728" i="14" s="1"/>
  <c r="A2729" i="14"/>
  <c r="B2729" i="14"/>
  <c r="C2729" i="14" s="1"/>
  <c r="E2729" i="14" s="1"/>
  <c r="A2730" i="14"/>
  <c r="B2730" i="14"/>
  <c r="C2730" i="14" s="1"/>
  <c r="E2730" i="14" s="1"/>
  <c r="A2731" i="14"/>
  <c r="B2731" i="14"/>
  <c r="C2731" i="14" s="1"/>
  <c r="E2731" i="14" s="1"/>
  <c r="A2732" i="14"/>
  <c r="B2732" i="14"/>
  <c r="C2732" i="14" s="1"/>
  <c r="E2732" i="14" s="1"/>
  <c r="A2733" i="14"/>
  <c r="B2733" i="14"/>
  <c r="C2733" i="14" s="1"/>
  <c r="E2733" i="14" s="1"/>
  <c r="A2734" i="14"/>
  <c r="B2734" i="14"/>
  <c r="C2734" i="14" s="1"/>
  <c r="E2734" i="14" s="1"/>
  <c r="A2735" i="14"/>
  <c r="B2735" i="14"/>
  <c r="C2735" i="14" s="1"/>
  <c r="E2735" i="14" s="1"/>
  <c r="A2736" i="14"/>
  <c r="B2736" i="14"/>
  <c r="C2736" i="14" s="1"/>
  <c r="E2736" i="14" s="1"/>
  <c r="A2737" i="14"/>
  <c r="B2737" i="14"/>
  <c r="C2737" i="14" s="1"/>
  <c r="E2737" i="14" s="1"/>
  <c r="A2738" i="14"/>
  <c r="B2738" i="14"/>
  <c r="C2738" i="14" s="1"/>
  <c r="E2738" i="14" s="1"/>
  <c r="A2739" i="14"/>
  <c r="B2739" i="14"/>
  <c r="C2739" i="14" s="1"/>
  <c r="E2739" i="14" s="1"/>
  <c r="A2740" i="14"/>
  <c r="B2740" i="14"/>
  <c r="C2740" i="14" s="1"/>
  <c r="E2740" i="14" s="1"/>
  <c r="A2741" i="14"/>
  <c r="B2741" i="14"/>
  <c r="C2741" i="14" s="1"/>
  <c r="E2741" i="14" s="1"/>
  <c r="A2742" i="14"/>
  <c r="B2742" i="14"/>
  <c r="C2742" i="14" s="1"/>
  <c r="E2742" i="14" s="1"/>
  <c r="A2743" i="14"/>
  <c r="B2743" i="14"/>
  <c r="C2743" i="14" s="1"/>
  <c r="E2743" i="14" s="1"/>
  <c r="A2744" i="14"/>
  <c r="B2744" i="14"/>
  <c r="C2744" i="14" s="1"/>
  <c r="E2744" i="14" s="1"/>
  <c r="A2745" i="14"/>
  <c r="B2745" i="14"/>
  <c r="C2745" i="14" s="1"/>
  <c r="E2745" i="14" s="1"/>
  <c r="A2746" i="14"/>
  <c r="B2746" i="14"/>
  <c r="C2746" i="14" s="1"/>
  <c r="E2746" i="14" s="1"/>
  <c r="A2747" i="14"/>
  <c r="B2747" i="14"/>
  <c r="C2747" i="14" s="1"/>
  <c r="E2747" i="14" s="1"/>
  <c r="A2748" i="14"/>
  <c r="B2748" i="14"/>
  <c r="C2748" i="14" s="1"/>
  <c r="E2748" i="14" s="1"/>
  <c r="A2749" i="14"/>
  <c r="B2749" i="14"/>
  <c r="C2749" i="14" s="1"/>
  <c r="E2749" i="14" s="1"/>
  <c r="A2750" i="14"/>
  <c r="B2750" i="14"/>
  <c r="C2750" i="14" s="1"/>
  <c r="E2750" i="14" s="1"/>
  <c r="A2751" i="14"/>
  <c r="B2751" i="14"/>
  <c r="C2751" i="14" s="1"/>
  <c r="E2751" i="14" s="1"/>
  <c r="A2752" i="14"/>
  <c r="B2752" i="14"/>
  <c r="C2752" i="14" s="1"/>
  <c r="E2752" i="14" s="1"/>
  <c r="A2753" i="14"/>
  <c r="B2753" i="14"/>
  <c r="C2753" i="14" s="1"/>
  <c r="E2753" i="14" s="1"/>
  <c r="A2754" i="14"/>
  <c r="B2754" i="14"/>
  <c r="C2754" i="14" s="1"/>
  <c r="E2754" i="14" s="1"/>
  <c r="A2755" i="14"/>
  <c r="B2755" i="14"/>
  <c r="C2755" i="14" s="1"/>
  <c r="E2755" i="14" s="1"/>
  <c r="A2756" i="14"/>
  <c r="B2756" i="14"/>
  <c r="C2756" i="14" s="1"/>
  <c r="E2756" i="14" s="1"/>
  <c r="A2757" i="14"/>
  <c r="B2757" i="14"/>
  <c r="C2757" i="14" s="1"/>
  <c r="E2757" i="14" s="1"/>
  <c r="A2758" i="14"/>
  <c r="B2758" i="14"/>
  <c r="C2758" i="14" s="1"/>
  <c r="E2758" i="14" s="1"/>
  <c r="A2759" i="14"/>
  <c r="B2759" i="14"/>
  <c r="C2759" i="14" s="1"/>
  <c r="E2759" i="14" s="1"/>
  <c r="A2760" i="14"/>
  <c r="B2760" i="14"/>
  <c r="C2760" i="14" s="1"/>
  <c r="E2760" i="14" s="1"/>
  <c r="A2761" i="14"/>
  <c r="B2761" i="14"/>
  <c r="C2761" i="14" s="1"/>
  <c r="E2761" i="14" s="1"/>
  <c r="A2762" i="14"/>
  <c r="B2762" i="14"/>
  <c r="C2762" i="14" s="1"/>
  <c r="E2762" i="14" s="1"/>
  <c r="A2763" i="14"/>
  <c r="B2763" i="14"/>
  <c r="C2763" i="14" s="1"/>
  <c r="E2763" i="14" s="1"/>
  <c r="A2764" i="14"/>
  <c r="B2764" i="14"/>
  <c r="C2764" i="14" s="1"/>
  <c r="E2764" i="14" s="1"/>
  <c r="A2765" i="14"/>
  <c r="B2765" i="14"/>
  <c r="C2765" i="14" s="1"/>
  <c r="E2765" i="14" s="1"/>
  <c r="A2766" i="14"/>
  <c r="B2766" i="14"/>
  <c r="C2766" i="14" s="1"/>
  <c r="E2766" i="14" s="1"/>
  <c r="A2767" i="14"/>
  <c r="B2767" i="14"/>
  <c r="C2767" i="14" s="1"/>
  <c r="E2767" i="14" s="1"/>
  <c r="A2768" i="14"/>
  <c r="B2768" i="14"/>
  <c r="C2768" i="14" s="1"/>
  <c r="E2768" i="14" s="1"/>
  <c r="A2769" i="14"/>
  <c r="B2769" i="14"/>
  <c r="C2769" i="14" s="1"/>
  <c r="E2769" i="14" s="1"/>
  <c r="A2770" i="14"/>
  <c r="B2770" i="14"/>
  <c r="C2770" i="14" s="1"/>
  <c r="E2770" i="14" s="1"/>
  <c r="A2771" i="14"/>
  <c r="B2771" i="14"/>
  <c r="C2771" i="14" s="1"/>
  <c r="E2771" i="14" s="1"/>
  <c r="A2772" i="14"/>
  <c r="B2772" i="14"/>
  <c r="C2772" i="14" s="1"/>
  <c r="E2772" i="14" s="1"/>
  <c r="A2773" i="14"/>
  <c r="B2773" i="14"/>
  <c r="C2773" i="14" s="1"/>
  <c r="E2773" i="14" s="1"/>
  <c r="A2774" i="14"/>
  <c r="B2774" i="14"/>
  <c r="C2774" i="14" s="1"/>
  <c r="E2774" i="14" s="1"/>
  <c r="A2775" i="14"/>
  <c r="B2775" i="14"/>
  <c r="C2775" i="14" s="1"/>
  <c r="E2775" i="14" s="1"/>
  <c r="A2776" i="14"/>
  <c r="B2776" i="14"/>
  <c r="C2776" i="14" s="1"/>
  <c r="E2776" i="14" s="1"/>
  <c r="A2777" i="14"/>
  <c r="B2777" i="14"/>
  <c r="C2777" i="14" s="1"/>
  <c r="E2777" i="14" s="1"/>
  <c r="A2778" i="14"/>
  <c r="B2778" i="14"/>
  <c r="C2778" i="14" s="1"/>
  <c r="E2778" i="14" s="1"/>
  <c r="A2779" i="14"/>
  <c r="B2779" i="14"/>
  <c r="C2779" i="14" s="1"/>
  <c r="E2779" i="14" s="1"/>
  <c r="A2780" i="14"/>
  <c r="B2780" i="14"/>
  <c r="C2780" i="14" s="1"/>
  <c r="E2780" i="14" s="1"/>
  <c r="A2781" i="14"/>
  <c r="B2781" i="14"/>
  <c r="C2781" i="14" s="1"/>
  <c r="E2781" i="14" s="1"/>
  <c r="A2782" i="14"/>
  <c r="B2782" i="14"/>
  <c r="C2782" i="14" s="1"/>
  <c r="E2782" i="14" s="1"/>
  <c r="A2783" i="14"/>
  <c r="B2783" i="14"/>
  <c r="C2783" i="14" s="1"/>
  <c r="E2783" i="14" s="1"/>
  <c r="A2784" i="14"/>
  <c r="B2784" i="14"/>
  <c r="C2784" i="14" s="1"/>
  <c r="E2784" i="14" s="1"/>
  <c r="A2785" i="14"/>
  <c r="B2785" i="14"/>
  <c r="C2785" i="14" s="1"/>
  <c r="E2785" i="14" s="1"/>
  <c r="A2786" i="14"/>
  <c r="B2786" i="14"/>
  <c r="C2786" i="14" s="1"/>
  <c r="E2786" i="14" s="1"/>
  <c r="A2787" i="14"/>
  <c r="B2787" i="14"/>
  <c r="C2787" i="14" s="1"/>
  <c r="E2787" i="14" s="1"/>
  <c r="A2788" i="14"/>
  <c r="B2788" i="14"/>
  <c r="C2788" i="14" s="1"/>
  <c r="E2788" i="14" s="1"/>
  <c r="A2789" i="14"/>
  <c r="B2789" i="14"/>
  <c r="C2789" i="14" s="1"/>
  <c r="E2789" i="14" s="1"/>
  <c r="A2790" i="14"/>
  <c r="B2790" i="14"/>
  <c r="C2790" i="14" s="1"/>
  <c r="E2790" i="14" s="1"/>
  <c r="A2791" i="14"/>
  <c r="B2791" i="14"/>
  <c r="C2791" i="14" s="1"/>
  <c r="E2791" i="14" s="1"/>
  <c r="A2792" i="14"/>
  <c r="B2792" i="14"/>
  <c r="C2792" i="14" s="1"/>
  <c r="E2792" i="14" s="1"/>
  <c r="A2793" i="14"/>
  <c r="B2793" i="14"/>
  <c r="C2793" i="14" s="1"/>
  <c r="E2793" i="14" s="1"/>
  <c r="A2794" i="14"/>
  <c r="B2794" i="14"/>
  <c r="C2794" i="14" s="1"/>
  <c r="E2794" i="14" s="1"/>
  <c r="A2795" i="14"/>
  <c r="B2795" i="14"/>
  <c r="C2795" i="14" s="1"/>
  <c r="E2795" i="14" s="1"/>
  <c r="A2796" i="14"/>
  <c r="B2796" i="14"/>
  <c r="C2796" i="14" s="1"/>
  <c r="E2796" i="14" s="1"/>
  <c r="A2797" i="14"/>
  <c r="B2797" i="14"/>
  <c r="C2797" i="14" s="1"/>
  <c r="E2797" i="14" s="1"/>
  <c r="A2798" i="14"/>
  <c r="B2798" i="14"/>
  <c r="C2798" i="14" s="1"/>
  <c r="E2798" i="14" s="1"/>
  <c r="A2799" i="14"/>
  <c r="B2799" i="14"/>
  <c r="C2799" i="14" s="1"/>
  <c r="E2799" i="14" s="1"/>
  <c r="A2800" i="14"/>
  <c r="B2800" i="14"/>
  <c r="C2800" i="14" s="1"/>
  <c r="E2800" i="14" s="1"/>
  <c r="A2801" i="14"/>
  <c r="B2801" i="14"/>
  <c r="C2801" i="14" s="1"/>
  <c r="E2801" i="14" s="1"/>
  <c r="A2802" i="14"/>
  <c r="B2802" i="14"/>
  <c r="C2802" i="14" s="1"/>
  <c r="E2802" i="14" s="1"/>
  <c r="A2803" i="14"/>
  <c r="B2803" i="14"/>
  <c r="C2803" i="14" s="1"/>
  <c r="E2803" i="14" s="1"/>
  <c r="A2804" i="14"/>
  <c r="B2804" i="14"/>
  <c r="C2804" i="14" s="1"/>
  <c r="E2804" i="14" s="1"/>
  <c r="A2805" i="14"/>
  <c r="B2805" i="14"/>
  <c r="C2805" i="14" s="1"/>
  <c r="E2805" i="14" s="1"/>
  <c r="A2806" i="14"/>
  <c r="B2806" i="14"/>
  <c r="C2806" i="14" s="1"/>
  <c r="E2806" i="14" s="1"/>
  <c r="A2807" i="14"/>
  <c r="B2807" i="14"/>
  <c r="C2807" i="14" s="1"/>
  <c r="E2807" i="14" s="1"/>
  <c r="A2808" i="14"/>
  <c r="B2808" i="14"/>
  <c r="C2808" i="14" s="1"/>
  <c r="E2808" i="14" s="1"/>
  <c r="A2809" i="14"/>
  <c r="B2809" i="14"/>
  <c r="C2809" i="14" s="1"/>
  <c r="E2809" i="14" s="1"/>
  <c r="A2810" i="14"/>
  <c r="B2810" i="14"/>
  <c r="C2810" i="14" s="1"/>
  <c r="E2810" i="14" s="1"/>
  <c r="A2811" i="14"/>
  <c r="B2811" i="14"/>
  <c r="C2811" i="14" s="1"/>
  <c r="E2811" i="14" s="1"/>
  <c r="A2812" i="14"/>
  <c r="B2812" i="14"/>
  <c r="C2812" i="14" s="1"/>
  <c r="E2812" i="14" s="1"/>
  <c r="A2813" i="14"/>
  <c r="B2813" i="14"/>
  <c r="C2813" i="14" s="1"/>
  <c r="E2813" i="14" s="1"/>
  <c r="A2814" i="14"/>
  <c r="B2814" i="14"/>
  <c r="C2814" i="14" s="1"/>
  <c r="E2814" i="14" s="1"/>
  <c r="A2815" i="14"/>
  <c r="B2815" i="14"/>
  <c r="C2815" i="14" s="1"/>
  <c r="E2815" i="14" s="1"/>
  <c r="A2816" i="14"/>
  <c r="B2816" i="14"/>
  <c r="C2816" i="14" s="1"/>
  <c r="E2816" i="14" s="1"/>
  <c r="A2817" i="14"/>
  <c r="B2817" i="14"/>
  <c r="C2817" i="14" s="1"/>
  <c r="E2817" i="14" s="1"/>
  <c r="A2818" i="14"/>
  <c r="B2818" i="14"/>
  <c r="C2818" i="14" s="1"/>
  <c r="E2818" i="14" s="1"/>
  <c r="A2819" i="14"/>
  <c r="B2819" i="14"/>
  <c r="C2819" i="14" s="1"/>
  <c r="E2819" i="14" s="1"/>
  <c r="A2820" i="14"/>
  <c r="B2820" i="14"/>
  <c r="C2820" i="14" s="1"/>
  <c r="E2820" i="14" s="1"/>
  <c r="A2821" i="14"/>
  <c r="B2821" i="14"/>
  <c r="C2821" i="14" s="1"/>
  <c r="E2821" i="14" s="1"/>
  <c r="A2822" i="14"/>
  <c r="B2822" i="14"/>
  <c r="C2822" i="14" s="1"/>
  <c r="E2822" i="14" s="1"/>
  <c r="A2823" i="14"/>
  <c r="B2823" i="14"/>
  <c r="C2823" i="14" s="1"/>
  <c r="E2823" i="14" s="1"/>
  <c r="A2824" i="14"/>
  <c r="B2824" i="14"/>
  <c r="C2824" i="14" s="1"/>
  <c r="E2824" i="14" s="1"/>
  <c r="A2825" i="14"/>
  <c r="B2825" i="14"/>
  <c r="C2825" i="14" s="1"/>
  <c r="E2825" i="14" s="1"/>
  <c r="A2826" i="14"/>
  <c r="B2826" i="14"/>
  <c r="C2826" i="14" s="1"/>
  <c r="E2826" i="14" s="1"/>
  <c r="A2827" i="14"/>
  <c r="B2827" i="14"/>
  <c r="C2827" i="14" s="1"/>
  <c r="E2827" i="14" s="1"/>
  <c r="A2828" i="14"/>
  <c r="B2828" i="14"/>
  <c r="C2828" i="14" s="1"/>
  <c r="E2828" i="14" s="1"/>
  <c r="A2829" i="14"/>
  <c r="B2829" i="14"/>
  <c r="C2829" i="14" s="1"/>
  <c r="E2829" i="14" s="1"/>
  <c r="A2830" i="14"/>
  <c r="B2830" i="14"/>
  <c r="C2830" i="14" s="1"/>
  <c r="E2830" i="14" s="1"/>
  <c r="A2831" i="14"/>
  <c r="B2831" i="14"/>
  <c r="C2831" i="14" s="1"/>
  <c r="E2831" i="14" s="1"/>
  <c r="A2832" i="14"/>
  <c r="B2832" i="14"/>
  <c r="C2832" i="14" s="1"/>
  <c r="E2832" i="14" s="1"/>
  <c r="A2833" i="14"/>
  <c r="B2833" i="14"/>
  <c r="C2833" i="14" s="1"/>
  <c r="E2833" i="14" s="1"/>
  <c r="A2834" i="14"/>
  <c r="B2834" i="14"/>
  <c r="C2834" i="14" s="1"/>
  <c r="E2834" i="14" s="1"/>
  <c r="A2835" i="14"/>
  <c r="B2835" i="14"/>
  <c r="C2835" i="14" s="1"/>
  <c r="E2835" i="14" s="1"/>
  <c r="A2836" i="14"/>
  <c r="B2836" i="14"/>
  <c r="C2836" i="14" s="1"/>
  <c r="E2836" i="14" s="1"/>
  <c r="A2837" i="14"/>
  <c r="B2837" i="14"/>
  <c r="C2837" i="14" s="1"/>
  <c r="E2837" i="14" s="1"/>
  <c r="A2838" i="14"/>
  <c r="B2838" i="14"/>
  <c r="C2838" i="14" s="1"/>
  <c r="E2838" i="14" s="1"/>
  <c r="A2839" i="14"/>
  <c r="B2839" i="14"/>
  <c r="C2839" i="14" s="1"/>
  <c r="E2839" i="14" s="1"/>
  <c r="A2840" i="14"/>
  <c r="B2840" i="14"/>
  <c r="C2840" i="14" s="1"/>
  <c r="E2840" i="14" s="1"/>
  <c r="A2841" i="14"/>
  <c r="B2841" i="14"/>
  <c r="C2841" i="14" s="1"/>
  <c r="E2841" i="14" s="1"/>
  <c r="A2842" i="14"/>
  <c r="B2842" i="14"/>
  <c r="C2842" i="14" s="1"/>
  <c r="E2842" i="14" s="1"/>
  <c r="A2843" i="14"/>
  <c r="B2843" i="14"/>
  <c r="C2843" i="14" s="1"/>
  <c r="E2843" i="14" s="1"/>
  <c r="A2844" i="14"/>
  <c r="B2844" i="14"/>
  <c r="C2844" i="14" s="1"/>
  <c r="E2844" i="14" s="1"/>
  <c r="A2845" i="14"/>
  <c r="B2845" i="14"/>
  <c r="C2845" i="14" s="1"/>
  <c r="E2845" i="14" s="1"/>
  <c r="A2846" i="14"/>
  <c r="B2846" i="14"/>
  <c r="C2846" i="14" s="1"/>
  <c r="E2846" i="14" s="1"/>
  <c r="A2847" i="14"/>
  <c r="B2847" i="14"/>
  <c r="C2847" i="14" s="1"/>
  <c r="E2847" i="14" s="1"/>
  <c r="A2848" i="14"/>
  <c r="B2848" i="14"/>
  <c r="C2848" i="14" s="1"/>
  <c r="E2848" i="14" s="1"/>
  <c r="A2849" i="14"/>
  <c r="B2849" i="14"/>
  <c r="C2849" i="14" s="1"/>
  <c r="E2849" i="14" s="1"/>
  <c r="A2850" i="14"/>
  <c r="B2850" i="14"/>
  <c r="C2850" i="14" s="1"/>
  <c r="E2850" i="14" s="1"/>
  <c r="A2851" i="14"/>
  <c r="B2851" i="14"/>
  <c r="C2851" i="14" s="1"/>
  <c r="E2851" i="14" s="1"/>
  <c r="A2852" i="14"/>
  <c r="B2852" i="14"/>
  <c r="C2852" i="14" s="1"/>
  <c r="E2852" i="14" s="1"/>
  <c r="A2853" i="14"/>
  <c r="B2853" i="14"/>
  <c r="C2853" i="14" s="1"/>
  <c r="E2853" i="14" s="1"/>
  <c r="A2854" i="14"/>
  <c r="B2854" i="14"/>
  <c r="C2854" i="14" s="1"/>
  <c r="E2854" i="14" s="1"/>
  <c r="A2855" i="14"/>
  <c r="B2855" i="14"/>
  <c r="C2855" i="14" s="1"/>
  <c r="E2855" i="14" s="1"/>
  <c r="A2856" i="14"/>
  <c r="B2856" i="14"/>
  <c r="C2856" i="14" s="1"/>
  <c r="E2856" i="14" s="1"/>
  <c r="A2857" i="14"/>
  <c r="B2857" i="14"/>
  <c r="C2857" i="14" s="1"/>
  <c r="E2857" i="14" s="1"/>
  <c r="A2858" i="14"/>
  <c r="B2858" i="14"/>
  <c r="C2858" i="14" s="1"/>
  <c r="E2858" i="14" s="1"/>
  <c r="A2859" i="14"/>
  <c r="B2859" i="14"/>
  <c r="C2859" i="14" s="1"/>
  <c r="E2859" i="14" s="1"/>
  <c r="A2860" i="14"/>
  <c r="B2860" i="14"/>
  <c r="C2860" i="14" s="1"/>
  <c r="E2860" i="14" s="1"/>
  <c r="A2861" i="14"/>
  <c r="B2861" i="14"/>
  <c r="C2861" i="14" s="1"/>
  <c r="E2861" i="14" s="1"/>
  <c r="A2862" i="14"/>
  <c r="B2862" i="14"/>
  <c r="C2862" i="14" s="1"/>
  <c r="E2862" i="14" s="1"/>
  <c r="A2863" i="14"/>
  <c r="B2863" i="14"/>
  <c r="C2863" i="14" s="1"/>
  <c r="E2863" i="14" s="1"/>
  <c r="A2864" i="14"/>
  <c r="B2864" i="14"/>
  <c r="C2864" i="14" s="1"/>
  <c r="E2864" i="14" s="1"/>
  <c r="A2865" i="14"/>
  <c r="B2865" i="14"/>
  <c r="C2865" i="14" s="1"/>
  <c r="E2865" i="14" s="1"/>
  <c r="A2866" i="14"/>
  <c r="B2866" i="14"/>
  <c r="C2866" i="14" s="1"/>
  <c r="E2866" i="14" s="1"/>
  <c r="A2867" i="14"/>
  <c r="B2867" i="14"/>
  <c r="C2867" i="14" s="1"/>
  <c r="E2867" i="14" s="1"/>
  <c r="A2868" i="14"/>
  <c r="B2868" i="14"/>
  <c r="C2868" i="14" s="1"/>
  <c r="E2868" i="14" s="1"/>
  <c r="A2869" i="14"/>
  <c r="B2869" i="14"/>
  <c r="C2869" i="14" s="1"/>
  <c r="E2869" i="14" s="1"/>
  <c r="A2870" i="14"/>
  <c r="B2870" i="14"/>
  <c r="C2870" i="14" s="1"/>
  <c r="E2870" i="14" s="1"/>
  <c r="A2871" i="14"/>
  <c r="B2871" i="14"/>
  <c r="C2871" i="14" s="1"/>
  <c r="E2871" i="14" s="1"/>
  <c r="A2872" i="14"/>
  <c r="B2872" i="14"/>
  <c r="C2872" i="14" s="1"/>
  <c r="E2872" i="14" s="1"/>
  <c r="A2873" i="14"/>
  <c r="B2873" i="14"/>
  <c r="C2873" i="14" s="1"/>
  <c r="E2873" i="14" s="1"/>
  <c r="A2874" i="14"/>
  <c r="B2874" i="14"/>
  <c r="C2874" i="14" s="1"/>
  <c r="E2874" i="14" s="1"/>
  <c r="A2875" i="14"/>
  <c r="B2875" i="14"/>
  <c r="C2875" i="14" s="1"/>
  <c r="E2875" i="14" s="1"/>
  <c r="A2876" i="14"/>
  <c r="B2876" i="14"/>
  <c r="C2876" i="14" s="1"/>
  <c r="E2876" i="14" s="1"/>
  <c r="A2877" i="14"/>
  <c r="B2877" i="14"/>
  <c r="C2877" i="14" s="1"/>
  <c r="E2877" i="14" s="1"/>
  <c r="A2878" i="14"/>
  <c r="B2878" i="14"/>
  <c r="C2878" i="14" s="1"/>
  <c r="E2878" i="14" s="1"/>
  <c r="A2879" i="14"/>
  <c r="B2879" i="14"/>
  <c r="C2879" i="14" s="1"/>
  <c r="E2879" i="14" s="1"/>
  <c r="A2880" i="14"/>
  <c r="B2880" i="14"/>
  <c r="C2880" i="14" s="1"/>
  <c r="E2880" i="14" s="1"/>
  <c r="A2881" i="14"/>
  <c r="B2881" i="14"/>
  <c r="C2881" i="14" s="1"/>
  <c r="E2881" i="14" s="1"/>
  <c r="A2882" i="14"/>
  <c r="B2882" i="14"/>
  <c r="C2882" i="14" s="1"/>
  <c r="E2882" i="14" s="1"/>
  <c r="A2883" i="14"/>
  <c r="B2883" i="14"/>
  <c r="C2883" i="14" s="1"/>
  <c r="E2883" i="14" s="1"/>
  <c r="A2884" i="14"/>
  <c r="B2884" i="14"/>
  <c r="C2884" i="14" s="1"/>
  <c r="E2884" i="14" s="1"/>
  <c r="A2885" i="14"/>
  <c r="B2885" i="14"/>
  <c r="C2885" i="14" s="1"/>
  <c r="E2885" i="14" s="1"/>
  <c r="A2886" i="14"/>
  <c r="B2886" i="14"/>
  <c r="C2886" i="14" s="1"/>
  <c r="E2886" i="14" s="1"/>
  <c r="A2887" i="14"/>
  <c r="B2887" i="14"/>
  <c r="C2887" i="14" s="1"/>
  <c r="E2887" i="14" s="1"/>
  <c r="A2888" i="14"/>
  <c r="B2888" i="14"/>
  <c r="C2888" i="14" s="1"/>
  <c r="E2888" i="14" s="1"/>
  <c r="A2889" i="14"/>
  <c r="B2889" i="14"/>
  <c r="C2889" i="14" s="1"/>
  <c r="E2889" i="14" s="1"/>
  <c r="A2890" i="14"/>
  <c r="B2890" i="14"/>
  <c r="C2890" i="14" s="1"/>
  <c r="E2890" i="14" s="1"/>
  <c r="A2891" i="14"/>
  <c r="B2891" i="14"/>
  <c r="C2891" i="14" s="1"/>
  <c r="E2891" i="14" s="1"/>
  <c r="A2892" i="14"/>
  <c r="B2892" i="14"/>
  <c r="C2892" i="14" s="1"/>
  <c r="E2892" i="14" s="1"/>
  <c r="A2893" i="14"/>
  <c r="B2893" i="14"/>
  <c r="C2893" i="14" s="1"/>
  <c r="E2893" i="14" s="1"/>
  <c r="A2894" i="14"/>
  <c r="B2894" i="14"/>
  <c r="C2894" i="14" s="1"/>
  <c r="E2894" i="14" s="1"/>
  <c r="A2895" i="14"/>
  <c r="B2895" i="14"/>
  <c r="C2895" i="14" s="1"/>
  <c r="E2895" i="14" s="1"/>
  <c r="A2896" i="14"/>
  <c r="B2896" i="14"/>
  <c r="C2896" i="14" s="1"/>
  <c r="E2896" i="14" s="1"/>
  <c r="A2897" i="14"/>
  <c r="B2897" i="14"/>
  <c r="C2897" i="14" s="1"/>
  <c r="E2897" i="14" s="1"/>
  <c r="A2898" i="14"/>
  <c r="B2898" i="14"/>
  <c r="C2898" i="14" s="1"/>
  <c r="E2898" i="14" s="1"/>
  <c r="A2899" i="14"/>
  <c r="B2899" i="14"/>
  <c r="C2899" i="14" s="1"/>
  <c r="E2899" i="14" s="1"/>
  <c r="A2900" i="14"/>
  <c r="B2900" i="14"/>
  <c r="C2900" i="14" s="1"/>
  <c r="E2900" i="14" s="1"/>
  <c r="A2901" i="14"/>
  <c r="B2901" i="14"/>
  <c r="C2901" i="14" s="1"/>
  <c r="E2901" i="14" s="1"/>
  <c r="A2902" i="14"/>
  <c r="B2902" i="14"/>
  <c r="C2902" i="14" s="1"/>
  <c r="E2902" i="14" s="1"/>
  <c r="A2903" i="14"/>
  <c r="B2903" i="14"/>
  <c r="C2903" i="14" s="1"/>
  <c r="E2903" i="14" s="1"/>
  <c r="A2904" i="14"/>
  <c r="B2904" i="14"/>
  <c r="C2904" i="14" s="1"/>
  <c r="E2904" i="14" s="1"/>
  <c r="A2905" i="14"/>
  <c r="B2905" i="14"/>
  <c r="C2905" i="14" s="1"/>
  <c r="E2905" i="14" s="1"/>
  <c r="A2906" i="14"/>
  <c r="B2906" i="14"/>
  <c r="C2906" i="14" s="1"/>
  <c r="E2906" i="14" s="1"/>
  <c r="A2907" i="14"/>
  <c r="B2907" i="14"/>
  <c r="C2907" i="14" s="1"/>
  <c r="E2907" i="14" s="1"/>
  <c r="A2908" i="14"/>
  <c r="B2908" i="14"/>
  <c r="C2908" i="14" s="1"/>
  <c r="E2908" i="14" s="1"/>
  <c r="A2909" i="14"/>
  <c r="B2909" i="14"/>
  <c r="C2909" i="14" s="1"/>
  <c r="E2909" i="14" s="1"/>
  <c r="A2910" i="14"/>
  <c r="B2910" i="14"/>
  <c r="C2910" i="14" s="1"/>
  <c r="E2910" i="14" s="1"/>
  <c r="A2911" i="14"/>
  <c r="B2911" i="14"/>
  <c r="C2911" i="14" s="1"/>
  <c r="E2911" i="14" s="1"/>
  <c r="A2912" i="14"/>
  <c r="B2912" i="14"/>
  <c r="C2912" i="14" s="1"/>
  <c r="E2912" i="14" s="1"/>
  <c r="A2913" i="14"/>
  <c r="B2913" i="14"/>
  <c r="C2913" i="14" s="1"/>
  <c r="E2913" i="14" s="1"/>
  <c r="A2914" i="14"/>
  <c r="B2914" i="14"/>
  <c r="C2914" i="14" s="1"/>
  <c r="E2914" i="14" s="1"/>
  <c r="A2915" i="14"/>
  <c r="B2915" i="14"/>
  <c r="C2915" i="14" s="1"/>
  <c r="E2915" i="14" s="1"/>
  <c r="A2916" i="14"/>
  <c r="B2916" i="14"/>
  <c r="C2916" i="14" s="1"/>
  <c r="E2916" i="14" s="1"/>
  <c r="A2917" i="14"/>
  <c r="B2917" i="14"/>
  <c r="C2917" i="14" s="1"/>
  <c r="E2917" i="14" s="1"/>
  <c r="A2918" i="14"/>
  <c r="B2918" i="14"/>
  <c r="C2918" i="14" s="1"/>
  <c r="E2918" i="14" s="1"/>
  <c r="A2919" i="14"/>
  <c r="B2919" i="14"/>
  <c r="C2919" i="14" s="1"/>
  <c r="E2919" i="14" s="1"/>
  <c r="A2920" i="14"/>
  <c r="B2920" i="14"/>
  <c r="C2920" i="14" s="1"/>
  <c r="E2920" i="14" s="1"/>
  <c r="A2921" i="14"/>
  <c r="B2921" i="14"/>
  <c r="C2921" i="14" s="1"/>
  <c r="E2921" i="14" s="1"/>
  <c r="A2922" i="14"/>
  <c r="B2922" i="14"/>
  <c r="C2922" i="14" s="1"/>
  <c r="E2922" i="14" s="1"/>
  <c r="A2923" i="14"/>
  <c r="B2923" i="14"/>
  <c r="C2923" i="14" s="1"/>
  <c r="E2923" i="14" s="1"/>
  <c r="A2924" i="14"/>
  <c r="B2924" i="14"/>
  <c r="C2924" i="14" s="1"/>
  <c r="E2924" i="14" s="1"/>
  <c r="A2925" i="14"/>
  <c r="B2925" i="14"/>
  <c r="C2925" i="14" s="1"/>
  <c r="E2925" i="14" s="1"/>
  <c r="A2926" i="14"/>
  <c r="B2926" i="14"/>
  <c r="C2926" i="14" s="1"/>
  <c r="E2926" i="14" s="1"/>
  <c r="A2927" i="14"/>
  <c r="B2927" i="14"/>
  <c r="C2927" i="14" s="1"/>
  <c r="E2927" i="14" s="1"/>
  <c r="A2928" i="14"/>
  <c r="B2928" i="14"/>
  <c r="C2928" i="14" s="1"/>
  <c r="E2928" i="14" s="1"/>
  <c r="A2929" i="14"/>
  <c r="B2929" i="14"/>
  <c r="C2929" i="14" s="1"/>
  <c r="E2929" i="14" s="1"/>
  <c r="A2930" i="14"/>
  <c r="B2930" i="14"/>
  <c r="C2930" i="14" s="1"/>
  <c r="E2930" i="14" s="1"/>
  <c r="A2931" i="14"/>
  <c r="B2931" i="14"/>
  <c r="C2931" i="14" s="1"/>
  <c r="E2931" i="14" s="1"/>
  <c r="A2932" i="14"/>
  <c r="B2932" i="14"/>
  <c r="C2932" i="14" s="1"/>
  <c r="E2932" i="14" s="1"/>
  <c r="A2933" i="14"/>
  <c r="B2933" i="14"/>
  <c r="C2933" i="14" s="1"/>
  <c r="E2933" i="14" s="1"/>
  <c r="A2934" i="14"/>
  <c r="B2934" i="14"/>
  <c r="C2934" i="14" s="1"/>
  <c r="E2934" i="14" s="1"/>
  <c r="A2935" i="14"/>
  <c r="B2935" i="14"/>
  <c r="C2935" i="14" s="1"/>
  <c r="E2935" i="14" s="1"/>
  <c r="A2936" i="14"/>
  <c r="B2936" i="14"/>
  <c r="C2936" i="14" s="1"/>
  <c r="E2936" i="14" s="1"/>
  <c r="A2937" i="14"/>
  <c r="B2937" i="14"/>
  <c r="C2937" i="14" s="1"/>
  <c r="E2937" i="14" s="1"/>
  <c r="A2938" i="14"/>
  <c r="B2938" i="14"/>
  <c r="C2938" i="14" s="1"/>
  <c r="E2938" i="14" s="1"/>
  <c r="A2939" i="14"/>
  <c r="B2939" i="14"/>
  <c r="C2939" i="14" s="1"/>
  <c r="E2939" i="14" s="1"/>
  <c r="A2940" i="14"/>
  <c r="B2940" i="14"/>
  <c r="C2940" i="14" s="1"/>
  <c r="E2940" i="14" s="1"/>
  <c r="A2941" i="14"/>
  <c r="B2941" i="14"/>
  <c r="C2941" i="14" s="1"/>
  <c r="E2941" i="14" s="1"/>
  <c r="A2942" i="14"/>
  <c r="B2942" i="14"/>
  <c r="C2942" i="14" s="1"/>
  <c r="E2942" i="14" s="1"/>
  <c r="A2943" i="14"/>
  <c r="B2943" i="14"/>
  <c r="C2943" i="14" s="1"/>
  <c r="E2943" i="14" s="1"/>
  <c r="A2944" i="14"/>
  <c r="B2944" i="14"/>
  <c r="C2944" i="14" s="1"/>
  <c r="E2944" i="14" s="1"/>
  <c r="A2945" i="14"/>
  <c r="B2945" i="14"/>
  <c r="C2945" i="14" s="1"/>
  <c r="E2945" i="14" s="1"/>
  <c r="A2946" i="14"/>
  <c r="B2946" i="14"/>
  <c r="C2946" i="14" s="1"/>
  <c r="E2946" i="14" s="1"/>
  <c r="A2947" i="14"/>
  <c r="B2947" i="14"/>
  <c r="C2947" i="14" s="1"/>
  <c r="E2947" i="14" s="1"/>
  <c r="A2948" i="14"/>
  <c r="B2948" i="14"/>
  <c r="C2948" i="14" s="1"/>
  <c r="E2948" i="14" s="1"/>
  <c r="A2949" i="14"/>
  <c r="B2949" i="14"/>
  <c r="C2949" i="14" s="1"/>
  <c r="E2949" i="14" s="1"/>
  <c r="A2950" i="14"/>
  <c r="B2950" i="14"/>
  <c r="C2950" i="14" s="1"/>
  <c r="E2950" i="14" s="1"/>
  <c r="A2951" i="14"/>
  <c r="B2951" i="14"/>
  <c r="C2951" i="14" s="1"/>
  <c r="E2951" i="14" s="1"/>
  <c r="A2952" i="14"/>
  <c r="B2952" i="14"/>
  <c r="C2952" i="14" s="1"/>
  <c r="E2952" i="14" s="1"/>
  <c r="A2953" i="14"/>
  <c r="B2953" i="14"/>
  <c r="C2953" i="14" s="1"/>
  <c r="E2953" i="14" s="1"/>
  <c r="A2954" i="14"/>
  <c r="B2954" i="14"/>
  <c r="C2954" i="14" s="1"/>
  <c r="E2954" i="14" s="1"/>
  <c r="A2955" i="14"/>
  <c r="B2955" i="14"/>
  <c r="C2955" i="14" s="1"/>
  <c r="E2955" i="14" s="1"/>
  <c r="A2956" i="14"/>
  <c r="B2956" i="14"/>
  <c r="C2956" i="14" s="1"/>
  <c r="E2956" i="14" s="1"/>
  <c r="A2957" i="14"/>
  <c r="B2957" i="14"/>
  <c r="C2957" i="14" s="1"/>
  <c r="E2957" i="14" s="1"/>
  <c r="A2958" i="14"/>
  <c r="B2958" i="14"/>
  <c r="C2958" i="14" s="1"/>
  <c r="E2958" i="14" s="1"/>
  <c r="A2959" i="14"/>
  <c r="B2959" i="14"/>
  <c r="C2959" i="14" s="1"/>
  <c r="E2959" i="14" s="1"/>
  <c r="A2960" i="14"/>
  <c r="B2960" i="14"/>
  <c r="C2960" i="14" s="1"/>
  <c r="E2960" i="14" s="1"/>
  <c r="A2961" i="14"/>
  <c r="B2961" i="14"/>
  <c r="C2961" i="14" s="1"/>
  <c r="E2961" i="14" s="1"/>
  <c r="A2962" i="14"/>
  <c r="B2962" i="14"/>
  <c r="C2962" i="14" s="1"/>
  <c r="E2962" i="14" s="1"/>
  <c r="A2963" i="14"/>
  <c r="B2963" i="14"/>
  <c r="C2963" i="14" s="1"/>
  <c r="E2963" i="14" s="1"/>
  <c r="A2964" i="14"/>
  <c r="B2964" i="14"/>
  <c r="C2964" i="14" s="1"/>
  <c r="E2964" i="14" s="1"/>
  <c r="A2965" i="14"/>
  <c r="B2965" i="14"/>
  <c r="C2965" i="14" s="1"/>
  <c r="E2965" i="14" s="1"/>
  <c r="A2966" i="14"/>
  <c r="B2966" i="14"/>
  <c r="C2966" i="14" s="1"/>
  <c r="E2966" i="14" s="1"/>
  <c r="A2967" i="14"/>
  <c r="B2967" i="14"/>
  <c r="C2967" i="14" s="1"/>
  <c r="E2967" i="14" s="1"/>
  <c r="A2968" i="14"/>
  <c r="B2968" i="14"/>
  <c r="C2968" i="14" s="1"/>
  <c r="E2968" i="14" s="1"/>
  <c r="A2969" i="14"/>
  <c r="B2969" i="14"/>
  <c r="C2969" i="14" s="1"/>
  <c r="E2969" i="14" s="1"/>
  <c r="A2970" i="14"/>
  <c r="B2970" i="14"/>
  <c r="C2970" i="14" s="1"/>
  <c r="E2970" i="14" s="1"/>
  <c r="A2971" i="14"/>
  <c r="B2971" i="14"/>
  <c r="C2971" i="14" s="1"/>
  <c r="E2971" i="14" s="1"/>
  <c r="A2972" i="14"/>
  <c r="B2972" i="14"/>
  <c r="C2972" i="14" s="1"/>
  <c r="E2972" i="14" s="1"/>
  <c r="A2973" i="14"/>
  <c r="B2973" i="14"/>
  <c r="C2973" i="14" s="1"/>
  <c r="E2973" i="14" s="1"/>
  <c r="A2974" i="14"/>
  <c r="B2974" i="14"/>
  <c r="C2974" i="14" s="1"/>
  <c r="E2974" i="14" s="1"/>
  <c r="A2975" i="14"/>
  <c r="B2975" i="14"/>
  <c r="C2975" i="14" s="1"/>
  <c r="E2975" i="14" s="1"/>
  <c r="A2976" i="14"/>
  <c r="B2976" i="14"/>
  <c r="C2976" i="14" s="1"/>
  <c r="E2976" i="14" s="1"/>
  <c r="A2977" i="14"/>
  <c r="B2977" i="14"/>
  <c r="C2977" i="14" s="1"/>
  <c r="E2977" i="14" s="1"/>
  <c r="A2978" i="14"/>
  <c r="B2978" i="14"/>
  <c r="C2978" i="14" s="1"/>
  <c r="E2978" i="14" s="1"/>
  <c r="A2979" i="14"/>
  <c r="B2979" i="14"/>
  <c r="C2979" i="14" s="1"/>
  <c r="E2979" i="14" s="1"/>
  <c r="A2980" i="14"/>
  <c r="B2980" i="14"/>
  <c r="C2980" i="14" s="1"/>
  <c r="E2980" i="14" s="1"/>
  <c r="A2981" i="14"/>
  <c r="B2981" i="14"/>
  <c r="C2981" i="14" s="1"/>
  <c r="E2981" i="14" s="1"/>
  <c r="A2982" i="14"/>
  <c r="B2982" i="14"/>
  <c r="C2982" i="14" s="1"/>
  <c r="E2982" i="14" s="1"/>
  <c r="A2983" i="14"/>
  <c r="B2983" i="14"/>
  <c r="C2983" i="14" s="1"/>
  <c r="E2983" i="14" s="1"/>
  <c r="A2984" i="14"/>
  <c r="B2984" i="14"/>
  <c r="C2984" i="14" s="1"/>
  <c r="E2984" i="14" s="1"/>
  <c r="A2985" i="14"/>
  <c r="B2985" i="14"/>
  <c r="C2985" i="14" s="1"/>
  <c r="E2985" i="14" s="1"/>
  <c r="A2986" i="14"/>
  <c r="B2986" i="14"/>
  <c r="C2986" i="14" s="1"/>
  <c r="E2986" i="14" s="1"/>
  <c r="A2987" i="14"/>
  <c r="B2987" i="14"/>
  <c r="C2987" i="14" s="1"/>
  <c r="E2987" i="14" s="1"/>
  <c r="A2988" i="14"/>
  <c r="B2988" i="14"/>
  <c r="C2988" i="14" s="1"/>
  <c r="E2988" i="14" s="1"/>
  <c r="A2989" i="14"/>
  <c r="B2989" i="14"/>
  <c r="C2989" i="14" s="1"/>
  <c r="E2989" i="14" s="1"/>
  <c r="A2990" i="14"/>
  <c r="B2990" i="14"/>
  <c r="C2990" i="14" s="1"/>
  <c r="E2990" i="14" s="1"/>
  <c r="A2991" i="14"/>
  <c r="B2991" i="14"/>
  <c r="C2991" i="14" s="1"/>
  <c r="E2991" i="14" s="1"/>
  <c r="A2992" i="14"/>
  <c r="B2992" i="14"/>
  <c r="C2992" i="14" s="1"/>
  <c r="E2992" i="14" s="1"/>
  <c r="A2993" i="14"/>
  <c r="B2993" i="14"/>
  <c r="C2993" i="14" s="1"/>
  <c r="E2993" i="14" s="1"/>
  <c r="A2994" i="14"/>
  <c r="B2994" i="14"/>
  <c r="C2994" i="14" s="1"/>
  <c r="E2994" i="14" s="1"/>
  <c r="A2995" i="14"/>
  <c r="B2995" i="14"/>
  <c r="C2995" i="14" s="1"/>
  <c r="E2995" i="14" s="1"/>
  <c r="A2996" i="14"/>
  <c r="B2996" i="14"/>
  <c r="C2996" i="14" s="1"/>
  <c r="E2996" i="14" s="1"/>
  <c r="A2997" i="14"/>
  <c r="B2997" i="14"/>
  <c r="C2997" i="14" s="1"/>
  <c r="E2997" i="14" s="1"/>
  <c r="A2998" i="14"/>
  <c r="B2998" i="14"/>
  <c r="C2998" i="14" s="1"/>
  <c r="E2998" i="14" s="1"/>
  <c r="A2999" i="14"/>
  <c r="B2999" i="14"/>
  <c r="C2999" i="14" s="1"/>
  <c r="E2999" i="14" s="1"/>
  <c r="A3000" i="14"/>
  <c r="B3000" i="14"/>
  <c r="C3000" i="14" s="1"/>
  <c r="E3000" i="14" s="1"/>
  <c r="A3001" i="14"/>
  <c r="B3001" i="14"/>
  <c r="C3001" i="14" s="1"/>
  <c r="E3001" i="14" s="1"/>
  <c r="A3002" i="14"/>
  <c r="B3002" i="14"/>
  <c r="C3002" i="14" s="1"/>
  <c r="E3002" i="14" s="1"/>
  <c r="A3003" i="14"/>
  <c r="B3003" i="14"/>
  <c r="C3003" i="14" s="1"/>
  <c r="E3003" i="14" s="1"/>
  <c r="A3004" i="14"/>
  <c r="B3004" i="14"/>
  <c r="C3004" i="14" s="1"/>
  <c r="E3004" i="14" s="1"/>
  <c r="A3005" i="14"/>
  <c r="B3005" i="14"/>
  <c r="C3005" i="14" s="1"/>
  <c r="E3005" i="14" s="1"/>
  <c r="A3006" i="14"/>
  <c r="B3006" i="14"/>
  <c r="C3006" i="14" s="1"/>
  <c r="E3006" i="14" s="1"/>
  <c r="A3007" i="14"/>
  <c r="B3007" i="14"/>
  <c r="C3007" i="14" s="1"/>
  <c r="E3007" i="14" s="1"/>
  <c r="A3008" i="14"/>
  <c r="B3008" i="14"/>
  <c r="C3008" i="14" s="1"/>
  <c r="E3008" i="14" s="1"/>
  <c r="A3009" i="14"/>
  <c r="B3009" i="14"/>
  <c r="C3009" i="14" s="1"/>
  <c r="E3009" i="14" s="1"/>
  <c r="A3010" i="14"/>
  <c r="B3010" i="14"/>
  <c r="C3010" i="14" s="1"/>
  <c r="E3010" i="14" s="1"/>
  <c r="A3011" i="14"/>
  <c r="B3011" i="14"/>
  <c r="C3011" i="14" s="1"/>
  <c r="E3011" i="14" s="1"/>
  <c r="A3012" i="14"/>
  <c r="B3012" i="14"/>
  <c r="C3012" i="14" s="1"/>
  <c r="E3012" i="14" s="1"/>
  <c r="A3013" i="14"/>
  <c r="B3013" i="14"/>
  <c r="C3013" i="14" s="1"/>
  <c r="E3013" i="14" s="1"/>
  <c r="A3014" i="14"/>
  <c r="B3014" i="14"/>
  <c r="C3014" i="14" s="1"/>
  <c r="E3014" i="14" s="1"/>
  <c r="A3015" i="14"/>
  <c r="B3015" i="14"/>
  <c r="C3015" i="14" s="1"/>
  <c r="E3015" i="14" s="1"/>
  <c r="A3016" i="14"/>
  <c r="B3016" i="14"/>
  <c r="C3016" i="14" s="1"/>
  <c r="E3016" i="14" s="1"/>
  <c r="A3017" i="14"/>
  <c r="B3017" i="14"/>
  <c r="C3017" i="14" s="1"/>
  <c r="E3017" i="14" s="1"/>
  <c r="A3018" i="14"/>
  <c r="B3018" i="14"/>
  <c r="C3018" i="14" s="1"/>
  <c r="E3018" i="14" s="1"/>
  <c r="A3019" i="14"/>
  <c r="B3019" i="14"/>
  <c r="C3019" i="14" s="1"/>
  <c r="E3019" i="14" s="1"/>
  <c r="A3020" i="14"/>
  <c r="B3020" i="14"/>
  <c r="C3020" i="14" s="1"/>
  <c r="E3020" i="14" s="1"/>
  <c r="A3021" i="14"/>
  <c r="B3021" i="14"/>
  <c r="C3021" i="14" s="1"/>
  <c r="E3021" i="14" s="1"/>
  <c r="A3022" i="14"/>
  <c r="B3022" i="14"/>
  <c r="C3022" i="14" s="1"/>
  <c r="E3022" i="14" s="1"/>
  <c r="A3023" i="14"/>
  <c r="B3023" i="14"/>
  <c r="C3023" i="14" s="1"/>
  <c r="E3023" i="14" s="1"/>
  <c r="A3024" i="14"/>
  <c r="B3024" i="14"/>
  <c r="C3024" i="14" s="1"/>
  <c r="E3024" i="14" s="1"/>
  <c r="A3025" i="14"/>
  <c r="B3025" i="14"/>
  <c r="C3025" i="14" s="1"/>
  <c r="E3025" i="14" s="1"/>
  <c r="A3026" i="14"/>
  <c r="B3026" i="14"/>
  <c r="C3026" i="14" s="1"/>
  <c r="E3026" i="14" s="1"/>
  <c r="A3027" i="14"/>
  <c r="B3027" i="14"/>
  <c r="C3027" i="14" s="1"/>
  <c r="E3027" i="14" s="1"/>
  <c r="A3028" i="14"/>
  <c r="B3028" i="14"/>
  <c r="C3028" i="14" s="1"/>
  <c r="E3028" i="14" s="1"/>
  <c r="A3029" i="14"/>
  <c r="B3029" i="14"/>
  <c r="C3029" i="14" s="1"/>
  <c r="E3029" i="14" s="1"/>
  <c r="A3030" i="14"/>
  <c r="B3030" i="14"/>
  <c r="C3030" i="14" s="1"/>
  <c r="E3030" i="14" s="1"/>
  <c r="A3031" i="14"/>
  <c r="B3031" i="14"/>
  <c r="C3031" i="14" s="1"/>
  <c r="E3031" i="14" s="1"/>
  <c r="A3032" i="14"/>
  <c r="B3032" i="14"/>
  <c r="C3032" i="14" s="1"/>
  <c r="E3032" i="14" s="1"/>
  <c r="A3033" i="14"/>
  <c r="B3033" i="14"/>
  <c r="C3033" i="14" s="1"/>
  <c r="E3033" i="14" s="1"/>
  <c r="A3034" i="14"/>
  <c r="B3034" i="14"/>
  <c r="C3034" i="14" s="1"/>
  <c r="E3034" i="14" s="1"/>
  <c r="A3035" i="14"/>
  <c r="B3035" i="14"/>
  <c r="C3035" i="14" s="1"/>
  <c r="E3035" i="14" s="1"/>
  <c r="A3036" i="14"/>
  <c r="B3036" i="14"/>
  <c r="C3036" i="14" s="1"/>
  <c r="E3036" i="14" s="1"/>
  <c r="A3037" i="14"/>
  <c r="B3037" i="14"/>
  <c r="C3037" i="14" s="1"/>
  <c r="E3037" i="14" s="1"/>
  <c r="A3038" i="14"/>
  <c r="B3038" i="14"/>
  <c r="C3038" i="14" s="1"/>
  <c r="E3038" i="14" s="1"/>
  <c r="A3039" i="14"/>
  <c r="B3039" i="14"/>
  <c r="C3039" i="14" s="1"/>
  <c r="E3039" i="14" s="1"/>
  <c r="A3040" i="14"/>
  <c r="B3040" i="14"/>
  <c r="C3040" i="14" s="1"/>
  <c r="E3040" i="14" s="1"/>
  <c r="A3041" i="14"/>
  <c r="B3041" i="14"/>
  <c r="C3041" i="14" s="1"/>
  <c r="E3041" i="14" s="1"/>
  <c r="A3042" i="14"/>
  <c r="B3042" i="14"/>
  <c r="C3042" i="14" s="1"/>
  <c r="E3042" i="14" s="1"/>
  <c r="A3043" i="14"/>
  <c r="B3043" i="14"/>
  <c r="C3043" i="14" s="1"/>
  <c r="E3043" i="14" s="1"/>
  <c r="A3044" i="14"/>
  <c r="B3044" i="14"/>
  <c r="C3044" i="14" s="1"/>
  <c r="E3044" i="14" s="1"/>
  <c r="A3045" i="14"/>
  <c r="B3045" i="14"/>
  <c r="C3045" i="14" s="1"/>
  <c r="E3045" i="14" s="1"/>
  <c r="A3046" i="14"/>
  <c r="B3046" i="14"/>
  <c r="C3046" i="14" s="1"/>
  <c r="E3046" i="14" s="1"/>
  <c r="A3047" i="14"/>
  <c r="B3047" i="14"/>
  <c r="C3047" i="14" s="1"/>
  <c r="E3047" i="14" s="1"/>
  <c r="A3048" i="14"/>
  <c r="B3048" i="14"/>
  <c r="C3048" i="14" s="1"/>
  <c r="E3048" i="14" s="1"/>
  <c r="A3049" i="14"/>
  <c r="B3049" i="14"/>
  <c r="C3049" i="14" s="1"/>
  <c r="E3049" i="14" s="1"/>
  <c r="A3050" i="14"/>
  <c r="B3050" i="14"/>
  <c r="C3050" i="14" s="1"/>
  <c r="E3050" i="14" s="1"/>
  <c r="A3051" i="14"/>
  <c r="B3051" i="14"/>
  <c r="C3051" i="14" s="1"/>
  <c r="E3051" i="14" s="1"/>
  <c r="A3052" i="14"/>
  <c r="B3052" i="14"/>
  <c r="C3052" i="14" s="1"/>
  <c r="E3052" i="14" s="1"/>
  <c r="A3053" i="14"/>
  <c r="B3053" i="14"/>
  <c r="C3053" i="14" s="1"/>
  <c r="E3053" i="14" s="1"/>
  <c r="A3054" i="14"/>
  <c r="B3054" i="14"/>
  <c r="C3054" i="14" s="1"/>
  <c r="E3054" i="14" s="1"/>
  <c r="A3055" i="14"/>
  <c r="B3055" i="14"/>
  <c r="C3055" i="14" s="1"/>
  <c r="E3055" i="14" s="1"/>
  <c r="A3056" i="14"/>
  <c r="B3056" i="14"/>
  <c r="C3056" i="14" s="1"/>
  <c r="E3056" i="14" s="1"/>
  <c r="A3057" i="14"/>
  <c r="B3057" i="14"/>
  <c r="C3057" i="14" s="1"/>
  <c r="E3057" i="14" s="1"/>
  <c r="A3058" i="14"/>
  <c r="B3058" i="14"/>
  <c r="C3058" i="14" s="1"/>
  <c r="E3058" i="14" s="1"/>
  <c r="A3059" i="14"/>
  <c r="B3059" i="14"/>
  <c r="C3059" i="14" s="1"/>
  <c r="E3059" i="14" s="1"/>
  <c r="A3060" i="14"/>
  <c r="B3060" i="14"/>
  <c r="C3060" i="14" s="1"/>
  <c r="E3060" i="14" s="1"/>
  <c r="A3061" i="14"/>
  <c r="B3061" i="14"/>
  <c r="C3061" i="14" s="1"/>
  <c r="E3061" i="14" s="1"/>
  <c r="A3062" i="14"/>
  <c r="B3062" i="14"/>
  <c r="C3062" i="14" s="1"/>
  <c r="E3062" i="14" s="1"/>
  <c r="A3063" i="14"/>
  <c r="B3063" i="14"/>
  <c r="C3063" i="14" s="1"/>
  <c r="E3063" i="14" s="1"/>
  <c r="A3064" i="14"/>
  <c r="B3064" i="14"/>
  <c r="C3064" i="14" s="1"/>
  <c r="E3064" i="14" s="1"/>
  <c r="A3065" i="14"/>
  <c r="B3065" i="14"/>
  <c r="C3065" i="14" s="1"/>
  <c r="E3065" i="14" s="1"/>
  <c r="A3066" i="14"/>
  <c r="B3066" i="14"/>
  <c r="C3066" i="14" s="1"/>
  <c r="E3066" i="14" s="1"/>
  <c r="A3067" i="14"/>
  <c r="B3067" i="14"/>
  <c r="C3067" i="14" s="1"/>
  <c r="E3067" i="14" s="1"/>
  <c r="A3068" i="14"/>
  <c r="B3068" i="14"/>
  <c r="C3068" i="14" s="1"/>
  <c r="E3068" i="14" s="1"/>
  <c r="A3069" i="14"/>
  <c r="B3069" i="14"/>
  <c r="C3069" i="14" s="1"/>
  <c r="E3069" i="14" s="1"/>
  <c r="A3070" i="14"/>
  <c r="B3070" i="14"/>
  <c r="C3070" i="14" s="1"/>
  <c r="E3070" i="14" s="1"/>
  <c r="A3071" i="14"/>
  <c r="B3071" i="14"/>
  <c r="C3071" i="14" s="1"/>
  <c r="E3071" i="14" s="1"/>
  <c r="A3072" i="14"/>
  <c r="B3072" i="14"/>
  <c r="C3072" i="14" s="1"/>
  <c r="E3072" i="14" s="1"/>
  <c r="A3073" i="14"/>
  <c r="B3073" i="14"/>
  <c r="C3073" i="14" s="1"/>
  <c r="E3073" i="14" s="1"/>
  <c r="A3074" i="14"/>
  <c r="B3074" i="14"/>
  <c r="C3074" i="14" s="1"/>
  <c r="E3074" i="14" s="1"/>
  <c r="A3075" i="14"/>
  <c r="B3075" i="14"/>
  <c r="C3075" i="14" s="1"/>
  <c r="E3075" i="14" s="1"/>
  <c r="A3076" i="14"/>
  <c r="B3076" i="14"/>
  <c r="C3076" i="14" s="1"/>
  <c r="E3076" i="14" s="1"/>
  <c r="A3077" i="14"/>
  <c r="B3077" i="14"/>
  <c r="C3077" i="14" s="1"/>
  <c r="E3077" i="14" s="1"/>
  <c r="A3078" i="14"/>
  <c r="B3078" i="14"/>
  <c r="C3078" i="14" s="1"/>
  <c r="E3078" i="14" s="1"/>
  <c r="A3079" i="14"/>
  <c r="B3079" i="14"/>
  <c r="C3079" i="14" s="1"/>
  <c r="E3079" i="14" s="1"/>
  <c r="A3080" i="14"/>
  <c r="B3080" i="14"/>
  <c r="C3080" i="14" s="1"/>
  <c r="E3080" i="14" s="1"/>
  <c r="A3081" i="14"/>
  <c r="B3081" i="14"/>
  <c r="C3081" i="14" s="1"/>
  <c r="E3081" i="14" s="1"/>
  <c r="A3082" i="14"/>
  <c r="B3082" i="14"/>
  <c r="C3082" i="14" s="1"/>
  <c r="E3082" i="14" s="1"/>
  <c r="A3083" i="14"/>
  <c r="B3083" i="14"/>
  <c r="C3083" i="14" s="1"/>
  <c r="E3083" i="14" s="1"/>
  <c r="A3084" i="14"/>
  <c r="B3084" i="14"/>
  <c r="C3084" i="14" s="1"/>
  <c r="E3084" i="14" s="1"/>
  <c r="A3085" i="14"/>
  <c r="B3085" i="14"/>
  <c r="C3085" i="14" s="1"/>
  <c r="E3085" i="14" s="1"/>
  <c r="A3086" i="14"/>
  <c r="B3086" i="14"/>
  <c r="C3086" i="14" s="1"/>
  <c r="E3086" i="14" s="1"/>
  <c r="A3087" i="14"/>
  <c r="B3087" i="14"/>
  <c r="C3087" i="14" s="1"/>
  <c r="E3087" i="14" s="1"/>
  <c r="A3088" i="14"/>
  <c r="B3088" i="14"/>
  <c r="C3088" i="14" s="1"/>
  <c r="E3088" i="14" s="1"/>
  <c r="A3089" i="14"/>
  <c r="B3089" i="14"/>
  <c r="C3089" i="14" s="1"/>
  <c r="E3089" i="14" s="1"/>
  <c r="A3090" i="14"/>
  <c r="B3090" i="14"/>
  <c r="C3090" i="14" s="1"/>
  <c r="E3090" i="14" s="1"/>
  <c r="A3091" i="14"/>
  <c r="B3091" i="14"/>
  <c r="C3091" i="14" s="1"/>
  <c r="E3091" i="14" s="1"/>
  <c r="A3092" i="14"/>
  <c r="B3092" i="14"/>
  <c r="C3092" i="14" s="1"/>
  <c r="E3092" i="14" s="1"/>
  <c r="A3093" i="14"/>
  <c r="B3093" i="14"/>
  <c r="C3093" i="14" s="1"/>
  <c r="E3093" i="14" s="1"/>
  <c r="A3094" i="14"/>
  <c r="B3094" i="14"/>
  <c r="C3094" i="14" s="1"/>
  <c r="E3094" i="14" s="1"/>
  <c r="A3095" i="14"/>
  <c r="B3095" i="14"/>
  <c r="C3095" i="14" s="1"/>
  <c r="E3095" i="14" s="1"/>
  <c r="A3096" i="14"/>
  <c r="B3096" i="14"/>
  <c r="C3096" i="14" s="1"/>
  <c r="E3096" i="14" s="1"/>
  <c r="A3097" i="14"/>
  <c r="B3097" i="14"/>
  <c r="C3097" i="14" s="1"/>
  <c r="E3097" i="14" s="1"/>
  <c r="A3098" i="14"/>
  <c r="B3098" i="14"/>
  <c r="C3098" i="14" s="1"/>
  <c r="E3098" i="14" s="1"/>
  <c r="A3099" i="14"/>
  <c r="B3099" i="14"/>
  <c r="C3099" i="14" s="1"/>
  <c r="E3099" i="14" s="1"/>
  <c r="A3100" i="14"/>
  <c r="B3100" i="14"/>
  <c r="C3100" i="14" s="1"/>
  <c r="E3100" i="14" s="1"/>
  <c r="A3101" i="14"/>
  <c r="B3101" i="14"/>
  <c r="C3101" i="14" s="1"/>
  <c r="E3101" i="14" s="1"/>
  <c r="A3102" i="14"/>
  <c r="B3102" i="14"/>
  <c r="C3102" i="14" s="1"/>
  <c r="E3102" i="14" s="1"/>
  <c r="A3103" i="14"/>
  <c r="B3103" i="14"/>
  <c r="C3103" i="14" s="1"/>
  <c r="E3103" i="14" s="1"/>
  <c r="A3104" i="14"/>
  <c r="B3104" i="14"/>
  <c r="C3104" i="14" s="1"/>
  <c r="E3104" i="14" s="1"/>
  <c r="A3105" i="14"/>
  <c r="B3105" i="14"/>
  <c r="C3105" i="14" s="1"/>
  <c r="E3105" i="14" s="1"/>
  <c r="A3106" i="14"/>
  <c r="B3106" i="14"/>
  <c r="C3106" i="14" s="1"/>
  <c r="E3106" i="14" s="1"/>
  <c r="A3107" i="14"/>
  <c r="B3107" i="14"/>
  <c r="C3107" i="14" s="1"/>
  <c r="E3107" i="14" s="1"/>
  <c r="A3108" i="14"/>
  <c r="B3108" i="14"/>
  <c r="C3108" i="14" s="1"/>
  <c r="E3108" i="14" s="1"/>
  <c r="A3109" i="14"/>
  <c r="B3109" i="14"/>
  <c r="C3109" i="14" s="1"/>
  <c r="E3109" i="14" s="1"/>
  <c r="A3110" i="14"/>
  <c r="B3110" i="14"/>
  <c r="C3110" i="14" s="1"/>
  <c r="E3110" i="14" s="1"/>
  <c r="A3111" i="14"/>
  <c r="B3111" i="14"/>
  <c r="C3111" i="14" s="1"/>
  <c r="E3111" i="14" s="1"/>
  <c r="A3112" i="14"/>
  <c r="B3112" i="14"/>
  <c r="C3112" i="14" s="1"/>
  <c r="E3112" i="14" s="1"/>
  <c r="A3113" i="14"/>
  <c r="B3113" i="14"/>
  <c r="C3113" i="14" s="1"/>
  <c r="E3113" i="14" s="1"/>
  <c r="A3114" i="14"/>
  <c r="B3114" i="14"/>
  <c r="C3114" i="14" s="1"/>
  <c r="E3114" i="14" s="1"/>
  <c r="A3115" i="14"/>
  <c r="B3115" i="14"/>
  <c r="C3115" i="14" s="1"/>
  <c r="E3115" i="14" s="1"/>
  <c r="A3116" i="14"/>
  <c r="B3116" i="14"/>
  <c r="C3116" i="14" s="1"/>
  <c r="E3116" i="14" s="1"/>
  <c r="A3117" i="14"/>
  <c r="B3117" i="14"/>
  <c r="C3117" i="14" s="1"/>
  <c r="E3117" i="14" s="1"/>
  <c r="A3118" i="14"/>
  <c r="B3118" i="14"/>
  <c r="C3118" i="14" s="1"/>
  <c r="E3118" i="14" s="1"/>
  <c r="A3119" i="14"/>
  <c r="B3119" i="14"/>
  <c r="C3119" i="14" s="1"/>
  <c r="E3119" i="14" s="1"/>
  <c r="A3120" i="14"/>
  <c r="B3120" i="14"/>
  <c r="C3120" i="14" s="1"/>
  <c r="E3120" i="14" s="1"/>
  <c r="A3121" i="14"/>
  <c r="B3121" i="14"/>
  <c r="C3121" i="14" s="1"/>
  <c r="E3121" i="14" s="1"/>
  <c r="A3122" i="14"/>
  <c r="B3122" i="14"/>
  <c r="C3122" i="14" s="1"/>
  <c r="E3122" i="14" s="1"/>
  <c r="A3123" i="14"/>
  <c r="B3123" i="14"/>
  <c r="C3123" i="14" s="1"/>
  <c r="E3123" i="14" s="1"/>
  <c r="A3124" i="14"/>
  <c r="B3124" i="14"/>
  <c r="C3124" i="14" s="1"/>
  <c r="E3124" i="14" s="1"/>
  <c r="A3125" i="14"/>
  <c r="B3125" i="14"/>
  <c r="C3125" i="14" s="1"/>
  <c r="E3125" i="14" s="1"/>
  <c r="A3126" i="14"/>
  <c r="B3126" i="14"/>
  <c r="C3126" i="14" s="1"/>
  <c r="E3126" i="14" s="1"/>
  <c r="A3127" i="14"/>
  <c r="B3127" i="14"/>
  <c r="C3127" i="14" s="1"/>
  <c r="E3127" i="14" s="1"/>
  <c r="A3128" i="14"/>
  <c r="B3128" i="14"/>
  <c r="C3128" i="14" s="1"/>
  <c r="E3128" i="14" s="1"/>
  <c r="A3129" i="14"/>
  <c r="B3129" i="14"/>
  <c r="C3129" i="14" s="1"/>
  <c r="E3129" i="14" s="1"/>
  <c r="A3130" i="14"/>
  <c r="B3130" i="14"/>
  <c r="C3130" i="14" s="1"/>
  <c r="E3130" i="14" s="1"/>
  <c r="A3131" i="14"/>
  <c r="B3131" i="14"/>
  <c r="C3131" i="14" s="1"/>
  <c r="E3131" i="14" s="1"/>
  <c r="A3132" i="14"/>
  <c r="B3132" i="14"/>
  <c r="C3132" i="14" s="1"/>
  <c r="E3132" i="14" s="1"/>
  <c r="A3133" i="14"/>
  <c r="B3133" i="14"/>
  <c r="C3133" i="14" s="1"/>
  <c r="E3133" i="14" s="1"/>
  <c r="A3134" i="14"/>
  <c r="B3134" i="14"/>
  <c r="C3134" i="14" s="1"/>
  <c r="E3134" i="14" s="1"/>
  <c r="A3135" i="14"/>
  <c r="B3135" i="14"/>
  <c r="C3135" i="14" s="1"/>
  <c r="E3135" i="14" s="1"/>
  <c r="A3136" i="14"/>
  <c r="B3136" i="14"/>
  <c r="C3136" i="14" s="1"/>
  <c r="E3136" i="14" s="1"/>
  <c r="A3137" i="14"/>
  <c r="B3137" i="14"/>
  <c r="C3137" i="14" s="1"/>
  <c r="E3137" i="14" s="1"/>
  <c r="A3138" i="14"/>
  <c r="B3138" i="14"/>
  <c r="C3138" i="14" s="1"/>
  <c r="E3138" i="14" s="1"/>
  <c r="A3139" i="14"/>
  <c r="B3139" i="14"/>
  <c r="C3139" i="14" s="1"/>
  <c r="E3139" i="14" s="1"/>
  <c r="A3140" i="14"/>
  <c r="B3140" i="14"/>
  <c r="C3140" i="14" s="1"/>
  <c r="E3140" i="14" s="1"/>
  <c r="A3141" i="14"/>
  <c r="B3141" i="14"/>
  <c r="C3141" i="14" s="1"/>
  <c r="E3141" i="14" s="1"/>
  <c r="A3142" i="14"/>
  <c r="B3142" i="14"/>
  <c r="C3142" i="14" s="1"/>
  <c r="E3142" i="14" s="1"/>
  <c r="A3143" i="14"/>
  <c r="B3143" i="14"/>
  <c r="C3143" i="14" s="1"/>
  <c r="E3143" i="14" s="1"/>
  <c r="A3144" i="14"/>
  <c r="B3144" i="14"/>
  <c r="C3144" i="14" s="1"/>
  <c r="E3144" i="14" s="1"/>
  <c r="A3145" i="14"/>
  <c r="B3145" i="14"/>
  <c r="C3145" i="14" s="1"/>
  <c r="E3145" i="14" s="1"/>
  <c r="A3146" i="14"/>
  <c r="B3146" i="14"/>
  <c r="C3146" i="14" s="1"/>
  <c r="E3146" i="14" s="1"/>
  <c r="A3147" i="14"/>
  <c r="B3147" i="14"/>
  <c r="C3147" i="14" s="1"/>
  <c r="E3147" i="14" s="1"/>
  <c r="A3148" i="14"/>
  <c r="B3148" i="14"/>
  <c r="C3148" i="14" s="1"/>
  <c r="E3148" i="14" s="1"/>
  <c r="A3149" i="14"/>
  <c r="B3149" i="14"/>
  <c r="C3149" i="14" s="1"/>
  <c r="E3149" i="14" s="1"/>
  <c r="A3150" i="14"/>
  <c r="B3150" i="14"/>
  <c r="C3150" i="14" s="1"/>
  <c r="E3150" i="14" s="1"/>
  <c r="A3151" i="14"/>
  <c r="B3151" i="14"/>
  <c r="C3151" i="14" s="1"/>
  <c r="E3151" i="14" s="1"/>
  <c r="A3152" i="14"/>
  <c r="B3152" i="14"/>
  <c r="C3152" i="14" s="1"/>
  <c r="E3152" i="14" s="1"/>
  <c r="A3153" i="14"/>
  <c r="B3153" i="14"/>
  <c r="C3153" i="14" s="1"/>
  <c r="E3153" i="14" s="1"/>
  <c r="A3154" i="14"/>
  <c r="B3154" i="14"/>
  <c r="C3154" i="14" s="1"/>
  <c r="E3154" i="14" s="1"/>
  <c r="A3155" i="14"/>
  <c r="B3155" i="14"/>
  <c r="C3155" i="14" s="1"/>
  <c r="E3155" i="14" s="1"/>
  <c r="A3156" i="14"/>
  <c r="B3156" i="14"/>
  <c r="C3156" i="14" s="1"/>
  <c r="E3156" i="14" s="1"/>
  <c r="A3157" i="14"/>
  <c r="B3157" i="14"/>
  <c r="C3157" i="14" s="1"/>
  <c r="E3157" i="14" s="1"/>
  <c r="A3158" i="14"/>
  <c r="B3158" i="14"/>
  <c r="C3158" i="14" s="1"/>
  <c r="E3158" i="14" s="1"/>
  <c r="A3159" i="14"/>
  <c r="B3159" i="14"/>
  <c r="C3159" i="14" s="1"/>
  <c r="E3159" i="14" s="1"/>
  <c r="A3160" i="14"/>
  <c r="B3160" i="14"/>
  <c r="C3160" i="14" s="1"/>
  <c r="E3160" i="14" s="1"/>
  <c r="A3161" i="14"/>
  <c r="B3161" i="14"/>
  <c r="C3161" i="14" s="1"/>
  <c r="E3161" i="14" s="1"/>
  <c r="A3162" i="14"/>
  <c r="B3162" i="14"/>
  <c r="C3162" i="14" s="1"/>
  <c r="E3162" i="14" s="1"/>
  <c r="A3163" i="14"/>
  <c r="B3163" i="14"/>
  <c r="C3163" i="14" s="1"/>
  <c r="E3163" i="14" s="1"/>
  <c r="A3164" i="14"/>
  <c r="B3164" i="14"/>
  <c r="C3164" i="14" s="1"/>
  <c r="E3164" i="14" s="1"/>
  <c r="A3165" i="14"/>
  <c r="B3165" i="14"/>
  <c r="C3165" i="14" s="1"/>
  <c r="E3165" i="14" s="1"/>
  <c r="A3166" i="14"/>
  <c r="B3166" i="14"/>
  <c r="C3166" i="14" s="1"/>
  <c r="E3166" i="14" s="1"/>
  <c r="A3167" i="14"/>
  <c r="B3167" i="14"/>
  <c r="C3167" i="14" s="1"/>
  <c r="E3167" i="14" s="1"/>
  <c r="A3168" i="14"/>
  <c r="B3168" i="14"/>
  <c r="C3168" i="14" s="1"/>
  <c r="E3168" i="14" s="1"/>
  <c r="A3169" i="14"/>
  <c r="B3169" i="14"/>
  <c r="C3169" i="14" s="1"/>
  <c r="E3169" i="14" s="1"/>
  <c r="A3170" i="14"/>
  <c r="B3170" i="14"/>
  <c r="C3170" i="14" s="1"/>
  <c r="E3170" i="14" s="1"/>
  <c r="A3171" i="14"/>
  <c r="B3171" i="14"/>
  <c r="C3171" i="14" s="1"/>
  <c r="E3171" i="14" s="1"/>
  <c r="A3172" i="14"/>
  <c r="B3172" i="14"/>
  <c r="C3172" i="14" s="1"/>
  <c r="E3172" i="14" s="1"/>
  <c r="A3173" i="14"/>
  <c r="B3173" i="14"/>
  <c r="C3173" i="14" s="1"/>
  <c r="E3173" i="14" s="1"/>
  <c r="A3174" i="14"/>
  <c r="B3174" i="14"/>
  <c r="C3174" i="14" s="1"/>
  <c r="E3174" i="14" s="1"/>
  <c r="A3175" i="14"/>
  <c r="B3175" i="14"/>
  <c r="C3175" i="14" s="1"/>
  <c r="E3175" i="14" s="1"/>
  <c r="A3176" i="14"/>
  <c r="B3176" i="14"/>
  <c r="C3176" i="14" s="1"/>
  <c r="E3176" i="14" s="1"/>
  <c r="A3177" i="14"/>
  <c r="B3177" i="14"/>
  <c r="C3177" i="14" s="1"/>
  <c r="E3177" i="14" s="1"/>
  <c r="A3178" i="14"/>
  <c r="B3178" i="14"/>
  <c r="C3178" i="14" s="1"/>
  <c r="E3178" i="14" s="1"/>
  <c r="A3179" i="14"/>
  <c r="B3179" i="14"/>
  <c r="C3179" i="14" s="1"/>
  <c r="E3179" i="14" s="1"/>
  <c r="A3180" i="14"/>
  <c r="B3180" i="14"/>
  <c r="C3180" i="14" s="1"/>
  <c r="E3180" i="14" s="1"/>
  <c r="A3181" i="14"/>
  <c r="B3181" i="14"/>
  <c r="C3181" i="14" s="1"/>
  <c r="E3181" i="14" s="1"/>
  <c r="A3182" i="14"/>
  <c r="B3182" i="14"/>
  <c r="C3182" i="14" s="1"/>
  <c r="E3182" i="14" s="1"/>
  <c r="A3183" i="14"/>
  <c r="B3183" i="14"/>
  <c r="C3183" i="14" s="1"/>
  <c r="E3183" i="14" s="1"/>
  <c r="A3184" i="14"/>
  <c r="B3184" i="14"/>
  <c r="C3184" i="14" s="1"/>
  <c r="E3184" i="14" s="1"/>
  <c r="A3185" i="14"/>
  <c r="B3185" i="14"/>
  <c r="C3185" i="14" s="1"/>
  <c r="E3185" i="14" s="1"/>
  <c r="A3186" i="14"/>
  <c r="B3186" i="14"/>
  <c r="C3186" i="14" s="1"/>
  <c r="E3186" i="14" s="1"/>
  <c r="A3187" i="14"/>
  <c r="B3187" i="14"/>
  <c r="C3187" i="14" s="1"/>
  <c r="E3187" i="14" s="1"/>
  <c r="A3188" i="14"/>
  <c r="B3188" i="14"/>
  <c r="C3188" i="14" s="1"/>
  <c r="E3188" i="14" s="1"/>
  <c r="A3189" i="14"/>
  <c r="B3189" i="14"/>
  <c r="C3189" i="14" s="1"/>
  <c r="E3189" i="14" s="1"/>
  <c r="A3190" i="14"/>
  <c r="B3190" i="14"/>
  <c r="C3190" i="14" s="1"/>
  <c r="E3190" i="14" s="1"/>
  <c r="A3191" i="14"/>
  <c r="B3191" i="14"/>
  <c r="C3191" i="14" s="1"/>
  <c r="E3191" i="14" s="1"/>
  <c r="A3192" i="14"/>
  <c r="B3192" i="14"/>
  <c r="C3192" i="14" s="1"/>
  <c r="E3192" i="14" s="1"/>
  <c r="A3193" i="14"/>
  <c r="B3193" i="14"/>
  <c r="C3193" i="14" s="1"/>
  <c r="E3193" i="14" s="1"/>
  <c r="A3194" i="14"/>
  <c r="B3194" i="14"/>
  <c r="C3194" i="14" s="1"/>
  <c r="E3194" i="14" s="1"/>
  <c r="A3195" i="14"/>
  <c r="B3195" i="14"/>
  <c r="C3195" i="14" s="1"/>
  <c r="E3195" i="14" s="1"/>
  <c r="A3196" i="14"/>
  <c r="B3196" i="14"/>
  <c r="C3196" i="14" s="1"/>
  <c r="E3196" i="14" s="1"/>
  <c r="A3197" i="14"/>
  <c r="B3197" i="14"/>
  <c r="C3197" i="14" s="1"/>
  <c r="E3197" i="14" s="1"/>
  <c r="A3198" i="14"/>
  <c r="B3198" i="14"/>
  <c r="C3198" i="14" s="1"/>
  <c r="E3198" i="14" s="1"/>
  <c r="A3199" i="14"/>
  <c r="B3199" i="14"/>
  <c r="C3199" i="14" s="1"/>
  <c r="E3199" i="14" s="1"/>
  <c r="A3200" i="14"/>
  <c r="B3200" i="14"/>
  <c r="C3200" i="14" s="1"/>
  <c r="E3200" i="14" s="1"/>
  <c r="A3201" i="14"/>
  <c r="B3201" i="14"/>
  <c r="C3201" i="14" s="1"/>
  <c r="E3201" i="14" s="1"/>
  <c r="A3202" i="14"/>
  <c r="B3202" i="14"/>
  <c r="C3202" i="14" s="1"/>
  <c r="E3202" i="14" s="1"/>
  <c r="A3203" i="14"/>
  <c r="B3203" i="14"/>
  <c r="C3203" i="14" s="1"/>
  <c r="E3203" i="14" s="1"/>
  <c r="A3204" i="14"/>
  <c r="B3204" i="14"/>
  <c r="C3204" i="14" s="1"/>
  <c r="E3204" i="14" s="1"/>
  <c r="A3205" i="14"/>
  <c r="B3205" i="14"/>
  <c r="C3205" i="14" s="1"/>
  <c r="E3205" i="14" s="1"/>
  <c r="A3206" i="14"/>
  <c r="B3206" i="14"/>
  <c r="C3206" i="14" s="1"/>
  <c r="E3206" i="14" s="1"/>
  <c r="A3207" i="14"/>
  <c r="B3207" i="14"/>
  <c r="C3207" i="14" s="1"/>
  <c r="E3207" i="14" s="1"/>
  <c r="A3208" i="14"/>
  <c r="B3208" i="14"/>
  <c r="C3208" i="14" s="1"/>
  <c r="E3208" i="14" s="1"/>
  <c r="A3209" i="14"/>
  <c r="B3209" i="14"/>
  <c r="C3209" i="14" s="1"/>
  <c r="E3209" i="14" s="1"/>
  <c r="A3210" i="14"/>
  <c r="B3210" i="14"/>
  <c r="C3210" i="14" s="1"/>
  <c r="E3210" i="14" s="1"/>
  <c r="A3211" i="14"/>
  <c r="B3211" i="14"/>
  <c r="C3211" i="14" s="1"/>
  <c r="E3211" i="14" s="1"/>
  <c r="A3212" i="14"/>
  <c r="B3212" i="14"/>
  <c r="C3212" i="14" s="1"/>
  <c r="E3212" i="14" s="1"/>
  <c r="A3213" i="14"/>
  <c r="B3213" i="14"/>
  <c r="C3213" i="14" s="1"/>
  <c r="E3213" i="14" s="1"/>
  <c r="A3214" i="14"/>
  <c r="B3214" i="14"/>
  <c r="C3214" i="14" s="1"/>
  <c r="E3214" i="14" s="1"/>
  <c r="A3215" i="14"/>
  <c r="B3215" i="14"/>
  <c r="C3215" i="14" s="1"/>
  <c r="E3215" i="14" s="1"/>
  <c r="A3216" i="14"/>
  <c r="B3216" i="14"/>
  <c r="C3216" i="14" s="1"/>
  <c r="E3216" i="14" s="1"/>
  <c r="A3217" i="14"/>
  <c r="B3217" i="14"/>
  <c r="C3217" i="14" s="1"/>
  <c r="E3217" i="14" s="1"/>
  <c r="A3218" i="14"/>
  <c r="B3218" i="14"/>
  <c r="C3218" i="14" s="1"/>
  <c r="E3218" i="14" s="1"/>
  <c r="A3219" i="14"/>
  <c r="B3219" i="14"/>
  <c r="C3219" i="14" s="1"/>
  <c r="E3219" i="14" s="1"/>
  <c r="A3220" i="14"/>
  <c r="B3220" i="14"/>
  <c r="C3220" i="14" s="1"/>
  <c r="E3220" i="14" s="1"/>
  <c r="A3221" i="14"/>
  <c r="B3221" i="14"/>
  <c r="C3221" i="14" s="1"/>
  <c r="E3221" i="14" s="1"/>
  <c r="A3222" i="14"/>
  <c r="B3222" i="14"/>
  <c r="C3222" i="14" s="1"/>
  <c r="E3222" i="14" s="1"/>
  <c r="A3223" i="14"/>
  <c r="B3223" i="14"/>
  <c r="C3223" i="14" s="1"/>
  <c r="E3223" i="14" s="1"/>
  <c r="A3224" i="14"/>
  <c r="B3224" i="14"/>
  <c r="C3224" i="14" s="1"/>
  <c r="E3224" i="14" s="1"/>
  <c r="A3225" i="14"/>
  <c r="B3225" i="14"/>
  <c r="C3225" i="14" s="1"/>
  <c r="E3225" i="14" s="1"/>
  <c r="A3226" i="14"/>
  <c r="B3226" i="14"/>
  <c r="C3226" i="14" s="1"/>
  <c r="E3226" i="14" s="1"/>
  <c r="A3227" i="14"/>
  <c r="B3227" i="14"/>
  <c r="C3227" i="14" s="1"/>
  <c r="E3227" i="14" s="1"/>
  <c r="A3228" i="14"/>
  <c r="B3228" i="14"/>
  <c r="C3228" i="14" s="1"/>
  <c r="E3228" i="14" s="1"/>
  <c r="A3229" i="14"/>
  <c r="B3229" i="14"/>
  <c r="C3229" i="14" s="1"/>
  <c r="E3229" i="14" s="1"/>
  <c r="A3230" i="14"/>
  <c r="B3230" i="14"/>
  <c r="C3230" i="14" s="1"/>
  <c r="E3230" i="14" s="1"/>
  <c r="A3231" i="14"/>
  <c r="B3231" i="14"/>
  <c r="C3231" i="14" s="1"/>
  <c r="E3231" i="14" s="1"/>
  <c r="A3232" i="14"/>
  <c r="B3232" i="14"/>
  <c r="C3232" i="14" s="1"/>
  <c r="E3232" i="14" s="1"/>
  <c r="A3233" i="14"/>
  <c r="B3233" i="14"/>
  <c r="C3233" i="14" s="1"/>
  <c r="E3233" i="14" s="1"/>
  <c r="A3234" i="14"/>
  <c r="B3234" i="14"/>
  <c r="C3234" i="14" s="1"/>
  <c r="E3234" i="14" s="1"/>
  <c r="A3235" i="14"/>
  <c r="B3235" i="14"/>
  <c r="C3235" i="14" s="1"/>
  <c r="E3235" i="14" s="1"/>
  <c r="A3236" i="14"/>
  <c r="B3236" i="14"/>
  <c r="C3236" i="14" s="1"/>
  <c r="E3236" i="14" s="1"/>
  <c r="A3237" i="14"/>
  <c r="B3237" i="14"/>
  <c r="C3237" i="14" s="1"/>
  <c r="E3237" i="14" s="1"/>
  <c r="A3238" i="14"/>
  <c r="B3238" i="14"/>
  <c r="C3238" i="14" s="1"/>
  <c r="E3238" i="14" s="1"/>
  <c r="A3239" i="14"/>
  <c r="B3239" i="14"/>
  <c r="C3239" i="14" s="1"/>
  <c r="E3239" i="14" s="1"/>
  <c r="A3240" i="14"/>
  <c r="B3240" i="14"/>
  <c r="C3240" i="14" s="1"/>
  <c r="E3240" i="14" s="1"/>
  <c r="A3241" i="14"/>
  <c r="B3241" i="14"/>
  <c r="C3241" i="14" s="1"/>
  <c r="E3241" i="14" s="1"/>
  <c r="A3242" i="14"/>
  <c r="B3242" i="14"/>
  <c r="C3242" i="14" s="1"/>
  <c r="E3242" i="14" s="1"/>
  <c r="A3243" i="14"/>
  <c r="B3243" i="14"/>
  <c r="C3243" i="14" s="1"/>
  <c r="E3243" i="14" s="1"/>
  <c r="A3244" i="14"/>
  <c r="B3244" i="14"/>
  <c r="C3244" i="14" s="1"/>
  <c r="E3244" i="14" s="1"/>
  <c r="A3245" i="14"/>
  <c r="B3245" i="14"/>
  <c r="C3245" i="14" s="1"/>
  <c r="E3245" i="14" s="1"/>
  <c r="A3246" i="14"/>
  <c r="B3246" i="14"/>
  <c r="C3246" i="14" s="1"/>
  <c r="E3246" i="14" s="1"/>
  <c r="A3247" i="14"/>
  <c r="B3247" i="14"/>
  <c r="C3247" i="14" s="1"/>
  <c r="E3247" i="14" s="1"/>
  <c r="A3248" i="14"/>
  <c r="B3248" i="14"/>
  <c r="C3248" i="14" s="1"/>
  <c r="E3248" i="14" s="1"/>
  <c r="A3249" i="14"/>
  <c r="B3249" i="14"/>
  <c r="C3249" i="14" s="1"/>
  <c r="E3249" i="14" s="1"/>
  <c r="A3250" i="14"/>
  <c r="B3250" i="14"/>
  <c r="C3250" i="14" s="1"/>
  <c r="E3250" i="14" s="1"/>
  <c r="A3251" i="14"/>
  <c r="B3251" i="14"/>
  <c r="C3251" i="14" s="1"/>
  <c r="E3251" i="14" s="1"/>
  <c r="A3252" i="14"/>
  <c r="B3252" i="14"/>
  <c r="C3252" i="14" s="1"/>
  <c r="E3252" i="14" s="1"/>
  <c r="A3253" i="14"/>
  <c r="B3253" i="14"/>
  <c r="C3253" i="14" s="1"/>
  <c r="E3253" i="14" s="1"/>
  <c r="A3254" i="14"/>
  <c r="B3254" i="14"/>
  <c r="C3254" i="14" s="1"/>
  <c r="E3254" i="14" s="1"/>
  <c r="A3255" i="14"/>
  <c r="B3255" i="14"/>
  <c r="C3255" i="14" s="1"/>
  <c r="E3255" i="14" s="1"/>
  <c r="A3256" i="14"/>
  <c r="B3256" i="14"/>
  <c r="C3256" i="14" s="1"/>
  <c r="E3256" i="14" s="1"/>
  <c r="A3257" i="14"/>
  <c r="B3257" i="14"/>
  <c r="C3257" i="14" s="1"/>
  <c r="E3257" i="14" s="1"/>
  <c r="A3258" i="14"/>
  <c r="B3258" i="14"/>
  <c r="C3258" i="14" s="1"/>
  <c r="E3258" i="14" s="1"/>
  <c r="A3259" i="14"/>
  <c r="B3259" i="14"/>
  <c r="C3259" i="14" s="1"/>
  <c r="E3259" i="14" s="1"/>
  <c r="A3260" i="14"/>
  <c r="B3260" i="14"/>
  <c r="C3260" i="14" s="1"/>
  <c r="E3260" i="14" s="1"/>
  <c r="A3261" i="14"/>
  <c r="B3261" i="14"/>
  <c r="C3261" i="14" s="1"/>
  <c r="E3261" i="14" s="1"/>
  <c r="A3262" i="14"/>
  <c r="B3262" i="14"/>
  <c r="C3262" i="14" s="1"/>
  <c r="E3262" i="14" s="1"/>
  <c r="A3263" i="14"/>
  <c r="B3263" i="14"/>
  <c r="C3263" i="14" s="1"/>
  <c r="E3263" i="14" s="1"/>
  <c r="A3264" i="14"/>
  <c r="B3264" i="14"/>
  <c r="C3264" i="14" s="1"/>
  <c r="E3264" i="14" s="1"/>
  <c r="A3265" i="14"/>
  <c r="B3265" i="14"/>
  <c r="C3265" i="14" s="1"/>
  <c r="E3265" i="14" s="1"/>
  <c r="A3266" i="14"/>
  <c r="B3266" i="14"/>
  <c r="C3266" i="14" s="1"/>
  <c r="E3266" i="14" s="1"/>
  <c r="A3267" i="14"/>
  <c r="B3267" i="14"/>
  <c r="C3267" i="14" s="1"/>
  <c r="E3267" i="14" s="1"/>
  <c r="A3268" i="14"/>
  <c r="B3268" i="14"/>
  <c r="C3268" i="14" s="1"/>
  <c r="E3268" i="14" s="1"/>
  <c r="A3269" i="14"/>
  <c r="B3269" i="14"/>
  <c r="C3269" i="14" s="1"/>
  <c r="E3269" i="14" s="1"/>
  <c r="A3270" i="14"/>
  <c r="B3270" i="14"/>
  <c r="C3270" i="14" s="1"/>
  <c r="E3270" i="14" s="1"/>
  <c r="A3271" i="14"/>
  <c r="B3271" i="14"/>
  <c r="C3271" i="14" s="1"/>
  <c r="E3271" i="14" s="1"/>
  <c r="A3272" i="14"/>
  <c r="B3272" i="14"/>
  <c r="C3272" i="14" s="1"/>
  <c r="E3272" i="14" s="1"/>
  <c r="A3273" i="14"/>
  <c r="B3273" i="14"/>
  <c r="C3273" i="14" s="1"/>
  <c r="E3273" i="14" s="1"/>
  <c r="A3274" i="14"/>
  <c r="B3274" i="14"/>
  <c r="C3274" i="14" s="1"/>
  <c r="E3274" i="14" s="1"/>
  <c r="A3275" i="14"/>
  <c r="B3275" i="14"/>
  <c r="C3275" i="14" s="1"/>
  <c r="E3275" i="14" s="1"/>
  <c r="A3276" i="14"/>
  <c r="B3276" i="14"/>
  <c r="C3276" i="14" s="1"/>
  <c r="E3276" i="14" s="1"/>
  <c r="A3277" i="14"/>
  <c r="B3277" i="14"/>
  <c r="C3277" i="14" s="1"/>
  <c r="E3277" i="14" s="1"/>
  <c r="A3278" i="14"/>
  <c r="B3278" i="14"/>
  <c r="C3278" i="14" s="1"/>
  <c r="E3278" i="14" s="1"/>
  <c r="A3279" i="14"/>
  <c r="B3279" i="14"/>
  <c r="C3279" i="14" s="1"/>
  <c r="E3279" i="14" s="1"/>
  <c r="A3280" i="14"/>
  <c r="B3280" i="14"/>
  <c r="C3280" i="14" s="1"/>
  <c r="E3280" i="14" s="1"/>
  <c r="A3281" i="14"/>
  <c r="B3281" i="14"/>
  <c r="C3281" i="14" s="1"/>
  <c r="E3281" i="14" s="1"/>
  <c r="A3282" i="14"/>
  <c r="B3282" i="14"/>
  <c r="C3282" i="14" s="1"/>
  <c r="E3282" i="14" s="1"/>
  <c r="A3283" i="14"/>
  <c r="B3283" i="14"/>
  <c r="C3283" i="14" s="1"/>
  <c r="E3283" i="14" s="1"/>
  <c r="A3284" i="14"/>
  <c r="B3284" i="14"/>
  <c r="C3284" i="14" s="1"/>
  <c r="E3284" i="14" s="1"/>
  <c r="A3285" i="14"/>
  <c r="B3285" i="14"/>
  <c r="C3285" i="14" s="1"/>
  <c r="E3285" i="14" s="1"/>
  <c r="A3286" i="14"/>
  <c r="B3286" i="14"/>
  <c r="C3286" i="14" s="1"/>
  <c r="E3286" i="14" s="1"/>
  <c r="A3287" i="14"/>
  <c r="B3287" i="14"/>
  <c r="C3287" i="14" s="1"/>
  <c r="E3287" i="14" s="1"/>
  <c r="A3288" i="14"/>
  <c r="B3288" i="14"/>
  <c r="C3288" i="14" s="1"/>
  <c r="E3288" i="14" s="1"/>
  <c r="A3289" i="14"/>
  <c r="B3289" i="14"/>
  <c r="C3289" i="14" s="1"/>
  <c r="E3289" i="14" s="1"/>
  <c r="A3290" i="14"/>
  <c r="B3290" i="14"/>
  <c r="C3290" i="14" s="1"/>
  <c r="E3290" i="14" s="1"/>
  <c r="A3291" i="14"/>
  <c r="B3291" i="14"/>
  <c r="C3291" i="14" s="1"/>
  <c r="E3291" i="14" s="1"/>
  <c r="A3292" i="14"/>
  <c r="B3292" i="14"/>
  <c r="C3292" i="14" s="1"/>
  <c r="E3292" i="14" s="1"/>
  <c r="A3293" i="14"/>
  <c r="B3293" i="14"/>
  <c r="C3293" i="14" s="1"/>
  <c r="E3293" i="14" s="1"/>
  <c r="A3294" i="14"/>
  <c r="B3294" i="14"/>
  <c r="C3294" i="14" s="1"/>
  <c r="E3294" i="14" s="1"/>
  <c r="A3295" i="14"/>
  <c r="B3295" i="14"/>
  <c r="C3295" i="14" s="1"/>
  <c r="E3295" i="14" s="1"/>
  <c r="A3296" i="14"/>
  <c r="B3296" i="14"/>
  <c r="C3296" i="14" s="1"/>
  <c r="E3296" i="14" s="1"/>
  <c r="A3297" i="14"/>
  <c r="B3297" i="14"/>
  <c r="C3297" i="14" s="1"/>
  <c r="E3297" i="14" s="1"/>
  <c r="A3298" i="14"/>
  <c r="B3298" i="14"/>
  <c r="C3298" i="14" s="1"/>
  <c r="E3298" i="14" s="1"/>
  <c r="A3299" i="14"/>
  <c r="B3299" i="14"/>
  <c r="C3299" i="14" s="1"/>
  <c r="E3299" i="14" s="1"/>
  <c r="A3300" i="14"/>
  <c r="B3300" i="14"/>
  <c r="C3300" i="14" s="1"/>
  <c r="E3300" i="14" s="1"/>
  <c r="A3301" i="14"/>
  <c r="B3301" i="14"/>
  <c r="C3301" i="14" s="1"/>
  <c r="E3301" i="14" s="1"/>
  <c r="A3302" i="14"/>
  <c r="B3302" i="14"/>
  <c r="C3302" i="14" s="1"/>
  <c r="E3302" i="14" s="1"/>
  <c r="A3303" i="14"/>
  <c r="B3303" i="14"/>
  <c r="C3303" i="14" s="1"/>
  <c r="E3303" i="14" s="1"/>
  <c r="A3304" i="14"/>
  <c r="B3304" i="14"/>
  <c r="C3304" i="14" s="1"/>
  <c r="E3304" i="14" s="1"/>
  <c r="A3305" i="14"/>
  <c r="B3305" i="14"/>
  <c r="C3305" i="14" s="1"/>
  <c r="E3305" i="14" s="1"/>
  <c r="A3306" i="14"/>
  <c r="B3306" i="14"/>
  <c r="C3306" i="14" s="1"/>
  <c r="E3306" i="14" s="1"/>
  <c r="A3307" i="14"/>
  <c r="B3307" i="14"/>
  <c r="C3307" i="14" s="1"/>
  <c r="E3307" i="14" s="1"/>
  <c r="A3308" i="14"/>
  <c r="B3308" i="14"/>
  <c r="C3308" i="14" s="1"/>
  <c r="E3308" i="14" s="1"/>
  <c r="A3309" i="14"/>
  <c r="B3309" i="14"/>
  <c r="C3309" i="14" s="1"/>
  <c r="E3309" i="14" s="1"/>
  <c r="A3310" i="14"/>
  <c r="B3310" i="14"/>
  <c r="C3310" i="14" s="1"/>
  <c r="E3310" i="14" s="1"/>
  <c r="A3311" i="14"/>
  <c r="B3311" i="14"/>
  <c r="C3311" i="14" s="1"/>
  <c r="E3311" i="14" s="1"/>
  <c r="A3312" i="14"/>
  <c r="B3312" i="14"/>
  <c r="C3312" i="14" s="1"/>
  <c r="E3312" i="14" s="1"/>
  <c r="A3313" i="14"/>
  <c r="B3313" i="14"/>
  <c r="C3313" i="14" s="1"/>
  <c r="E3313" i="14" s="1"/>
  <c r="A3314" i="14"/>
  <c r="B3314" i="14"/>
  <c r="C3314" i="14" s="1"/>
  <c r="E3314" i="14" s="1"/>
  <c r="A3315" i="14"/>
  <c r="B3315" i="14"/>
  <c r="C3315" i="14" s="1"/>
  <c r="E3315" i="14" s="1"/>
  <c r="A3316" i="14"/>
  <c r="B3316" i="14"/>
  <c r="C3316" i="14" s="1"/>
  <c r="E3316" i="14" s="1"/>
  <c r="A3317" i="14"/>
  <c r="B3317" i="14"/>
  <c r="C3317" i="14" s="1"/>
  <c r="E3317" i="14" s="1"/>
  <c r="A3318" i="14"/>
  <c r="B3318" i="14"/>
  <c r="C3318" i="14" s="1"/>
  <c r="E3318" i="14" s="1"/>
  <c r="A3319" i="14"/>
  <c r="B3319" i="14"/>
  <c r="C3319" i="14" s="1"/>
  <c r="E3319" i="14" s="1"/>
  <c r="A3320" i="14"/>
  <c r="B3320" i="14"/>
  <c r="C3320" i="14" s="1"/>
  <c r="E3320" i="14" s="1"/>
  <c r="A3321" i="14"/>
  <c r="B3321" i="14"/>
  <c r="C3321" i="14" s="1"/>
  <c r="E3321" i="14" s="1"/>
  <c r="A3322" i="14"/>
  <c r="B3322" i="14"/>
  <c r="C3322" i="14" s="1"/>
  <c r="E3322" i="14" s="1"/>
  <c r="A3323" i="14"/>
  <c r="B3323" i="14"/>
  <c r="C3323" i="14" s="1"/>
  <c r="E3323" i="14" s="1"/>
  <c r="A3324" i="14"/>
  <c r="B3324" i="14"/>
  <c r="C3324" i="14" s="1"/>
  <c r="E3324" i="14" s="1"/>
  <c r="A3325" i="14"/>
  <c r="B3325" i="14"/>
  <c r="C3325" i="14" s="1"/>
  <c r="E3325" i="14" s="1"/>
  <c r="A3326" i="14"/>
  <c r="B3326" i="14"/>
  <c r="C3326" i="14" s="1"/>
  <c r="E3326" i="14" s="1"/>
  <c r="A3327" i="14"/>
  <c r="B3327" i="14"/>
  <c r="C3327" i="14" s="1"/>
  <c r="E3327" i="14" s="1"/>
  <c r="A3328" i="14"/>
  <c r="B3328" i="14"/>
  <c r="C3328" i="14" s="1"/>
  <c r="E3328" i="14" s="1"/>
  <c r="A3329" i="14"/>
  <c r="B3329" i="14"/>
  <c r="C3329" i="14" s="1"/>
  <c r="E3329" i="14" s="1"/>
  <c r="A3330" i="14"/>
  <c r="B3330" i="14"/>
  <c r="C3330" i="14" s="1"/>
  <c r="E3330" i="14" s="1"/>
  <c r="A3331" i="14"/>
  <c r="B3331" i="14"/>
  <c r="C3331" i="14" s="1"/>
  <c r="E3331" i="14" s="1"/>
  <c r="A3332" i="14"/>
  <c r="B3332" i="14"/>
  <c r="C3332" i="14" s="1"/>
  <c r="E3332" i="14" s="1"/>
  <c r="A3333" i="14"/>
  <c r="B3333" i="14"/>
  <c r="C3333" i="14" s="1"/>
  <c r="E3333" i="14" s="1"/>
  <c r="A3334" i="14"/>
  <c r="B3334" i="14"/>
  <c r="C3334" i="14" s="1"/>
  <c r="E3334" i="14" s="1"/>
  <c r="A3335" i="14"/>
  <c r="B3335" i="14"/>
  <c r="C3335" i="14" s="1"/>
  <c r="E3335" i="14" s="1"/>
  <c r="A3336" i="14"/>
  <c r="B3336" i="14"/>
  <c r="C3336" i="14" s="1"/>
  <c r="E3336" i="14" s="1"/>
  <c r="A3337" i="14"/>
  <c r="B3337" i="14"/>
  <c r="C3337" i="14" s="1"/>
  <c r="E3337" i="14" s="1"/>
  <c r="A3338" i="14"/>
  <c r="B3338" i="14"/>
  <c r="C3338" i="14" s="1"/>
  <c r="E3338" i="14" s="1"/>
  <c r="A3339" i="14"/>
  <c r="B3339" i="14"/>
  <c r="C3339" i="14" s="1"/>
  <c r="E3339" i="14" s="1"/>
  <c r="A3340" i="14"/>
  <c r="B3340" i="14"/>
  <c r="C3340" i="14" s="1"/>
  <c r="E3340" i="14" s="1"/>
  <c r="A3341" i="14"/>
  <c r="B3341" i="14"/>
  <c r="C3341" i="14" s="1"/>
  <c r="E3341" i="14" s="1"/>
  <c r="A3342" i="14"/>
  <c r="B3342" i="14"/>
  <c r="C3342" i="14" s="1"/>
  <c r="E3342" i="14" s="1"/>
  <c r="A3343" i="14"/>
  <c r="B3343" i="14"/>
  <c r="C3343" i="14" s="1"/>
  <c r="E3343" i="14" s="1"/>
  <c r="A3344" i="14"/>
  <c r="B3344" i="14"/>
  <c r="C3344" i="14" s="1"/>
  <c r="E3344" i="14" s="1"/>
  <c r="A3345" i="14"/>
  <c r="B3345" i="14"/>
  <c r="C3345" i="14" s="1"/>
  <c r="E3345" i="14" s="1"/>
  <c r="A3346" i="14"/>
  <c r="B3346" i="14"/>
  <c r="C3346" i="14" s="1"/>
  <c r="E3346" i="14" s="1"/>
  <c r="A3347" i="14"/>
  <c r="B3347" i="14"/>
  <c r="C3347" i="14" s="1"/>
  <c r="E3347" i="14" s="1"/>
  <c r="A3348" i="14"/>
  <c r="B3348" i="14"/>
  <c r="C3348" i="14" s="1"/>
  <c r="E3348" i="14" s="1"/>
  <c r="A3349" i="14"/>
  <c r="B3349" i="14"/>
  <c r="C3349" i="14" s="1"/>
  <c r="E3349" i="14" s="1"/>
  <c r="A3350" i="14"/>
  <c r="B3350" i="14"/>
  <c r="C3350" i="14" s="1"/>
  <c r="E3350" i="14" s="1"/>
  <c r="A3351" i="14"/>
  <c r="B3351" i="14"/>
  <c r="C3351" i="14" s="1"/>
  <c r="E3351" i="14" s="1"/>
  <c r="A3352" i="14"/>
  <c r="B3352" i="14"/>
  <c r="C3352" i="14" s="1"/>
  <c r="E3352" i="14" s="1"/>
  <c r="A3353" i="14"/>
  <c r="B3353" i="14"/>
  <c r="C3353" i="14" s="1"/>
  <c r="E3353" i="14" s="1"/>
  <c r="A3354" i="14"/>
  <c r="B3354" i="14"/>
  <c r="C3354" i="14" s="1"/>
  <c r="E3354" i="14" s="1"/>
  <c r="A3355" i="14"/>
  <c r="B3355" i="14"/>
  <c r="C3355" i="14" s="1"/>
  <c r="E3355" i="14" s="1"/>
  <c r="A3356" i="14"/>
  <c r="B3356" i="14"/>
  <c r="C3356" i="14" s="1"/>
  <c r="E3356" i="14" s="1"/>
  <c r="A3357" i="14"/>
  <c r="B3357" i="14"/>
  <c r="C3357" i="14" s="1"/>
  <c r="E3357" i="14" s="1"/>
  <c r="A3358" i="14"/>
  <c r="B3358" i="14"/>
  <c r="C3358" i="14" s="1"/>
  <c r="E3358" i="14" s="1"/>
  <c r="A3359" i="14"/>
  <c r="B3359" i="14"/>
  <c r="C3359" i="14" s="1"/>
  <c r="E3359" i="14" s="1"/>
  <c r="A3360" i="14"/>
  <c r="B3360" i="14"/>
  <c r="C3360" i="14" s="1"/>
  <c r="E3360" i="14" s="1"/>
  <c r="A3361" i="14"/>
  <c r="B3361" i="14"/>
  <c r="C3361" i="14" s="1"/>
  <c r="E3361" i="14" s="1"/>
  <c r="A3362" i="14"/>
  <c r="B3362" i="14"/>
  <c r="C3362" i="14" s="1"/>
  <c r="E3362" i="14" s="1"/>
  <c r="A3363" i="14"/>
  <c r="B3363" i="14"/>
  <c r="C3363" i="14" s="1"/>
  <c r="E3363" i="14" s="1"/>
  <c r="A3364" i="14"/>
  <c r="B3364" i="14"/>
  <c r="C3364" i="14" s="1"/>
  <c r="E3364" i="14" s="1"/>
  <c r="A3365" i="14"/>
  <c r="B3365" i="14"/>
  <c r="C3365" i="14" s="1"/>
  <c r="E3365" i="14" s="1"/>
  <c r="A3366" i="14"/>
  <c r="B3366" i="14"/>
  <c r="C3366" i="14" s="1"/>
  <c r="E3366" i="14" s="1"/>
  <c r="A3367" i="14"/>
  <c r="B3367" i="14"/>
  <c r="C3367" i="14" s="1"/>
  <c r="E3367" i="14" s="1"/>
  <c r="A3368" i="14"/>
  <c r="B3368" i="14"/>
  <c r="C3368" i="14" s="1"/>
  <c r="E3368" i="14" s="1"/>
  <c r="A3369" i="14"/>
  <c r="B3369" i="14"/>
  <c r="C3369" i="14" s="1"/>
  <c r="E3369" i="14" s="1"/>
  <c r="A3370" i="14"/>
  <c r="B3370" i="14"/>
  <c r="C3370" i="14" s="1"/>
  <c r="E3370" i="14" s="1"/>
  <c r="A3371" i="14"/>
  <c r="B3371" i="14"/>
  <c r="C3371" i="14" s="1"/>
  <c r="E3371" i="14" s="1"/>
  <c r="A3372" i="14"/>
  <c r="B3372" i="14"/>
  <c r="C3372" i="14" s="1"/>
  <c r="E3372" i="14" s="1"/>
  <c r="A3373" i="14"/>
  <c r="B3373" i="14"/>
  <c r="C3373" i="14" s="1"/>
  <c r="E3373" i="14" s="1"/>
  <c r="A3374" i="14"/>
  <c r="B3374" i="14"/>
  <c r="C3374" i="14" s="1"/>
  <c r="E3374" i="14" s="1"/>
  <c r="A3375" i="14"/>
  <c r="B3375" i="14"/>
  <c r="C3375" i="14" s="1"/>
  <c r="E3375" i="14" s="1"/>
  <c r="A3376" i="14"/>
  <c r="B3376" i="14"/>
  <c r="C3376" i="14" s="1"/>
  <c r="E3376" i="14" s="1"/>
  <c r="A3377" i="14"/>
  <c r="B3377" i="14"/>
  <c r="C3377" i="14" s="1"/>
  <c r="E3377" i="14" s="1"/>
  <c r="A3378" i="14"/>
  <c r="B3378" i="14"/>
  <c r="C3378" i="14" s="1"/>
  <c r="E3378" i="14" s="1"/>
  <c r="A3379" i="14"/>
  <c r="B3379" i="14"/>
  <c r="C3379" i="14" s="1"/>
  <c r="E3379" i="14" s="1"/>
  <c r="A3380" i="14"/>
  <c r="B3380" i="14"/>
  <c r="C3380" i="14" s="1"/>
  <c r="E3380" i="14" s="1"/>
  <c r="A3381" i="14"/>
  <c r="B3381" i="14"/>
  <c r="C3381" i="14" s="1"/>
  <c r="E3381" i="14" s="1"/>
  <c r="A3382" i="14"/>
  <c r="B3382" i="14"/>
  <c r="C3382" i="14" s="1"/>
  <c r="E3382" i="14" s="1"/>
  <c r="A3383" i="14"/>
  <c r="B3383" i="14"/>
  <c r="C3383" i="14" s="1"/>
  <c r="E3383" i="14" s="1"/>
  <c r="A3384" i="14"/>
  <c r="B3384" i="14"/>
  <c r="C3384" i="14" s="1"/>
  <c r="E3384" i="14" s="1"/>
  <c r="A3385" i="14"/>
  <c r="B3385" i="14"/>
  <c r="C3385" i="14" s="1"/>
  <c r="E3385" i="14" s="1"/>
  <c r="A3386" i="14"/>
  <c r="B3386" i="14"/>
  <c r="C3386" i="14" s="1"/>
  <c r="E3386" i="14" s="1"/>
  <c r="A3387" i="14"/>
  <c r="B3387" i="14"/>
  <c r="C3387" i="14" s="1"/>
  <c r="E3387" i="14" s="1"/>
  <c r="A3388" i="14"/>
  <c r="B3388" i="14"/>
  <c r="C3388" i="14" s="1"/>
  <c r="E3388" i="14" s="1"/>
  <c r="A3389" i="14"/>
  <c r="B3389" i="14"/>
  <c r="C3389" i="14" s="1"/>
  <c r="E3389" i="14" s="1"/>
  <c r="A3390" i="14"/>
  <c r="B3390" i="14"/>
  <c r="C3390" i="14" s="1"/>
  <c r="E3390" i="14" s="1"/>
  <c r="A3391" i="14"/>
  <c r="B3391" i="14"/>
  <c r="C3391" i="14" s="1"/>
  <c r="E3391" i="14" s="1"/>
  <c r="A3392" i="14"/>
  <c r="B3392" i="14"/>
  <c r="C3392" i="14" s="1"/>
  <c r="E3392" i="14" s="1"/>
  <c r="A3393" i="14"/>
  <c r="B3393" i="14"/>
  <c r="C3393" i="14" s="1"/>
  <c r="E3393" i="14" s="1"/>
  <c r="A3394" i="14"/>
  <c r="B3394" i="14"/>
  <c r="C3394" i="14" s="1"/>
  <c r="E3394" i="14" s="1"/>
  <c r="A3395" i="14"/>
  <c r="B3395" i="14"/>
  <c r="C3395" i="14" s="1"/>
  <c r="E3395" i="14" s="1"/>
  <c r="A3396" i="14"/>
  <c r="B3396" i="14"/>
  <c r="C3396" i="14" s="1"/>
  <c r="E3396" i="14" s="1"/>
  <c r="A3397" i="14"/>
  <c r="B3397" i="14"/>
  <c r="C3397" i="14" s="1"/>
  <c r="E3397" i="14" s="1"/>
  <c r="A3398" i="14"/>
  <c r="B3398" i="14"/>
  <c r="C3398" i="14" s="1"/>
  <c r="E3398" i="14" s="1"/>
  <c r="A3399" i="14"/>
  <c r="B3399" i="14"/>
  <c r="C3399" i="14" s="1"/>
  <c r="E3399" i="14" s="1"/>
  <c r="A3400" i="14"/>
  <c r="B3400" i="14"/>
  <c r="C3400" i="14" s="1"/>
  <c r="E3400" i="14" s="1"/>
  <c r="A3401" i="14"/>
  <c r="B3401" i="14"/>
  <c r="C3401" i="14" s="1"/>
  <c r="E3401" i="14" s="1"/>
  <c r="A3402" i="14"/>
  <c r="B3402" i="14"/>
  <c r="C3402" i="14" s="1"/>
  <c r="E3402" i="14" s="1"/>
  <c r="A3403" i="14"/>
  <c r="B3403" i="14"/>
  <c r="C3403" i="14" s="1"/>
  <c r="E3403" i="14" s="1"/>
  <c r="A3404" i="14"/>
  <c r="B3404" i="14"/>
  <c r="C3404" i="14" s="1"/>
  <c r="E3404" i="14" s="1"/>
  <c r="A3405" i="14"/>
  <c r="B3405" i="14"/>
  <c r="C3405" i="14" s="1"/>
  <c r="E3405" i="14" s="1"/>
  <c r="A3406" i="14"/>
  <c r="B3406" i="14"/>
  <c r="C3406" i="14" s="1"/>
  <c r="E3406" i="14" s="1"/>
  <c r="A3407" i="14"/>
  <c r="B3407" i="14"/>
  <c r="C3407" i="14" s="1"/>
  <c r="E3407" i="14" s="1"/>
  <c r="A3408" i="14"/>
  <c r="B3408" i="14"/>
  <c r="C3408" i="14" s="1"/>
  <c r="E3408" i="14" s="1"/>
  <c r="A3409" i="14"/>
  <c r="B3409" i="14"/>
  <c r="C3409" i="14" s="1"/>
  <c r="E3409" i="14" s="1"/>
  <c r="A3410" i="14"/>
  <c r="B3410" i="14"/>
  <c r="C3410" i="14" s="1"/>
  <c r="E3410" i="14" s="1"/>
  <c r="A3411" i="14"/>
  <c r="B3411" i="14"/>
  <c r="C3411" i="14" s="1"/>
  <c r="E3411" i="14" s="1"/>
  <c r="A3412" i="14"/>
  <c r="B3412" i="14"/>
  <c r="C3412" i="14" s="1"/>
  <c r="E3412" i="14" s="1"/>
  <c r="A3413" i="14"/>
  <c r="B3413" i="14"/>
  <c r="C3413" i="14" s="1"/>
  <c r="E3413" i="14" s="1"/>
  <c r="A3414" i="14"/>
  <c r="B3414" i="14"/>
  <c r="C3414" i="14" s="1"/>
  <c r="E3414" i="14" s="1"/>
  <c r="A3415" i="14"/>
  <c r="B3415" i="14"/>
  <c r="C3415" i="14" s="1"/>
  <c r="E3415" i="14" s="1"/>
  <c r="A3416" i="14"/>
  <c r="B3416" i="14"/>
  <c r="C3416" i="14" s="1"/>
  <c r="E3416" i="14" s="1"/>
  <c r="A3417" i="14"/>
  <c r="B3417" i="14"/>
  <c r="C3417" i="14" s="1"/>
  <c r="E3417" i="14" s="1"/>
  <c r="A3418" i="14"/>
  <c r="B3418" i="14"/>
  <c r="C3418" i="14" s="1"/>
  <c r="E3418" i="14" s="1"/>
  <c r="A3419" i="14"/>
  <c r="B3419" i="14"/>
  <c r="C3419" i="14" s="1"/>
  <c r="E3419" i="14" s="1"/>
  <c r="A3420" i="14"/>
  <c r="B3420" i="14"/>
  <c r="C3420" i="14" s="1"/>
  <c r="E3420" i="14" s="1"/>
  <c r="A3421" i="14"/>
  <c r="B3421" i="14"/>
  <c r="C3421" i="14" s="1"/>
  <c r="E3421" i="14" s="1"/>
  <c r="A3422" i="14"/>
  <c r="B3422" i="14"/>
  <c r="C3422" i="14" s="1"/>
  <c r="E3422" i="14" s="1"/>
  <c r="A3423" i="14"/>
  <c r="B3423" i="14"/>
  <c r="C3423" i="14" s="1"/>
  <c r="E3423" i="14" s="1"/>
  <c r="A3424" i="14"/>
  <c r="B3424" i="14"/>
  <c r="C3424" i="14" s="1"/>
  <c r="E3424" i="14" s="1"/>
  <c r="A3425" i="14"/>
  <c r="B3425" i="14"/>
  <c r="C3425" i="14" s="1"/>
  <c r="E3425" i="14" s="1"/>
  <c r="A3426" i="14"/>
  <c r="B3426" i="14"/>
  <c r="C3426" i="14" s="1"/>
  <c r="E3426" i="14" s="1"/>
  <c r="A3427" i="14"/>
  <c r="B3427" i="14"/>
  <c r="C3427" i="14" s="1"/>
  <c r="E3427" i="14" s="1"/>
  <c r="A3428" i="14"/>
  <c r="B3428" i="14"/>
  <c r="C3428" i="14" s="1"/>
  <c r="E3428" i="14" s="1"/>
  <c r="A3429" i="14"/>
  <c r="B3429" i="14"/>
  <c r="C3429" i="14" s="1"/>
  <c r="E3429" i="14" s="1"/>
  <c r="A3430" i="14"/>
  <c r="B3430" i="14"/>
  <c r="C3430" i="14" s="1"/>
  <c r="E3430" i="14" s="1"/>
  <c r="A3431" i="14"/>
  <c r="B3431" i="14"/>
  <c r="C3431" i="14" s="1"/>
  <c r="E3431" i="14" s="1"/>
  <c r="A3432" i="14"/>
  <c r="B3432" i="14"/>
  <c r="C3432" i="14" s="1"/>
  <c r="E3432" i="14" s="1"/>
  <c r="A3433" i="14"/>
  <c r="B3433" i="14"/>
  <c r="C3433" i="14" s="1"/>
  <c r="E3433" i="14" s="1"/>
  <c r="A3434" i="14"/>
  <c r="B3434" i="14"/>
  <c r="C3434" i="14" s="1"/>
  <c r="E3434" i="14" s="1"/>
  <c r="A3435" i="14"/>
  <c r="B3435" i="14"/>
  <c r="C3435" i="14" s="1"/>
  <c r="E3435" i="14" s="1"/>
  <c r="A3436" i="14"/>
  <c r="B3436" i="14"/>
  <c r="C3436" i="14" s="1"/>
  <c r="E3436" i="14" s="1"/>
  <c r="A3437" i="14"/>
  <c r="B3437" i="14"/>
  <c r="C3437" i="14" s="1"/>
  <c r="E3437" i="14" s="1"/>
  <c r="A3438" i="14"/>
  <c r="B3438" i="14"/>
  <c r="C3438" i="14" s="1"/>
  <c r="E3438" i="14" s="1"/>
  <c r="A3439" i="14"/>
  <c r="B3439" i="14"/>
  <c r="C3439" i="14" s="1"/>
  <c r="E3439" i="14" s="1"/>
  <c r="A3440" i="14"/>
  <c r="B3440" i="14"/>
  <c r="C3440" i="14" s="1"/>
  <c r="E3440" i="14" s="1"/>
  <c r="A3441" i="14"/>
  <c r="B3441" i="14"/>
  <c r="C3441" i="14" s="1"/>
  <c r="E3441" i="14" s="1"/>
  <c r="A3442" i="14"/>
  <c r="B3442" i="14"/>
  <c r="C3442" i="14" s="1"/>
  <c r="E3442" i="14" s="1"/>
  <c r="A3443" i="14"/>
  <c r="B3443" i="14"/>
  <c r="C3443" i="14" s="1"/>
  <c r="E3443" i="14" s="1"/>
  <c r="A3444" i="14"/>
  <c r="B3444" i="14"/>
  <c r="C3444" i="14" s="1"/>
  <c r="E3444" i="14" s="1"/>
  <c r="A3445" i="14"/>
  <c r="B3445" i="14"/>
  <c r="C3445" i="14" s="1"/>
  <c r="E3445" i="14" s="1"/>
  <c r="A3446" i="14"/>
  <c r="B3446" i="14"/>
  <c r="C3446" i="14" s="1"/>
  <c r="E3446" i="14" s="1"/>
  <c r="A3447" i="14"/>
  <c r="B3447" i="14"/>
  <c r="C3447" i="14" s="1"/>
  <c r="E3447" i="14" s="1"/>
  <c r="A3448" i="14"/>
  <c r="B3448" i="14"/>
  <c r="C3448" i="14" s="1"/>
  <c r="E3448" i="14" s="1"/>
  <c r="A3449" i="14"/>
  <c r="B3449" i="14"/>
  <c r="C3449" i="14" s="1"/>
  <c r="E3449" i="14" s="1"/>
  <c r="A3450" i="14"/>
  <c r="B3450" i="14"/>
  <c r="C3450" i="14" s="1"/>
  <c r="E3450" i="14" s="1"/>
  <c r="A3451" i="14"/>
  <c r="B3451" i="14"/>
  <c r="C3451" i="14" s="1"/>
  <c r="E3451" i="14" s="1"/>
  <c r="A3452" i="14"/>
  <c r="B3452" i="14"/>
  <c r="C3452" i="14" s="1"/>
  <c r="E3452" i="14" s="1"/>
  <c r="A3453" i="14"/>
  <c r="B3453" i="14"/>
  <c r="C3453" i="14" s="1"/>
  <c r="E3453" i="14" s="1"/>
  <c r="A3454" i="14"/>
  <c r="B3454" i="14"/>
  <c r="C3454" i="14" s="1"/>
  <c r="E3454" i="14" s="1"/>
  <c r="A3455" i="14"/>
  <c r="B3455" i="14"/>
  <c r="C3455" i="14" s="1"/>
  <c r="E3455" i="14" s="1"/>
  <c r="A3456" i="14"/>
  <c r="B3456" i="14"/>
  <c r="C3456" i="14" s="1"/>
  <c r="E3456" i="14" s="1"/>
  <c r="A3457" i="14"/>
  <c r="B3457" i="14"/>
  <c r="C3457" i="14" s="1"/>
  <c r="E3457" i="14" s="1"/>
  <c r="A3458" i="14"/>
  <c r="B3458" i="14"/>
  <c r="C3458" i="14" s="1"/>
  <c r="E3458" i="14" s="1"/>
  <c r="A3459" i="14"/>
  <c r="B3459" i="14"/>
  <c r="C3459" i="14" s="1"/>
  <c r="E3459" i="14" s="1"/>
  <c r="A3460" i="14"/>
  <c r="B3460" i="14"/>
  <c r="C3460" i="14" s="1"/>
  <c r="E3460" i="14" s="1"/>
  <c r="A3461" i="14"/>
  <c r="B3461" i="14"/>
  <c r="C3461" i="14" s="1"/>
  <c r="E3461" i="14" s="1"/>
  <c r="A3462" i="14"/>
  <c r="B3462" i="14"/>
  <c r="C3462" i="14" s="1"/>
  <c r="E3462" i="14" s="1"/>
  <c r="A3463" i="14"/>
  <c r="B3463" i="14"/>
  <c r="C3463" i="14" s="1"/>
  <c r="E3463" i="14" s="1"/>
  <c r="A3464" i="14"/>
  <c r="B3464" i="14"/>
  <c r="C3464" i="14" s="1"/>
  <c r="E3464" i="14" s="1"/>
  <c r="A3465" i="14"/>
  <c r="B3465" i="14"/>
  <c r="C3465" i="14" s="1"/>
  <c r="E3465" i="14" s="1"/>
  <c r="A3466" i="14"/>
  <c r="B3466" i="14"/>
  <c r="C3466" i="14" s="1"/>
  <c r="E3466" i="14" s="1"/>
  <c r="A3467" i="14"/>
  <c r="B3467" i="14"/>
  <c r="C3467" i="14" s="1"/>
  <c r="E3467" i="14" s="1"/>
  <c r="A3468" i="14"/>
  <c r="B3468" i="14"/>
  <c r="C3468" i="14" s="1"/>
  <c r="E3468" i="14" s="1"/>
  <c r="A3469" i="14"/>
  <c r="B3469" i="14"/>
  <c r="C3469" i="14" s="1"/>
  <c r="E3469" i="14" s="1"/>
  <c r="A3470" i="14"/>
  <c r="B3470" i="14"/>
  <c r="C3470" i="14" s="1"/>
  <c r="E3470" i="14" s="1"/>
  <c r="A3471" i="14"/>
  <c r="B3471" i="14"/>
  <c r="C3471" i="14" s="1"/>
  <c r="E3471" i="14" s="1"/>
  <c r="A3472" i="14"/>
  <c r="B3472" i="14"/>
  <c r="C3472" i="14" s="1"/>
  <c r="E3472" i="14" s="1"/>
  <c r="A3473" i="14"/>
  <c r="B3473" i="14"/>
  <c r="C3473" i="14" s="1"/>
  <c r="E3473" i="14" s="1"/>
  <c r="A3474" i="14"/>
  <c r="B3474" i="14"/>
  <c r="C3474" i="14" s="1"/>
  <c r="E3474" i="14" s="1"/>
  <c r="A3475" i="14"/>
  <c r="B3475" i="14"/>
  <c r="C3475" i="14" s="1"/>
  <c r="E3475" i="14" s="1"/>
  <c r="A3476" i="14"/>
  <c r="B3476" i="14"/>
  <c r="C3476" i="14" s="1"/>
  <c r="E3476" i="14" s="1"/>
  <c r="A3477" i="14"/>
  <c r="B3477" i="14"/>
  <c r="C3477" i="14" s="1"/>
  <c r="E3477" i="14" s="1"/>
  <c r="A3478" i="14"/>
  <c r="B3478" i="14"/>
  <c r="C3478" i="14" s="1"/>
  <c r="E3478" i="14" s="1"/>
  <c r="A3479" i="14"/>
  <c r="B3479" i="14"/>
  <c r="C3479" i="14" s="1"/>
  <c r="E3479" i="14" s="1"/>
  <c r="A3480" i="14"/>
  <c r="B3480" i="14"/>
  <c r="C3480" i="14" s="1"/>
  <c r="E3480" i="14" s="1"/>
  <c r="A3481" i="14"/>
  <c r="B3481" i="14"/>
  <c r="C3481" i="14" s="1"/>
  <c r="E3481" i="14" s="1"/>
  <c r="A3482" i="14"/>
  <c r="B3482" i="14"/>
  <c r="C3482" i="14" s="1"/>
  <c r="E3482" i="14" s="1"/>
  <c r="A3483" i="14"/>
  <c r="B3483" i="14"/>
  <c r="C3483" i="14" s="1"/>
  <c r="E3483" i="14" s="1"/>
  <c r="A3484" i="14"/>
  <c r="B3484" i="14"/>
  <c r="C3484" i="14" s="1"/>
  <c r="E3484" i="14" s="1"/>
  <c r="A3485" i="14"/>
  <c r="B3485" i="14"/>
  <c r="C3485" i="14" s="1"/>
  <c r="E3485" i="14" s="1"/>
  <c r="A3486" i="14"/>
  <c r="B3486" i="14"/>
  <c r="C3486" i="14" s="1"/>
  <c r="E3486" i="14" s="1"/>
  <c r="A3487" i="14"/>
  <c r="B3487" i="14"/>
  <c r="C3487" i="14" s="1"/>
  <c r="E3487" i="14" s="1"/>
  <c r="A3488" i="14"/>
  <c r="B3488" i="14"/>
  <c r="C3488" i="14" s="1"/>
  <c r="E3488" i="14" s="1"/>
  <c r="A3489" i="14"/>
  <c r="B3489" i="14"/>
  <c r="C3489" i="14" s="1"/>
  <c r="E3489" i="14" s="1"/>
  <c r="A3490" i="14"/>
  <c r="B3490" i="14"/>
  <c r="C3490" i="14" s="1"/>
  <c r="E3490" i="14" s="1"/>
  <c r="A3491" i="14"/>
  <c r="B3491" i="14"/>
  <c r="C3491" i="14" s="1"/>
  <c r="E3491" i="14" s="1"/>
  <c r="A3492" i="14"/>
  <c r="B3492" i="14"/>
  <c r="C3492" i="14" s="1"/>
  <c r="E3492" i="14" s="1"/>
  <c r="A3493" i="14"/>
  <c r="B3493" i="14"/>
  <c r="C3493" i="14" s="1"/>
  <c r="E3493" i="14" s="1"/>
  <c r="A3494" i="14"/>
  <c r="B3494" i="14"/>
  <c r="C3494" i="14" s="1"/>
  <c r="E3494" i="14" s="1"/>
  <c r="A3495" i="14"/>
  <c r="B3495" i="14"/>
  <c r="C3495" i="14" s="1"/>
  <c r="E3495" i="14" s="1"/>
  <c r="A3496" i="14"/>
  <c r="B3496" i="14"/>
  <c r="C3496" i="14" s="1"/>
  <c r="E3496" i="14" s="1"/>
  <c r="A3497" i="14"/>
  <c r="B3497" i="14"/>
  <c r="C3497" i="14" s="1"/>
  <c r="E3497" i="14" s="1"/>
  <c r="A3498" i="14"/>
  <c r="B3498" i="14"/>
  <c r="C3498" i="14" s="1"/>
  <c r="E3498" i="14" s="1"/>
  <c r="A3499" i="14"/>
  <c r="B3499" i="14"/>
  <c r="C3499" i="14" s="1"/>
  <c r="E3499" i="14" s="1"/>
  <c r="A3500" i="14"/>
  <c r="B3500" i="14"/>
  <c r="C3500" i="14" s="1"/>
  <c r="E3500" i="14" s="1"/>
  <c r="A3501" i="14"/>
  <c r="B3501" i="14"/>
  <c r="C3501" i="14" s="1"/>
  <c r="E3501" i="14" s="1"/>
  <c r="A3502" i="14"/>
  <c r="B3502" i="14"/>
  <c r="C3502" i="14" s="1"/>
  <c r="E3502" i="14" s="1"/>
  <c r="A3503" i="14"/>
  <c r="B3503" i="14"/>
  <c r="C3503" i="14" s="1"/>
  <c r="E3503" i="14" s="1"/>
  <c r="A3504" i="14"/>
  <c r="B3504" i="14"/>
  <c r="C3504" i="14" s="1"/>
  <c r="E3504" i="14" s="1"/>
  <c r="A3505" i="14"/>
  <c r="B3505" i="14"/>
  <c r="C3505" i="14" s="1"/>
  <c r="E3505" i="14" s="1"/>
  <c r="A3506" i="14"/>
  <c r="B3506" i="14"/>
  <c r="C3506" i="14" s="1"/>
  <c r="E3506" i="14" s="1"/>
  <c r="A3507" i="14"/>
  <c r="B3507" i="14"/>
  <c r="C3507" i="14" s="1"/>
  <c r="E3507" i="14" s="1"/>
  <c r="A3508" i="14"/>
  <c r="B3508" i="14"/>
  <c r="C3508" i="14" s="1"/>
  <c r="E3508" i="14" s="1"/>
  <c r="A3509" i="14"/>
  <c r="B3509" i="14"/>
  <c r="C3509" i="14" s="1"/>
  <c r="E3509" i="14" s="1"/>
  <c r="A3510" i="14"/>
  <c r="B3510" i="14"/>
  <c r="C3510" i="14" s="1"/>
  <c r="E3510" i="14" s="1"/>
  <c r="A3511" i="14"/>
  <c r="B3511" i="14"/>
  <c r="C3511" i="14" s="1"/>
  <c r="E3511" i="14" s="1"/>
  <c r="A3512" i="14"/>
  <c r="B3512" i="14"/>
  <c r="C3512" i="14" s="1"/>
  <c r="E3512" i="14" s="1"/>
  <c r="A3513" i="14"/>
  <c r="B3513" i="14"/>
  <c r="C3513" i="14" s="1"/>
  <c r="E3513" i="14" s="1"/>
  <c r="A3514" i="14"/>
  <c r="B3514" i="14"/>
  <c r="C3514" i="14" s="1"/>
  <c r="E3514" i="14" s="1"/>
  <c r="A3515" i="14"/>
  <c r="B3515" i="14"/>
  <c r="C3515" i="14" s="1"/>
  <c r="E3515" i="14" s="1"/>
  <c r="A3516" i="14"/>
  <c r="B3516" i="14"/>
  <c r="C3516" i="14" s="1"/>
  <c r="E3516" i="14" s="1"/>
  <c r="A3517" i="14"/>
  <c r="B3517" i="14"/>
  <c r="C3517" i="14" s="1"/>
  <c r="E3517" i="14" s="1"/>
  <c r="A3518" i="14"/>
  <c r="B3518" i="14"/>
  <c r="C3518" i="14" s="1"/>
  <c r="E3518" i="14" s="1"/>
  <c r="A3519" i="14"/>
  <c r="B3519" i="14"/>
  <c r="C3519" i="14" s="1"/>
  <c r="E3519" i="14" s="1"/>
  <c r="A3520" i="14"/>
  <c r="B3520" i="14"/>
  <c r="C3520" i="14" s="1"/>
  <c r="E3520" i="14" s="1"/>
  <c r="A3521" i="14"/>
  <c r="B3521" i="14"/>
  <c r="C3521" i="14" s="1"/>
  <c r="E3521" i="14" s="1"/>
  <c r="A3522" i="14"/>
  <c r="B3522" i="14"/>
  <c r="C3522" i="14" s="1"/>
  <c r="E3522" i="14" s="1"/>
  <c r="A3523" i="14"/>
  <c r="B3523" i="14"/>
  <c r="C3523" i="14" s="1"/>
  <c r="E3523" i="14" s="1"/>
  <c r="A3524" i="14"/>
  <c r="B3524" i="14"/>
  <c r="C3524" i="14" s="1"/>
  <c r="E3524" i="14" s="1"/>
  <c r="A3525" i="14"/>
  <c r="B3525" i="14"/>
  <c r="C3525" i="14" s="1"/>
  <c r="E3525" i="14" s="1"/>
  <c r="A3526" i="14"/>
  <c r="B3526" i="14"/>
  <c r="C3526" i="14" s="1"/>
  <c r="E3526" i="14" s="1"/>
  <c r="A3527" i="14"/>
  <c r="B3527" i="14"/>
  <c r="C3527" i="14" s="1"/>
  <c r="E3527" i="14" s="1"/>
  <c r="A3528" i="14"/>
  <c r="B3528" i="14"/>
  <c r="C3528" i="14" s="1"/>
  <c r="E3528" i="14" s="1"/>
  <c r="A3529" i="14"/>
  <c r="B3529" i="14"/>
  <c r="C3529" i="14" s="1"/>
  <c r="E3529" i="14" s="1"/>
  <c r="A3530" i="14"/>
  <c r="B3530" i="14"/>
  <c r="C3530" i="14" s="1"/>
  <c r="E3530" i="14" s="1"/>
  <c r="A3531" i="14"/>
  <c r="B3531" i="14"/>
  <c r="C3531" i="14" s="1"/>
  <c r="E3531" i="14" s="1"/>
  <c r="A3532" i="14"/>
  <c r="B3532" i="14"/>
  <c r="C3532" i="14" s="1"/>
  <c r="E3532" i="14" s="1"/>
  <c r="A3533" i="14"/>
  <c r="B3533" i="14"/>
  <c r="C3533" i="14" s="1"/>
  <c r="E3533" i="14" s="1"/>
  <c r="A3534" i="14"/>
  <c r="B3534" i="14"/>
  <c r="C3534" i="14" s="1"/>
  <c r="E3534" i="14" s="1"/>
  <c r="A3535" i="14"/>
  <c r="B3535" i="14"/>
  <c r="C3535" i="14" s="1"/>
  <c r="E3535" i="14" s="1"/>
  <c r="A3536" i="14"/>
  <c r="B3536" i="14"/>
  <c r="C3536" i="14" s="1"/>
  <c r="E3536" i="14" s="1"/>
  <c r="A3537" i="14"/>
  <c r="B3537" i="14"/>
  <c r="C3537" i="14" s="1"/>
  <c r="E3537" i="14" s="1"/>
  <c r="A3538" i="14"/>
  <c r="B3538" i="14"/>
  <c r="C3538" i="14" s="1"/>
  <c r="E3538" i="14" s="1"/>
  <c r="A3539" i="14"/>
  <c r="B3539" i="14"/>
  <c r="C3539" i="14" s="1"/>
  <c r="E3539" i="14" s="1"/>
  <c r="A3540" i="14"/>
  <c r="B3540" i="14"/>
  <c r="C3540" i="14" s="1"/>
  <c r="E3540" i="14" s="1"/>
  <c r="A3541" i="14"/>
  <c r="B3541" i="14"/>
  <c r="C3541" i="14" s="1"/>
  <c r="E3541" i="14" s="1"/>
  <c r="A3542" i="14"/>
  <c r="B3542" i="14"/>
  <c r="C3542" i="14" s="1"/>
  <c r="E3542" i="14" s="1"/>
  <c r="A3543" i="14"/>
  <c r="B3543" i="14"/>
  <c r="C3543" i="14" s="1"/>
  <c r="E3543" i="14" s="1"/>
  <c r="A3544" i="14"/>
  <c r="B3544" i="14"/>
  <c r="C3544" i="14" s="1"/>
  <c r="E3544" i="14" s="1"/>
  <c r="A3545" i="14"/>
  <c r="B3545" i="14"/>
  <c r="C3545" i="14" s="1"/>
  <c r="E3545" i="14" s="1"/>
  <c r="A3546" i="14"/>
  <c r="B3546" i="14"/>
  <c r="C3546" i="14" s="1"/>
  <c r="E3546" i="14" s="1"/>
  <c r="A3547" i="14"/>
  <c r="B3547" i="14"/>
  <c r="C3547" i="14" s="1"/>
  <c r="E3547" i="14" s="1"/>
  <c r="A3548" i="14"/>
  <c r="B3548" i="14"/>
  <c r="C3548" i="14" s="1"/>
  <c r="E3548" i="14" s="1"/>
  <c r="A3549" i="14"/>
  <c r="B3549" i="14"/>
  <c r="C3549" i="14" s="1"/>
  <c r="E3549" i="14" s="1"/>
  <c r="A3550" i="14"/>
  <c r="B3550" i="14"/>
  <c r="C3550" i="14" s="1"/>
  <c r="E3550" i="14" s="1"/>
  <c r="A3551" i="14"/>
  <c r="B3551" i="14"/>
  <c r="C3551" i="14" s="1"/>
  <c r="E3551" i="14" s="1"/>
  <c r="A3552" i="14"/>
  <c r="B3552" i="14"/>
  <c r="C3552" i="14" s="1"/>
  <c r="E3552" i="14" s="1"/>
  <c r="A3553" i="14"/>
  <c r="B3553" i="14"/>
  <c r="C3553" i="14" s="1"/>
  <c r="E3553" i="14" s="1"/>
  <c r="A3554" i="14"/>
  <c r="B3554" i="14"/>
  <c r="C3554" i="14" s="1"/>
  <c r="E3554" i="14" s="1"/>
  <c r="A3555" i="14"/>
  <c r="B3555" i="14"/>
  <c r="C3555" i="14" s="1"/>
  <c r="E3555" i="14" s="1"/>
  <c r="A3556" i="14"/>
  <c r="B3556" i="14"/>
  <c r="C3556" i="14" s="1"/>
  <c r="E3556" i="14" s="1"/>
  <c r="A3557" i="14"/>
  <c r="B3557" i="14"/>
  <c r="C3557" i="14" s="1"/>
  <c r="E3557" i="14" s="1"/>
  <c r="A3558" i="14"/>
  <c r="B3558" i="14"/>
  <c r="C3558" i="14" s="1"/>
  <c r="E3558" i="14" s="1"/>
  <c r="A3559" i="14"/>
  <c r="B3559" i="14"/>
  <c r="C3559" i="14" s="1"/>
  <c r="E3559" i="14" s="1"/>
  <c r="A3560" i="14"/>
  <c r="B3560" i="14"/>
  <c r="C3560" i="14" s="1"/>
  <c r="E3560" i="14" s="1"/>
  <c r="A3561" i="14"/>
  <c r="B3561" i="14"/>
  <c r="C3561" i="14" s="1"/>
  <c r="E3561" i="14" s="1"/>
  <c r="A3562" i="14"/>
  <c r="B3562" i="14"/>
  <c r="C3562" i="14" s="1"/>
  <c r="E3562" i="14" s="1"/>
  <c r="A3563" i="14"/>
  <c r="B3563" i="14"/>
  <c r="C3563" i="14" s="1"/>
  <c r="E3563" i="14" s="1"/>
  <c r="A3564" i="14"/>
  <c r="B3564" i="14"/>
  <c r="C3564" i="14" s="1"/>
  <c r="E3564" i="14" s="1"/>
  <c r="A3565" i="14"/>
  <c r="B3565" i="14"/>
  <c r="C3565" i="14" s="1"/>
  <c r="E3565" i="14" s="1"/>
  <c r="A3566" i="14"/>
  <c r="B3566" i="14"/>
  <c r="C3566" i="14" s="1"/>
  <c r="E3566" i="14" s="1"/>
  <c r="A3567" i="14"/>
  <c r="B3567" i="14"/>
  <c r="C3567" i="14" s="1"/>
  <c r="E3567" i="14" s="1"/>
  <c r="A3568" i="14"/>
  <c r="B3568" i="14"/>
  <c r="C3568" i="14" s="1"/>
  <c r="E3568" i="14" s="1"/>
  <c r="A3569" i="14"/>
  <c r="B3569" i="14"/>
  <c r="C3569" i="14" s="1"/>
  <c r="E3569" i="14" s="1"/>
  <c r="A3570" i="14"/>
  <c r="B3570" i="14"/>
  <c r="C3570" i="14" s="1"/>
  <c r="E3570" i="14" s="1"/>
  <c r="A3571" i="14"/>
  <c r="B3571" i="14"/>
  <c r="C3571" i="14" s="1"/>
  <c r="E3571" i="14" s="1"/>
  <c r="A3572" i="14"/>
  <c r="B3572" i="14"/>
  <c r="C3572" i="14" s="1"/>
  <c r="E3572" i="14" s="1"/>
  <c r="A3573" i="14"/>
  <c r="B3573" i="14"/>
  <c r="C3573" i="14" s="1"/>
  <c r="E3573" i="14" s="1"/>
  <c r="A3574" i="14"/>
  <c r="B3574" i="14"/>
  <c r="C3574" i="14" s="1"/>
  <c r="E3574" i="14" s="1"/>
  <c r="A3575" i="14"/>
  <c r="B3575" i="14"/>
  <c r="C3575" i="14" s="1"/>
  <c r="E3575" i="14" s="1"/>
  <c r="A3576" i="14"/>
  <c r="B3576" i="14"/>
  <c r="C3576" i="14" s="1"/>
  <c r="E3576" i="14" s="1"/>
  <c r="A3577" i="14"/>
  <c r="B3577" i="14"/>
  <c r="C3577" i="14" s="1"/>
  <c r="E3577" i="14" s="1"/>
  <c r="A3578" i="14"/>
  <c r="B3578" i="14"/>
  <c r="C3578" i="14" s="1"/>
  <c r="E3578" i="14" s="1"/>
  <c r="A3579" i="14"/>
  <c r="B3579" i="14"/>
  <c r="C3579" i="14" s="1"/>
  <c r="E3579" i="14" s="1"/>
  <c r="A3580" i="14"/>
  <c r="B3580" i="14"/>
  <c r="C3580" i="14" s="1"/>
  <c r="E3580" i="14" s="1"/>
  <c r="A3581" i="14"/>
  <c r="B3581" i="14"/>
  <c r="C3581" i="14" s="1"/>
  <c r="E3581" i="14" s="1"/>
  <c r="A3582" i="14"/>
  <c r="B3582" i="14"/>
  <c r="C3582" i="14" s="1"/>
  <c r="E3582" i="14" s="1"/>
  <c r="A3583" i="14"/>
  <c r="B3583" i="14"/>
  <c r="C3583" i="14" s="1"/>
  <c r="E3583" i="14" s="1"/>
  <c r="A3584" i="14"/>
  <c r="B3584" i="14"/>
  <c r="C3584" i="14" s="1"/>
  <c r="E3584" i="14" s="1"/>
  <c r="A3585" i="14"/>
  <c r="B3585" i="14"/>
  <c r="C3585" i="14" s="1"/>
  <c r="E3585" i="14" s="1"/>
  <c r="A3586" i="14"/>
  <c r="B3586" i="14"/>
  <c r="C3586" i="14" s="1"/>
  <c r="E3586" i="14" s="1"/>
  <c r="A3587" i="14"/>
  <c r="B3587" i="14"/>
  <c r="C3587" i="14" s="1"/>
  <c r="E3587" i="14" s="1"/>
  <c r="A3588" i="14"/>
  <c r="B3588" i="14"/>
  <c r="C3588" i="14" s="1"/>
  <c r="E3588" i="14" s="1"/>
  <c r="A3589" i="14"/>
  <c r="B3589" i="14"/>
  <c r="C3589" i="14" s="1"/>
  <c r="E3589" i="14" s="1"/>
  <c r="A3590" i="14"/>
  <c r="B3590" i="14"/>
  <c r="C3590" i="14" s="1"/>
  <c r="E3590" i="14" s="1"/>
  <c r="A3591" i="14"/>
  <c r="B3591" i="14"/>
  <c r="C3591" i="14" s="1"/>
  <c r="E3591" i="14" s="1"/>
  <c r="A3592" i="14"/>
  <c r="B3592" i="14"/>
  <c r="C3592" i="14" s="1"/>
  <c r="E3592" i="14" s="1"/>
  <c r="A3593" i="14"/>
  <c r="B3593" i="14"/>
  <c r="C3593" i="14" s="1"/>
  <c r="E3593" i="14" s="1"/>
  <c r="A3594" i="14"/>
  <c r="B3594" i="14"/>
  <c r="C3594" i="14" s="1"/>
  <c r="E3594" i="14" s="1"/>
  <c r="A3595" i="14"/>
  <c r="B3595" i="14"/>
  <c r="C3595" i="14" s="1"/>
  <c r="E3595" i="14" s="1"/>
  <c r="A3596" i="14"/>
  <c r="B3596" i="14"/>
  <c r="C3596" i="14" s="1"/>
  <c r="E3596" i="14" s="1"/>
  <c r="A3597" i="14"/>
  <c r="B3597" i="14"/>
  <c r="C3597" i="14" s="1"/>
  <c r="E3597" i="14" s="1"/>
  <c r="A3598" i="14"/>
  <c r="B3598" i="14"/>
  <c r="C3598" i="14" s="1"/>
  <c r="E3598" i="14" s="1"/>
  <c r="A3599" i="14"/>
  <c r="B3599" i="14"/>
  <c r="C3599" i="14" s="1"/>
  <c r="E3599" i="14" s="1"/>
  <c r="A3600" i="14"/>
  <c r="B3600" i="14"/>
  <c r="C3600" i="14" s="1"/>
  <c r="E3600" i="14" s="1"/>
  <c r="A3601" i="14"/>
  <c r="B3601" i="14"/>
  <c r="C3601" i="14" s="1"/>
  <c r="E3601" i="14" s="1"/>
  <c r="A3602" i="14"/>
  <c r="B3602" i="14"/>
  <c r="C3602" i="14" s="1"/>
  <c r="E3602" i="14" s="1"/>
  <c r="A3603" i="14"/>
  <c r="B3603" i="14"/>
  <c r="C3603" i="14" s="1"/>
  <c r="E3603" i="14" s="1"/>
  <c r="A3604" i="14"/>
  <c r="B3604" i="14"/>
  <c r="C3604" i="14" s="1"/>
  <c r="E3604" i="14" s="1"/>
  <c r="A3605" i="14"/>
  <c r="B3605" i="14"/>
  <c r="C3605" i="14" s="1"/>
  <c r="E3605" i="14" s="1"/>
  <c r="A3606" i="14"/>
  <c r="B3606" i="14"/>
  <c r="C3606" i="14" s="1"/>
  <c r="E3606" i="14" s="1"/>
  <c r="A3607" i="14"/>
  <c r="B3607" i="14"/>
  <c r="C3607" i="14" s="1"/>
  <c r="E3607" i="14" s="1"/>
  <c r="A3608" i="14"/>
  <c r="B3608" i="14"/>
  <c r="C3608" i="14" s="1"/>
  <c r="E3608" i="14" s="1"/>
  <c r="A3609" i="14"/>
  <c r="B3609" i="14"/>
  <c r="C3609" i="14" s="1"/>
  <c r="E3609" i="14" s="1"/>
  <c r="A3610" i="14"/>
  <c r="B3610" i="14"/>
  <c r="C3610" i="14" s="1"/>
  <c r="E3610" i="14" s="1"/>
  <c r="A3611" i="14"/>
  <c r="B3611" i="14"/>
  <c r="C3611" i="14" s="1"/>
  <c r="E3611" i="14" s="1"/>
  <c r="A3612" i="14"/>
  <c r="B3612" i="14"/>
  <c r="C3612" i="14" s="1"/>
  <c r="E3612" i="14" s="1"/>
  <c r="A3613" i="14"/>
  <c r="B3613" i="14"/>
  <c r="C3613" i="14" s="1"/>
  <c r="E3613" i="14" s="1"/>
  <c r="A3614" i="14"/>
  <c r="B3614" i="14"/>
  <c r="C3614" i="14" s="1"/>
  <c r="E3614" i="14" s="1"/>
  <c r="A3615" i="14"/>
  <c r="B3615" i="14"/>
  <c r="C3615" i="14" s="1"/>
  <c r="E3615" i="14" s="1"/>
  <c r="A3616" i="14"/>
  <c r="B3616" i="14"/>
  <c r="C3616" i="14" s="1"/>
  <c r="E3616" i="14" s="1"/>
  <c r="A3617" i="14"/>
  <c r="B3617" i="14"/>
  <c r="C3617" i="14" s="1"/>
  <c r="E3617" i="14" s="1"/>
  <c r="A3618" i="14"/>
  <c r="B3618" i="14"/>
  <c r="C3618" i="14" s="1"/>
  <c r="E3618" i="14" s="1"/>
  <c r="A3619" i="14"/>
  <c r="B3619" i="14"/>
  <c r="C3619" i="14" s="1"/>
  <c r="E3619" i="14" s="1"/>
  <c r="A3620" i="14"/>
  <c r="B3620" i="14"/>
  <c r="C3620" i="14" s="1"/>
  <c r="E3620" i="14" s="1"/>
  <c r="A3621" i="14"/>
  <c r="B3621" i="14"/>
  <c r="C3621" i="14" s="1"/>
  <c r="E3621" i="14" s="1"/>
  <c r="A3622" i="14"/>
  <c r="B3622" i="14"/>
  <c r="C3622" i="14" s="1"/>
  <c r="E3622" i="14" s="1"/>
  <c r="A3623" i="14"/>
  <c r="B3623" i="14"/>
  <c r="C3623" i="14" s="1"/>
  <c r="E3623" i="14" s="1"/>
  <c r="A3624" i="14"/>
  <c r="B3624" i="14"/>
  <c r="C3624" i="14" s="1"/>
  <c r="E3624" i="14" s="1"/>
  <c r="A3625" i="14"/>
  <c r="B3625" i="14"/>
  <c r="C3625" i="14" s="1"/>
  <c r="E3625" i="14" s="1"/>
  <c r="A3626" i="14"/>
  <c r="B3626" i="14"/>
  <c r="C3626" i="14" s="1"/>
  <c r="E3626" i="14" s="1"/>
  <c r="A3627" i="14"/>
  <c r="B3627" i="14"/>
  <c r="C3627" i="14" s="1"/>
  <c r="E3627" i="14" s="1"/>
  <c r="A3628" i="14"/>
  <c r="B3628" i="14"/>
  <c r="C3628" i="14" s="1"/>
  <c r="E3628" i="14" s="1"/>
  <c r="A3629" i="14"/>
  <c r="B3629" i="14"/>
  <c r="C3629" i="14" s="1"/>
  <c r="E3629" i="14" s="1"/>
  <c r="A3630" i="14"/>
  <c r="B3630" i="14"/>
  <c r="C3630" i="14" s="1"/>
  <c r="E3630" i="14" s="1"/>
  <c r="A3631" i="14"/>
  <c r="B3631" i="14"/>
  <c r="C3631" i="14" s="1"/>
  <c r="E3631" i="14" s="1"/>
  <c r="A3632" i="14"/>
  <c r="B3632" i="14"/>
  <c r="C3632" i="14" s="1"/>
  <c r="E3632" i="14" s="1"/>
  <c r="A3633" i="14"/>
  <c r="B3633" i="14"/>
  <c r="C3633" i="14" s="1"/>
  <c r="E3633" i="14" s="1"/>
  <c r="A3634" i="14"/>
  <c r="B3634" i="14"/>
  <c r="C3634" i="14" s="1"/>
  <c r="E3634" i="14" s="1"/>
  <c r="A3635" i="14"/>
  <c r="B3635" i="14"/>
  <c r="C3635" i="14" s="1"/>
  <c r="E3635" i="14" s="1"/>
  <c r="A3636" i="14"/>
  <c r="B3636" i="14"/>
  <c r="C3636" i="14" s="1"/>
  <c r="E3636" i="14" s="1"/>
  <c r="A3637" i="14"/>
  <c r="B3637" i="14"/>
  <c r="C3637" i="14" s="1"/>
  <c r="E3637" i="14" s="1"/>
  <c r="A3638" i="14"/>
  <c r="B3638" i="14"/>
  <c r="C3638" i="14" s="1"/>
  <c r="E3638" i="14" s="1"/>
  <c r="A3639" i="14"/>
  <c r="B3639" i="14"/>
  <c r="C3639" i="14" s="1"/>
  <c r="E3639" i="14" s="1"/>
  <c r="A3640" i="14"/>
  <c r="B3640" i="14"/>
  <c r="C3640" i="14" s="1"/>
  <c r="E3640" i="14" s="1"/>
  <c r="A3641" i="14"/>
  <c r="B3641" i="14"/>
  <c r="C3641" i="14" s="1"/>
  <c r="E3641" i="14" s="1"/>
  <c r="A3642" i="14"/>
  <c r="B3642" i="14"/>
  <c r="C3642" i="14" s="1"/>
  <c r="E3642" i="14" s="1"/>
  <c r="A3643" i="14"/>
  <c r="B3643" i="14"/>
  <c r="C3643" i="14" s="1"/>
  <c r="E3643" i="14" s="1"/>
  <c r="A3644" i="14"/>
  <c r="B3644" i="14"/>
  <c r="C3644" i="14" s="1"/>
  <c r="E3644" i="14" s="1"/>
  <c r="A3645" i="14"/>
  <c r="B3645" i="14"/>
  <c r="C3645" i="14" s="1"/>
  <c r="E3645" i="14" s="1"/>
  <c r="A3646" i="14"/>
  <c r="B3646" i="14"/>
  <c r="C3646" i="14" s="1"/>
  <c r="E3646" i="14" s="1"/>
  <c r="A3647" i="14"/>
  <c r="B3647" i="14"/>
  <c r="C3647" i="14" s="1"/>
  <c r="E3647" i="14" s="1"/>
  <c r="A3648" i="14"/>
  <c r="B3648" i="14"/>
  <c r="C3648" i="14" s="1"/>
  <c r="E3648" i="14" s="1"/>
  <c r="A3649" i="14"/>
  <c r="B3649" i="14"/>
  <c r="C3649" i="14" s="1"/>
  <c r="E3649" i="14" s="1"/>
  <c r="A3650" i="14"/>
  <c r="B3650" i="14"/>
  <c r="C3650" i="14" s="1"/>
  <c r="E3650" i="14" s="1"/>
  <c r="A3651" i="14"/>
  <c r="B3651" i="14"/>
  <c r="C3651" i="14" s="1"/>
  <c r="E3651" i="14" s="1"/>
  <c r="A3652" i="14"/>
  <c r="B3652" i="14"/>
  <c r="C3652" i="14" s="1"/>
  <c r="E3652" i="14" s="1"/>
  <c r="A3653" i="14"/>
  <c r="B3653" i="14"/>
  <c r="C3653" i="14" s="1"/>
  <c r="E3653" i="14" s="1"/>
  <c r="A3654" i="14"/>
  <c r="B3654" i="14"/>
  <c r="C3654" i="14" s="1"/>
  <c r="E3654" i="14" s="1"/>
  <c r="A3655" i="14"/>
  <c r="B3655" i="14"/>
  <c r="C3655" i="14" s="1"/>
  <c r="E3655" i="14" s="1"/>
  <c r="A3656" i="14"/>
  <c r="B3656" i="14"/>
  <c r="C3656" i="14" s="1"/>
  <c r="E3656" i="14" s="1"/>
  <c r="A3657" i="14"/>
  <c r="B3657" i="14"/>
  <c r="C3657" i="14" s="1"/>
  <c r="E3657" i="14" s="1"/>
  <c r="A3658" i="14"/>
  <c r="B3658" i="14"/>
  <c r="C3658" i="14" s="1"/>
  <c r="E3658" i="14" s="1"/>
  <c r="A3659" i="14"/>
  <c r="B3659" i="14"/>
  <c r="C3659" i="14" s="1"/>
  <c r="E3659" i="14" s="1"/>
  <c r="A3660" i="14"/>
  <c r="B3660" i="14"/>
  <c r="C3660" i="14" s="1"/>
  <c r="E3660" i="14" s="1"/>
  <c r="A3661" i="14"/>
  <c r="B3661" i="14"/>
  <c r="C3661" i="14" s="1"/>
  <c r="E3661" i="14" s="1"/>
  <c r="A3662" i="14"/>
  <c r="B3662" i="14"/>
  <c r="C3662" i="14" s="1"/>
  <c r="E3662" i="14" s="1"/>
  <c r="A3663" i="14"/>
  <c r="B3663" i="14"/>
  <c r="C3663" i="14" s="1"/>
  <c r="E3663" i="14" s="1"/>
  <c r="A3664" i="14"/>
  <c r="B3664" i="14"/>
  <c r="C3664" i="14" s="1"/>
  <c r="E3664" i="14" s="1"/>
  <c r="A3665" i="14"/>
  <c r="B3665" i="14"/>
  <c r="C3665" i="14" s="1"/>
  <c r="E3665" i="14" s="1"/>
  <c r="A3666" i="14"/>
  <c r="B3666" i="14"/>
  <c r="C3666" i="14" s="1"/>
  <c r="E3666" i="14" s="1"/>
  <c r="A3667" i="14"/>
  <c r="B3667" i="14"/>
  <c r="C3667" i="14" s="1"/>
  <c r="E3667" i="14" s="1"/>
  <c r="A3668" i="14"/>
  <c r="B3668" i="14"/>
  <c r="C3668" i="14" s="1"/>
  <c r="E3668" i="14" s="1"/>
  <c r="A3669" i="14"/>
  <c r="B3669" i="14"/>
  <c r="C3669" i="14" s="1"/>
  <c r="E3669" i="14" s="1"/>
  <c r="A3670" i="14"/>
  <c r="B3670" i="14"/>
  <c r="C3670" i="14" s="1"/>
  <c r="E3670" i="14" s="1"/>
  <c r="A3671" i="14"/>
  <c r="B3671" i="14"/>
  <c r="C3671" i="14" s="1"/>
  <c r="E3671" i="14" s="1"/>
  <c r="A3672" i="14"/>
  <c r="B3672" i="14"/>
  <c r="C3672" i="14" s="1"/>
  <c r="E3672" i="14" s="1"/>
  <c r="A3673" i="14"/>
  <c r="B3673" i="14"/>
  <c r="C3673" i="14" s="1"/>
  <c r="E3673" i="14" s="1"/>
  <c r="A3674" i="14"/>
  <c r="B3674" i="14"/>
  <c r="C3674" i="14" s="1"/>
  <c r="E3674" i="14" s="1"/>
  <c r="A3675" i="14"/>
  <c r="B3675" i="14"/>
  <c r="C3675" i="14" s="1"/>
  <c r="E3675" i="14" s="1"/>
  <c r="A3676" i="14"/>
  <c r="B3676" i="14"/>
  <c r="C3676" i="14" s="1"/>
  <c r="E3676" i="14" s="1"/>
  <c r="A3677" i="14"/>
  <c r="B3677" i="14"/>
  <c r="C3677" i="14" s="1"/>
  <c r="E3677" i="14" s="1"/>
  <c r="A3678" i="14"/>
  <c r="B3678" i="14"/>
  <c r="C3678" i="14" s="1"/>
  <c r="E3678" i="14" s="1"/>
  <c r="A3679" i="14"/>
  <c r="B3679" i="14"/>
  <c r="C3679" i="14" s="1"/>
  <c r="E3679" i="14" s="1"/>
  <c r="A3680" i="14"/>
  <c r="B3680" i="14"/>
  <c r="C3680" i="14" s="1"/>
  <c r="E3680" i="14" s="1"/>
  <c r="A3681" i="14"/>
  <c r="B3681" i="14"/>
  <c r="C3681" i="14" s="1"/>
  <c r="E3681" i="14" s="1"/>
  <c r="A3682" i="14"/>
  <c r="B3682" i="14"/>
  <c r="C3682" i="14" s="1"/>
  <c r="E3682" i="14" s="1"/>
  <c r="A3683" i="14"/>
  <c r="B3683" i="14"/>
  <c r="C3683" i="14" s="1"/>
  <c r="E3683" i="14" s="1"/>
  <c r="A3684" i="14"/>
  <c r="B3684" i="14"/>
  <c r="C3684" i="14" s="1"/>
  <c r="E3684" i="14" s="1"/>
  <c r="A3685" i="14"/>
  <c r="B3685" i="14"/>
  <c r="C3685" i="14" s="1"/>
  <c r="E3685" i="14" s="1"/>
  <c r="A3686" i="14"/>
  <c r="B3686" i="14"/>
  <c r="C3686" i="14" s="1"/>
  <c r="E3686" i="14" s="1"/>
  <c r="A3687" i="14"/>
  <c r="B3687" i="14"/>
  <c r="C3687" i="14" s="1"/>
  <c r="E3687" i="14" s="1"/>
  <c r="A3688" i="14"/>
  <c r="B3688" i="14"/>
  <c r="C3688" i="14" s="1"/>
  <c r="E3688" i="14" s="1"/>
  <c r="A3689" i="14"/>
  <c r="B3689" i="14"/>
  <c r="C3689" i="14" s="1"/>
  <c r="E3689" i="14" s="1"/>
  <c r="A3690" i="14"/>
  <c r="B3690" i="14"/>
  <c r="C3690" i="14" s="1"/>
  <c r="E3690" i="14" s="1"/>
  <c r="A3691" i="14"/>
  <c r="B3691" i="14"/>
  <c r="C3691" i="14" s="1"/>
  <c r="E3691" i="14" s="1"/>
  <c r="A3692" i="14"/>
  <c r="B3692" i="14"/>
  <c r="C3692" i="14" s="1"/>
  <c r="E3692" i="14" s="1"/>
  <c r="A3693" i="14"/>
  <c r="B3693" i="14"/>
  <c r="C3693" i="14" s="1"/>
  <c r="E3693" i="14" s="1"/>
  <c r="A3694" i="14"/>
  <c r="B3694" i="14"/>
  <c r="C3694" i="14" s="1"/>
  <c r="E3694" i="14" s="1"/>
  <c r="A3695" i="14"/>
  <c r="B3695" i="14"/>
  <c r="C3695" i="14" s="1"/>
  <c r="E3695" i="14" s="1"/>
  <c r="A3696" i="14"/>
  <c r="B3696" i="14"/>
  <c r="C3696" i="14" s="1"/>
  <c r="E3696" i="14" s="1"/>
  <c r="A3697" i="14"/>
  <c r="B3697" i="14"/>
  <c r="C3697" i="14" s="1"/>
  <c r="E3697" i="14" s="1"/>
  <c r="A3698" i="14"/>
  <c r="B3698" i="14"/>
  <c r="C3698" i="14" s="1"/>
  <c r="E3698" i="14" s="1"/>
  <c r="A3699" i="14"/>
  <c r="B3699" i="14"/>
  <c r="C3699" i="14" s="1"/>
  <c r="E3699" i="14" s="1"/>
  <c r="A3700" i="14"/>
  <c r="B3700" i="14"/>
  <c r="C3700" i="14" s="1"/>
  <c r="E3700" i="14" s="1"/>
  <c r="A3701" i="14"/>
  <c r="B3701" i="14"/>
  <c r="C3701" i="14" s="1"/>
  <c r="E3701" i="14" s="1"/>
  <c r="A3702" i="14"/>
  <c r="B3702" i="14"/>
  <c r="C3702" i="14" s="1"/>
  <c r="E3702" i="14" s="1"/>
  <c r="A3703" i="14"/>
  <c r="B3703" i="14"/>
  <c r="C3703" i="14" s="1"/>
  <c r="E3703" i="14" s="1"/>
  <c r="A3704" i="14"/>
  <c r="B3704" i="14"/>
  <c r="C3704" i="14" s="1"/>
  <c r="E3704" i="14" s="1"/>
  <c r="A3705" i="14"/>
  <c r="B3705" i="14"/>
  <c r="C3705" i="14" s="1"/>
  <c r="E3705" i="14" s="1"/>
  <c r="A3706" i="14"/>
  <c r="B3706" i="14"/>
  <c r="C3706" i="14" s="1"/>
  <c r="E3706" i="14" s="1"/>
  <c r="A3707" i="14"/>
  <c r="B3707" i="14"/>
  <c r="C3707" i="14" s="1"/>
  <c r="E3707" i="14" s="1"/>
  <c r="A3708" i="14"/>
  <c r="B3708" i="14"/>
  <c r="C3708" i="14" s="1"/>
  <c r="E3708" i="14" s="1"/>
  <c r="A3709" i="14"/>
  <c r="B3709" i="14"/>
  <c r="C3709" i="14" s="1"/>
  <c r="E3709" i="14" s="1"/>
  <c r="A3710" i="14"/>
  <c r="B3710" i="14"/>
  <c r="C3710" i="14" s="1"/>
  <c r="E3710" i="14" s="1"/>
  <c r="A3711" i="14"/>
  <c r="B3711" i="14"/>
  <c r="C3711" i="14" s="1"/>
  <c r="E3711" i="14" s="1"/>
  <c r="A3712" i="14"/>
  <c r="B3712" i="14"/>
  <c r="C3712" i="14" s="1"/>
  <c r="E3712" i="14" s="1"/>
  <c r="A3713" i="14"/>
  <c r="B3713" i="14"/>
  <c r="C3713" i="14" s="1"/>
  <c r="E3713" i="14" s="1"/>
  <c r="A3714" i="14"/>
  <c r="B3714" i="14"/>
  <c r="C3714" i="14" s="1"/>
  <c r="E3714" i="14" s="1"/>
  <c r="A3715" i="14"/>
  <c r="B3715" i="14"/>
  <c r="C3715" i="14" s="1"/>
  <c r="E3715" i="14" s="1"/>
  <c r="A3716" i="14"/>
  <c r="B3716" i="14"/>
  <c r="C3716" i="14" s="1"/>
  <c r="E3716" i="14" s="1"/>
  <c r="A3717" i="14"/>
  <c r="B3717" i="14"/>
  <c r="C3717" i="14" s="1"/>
  <c r="E3717" i="14" s="1"/>
  <c r="A3718" i="14"/>
  <c r="B3718" i="14"/>
  <c r="C3718" i="14" s="1"/>
  <c r="E3718" i="14" s="1"/>
  <c r="A3719" i="14"/>
  <c r="B3719" i="14"/>
  <c r="C3719" i="14" s="1"/>
  <c r="E3719" i="14" s="1"/>
  <c r="A3720" i="14"/>
  <c r="B3720" i="14"/>
  <c r="C3720" i="14" s="1"/>
  <c r="E3720" i="14" s="1"/>
  <c r="A3721" i="14"/>
  <c r="B3721" i="14"/>
  <c r="C3721" i="14" s="1"/>
  <c r="E3721" i="14" s="1"/>
  <c r="A3722" i="14"/>
  <c r="B3722" i="14"/>
  <c r="C3722" i="14" s="1"/>
  <c r="E3722" i="14" s="1"/>
  <c r="A3723" i="14"/>
  <c r="B3723" i="14"/>
  <c r="C3723" i="14" s="1"/>
  <c r="E3723" i="14" s="1"/>
  <c r="A3724" i="14"/>
  <c r="B3724" i="14"/>
  <c r="C3724" i="14" s="1"/>
  <c r="E3724" i="14" s="1"/>
  <c r="A3725" i="14"/>
  <c r="B3725" i="14"/>
  <c r="C3725" i="14" s="1"/>
  <c r="E3725" i="14" s="1"/>
  <c r="A3726" i="14"/>
  <c r="B3726" i="14"/>
  <c r="C3726" i="14" s="1"/>
  <c r="E3726" i="14" s="1"/>
  <c r="A3727" i="14"/>
  <c r="B3727" i="14"/>
  <c r="C3727" i="14" s="1"/>
  <c r="E3727" i="14" s="1"/>
  <c r="A3728" i="14"/>
  <c r="B3728" i="14"/>
  <c r="C3728" i="14" s="1"/>
  <c r="E3728" i="14" s="1"/>
  <c r="A3729" i="14"/>
  <c r="B3729" i="14"/>
  <c r="C3729" i="14" s="1"/>
  <c r="E3729" i="14" s="1"/>
  <c r="A3730" i="14"/>
  <c r="B3730" i="14"/>
  <c r="C3730" i="14" s="1"/>
  <c r="E3730" i="14" s="1"/>
  <c r="A3731" i="14"/>
  <c r="B3731" i="14"/>
  <c r="C3731" i="14" s="1"/>
  <c r="E3731" i="14" s="1"/>
  <c r="A3732" i="14"/>
  <c r="B3732" i="14"/>
  <c r="C3732" i="14" s="1"/>
  <c r="E3732" i="14" s="1"/>
  <c r="A3733" i="14"/>
  <c r="B3733" i="14"/>
  <c r="C3733" i="14" s="1"/>
  <c r="E3733" i="14" s="1"/>
  <c r="A3734" i="14"/>
  <c r="B3734" i="14"/>
  <c r="C3734" i="14" s="1"/>
  <c r="E3734" i="14" s="1"/>
  <c r="A3735" i="14"/>
  <c r="B3735" i="14"/>
  <c r="C3735" i="14" s="1"/>
  <c r="E3735" i="14" s="1"/>
  <c r="A3736" i="14"/>
  <c r="B3736" i="14"/>
  <c r="C3736" i="14" s="1"/>
  <c r="E3736" i="14" s="1"/>
  <c r="A3737" i="14"/>
  <c r="B3737" i="14"/>
  <c r="C3737" i="14" s="1"/>
  <c r="E3737" i="14" s="1"/>
  <c r="A3738" i="14"/>
  <c r="B3738" i="14"/>
  <c r="C3738" i="14" s="1"/>
  <c r="E3738" i="14" s="1"/>
  <c r="A3739" i="14"/>
  <c r="B3739" i="14"/>
  <c r="C3739" i="14" s="1"/>
  <c r="E3739" i="14" s="1"/>
  <c r="A3740" i="14"/>
  <c r="B3740" i="14"/>
  <c r="C3740" i="14" s="1"/>
  <c r="E3740" i="14" s="1"/>
  <c r="A3741" i="14"/>
  <c r="B3741" i="14"/>
  <c r="C3741" i="14" s="1"/>
  <c r="E3741" i="14" s="1"/>
  <c r="A3742" i="14"/>
  <c r="B3742" i="14"/>
  <c r="C3742" i="14" s="1"/>
  <c r="E3742" i="14" s="1"/>
  <c r="A3743" i="14"/>
  <c r="B3743" i="14"/>
  <c r="C3743" i="14" s="1"/>
  <c r="E3743" i="14" s="1"/>
  <c r="A3744" i="14"/>
  <c r="B3744" i="14"/>
  <c r="C3744" i="14" s="1"/>
  <c r="E3744" i="14" s="1"/>
  <c r="A3745" i="14"/>
  <c r="B3745" i="14"/>
  <c r="C3745" i="14" s="1"/>
  <c r="E3745" i="14" s="1"/>
  <c r="A3746" i="14"/>
  <c r="B3746" i="14"/>
  <c r="C3746" i="14" s="1"/>
  <c r="E3746" i="14" s="1"/>
  <c r="A3747" i="14"/>
  <c r="B3747" i="14"/>
  <c r="C3747" i="14" s="1"/>
  <c r="E3747" i="14" s="1"/>
  <c r="A3748" i="14"/>
  <c r="B3748" i="14"/>
  <c r="C3748" i="14" s="1"/>
  <c r="E3748" i="14" s="1"/>
  <c r="A3749" i="14"/>
  <c r="B3749" i="14"/>
  <c r="C3749" i="14" s="1"/>
  <c r="E3749" i="14" s="1"/>
  <c r="A3750" i="14"/>
  <c r="B3750" i="14"/>
  <c r="C3750" i="14" s="1"/>
  <c r="E3750" i="14" s="1"/>
  <c r="A3751" i="14"/>
  <c r="B3751" i="14"/>
  <c r="C3751" i="14" s="1"/>
  <c r="E3751" i="14" s="1"/>
  <c r="A3752" i="14"/>
  <c r="B3752" i="14"/>
  <c r="C3752" i="14" s="1"/>
  <c r="E3752" i="14" s="1"/>
  <c r="A3753" i="14"/>
  <c r="B3753" i="14"/>
  <c r="C3753" i="14" s="1"/>
  <c r="E3753" i="14" s="1"/>
  <c r="A3754" i="14"/>
  <c r="B3754" i="14"/>
  <c r="C3754" i="14" s="1"/>
  <c r="E3754" i="14" s="1"/>
  <c r="A3755" i="14"/>
  <c r="B3755" i="14"/>
  <c r="C3755" i="14" s="1"/>
  <c r="E3755" i="14" s="1"/>
  <c r="A3756" i="14"/>
  <c r="B3756" i="14"/>
  <c r="C3756" i="14" s="1"/>
  <c r="E3756" i="14" s="1"/>
  <c r="A3757" i="14"/>
  <c r="B3757" i="14"/>
  <c r="C3757" i="14" s="1"/>
  <c r="E3757" i="14" s="1"/>
  <c r="A3758" i="14"/>
  <c r="B3758" i="14"/>
  <c r="C3758" i="14" s="1"/>
  <c r="E3758" i="14" s="1"/>
  <c r="A3759" i="14"/>
  <c r="B3759" i="14"/>
  <c r="C3759" i="14" s="1"/>
  <c r="E3759" i="14" s="1"/>
  <c r="A3760" i="14"/>
  <c r="B3760" i="14"/>
  <c r="C3760" i="14" s="1"/>
  <c r="E3760" i="14" s="1"/>
  <c r="A3761" i="14"/>
  <c r="B3761" i="14"/>
  <c r="C3761" i="14" s="1"/>
  <c r="E3761" i="14" s="1"/>
  <c r="A3762" i="14"/>
  <c r="B3762" i="14"/>
  <c r="C3762" i="14" s="1"/>
  <c r="E3762" i="14" s="1"/>
  <c r="A3763" i="14"/>
  <c r="B3763" i="14"/>
  <c r="C3763" i="14" s="1"/>
  <c r="E3763" i="14" s="1"/>
  <c r="A3764" i="14"/>
  <c r="B3764" i="14"/>
  <c r="C3764" i="14" s="1"/>
  <c r="E3764" i="14" s="1"/>
  <c r="A3765" i="14"/>
  <c r="B3765" i="14"/>
  <c r="C3765" i="14" s="1"/>
  <c r="E3765" i="14" s="1"/>
  <c r="A3766" i="14"/>
  <c r="B3766" i="14"/>
  <c r="C3766" i="14" s="1"/>
  <c r="E3766" i="14" s="1"/>
  <c r="A3767" i="14"/>
  <c r="B3767" i="14"/>
  <c r="C3767" i="14" s="1"/>
  <c r="E3767" i="14" s="1"/>
  <c r="A3768" i="14"/>
  <c r="B3768" i="14"/>
  <c r="C3768" i="14" s="1"/>
  <c r="E3768" i="14" s="1"/>
  <c r="A3769" i="14"/>
  <c r="B3769" i="14"/>
  <c r="C3769" i="14" s="1"/>
  <c r="E3769" i="14" s="1"/>
  <c r="A3770" i="14"/>
  <c r="B3770" i="14"/>
  <c r="C3770" i="14" s="1"/>
  <c r="E3770" i="14" s="1"/>
  <c r="A3771" i="14"/>
  <c r="B3771" i="14"/>
  <c r="C3771" i="14" s="1"/>
  <c r="E3771" i="14" s="1"/>
  <c r="A3772" i="14"/>
  <c r="B3772" i="14"/>
  <c r="C3772" i="14" s="1"/>
  <c r="E3772" i="14" s="1"/>
  <c r="A3773" i="14"/>
  <c r="B3773" i="14"/>
  <c r="C3773" i="14" s="1"/>
  <c r="E3773" i="14" s="1"/>
  <c r="A3774" i="14"/>
  <c r="B3774" i="14"/>
  <c r="C3774" i="14" s="1"/>
  <c r="E3774" i="14" s="1"/>
  <c r="A3775" i="14"/>
  <c r="B3775" i="14"/>
  <c r="C3775" i="14" s="1"/>
  <c r="E3775" i="14" s="1"/>
  <c r="A3776" i="14"/>
  <c r="B3776" i="14"/>
  <c r="C3776" i="14" s="1"/>
  <c r="E3776" i="14" s="1"/>
  <c r="A3777" i="14"/>
  <c r="B3777" i="14"/>
  <c r="C3777" i="14" s="1"/>
  <c r="E3777" i="14" s="1"/>
  <c r="A3778" i="14"/>
  <c r="B3778" i="14"/>
  <c r="C3778" i="14" s="1"/>
  <c r="E3778" i="14" s="1"/>
  <c r="A3779" i="14"/>
  <c r="B3779" i="14"/>
  <c r="C3779" i="14" s="1"/>
  <c r="E3779" i="14" s="1"/>
  <c r="A3780" i="14"/>
  <c r="B3780" i="14"/>
  <c r="C3780" i="14" s="1"/>
  <c r="E3780" i="14" s="1"/>
  <c r="A3781" i="14"/>
  <c r="B3781" i="14"/>
  <c r="C3781" i="14" s="1"/>
  <c r="E3781" i="14" s="1"/>
  <c r="A3782" i="14"/>
  <c r="B3782" i="14"/>
  <c r="C3782" i="14" s="1"/>
  <c r="E3782" i="14" s="1"/>
  <c r="A3783" i="14"/>
  <c r="B3783" i="14"/>
  <c r="C3783" i="14" s="1"/>
  <c r="E3783" i="14" s="1"/>
  <c r="A3784" i="14"/>
  <c r="B3784" i="14"/>
  <c r="C3784" i="14" s="1"/>
  <c r="E3784" i="14" s="1"/>
  <c r="A3785" i="14"/>
  <c r="B3785" i="14"/>
  <c r="C3785" i="14" s="1"/>
  <c r="E3785" i="14" s="1"/>
  <c r="A3786" i="14"/>
  <c r="B3786" i="14"/>
  <c r="C3786" i="14" s="1"/>
  <c r="E3786" i="14" s="1"/>
  <c r="A3787" i="14"/>
  <c r="B3787" i="14"/>
  <c r="C3787" i="14" s="1"/>
  <c r="E3787" i="14" s="1"/>
  <c r="A3788" i="14"/>
  <c r="B3788" i="14"/>
  <c r="C3788" i="14" s="1"/>
  <c r="E3788" i="14" s="1"/>
  <c r="A3789" i="14"/>
  <c r="B3789" i="14"/>
  <c r="C3789" i="14" s="1"/>
  <c r="E3789" i="14" s="1"/>
  <c r="A3790" i="14"/>
  <c r="B3790" i="14"/>
  <c r="C3790" i="14" s="1"/>
  <c r="E3790" i="14" s="1"/>
  <c r="A3791" i="14"/>
  <c r="B3791" i="14"/>
  <c r="C3791" i="14" s="1"/>
  <c r="E3791" i="14" s="1"/>
  <c r="A3792" i="14"/>
  <c r="B3792" i="14"/>
  <c r="C3792" i="14" s="1"/>
  <c r="E3792" i="14" s="1"/>
  <c r="A3793" i="14"/>
  <c r="B3793" i="14"/>
  <c r="C3793" i="14" s="1"/>
  <c r="E3793" i="14" s="1"/>
  <c r="A3794" i="14"/>
  <c r="B3794" i="14"/>
  <c r="C3794" i="14" s="1"/>
  <c r="E3794" i="14" s="1"/>
  <c r="A3795" i="14"/>
  <c r="B3795" i="14"/>
  <c r="C3795" i="14" s="1"/>
  <c r="E3795" i="14" s="1"/>
  <c r="A3796" i="14"/>
  <c r="B3796" i="14"/>
  <c r="C3796" i="14" s="1"/>
  <c r="E3796" i="14" s="1"/>
  <c r="A3797" i="14"/>
  <c r="B3797" i="14"/>
  <c r="C3797" i="14" s="1"/>
  <c r="E3797" i="14" s="1"/>
  <c r="A3798" i="14"/>
  <c r="B3798" i="14"/>
  <c r="C3798" i="14" s="1"/>
  <c r="E3798" i="14" s="1"/>
  <c r="A3799" i="14"/>
  <c r="B3799" i="14"/>
  <c r="C3799" i="14" s="1"/>
  <c r="E3799" i="14" s="1"/>
  <c r="A3800" i="14"/>
  <c r="B3800" i="14"/>
  <c r="C3800" i="14" s="1"/>
  <c r="E3800" i="14" s="1"/>
  <c r="A3801" i="14"/>
  <c r="B3801" i="14"/>
  <c r="C3801" i="14" s="1"/>
  <c r="E3801" i="14" s="1"/>
  <c r="A3802" i="14"/>
  <c r="B3802" i="14"/>
  <c r="C3802" i="14" s="1"/>
  <c r="E3802" i="14" s="1"/>
  <c r="A3803" i="14"/>
  <c r="B3803" i="14"/>
  <c r="C3803" i="14" s="1"/>
  <c r="E3803" i="14" s="1"/>
  <c r="A3804" i="14"/>
  <c r="B3804" i="14"/>
  <c r="C3804" i="14" s="1"/>
  <c r="E3804" i="14" s="1"/>
  <c r="A3805" i="14"/>
  <c r="B3805" i="14"/>
  <c r="C3805" i="14" s="1"/>
  <c r="E3805" i="14" s="1"/>
  <c r="A3806" i="14"/>
  <c r="B3806" i="14"/>
  <c r="C3806" i="14" s="1"/>
  <c r="E3806" i="14" s="1"/>
  <c r="A3807" i="14"/>
  <c r="B3807" i="14"/>
  <c r="C3807" i="14" s="1"/>
  <c r="E3807" i="14" s="1"/>
  <c r="A3808" i="14"/>
  <c r="B3808" i="14"/>
  <c r="C3808" i="14" s="1"/>
  <c r="E3808" i="14" s="1"/>
  <c r="A3809" i="14"/>
  <c r="B3809" i="14"/>
  <c r="C3809" i="14" s="1"/>
  <c r="E3809" i="14" s="1"/>
  <c r="A3810" i="14"/>
  <c r="B3810" i="14"/>
  <c r="C3810" i="14" s="1"/>
  <c r="E3810" i="14" s="1"/>
  <c r="A3811" i="14"/>
  <c r="B3811" i="14"/>
  <c r="C3811" i="14" s="1"/>
  <c r="E3811" i="14" s="1"/>
  <c r="A3812" i="14"/>
  <c r="B3812" i="14"/>
  <c r="C3812" i="14" s="1"/>
  <c r="E3812" i="14" s="1"/>
  <c r="A3813" i="14"/>
  <c r="B3813" i="14"/>
  <c r="C3813" i="14" s="1"/>
  <c r="E3813" i="14" s="1"/>
  <c r="A3814" i="14"/>
  <c r="B3814" i="14"/>
  <c r="C3814" i="14" s="1"/>
  <c r="E3814" i="14" s="1"/>
  <c r="A3815" i="14"/>
  <c r="B3815" i="14"/>
  <c r="C3815" i="14" s="1"/>
  <c r="E3815" i="14" s="1"/>
  <c r="A3816" i="14"/>
  <c r="B3816" i="14"/>
  <c r="C3816" i="14" s="1"/>
  <c r="E3816" i="14" s="1"/>
  <c r="A3817" i="14"/>
  <c r="B3817" i="14"/>
  <c r="C3817" i="14" s="1"/>
  <c r="E3817" i="14" s="1"/>
  <c r="A3818" i="14"/>
  <c r="B3818" i="14"/>
  <c r="C3818" i="14" s="1"/>
  <c r="E3818" i="14" s="1"/>
  <c r="A3819" i="14"/>
  <c r="B3819" i="14"/>
  <c r="C3819" i="14" s="1"/>
  <c r="E3819" i="14" s="1"/>
  <c r="A3820" i="14"/>
  <c r="B3820" i="14"/>
  <c r="C3820" i="14" s="1"/>
  <c r="E3820" i="14" s="1"/>
  <c r="A3821" i="14"/>
  <c r="B3821" i="14"/>
  <c r="C3821" i="14" s="1"/>
  <c r="E3821" i="14" s="1"/>
  <c r="A3822" i="14"/>
  <c r="B3822" i="14"/>
  <c r="C3822" i="14" s="1"/>
  <c r="E3822" i="14" s="1"/>
  <c r="A3823" i="14"/>
  <c r="B3823" i="14"/>
  <c r="C3823" i="14" s="1"/>
  <c r="E3823" i="14" s="1"/>
  <c r="A3824" i="14"/>
  <c r="B3824" i="14"/>
  <c r="C3824" i="14" s="1"/>
  <c r="E3824" i="14" s="1"/>
  <c r="A3825" i="14"/>
  <c r="B3825" i="14"/>
  <c r="C3825" i="14" s="1"/>
  <c r="E3825" i="14" s="1"/>
  <c r="A3826" i="14"/>
  <c r="B3826" i="14"/>
  <c r="C3826" i="14" s="1"/>
  <c r="E3826" i="14" s="1"/>
  <c r="A3827" i="14"/>
  <c r="B3827" i="14"/>
  <c r="C3827" i="14" s="1"/>
  <c r="E3827" i="14" s="1"/>
  <c r="A3828" i="14"/>
  <c r="B3828" i="14"/>
  <c r="C3828" i="14" s="1"/>
  <c r="E3828" i="14" s="1"/>
  <c r="A3829" i="14"/>
  <c r="B3829" i="14"/>
  <c r="C3829" i="14" s="1"/>
  <c r="E3829" i="14" s="1"/>
  <c r="A3830" i="14"/>
  <c r="B3830" i="14"/>
  <c r="C3830" i="14" s="1"/>
  <c r="E3830" i="14" s="1"/>
  <c r="A3831" i="14"/>
  <c r="B3831" i="14"/>
  <c r="C3831" i="14" s="1"/>
  <c r="E3831" i="14" s="1"/>
  <c r="A3832" i="14"/>
  <c r="B3832" i="14"/>
  <c r="C3832" i="14" s="1"/>
  <c r="E3832" i="14" s="1"/>
  <c r="A3833" i="14"/>
  <c r="B3833" i="14"/>
  <c r="C3833" i="14" s="1"/>
  <c r="E3833" i="14" s="1"/>
  <c r="A3834" i="14"/>
  <c r="B3834" i="14"/>
  <c r="C3834" i="14" s="1"/>
  <c r="E3834" i="14" s="1"/>
  <c r="A3835" i="14"/>
  <c r="B3835" i="14"/>
  <c r="C3835" i="14" s="1"/>
  <c r="E3835" i="14" s="1"/>
  <c r="A3836" i="14"/>
  <c r="B3836" i="14"/>
  <c r="C3836" i="14" s="1"/>
  <c r="E3836" i="14" s="1"/>
  <c r="A3837" i="14"/>
  <c r="B3837" i="14"/>
  <c r="C3837" i="14" s="1"/>
  <c r="E3837" i="14" s="1"/>
  <c r="A3838" i="14"/>
  <c r="B3838" i="14"/>
  <c r="C3838" i="14" s="1"/>
  <c r="E3838" i="14" s="1"/>
  <c r="A3839" i="14"/>
  <c r="B3839" i="14"/>
  <c r="C3839" i="14" s="1"/>
  <c r="E3839" i="14" s="1"/>
  <c r="A3840" i="14"/>
  <c r="B3840" i="14"/>
  <c r="C3840" i="14" s="1"/>
  <c r="E3840" i="14" s="1"/>
  <c r="A3841" i="14"/>
  <c r="B3841" i="14"/>
  <c r="C3841" i="14" s="1"/>
  <c r="E3841" i="14" s="1"/>
  <c r="A3842" i="14"/>
  <c r="B3842" i="14"/>
  <c r="C3842" i="14" s="1"/>
  <c r="E3842" i="14" s="1"/>
  <c r="A3843" i="14"/>
  <c r="B3843" i="14"/>
  <c r="C3843" i="14" s="1"/>
  <c r="E3843" i="14" s="1"/>
  <c r="A3844" i="14"/>
  <c r="B3844" i="14"/>
  <c r="C3844" i="14" s="1"/>
  <c r="E3844" i="14" s="1"/>
  <c r="A3845" i="14"/>
  <c r="B3845" i="14"/>
  <c r="C3845" i="14" s="1"/>
  <c r="E3845" i="14" s="1"/>
  <c r="A3846" i="14"/>
  <c r="B3846" i="14"/>
  <c r="C3846" i="14" s="1"/>
  <c r="E3846" i="14" s="1"/>
  <c r="A3847" i="14"/>
  <c r="B3847" i="14"/>
  <c r="C3847" i="14" s="1"/>
  <c r="E3847" i="14" s="1"/>
  <c r="A3848" i="14"/>
  <c r="B3848" i="14"/>
  <c r="C3848" i="14" s="1"/>
  <c r="E3848" i="14" s="1"/>
  <c r="A3849" i="14"/>
  <c r="B3849" i="14"/>
  <c r="C3849" i="14" s="1"/>
  <c r="E3849" i="14" s="1"/>
  <c r="A3850" i="14"/>
  <c r="B3850" i="14"/>
  <c r="C3850" i="14" s="1"/>
  <c r="E3850" i="14" s="1"/>
  <c r="A3851" i="14"/>
  <c r="B3851" i="14"/>
  <c r="C3851" i="14" s="1"/>
  <c r="E3851" i="14" s="1"/>
  <c r="A3852" i="14"/>
  <c r="B3852" i="14"/>
  <c r="C3852" i="14" s="1"/>
  <c r="E3852" i="14" s="1"/>
  <c r="A3853" i="14"/>
  <c r="B3853" i="14"/>
  <c r="C3853" i="14" s="1"/>
  <c r="E3853" i="14" s="1"/>
  <c r="A3854" i="14"/>
  <c r="B3854" i="14"/>
  <c r="C3854" i="14" s="1"/>
  <c r="E3854" i="14" s="1"/>
  <c r="A3855" i="14"/>
  <c r="B3855" i="14"/>
  <c r="C3855" i="14" s="1"/>
  <c r="E3855" i="14" s="1"/>
  <c r="A3856" i="14"/>
  <c r="B3856" i="14"/>
  <c r="C3856" i="14" s="1"/>
  <c r="E3856" i="14" s="1"/>
  <c r="A3857" i="14"/>
  <c r="B3857" i="14"/>
  <c r="C3857" i="14" s="1"/>
  <c r="E3857" i="14" s="1"/>
  <c r="A3858" i="14"/>
  <c r="B3858" i="14"/>
  <c r="C3858" i="14" s="1"/>
  <c r="E3858" i="14" s="1"/>
  <c r="A3859" i="14"/>
  <c r="B3859" i="14"/>
  <c r="C3859" i="14" s="1"/>
  <c r="E3859" i="14" s="1"/>
  <c r="A3860" i="14"/>
  <c r="B3860" i="14"/>
  <c r="C3860" i="14" s="1"/>
  <c r="E3860" i="14" s="1"/>
  <c r="A3861" i="14"/>
  <c r="B3861" i="14"/>
  <c r="C3861" i="14" s="1"/>
  <c r="E3861" i="14" s="1"/>
  <c r="A3862" i="14"/>
  <c r="B3862" i="14"/>
  <c r="C3862" i="14" s="1"/>
  <c r="E3862" i="14" s="1"/>
  <c r="A3863" i="14"/>
  <c r="B3863" i="14"/>
  <c r="C3863" i="14" s="1"/>
  <c r="E3863" i="14" s="1"/>
  <c r="A3864" i="14"/>
  <c r="B3864" i="14"/>
  <c r="C3864" i="14" s="1"/>
  <c r="E3864" i="14" s="1"/>
  <c r="A3865" i="14"/>
  <c r="B3865" i="14"/>
  <c r="C3865" i="14" s="1"/>
  <c r="E3865" i="14" s="1"/>
  <c r="A3866" i="14"/>
  <c r="B3866" i="14"/>
  <c r="C3866" i="14" s="1"/>
  <c r="E3866" i="14" s="1"/>
  <c r="A3867" i="14"/>
  <c r="B3867" i="14"/>
  <c r="C3867" i="14" s="1"/>
  <c r="E3867" i="14" s="1"/>
  <c r="A3868" i="14"/>
  <c r="B3868" i="14"/>
  <c r="C3868" i="14" s="1"/>
  <c r="E3868" i="14" s="1"/>
  <c r="A3869" i="14"/>
  <c r="B3869" i="14"/>
  <c r="C3869" i="14" s="1"/>
  <c r="E3869" i="14" s="1"/>
  <c r="A3870" i="14"/>
  <c r="B3870" i="14"/>
  <c r="C3870" i="14" s="1"/>
  <c r="E3870" i="14" s="1"/>
  <c r="A3871" i="14"/>
  <c r="B3871" i="14"/>
  <c r="C3871" i="14" s="1"/>
  <c r="E3871" i="14" s="1"/>
  <c r="A3872" i="14"/>
  <c r="B3872" i="14"/>
  <c r="C3872" i="14" s="1"/>
  <c r="E3872" i="14" s="1"/>
  <c r="A3873" i="14"/>
  <c r="B3873" i="14"/>
  <c r="C3873" i="14" s="1"/>
  <c r="E3873" i="14" s="1"/>
  <c r="A3874" i="14"/>
  <c r="B3874" i="14"/>
  <c r="C3874" i="14" s="1"/>
  <c r="E3874" i="14" s="1"/>
  <c r="A3875" i="14"/>
  <c r="B3875" i="14"/>
  <c r="C3875" i="14" s="1"/>
  <c r="E3875" i="14" s="1"/>
  <c r="A3876" i="14"/>
  <c r="B3876" i="14"/>
  <c r="C3876" i="14" s="1"/>
  <c r="E3876" i="14" s="1"/>
  <c r="A3877" i="14"/>
  <c r="B3877" i="14"/>
  <c r="C3877" i="14" s="1"/>
  <c r="E3877" i="14" s="1"/>
  <c r="A3878" i="14"/>
  <c r="B3878" i="14"/>
  <c r="C3878" i="14" s="1"/>
  <c r="E3878" i="14" s="1"/>
  <c r="A3879" i="14"/>
  <c r="B3879" i="14"/>
  <c r="C3879" i="14" s="1"/>
  <c r="E3879" i="14" s="1"/>
  <c r="A3880" i="14"/>
  <c r="B3880" i="14"/>
  <c r="C3880" i="14" s="1"/>
  <c r="E3880" i="14" s="1"/>
  <c r="A3881" i="14"/>
  <c r="B3881" i="14"/>
  <c r="C3881" i="14" s="1"/>
  <c r="E3881" i="14" s="1"/>
  <c r="A3882" i="14"/>
  <c r="B3882" i="14"/>
  <c r="C3882" i="14" s="1"/>
  <c r="E3882" i="14" s="1"/>
  <c r="A3883" i="14"/>
  <c r="B3883" i="14"/>
  <c r="C3883" i="14" s="1"/>
  <c r="E3883" i="14" s="1"/>
  <c r="A3884" i="14"/>
  <c r="B3884" i="14"/>
  <c r="C3884" i="14" s="1"/>
  <c r="E3884" i="14" s="1"/>
  <c r="A3885" i="14"/>
  <c r="B3885" i="14"/>
  <c r="C3885" i="14" s="1"/>
  <c r="E3885" i="14" s="1"/>
  <c r="A3886" i="14"/>
  <c r="B3886" i="14"/>
  <c r="C3886" i="14" s="1"/>
  <c r="E3886" i="14" s="1"/>
  <c r="A3887" i="14"/>
  <c r="B3887" i="14"/>
  <c r="C3887" i="14" s="1"/>
  <c r="E3887" i="14" s="1"/>
  <c r="A3888" i="14"/>
  <c r="B3888" i="14"/>
  <c r="C3888" i="14" s="1"/>
  <c r="E3888" i="14" s="1"/>
  <c r="A3889" i="14"/>
  <c r="B3889" i="14"/>
  <c r="C3889" i="14" s="1"/>
  <c r="E3889" i="14" s="1"/>
  <c r="A3890" i="14"/>
  <c r="B3890" i="14"/>
  <c r="C3890" i="14" s="1"/>
  <c r="E3890" i="14" s="1"/>
  <c r="A3891" i="14"/>
  <c r="B3891" i="14"/>
  <c r="C3891" i="14" s="1"/>
  <c r="E3891" i="14" s="1"/>
  <c r="A3892" i="14"/>
  <c r="B3892" i="14"/>
  <c r="C3892" i="14" s="1"/>
  <c r="E3892" i="14" s="1"/>
  <c r="A3893" i="14"/>
  <c r="B3893" i="14"/>
  <c r="C3893" i="14" s="1"/>
  <c r="E3893" i="14" s="1"/>
  <c r="A3894" i="14"/>
  <c r="B3894" i="14"/>
  <c r="C3894" i="14" s="1"/>
  <c r="E3894" i="14" s="1"/>
  <c r="A3895" i="14"/>
  <c r="B3895" i="14"/>
  <c r="C3895" i="14" s="1"/>
  <c r="E3895" i="14" s="1"/>
  <c r="A3896" i="14"/>
  <c r="B3896" i="14"/>
  <c r="C3896" i="14" s="1"/>
  <c r="E3896" i="14" s="1"/>
  <c r="A3897" i="14"/>
  <c r="B3897" i="14"/>
  <c r="C3897" i="14" s="1"/>
  <c r="E3897" i="14" s="1"/>
  <c r="A3898" i="14"/>
  <c r="B3898" i="14"/>
  <c r="C3898" i="14" s="1"/>
  <c r="E3898" i="14" s="1"/>
  <c r="A3899" i="14"/>
  <c r="B3899" i="14"/>
  <c r="C3899" i="14" s="1"/>
  <c r="E3899" i="14" s="1"/>
  <c r="A3900" i="14"/>
  <c r="B3900" i="14"/>
  <c r="C3900" i="14" s="1"/>
  <c r="E3900" i="14" s="1"/>
  <c r="A3901" i="14"/>
  <c r="B3901" i="14"/>
  <c r="C3901" i="14" s="1"/>
  <c r="E3901" i="14" s="1"/>
  <c r="A3902" i="14"/>
  <c r="B3902" i="14"/>
  <c r="C3902" i="14" s="1"/>
  <c r="E3902" i="14" s="1"/>
  <c r="A3903" i="14"/>
  <c r="B3903" i="14"/>
  <c r="C3903" i="14" s="1"/>
  <c r="E3903" i="14" s="1"/>
  <c r="A3904" i="14"/>
  <c r="B3904" i="14"/>
  <c r="C3904" i="14" s="1"/>
  <c r="E3904" i="14" s="1"/>
  <c r="A3905" i="14"/>
  <c r="B3905" i="14"/>
  <c r="C3905" i="14" s="1"/>
  <c r="E3905" i="14" s="1"/>
  <c r="A3906" i="14"/>
  <c r="B3906" i="14"/>
  <c r="C3906" i="14" s="1"/>
  <c r="E3906" i="14" s="1"/>
  <c r="A3907" i="14"/>
  <c r="B3907" i="14"/>
  <c r="C3907" i="14" s="1"/>
  <c r="E3907" i="14" s="1"/>
  <c r="A3908" i="14"/>
  <c r="B3908" i="14"/>
  <c r="C3908" i="14" s="1"/>
  <c r="E3908" i="14" s="1"/>
  <c r="A3909" i="14"/>
  <c r="B3909" i="14"/>
  <c r="C3909" i="14" s="1"/>
  <c r="E3909" i="14" s="1"/>
  <c r="A3910" i="14"/>
  <c r="B3910" i="14"/>
  <c r="C3910" i="14" s="1"/>
  <c r="E3910" i="14" s="1"/>
  <c r="A3911" i="14"/>
  <c r="B3911" i="14"/>
  <c r="C3911" i="14" s="1"/>
  <c r="E3911" i="14" s="1"/>
  <c r="A3912" i="14"/>
  <c r="B3912" i="14"/>
  <c r="C3912" i="14" s="1"/>
  <c r="E3912" i="14" s="1"/>
  <c r="A3913" i="14"/>
  <c r="B3913" i="14"/>
  <c r="C3913" i="14" s="1"/>
  <c r="E3913" i="14" s="1"/>
  <c r="A3914" i="14"/>
  <c r="B3914" i="14"/>
  <c r="C3914" i="14" s="1"/>
  <c r="E3914" i="14" s="1"/>
  <c r="A3915" i="14"/>
  <c r="B3915" i="14"/>
  <c r="C3915" i="14" s="1"/>
  <c r="E3915" i="14" s="1"/>
  <c r="A3916" i="14"/>
  <c r="B3916" i="14"/>
  <c r="C3916" i="14" s="1"/>
  <c r="E3916" i="14" s="1"/>
  <c r="A3917" i="14"/>
  <c r="B3917" i="14"/>
  <c r="C3917" i="14" s="1"/>
  <c r="E3917" i="14" s="1"/>
  <c r="A3918" i="14"/>
  <c r="B3918" i="14"/>
  <c r="C3918" i="14" s="1"/>
  <c r="E3918" i="14" s="1"/>
  <c r="A3919" i="14"/>
  <c r="B3919" i="14"/>
  <c r="C3919" i="14" s="1"/>
  <c r="E3919" i="14" s="1"/>
  <c r="A3920" i="14"/>
  <c r="B3920" i="14"/>
  <c r="C3920" i="14" s="1"/>
  <c r="E3920" i="14" s="1"/>
  <c r="A3921" i="14"/>
  <c r="B3921" i="14"/>
  <c r="C3921" i="14" s="1"/>
  <c r="E3921" i="14" s="1"/>
  <c r="A3922" i="14"/>
  <c r="B3922" i="14"/>
  <c r="C3922" i="14" s="1"/>
  <c r="E3922" i="14" s="1"/>
  <c r="A3923" i="14"/>
  <c r="B3923" i="14"/>
  <c r="C3923" i="14" s="1"/>
  <c r="E3923" i="14" s="1"/>
  <c r="A3924" i="14"/>
  <c r="B3924" i="14"/>
  <c r="C3924" i="14" s="1"/>
  <c r="E3924" i="14" s="1"/>
  <c r="A3925" i="14"/>
  <c r="B3925" i="14"/>
  <c r="C3925" i="14" s="1"/>
  <c r="E3925" i="14" s="1"/>
  <c r="A3926" i="14"/>
  <c r="B3926" i="14"/>
  <c r="C3926" i="14" s="1"/>
  <c r="E3926" i="14" s="1"/>
  <c r="A3927" i="14"/>
  <c r="B3927" i="14"/>
  <c r="C3927" i="14" s="1"/>
  <c r="E3927" i="14" s="1"/>
  <c r="A3928" i="14"/>
  <c r="B3928" i="14"/>
  <c r="C3928" i="14" s="1"/>
  <c r="E3928" i="14" s="1"/>
  <c r="A3929" i="14"/>
  <c r="B3929" i="14"/>
  <c r="C3929" i="14" s="1"/>
  <c r="E3929" i="14" s="1"/>
  <c r="A3930" i="14"/>
  <c r="B3930" i="14"/>
  <c r="C3930" i="14" s="1"/>
  <c r="E3930" i="14" s="1"/>
  <c r="A3931" i="14"/>
  <c r="B3931" i="14"/>
  <c r="C3931" i="14" s="1"/>
  <c r="E3931" i="14" s="1"/>
  <c r="A3932" i="14"/>
  <c r="B3932" i="14"/>
  <c r="C3932" i="14" s="1"/>
  <c r="E3932" i="14" s="1"/>
  <c r="A3933" i="14"/>
  <c r="B3933" i="14"/>
  <c r="C3933" i="14" s="1"/>
  <c r="E3933" i="14" s="1"/>
  <c r="A3934" i="14"/>
  <c r="B3934" i="14"/>
  <c r="C3934" i="14" s="1"/>
  <c r="E3934" i="14" s="1"/>
  <c r="A3935" i="14"/>
  <c r="B3935" i="14"/>
  <c r="C3935" i="14" s="1"/>
  <c r="E3935" i="14" s="1"/>
  <c r="A3936" i="14"/>
  <c r="B3936" i="14"/>
  <c r="C3936" i="14" s="1"/>
  <c r="E3936" i="14" s="1"/>
  <c r="A3937" i="14"/>
  <c r="B3937" i="14"/>
  <c r="C3937" i="14" s="1"/>
  <c r="E3937" i="14" s="1"/>
  <c r="A3938" i="14"/>
  <c r="B3938" i="14"/>
  <c r="C3938" i="14" s="1"/>
  <c r="E3938" i="14" s="1"/>
  <c r="A3939" i="14"/>
  <c r="B3939" i="14"/>
  <c r="C3939" i="14" s="1"/>
  <c r="E3939" i="14" s="1"/>
  <c r="A3940" i="14"/>
  <c r="B3940" i="14"/>
  <c r="C3940" i="14" s="1"/>
  <c r="E3940" i="14" s="1"/>
  <c r="A3941" i="14"/>
  <c r="B3941" i="14"/>
  <c r="C3941" i="14" s="1"/>
  <c r="E3941" i="14" s="1"/>
  <c r="A3942" i="14"/>
  <c r="B3942" i="14"/>
  <c r="C3942" i="14" s="1"/>
  <c r="E3942" i="14" s="1"/>
  <c r="A3943" i="14"/>
  <c r="B3943" i="14"/>
  <c r="C3943" i="14" s="1"/>
  <c r="E3943" i="14" s="1"/>
  <c r="A3944" i="14"/>
  <c r="B3944" i="14"/>
  <c r="C3944" i="14" s="1"/>
  <c r="E3944" i="14" s="1"/>
  <c r="A3945" i="14"/>
  <c r="B3945" i="14"/>
  <c r="C3945" i="14" s="1"/>
  <c r="E3945" i="14" s="1"/>
  <c r="A3946" i="14"/>
  <c r="B3946" i="14"/>
  <c r="C3946" i="14" s="1"/>
  <c r="E3946" i="14" s="1"/>
  <c r="A3947" i="14"/>
  <c r="B3947" i="14"/>
  <c r="C3947" i="14" s="1"/>
  <c r="E3947" i="14" s="1"/>
  <c r="A3948" i="14"/>
  <c r="B3948" i="14"/>
  <c r="C3948" i="14" s="1"/>
  <c r="E3948" i="14" s="1"/>
  <c r="A3949" i="14"/>
  <c r="B3949" i="14"/>
  <c r="C3949" i="14" s="1"/>
  <c r="E3949" i="14" s="1"/>
  <c r="A3950" i="14"/>
  <c r="B3950" i="14"/>
  <c r="C3950" i="14" s="1"/>
  <c r="E3950" i="14" s="1"/>
  <c r="A3951" i="14"/>
  <c r="B3951" i="14"/>
  <c r="C3951" i="14" s="1"/>
  <c r="E3951" i="14" s="1"/>
  <c r="A3952" i="14"/>
  <c r="B3952" i="14"/>
  <c r="C3952" i="14" s="1"/>
  <c r="E3952" i="14" s="1"/>
  <c r="A3953" i="14"/>
  <c r="B3953" i="14"/>
  <c r="C3953" i="14" s="1"/>
  <c r="E3953" i="14" s="1"/>
  <c r="A3954" i="14"/>
  <c r="B3954" i="14"/>
  <c r="C3954" i="14" s="1"/>
  <c r="E3954" i="14" s="1"/>
  <c r="A3955" i="14"/>
  <c r="B3955" i="14"/>
  <c r="C3955" i="14" s="1"/>
  <c r="E3955" i="14" s="1"/>
  <c r="A3956" i="14"/>
  <c r="B3956" i="14"/>
  <c r="C3956" i="14" s="1"/>
  <c r="E3956" i="14" s="1"/>
  <c r="A3957" i="14"/>
  <c r="B3957" i="14"/>
  <c r="C3957" i="14" s="1"/>
  <c r="E3957" i="14" s="1"/>
  <c r="A3958" i="14"/>
  <c r="B3958" i="14"/>
  <c r="C3958" i="14" s="1"/>
  <c r="E3958" i="14" s="1"/>
  <c r="A3959" i="14"/>
  <c r="B3959" i="14"/>
  <c r="C3959" i="14" s="1"/>
  <c r="E3959" i="14" s="1"/>
  <c r="A3960" i="14"/>
  <c r="B3960" i="14"/>
  <c r="C3960" i="14" s="1"/>
  <c r="E3960" i="14" s="1"/>
  <c r="A3961" i="14"/>
  <c r="B3961" i="14"/>
  <c r="C3961" i="14" s="1"/>
  <c r="E3961" i="14" s="1"/>
  <c r="A3962" i="14"/>
  <c r="B3962" i="14"/>
  <c r="C3962" i="14" s="1"/>
  <c r="E3962" i="14" s="1"/>
  <c r="A3963" i="14"/>
  <c r="B3963" i="14"/>
  <c r="C3963" i="14" s="1"/>
  <c r="E3963" i="14" s="1"/>
  <c r="A3964" i="14"/>
  <c r="B3964" i="14"/>
  <c r="C3964" i="14" s="1"/>
  <c r="E3964" i="14" s="1"/>
  <c r="A3965" i="14"/>
  <c r="B3965" i="14"/>
  <c r="C3965" i="14" s="1"/>
  <c r="E3965" i="14" s="1"/>
  <c r="A3966" i="14"/>
  <c r="B3966" i="14"/>
  <c r="C3966" i="14" s="1"/>
  <c r="E3966" i="14" s="1"/>
  <c r="A3967" i="14"/>
  <c r="B3967" i="14"/>
  <c r="C3967" i="14" s="1"/>
  <c r="E3967" i="14" s="1"/>
  <c r="A3968" i="14"/>
  <c r="B3968" i="14"/>
  <c r="C3968" i="14" s="1"/>
  <c r="E3968" i="14" s="1"/>
  <c r="A3969" i="14"/>
  <c r="B3969" i="14"/>
  <c r="C3969" i="14" s="1"/>
  <c r="E3969" i="14" s="1"/>
  <c r="A3970" i="14"/>
  <c r="B3970" i="14"/>
  <c r="C3970" i="14" s="1"/>
  <c r="E3970" i="14" s="1"/>
  <c r="A3971" i="14"/>
  <c r="B3971" i="14"/>
  <c r="C3971" i="14" s="1"/>
  <c r="E3971" i="14" s="1"/>
  <c r="A3972" i="14"/>
  <c r="B3972" i="14"/>
  <c r="C3972" i="14" s="1"/>
  <c r="E3972" i="14" s="1"/>
  <c r="A3973" i="14"/>
  <c r="B3973" i="14"/>
  <c r="C3973" i="14" s="1"/>
  <c r="E3973" i="14" s="1"/>
  <c r="A3974" i="14"/>
  <c r="B3974" i="14"/>
  <c r="C3974" i="14" s="1"/>
  <c r="E3974" i="14" s="1"/>
  <c r="A3975" i="14"/>
  <c r="B3975" i="14"/>
  <c r="C3975" i="14" s="1"/>
  <c r="E3975" i="14" s="1"/>
  <c r="A3976" i="14"/>
  <c r="B3976" i="14"/>
  <c r="C3976" i="14" s="1"/>
  <c r="E3976" i="14" s="1"/>
  <c r="A3977" i="14"/>
  <c r="B3977" i="14"/>
  <c r="C3977" i="14" s="1"/>
  <c r="E3977" i="14" s="1"/>
  <c r="A3978" i="14"/>
  <c r="B3978" i="14"/>
  <c r="C3978" i="14" s="1"/>
  <c r="E3978" i="14" s="1"/>
  <c r="A3979" i="14"/>
  <c r="B3979" i="14"/>
  <c r="C3979" i="14" s="1"/>
  <c r="E3979" i="14" s="1"/>
  <c r="A3980" i="14"/>
  <c r="B3980" i="14"/>
  <c r="C3980" i="14" s="1"/>
  <c r="E3980" i="14" s="1"/>
  <c r="A3981" i="14"/>
  <c r="B3981" i="14"/>
  <c r="C3981" i="14" s="1"/>
  <c r="E3981" i="14" s="1"/>
  <c r="A3982" i="14"/>
  <c r="B3982" i="14"/>
  <c r="C3982" i="14" s="1"/>
  <c r="E3982" i="14" s="1"/>
  <c r="A3983" i="14"/>
  <c r="B3983" i="14"/>
  <c r="C3983" i="14" s="1"/>
  <c r="E3983" i="14" s="1"/>
  <c r="A3984" i="14"/>
  <c r="B3984" i="14"/>
  <c r="C3984" i="14" s="1"/>
  <c r="E3984" i="14" s="1"/>
  <c r="A3985" i="14"/>
  <c r="B3985" i="14"/>
  <c r="C3985" i="14" s="1"/>
  <c r="E3985" i="14" s="1"/>
  <c r="A3986" i="14"/>
  <c r="B3986" i="14"/>
  <c r="C3986" i="14" s="1"/>
  <c r="E3986" i="14" s="1"/>
  <c r="A3987" i="14"/>
  <c r="B3987" i="14"/>
  <c r="C3987" i="14" s="1"/>
  <c r="E3987" i="14" s="1"/>
  <c r="A3988" i="14"/>
  <c r="B3988" i="14"/>
  <c r="C3988" i="14" s="1"/>
  <c r="E3988" i="14" s="1"/>
  <c r="A3989" i="14"/>
  <c r="B3989" i="14"/>
  <c r="C3989" i="14" s="1"/>
  <c r="E3989" i="14" s="1"/>
  <c r="A3990" i="14"/>
  <c r="B3990" i="14"/>
  <c r="C3990" i="14" s="1"/>
  <c r="E3990" i="14" s="1"/>
  <c r="A3991" i="14"/>
  <c r="B3991" i="14"/>
  <c r="C3991" i="14" s="1"/>
  <c r="E3991" i="14" s="1"/>
  <c r="A3992" i="14"/>
  <c r="B3992" i="14"/>
  <c r="C3992" i="14" s="1"/>
  <c r="E3992" i="14" s="1"/>
  <c r="A3993" i="14"/>
  <c r="B3993" i="14"/>
  <c r="C3993" i="14" s="1"/>
  <c r="E3993" i="14" s="1"/>
  <c r="A3994" i="14"/>
  <c r="B3994" i="14"/>
  <c r="C3994" i="14" s="1"/>
  <c r="E3994" i="14" s="1"/>
  <c r="A3995" i="14"/>
  <c r="B3995" i="14"/>
  <c r="C3995" i="14" s="1"/>
  <c r="E3995" i="14" s="1"/>
  <c r="A3996" i="14"/>
  <c r="B3996" i="14"/>
  <c r="C3996" i="14" s="1"/>
  <c r="E3996" i="14" s="1"/>
  <c r="A3997" i="14"/>
  <c r="B3997" i="14"/>
  <c r="C3997" i="14" s="1"/>
  <c r="E3997" i="14" s="1"/>
  <c r="A3998" i="14"/>
  <c r="B3998" i="14"/>
  <c r="C3998" i="14" s="1"/>
  <c r="E3998" i="14" s="1"/>
  <c r="A3999" i="14"/>
  <c r="B3999" i="14"/>
  <c r="C3999" i="14" s="1"/>
  <c r="E3999" i="14" s="1"/>
  <c r="A4000" i="14"/>
  <c r="B4000" i="14"/>
  <c r="C4000" i="14" s="1"/>
  <c r="E4000" i="14" s="1"/>
  <c r="A4001" i="14"/>
  <c r="B4001" i="14"/>
  <c r="C4001" i="14" s="1"/>
  <c r="E4001" i="14" s="1"/>
  <c r="A4002" i="14"/>
  <c r="B4002" i="14"/>
  <c r="C4002" i="14" s="1"/>
  <c r="E4002" i="14" s="1"/>
  <c r="A4003" i="14"/>
  <c r="B4003" i="14"/>
  <c r="C4003" i="14" s="1"/>
  <c r="E4003" i="14" s="1"/>
  <c r="A4004" i="14"/>
  <c r="B4004" i="14"/>
  <c r="C4004" i="14" s="1"/>
  <c r="E4004" i="14" s="1"/>
  <c r="A4005" i="14"/>
  <c r="B4005" i="14"/>
  <c r="C4005" i="14" s="1"/>
  <c r="E4005" i="14" s="1"/>
  <c r="A4006" i="14"/>
  <c r="B4006" i="14"/>
  <c r="C4006" i="14" s="1"/>
  <c r="E4006" i="14" s="1"/>
  <c r="A4007" i="14"/>
  <c r="B4007" i="14"/>
  <c r="C4007" i="14" s="1"/>
  <c r="E4007" i="14" s="1"/>
  <c r="A4008" i="14"/>
  <c r="B4008" i="14"/>
  <c r="C4008" i="14" s="1"/>
  <c r="E4008" i="14" s="1"/>
  <c r="A4009" i="14"/>
  <c r="B4009" i="14"/>
  <c r="C4009" i="14" s="1"/>
  <c r="E4009" i="14" s="1"/>
  <c r="A4010" i="14"/>
  <c r="B4010" i="14"/>
  <c r="C4010" i="14" s="1"/>
  <c r="E4010" i="14" s="1"/>
  <c r="A4011" i="14"/>
  <c r="B4011" i="14"/>
  <c r="C4011" i="14" s="1"/>
  <c r="E4011" i="14" s="1"/>
  <c r="A4012" i="14"/>
  <c r="B4012" i="14"/>
  <c r="C4012" i="14" s="1"/>
  <c r="E4012" i="14" s="1"/>
  <c r="A4013" i="14"/>
  <c r="B4013" i="14"/>
  <c r="C4013" i="14" s="1"/>
  <c r="E4013" i="14" s="1"/>
  <c r="A4014" i="14"/>
  <c r="B4014" i="14"/>
  <c r="C4014" i="14" s="1"/>
  <c r="E4014" i="14" s="1"/>
  <c r="A4015" i="14"/>
  <c r="B4015" i="14"/>
  <c r="C4015" i="14" s="1"/>
  <c r="E4015" i="14" s="1"/>
  <c r="A4016" i="14"/>
  <c r="B4016" i="14"/>
  <c r="C4016" i="14" s="1"/>
  <c r="E4016" i="14" s="1"/>
  <c r="A4017" i="14"/>
  <c r="B4017" i="14"/>
  <c r="C4017" i="14" s="1"/>
  <c r="E4017" i="14" s="1"/>
  <c r="A4018" i="14"/>
  <c r="B4018" i="14"/>
  <c r="C4018" i="14" s="1"/>
  <c r="E4018" i="14" s="1"/>
  <c r="A4019" i="14"/>
  <c r="B4019" i="14"/>
  <c r="C4019" i="14" s="1"/>
  <c r="E4019" i="14" s="1"/>
  <c r="A4020" i="14"/>
  <c r="B4020" i="14"/>
  <c r="C4020" i="14" s="1"/>
  <c r="E4020" i="14" s="1"/>
  <c r="A4021" i="14"/>
  <c r="B4021" i="14"/>
  <c r="C4021" i="14" s="1"/>
  <c r="E4021" i="14" s="1"/>
  <c r="A4022" i="14"/>
  <c r="B4022" i="14"/>
  <c r="C4022" i="14" s="1"/>
  <c r="E4022" i="14" s="1"/>
  <c r="A4023" i="14"/>
  <c r="B4023" i="14"/>
  <c r="C4023" i="14" s="1"/>
  <c r="E4023" i="14" s="1"/>
  <c r="A4024" i="14"/>
  <c r="B4024" i="14"/>
  <c r="C4024" i="14" s="1"/>
  <c r="E4024" i="14" s="1"/>
  <c r="A4025" i="14"/>
  <c r="B4025" i="14"/>
  <c r="C4025" i="14" s="1"/>
  <c r="E4025" i="14" s="1"/>
  <c r="A4026" i="14"/>
  <c r="B4026" i="14"/>
  <c r="C4026" i="14" s="1"/>
  <c r="E4026" i="14" s="1"/>
  <c r="A4027" i="14"/>
  <c r="B4027" i="14"/>
  <c r="C4027" i="14" s="1"/>
  <c r="E4027" i="14" s="1"/>
  <c r="A4028" i="14"/>
  <c r="B4028" i="14"/>
  <c r="C4028" i="14" s="1"/>
  <c r="E4028" i="14" s="1"/>
  <c r="A4029" i="14"/>
  <c r="B4029" i="14"/>
  <c r="C4029" i="14" s="1"/>
  <c r="E4029" i="14" s="1"/>
  <c r="A4030" i="14"/>
  <c r="B4030" i="14"/>
  <c r="C4030" i="14" s="1"/>
  <c r="E4030" i="14" s="1"/>
  <c r="A4031" i="14"/>
  <c r="B4031" i="14"/>
  <c r="C4031" i="14" s="1"/>
  <c r="E4031" i="14" s="1"/>
  <c r="A4032" i="14"/>
  <c r="B4032" i="14"/>
  <c r="C4032" i="14" s="1"/>
  <c r="E4032" i="14" s="1"/>
  <c r="A4033" i="14"/>
  <c r="B4033" i="14"/>
  <c r="C4033" i="14" s="1"/>
  <c r="E4033" i="14" s="1"/>
  <c r="A4034" i="14"/>
  <c r="B4034" i="14"/>
  <c r="C4034" i="14" s="1"/>
  <c r="E4034" i="14" s="1"/>
  <c r="A4035" i="14"/>
  <c r="B4035" i="14"/>
  <c r="C4035" i="14" s="1"/>
  <c r="E4035" i="14" s="1"/>
  <c r="A4036" i="14"/>
  <c r="B4036" i="14"/>
  <c r="C4036" i="14" s="1"/>
  <c r="E4036" i="14" s="1"/>
  <c r="A4037" i="14"/>
  <c r="B4037" i="14"/>
  <c r="C4037" i="14" s="1"/>
  <c r="E4037" i="14" s="1"/>
  <c r="A4038" i="14"/>
  <c r="B4038" i="14"/>
  <c r="C4038" i="14" s="1"/>
  <c r="E4038" i="14" s="1"/>
  <c r="A4039" i="14"/>
  <c r="B4039" i="14"/>
  <c r="C4039" i="14" s="1"/>
  <c r="E4039" i="14" s="1"/>
  <c r="A4040" i="14"/>
  <c r="B4040" i="14"/>
  <c r="C4040" i="14" s="1"/>
  <c r="E4040" i="14" s="1"/>
  <c r="A4041" i="14"/>
  <c r="B4041" i="14"/>
  <c r="C4041" i="14" s="1"/>
  <c r="E4041" i="14" s="1"/>
  <c r="A4042" i="14"/>
  <c r="B4042" i="14"/>
  <c r="C4042" i="14" s="1"/>
  <c r="E4042" i="14" s="1"/>
  <c r="A4043" i="14"/>
  <c r="B4043" i="14"/>
  <c r="C4043" i="14" s="1"/>
  <c r="E4043" i="14" s="1"/>
  <c r="A4044" i="14"/>
  <c r="B4044" i="14"/>
  <c r="C4044" i="14" s="1"/>
  <c r="E4044" i="14" s="1"/>
  <c r="A4045" i="14"/>
  <c r="B4045" i="14"/>
  <c r="C4045" i="14" s="1"/>
  <c r="E4045" i="14" s="1"/>
  <c r="A4046" i="14"/>
  <c r="B4046" i="14"/>
  <c r="C4046" i="14" s="1"/>
  <c r="E4046" i="14" s="1"/>
  <c r="A4047" i="14"/>
  <c r="B4047" i="14"/>
  <c r="C4047" i="14" s="1"/>
  <c r="E4047" i="14" s="1"/>
  <c r="A4048" i="14"/>
  <c r="B4048" i="14"/>
  <c r="C4048" i="14" s="1"/>
  <c r="E4048" i="14" s="1"/>
  <c r="A4049" i="14"/>
  <c r="B4049" i="14"/>
  <c r="C4049" i="14" s="1"/>
  <c r="E4049" i="14" s="1"/>
  <c r="A4050" i="14"/>
  <c r="B4050" i="14"/>
  <c r="C4050" i="14" s="1"/>
  <c r="E4050" i="14" s="1"/>
  <c r="A4051" i="14"/>
  <c r="B4051" i="14"/>
  <c r="C4051" i="14" s="1"/>
  <c r="E4051" i="14" s="1"/>
  <c r="A4052" i="14"/>
  <c r="B4052" i="14"/>
  <c r="C4052" i="14" s="1"/>
  <c r="E4052" i="14" s="1"/>
  <c r="A4053" i="14"/>
  <c r="B4053" i="14"/>
  <c r="C4053" i="14" s="1"/>
  <c r="E4053" i="14" s="1"/>
  <c r="A4054" i="14"/>
  <c r="B4054" i="14"/>
  <c r="C4054" i="14" s="1"/>
  <c r="E4054" i="14" s="1"/>
  <c r="A4055" i="14"/>
  <c r="B4055" i="14"/>
  <c r="C4055" i="14" s="1"/>
  <c r="E4055" i="14" s="1"/>
  <c r="A4056" i="14"/>
  <c r="B4056" i="14"/>
  <c r="C4056" i="14" s="1"/>
  <c r="E4056" i="14" s="1"/>
  <c r="A4057" i="14"/>
  <c r="B4057" i="14"/>
  <c r="C4057" i="14" s="1"/>
  <c r="E4057" i="14" s="1"/>
  <c r="A4058" i="14"/>
  <c r="B4058" i="14"/>
  <c r="C4058" i="14" s="1"/>
  <c r="E4058" i="14" s="1"/>
  <c r="A4059" i="14"/>
  <c r="B4059" i="14"/>
  <c r="C4059" i="14" s="1"/>
  <c r="E4059" i="14" s="1"/>
  <c r="A4060" i="14"/>
  <c r="B4060" i="14"/>
  <c r="C4060" i="14" s="1"/>
  <c r="E4060" i="14" s="1"/>
  <c r="A4061" i="14"/>
  <c r="B4061" i="14"/>
  <c r="C4061" i="14" s="1"/>
  <c r="E4061" i="14" s="1"/>
  <c r="A4062" i="14"/>
  <c r="B4062" i="14"/>
  <c r="C4062" i="14" s="1"/>
  <c r="E4062" i="14" s="1"/>
  <c r="A4063" i="14"/>
  <c r="B4063" i="14"/>
  <c r="C4063" i="14" s="1"/>
  <c r="E4063" i="14" s="1"/>
  <c r="A4064" i="14"/>
  <c r="B4064" i="14"/>
  <c r="C4064" i="14" s="1"/>
  <c r="E4064" i="14" s="1"/>
  <c r="A4065" i="14"/>
  <c r="B4065" i="14"/>
  <c r="C4065" i="14" s="1"/>
  <c r="E4065" i="14" s="1"/>
  <c r="A4066" i="14"/>
  <c r="B4066" i="14"/>
  <c r="C4066" i="14" s="1"/>
  <c r="E4066" i="14" s="1"/>
  <c r="A4067" i="14"/>
  <c r="B4067" i="14"/>
  <c r="C4067" i="14" s="1"/>
  <c r="E4067" i="14" s="1"/>
  <c r="A4068" i="14"/>
  <c r="B4068" i="14"/>
  <c r="C4068" i="14" s="1"/>
  <c r="E4068" i="14" s="1"/>
  <c r="A4069" i="14"/>
  <c r="B4069" i="14"/>
  <c r="C4069" i="14" s="1"/>
  <c r="E4069" i="14" s="1"/>
  <c r="A4070" i="14"/>
  <c r="B4070" i="14"/>
  <c r="C4070" i="14" s="1"/>
  <c r="E4070" i="14" s="1"/>
  <c r="A4071" i="14"/>
  <c r="B4071" i="14"/>
  <c r="C4071" i="14" s="1"/>
  <c r="E4071" i="14" s="1"/>
  <c r="A4072" i="14"/>
  <c r="B4072" i="14"/>
  <c r="C4072" i="14" s="1"/>
  <c r="E4072" i="14" s="1"/>
  <c r="A4073" i="14"/>
  <c r="B4073" i="14"/>
  <c r="C4073" i="14" s="1"/>
  <c r="E4073" i="14" s="1"/>
  <c r="A4074" i="14"/>
  <c r="B4074" i="14"/>
  <c r="C4074" i="14" s="1"/>
  <c r="E4074" i="14" s="1"/>
  <c r="A4075" i="14"/>
  <c r="B4075" i="14"/>
  <c r="C4075" i="14" s="1"/>
  <c r="E4075" i="14" s="1"/>
  <c r="A4076" i="14"/>
  <c r="B4076" i="14"/>
  <c r="C4076" i="14" s="1"/>
  <c r="E4076" i="14" s="1"/>
  <c r="A4077" i="14"/>
  <c r="B4077" i="14"/>
  <c r="C4077" i="14" s="1"/>
  <c r="E4077" i="14" s="1"/>
  <c r="A4078" i="14"/>
  <c r="B4078" i="14"/>
  <c r="C4078" i="14" s="1"/>
  <c r="E4078" i="14" s="1"/>
  <c r="A4079" i="14"/>
  <c r="B4079" i="14"/>
  <c r="C4079" i="14" s="1"/>
  <c r="E4079" i="14" s="1"/>
  <c r="A4080" i="14"/>
  <c r="B4080" i="14"/>
  <c r="C4080" i="14" s="1"/>
  <c r="E4080" i="14" s="1"/>
  <c r="A4081" i="14"/>
  <c r="B4081" i="14"/>
  <c r="C4081" i="14" s="1"/>
  <c r="E4081" i="14" s="1"/>
  <c r="A4082" i="14"/>
  <c r="B4082" i="14"/>
  <c r="C4082" i="14" s="1"/>
  <c r="E4082" i="14" s="1"/>
  <c r="A4083" i="14"/>
  <c r="B4083" i="14"/>
  <c r="C4083" i="14" s="1"/>
  <c r="E4083" i="14" s="1"/>
  <c r="A4084" i="14"/>
  <c r="B4084" i="14"/>
  <c r="C4084" i="14" s="1"/>
  <c r="E4084" i="14" s="1"/>
  <c r="A4085" i="14"/>
  <c r="B4085" i="14"/>
  <c r="C4085" i="14" s="1"/>
  <c r="E4085" i="14" s="1"/>
  <c r="A4086" i="14"/>
  <c r="B4086" i="14"/>
  <c r="C4086" i="14" s="1"/>
  <c r="E4086" i="14" s="1"/>
  <c r="A4087" i="14"/>
  <c r="B4087" i="14"/>
  <c r="C4087" i="14" s="1"/>
  <c r="E4087" i="14" s="1"/>
  <c r="A4088" i="14"/>
  <c r="B4088" i="14"/>
  <c r="C4088" i="14" s="1"/>
  <c r="E4088" i="14" s="1"/>
  <c r="A4089" i="14"/>
  <c r="B4089" i="14"/>
  <c r="C4089" i="14" s="1"/>
  <c r="E4089" i="14" s="1"/>
  <c r="A4090" i="14"/>
  <c r="B4090" i="14"/>
  <c r="C4090" i="14" s="1"/>
  <c r="E4090" i="14" s="1"/>
  <c r="A4091" i="14"/>
  <c r="B4091" i="14"/>
  <c r="C4091" i="14" s="1"/>
  <c r="E4091" i="14" s="1"/>
  <c r="A4092" i="14"/>
  <c r="B4092" i="14"/>
  <c r="C4092" i="14" s="1"/>
  <c r="E4092" i="14" s="1"/>
  <c r="A4093" i="14"/>
  <c r="B4093" i="14"/>
  <c r="C4093" i="14" s="1"/>
  <c r="E4093" i="14" s="1"/>
  <c r="A4094" i="14"/>
  <c r="B4094" i="14"/>
  <c r="C4094" i="14" s="1"/>
  <c r="E4094" i="14" s="1"/>
  <c r="A4095" i="14"/>
  <c r="B4095" i="14"/>
  <c r="C4095" i="14" s="1"/>
  <c r="E4095" i="14" s="1"/>
  <c r="A4096" i="14"/>
  <c r="B4096" i="14"/>
  <c r="C4096" i="14" s="1"/>
  <c r="E4096" i="14" s="1"/>
  <c r="A4097" i="14"/>
  <c r="B4097" i="14"/>
  <c r="C4097" i="14" s="1"/>
  <c r="E4097" i="14" s="1"/>
  <c r="A4098" i="14"/>
  <c r="B4098" i="14"/>
  <c r="C4098" i="14" s="1"/>
  <c r="E4098" i="14" s="1"/>
  <c r="A4099" i="14"/>
  <c r="B4099" i="14"/>
  <c r="C4099" i="14" s="1"/>
  <c r="E4099" i="14" s="1"/>
  <c r="A4100" i="14"/>
  <c r="B4100" i="14"/>
  <c r="C4100" i="14" s="1"/>
  <c r="E4100" i="14" s="1"/>
  <c r="A4101" i="14"/>
  <c r="B4101" i="14"/>
  <c r="C4101" i="14" s="1"/>
  <c r="E4101" i="14" s="1"/>
  <c r="A4102" i="14"/>
  <c r="B4102" i="14"/>
  <c r="C4102" i="14" s="1"/>
  <c r="E4102" i="14" s="1"/>
  <c r="A4103" i="14"/>
  <c r="B4103" i="14"/>
  <c r="C4103" i="14" s="1"/>
  <c r="E4103" i="14" s="1"/>
  <c r="A4104" i="14"/>
  <c r="B4104" i="14"/>
  <c r="C4104" i="14" s="1"/>
  <c r="E4104" i="14" s="1"/>
  <c r="A4105" i="14"/>
  <c r="B4105" i="14"/>
  <c r="C4105" i="14" s="1"/>
  <c r="E4105" i="14" s="1"/>
  <c r="A4106" i="14"/>
  <c r="B4106" i="14"/>
  <c r="C4106" i="14" s="1"/>
  <c r="E4106" i="14" s="1"/>
  <c r="A4107" i="14"/>
  <c r="B4107" i="14"/>
  <c r="C4107" i="14" s="1"/>
  <c r="E4107" i="14" s="1"/>
  <c r="A4108" i="14"/>
  <c r="B4108" i="14"/>
  <c r="C4108" i="14" s="1"/>
  <c r="E4108" i="14" s="1"/>
  <c r="A4109" i="14"/>
  <c r="B4109" i="14"/>
  <c r="C4109" i="14" s="1"/>
  <c r="E4109" i="14" s="1"/>
  <c r="A4110" i="14"/>
  <c r="B4110" i="14"/>
  <c r="C4110" i="14" s="1"/>
  <c r="E4110" i="14" s="1"/>
  <c r="A4111" i="14"/>
  <c r="B4111" i="14"/>
  <c r="C4111" i="14" s="1"/>
  <c r="E4111" i="14" s="1"/>
  <c r="A4112" i="14"/>
  <c r="B4112" i="14"/>
  <c r="C4112" i="14" s="1"/>
  <c r="E4112" i="14" s="1"/>
  <c r="A4113" i="14"/>
  <c r="B4113" i="14"/>
  <c r="C4113" i="14" s="1"/>
  <c r="E4113" i="14" s="1"/>
  <c r="A4114" i="14"/>
  <c r="B4114" i="14"/>
  <c r="C4114" i="14" s="1"/>
  <c r="E4114" i="14" s="1"/>
  <c r="A4115" i="14"/>
  <c r="B4115" i="14"/>
  <c r="C4115" i="14" s="1"/>
  <c r="E4115" i="14" s="1"/>
  <c r="A4116" i="14"/>
  <c r="B4116" i="14"/>
  <c r="C4116" i="14" s="1"/>
  <c r="E4116" i="14" s="1"/>
  <c r="A4117" i="14"/>
  <c r="B4117" i="14"/>
  <c r="C4117" i="14" s="1"/>
  <c r="E4117" i="14" s="1"/>
  <c r="A4118" i="14"/>
  <c r="B4118" i="14"/>
  <c r="C4118" i="14" s="1"/>
  <c r="E4118" i="14" s="1"/>
  <c r="A4119" i="14"/>
  <c r="B4119" i="14"/>
  <c r="C4119" i="14" s="1"/>
  <c r="E4119" i="14" s="1"/>
  <c r="A4120" i="14"/>
  <c r="B4120" i="14"/>
  <c r="C4120" i="14" s="1"/>
  <c r="E4120" i="14" s="1"/>
  <c r="A4121" i="14"/>
  <c r="B4121" i="14"/>
  <c r="C4121" i="14" s="1"/>
  <c r="E4121" i="14" s="1"/>
  <c r="A4122" i="14"/>
  <c r="B4122" i="14"/>
  <c r="C4122" i="14" s="1"/>
  <c r="E4122" i="14" s="1"/>
  <c r="A4123" i="14"/>
  <c r="B4123" i="14"/>
  <c r="C4123" i="14" s="1"/>
  <c r="E4123" i="14" s="1"/>
  <c r="A4124" i="14"/>
  <c r="B4124" i="14"/>
  <c r="C4124" i="14" s="1"/>
  <c r="E4124" i="14" s="1"/>
  <c r="A4125" i="14"/>
  <c r="B4125" i="14"/>
  <c r="C4125" i="14" s="1"/>
  <c r="E4125" i="14" s="1"/>
  <c r="A4126" i="14"/>
  <c r="B4126" i="14"/>
  <c r="C4126" i="14" s="1"/>
  <c r="E4126" i="14" s="1"/>
  <c r="A4127" i="14"/>
  <c r="B4127" i="14"/>
  <c r="C4127" i="14" s="1"/>
  <c r="E4127" i="14" s="1"/>
  <c r="A4128" i="14"/>
  <c r="B4128" i="14"/>
  <c r="C4128" i="14" s="1"/>
  <c r="E4128" i="14" s="1"/>
  <c r="A4129" i="14"/>
  <c r="B4129" i="14"/>
  <c r="C4129" i="14" s="1"/>
  <c r="E4129" i="14" s="1"/>
  <c r="A4130" i="14"/>
  <c r="B4130" i="14"/>
  <c r="C4130" i="14" s="1"/>
  <c r="E4130" i="14" s="1"/>
  <c r="A4131" i="14"/>
  <c r="B4131" i="14"/>
  <c r="C4131" i="14" s="1"/>
  <c r="E4131" i="14" s="1"/>
  <c r="A4132" i="14"/>
  <c r="B4132" i="14"/>
  <c r="C4132" i="14" s="1"/>
  <c r="E4132" i="14" s="1"/>
  <c r="A4133" i="14"/>
  <c r="B4133" i="14"/>
  <c r="C4133" i="14" s="1"/>
  <c r="E4133" i="14" s="1"/>
  <c r="A4134" i="14"/>
  <c r="B4134" i="14"/>
  <c r="C4134" i="14" s="1"/>
  <c r="E4134" i="14" s="1"/>
  <c r="A4135" i="14"/>
  <c r="B4135" i="14"/>
  <c r="C4135" i="14" s="1"/>
  <c r="E4135" i="14" s="1"/>
  <c r="A4136" i="14"/>
  <c r="B4136" i="14"/>
  <c r="C4136" i="14" s="1"/>
  <c r="E4136" i="14" s="1"/>
  <c r="A4137" i="14"/>
  <c r="B4137" i="14"/>
  <c r="C4137" i="14" s="1"/>
  <c r="E4137" i="14" s="1"/>
  <c r="A4138" i="14"/>
  <c r="B4138" i="14"/>
  <c r="C4138" i="14" s="1"/>
  <c r="E4138" i="14" s="1"/>
  <c r="A4139" i="14"/>
  <c r="B4139" i="14"/>
  <c r="C4139" i="14" s="1"/>
  <c r="E4139" i="14" s="1"/>
  <c r="A4140" i="14"/>
  <c r="B4140" i="14"/>
  <c r="C4140" i="14" s="1"/>
  <c r="E4140" i="14" s="1"/>
  <c r="A4141" i="14"/>
  <c r="B4141" i="14"/>
  <c r="C4141" i="14" s="1"/>
  <c r="E4141" i="14" s="1"/>
  <c r="A4142" i="14"/>
  <c r="B4142" i="14"/>
  <c r="C4142" i="14" s="1"/>
  <c r="E4142" i="14" s="1"/>
  <c r="A4143" i="14"/>
  <c r="B4143" i="14"/>
  <c r="C4143" i="14" s="1"/>
  <c r="E4143" i="14" s="1"/>
  <c r="A4144" i="14"/>
  <c r="B4144" i="14"/>
  <c r="C4144" i="14" s="1"/>
  <c r="E4144" i="14" s="1"/>
  <c r="A4145" i="14"/>
  <c r="B4145" i="14"/>
  <c r="C4145" i="14" s="1"/>
  <c r="E4145" i="14" s="1"/>
  <c r="A4146" i="14"/>
  <c r="B4146" i="14"/>
  <c r="C4146" i="14" s="1"/>
  <c r="E4146" i="14" s="1"/>
  <c r="A4147" i="14"/>
  <c r="B4147" i="14"/>
  <c r="C4147" i="14" s="1"/>
  <c r="E4147" i="14" s="1"/>
  <c r="A4148" i="14"/>
  <c r="B4148" i="14"/>
  <c r="C4148" i="14" s="1"/>
  <c r="E4148" i="14" s="1"/>
  <c r="A4149" i="14"/>
  <c r="B4149" i="14"/>
  <c r="C4149" i="14" s="1"/>
  <c r="E4149" i="14" s="1"/>
  <c r="A4150" i="14"/>
  <c r="B4150" i="14"/>
  <c r="C4150" i="14" s="1"/>
  <c r="E4150" i="14" s="1"/>
  <c r="A4151" i="14"/>
  <c r="B4151" i="14"/>
  <c r="C4151" i="14" s="1"/>
  <c r="E4151" i="14" s="1"/>
  <c r="A4152" i="14"/>
  <c r="B4152" i="14"/>
  <c r="C4152" i="14" s="1"/>
  <c r="E4152" i="14" s="1"/>
  <c r="A4153" i="14"/>
  <c r="B4153" i="14"/>
  <c r="C4153" i="14" s="1"/>
  <c r="E4153" i="14" s="1"/>
  <c r="A4154" i="14"/>
  <c r="B4154" i="14"/>
  <c r="C4154" i="14" s="1"/>
  <c r="E4154" i="14" s="1"/>
  <c r="A4155" i="14"/>
  <c r="B4155" i="14"/>
  <c r="C4155" i="14" s="1"/>
  <c r="E4155" i="14" s="1"/>
  <c r="A4156" i="14"/>
  <c r="B4156" i="14"/>
  <c r="C4156" i="14" s="1"/>
  <c r="E4156" i="14" s="1"/>
  <c r="A4157" i="14"/>
  <c r="B4157" i="14"/>
  <c r="C4157" i="14" s="1"/>
  <c r="E4157" i="14" s="1"/>
  <c r="A4158" i="14"/>
  <c r="B4158" i="14"/>
  <c r="C4158" i="14" s="1"/>
  <c r="E4158" i="14" s="1"/>
  <c r="A4159" i="14"/>
  <c r="B4159" i="14"/>
  <c r="C4159" i="14" s="1"/>
  <c r="E4159" i="14" s="1"/>
  <c r="A4160" i="14"/>
  <c r="B4160" i="14"/>
  <c r="C4160" i="14" s="1"/>
  <c r="E4160" i="14" s="1"/>
  <c r="A4161" i="14"/>
  <c r="B4161" i="14"/>
  <c r="C4161" i="14" s="1"/>
  <c r="E4161" i="14" s="1"/>
  <c r="A4162" i="14"/>
  <c r="B4162" i="14"/>
  <c r="C4162" i="14" s="1"/>
  <c r="E4162" i="14" s="1"/>
  <c r="A4163" i="14"/>
  <c r="B4163" i="14"/>
  <c r="C4163" i="14" s="1"/>
  <c r="E4163" i="14" s="1"/>
  <c r="A4164" i="14"/>
  <c r="B4164" i="14"/>
  <c r="C4164" i="14" s="1"/>
  <c r="E4164" i="14" s="1"/>
  <c r="A4165" i="14"/>
  <c r="B4165" i="14"/>
  <c r="C4165" i="14" s="1"/>
  <c r="E4165" i="14" s="1"/>
  <c r="A4166" i="14"/>
  <c r="B4166" i="14"/>
  <c r="C4166" i="14" s="1"/>
  <c r="E4166" i="14" s="1"/>
  <c r="A4167" i="14"/>
  <c r="B4167" i="14"/>
  <c r="C4167" i="14" s="1"/>
  <c r="E4167" i="14" s="1"/>
  <c r="A4168" i="14"/>
  <c r="B4168" i="14"/>
  <c r="C4168" i="14" s="1"/>
  <c r="E4168" i="14" s="1"/>
  <c r="A4169" i="14"/>
  <c r="B4169" i="14"/>
  <c r="C4169" i="14" s="1"/>
  <c r="E4169" i="14" s="1"/>
  <c r="A4170" i="14"/>
  <c r="B4170" i="14"/>
  <c r="C4170" i="14" s="1"/>
  <c r="E4170" i="14" s="1"/>
  <c r="A4171" i="14"/>
  <c r="B4171" i="14"/>
  <c r="C4171" i="14" s="1"/>
  <c r="E4171" i="14" s="1"/>
  <c r="A4172" i="14"/>
  <c r="B4172" i="14"/>
  <c r="C4172" i="14" s="1"/>
  <c r="E4172" i="14" s="1"/>
  <c r="A4173" i="14"/>
  <c r="B4173" i="14"/>
  <c r="C4173" i="14" s="1"/>
  <c r="E4173" i="14" s="1"/>
  <c r="A4174" i="14"/>
  <c r="B4174" i="14"/>
  <c r="C4174" i="14" s="1"/>
  <c r="E4174" i="14" s="1"/>
  <c r="A4175" i="14"/>
  <c r="B4175" i="14"/>
  <c r="C4175" i="14" s="1"/>
  <c r="E4175" i="14" s="1"/>
  <c r="A4176" i="14"/>
  <c r="B4176" i="14"/>
  <c r="C4176" i="14" s="1"/>
  <c r="E4176" i="14" s="1"/>
  <c r="A4177" i="14"/>
  <c r="B4177" i="14"/>
  <c r="C4177" i="14" s="1"/>
  <c r="E4177" i="14" s="1"/>
  <c r="A4178" i="14"/>
  <c r="B4178" i="14"/>
  <c r="C4178" i="14" s="1"/>
  <c r="E4178" i="14" s="1"/>
  <c r="A4179" i="14"/>
  <c r="B4179" i="14"/>
  <c r="C4179" i="14" s="1"/>
  <c r="E4179" i="14" s="1"/>
  <c r="A4180" i="14"/>
  <c r="B4180" i="14"/>
  <c r="C4180" i="14" s="1"/>
  <c r="E4180" i="14" s="1"/>
  <c r="A4181" i="14"/>
  <c r="B4181" i="14"/>
  <c r="C4181" i="14" s="1"/>
  <c r="E4181" i="14" s="1"/>
  <c r="A4182" i="14"/>
  <c r="B4182" i="14"/>
  <c r="C4182" i="14" s="1"/>
  <c r="E4182" i="14" s="1"/>
  <c r="A4183" i="14"/>
  <c r="B4183" i="14"/>
  <c r="C4183" i="14" s="1"/>
  <c r="E4183" i="14" s="1"/>
  <c r="A4184" i="14"/>
  <c r="B4184" i="14"/>
  <c r="C4184" i="14" s="1"/>
  <c r="E4184" i="14" s="1"/>
  <c r="A4185" i="14"/>
  <c r="B4185" i="14"/>
  <c r="C4185" i="14" s="1"/>
  <c r="E4185" i="14" s="1"/>
  <c r="A4186" i="14"/>
  <c r="B4186" i="14"/>
  <c r="C4186" i="14" s="1"/>
  <c r="E4186" i="14" s="1"/>
  <c r="A4187" i="14"/>
  <c r="B4187" i="14"/>
  <c r="C4187" i="14" s="1"/>
  <c r="E4187" i="14" s="1"/>
  <c r="A4188" i="14"/>
  <c r="B4188" i="14"/>
  <c r="C4188" i="14" s="1"/>
  <c r="E4188" i="14" s="1"/>
  <c r="A4189" i="14"/>
  <c r="B4189" i="14"/>
  <c r="C4189" i="14" s="1"/>
  <c r="E4189" i="14" s="1"/>
  <c r="A4190" i="14"/>
  <c r="B4190" i="14"/>
  <c r="C4190" i="14" s="1"/>
  <c r="E4190" i="14" s="1"/>
  <c r="A4191" i="14"/>
  <c r="B4191" i="14"/>
  <c r="C4191" i="14" s="1"/>
  <c r="E4191" i="14" s="1"/>
  <c r="A4192" i="14"/>
  <c r="B4192" i="14"/>
  <c r="C4192" i="14" s="1"/>
  <c r="E4192" i="14" s="1"/>
  <c r="A4193" i="14"/>
  <c r="B4193" i="14"/>
  <c r="C4193" i="14" s="1"/>
  <c r="E4193" i="14" s="1"/>
  <c r="A4194" i="14"/>
  <c r="B4194" i="14"/>
  <c r="C4194" i="14" s="1"/>
  <c r="E4194" i="14" s="1"/>
  <c r="A4195" i="14"/>
  <c r="B4195" i="14"/>
  <c r="C4195" i="14" s="1"/>
  <c r="E4195" i="14" s="1"/>
  <c r="A4196" i="14"/>
  <c r="B4196" i="14"/>
  <c r="C4196" i="14" s="1"/>
  <c r="E4196" i="14" s="1"/>
  <c r="A4197" i="14"/>
  <c r="B4197" i="14"/>
  <c r="C4197" i="14" s="1"/>
  <c r="E4197" i="14" s="1"/>
  <c r="A4198" i="14"/>
  <c r="B4198" i="14"/>
  <c r="C4198" i="14" s="1"/>
  <c r="E4198" i="14" s="1"/>
  <c r="A4199" i="14"/>
  <c r="B4199" i="14"/>
  <c r="C4199" i="14" s="1"/>
  <c r="E4199" i="14" s="1"/>
  <c r="A4200" i="14"/>
  <c r="B4200" i="14"/>
  <c r="C4200" i="14" s="1"/>
  <c r="E4200" i="14" s="1"/>
  <c r="A4201" i="14"/>
  <c r="B4201" i="14"/>
  <c r="C4201" i="14" s="1"/>
  <c r="E4201" i="14" s="1"/>
  <c r="A4202" i="14"/>
  <c r="B4202" i="14"/>
  <c r="C4202" i="14" s="1"/>
  <c r="E4202" i="14" s="1"/>
  <c r="A4203" i="14"/>
  <c r="B4203" i="14"/>
  <c r="C4203" i="14" s="1"/>
  <c r="E4203" i="14" s="1"/>
  <c r="A4204" i="14"/>
  <c r="B4204" i="14"/>
  <c r="C4204" i="14" s="1"/>
  <c r="E4204" i="14" s="1"/>
  <c r="A4205" i="14"/>
  <c r="B4205" i="14"/>
  <c r="C4205" i="14" s="1"/>
  <c r="E4205" i="14" s="1"/>
  <c r="A4206" i="14"/>
  <c r="B4206" i="14"/>
  <c r="C4206" i="14" s="1"/>
  <c r="E4206" i="14" s="1"/>
  <c r="A4207" i="14"/>
  <c r="B4207" i="14"/>
  <c r="C4207" i="14" s="1"/>
  <c r="E4207" i="14" s="1"/>
  <c r="A4208" i="14"/>
  <c r="B4208" i="14"/>
  <c r="C4208" i="14" s="1"/>
  <c r="E4208" i="14" s="1"/>
  <c r="A4209" i="14"/>
  <c r="B4209" i="14"/>
  <c r="C4209" i="14" s="1"/>
  <c r="E4209" i="14" s="1"/>
  <c r="A4210" i="14"/>
  <c r="B4210" i="14"/>
  <c r="C4210" i="14" s="1"/>
  <c r="E4210" i="14" s="1"/>
  <c r="A4211" i="14"/>
  <c r="B4211" i="14"/>
  <c r="C4211" i="14" s="1"/>
  <c r="E4211" i="14" s="1"/>
  <c r="A4212" i="14"/>
  <c r="B4212" i="14"/>
  <c r="C4212" i="14" s="1"/>
  <c r="E4212" i="14" s="1"/>
  <c r="A4213" i="14"/>
  <c r="B4213" i="14"/>
  <c r="C4213" i="14" s="1"/>
  <c r="E4213" i="14" s="1"/>
  <c r="A4214" i="14"/>
  <c r="B4214" i="14"/>
  <c r="C4214" i="14" s="1"/>
  <c r="E4214" i="14" s="1"/>
  <c r="A4215" i="14"/>
  <c r="B4215" i="14"/>
  <c r="C4215" i="14" s="1"/>
  <c r="E4215" i="14" s="1"/>
  <c r="A4216" i="14"/>
  <c r="B4216" i="14"/>
  <c r="C4216" i="14" s="1"/>
  <c r="E4216" i="14" s="1"/>
  <c r="A4217" i="14"/>
  <c r="B4217" i="14"/>
  <c r="C4217" i="14" s="1"/>
  <c r="E4217" i="14" s="1"/>
  <c r="A4218" i="14"/>
  <c r="B4218" i="14"/>
  <c r="C4218" i="14" s="1"/>
  <c r="E4218" i="14" s="1"/>
  <c r="A4219" i="14"/>
  <c r="B4219" i="14"/>
  <c r="C4219" i="14" s="1"/>
  <c r="E4219" i="14" s="1"/>
  <c r="A4220" i="14"/>
  <c r="B4220" i="14"/>
  <c r="C4220" i="14" s="1"/>
  <c r="E4220" i="14" s="1"/>
  <c r="A4221" i="14"/>
  <c r="B4221" i="14"/>
  <c r="C4221" i="14" s="1"/>
  <c r="E4221" i="14" s="1"/>
  <c r="A4222" i="14"/>
  <c r="B4222" i="14"/>
  <c r="C4222" i="14" s="1"/>
  <c r="E4222" i="14" s="1"/>
  <c r="A4223" i="14"/>
  <c r="B4223" i="14"/>
  <c r="C4223" i="14" s="1"/>
  <c r="E4223" i="14" s="1"/>
  <c r="A4224" i="14"/>
  <c r="B4224" i="14"/>
  <c r="C4224" i="14" s="1"/>
  <c r="E4224" i="14" s="1"/>
  <c r="A4225" i="14"/>
  <c r="B4225" i="14"/>
  <c r="C4225" i="14" s="1"/>
  <c r="E4225" i="14" s="1"/>
  <c r="A4226" i="14"/>
  <c r="B4226" i="14"/>
  <c r="C4226" i="14" s="1"/>
  <c r="E4226" i="14" s="1"/>
  <c r="A4227" i="14"/>
  <c r="B4227" i="14"/>
  <c r="C4227" i="14" s="1"/>
  <c r="E4227" i="14" s="1"/>
  <c r="A4228" i="14"/>
  <c r="B4228" i="14"/>
  <c r="C4228" i="14" s="1"/>
  <c r="E4228" i="14" s="1"/>
  <c r="A4229" i="14"/>
  <c r="B4229" i="14"/>
  <c r="C4229" i="14" s="1"/>
  <c r="E4229" i="14" s="1"/>
  <c r="A4230" i="14"/>
  <c r="B4230" i="14"/>
  <c r="C4230" i="14" s="1"/>
  <c r="E4230" i="14" s="1"/>
  <c r="A4231" i="14"/>
  <c r="B4231" i="14"/>
  <c r="C4231" i="14" s="1"/>
  <c r="E4231" i="14" s="1"/>
  <c r="A4232" i="14"/>
  <c r="B4232" i="14"/>
  <c r="C4232" i="14" s="1"/>
  <c r="E4232" i="14" s="1"/>
  <c r="A4233" i="14"/>
  <c r="B4233" i="14"/>
  <c r="C4233" i="14" s="1"/>
  <c r="E4233" i="14" s="1"/>
  <c r="A4234" i="14"/>
  <c r="B4234" i="14"/>
  <c r="C4234" i="14" s="1"/>
  <c r="E4234" i="14" s="1"/>
  <c r="A4235" i="14"/>
  <c r="B4235" i="14"/>
  <c r="C4235" i="14" s="1"/>
  <c r="E4235" i="14" s="1"/>
  <c r="A4236" i="14"/>
  <c r="B4236" i="14"/>
  <c r="C4236" i="14" s="1"/>
  <c r="E4236" i="14" s="1"/>
  <c r="A4237" i="14"/>
  <c r="B4237" i="14"/>
  <c r="C4237" i="14" s="1"/>
  <c r="E4237" i="14" s="1"/>
  <c r="A4238" i="14"/>
  <c r="B4238" i="14"/>
  <c r="C4238" i="14" s="1"/>
  <c r="E4238" i="14" s="1"/>
  <c r="A4239" i="14"/>
  <c r="B4239" i="14"/>
  <c r="C4239" i="14" s="1"/>
  <c r="E4239" i="14" s="1"/>
  <c r="A4240" i="14"/>
  <c r="B4240" i="14"/>
  <c r="C4240" i="14" s="1"/>
  <c r="E4240" i="14" s="1"/>
  <c r="A4241" i="14"/>
  <c r="B4241" i="14"/>
  <c r="C4241" i="14" s="1"/>
  <c r="E4241" i="14" s="1"/>
  <c r="A4242" i="14"/>
  <c r="B4242" i="14"/>
  <c r="C4242" i="14" s="1"/>
  <c r="E4242" i="14" s="1"/>
  <c r="A4243" i="14"/>
  <c r="B4243" i="14"/>
  <c r="C4243" i="14" s="1"/>
  <c r="E4243" i="14" s="1"/>
  <c r="A4244" i="14"/>
  <c r="B4244" i="14"/>
  <c r="C4244" i="14" s="1"/>
  <c r="E4244" i="14" s="1"/>
  <c r="A4245" i="14"/>
  <c r="B4245" i="14"/>
  <c r="C4245" i="14" s="1"/>
  <c r="E4245" i="14" s="1"/>
  <c r="A4246" i="14"/>
  <c r="B4246" i="14"/>
  <c r="C4246" i="14" s="1"/>
  <c r="E4246" i="14" s="1"/>
  <c r="A4247" i="14"/>
  <c r="B4247" i="14"/>
  <c r="C4247" i="14" s="1"/>
  <c r="E4247" i="14" s="1"/>
  <c r="A4248" i="14"/>
  <c r="B4248" i="14"/>
  <c r="C4248" i="14" s="1"/>
  <c r="E4248" i="14" s="1"/>
  <c r="A4249" i="14"/>
  <c r="B4249" i="14"/>
  <c r="C4249" i="14" s="1"/>
  <c r="E4249" i="14" s="1"/>
  <c r="A4250" i="14"/>
  <c r="B4250" i="14"/>
  <c r="C4250" i="14" s="1"/>
  <c r="E4250" i="14" s="1"/>
  <c r="A4251" i="14"/>
  <c r="B4251" i="14"/>
  <c r="C4251" i="14" s="1"/>
  <c r="E4251" i="14" s="1"/>
  <c r="A4252" i="14"/>
  <c r="B4252" i="14"/>
  <c r="C4252" i="14" s="1"/>
  <c r="E4252" i="14" s="1"/>
  <c r="A4253" i="14"/>
  <c r="B4253" i="14"/>
  <c r="C4253" i="14" s="1"/>
  <c r="E4253" i="14" s="1"/>
  <c r="A4254" i="14"/>
  <c r="B4254" i="14"/>
  <c r="C4254" i="14" s="1"/>
  <c r="E4254" i="14" s="1"/>
  <c r="A4255" i="14"/>
  <c r="B4255" i="14"/>
  <c r="C4255" i="14" s="1"/>
  <c r="E4255" i="14" s="1"/>
  <c r="A4256" i="14"/>
  <c r="B4256" i="14"/>
  <c r="C4256" i="14" s="1"/>
  <c r="E4256" i="14" s="1"/>
  <c r="A4257" i="14"/>
  <c r="B4257" i="14"/>
  <c r="C4257" i="14" s="1"/>
  <c r="E4257" i="14" s="1"/>
  <c r="A4258" i="14"/>
  <c r="B4258" i="14"/>
  <c r="C4258" i="14" s="1"/>
  <c r="E4258" i="14" s="1"/>
  <c r="A4259" i="14"/>
  <c r="B4259" i="14"/>
  <c r="C4259" i="14" s="1"/>
  <c r="E4259" i="14" s="1"/>
  <c r="A4260" i="14"/>
  <c r="B4260" i="14"/>
  <c r="C4260" i="14" s="1"/>
  <c r="E4260" i="14" s="1"/>
  <c r="A4261" i="14"/>
  <c r="B4261" i="14"/>
  <c r="C4261" i="14" s="1"/>
  <c r="E4261" i="14" s="1"/>
  <c r="A4262" i="14"/>
  <c r="B4262" i="14"/>
  <c r="C4262" i="14" s="1"/>
  <c r="E4262" i="14" s="1"/>
  <c r="A4263" i="14"/>
  <c r="B4263" i="14"/>
  <c r="C4263" i="14" s="1"/>
  <c r="E4263" i="14" s="1"/>
  <c r="A4264" i="14"/>
  <c r="B4264" i="14"/>
  <c r="C4264" i="14" s="1"/>
  <c r="E4264" i="14" s="1"/>
  <c r="A4265" i="14"/>
  <c r="B4265" i="14"/>
  <c r="C4265" i="14" s="1"/>
  <c r="E4265" i="14" s="1"/>
  <c r="A4266" i="14"/>
  <c r="B4266" i="14"/>
  <c r="C4266" i="14" s="1"/>
  <c r="E4266" i="14" s="1"/>
  <c r="A4267" i="14"/>
  <c r="B4267" i="14"/>
  <c r="C4267" i="14" s="1"/>
  <c r="E4267" i="14" s="1"/>
  <c r="A4268" i="14"/>
  <c r="B4268" i="14"/>
  <c r="C4268" i="14" s="1"/>
  <c r="E4268" i="14" s="1"/>
  <c r="A4269" i="14"/>
  <c r="B4269" i="14"/>
  <c r="C4269" i="14" s="1"/>
  <c r="E4269" i="14" s="1"/>
  <c r="A4270" i="14"/>
  <c r="B4270" i="14"/>
  <c r="C4270" i="14" s="1"/>
  <c r="E4270" i="14" s="1"/>
  <c r="A4271" i="14"/>
  <c r="B4271" i="14"/>
  <c r="C4271" i="14" s="1"/>
  <c r="E4271" i="14" s="1"/>
  <c r="A4272" i="14"/>
  <c r="B4272" i="14"/>
  <c r="C4272" i="14" s="1"/>
  <c r="E4272" i="14" s="1"/>
  <c r="A4273" i="14"/>
  <c r="B4273" i="14"/>
  <c r="C4273" i="14" s="1"/>
  <c r="E4273" i="14" s="1"/>
  <c r="A4274" i="14"/>
  <c r="B4274" i="14"/>
  <c r="C4274" i="14" s="1"/>
  <c r="E4274" i="14" s="1"/>
  <c r="A4275" i="14"/>
  <c r="B4275" i="14"/>
  <c r="C4275" i="14" s="1"/>
  <c r="E4275" i="14" s="1"/>
  <c r="A4276" i="14"/>
  <c r="B4276" i="14"/>
  <c r="C4276" i="14" s="1"/>
  <c r="E4276" i="14" s="1"/>
  <c r="A4277" i="14"/>
  <c r="B4277" i="14"/>
  <c r="C4277" i="14" s="1"/>
  <c r="E4277" i="14" s="1"/>
  <c r="A4278" i="14"/>
  <c r="B4278" i="14"/>
  <c r="C4278" i="14" s="1"/>
  <c r="E4278" i="14" s="1"/>
  <c r="A4279" i="14"/>
  <c r="B4279" i="14"/>
  <c r="C4279" i="14" s="1"/>
  <c r="E4279" i="14" s="1"/>
  <c r="A4280" i="14"/>
  <c r="B4280" i="14"/>
  <c r="C4280" i="14" s="1"/>
  <c r="E4280" i="14" s="1"/>
  <c r="A4281" i="14"/>
  <c r="B4281" i="14"/>
  <c r="C4281" i="14" s="1"/>
  <c r="E4281" i="14" s="1"/>
  <c r="A4282" i="14"/>
  <c r="B4282" i="14"/>
  <c r="C4282" i="14" s="1"/>
  <c r="E4282" i="14" s="1"/>
  <c r="A4283" i="14"/>
  <c r="B4283" i="14"/>
  <c r="C4283" i="14" s="1"/>
  <c r="E4283" i="14" s="1"/>
  <c r="A4284" i="14"/>
  <c r="B4284" i="14"/>
  <c r="C4284" i="14" s="1"/>
  <c r="E4284" i="14" s="1"/>
  <c r="A4285" i="14"/>
  <c r="B4285" i="14"/>
  <c r="C4285" i="14" s="1"/>
  <c r="E4285" i="14" s="1"/>
  <c r="A4286" i="14"/>
  <c r="B4286" i="14"/>
  <c r="C4286" i="14" s="1"/>
  <c r="E4286" i="14" s="1"/>
  <c r="A4287" i="14"/>
  <c r="B4287" i="14"/>
  <c r="C4287" i="14" s="1"/>
  <c r="E4287" i="14" s="1"/>
  <c r="A4288" i="14"/>
  <c r="B4288" i="14"/>
  <c r="C4288" i="14" s="1"/>
  <c r="E4288" i="14" s="1"/>
  <c r="A4289" i="14"/>
  <c r="B4289" i="14"/>
  <c r="C4289" i="14" s="1"/>
  <c r="E4289" i="14" s="1"/>
  <c r="A4290" i="14"/>
  <c r="B4290" i="14"/>
  <c r="C4290" i="14" s="1"/>
  <c r="E4290" i="14" s="1"/>
  <c r="A4291" i="14"/>
  <c r="B4291" i="14"/>
  <c r="C4291" i="14" s="1"/>
  <c r="E4291" i="14" s="1"/>
  <c r="A4292" i="14"/>
  <c r="B4292" i="14"/>
  <c r="C4292" i="14" s="1"/>
  <c r="E4292" i="14" s="1"/>
  <c r="A4293" i="14"/>
  <c r="B4293" i="14"/>
  <c r="C4293" i="14" s="1"/>
  <c r="E4293" i="14" s="1"/>
  <c r="A4294" i="14"/>
  <c r="B4294" i="14"/>
  <c r="C4294" i="14" s="1"/>
  <c r="E4294" i="14" s="1"/>
  <c r="A4295" i="14"/>
  <c r="B4295" i="14"/>
  <c r="C4295" i="14" s="1"/>
  <c r="E4295" i="14" s="1"/>
  <c r="A4296" i="14"/>
  <c r="B4296" i="14"/>
  <c r="C4296" i="14" s="1"/>
  <c r="E4296" i="14" s="1"/>
  <c r="A4297" i="14"/>
  <c r="B4297" i="14"/>
  <c r="C4297" i="14" s="1"/>
  <c r="E4297" i="14" s="1"/>
  <c r="A4298" i="14"/>
  <c r="B4298" i="14"/>
  <c r="C4298" i="14" s="1"/>
  <c r="E4298" i="14" s="1"/>
  <c r="A4299" i="14"/>
  <c r="B4299" i="14"/>
  <c r="C4299" i="14" s="1"/>
  <c r="E4299" i="14" s="1"/>
  <c r="A4300" i="14"/>
  <c r="B4300" i="14"/>
  <c r="C4300" i="14" s="1"/>
  <c r="E4300" i="14" s="1"/>
  <c r="A4301" i="14"/>
  <c r="B4301" i="14"/>
  <c r="C4301" i="14" s="1"/>
  <c r="E4301" i="14" s="1"/>
  <c r="A4302" i="14"/>
  <c r="B4302" i="14"/>
  <c r="C4302" i="14" s="1"/>
  <c r="E4302" i="14" s="1"/>
  <c r="A4303" i="14"/>
  <c r="B4303" i="14"/>
  <c r="C4303" i="14" s="1"/>
  <c r="E4303" i="14" s="1"/>
  <c r="A4304" i="14"/>
  <c r="B4304" i="14"/>
  <c r="C4304" i="14" s="1"/>
  <c r="E4304" i="14" s="1"/>
  <c r="A4305" i="14"/>
  <c r="B4305" i="14"/>
  <c r="C4305" i="14" s="1"/>
  <c r="E4305" i="14" s="1"/>
  <c r="A4306" i="14"/>
  <c r="B4306" i="14"/>
  <c r="C4306" i="14" s="1"/>
  <c r="E4306" i="14" s="1"/>
  <c r="A4307" i="14"/>
  <c r="B4307" i="14"/>
  <c r="C4307" i="14" s="1"/>
  <c r="E4307" i="14" s="1"/>
  <c r="A4308" i="14"/>
  <c r="B4308" i="14"/>
  <c r="C4308" i="14" s="1"/>
  <c r="E4308" i="14" s="1"/>
  <c r="A4309" i="14"/>
  <c r="B4309" i="14"/>
  <c r="C4309" i="14" s="1"/>
  <c r="E4309" i="14" s="1"/>
  <c r="A4310" i="14"/>
  <c r="B4310" i="14"/>
  <c r="C4310" i="14" s="1"/>
  <c r="E4310" i="14" s="1"/>
  <c r="A4311" i="14"/>
  <c r="B4311" i="14"/>
  <c r="C4311" i="14" s="1"/>
  <c r="E4311" i="14" s="1"/>
  <c r="A4312" i="14"/>
  <c r="B4312" i="14"/>
  <c r="C4312" i="14" s="1"/>
  <c r="E4312" i="14" s="1"/>
  <c r="A4313" i="14"/>
  <c r="B4313" i="14"/>
  <c r="C4313" i="14" s="1"/>
  <c r="E4313" i="14" s="1"/>
  <c r="A4314" i="14"/>
  <c r="B4314" i="14"/>
  <c r="C4314" i="14" s="1"/>
  <c r="E4314" i="14" s="1"/>
  <c r="A4315" i="14"/>
  <c r="B4315" i="14"/>
  <c r="C4315" i="14" s="1"/>
  <c r="E4315" i="14" s="1"/>
  <c r="A4316" i="14"/>
  <c r="B4316" i="14"/>
  <c r="C4316" i="14" s="1"/>
  <c r="E4316" i="14" s="1"/>
  <c r="A4317" i="14"/>
  <c r="B4317" i="14"/>
  <c r="C4317" i="14" s="1"/>
  <c r="E4317" i="14" s="1"/>
  <c r="A4318" i="14"/>
  <c r="B4318" i="14"/>
  <c r="C4318" i="14" s="1"/>
  <c r="E4318" i="14" s="1"/>
  <c r="A4319" i="14"/>
  <c r="B4319" i="14"/>
  <c r="C4319" i="14" s="1"/>
  <c r="E4319" i="14" s="1"/>
  <c r="A4320" i="14"/>
  <c r="B4320" i="14"/>
  <c r="C4320" i="14" s="1"/>
  <c r="E4320" i="14" s="1"/>
  <c r="A4321" i="14"/>
  <c r="B4321" i="14"/>
  <c r="C4321" i="14" s="1"/>
  <c r="E4321" i="14" s="1"/>
  <c r="A4322" i="14"/>
  <c r="B4322" i="14"/>
  <c r="C4322" i="14" s="1"/>
  <c r="E4322" i="14" s="1"/>
  <c r="A4323" i="14"/>
  <c r="B4323" i="14"/>
  <c r="C4323" i="14" s="1"/>
  <c r="E4323" i="14" s="1"/>
  <c r="A4324" i="14"/>
  <c r="B4324" i="14"/>
  <c r="C4324" i="14" s="1"/>
  <c r="E4324" i="14" s="1"/>
  <c r="A4325" i="14"/>
  <c r="B4325" i="14"/>
  <c r="C4325" i="14" s="1"/>
  <c r="E4325" i="14" s="1"/>
  <c r="A4326" i="14"/>
  <c r="B4326" i="14"/>
  <c r="C4326" i="14" s="1"/>
  <c r="E4326" i="14" s="1"/>
  <c r="A4327" i="14"/>
  <c r="B4327" i="14"/>
  <c r="C4327" i="14" s="1"/>
  <c r="E4327" i="14" s="1"/>
  <c r="A4328" i="14"/>
  <c r="B4328" i="14"/>
  <c r="C4328" i="14" s="1"/>
  <c r="E4328" i="14" s="1"/>
  <c r="A4329" i="14"/>
  <c r="B4329" i="14"/>
  <c r="C4329" i="14" s="1"/>
  <c r="E4329" i="14" s="1"/>
  <c r="A4330" i="14"/>
  <c r="B4330" i="14"/>
  <c r="C4330" i="14" s="1"/>
  <c r="E4330" i="14" s="1"/>
  <c r="A4331" i="14"/>
  <c r="B4331" i="14"/>
  <c r="C4331" i="14" s="1"/>
  <c r="E4331" i="14" s="1"/>
  <c r="A4332" i="14"/>
  <c r="B4332" i="14"/>
  <c r="C4332" i="14" s="1"/>
  <c r="E4332" i="14" s="1"/>
  <c r="A4333" i="14"/>
  <c r="B4333" i="14"/>
  <c r="C4333" i="14" s="1"/>
  <c r="E4333" i="14" s="1"/>
  <c r="A4334" i="14"/>
  <c r="B4334" i="14"/>
  <c r="C4334" i="14" s="1"/>
  <c r="E4334" i="14" s="1"/>
  <c r="A4335" i="14"/>
  <c r="B4335" i="14"/>
  <c r="C4335" i="14" s="1"/>
  <c r="E4335" i="14" s="1"/>
  <c r="A4336" i="14"/>
  <c r="B4336" i="14"/>
  <c r="C4336" i="14" s="1"/>
  <c r="E4336" i="14" s="1"/>
  <c r="A4337" i="14"/>
  <c r="B4337" i="14"/>
  <c r="C4337" i="14" s="1"/>
  <c r="E4337" i="14" s="1"/>
  <c r="A4338" i="14"/>
  <c r="B4338" i="14"/>
  <c r="C4338" i="14" s="1"/>
  <c r="E4338" i="14" s="1"/>
  <c r="A4339" i="14"/>
  <c r="B4339" i="14"/>
  <c r="C4339" i="14" s="1"/>
  <c r="E4339" i="14" s="1"/>
  <c r="A4340" i="14"/>
  <c r="B4340" i="14"/>
  <c r="C4340" i="14" s="1"/>
  <c r="E4340" i="14" s="1"/>
  <c r="A4341" i="14"/>
  <c r="B4341" i="14"/>
  <c r="C4341" i="14" s="1"/>
  <c r="E4341" i="14" s="1"/>
  <c r="A4342" i="14"/>
  <c r="B4342" i="14"/>
  <c r="C4342" i="14" s="1"/>
  <c r="E4342" i="14" s="1"/>
  <c r="A4343" i="14"/>
  <c r="B4343" i="14"/>
  <c r="C4343" i="14" s="1"/>
  <c r="E4343" i="14" s="1"/>
  <c r="A4344" i="14"/>
  <c r="B4344" i="14"/>
  <c r="C4344" i="14" s="1"/>
  <c r="E4344" i="14" s="1"/>
  <c r="A4345" i="14"/>
  <c r="B4345" i="14"/>
  <c r="C4345" i="14" s="1"/>
  <c r="E4345" i="14" s="1"/>
  <c r="A4346" i="14"/>
  <c r="B4346" i="14"/>
  <c r="C4346" i="14" s="1"/>
  <c r="E4346" i="14" s="1"/>
  <c r="A4347" i="14"/>
  <c r="B4347" i="14"/>
  <c r="C4347" i="14" s="1"/>
  <c r="E4347" i="14" s="1"/>
  <c r="A4348" i="14"/>
  <c r="B4348" i="14"/>
  <c r="C4348" i="14" s="1"/>
  <c r="E4348" i="14" s="1"/>
  <c r="A4349" i="14"/>
  <c r="B4349" i="14"/>
  <c r="C4349" i="14" s="1"/>
  <c r="E4349" i="14" s="1"/>
  <c r="A4350" i="14"/>
  <c r="B4350" i="14"/>
  <c r="C4350" i="14" s="1"/>
  <c r="E4350" i="14" s="1"/>
  <c r="A4351" i="14"/>
  <c r="B4351" i="14"/>
  <c r="C4351" i="14" s="1"/>
  <c r="E4351" i="14" s="1"/>
  <c r="A4352" i="14"/>
  <c r="B4352" i="14"/>
  <c r="C4352" i="14" s="1"/>
  <c r="E4352" i="14" s="1"/>
  <c r="A4353" i="14"/>
  <c r="B4353" i="14"/>
  <c r="C4353" i="14" s="1"/>
  <c r="E4353" i="14" s="1"/>
  <c r="A4354" i="14"/>
  <c r="B4354" i="14"/>
  <c r="C4354" i="14" s="1"/>
  <c r="E4354" i="14" s="1"/>
  <c r="A4355" i="14"/>
  <c r="B4355" i="14"/>
  <c r="C4355" i="14" s="1"/>
  <c r="E4355" i="14" s="1"/>
  <c r="A4356" i="14"/>
  <c r="B4356" i="14"/>
  <c r="C4356" i="14" s="1"/>
  <c r="E4356" i="14" s="1"/>
  <c r="A4357" i="14"/>
  <c r="B4357" i="14"/>
  <c r="C4357" i="14" s="1"/>
  <c r="E4357" i="14" s="1"/>
  <c r="A4358" i="14"/>
  <c r="B4358" i="14"/>
  <c r="C4358" i="14" s="1"/>
  <c r="E4358" i="14" s="1"/>
  <c r="A4359" i="14"/>
  <c r="B4359" i="14"/>
  <c r="C4359" i="14" s="1"/>
  <c r="E4359" i="14" s="1"/>
  <c r="A4360" i="14"/>
  <c r="B4360" i="14"/>
  <c r="C4360" i="14" s="1"/>
  <c r="E4360" i="14" s="1"/>
  <c r="A4361" i="14"/>
  <c r="B4361" i="14"/>
  <c r="C4361" i="14" s="1"/>
  <c r="E4361" i="14" s="1"/>
  <c r="A4362" i="14"/>
  <c r="B4362" i="14"/>
  <c r="C4362" i="14" s="1"/>
  <c r="E4362" i="14" s="1"/>
  <c r="A4363" i="14"/>
  <c r="B4363" i="14"/>
  <c r="C4363" i="14" s="1"/>
  <c r="E4363" i="14" s="1"/>
  <c r="A4364" i="14"/>
  <c r="B4364" i="14"/>
  <c r="C4364" i="14" s="1"/>
  <c r="E4364" i="14" s="1"/>
  <c r="A4365" i="14"/>
  <c r="B4365" i="14"/>
  <c r="C4365" i="14" s="1"/>
  <c r="E4365" i="14" s="1"/>
  <c r="A4366" i="14"/>
  <c r="B4366" i="14"/>
  <c r="C4366" i="14" s="1"/>
  <c r="E4366" i="14" s="1"/>
  <c r="A4367" i="14"/>
  <c r="B4367" i="14"/>
  <c r="C4367" i="14" s="1"/>
  <c r="E4367" i="14" s="1"/>
  <c r="A4368" i="14"/>
  <c r="B4368" i="14"/>
  <c r="C4368" i="14" s="1"/>
  <c r="E4368" i="14" s="1"/>
  <c r="A4369" i="14"/>
  <c r="B4369" i="14"/>
  <c r="C4369" i="14" s="1"/>
  <c r="E4369" i="14" s="1"/>
  <c r="A4370" i="14"/>
  <c r="B4370" i="14"/>
  <c r="C4370" i="14" s="1"/>
  <c r="E4370" i="14" s="1"/>
  <c r="A4371" i="14"/>
  <c r="B4371" i="14"/>
  <c r="C4371" i="14" s="1"/>
  <c r="E4371" i="14" s="1"/>
  <c r="A4372" i="14"/>
  <c r="B4372" i="14"/>
  <c r="C4372" i="14" s="1"/>
  <c r="E4372" i="14" s="1"/>
  <c r="A4373" i="14"/>
  <c r="B4373" i="14"/>
  <c r="C4373" i="14" s="1"/>
  <c r="E4373" i="14" s="1"/>
  <c r="A4374" i="14"/>
  <c r="B4374" i="14"/>
  <c r="C4374" i="14" s="1"/>
  <c r="E4374" i="14" s="1"/>
  <c r="A4375" i="14"/>
  <c r="B4375" i="14"/>
  <c r="C4375" i="14" s="1"/>
  <c r="E4375" i="14" s="1"/>
  <c r="A4376" i="14"/>
  <c r="B4376" i="14"/>
  <c r="C4376" i="14" s="1"/>
  <c r="E4376" i="14" s="1"/>
  <c r="A4377" i="14"/>
  <c r="B4377" i="14"/>
  <c r="C4377" i="14" s="1"/>
  <c r="E4377" i="14" s="1"/>
  <c r="A4378" i="14"/>
  <c r="B4378" i="14"/>
  <c r="C4378" i="14" s="1"/>
  <c r="E4378" i="14" s="1"/>
  <c r="A4379" i="14"/>
  <c r="B4379" i="14"/>
  <c r="C4379" i="14" s="1"/>
  <c r="E4379" i="14" s="1"/>
  <c r="A4380" i="14"/>
  <c r="B4380" i="14"/>
  <c r="C4380" i="14" s="1"/>
  <c r="E4380" i="14" s="1"/>
  <c r="A4381" i="14"/>
  <c r="B4381" i="14"/>
  <c r="C4381" i="14" s="1"/>
  <c r="E4381" i="14" s="1"/>
  <c r="A4382" i="14"/>
  <c r="B4382" i="14"/>
  <c r="C4382" i="14" s="1"/>
  <c r="E4382" i="14" s="1"/>
  <c r="A4383" i="14"/>
  <c r="B4383" i="14"/>
  <c r="C4383" i="14" s="1"/>
  <c r="E4383" i="14" s="1"/>
  <c r="A4384" i="14"/>
  <c r="B4384" i="14"/>
  <c r="C4384" i="14" s="1"/>
  <c r="E4384" i="14" s="1"/>
  <c r="A4385" i="14"/>
  <c r="B4385" i="14"/>
  <c r="C4385" i="14" s="1"/>
  <c r="E4385" i="14" s="1"/>
  <c r="A4386" i="14"/>
  <c r="B4386" i="14"/>
  <c r="C4386" i="14" s="1"/>
  <c r="E4386" i="14" s="1"/>
  <c r="A4387" i="14"/>
  <c r="B4387" i="14"/>
  <c r="C4387" i="14" s="1"/>
  <c r="E4387" i="14" s="1"/>
  <c r="A4388" i="14"/>
  <c r="B4388" i="14"/>
  <c r="C4388" i="14" s="1"/>
  <c r="E4388" i="14" s="1"/>
  <c r="A4389" i="14"/>
  <c r="B4389" i="14"/>
  <c r="C4389" i="14" s="1"/>
  <c r="E4389" i="14" s="1"/>
  <c r="A4390" i="14"/>
  <c r="B4390" i="14"/>
  <c r="C4390" i="14" s="1"/>
  <c r="E4390" i="14" s="1"/>
  <c r="A4391" i="14"/>
  <c r="B4391" i="14"/>
  <c r="C4391" i="14" s="1"/>
  <c r="E4391" i="14" s="1"/>
  <c r="A4392" i="14"/>
  <c r="B4392" i="14"/>
  <c r="C4392" i="14" s="1"/>
  <c r="E4392" i="14" s="1"/>
  <c r="A4393" i="14"/>
  <c r="B4393" i="14"/>
  <c r="C4393" i="14" s="1"/>
  <c r="E4393" i="14" s="1"/>
  <c r="A4394" i="14"/>
  <c r="B4394" i="14"/>
  <c r="C4394" i="14" s="1"/>
  <c r="E4394" i="14" s="1"/>
  <c r="I10" i="16"/>
  <c r="I11" i="16"/>
  <c r="I12" i="16"/>
  <c r="I13" i="16"/>
  <c r="I14" i="16"/>
  <c r="I15" i="16"/>
  <c r="I16" i="16"/>
  <c r="I17" i="16"/>
  <c r="I18" i="16"/>
  <c r="I19" i="16"/>
  <c r="I20" i="16"/>
  <c r="I21" i="16"/>
  <c r="C70" i="14" s="1"/>
  <c r="E70" i="14" s="1"/>
  <c r="I22" i="16"/>
  <c r="C78" i="14" s="1"/>
  <c r="E78" i="14" s="1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C46" i="14" s="1"/>
  <c r="E46" i="14" s="1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C63" i="14" s="1"/>
  <c r="E63" i="14" s="1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I108" i="16"/>
  <c r="I109" i="16"/>
  <c r="I110" i="16"/>
  <c r="I111" i="16"/>
  <c r="I112" i="16"/>
  <c r="I113" i="16"/>
  <c r="I114" i="16"/>
  <c r="I115" i="16"/>
  <c r="I116" i="16"/>
  <c r="I117" i="16"/>
  <c r="I118" i="16"/>
  <c r="I119" i="16"/>
  <c r="I120" i="16"/>
  <c r="I121" i="16"/>
  <c r="I122" i="16"/>
  <c r="I123" i="16"/>
  <c r="I124" i="16"/>
  <c r="I125" i="16"/>
  <c r="I126" i="16"/>
  <c r="I127" i="16"/>
  <c r="I128" i="16"/>
  <c r="I129" i="16"/>
  <c r="I130" i="16"/>
  <c r="I131" i="16"/>
  <c r="I132" i="16"/>
  <c r="I133" i="16"/>
  <c r="I134" i="16"/>
  <c r="I135" i="16"/>
  <c r="I136" i="16"/>
  <c r="I137" i="16"/>
  <c r="I138" i="16"/>
  <c r="I139" i="16"/>
  <c r="I140" i="16"/>
  <c r="I141" i="16"/>
  <c r="I142" i="16"/>
  <c r="I143" i="16"/>
  <c r="I144" i="16"/>
  <c r="I145" i="16"/>
  <c r="I146" i="16"/>
  <c r="I147" i="16"/>
  <c r="I148" i="16"/>
  <c r="I149" i="16"/>
  <c r="I150" i="16"/>
  <c r="I151" i="16"/>
  <c r="I152" i="16"/>
  <c r="I153" i="16"/>
  <c r="I154" i="16"/>
  <c r="I155" i="16"/>
  <c r="I156" i="16"/>
  <c r="I157" i="16"/>
  <c r="I158" i="16"/>
  <c r="I159" i="16"/>
  <c r="I160" i="16"/>
  <c r="I161" i="16"/>
  <c r="I162" i="16"/>
  <c r="I163" i="16"/>
  <c r="I164" i="16"/>
  <c r="I165" i="16"/>
  <c r="I166" i="16"/>
  <c r="I167" i="16"/>
  <c r="I168" i="16"/>
  <c r="I169" i="16"/>
  <c r="I170" i="16"/>
  <c r="I171" i="16"/>
  <c r="I172" i="16"/>
  <c r="I173" i="16"/>
  <c r="I174" i="16"/>
  <c r="I175" i="16"/>
  <c r="I176" i="16"/>
  <c r="I177" i="16"/>
  <c r="I178" i="16"/>
  <c r="I179" i="16"/>
  <c r="I180" i="16"/>
  <c r="I181" i="16"/>
  <c r="I182" i="16"/>
  <c r="I183" i="16"/>
  <c r="I184" i="16"/>
  <c r="I185" i="16"/>
  <c r="I186" i="16"/>
  <c r="I187" i="16"/>
  <c r="I188" i="16"/>
  <c r="I189" i="16"/>
  <c r="I190" i="16"/>
  <c r="I191" i="16"/>
  <c r="I192" i="16"/>
  <c r="I193" i="16"/>
  <c r="I194" i="16"/>
  <c r="I195" i="16"/>
  <c r="I196" i="16"/>
  <c r="I197" i="16"/>
  <c r="I198" i="16"/>
  <c r="I199" i="16"/>
  <c r="I200" i="16"/>
  <c r="I201" i="16"/>
  <c r="I202" i="16"/>
  <c r="I203" i="16"/>
  <c r="I204" i="16"/>
  <c r="I205" i="16"/>
  <c r="I206" i="16"/>
  <c r="I207" i="16"/>
  <c r="I208" i="16"/>
  <c r="I209" i="16"/>
  <c r="I210" i="16"/>
  <c r="I211" i="16"/>
  <c r="I212" i="16"/>
  <c r="I213" i="16"/>
  <c r="I214" i="16"/>
  <c r="I215" i="16"/>
  <c r="I216" i="16"/>
  <c r="I217" i="16"/>
  <c r="I218" i="16"/>
  <c r="I219" i="16"/>
  <c r="I220" i="16"/>
  <c r="I221" i="16"/>
  <c r="I222" i="16"/>
  <c r="I223" i="16"/>
  <c r="I224" i="16"/>
  <c r="I225" i="16"/>
  <c r="I226" i="16"/>
  <c r="I227" i="16"/>
  <c r="I228" i="16"/>
  <c r="I229" i="16"/>
  <c r="I230" i="16"/>
  <c r="I231" i="16"/>
  <c r="I232" i="16"/>
  <c r="I233" i="16"/>
  <c r="I234" i="16"/>
  <c r="I235" i="16"/>
  <c r="I236" i="16"/>
  <c r="I237" i="16"/>
  <c r="I238" i="16"/>
  <c r="I239" i="16"/>
  <c r="I240" i="16"/>
  <c r="I241" i="16"/>
  <c r="I242" i="16"/>
  <c r="I243" i="16"/>
  <c r="I244" i="16"/>
  <c r="I245" i="16"/>
  <c r="I246" i="16"/>
  <c r="I247" i="16"/>
  <c r="I248" i="16"/>
  <c r="I249" i="16"/>
  <c r="I250" i="16"/>
  <c r="I251" i="16"/>
  <c r="I252" i="16"/>
  <c r="I253" i="16"/>
  <c r="I254" i="16"/>
  <c r="I255" i="16"/>
  <c r="I256" i="16"/>
  <c r="I257" i="16"/>
  <c r="I258" i="16"/>
  <c r="I259" i="16"/>
  <c r="I260" i="16"/>
  <c r="I261" i="16"/>
  <c r="I262" i="16"/>
  <c r="I263" i="16"/>
  <c r="I264" i="16"/>
  <c r="I265" i="16"/>
  <c r="I266" i="16"/>
  <c r="I267" i="16"/>
  <c r="I268" i="16"/>
  <c r="I269" i="16"/>
  <c r="I270" i="16"/>
  <c r="I271" i="16"/>
  <c r="I272" i="16"/>
  <c r="I273" i="16"/>
  <c r="I274" i="16"/>
  <c r="I275" i="16"/>
  <c r="I276" i="16"/>
  <c r="I277" i="16"/>
  <c r="I278" i="16"/>
  <c r="I279" i="16"/>
  <c r="I280" i="16"/>
  <c r="I281" i="16"/>
  <c r="I282" i="16"/>
  <c r="I283" i="16"/>
  <c r="I284" i="16"/>
  <c r="I285" i="16"/>
  <c r="I286" i="16"/>
  <c r="I287" i="16"/>
  <c r="I288" i="16"/>
  <c r="I289" i="16"/>
  <c r="I290" i="16"/>
  <c r="I291" i="16"/>
  <c r="I292" i="16"/>
  <c r="I293" i="16"/>
  <c r="I294" i="16"/>
  <c r="I295" i="16"/>
  <c r="I296" i="16"/>
  <c r="I297" i="16"/>
  <c r="I298" i="16"/>
  <c r="I299" i="16"/>
  <c r="I300" i="16"/>
  <c r="I301" i="16"/>
  <c r="I302" i="16"/>
  <c r="I303" i="16"/>
  <c r="I304" i="16"/>
  <c r="I305" i="16"/>
  <c r="I306" i="16"/>
  <c r="I307" i="16"/>
  <c r="I308" i="16"/>
  <c r="I309" i="16"/>
  <c r="I310" i="16"/>
  <c r="I311" i="16"/>
  <c r="I312" i="16"/>
  <c r="I313" i="16"/>
  <c r="I314" i="16"/>
  <c r="I315" i="16"/>
  <c r="I316" i="16"/>
  <c r="I317" i="16"/>
  <c r="I318" i="16"/>
  <c r="I319" i="16"/>
  <c r="I320" i="16"/>
  <c r="I321" i="16"/>
  <c r="I322" i="16"/>
  <c r="I323" i="16"/>
  <c r="I324" i="16"/>
  <c r="I325" i="16"/>
  <c r="I326" i="16"/>
  <c r="I327" i="16"/>
  <c r="I328" i="16"/>
  <c r="I329" i="16"/>
  <c r="I330" i="16"/>
  <c r="I331" i="16"/>
  <c r="I332" i="16"/>
  <c r="I333" i="16"/>
  <c r="I334" i="16"/>
  <c r="I335" i="16"/>
  <c r="I336" i="16"/>
  <c r="I337" i="16"/>
  <c r="I338" i="16"/>
  <c r="I339" i="16"/>
  <c r="I340" i="16"/>
  <c r="I341" i="16"/>
  <c r="I342" i="16"/>
  <c r="I343" i="16"/>
  <c r="I344" i="16"/>
  <c r="I345" i="16"/>
  <c r="I346" i="16"/>
  <c r="I347" i="16"/>
  <c r="I348" i="16"/>
  <c r="I349" i="16"/>
  <c r="I350" i="16"/>
  <c r="I351" i="16"/>
  <c r="I352" i="16"/>
  <c r="I353" i="16"/>
  <c r="I354" i="16"/>
  <c r="I355" i="16"/>
  <c r="I356" i="16"/>
  <c r="I357" i="16"/>
  <c r="I358" i="16"/>
  <c r="I359" i="16"/>
  <c r="I360" i="16"/>
  <c r="I361" i="16"/>
  <c r="I362" i="16"/>
  <c r="I363" i="16"/>
  <c r="I364" i="16"/>
  <c r="I365" i="16"/>
  <c r="I366" i="16"/>
  <c r="I367" i="16"/>
  <c r="I368" i="16"/>
  <c r="I369" i="16"/>
  <c r="I370" i="16"/>
  <c r="I371" i="16"/>
  <c r="I372" i="16"/>
  <c r="I373" i="16"/>
  <c r="I374" i="16"/>
  <c r="I375" i="16"/>
  <c r="I376" i="16"/>
  <c r="I377" i="16"/>
  <c r="I378" i="16"/>
  <c r="I379" i="16"/>
  <c r="I380" i="16"/>
  <c r="I381" i="16"/>
  <c r="I382" i="16"/>
  <c r="I383" i="16"/>
  <c r="I384" i="16"/>
  <c r="I385" i="16"/>
  <c r="I386" i="16"/>
  <c r="I387" i="16"/>
  <c r="I388" i="16"/>
  <c r="I389" i="16"/>
  <c r="I390" i="16"/>
  <c r="I391" i="16"/>
  <c r="I392" i="16"/>
  <c r="I393" i="16"/>
  <c r="I394" i="16"/>
  <c r="I395" i="16"/>
  <c r="I396" i="16"/>
  <c r="I397" i="16"/>
  <c r="I398" i="16"/>
  <c r="I399" i="16"/>
  <c r="I400" i="16"/>
  <c r="I401" i="16"/>
  <c r="I402" i="16"/>
  <c r="I403" i="16"/>
  <c r="I404" i="16"/>
  <c r="I405" i="16"/>
  <c r="I406" i="16"/>
  <c r="I407" i="16"/>
  <c r="I408" i="16"/>
  <c r="I409" i="16"/>
  <c r="I410" i="16"/>
  <c r="I411" i="16"/>
  <c r="I412" i="16"/>
  <c r="I413" i="16"/>
  <c r="I414" i="16"/>
  <c r="I415" i="16"/>
  <c r="I416" i="16"/>
  <c r="I417" i="16"/>
  <c r="I418" i="16"/>
  <c r="I419" i="16"/>
  <c r="I420" i="16"/>
  <c r="I421" i="16"/>
  <c r="I422" i="16"/>
  <c r="I423" i="16"/>
  <c r="I424" i="16"/>
  <c r="I425" i="16"/>
  <c r="I426" i="16"/>
  <c r="I427" i="16"/>
  <c r="I428" i="16"/>
  <c r="I429" i="16"/>
  <c r="I430" i="16"/>
  <c r="I431" i="16"/>
  <c r="I432" i="16"/>
  <c r="I433" i="16"/>
  <c r="I434" i="16"/>
  <c r="I435" i="16"/>
  <c r="I436" i="16"/>
  <c r="I437" i="16"/>
  <c r="I438" i="16"/>
  <c r="I439" i="16"/>
  <c r="I440" i="16"/>
  <c r="I441" i="16"/>
  <c r="I442" i="16"/>
  <c r="I443" i="16"/>
  <c r="I444" i="16"/>
  <c r="I445" i="16"/>
  <c r="I446" i="16"/>
  <c r="I447" i="16"/>
  <c r="I448" i="16"/>
  <c r="I449" i="16"/>
  <c r="I450" i="16"/>
  <c r="I451" i="16"/>
  <c r="I452" i="16"/>
  <c r="I453" i="16"/>
  <c r="I454" i="16"/>
  <c r="I455" i="16"/>
  <c r="I456" i="16"/>
  <c r="I457" i="16"/>
  <c r="I458" i="16"/>
  <c r="I459" i="16"/>
  <c r="I460" i="16"/>
  <c r="I461" i="16"/>
  <c r="I462" i="16"/>
  <c r="I463" i="16"/>
  <c r="I464" i="16"/>
  <c r="I465" i="16"/>
  <c r="I466" i="16"/>
  <c r="I467" i="16"/>
  <c r="I468" i="16"/>
  <c r="I469" i="16"/>
  <c r="I470" i="16"/>
  <c r="I471" i="16"/>
  <c r="I472" i="16"/>
  <c r="I473" i="16"/>
  <c r="I474" i="16"/>
  <c r="I475" i="16"/>
  <c r="I476" i="16"/>
  <c r="I477" i="16"/>
  <c r="I478" i="16"/>
  <c r="I479" i="16"/>
  <c r="I480" i="16"/>
  <c r="I481" i="16"/>
  <c r="I482" i="16"/>
  <c r="I483" i="16"/>
  <c r="I484" i="16"/>
  <c r="I485" i="16"/>
  <c r="I486" i="16"/>
  <c r="I487" i="16"/>
  <c r="I488" i="16"/>
  <c r="I489" i="16"/>
  <c r="I490" i="16"/>
  <c r="I491" i="16"/>
  <c r="I492" i="16"/>
  <c r="I493" i="16"/>
  <c r="I494" i="16"/>
  <c r="I495" i="16"/>
  <c r="I496" i="16"/>
  <c r="I497" i="16"/>
  <c r="I498" i="16"/>
  <c r="I499" i="16"/>
  <c r="I500" i="16"/>
  <c r="I501" i="16"/>
  <c r="I502" i="16"/>
  <c r="I503" i="16"/>
  <c r="I504" i="16"/>
  <c r="I505" i="16"/>
  <c r="I506" i="16"/>
  <c r="I507" i="16"/>
  <c r="I508" i="16"/>
  <c r="I509" i="16"/>
  <c r="I510" i="16"/>
  <c r="I511" i="16"/>
  <c r="I512" i="16"/>
  <c r="I513" i="16"/>
  <c r="I514" i="16"/>
  <c r="I515" i="16"/>
  <c r="I516" i="16"/>
  <c r="I517" i="16"/>
  <c r="I518" i="16"/>
  <c r="I519" i="16"/>
  <c r="I520" i="16"/>
  <c r="I521" i="16"/>
  <c r="I522" i="16"/>
  <c r="I523" i="16"/>
  <c r="I524" i="16"/>
  <c r="I525" i="16"/>
  <c r="I526" i="16"/>
  <c r="I527" i="16"/>
  <c r="I528" i="16"/>
  <c r="I529" i="16"/>
  <c r="I530" i="16"/>
  <c r="I531" i="16"/>
  <c r="I532" i="16"/>
  <c r="I533" i="16"/>
  <c r="I534" i="16"/>
  <c r="I535" i="16"/>
  <c r="I536" i="16"/>
  <c r="I537" i="16"/>
  <c r="I538" i="16"/>
  <c r="I539" i="16"/>
  <c r="I540" i="16"/>
  <c r="I541" i="16"/>
  <c r="I542" i="16"/>
  <c r="I543" i="16"/>
  <c r="I544" i="16"/>
  <c r="I545" i="16"/>
  <c r="I546" i="16"/>
  <c r="I547" i="16"/>
  <c r="I548" i="16"/>
  <c r="I549" i="16"/>
  <c r="I550" i="16"/>
  <c r="I551" i="16"/>
  <c r="I552" i="16"/>
  <c r="I553" i="16"/>
  <c r="I554" i="16"/>
  <c r="I555" i="16"/>
  <c r="I556" i="16"/>
  <c r="I557" i="16"/>
  <c r="I558" i="16"/>
  <c r="I559" i="16"/>
  <c r="I560" i="16"/>
  <c r="I561" i="16"/>
  <c r="I562" i="16"/>
  <c r="I563" i="16"/>
  <c r="I564" i="16"/>
  <c r="I565" i="16"/>
  <c r="I566" i="16"/>
  <c r="I567" i="16"/>
  <c r="I568" i="16"/>
  <c r="I569" i="16"/>
  <c r="I570" i="16"/>
  <c r="I571" i="16"/>
  <c r="I572" i="16"/>
  <c r="I573" i="16"/>
  <c r="I574" i="16"/>
  <c r="I575" i="16"/>
  <c r="I576" i="16"/>
  <c r="I577" i="16"/>
  <c r="I578" i="16"/>
  <c r="I579" i="16"/>
  <c r="I580" i="16"/>
  <c r="I581" i="16"/>
  <c r="I582" i="16"/>
  <c r="I583" i="16"/>
  <c r="I584" i="16"/>
  <c r="I585" i="16"/>
  <c r="I586" i="16"/>
  <c r="I587" i="16"/>
  <c r="I588" i="16"/>
  <c r="I589" i="16"/>
  <c r="I590" i="16"/>
  <c r="I591" i="16"/>
  <c r="I592" i="16"/>
  <c r="I593" i="16"/>
  <c r="I594" i="16"/>
  <c r="I595" i="16"/>
  <c r="I596" i="16"/>
  <c r="I597" i="16"/>
  <c r="I598" i="16"/>
  <c r="I599" i="16"/>
  <c r="I600" i="16"/>
  <c r="I601" i="16"/>
  <c r="I602" i="16"/>
  <c r="I603" i="16"/>
  <c r="I604" i="16"/>
  <c r="I605" i="16"/>
  <c r="I606" i="16"/>
  <c r="I607" i="16"/>
  <c r="I608" i="16"/>
  <c r="I609" i="16"/>
  <c r="I610" i="16"/>
  <c r="I611" i="16"/>
  <c r="I612" i="16"/>
  <c r="I613" i="16"/>
  <c r="I614" i="16"/>
  <c r="I615" i="16"/>
  <c r="I616" i="16"/>
  <c r="I617" i="16"/>
  <c r="I618" i="16"/>
  <c r="I619" i="16"/>
  <c r="I620" i="16"/>
  <c r="I621" i="16"/>
  <c r="I622" i="16"/>
  <c r="I623" i="16"/>
  <c r="I624" i="16"/>
  <c r="I625" i="16"/>
  <c r="I626" i="16"/>
  <c r="I627" i="16"/>
  <c r="I628" i="16"/>
  <c r="I629" i="16"/>
  <c r="I630" i="16"/>
  <c r="I631" i="16"/>
  <c r="I632" i="16"/>
  <c r="I633" i="16"/>
  <c r="I634" i="16"/>
  <c r="I635" i="16"/>
  <c r="I636" i="16"/>
  <c r="I637" i="16"/>
  <c r="I638" i="16"/>
  <c r="I639" i="16"/>
  <c r="I640" i="16"/>
  <c r="I641" i="16"/>
  <c r="I642" i="16"/>
  <c r="I643" i="16"/>
  <c r="I644" i="16"/>
  <c r="I645" i="16"/>
  <c r="I646" i="16"/>
  <c r="I647" i="16"/>
  <c r="I648" i="16"/>
  <c r="I649" i="16"/>
  <c r="I650" i="16"/>
  <c r="I651" i="16"/>
  <c r="I652" i="16"/>
  <c r="I653" i="16"/>
  <c r="I654" i="16"/>
  <c r="I655" i="16"/>
  <c r="I656" i="16"/>
  <c r="I657" i="16"/>
  <c r="I658" i="16"/>
  <c r="I659" i="16"/>
  <c r="I660" i="16"/>
  <c r="I661" i="16"/>
  <c r="I662" i="16"/>
  <c r="I663" i="16"/>
  <c r="I664" i="16"/>
  <c r="I665" i="16"/>
  <c r="I666" i="16"/>
  <c r="I667" i="16"/>
  <c r="I668" i="16"/>
  <c r="I669" i="16"/>
  <c r="I670" i="16"/>
  <c r="I671" i="16"/>
  <c r="I672" i="16"/>
  <c r="I673" i="16"/>
  <c r="I674" i="16"/>
  <c r="I675" i="16"/>
  <c r="I676" i="16"/>
  <c r="I677" i="16"/>
  <c r="I678" i="16"/>
  <c r="I679" i="16"/>
  <c r="I680" i="16"/>
  <c r="I681" i="16"/>
  <c r="I682" i="16"/>
  <c r="I683" i="16"/>
  <c r="I684" i="16"/>
  <c r="I685" i="16"/>
  <c r="I686" i="16"/>
  <c r="I687" i="16"/>
  <c r="I688" i="16"/>
  <c r="I689" i="16"/>
  <c r="I690" i="16"/>
  <c r="I691" i="16"/>
  <c r="I692" i="16"/>
  <c r="I693" i="16"/>
  <c r="I694" i="16"/>
  <c r="I695" i="16"/>
  <c r="I696" i="16"/>
  <c r="I697" i="16"/>
  <c r="I698" i="16"/>
  <c r="I699" i="16"/>
  <c r="AV30" i="31"/>
  <c r="C35" i="38" s="1"/>
  <c r="C99" i="14" l="1"/>
  <c r="E99" i="14" s="1"/>
  <c r="C95" i="14"/>
  <c r="E95" i="14" s="1"/>
  <c r="C87" i="14"/>
  <c r="E87" i="14" s="1"/>
  <c r="C94" i="14"/>
  <c r="E94" i="14" s="1"/>
  <c r="C86" i="14"/>
  <c r="E86" i="14" s="1"/>
  <c r="C77" i="14"/>
  <c r="E77" i="14" s="1"/>
  <c r="C93" i="14"/>
  <c r="E93" i="14" s="1"/>
  <c r="C85" i="14"/>
  <c r="E85" i="14" s="1"/>
  <c r="C61" i="14"/>
  <c r="E61" i="14" s="1"/>
  <c r="C53" i="14"/>
  <c r="E53" i="14" s="1"/>
  <c r="C92" i="14"/>
  <c r="E92" i="14" s="1"/>
  <c r="C84" i="14"/>
  <c r="E84" i="14" s="1"/>
  <c r="C91" i="14"/>
  <c r="E91" i="14" s="1"/>
  <c r="C83" i="14"/>
  <c r="E83" i="14" s="1"/>
  <c r="C98" i="14"/>
  <c r="E98" i="14" s="1"/>
  <c r="C90" i="14"/>
  <c r="E90" i="14" s="1"/>
  <c r="C82" i="14"/>
  <c r="E82" i="14" s="1"/>
  <c r="C97" i="14"/>
  <c r="E97" i="14" s="1"/>
  <c r="C89" i="14"/>
  <c r="E89" i="14" s="1"/>
  <c r="C81" i="14"/>
  <c r="E81" i="14" s="1"/>
  <c r="C96" i="14"/>
  <c r="E96" i="14" s="1"/>
  <c r="C88" i="14"/>
  <c r="E88" i="14" s="1"/>
  <c r="C80" i="14"/>
  <c r="E80" i="14" s="1"/>
  <c r="C69" i="14"/>
  <c r="E69" i="14" s="1"/>
  <c r="C76" i="14"/>
  <c r="E76" i="14" s="1"/>
  <c r="C68" i="14"/>
  <c r="E68" i="14" s="1"/>
  <c r="C60" i="14"/>
  <c r="E60" i="14" s="1"/>
  <c r="C75" i="14"/>
  <c r="E75" i="14" s="1"/>
  <c r="C67" i="14"/>
  <c r="E67" i="14" s="1"/>
  <c r="C59" i="14"/>
  <c r="E59" i="14" s="1"/>
  <c r="C74" i="14"/>
  <c r="E74" i="14" s="1"/>
  <c r="C66" i="14"/>
  <c r="E66" i="14" s="1"/>
  <c r="C73" i="14"/>
  <c r="E73" i="14" s="1"/>
  <c r="C65" i="14"/>
  <c r="E65" i="14" s="1"/>
  <c r="C72" i="14"/>
  <c r="E72" i="14" s="1"/>
  <c r="C64" i="14"/>
  <c r="E64" i="14" s="1"/>
  <c r="C79" i="14"/>
  <c r="E79" i="14" s="1"/>
  <c r="C71" i="14"/>
  <c r="E71" i="14" s="1"/>
  <c r="C62" i="14"/>
  <c r="E62" i="14" s="1"/>
  <c r="C52" i="14"/>
  <c r="E52" i="14" s="1"/>
  <c r="C51" i="14"/>
  <c r="E51" i="14" s="1"/>
  <c r="C58" i="14"/>
  <c r="E58" i="14" s="1"/>
  <c r="C50" i="14"/>
  <c r="E50" i="14" s="1"/>
  <c r="C56" i="14"/>
  <c r="E56" i="14" s="1"/>
  <c r="C48" i="14"/>
  <c r="E48" i="14" s="1"/>
  <c r="C55" i="14"/>
  <c r="E55" i="14" s="1"/>
  <c r="C54" i="14"/>
  <c r="E54" i="14" s="1"/>
  <c r="C57" i="14"/>
  <c r="E57" i="14" s="1"/>
  <c r="C49" i="14"/>
  <c r="E49" i="14" s="1"/>
  <c r="C44" i="14"/>
  <c r="E44" i="14" s="1"/>
  <c r="C47" i="14"/>
  <c r="E47" i="14" s="1"/>
  <c r="C45" i="14"/>
  <c r="E45" i="14" s="1"/>
  <c r="C43" i="14"/>
  <c r="E43" i="14" s="1"/>
  <c r="C35" i="14"/>
  <c r="E35" i="14" s="1"/>
  <c r="C19" i="14"/>
  <c r="E19" i="14" s="1"/>
  <c r="C11" i="14"/>
  <c r="E11" i="14" s="1"/>
  <c r="C34" i="14"/>
  <c r="E34" i="14" s="1"/>
  <c r="C18" i="14"/>
  <c r="E18" i="14" s="1"/>
  <c r="C10" i="14"/>
  <c r="E10" i="14" s="1"/>
  <c r="C25" i="14"/>
  <c r="E25" i="14" s="1"/>
  <c r="C17" i="14"/>
  <c r="E17" i="14" s="1"/>
  <c r="C9" i="14"/>
  <c r="E9" i="14" s="1"/>
  <c r="C32" i="14"/>
  <c r="E32" i="14" s="1"/>
  <c r="C16" i="14"/>
  <c r="E16" i="14" s="1"/>
  <c r="C8" i="14"/>
  <c r="E8" i="14" s="1"/>
  <c r="C31" i="14"/>
  <c r="E31" i="14" s="1"/>
  <c r="C38" i="14"/>
  <c r="E38" i="14" s="1"/>
  <c r="C30" i="14"/>
  <c r="E30" i="14" s="1"/>
  <c r="C27" i="14"/>
  <c r="E27" i="14" s="1"/>
  <c r="C26" i="14"/>
  <c r="E26" i="14" s="1"/>
  <c r="C42" i="14"/>
  <c r="E42" i="14" s="1"/>
  <c r="C33" i="14"/>
  <c r="E33" i="14" s="1"/>
  <c r="C41" i="14"/>
  <c r="E41" i="14" s="1"/>
  <c r="C40" i="14"/>
  <c r="E40" i="14" s="1"/>
  <c r="C24" i="14"/>
  <c r="E24" i="14" s="1"/>
  <c r="C39" i="14"/>
  <c r="E39" i="14" s="1"/>
  <c r="C15" i="14"/>
  <c r="E15" i="14" s="1"/>
  <c r="C23" i="14"/>
  <c r="E23" i="14" s="1"/>
  <c r="C14" i="14"/>
  <c r="E14" i="14" s="1"/>
  <c r="C22" i="14"/>
  <c r="E22" i="14" s="1"/>
  <c r="C37" i="14"/>
  <c r="E37" i="14" s="1"/>
  <c r="C13" i="14"/>
  <c r="E13" i="14" s="1"/>
  <c r="C29" i="14"/>
  <c r="E29" i="14" s="1"/>
  <c r="C21" i="14"/>
  <c r="E21" i="14" s="1"/>
  <c r="C28" i="14"/>
  <c r="E28" i="14" s="1"/>
  <c r="C12" i="14"/>
  <c r="E12" i="14" s="1"/>
  <c r="C36" i="14"/>
  <c r="E36" i="14" s="1"/>
  <c r="C20" i="14"/>
  <c r="E20" i="14" s="1"/>
  <c r="H21" i="23"/>
  <c r="H16" i="23"/>
  <c r="AR6" i="31"/>
  <c r="G16" i="38" s="1"/>
  <c r="G19" i="23"/>
  <c r="G18" i="23"/>
  <c r="C25" i="37"/>
  <c r="D25" i="37"/>
  <c r="E25" i="37"/>
  <c r="I25" i="37"/>
  <c r="C7" i="14"/>
  <c r="E7" i="14" s="1"/>
  <c r="E26" i="37"/>
  <c r="H20" i="23"/>
  <c r="H17" i="23"/>
  <c r="I11" i="37"/>
  <c r="E11" i="37"/>
  <c r="H11" i="37"/>
  <c r="G11" i="37"/>
  <c r="E21" i="38"/>
  <c r="C11" i="37"/>
  <c r="H37" i="38" l="1"/>
  <c r="F37" i="38"/>
  <c r="F11" i="37"/>
  <c r="C24" i="38" l="1"/>
  <c r="H27" i="38"/>
  <c r="C21" i="38"/>
  <c r="F21" i="38"/>
  <c r="F14" i="37" l="1"/>
  <c r="H24" i="38"/>
  <c r="F17" i="37"/>
  <c r="C27" i="38"/>
  <c r="F12" i="37"/>
  <c r="C22" i="38"/>
  <c r="H21" i="38"/>
  <c r="H26" i="38" l="1"/>
  <c r="F26" i="38"/>
  <c r="H25" i="38"/>
  <c r="F25" i="38"/>
  <c r="F24" i="38"/>
  <c r="F22" i="38"/>
  <c r="H22" i="38"/>
  <c r="G52" i="38" s="1"/>
  <c r="G53" i="38" s="1"/>
</calcChain>
</file>

<file path=xl/sharedStrings.xml><?xml version="1.0" encoding="utf-8"?>
<sst xmlns="http://schemas.openxmlformats.org/spreadsheetml/2006/main" count="680" uniqueCount="345">
  <si>
    <t>Blanco</t>
  </si>
  <si>
    <t>Artículo</t>
  </si>
  <si>
    <t>POESIA</t>
  </si>
  <si>
    <t>TEJIDO</t>
  </si>
  <si>
    <t>ARTICULO</t>
  </si>
  <si>
    <t>PRODUCTO</t>
  </si>
  <si>
    <t>Mantel</t>
  </si>
  <si>
    <t>Cubre</t>
  </si>
  <si>
    <t>Servilleta</t>
  </si>
  <si>
    <t>COLOR</t>
  </si>
  <si>
    <t>Triunfo</t>
  </si>
  <si>
    <t>ANCHO</t>
  </si>
  <si>
    <t>LARGO</t>
  </si>
  <si>
    <t>MEDIDA TERMINADA</t>
  </si>
  <si>
    <t>MEDIDA CON DOBLAD.</t>
  </si>
  <si>
    <t>MEDIDA CORTE</t>
  </si>
  <si>
    <t>REDONDO (1/2)</t>
  </si>
  <si>
    <t>(1) Si   (2) No</t>
  </si>
  <si>
    <t>CONFECCIÓN</t>
  </si>
  <si>
    <t>TARIFA DE CONFECCIÓN 2003</t>
  </si>
  <si>
    <t>METROS</t>
  </si>
  <si>
    <r>
      <t xml:space="preserve">Los precios de la confección con </t>
    </r>
    <r>
      <rPr>
        <b/>
        <u/>
        <sz val="10"/>
        <color indexed="18"/>
        <rFont val="Calisto MT"/>
        <family val="1"/>
      </rPr>
      <t>dobladillo a dos centímetros</t>
    </r>
    <r>
      <rPr>
        <b/>
        <sz val="10"/>
        <color indexed="18"/>
        <rFont val="Calisto MT"/>
        <family val="1"/>
      </rPr>
      <t>, son los anteriores multiplicados por dos</t>
    </r>
  </si>
  <si>
    <t>Nº Fila</t>
  </si>
  <si>
    <t>MARGEN</t>
  </si>
  <si>
    <t>COSTE</t>
  </si>
  <si>
    <t>FESTÓN</t>
  </si>
  <si>
    <t>FESTÓN (1/2)</t>
  </si>
  <si>
    <t>PRECIO</t>
  </si>
  <si>
    <t>€/Mt.</t>
  </si>
  <si>
    <t>CANTIDAD</t>
  </si>
  <si>
    <t>CLIENTE:</t>
  </si>
  <si>
    <t>FECHA:</t>
  </si>
  <si>
    <t>Con Fecha:</t>
  </si>
  <si>
    <t>Validez hasta:</t>
  </si>
  <si>
    <t>Estos precios no incluyen I.V.A.</t>
  </si>
  <si>
    <t>Confección a Capet</t>
  </si>
  <si>
    <t>(1) Si   (0) No</t>
  </si>
  <si>
    <t>ENCOG. (1/0)</t>
  </si>
  <si>
    <t>DOBLADILLO</t>
  </si>
  <si>
    <t>(1) Sencillo o Medida</t>
  </si>
  <si>
    <t>COMERCIAL:</t>
  </si>
  <si>
    <t>REFERENCIA:</t>
  </si>
  <si>
    <t>PICOS REDOND</t>
  </si>
  <si>
    <t>C</t>
  </si>
  <si>
    <t>A</t>
  </si>
  <si>
    <t>B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</si>
  <si>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</si>
  <si>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</si>
  <si>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</si>
  <si>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</si>
  <si>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</si>
  <si>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</si>
  <si>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</si>
  <si>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</si>
  <si>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</si>
  <si>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</si>
  <si>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</si>
  <si>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Ñ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</si>
  <si>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</si>
  <si>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</si>
  <si>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</si>
  <si>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</si>
  <si>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</si>
  <si>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</si>
  <si>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</si>
  <si>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</si>
  <si>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</si>
  <si>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</si>
  <si>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</si>
  <si>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</si>
  <si>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TVR</t>
  </si>
  <si>
    <t>NOMBRE ARTICULO</t>
  </si>
  <si>
    <t>REF. 1</t>
  </si>
  <si>
    <t>REF. 2</t>
  </si>
  <si>
    <t>REF. 3</t>
  </si>
  <si>
    <t>FILA</t>
  </si>
  <si>
    <t>ANCHO PIEZA</t>
  </si>
  <si>
    <t>PRECIO VENTA</t>
  </si>
  <si>
    <t>AÑADIR LARGO</t>
  </si>
  <si>
    <t>REDONDA</t>
  </si>
  <si>
    <t>MEDIDA MESA</t>
  </si>
  <si>
    <t>COBRA SOBRANTE</t>
  </si>
  <si>
    <t>EMPALME</t>
  </si>
  <si>
    <t>ANCHO DEL TEJIDO</t>
  </si>
  <si>
    <t>ANCHO DEL MANTEL</t>
  </si>
  <si>
    <t>LARGO EMPALME</t>
  </si>
  <si>
    <t>REF. EMPALME</t>
  </si>
  <si>
    <t>ANCHO EMPALME</t>
  </si>
  <si>
    <t>AL ANCHO SALEN</t>
  </si>
  <si>
    <t>NUM. EMPALM.</t>
  </si>
  <si>
    <t>NUM. EMPALM</t>
  </si>
  <si>
    <t>SOLO SIN SON MENOS</t>
  </si>
  <si>
    <t>TAMAÑO DEL ARTICULO A CONFECCIONAR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</si>
  <si>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</si>
  <si>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</si>
  <si>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</si>
  <si>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</si>
  <si>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</si>
  <si>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</si>
  <si>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</si>
  <si>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</si>
  <si>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</si>
  <si>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</si>
  <si>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</si>
  <si>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</si>
  <si>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</si>
  <si>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</si>
  <si>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AÑ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</si>
  <si>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</si>
  <si>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</si>
  <si>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</si>
  <si>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</si>
  <si>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</si>
  <si>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</si>
  <si>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</si>
  <si>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</si>
  <si>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</si>
  <si>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</si>
  <si>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</si>
  <si>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</si>
  <si>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</si>
  <si>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</si>
  <si>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</si>
  <si>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</si>
  <si>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</si>
  <si>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</si>
  <si>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</si>
  <si>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</si>
  <si>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</si>
  <si>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</si>
  <si>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</si>
  <si>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</si>
  <si>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</si>
  <si>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</si>
  <si>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BÑ</t>
  </si>
  <si>
    <t>BO</t>
  </si>
  <si>
    <t>BP</t>
  </si>
  <si>
    <t>100% Poliester</t>
  </si>
  <si>
    <t>COMPOSICION</t>
  </si>
  <si>
    <t>¡¡¡¡NO PONGAS ACENTOS !!!!!!</t>
  </si>
  <si>
    <t>ALTO DE LA MESA</t>
  </si>
  <si>
    <t>CAIDA MANTEL</t>
  </si>
  <si>
    <t>ALEPO</t>
  </si>
  <si>
    <t>Muleton</t>
  </si>
  <si>
    <t>Encogimiento LargoU</t>
  </si>
  <si>
    <t>Encogimiento AnchoT</t>
  </si>
  <si>
    <t>Palido</t>
  </si>
  <si>
    <t>ANTIBES</t>
  </si>
  <si>
    <t>GRT</t>
  </si>
  <si>
    <t>Informe de compatibilidad para 2007V1_PRESUPUESTO_MANTELERIA(1).xls</t>
  </si>
  <si>
    <t>Ejecutar el 10/11/2008 21:05</t>
  </si>
  <si>
    <t>Las siguientes características de este libro no son compatibles con versiones anteriores de Excel. Estas características podrían perderse o degradarse si guarda el libro con un formato de archivo anterior.</t>
  </si>
  <si>
    <t>Pérdida menor de fidelidad</t>
  </si>
  <si>
    <t>Nº de apariciones</t>
  </si>
  <si>
    <t>Algunas fórmulas de este libro están vinculadas a otros libros que están cerrados. Cuando estas fórmulas se vuelven a calcular en versiones anteriores de Excel sin abrir los libros vinculados, los caracteres que exceden el límite de 255 caracteres no se pueden devolver.</t>
  </si>
  <si>
    <t>6
Nombres definidos</t>
  </si>
  <si>
    <t>Considerado encogimiento.</t>
  </si>
  <si>
    <t>PRESUPUESTO:</t>
  </si>
  <si>
    <t>ORQUIDEAS</t>
  </si>
  <si>
    <t xml:space="preserve">ANTIBES </t>
  </si>
  <si>
    <t>2XMANTEL+EMPALME+DIBUJO AL LARGO U</t>
  </si>
  <si>
    <t>CONSUMO X 2 MANTELES</t>
  </si>
  <si>
    <t>Ancho tejido</t>
  </si>
  <si>
    <t>modelo</t>
  </si>
  <si>
    <t>Medida mantel</t>
  </si>
  <si>
    <t>largo empalme</t>
  </si>
  <si>
    <t>dubujo U</t>
  </si>
  <si>
    <t>consumo x 2</t>
  </si>
  <si>
    <t>ANCHO TEJIDO</t>
  </si>
  <si>
    <t>MODELO</t>
  </si>
  <si>
    <t>MEDIDA MATEL</t>
  </si>
  <si>
    <t>DIBUJO U</t>
  </si>
  <si>
    <t>CONSUMO X2</t>
  </si>
  <si>
    <t>CONSUMO X1</t>
  </si>
  <si>
    <t>SOLO ANCHO 280</t>
  </si>
  <si>
    <t>SOLO ANCHO 300</t>
  </si>
  <si>
    <t>SOLO ANCHO 320</t>
  </si>
  <si>
    <t>PARAISO</t>
  </si>
  <si>
    <t>Comer</t>
  </si>
  <si>
    <t>Sat</t>
  </si>
  <si>
    <t>Rio</t>
  </si>
  <si>
    <t>SCALA</t>
  </si>
  <si>
    <t>DATOS DE TEJIDO</t>
  </si>
  <si>
    <t>Granito</t>
  </si>
  <si>
    <t>NOTA.- PORCENTAJE A QUITAR SI ES 25</t>
  </si>
  <si>
    <t>ES 0.75</t>
  </si>
  <si>
    <t>para poner 1,25</t>
  </si>
  <si>
    <t>Algodn / lino</t>
  </si>
  <si>
    <t>Todas las prendas, seran identificadas con etiquerta color, según medida.</t>
  </si>
  <si>
    <t xml:space="preserve">TOTAL  PRESUPUESTO </t>
  </si>
  <si>
    <t>La cantidad de prendas, puede variar en un + - 10%</t>
  </si>
  <si>
    <t>Resto a la entrega de mercancia</t>
  </si>
  <si>
    <t>F. Pago : 50% a la aceptacion de presupuesto.</t>
  </si>
  <si>
    <t>CINTA</t>
  </si>
  <si>
    <t>MEDIDA USO</t>
  </si>
  <si>
    <t>MEDIDA DE CORTE</t>
  </si>
  <si>
    <t>Valido hasta:</t>
  </si>
  <si>
    <t>PRESUPUESTO</t>
  </si>
  <si>
    <t>Fecha de presupuesto:</t>
  </si>
  <si>
    <t>DESCRIPCION</t>
  </si>
  <si>
    <t>TOTAL</t>
  </si>
  <si>
    <t>MESA</t>
  </si>
  <si>
    <t>DESCRIPCION ARTICULO</t>
  </si>
  <si>
    <t>PRECIO UNITARIO</t>
  </si>
  <si>
    <t>Camino de mesa</t>
  </si>
  <si>
    <t>Gueridon</t>
  </si>
  <si>
    <t>FIRMA:</t>
  </si>
  <si>
    <t>ANOTACIONES:</t>
  </si>
  <si>
    <t>PRESU. Nº:</t>
  </si>
  <si>
    <t>ARTICULO (1/2/3/4/5/6)</t>
  </si>
  <si>
    <t>Lito</t>
  </si>
  <si>
    <t>DATOS FISCALES</t>
  </si>
  <si>
    <t xml:space="preserve">PRESUPUESO Nº: </t>
  </si>
  <si>
    <t xml:space="preserve">CLIENTE: </t>
  </si>
  <si>
    <t xml:space="preserve">FECHA: </t>
  </si>
  <si>
    <t xml:space="preserve">COMERCIAL: </t>
  </si>
  <si>
    <t xml:space="preserve">REFERNCIA: </t>
  </si>
  <si>
    <t xml:space="preserve">SOCIEDAD: </t>
  </si>
  <si>
    <t xml:space="preserve">NIF: </t>
  </si>
  <si>
    <t xml:space="preserve">DIRECCION: </t>
  </si>
  <si>
    <t xml:space="preserve">CORREO: </t>
  </si>
  <si>
    <t xml:space="preserve">PERSONA DE CONTACTO: </t>
  </si>
  <si>
    <t xml:space="preserve">TELEFONO: </t>
  </si>
  <si>
    <t>RMR</t>
  </si>
  <si>
    <t>Individual</t>
  </si>
  <si>
    <t>Santorini</t>
  </si>
  <si>
    <t>Saten 50/50</t>
  </si>
  <si>
    <t>Saten Pes100</t>
  </si>
  <si>
    <t>Triana</t>
  </si>
  <si>
    <t>Triunfo Lino</t>
  </si>
  <si>
    <t>Triana Imitacion</t>
  </si>
  <si>
    <t>Tevere</t>
  </si>
  <si>
    <t>Tagore Pes100</t>
  </si>
  <si>
    <t>Jara</t>
  </si>
  <si>
    <t>Lino Jazmin</t>
  </si>
  <si>
    <t>Damasco Alhambra</t>
  </si>
  <si>
    <t>Nilo Rustico</t>
  </si>
  <si>
    <t>Lino Grt</t>
  </si>
  <si>
    <t>Acrisol Liso 160</t>
  </si>
  <si>
    <t>Acrisol Liso 320</t>
  </si>
  <si>
    <t>Acrisol 7 Calles 160</t>
  </si>
  <si>
    <t>50% Alg./50%Pes.</t>
  </si>
  <si>
    <t>Medio</t>
  </si>
  <si>
    <t>Intenso</t>
  </si>
  <si>
    <t>Intenso Especial</t>
  </si>
  <si>
    <t>Saten London</t>
  </si>
  <si>
    <t>PEDIDO Nº</t>
  </si>
  <si>
    <t>F. ENTREGA:</t>
  </si>
  <si>
    <t>F. TEJIDO:</t>
  </si>
  <si>
    <t>F. OK PEDIDO:</t>
  </si>
  <si>
    <t>CORTE</t>
  </si>
  <si>
    <t>TEJIDO:</t>
  </si>
  <si>
    <t>Subtotal</t>
  </si>
  <si>
    <t>Iva 21%</t>
  </si>
  <si>
    <t>Total:</t>
  </si>
  <si>
    <t>GCU</t>
  </si>
  <si>
    <t>LinoPoliester</t>
  </si>
  <si>
    <t>Natural</t>
  </si>
  <si>
    <t>50% Lino/50%Pes.</t>
  </si>
  <si>
    <t>Negro</t>
  </si>
  <si>
    <t>Saten Liso Nacional</t>
  </si>
  <si>
    <t>Saten Liso Importacion</t>
  </si>
  <si>
    <t>Gris</t>
  </si>
  <si>
    <t>Chambery</t>
  </si>
  <si>
    <t>48% Alg./52%Pes.</t>
  </si>
  <si>
    <t>Rabat</t>
  </si>
  <si>
    <t>Arena</t>
  </si>
  <si>
    <t>ANG</t>
  </si>
  <si>
    <t>Lino 100% For.</t>
  </si>
  <si>
    <t>100% Lino</t>
  </si>
  <si>
    <t>Tostado</t>
  </si>
  <si>
    <t>50% Li./50%Pes.</t>
  </si>
  <si>
    <t>Crudo</t>
  </si>
  <si>
    <t>Col. Rustico T.</t>
  </si>
  <si>
    <t>BTX</t>
  </si>
  <si>
    <t>Clio</t>
  </si>
  <si>
    <t>Rojo</t>
  </si>
  <si>
    <t>62%Alg. / 38% Pes.</t>
  </si>
  <si>
    <t>Nilo Cuadro</t>
  </si>
  <si>
    <t>Nilo cuadro</t>
  </si>
  <si>
    <t>Salmon</t>
  </si>
  <si>
    <t>RMA</t>
  </si>
  <si>
    <t>Rustico</t>
  </si>
  <si>
    <t>Saten Liso Poliester H</t>
  </si>
  <si>
    <t>YEB</t>
  </si>
  <si>
    <t>Fenicia</t>
  </si>
  <si>
    <t>Todos los colores</t>
  </si>
  <si>
    <t>70%Visc./30% Lino</t>
  </si>
  <si>
    <t>Mahon</t>
  </si>
  <si>
    <t>Gouble</t>
  </si>
  <si>
    <t>Trivial</t>
  </si>
  <si>
    <t>Cuerda</t>
  </si>
  <si>
    <t>COM</t>
  </si>
  <si>
    <t>Aeris</t>
  </si>
  <si>
    <t>Azul</t>
  </si>
  <si>
    <t>Recy Linen</t>
  </si>
  <si>
    <t xml:space="preserve">Recy Line </t>
  </si>
  <si>
    <t>Nature</t>
  </si>
  <si>
    <t>Caliza</t>
  </si>
  <si>
    <t>Gris Titanio</t>
  </si>
  <si>
    <t xml:space="preserve">Salvaje </t>
  </si>
  <si>
    <t>Gris Marengo</t>
  </si>
  <si>
    <t>al/lin/pol</t>
  </si>
  <si>
    <t>50%Lin./50%Pes.</t>
  </si>
  <si>
    <t>Blanco Quimico</t>
  </si>
  <si>
    <t>40%Alg.10%Lin.50%Pol</t>
  </si>
  <si>
    <t>Gris Indo</t>
  </si>
  <si>
    <t>Piedra</t>
  </si>
  <si>
    <t>Chocolate</t>
  </si>
  <si>
    <t>Azul Marino</t>
  </si>
  <si>
    <t>Resite Antimanchas</t>
  </si>
  <si>
    <t>Verde</t>
  </si>
  <si>
    <t>Saten Antimanchas</t>
  </si>
  <si>
    <t>Gouble M</t>
  </si>
  <si>
    <t>Color</t>
  </si>
  <si>
    <t>62%CO 38%PES</t>
  </si>
  <si>
    <t>Granate</t>
  </si>
  <si>
    <t>Milano Pol.100</t>
  </si>
  <si>
    <t>Saten I 50/50</t>
  </si>
  <si>
    <t>Saten I 65/35</t>
  </si>
  <si>
    <t>4P</t>
  </si>
  <si>
    <t>11P</t>
  </si>
  <si>
    <t>Beige</t>
  </si>
  <si>
    <t>35% Alg./65%Pes.</t>
  </si>
  <si>
    <t>Loneta Prisma</t>
  </si>
  <si>
    <t>Ocre</t>
  </si>
  <si>
    <t>Gris Perla</t>
  </si>
  <si>
    <t>MARIO</t>
  </si>
  <si>
    <t>Gold</t>
  </si>
  <si>
    <t>Frambuesa</t>
  </si>
  <si>
    <t>Bellini</t>
  </si>
  <si>
    <t>Funda</t>
  </si>
  <si>
    <t>Ninfa</t>
  </si>
  <si>
    <t>Mostaza</t>
  </si>
  <si>
    <t>Ninfa M</t>
  </si>
  <si>
    <t>ojo modificado según lavado miguel 2025</t>
  </si>
  <si>
    <t>Marfil</t>
  </si>
  <si>
    <t>Saten Algodon</t>
  </si>
  <si>
    <t>100% Algodón</t>
  </si>
  <si>
    <t>Lido</t>
  </si>
  <si>
    <t>Avellana</t>
  </si>
  <si>
    <t>Nido</t>
  </si>
  <si>
    <t>CLIENTE</t>
  </si>
  <si>
    <t>Baroja</t>
  </si>
  <si>
    <t>MRV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</si>
</sst>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_€_-;\-* #,##0.00\ _€_-;_-* &quot;-&quot;??\ _€_-;_-@_-"/>
    <numFmt numFmtId="165" formatCode="#,##0.00\ &quot;€&quot;"/>
    <numFmt numFmtId="166" formatCode="0;[Red]0"/>
    <numFmt numFmtId="167" formatCode="#,##0[$€];[Red]\-#,##0[$€]"/>
    <numFmt numFmtId="168" formatCode="d\ &quot;de&quot;\ mmmm\ &quot;de&quot;\ yyyy"/>
  </numFmts>
  <fonts count="88" x14ac:knownFonts="1">
    <font>
      <sz val="10"/>
      <name val="MS Sans Serif"/>
    </font>
    <font>
      <b/>
      <sz val="10"/>
      <name val="MS Sans Serif"/>
    </font>
    <font>
      <sz val="10"/>
      <name val="MS Sans Serif"/>
      <family val="2"/>
    </font>
    <font>
      <b/>
      <sz val="10"/>
      <color indexed="18"/>
      <name val="Calisto MT"/>
      <family val="1"/>
    </font>
    <font>
      <b/>
      <sz val="10"/>
      <color indexed="9"/>
      <name val="Calisto MT"/>
      <family val="1"/>
    </font>
    <font>
      <b/>
      <sz val="10"/>
      <name val="MS Sans Serif"/>
      <family val="2"/>
    </font>
    <font>
      <i/>
      <sz val="10"/>
      <name val="MS Sans Serif"/>
      <family val="2"/>
    </font>
    <font>
      <sz val="10"/>
      <name val="Arial"/>
      <family val="2"/>
    </font>
    <font>
      <b/>
      <sz val="20"/>
      <color indexed="18"/>
      <name val="Calisto MT"/>
      <family val="1"/>
    </font>
    <font>
      <sz val="10"/>
      <name val="Calisto MT"/>
      <family val="1"/>
    </font>
    <font>
      <b/>
      <u/>
      <sz val="10"/>
      <color indexed="18"/>
      <name val="Calisto MT"/>
      <family val="1"/>
    </font>
    <font>
      <b/>
      <sz val="10"/>
      <color indexed="18"/>
      <name val="Calisto MT"/>
      <family val="1"/>
    </font>
    <font>
      <sz val="10"/>
      <name val="Comic Sans MS"/>
      <family val="4"/>
    </font>
    <font>
      <sz val="10"/>
      <color indexed="10"/>
      <name val="Comic Sans MS"/>
      <family val="4"/>
    </font>
    <font>
      <b/>
      <sz val="10"/>
      <color indexed="10"/>
      <name val="Comic Sans MS"/>
      <family val="4"/>
    </font>
    <font>
      <sz val="10"/>
      <color indexed="18"/>
      <name val="Comic Sans MS"/>
      <family val="4"/>
    </font>
    <font>
      <i/>
      <sz val="10"/>
      <name val="Comic Sans MS"/>
      <family val="4"/>
    </font>
    <font>
      <sz val="10"/>
      <color indexed="10"/>
      <name val="MS Sans Serif"/>
      <family val="2"/>
    </font>
    <font>
      <b/>
      <i/>
      <sz val="10"/>
      <name val="MS Sans Serif"/>
      <family val="2"/>
    </font>
    <font>
      <b/>
      <sz val="10"/>
      <name val="Comic Sans MS"/>
      <family val="4"/>
    </font>
    <font>
      <b/>
      <sz val="10"/>
      <color indexed="9"/>
      <name val="Comic Sans MS"/>
      <family val="4"/>
    </font>
    <font>
      <b/>
      <sz val="12"/>
      <color indexed="9"/>
      <name val="Comic Sans MS"/>
      <family val="4"/>
    </font>
    <font>
      <sz val="12"/>
      <color indexed="9"/>
      <name val="Comic Sans MS"/>
      <family val="4"/>
    </font>
    <font>
      <b/>
      <sz val="8"/>
      <color indexed="9"/>
      <name val="Comic Sans MS"/>
      <family val="4"/>
    </font>
    <font>
      <b/>
      <sz val="16"/>
      <color indexed="18"/>
      <name val="Comic Sans MS"/>
      <family val="4"/>
    </font>
    <font>
      <b/>
      <sz val="22"/>
      <color indexed="18"/>
      <name val="Comic Sans MS"/>
      <family val="4"/>
    </font>
    <font>
      <b/>
      <sz val="13.5"/>
      <color indexed="18"/>
      <name val="Comic Sans MS"/>
      <family val="4"/>
    </font>
    <font>
      <b/>
      <sz val="24"/>
      <color indexed="9"/>
      <name val="MS Sans Serif"/>
      <family val="2"/>
    </font>
    <font>
      <sz val="10"/>
      <name val="Euphemia"/>
      <family val="2"/>
    </font>
    <font>
      <sz val="48"/>
      <name val="Comic Sans MS"/>
      <family val="4"/>
    </font>
    <font>
      <sz val="10"/>
      <name val="MS Sans Serif"/>
      <family val="2"/>
    </font>
    <font>
      <sz val="10"/>
      <color indexed="10"/>
      <name val="MS Sans Serif"/>
      <family val="2"/>
    </font>
    <font>
      <b/>
      <sz val="10"/>
      <name val="Euphemia"/>
      <family val="2"/>
    </font>
    <font>
      <u/>
      <sz val="10"/>
      <color theme="10"/>
      <name val="MS Sans Serif"/>
      <family val="2"/>
    </font>
    <font>
      <sz val="10"/>
      <color theme="6" tint="-0.499984740745262"/>
      <name val="Euphemia"/>
      <family val="2"/>
    </font>
    <font>
      <sz val="12"/>
      <color theme="6" tint="-0.499984740745262"/>
      <name val="Euphemia"/>
      <family val="2"/>
    </font>
    <font>
      <sz val="10"/>
      <color rgb="FFFFFF00"/>
      <name val="Comic Sans MS"/>
      <family val="4"/>
    </font>
    <font>
      <sz val="10"/>
      <color rgb="FF00B050"/>
      <name val="MS Sans Serif"/>
      <family val="2"/>
    </font>
    <font>
      <sz val="10"/>
      <color theme="6" tint="-0.249977111117893"/>
      <name val="MS Sans Serif"/>
      <family val="2"/>
    </font>
    <font>
      <sz val="48"/>
      <color theme="6" tint="-0.499984740745262"/>
      <name val="Algerian"/>
      <family val="5"/>
    </font>
    <font>
      <b/>
      <sz val="10"/>
      <color rgb="FFFF0000"/>
      <name val="MS Sans Serif"/>
      <family val="2"/>
    </font>
    <font>
      <sz val="48"/>
      <color theme="1"/>
      <name val="Comic Sans MS"/>
      <family val="4"/>
    </font>
    <font>
      <sz val="10"/>
      <color rgb="FF002060"/>
      <name val="MS Sans Serif"/>
      <family val="2"/>
    </font>
    <font>
      <b/>
      <sz val="10"/>
      <color theme="1"/>
      <name val="Euphemia"/>
      <family val="2"/>
    </font>
    <font>
      <b/>
      <sz val="10"/>
      <color theme="1"/>
      <name val="Comic Sans MS"/>
      <family val="4"/>
    </font>
    <font>
      <sz val="10"/>
      <color rgb="FF7030A0"/>
      <name val="MS Sans Serif"/>
      <family val="2"/>
    </font>
    <font>
      <sz val="10"/>
      <color rgb="FFFF0000"/>
      <name val="MS Sans Serif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theme="6" tint="-0.499984740745262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indexed="10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000000"/>
      <name val="Roboto"/>
    </font>
    <font>
      <sz val="10"/>
      <color theme="9" tint="-0.249977111117893"/>
      <name val="Euphemia"/>
      <family val="2"/>
    </font>
    <font>
      <b/>
      <i/>
      <sz val="14"/>
      <color theme="9" tint="-0.249977111117893"/>
      <name val="Vani"/>
      <family val="2"/>
    </font>
    <font>
      <sz val="10"/>
      <color theme="2" tint="-0.749992370372631"/>
      <name val="MS Sans Serif"/>
      <family val="2"/>
    </font>
    <font>
      <sz val="8"/>
      <name val="MS Sans Serif"/>
    </font>
    <font>
      <sz val="10"/>
      <color theme="1" tint="4.9989318521683403E-2"/>
      <name val="MS Sans Serif"/>
    </font>
    <font>
      <i/>
      <sz val="10"/>
      <color theme="1" tint="4.9989318521683403E-2"/>
      <name val="MS Sans Serif"/>
    </font>
    <font>
      <b/>
      <sz val="11"/>
      <color rgb="FFFA7D00"/>
      <name val="Calibri"/>
      <family val="2"/>
      <scheme val="minor"/>
    </font>
    <font>
      <sz val="10"/>
      <color rgb="FFE1DBD5"/>
      <name val="MS Sans Serif"/>
    </font>
    <font>
      <b/>
      <sz val="9"/>
      <name val="MS Sans Serif"/>
    </font>
    <font>
      <sz val="10"/>
      <color theme="1" tint="0.249977111117893"/>
      <name val="MS Sans Serif"/>
    </font>
    <font>
      <b/>
      <sz val="12"/>
      <color theme="1" tint="0.249977111117893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24"/>
      <color theme="1" tint="0.249977111117893"/>
      <name val="Biome"/>
      <family val="2"/>
    </font>
    <font>
      <sz val="11"/>
      <color theme="1" tint="0.249977111117893"/>
      <name val="Aptos Display"/>
      <family val="2"/>
    </font>
    <font>
      <sz val="10"/>
      <color theme="1" tint="0.249977111117893"/>
      <name val="Aptos Display"/>
      <family val="2"/>
    </font>
    <font>
      <b/>
      <sz val="11"/>
      <color theme="1" tint="0.249977111117893"/>
      <name val="Aptos Mono"/>
      <family val="3"/>
    </font>
    <font>
      <b/>
      <sz val="18"/>
      <color theme="1" tint="0.249977111117893"/>
      <name val="Aptos Mono"/>
      <family val="3"/>
    </font>
    <font>
      <sz val="12"/>
      <color theme="1" tint="0.249977111117893"/>
      <name val="Aptos Display"/>
      <family val="2"/>
    </font>
    <font>
      <b/>
      <sz val="10"/>
      <color theme="1" tint="0.249977111117893"/>
      <name val="Aptos Display"/>
      <family val="2"/>
    </font>
    <font>
      <b/>
      <sz val="11"/>
      <color rgb="FF311F11"/>
      <name val="Aptos Display"/>
      <family val="2"/>
    </font>
    <font>
      <sz val="11"/>
      <color rgb="FF311F11"/>
      <name val="Aptos Display"/>
      <family val="2"/>
    </font>
    <font>
      <b/>
      <sz val="10"/>
      <color rgb="FF311F11"/>
      <name val="Aptos Display"/>
      <family val="2"/>
    </font>
    <font>
      <sz val="10"/>
      <color rgb="FF311F11"/>
      <name val="Aptos Display"/>
      <family val="2"/>
    </font>
    <font>
      <b/>
      <sz val="11"/>
      <color theme="1" tint="0.14999847407452621"/>
      <name val="Aptos Display"/>
      <family val="2"/>
    </font>
    <font>
      <sz val="10"/>
      <color theme="1" tint="0.34998626667073579"/>
      <name val="Aptos"/>
      <family val="2"/>
    </font>
    <font>
      <i/>
      <sz val="10"/>
      <name val="MS Sans Serif"/>
    </font>
  </fonts>
  <fills count="13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</patternFill>
    </fill>
    <fill>
      <patternFill patternType="solid">
        <fgColor rgb="FFDFBEA5"/>
        <bgColor indexed="64"/>
      </patternFill>
    </fill>
    <fill>
      <patternFill patternType="solid">
        <fgColor rgb="FFF8F1EC"/>
        <bgColor indexed="64"/>
      </patternFill>
    </fill>
    <fill>
      <patternFill patternType="solid">
        <fgColor theme="2" tint="-0.249977111117893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1" tint="0.499984740745262"/>
      </left>
      <right style="medium">
        <color theme="1" tint="0.499984740745262"/>
      </right>
      <top/>
      <bottom/>
      <diagonal/>
    </border>
    <border>
      <left style="medium">
        <color theme="1" tint="0.499984740745262"/>
      </left>
      <right style="medium">
        <color theme="1" tint="0.499984740745262"/>
      </right>
      <top/>
      <bottom style="medium">
        <color theme="1" tint="0.49998474074526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8">
    <xf numFmtId="0" fontId="0" fillId="0" borderId="0"/>
    <xf numFmtId="167" fontId="2" fillId="0" borderId="0" applyFont="0" applyFill="0" applyBorder="0" applyAlignment="0" applyProtection="0"/>
    <xf numFmtId="0" fontId="33" fillId="0" borderId="0" applyNumberFormat="0" applyFill="0" applyBorder="0" applyAlignment="0" applyProtection="0">
      <alignment vertical="top"/>
      <protection locked="0"/>
    </xf>
    <xf numFmtId="40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  <xf numFmtId="9" fontId="2" fillId="0" borderId="0" applyFont="0" applyFill="0" applyBorder="0" applyAlignment="0" applyProtection="0"/>
    <xf numFmtId="0" fontId="66" fillId="9" borderId="34" applyNumberFormat="0" applyAlignment="0" applyProtection="0"/>
  </cellStyleXfs>
  <cellXfs count="324">
    <xf numFmtId="0" fontId="0" fillId="0" borderId="0" xfId="0"/>
    <xf numFmtId="0" fontId="5" fillId="0" borderId="0" xfId="0" applyFont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9" fillId="0" borderId="0" xfId="5" applyFont="1"/>
    <xf numFmtId="0" fontId="4" fillId="2" borderId="0" xfId="5" applyFont="1" applyFill="1" applyAlignment="1">
      <alignment horizontal="center"/>
    </xf>
    <xf numFmtId="164" fontId="4" fillId="2" borderId="0" xfId="4" applyFont="1" applyFill="1" applyAlignment="1">
      <alignment horizontal="center"/>
    </xf>
    <xf numFmtId="164" fontId="3" fillId="0" borderId="0" xfId="4" applyFont="1" applyAlignment="1">
      <alignment horizontal="center"/>
    </xf>
    <xf numFmtId="0" fontId="9" fillId="2" borderId="0" xfId="5" applyFont="1" applyFill="1"/>
    <xf numFmtId="0" fontId="3" fillId="0" borderId="0" xfId="5" applyFont="1"/>
    <xf numFmtId="0" fontId="11" fillId="0" borderId="0" xfId="5" applyFont="1"/>
    <xf numFmtId="0" fontId="11" fillId="0" borderId="0" xfId="5" applyFont="1" applyAlignment="1">
      <alignment horizontal="center"/>
    </xf>
    <xf numFmtId="0" fontId="12" fillId="0" borderId="0" xfId="0" applyFont="1"/>
    <xf numFmtId="0" fontId="13" fillId="0" borderId="0" xfId="0" applyFont="1"/>
    <xf numFmtId="0" fontId="12" fillId="3" borderId="0" xfId="0" applyFont="1" applyFill="1"/>
    <xf numFmtId="14" fontId="12" fillId="0" borderId="0" xfId="0" applyNumberFormat="1" applyFont="1"/>
    <xf numFmtId="0" fontId="14" fillId="0" borderId="0" xfId="0" applyFont="1"/>
    <xf numFmtId="0" fontId="12" fillId="2" borderId="0" xfId="0" applyFont="1" applyFill="1"/>
    <xf numFmtId="10" fontId="13" fillId="2" borderId="0" xfId="6" applyNumberFormat="1" applyFont="1" applyFill="1" applyAlignment="1">
      <alignment horizontal="center"/>
    </xf>
    <xf numFmtId="40" fontId="12" fillId="2" borderId="0" xfId="3" applyFont="1" applyFill="1" applyAlignment="1">
      <alignment horizontal="center"/>
    </xf>
    <xf numFmtId="40" fontId="12" fillId="2" borderId="0" xfId="3" applyFont="1" applyFill="1"/>
    <xf numFmtId="0" fontId="13" fillId="2" borderId="0" xfId="0" applyFont="1" applyFill="1"/>
    <xf numFmtId="0" fontId="13" fillId="2" borderId="0" xfId="0" applyFont="1" applyFill="1" applyAlignment="1">
      <alignment horizontal="center"/>
    </xf>
    <xf numFmtId="0" fontId="15" fillId="2" borderId="0" xfId="0" applyFont="1" applyFill="1"/>
    <xf numFmtId="0" fontId="12" fillId="2" borderId="0" xfId="0" applyFont="1" applyFill="1" applyAlignment="1">
      <alignment horizontal="center"/>
    </xf>
    <xf numFmtId="0" fontId="0" fillId="0" borderId="5" xfId="0" applyBorder="1"/>
    <xf numFmtId="0" fontId="17" fillId="0" borderId="0" xfId="0" applyFont="1" applyProtection="1">
      <protection locked="0"/>
    </xf>
    <xf numFmtId="10" fontId="17" fillId="0" borderId="0" xfId="6" applyNumberFormat="1" applyFont="1" applyBorder="1" applyProtection="1">
      <protection locked="0"/>
    </xf>
    <xf numFmtId="10" fontId="17" fillId="0" borderId="0" xfId="6" applyNumberFormat="1" applyFont="1" applyFill="1" applyBorder="1" applyProtection="1">
      <protection locked="0"/>
    </xf>
    <xf numFmtId="0" fontId="17" fillId="0" borderId="6" xfId="0" applyFont="1" applyBorder="1" applyProtection="1">
      <protection locked="0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10" xfId="0" applyFont="1" applyBorder="1"/>
    <xf numFmtId="0" fontId="18" fillId="0" borderId="10" xfId="0" applyFont="1" applyBorder="1"/>
    <xf numFmtId="0" fontId="18" fillId="0" borderId="8" xfId="0" applyFont="1" applyBorder="1"/>
    <xf numFmtId="0" fontId="5" fillId="0" borderId="7" xfId="0" applyFont="1" applyBorder="1"/>
    <xf numFmtId="0" fontId="17" fillId="0" borderId="1" xfId="0" applyFont="1" applyBorder="1" applyProtection="1">
      <protection locked="0"/>
    </xf>
    <xf numFmtId="0" fontId="17" fillId="0" borderId="3" xfId="0" applyFont="1" applyBorder="1" applyProtection="1">
      <protection locked="0"/>
    </xf>
    <xf numFmtId="38" fontId="16" fillId="4" borderId="0" xfId="3" applyNumberFormat="1" applyFont="1" applyFill="1" applyAlignment="1">
      <alignment horizontal="center"/>
    </xf>
    <xf numFmtId="0" fontId="16" fillId="4" borderId="0" xfId="0" applyFont="1" applyFill="1" applyAlignment="1">
      <alignment horizontal="center"/>
    </xf>
    <xf numFmtId="10" fontId="14" fillId="0" borderId="0" xfId="6" applyNumberFormat="1" applyFont="1" applyBorder="1" applyAlignment="1" applyProtection="1">
      <alignment horizontal="center"/>
      <protection locked="0"/>
    </xf>
    <xf numFmtId="0" fontId="14" fillId="0" borderId="11" xfId="0" applyFont="1" applyBorder="1" applyAlignment="1" applyProtection="1">
      <alignment horizontal="center"/>
      <protection locked="0"/>
    </xf>
    <xf numFmtId="0" fontId="14" fillId="0" borderId="1" xfId="0" applyFont="1" applyBorder="1" applyAlignment="1" applyProtection="1">
      <alignment horizontal="center"/>
      <protection locked="0"/>
    </xf>
    <xf numFmtId="0" fontId="19" fillId="0" borderId="9" xfId="0" applyFont="1" applyBorder="1" applyAlignment="1">
      <alignment horizontal="center"/>
    </xf>
    <xf numFmtId="0" fontId="14" fillId="0" borderId="0" xfId="0" applyFont="1" applyAlignment="1" applyProtection="1">
      <alignment horizontal="center"/>
      <protection locked="0"/>
    </xf>
    <xf numFmtId="0" fontId="14" fillId="0" borderId="2" xfId="0" applyFont="1" applyBorder="1" applyAlignment="1" applyProtection="1">
      <alignment horizontal="center"/>
      <protection locked="0"/>
    </xf>
    <xf numFmtId="40" fontId="19" fillId="4" borderId="1" xfId="3" applyFont="1" applyFill="1" applyBorder="1" applyAlignment="1">
      <alignment horizontal="center"/>
    </xf>
    <xf numFmtId="40" fontId="19" fillId="4" borderId="0" xfId="3" applyFont="1" applyFill="1" applyBorder="1" applyAlignment="1">
      <alignment horizontal="center"/>
    </xf>
    <xf numFmtId="0" fontId="19" fillId="4" borderId="1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40" fontId="19" fillId="4" borderId="11" xfId="3" applyFont="1" applyFill="1" applyBorder="1" applyAlignment="1">
      <alignment horizontal="center"/>
    </xf>
    <xf numFmtId="0" fontId="14" fillId="0" borderId="11" xfId="0" applyFont="1" applyBorder="1" applyAlignment="1">
      <alignment horizontal="center"/>
    </xf>
    <xf numFmtId="40" fontId="19" fillId="4" borderId="11" xfId="3" applyFont="1" applyFill="1" applyBorder="1"/>
    <xf numFmtId="38" fontId="19" fillId="4" borderId="1" xfId="3" applyNumberFormat="1" applyFont="1" applyFill="1" applyBorder="1"/>
    <xf numFmtId="38" fontId="19" fillId="4" borderId="2" xfId="3" applyNumberFormat="1" applyFont="1" applyFill="1" applyBorder="1"/>
    <xf numFmtId="0" fontId="18" fillId="0" borderId="0" xfId="0" applyFont="1"/>
    <xf numFmtId="0" fontId="20" fillId="5" borderId="9" xfId="0" applyFont="1" applyFill="1" applyBorder="1" applyAlignment="1">
      <alignment horizontal="center"/>
    </xf>
    <xf numFmtId="0" fontId="21" fillId="5" borderId="9" xfId="0" applyFont="1" applyFill="1" applyBorder="1" applyAlignment="1">
      <alignment horizontal="center"/>
    </xf>
    <xf numFmtId="0" fontId="23" fillId="5" borderId="9" xfId="0" applyFont="1" applyFill="1" applyBorder="1" applyAlignment="1">
      <alignment horizontal="center"/>
    </xf>
    <xf numFmtId="0" fontId="2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168" fontId="26" fillId="0" borderId="0" xfId="0" applyNumberFormat="1" applyFont="1" applyAlignment="1">
      <alignment horizontal="center"/>
    </xf>
    <xf numFmtId="0" fontId="17" fillId="0" borderId="0" xfId="0" applyFont="1"/>
    <xf numFmtId="10" fontId="17" fillId="0" borderId="0" xfId="6" applyNumberFormat="1" applyFont="1" applyBorder="1"/>
    <xf numFmtId="10" fontId="17" fillId="0" borderId="0" xfId="6" applyNumberFormat="1" applyFont="1" applyFill="1" applyBorder="1"/>
    <xf numFmtId="0" fontId="0" fillId="0" borderId="12" xfId="0" applyBorder="1"/>
    <xf numFmtId="0" fontId="0" fillId="0" borderId="11" xfId="0" applyBorder="1"/>
    <xf numFmtId="0" fontId="0" fillId="0" borderId="13" xfId="0" applyBorder="1"/>
    <xf numFmtId="2" fontId="9" fillId="0" borderId="0" xfId="5" applyNumberFormat="1" applyFont="1"/>
    <xf numFmtId="9" fontId="0" fillId="0" borderId="0" xfId="6" applyFont="1"/>
    <xf numFmtId="10" fontId="17" fillId="0" borderId="6" xfId="6" applyNumberFormat="1" applyFont="1" applyBorder="1" applyProtection="1">
      <protection locked="0"/>
    </xf>
    <xf numFmtId="10" fontId="0" fillId="0" borderId="0" xfId="6" applyNumberFormat="1" applyFont="1"/>
    <xf numFmtId="166" fontId="0" fillId="0" borderId="11" xfId="0" applyNumberFormat="1" applyBorder="1"/>
    <xf numFmtId="166" fontId="0" fillId="0" borderId="13" xfId="0" applyNumberFormat="1" applyBorder="1"/>
    <xf numFmtId="0" fontId="0" fillId="0" borderId="0" xfId="0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7" fillId="0" borderId="1" xfId="0" applyFont="1" applyBorder="1" applyAlignment="1" applyProtection="1">
      <alignment horizontal="center"/>
      <protection locked="0"/>
    </xf>
    <xf numFmtId="0" fontId="17" fillId="0" borderId="2" xfId="0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7" fillId="0" borderId="4" xfId="0" applyFont="1" applyBorder="1" applyAlignment="1" applyProtection="1">
      <alignment horizontal="center"/>
      <protection locked="0"/>
    </xf>
    <xf numFmtId="0" fontId="0" fillId="0" borderId="11" xfId="0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1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1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16" xfId="0" applyBorder="1" applyAlignment="1">
      <alignment horizontal="center" vertical="top" wrapText="1"/>
    </xf>
    <xf numFmtId="0" fontId="0" fillId="0" borderId="17" xfId="0" applyBorder="1" applyAlignment="1">
      <alignment horizontal="center" vertical="top" wrapText="1"/>
    </xf>
    <xf numFmtId="0" fontId="34" fillId="0" borderId="0" xfId="0" applyFont="1"/>
    <xf numFmtId="0" fontId="35" fillId="0" borderId="0" xfId="0" applyFont="1"/>
    <xf numFmtId="0" fontId="36" fillId="6" borderId="0" xfId="0" applyFont="1" applyFill="1"/>
    <xf numFmtId="0" fontId="28" fillId="0" borderId="0" xfId="0" applyFont="1"/>
    <xf numFmtId="0" fontId="30" fillId="0" borderId="0" xfId="0" applyFont="1"/>
    <xf numFmtId="0" fontId="31" fillId="0" borderId="1" xfId="0" applyFont="1" applyBorder="1" applyProtection="1">
      <protection locked="0"/>
    </xf>
    <xf numFmtId="0" fontId="31" fillId="0" borderId="0" xfId="0" applyFont="1" applyProtection="1">
      <protection locked="0"/>
    </xf>
    <xf numFmtId="0" fontId="17" fillId="0" borderId="0" xfId="0" applyFont="1" applyAlignment="1" applyProtection="1">
      <alignment horizontal="left"/>
      <protection locked="0"/>
    </xf>
    <xf numFmtId="0" fontId="34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40" fillId="0" borderId="0" xfId="0" applyFont="1"/>
    <xf numFmtId="0" fontId="40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37" fillId="0" borderId="0" xfId="0" applyFont="1"/>
    <xf numFmtId="0" fontId="37" fillId="0" borderId="0" xfId="0" applyFont="1" applyProtection="1">
      <protection locked="0"/>
    </xf>
    <xf numFmtId="0" fontId="41" fillId="0" borderId="0" xfId="0" applyFont="1" applyAlignment="1">
      <alignment horizontal="center"/>
    </xf>
    <xf numFmtId="0" fontId="42" fillId="0" borderId="1" xfId="0" applyFont="1" applyBorder="1"/>
    <xf numFmtId="0" fontId="42" fillId="0" borderId="1" xfId="0" applyFont="1" applyBorder="1" applyProtection="1">
      <protection locked="0"/>
    </xf>
    <xf numFmtId="0" fontId="42" fillId="0" borderId="0" xfId="0" applyFont="1"/>
    <xf numFmtId="10" fontId="42" fillId="0" borderId="0" xfId="6" applyNumberFormat="1" applyFont="1" applyBorder="1"/>
    <xf numFmtId="0" fontId="42" fillId="0" borderId="11" xfId="0" applyFont="1" applyBorder="1"/>
    <xf numFmtId="0" fontId="42" fillId="0" borderId="0" xfId="0" applyFont="1" applyProtection="1">
      <protection locked="0"/>
    </xf>
    <xf numFmtId="0" fontId="32" fillId="0" borderId="0" xfId="0" applyFont="1"/>
    <xf numFmtId="0" fontId="37" fillId="0" borderId="1" xfId="0" applyFont="1" applyBorder="1"/>
    <xf numFmtId="0" fontId="37" fillId="0" borderId="1" xfId="0" applyFont="1" applyBorder="1" applyProtection="1">
      <protection locked="0"/>
    </xf>
    <xf numFmtId="10" fontId="37" fillId="0" borderId="0" xfId="6" applyNumberFormat="1" applyFont="1" applyBorder="1" applyProtection="1">
      <protection locked="0"/>
    </xf>
    <xf numFmtId="0" fontId="37" fillId="0" borderId="11" xfId="0" applyFont="1" applyBorder="1"/>
    <xf numFmtId="0" fontId="2" fillId="0" borderId="0" xfId="0" applyFont="1"/>
    <xf numFmtId="0" fontId="43" fillId="0" borderId="0" xfId="0" applyFont="1"/>
    <xf numFmtId="0" fontId="44" fillId="7" borderId="0" xfId="0" applyFont="1" applyFill="1"/>
    <xf numFmtId="0" fontId="44" fillId="7" borderId="7" xfId="0" applyFont="1" applyFill="1" applyBorder="1" applyAlignment="1">
      <alignment horizontal="center"/>
    </xf>
    <xf numFmtId="0" fontId="44" fillId="7" borderId="10" xfId="0" applyFont="1" applyFill="1" applyBorder="1"/>
    <xf numFmtId="0" fontId="44" fillId="7" borderId="10" xfId="0" applyFont="1" applyFill="1" applyBorder="1" applyAlignment="1">
      <alignment horizontal="center" wrapText="1"/>
    </xf>
    <xf numFmtId="0" fontId="44" fillId="7" borderId="8" xfId="0" applyFont="1" applyFill="1" applyBorder="1" applyAlignment="1" applyProtection="1">
      <alignment horizontal="center"/>
      <protection locked="0"/>
    </xf>
    <xf numFmtId="0" fontId="44" fillId="7" borderId="10" xfId="0" applyFont="1" applyFill="1" applyBorder="1" applyAlignment="1">
      <alignment horizontal="center"/>
    </xf>
    <xf numFmtId="0" fontId="44" fillId="7" borderId="8" xfId="0" applyFont="1" applyFill="1" applyBorder="1" applyAlignment="1">
      <alignment horizontal="center" wrapText="1"/>
    </xf>
    <xf numFmtId="0" fontId="44" fillId="7" borderId="9" xfId="0" applyFont="1" applyFill="1" applyBorder="1" applyAlignment="1">
      <alignment horizontal="center" wrapText="1"/>
    </xf>
    <xf numFmtId="0" fontId="44" fillId="7" borderId="13" xfId="0" applyFont="1" applyFill="1" applyBorder="1" applyAlignment="1">
      <alignment horizontal="center" wrapText="1"/>
    </xf>
    <xf numFmtId="0" fontId="44" fillId="7" borderId="8" xfId="0" applyFont="1" applyFill="1" applyBorder="1" applyAlignment="1">
      <alignment horizontal="center"/>
    </xf>
    <xf numFmtId="0" fontId="44" fillId="7" borderId="11" xfId="0" applyFont="1" applyFill="1" applyBorder="1"/>
    <xf numFmtId="0" fontId="44" fillId="7" borderId="11" xfId="0" applyFont="1" applyFill="1" applyBorder="1" applyAlignment="1">
      <alignment horizontal="center" wrapText="1"/>
    </xf>
    <xf numFmtId="0" fontId="44" fillId="7" borderId="11" xfId="0" applyFont="1" applyFill="1" applyBorder="1" applyAlignment="1">
      <alignment horizontal="center"/>
    </xf>
    <xf numFmtId="0" fontId="44" fillId="6" borderId="0" xfId="0" applyFont="1" applyFill="1"/>
    <xf numFmtId="0" fontId="45" fillId="0" borderId="0" xfId="0" applyFont="1" applyProtection="1">
      <protection locked="0"/>
    </xf>
    <xf numFmtId="0" fontId="45" fillId="0" borderId="0" xfId="0" applyFont="1"/>
    <xf numFmtId="0" fontId="46" fillId="0" borderId="0" xfId="0" applyFont="1"/>
    <xf numFmtId="0" fontId="34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2" fillId="0" borderId="11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0" borderId="13" xfId="0" applyFont="1" applyBorder="1"/>
    <xf numFmtId="40" fontId="12" fillId="0" borderId="1" xfId="3" applyFont="1" applyBorder="1" applyAlignment="1">
      <alignment horizontal="right"/>
    </xf>
    <xf numFmtId="40" fontId="12" fillId="0" borderId="9" xfId="3" applyFont="1" applyBorder="1" applyAlignment="1">
      <alignment horizontal="right"/>
    </xf>
    <xf numFmtId="0" fontId="33" fillId="0" borderId="0" xfId="2" applyAlignment="1" applyProtection="1"/>
    <xf numFmtId="38" fontId="12" fillId="0" borderId="11" xfId="3" applyNumberFormat="1" applyFont="1" applyBorder="1" applyAlignment="1">
      <alignment horizontal="center"/>
    </xf>
    <xf numFmtId="2" fontId="12" fillId="0" borderId="11" xfId="0" applyNumberFormat="1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0" fillId="7" borderId="0" xfId="0" applyFill="1"/>
    <xf numFmtId="0" fontId="5" fillId="7" borderId="0" xfId="0" applyFont="1" applyFill="1" applyAlignment="1">
      <alignment horizontal="center"/>
    </xf>
    <xf numFmtId="0" fontId="47" fillId="0" borderId="23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48" fillId="0" borderId="0" xfId="0" applyFont="1"/>
    <xf numFmtId="0" fontId="12" fillId="0" borderId="26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49" fillId="7" borderId="9" xfId="0" applyFont="1" applyFill="1" applyBorder="1" applyAlignment="1">
      <alignment horizontal="center" vertical="center" wrapText="1"/>
    </xf>
    <xf numFmtId="0" fontId="49" fillId="7" borderId="10" xfId="0" applyFont="1" applyFill="1" applyBorder="1" applyAlignment="1">
      <alignment horizontal="center" vertical="center" wrapText="1"/>
    </xf>
    <xf numFmtId="0" fontId="50" fillId="7" borderId="9" xfId="0" applyFont="1" applyFill="1" applyBorder="1" applyAlignment="1">
      <alignment horizontal="center" vertical="center" wrapText="1"/>
    </xf>
    <xf numFmtId="0" fontId="49" fillId="7" borderId="7" xfId="0" applyFont="1" applyFill="1" applyBorder="1" applyAlignment="1">
      <alignment horizontal="center" vertical="center" wrapText="1"/>
    </xf>
    <xf numFmtId="0" fontId="49" fillId="7" borderId="8" xfId="0" applyFont="1" applyFill="1" applyBorder="1" applyAlignment="1">
      <alignment horizontal="center" vertical="center" wrapText="1"/>
    </xf>
    <xf numFmtId="0" fontId="49" fillId="7" borderId="9" xfId="0" applyFont="1" applyFill="1" applyBorder="1" applyAlignment="1">
      <alignment horizontal="center" vertical="center"/>
    </xf>
    <xf numFmtId="0" fontId="48" fillId="0" borderId="0" xfId="0" applyFont="1" applyAlignment="1">
      <alignment horizontal="left" vertical="center"/>
    </xf>
    <xf numFmtId="0" fontId="51" fillId="0" borderId="0" xfId="0" applyFont="1"/>
    <xf numFmtId="0" fontId="52" fillId="0" borderId="0" xfId="0" applyFont="1"/>
    <xf numFmtId="14" fontId="53" fillId="0" borderId="0" xfId="0" applyNumberFormat="1" applyFont="1" applyAlignment="1">
      <alignment horizontal="left" vertical="center"/>
    </xf>
    <xf numFmtId="0" fontId="53" fillId="0" borderId="0" xfId="0" applyFont="1"/>
    <xf numFmtId="0" fontId="47" fillId="8" borderId="24" xfId="0" applyFont="1" applyFill="1" applyBorder="1" applyAlignment="1">
      <alignment horizontal="center" vertical="center"/>
    </xf>
    <xf numFmtId="38" fontId="47" fillId="8" borderId="24" xfId="0" applyNumberFormat="1" applyFont="1" applyFill="1" applyBorder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56" fillId="0" borderId="0" xfId="0" applyFont="1" applyAlignment="1">
      <alignment horizontal="left" vertical="center"/>
    </xf>
    <xf numFmtId="14" fontId="57" fillId="0" borderId="0" xfId="0" applyNumberFormat="1" applyFont="1" applyAlignment="1">
      <alignment horizontal="left" vertical="center"/>
    </xf>
    <xf numFmtId="0" fontId="44" fillId="7" borderId="3" xfId="0" applyFont="1" applyFill="1" applyBorder="1" applyAlignment="1">
      <alignment horizontal="center"/>
    </xf>
    <xf numFmtId="0" fontId="44" fillId="7" borderId="4" xfId="0" applyFont="1" applyFill="1" applyBorder="1" applyAlignment="1">
      <alignment horizontal="center"/>
    </xf>
    <xf numFmtId="0" fontId="22" fillId="0" borderId="0" xfId="0" applyFont="1"/>
    <xf numFmtId="0" fontId="12" fillId="0" borderId="7" xfId="0" applyFont="1" applyBorder="1"/>
    <xf numFmtId="0" fontId="12" fillId="0" borderId="10" xfId="0" applyFont="1" applyBorder="1"/>
    <xf numFmtId="0" fontId="12" fillId="0" borderId="8" xfId="0" applyFont="1" applyBorder="1"/>
    <xf numFmtId="40" fontId="19" fillId="4" borderId="2" xfId="3" applyFont="1" applyFill="1" applyBorder="1" applyAlignment="1">
      <alignment vertical="center"/>
    </xf>
    <xf numFmtId="0" fontId="33" fillId="0" borderId="0" xfId="2" applyAlignment="1" applyProtection="1">
      <alignment horizontal="left"/>
    </xf>
    <xf numFmtId="0" fontId="54" fillId="0" borderId="0" xfId="0" applyFont="1" applyAlignment="1">
      <alignment horizontal="right" vertical="center"/>
    </xf>
    <xf numFmtId="0" fontId="53" fillId="0" borderId="0" xfId="0" applyFont="1" applyAlignment="1">
      <alignment horizontal="left" vertical="center"/>
    </xf>
    <xf numFmtId="0" fontId="59" fillId="0" borderId="0" xfId="0" applyFont="1"/>
    <xf numFmtId="0" fontId="60" fillId="0" borderId="0" xfId="0" applyFont="1" applyAlignment="1">
      <alignment horizontal="left"/>
    </xf>
    <xf numFmtId="0" fontId="61" fillId="0" borderId="0" xfId="0" applyFont="1" applyAlignment="1">
      <alignment horizontal="left"/>
    </xf>
    <xf numFmtId="0" fontId="46" fillId="0" borderId="0" xfId="0" applyFont="1" applyProtection="1">
      <protection locked="0"/>
    </xf>
    <xf numFmtId="0" fontId="62" fillId="0" borderId="1" xfId="0" applyFont="1" applyBorder="1" applyProtection="1">
      <protection locked="0"/>
    </xf>
    <xf numFmtId="0" fontId="62" fillId="0" borderId="0" xfId="0" applyFont="1"/>
    <xf numFmtId="10" fontId="62" fillId="0" borderId="0" xfId="6" applyNumberFormat="1" applyFont="1" applyBorder="1"/>
    <xf numFmtId="10" fontId="62" fillId="0" borderId="0" xfId="6" applyNumberFormat="1" applyFont="1" applyFill="1" applyBorder="1"/>
    <xf numFmtId="0" fontId="62" fillId="0" borderId="0" xfId="0" applyFont="1" applyProtection="1">
      <protection locked="0"/>
    </xf>
    <xf numFmtId="10" fontId="62" fillId="0" borderId="0" xfId="6" applyNumberFormat="1" applyFont="1" applyBorder="1" applyProtection="1">
      <protection locked="0"/>
    </xf>
    <xf numFmtId="0" fontId="38" fillId="0" borderId="1" xfId="0" applyFont="1" applyBorder="1" applyProtection="1">
      <protection locked="0"/>
    </xf>
    <xf numFmtId="0" fontId="38" fillId="0" borderId="0" xfId="0" applyFont="1"/>
    <xf numFmtId="10" fontId="38" fillId="0" borderId="0" xfId="6" applyNumberFormat="1" applyFont="1" applyBorder="1"/>
    <xf numFmtId="10" fontId="38" fillId="0" borderId="0" xfId="6" applyNumberFormat="1" applyFont="1" applyFill="1" applyBorder="1"/>
    <xf numFmtId="10" fontId="38" fillId="0" borderId="0" xfId="6" applyNumberFormat="1" applyFont="1" applyBorder="1" applyProtection="1">
      <protection locked="0"/>
    </xf>
    <xf numFmtId="0" fontId="38" fillId="0" borderId="0" xfId="0" applyFont="1" applyProtection="1">
      <protection locked="0"/>
    </xf>
    <xf numFmtId="0" fontId="5" fillId="0" borderId="9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64" fillId="0" borderId="11" xfId="0" applyFont="1" applyBorder="1" applyAlignment="1">
      <alignment horizontal="center" vertical="center"/>
    </xf>
    <xf numFmtId="166" fontId="64" fillId="0" borderId="11" xfId="0" applyNumberFormat="1" applyFont="1" applyBorder="1"/>
    <xf numFmtId="0" fontId="64" fillId="0" borderId="1" xfId="0" applyFont="1" applyBorder="1" applyAlignment="1" applyProtection="1">
      <alignment horizontal="center"/>
      <protection locked="0"/>
    </xf>
    <xf numFmtId="0" fontId="64" fillId="0" borderId="2" xfId="0" applyFont="1" applyBorder="1" applyAlignment="1" applyProtection="1">
      <alignment horizontal="center"/>
      <protection locked="0"/>
    </xf>
    <xf numFmtId="0" fontId="64" fillId="0" borderId="11" xfId="0" applyFont="1" applyBorder="1" applyAlignment="1">
      <alignment horizontal="center"/>
    </xf>
    <xf numFmtId="0" fontId="64" fillId="0" borderId="0" xfId="0" applyFont="1"/>
    <xf numFmtId="0" fontId="65" fillId="0" borderId="14" xfId="0" applyFont="1" applyBorder="1" applyAlignment="1">
      <alignment horizontal="center"/>
    </xf>
    <xf numFmtId="0" fontId="65" fillId="0" borderId="5" xfId="0" applyFont="1" applyBorder="1" applyAlignment="1">
      <alignment horizontal="center"/>
    </xf>
    <xf numFmtId="166" fontId="64" fillId="0" borderId="12" xfId="0" applyNumberFormat="1" applyFont="1" applyBorder="1"/>
    <xf numFmtId="0" fontId="64" fillId="0" borderId="14" xfId="0" applyFont="1" applyBorder="1" applyAlignment="1">
      <alignment horizontal="center"/>
    </xf>
    <xf numFmtId="0" fontId="64" fillId="0" borderId="5" xfId="0" applyFont="1" applyBorder="1" applyAlignment="1">
      <alignment horizontal="center"/>
    </xf>
    <xf numFmtId="0" fontId="64" fillId="7" borderId="0" xfId="0" applyFont="1" applyFill="1"/>
    <xf numFmtId="0" fontId="65" fillId="0" borderId="1" xfId="0" applyFont="1" applyBorder="1" applyAlignment="1">
      <alignment horizontal="center"/>
    </xf>
    <xf numFmtId="0" fontId="65" fillId="0" borderId="2" xfId="0" applyFont="1" applyBorder="1" applyAlignment="1">
      <alignment horizontal="center"/>
    </xf>
    <xf numFmtId="0" fontId="64" fillId="0" borderId="0" xfId="0" applyFont="1" applyAlignment="1">
      <alignment horizontal="center" vertical="center"/>
    </xf>
    <xf numFmtId="0" fontId="1" fillId="0" borderId="0" xfId="0" applyFont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25" xfId="0" applyBorder="1"/>
    <xf numFmtId="0" fontId="0" fillId="0" borderId="33" xfId="0" applyBorder="1"/>
    <xf numFmtId="0" fontId="68" fillId="0" borderId="24" xfId="0" applyFont="1" applyBorder="1"/>
    <xf numFmtId="0" fontId="67" fillId="10" borderId="0" xfId="0" applyFont="1" applyFill="1"/>
    <xf numFmtId="0" fontId="54" fillId="0" borderId="0" xfId="0" applyFont="1" applyAlignment="1">
      <alignment vertical="center"/>
    </xf>
    <xf numFmtId="0" fontId="53" fillId="0" borderId="0" xfId="0" applyFont="1" applyAlignment="1">
      <alignment horizontal="right" vertical="center"/>
    </xf>
    <xf numFmtId="14" fontId="53" fillId="0" borderId="0" xfId="0" applyNumberFormat="1" applyFont="1"/>
    <xf numFmtId="0" fontId="54" fillId="0" borderId="0" xfId="0" applyFont="1" applyAlignment="1">
      <alignment horizontal="left" vertical="center"/>
    </xf>
    <xf numFmtId="0" fontId="55" fillId="0" borderId="0" xfId="0" applyFont="1" applyAlignment="1">
      <alignment horizontal="left" vertical="center"/>
    </xf>
    <xf numFmtId="0" fontId="66" fillId="9" borderId="34" xfId="7" applyAlignment="1">
      <alignment vertical="center"/>
    </xf>
    <xf numFmtId="0" fontId="66" fillId="9" borderId="34" xfId="7"/>
    <xf numFmtId="0" fontId="69" fillId="0" borderId="0" xfId="0" applyFont="1"/>
    <xf numFmtId="0" fontId="69" fillId="0" borderId="28" xfId="0" applyFont="1" applyBorder="1"/>
    <xf numFmtId="0" fontId="74" fillId="0" borderId="28" xfId="0" applyFont="1" applyBorder="1" applyAlignment="1">
      <alignment vertical="center"/>
    </xf>
    <xf numFmtId="0" fontId="71" fillId="0" borderId="28" xfId="0" applyFont="1" applyBorder="1"/>
    <xf numFmtId="0" fontId="71" fillId="0" borderId="28" xfId="0" applyFont="1" applyBorder="1" applyAlignment="1">
      <alignment horizontal="left"/>
    </xf>
    <xf numFmtId="0" fontId="74" fillId="0" borderId="0" xfId="0" applyFont="1" applyAlignment="1">
      <alignment vertical="center"/>
    </xf>
    <xf numFmtId="0" fontId="70" fillId="0" borderId="0" xfId="0" applyFont="1" applyAlignment="1">
      <alignment horizontal="center" vertical="center"/>
    </xf>
    <xf numFmtId="0" fontId="70" fillId="0" borderId="0" xfId="0" applyFont="1" applyAlignment="1">
      <alignment horizontal="left" vertical="center"/>
    </xf>
    <xf numFmtId="0" fontId="73" fillId="0" borderId="0" xfId="0" applyFont="1"/>
    <xf numFmtId="0" fontId="73" fillId="11" borderId="0" xfId="0" applyFont="1" applyFill="1"/>
    <xf numFmtId="165" fontId="73" fillId="11" borderId="0" xfId="0" applyNumberFormat="1" applyFont="1" applyFill="1" applyAlignment="1">
      <alignment vertical="center"/>
    </xf>
    <xf numFmtId="0" fontId="70" fillId="0" borderId="0" xfId="0" applyFont="1" applyAlignment="1">
      <alignment horizontal="right" vertical="center"/>
    </xf>
    <xf numFmtId="165" fontId="70" fillId="0" borderId="0" xfId="0" applyNumberFormat="1" applyFont="1"/>
    <xf numFmtId="0" fontId="75" fillId="0" borderId="0" xfId="0" applyFont="1"/>
    <xf numFmtId="0" fontId="76" fillId="0" borderId="0" xfId="0" applyFont="1"/>
    <xf numFmtId="0" fontId="75" fillId="0" borderId="0" xfId="0" applyFont="1" applyAlignment="1">
      <alignment horizontal="left" vertical="center"/>
    </xf>
    <xf numFmtId="0" fontId="75" fillId="0" borderId="0" xfId="0" applyFont="1" applyAlignment="1">
      <alignment horizontal="left"/>
    </xf>
    <xf numFmtId="40" fontId="75" fillId="0" borderId="0" xfId="0" applyNumberFormat="1" applyFont="1" applyAlignment="1">
      <alignment horizontal="left" vertical="center"/>
    </xf>
    <xf numFmtId="38" fontId="75" fillId="0" borderId="0" xfId="0" applyNumberFormat="1" applyFont="1" applyAlignment="1">
      <alignment horizontal="left" vertical="center"/>
    </xf>
    <xf numFmtId="2" fontId="75" fillId="0" borderId="0" xfId="0" applyNumberFormat="1" applyFont="1" applyAlignment="1">
      <alignment horizontal="left" vertical="center"/>
    </xf>
    <xf numFmtId="0" fontId="76" fillId="0" borderId="0" xfId="0" applyFont="1" applyAlignment="1">
      <alignment horizontal="left"/>
    </xf>
    <xf numFmtId="0" fontId="76" fillId="0" borderId="0" xfId="0" applyFont="1" applyAlignment="1">
      <alignment vertical="center"/>
    </xf>
    <xf numFmtId="0" fontId="79" fillId="0" borderId="0" xfId="0" applyFont="1"/>
    <xf numFmtId="0" fontId="80" fillId="0" borderId="0" xfId="0" applyFont="1"/>
    <xf numFmtId="0" fontId="76" fillId="0" borderId="0" xfId="0" applyFont="1" applyAlignment="1">
      <alignment horizontal="left" vertical="center"/>
    </xf>
    <xf numFmtId="0" fontId="81" fillId="0" borderId="0" xfId="0" applyFont="1"/>
    <xf numFmtId="0" fontId="82" fillId="0" borderId="0" xfId="0" applyFont="1"/>
    <xf numFmtId="0" fontId="82" fillId="0" borderId="32" xfId="0" applyFont="1" applyBorder="1"/>
    <xf numFmtId="0" fontId="83" fillId="0" borderId="0" xfId="0" applyFont="1"/>
    <xf numFmtId="0" fontId="84" fillId="0" borderId="0" xfId="0" applyFont="1"/>
    <xf numFmtId="0" fontId="85" fillId="11" borderId="0" xfId="0" applyFont="1" applyFill="1" applyAlignment="1">
      <alignment vertical="center"/>
    </xf>
    <xf numFmtId="0" fontId="86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87" fillId="0" borderId="1" xfId="0" applyFont="1" applyBorder="1" applyAlignment="1">
      <alignment horizontal="center"/>
    </xf>
    <xf numFmtId="0" fontId="87" fillId="0" borderId="2" xfId="0" applyFont="1" applyBorder="1" applyAlignment="1">
      <alignment horizontal="center"/>
    </xf>
    <xf numFmtId="0" fontId="75" fillId="12" borderId="0" xfId="0" applyFont="1" applyFill="1" applyAlignment="1">
      <alignment horizontal="left" vertical="center"/>
    </xf>
    <xf numFmtId="0" fontId="76" fillId="12" borderId="0" xfId="0" applyFont="1" applyFill="1" applyAlignment="1">
      <alignment horizontal="left"/>
    </xf>
    <xf numFmtId="40" fontId="75" fillId="12" borderId="0" xfId="0" applyNumberFormat="1" applyFont="1" applyFill="1" applyAlignment="1">
      <alignment horizontal="left" vertical="center"/>
    </xf>
    <xf numFmtId="38" fontId="75" fillId="12" borderId="0" xfId="0" applyNumberFormat="1" applyFont="1" applyFill="1" applyAlignment="1">
      <alignment horizontal="left" vertical="center"/>
    </xf>
    <xf numFmtId="2" fontId="75" fillId="12" borderId="0" xfId="0" applyNumberFormat="1" applyFont="1" applyFill="1" applyAlignment="1">
      <alignment horizontal="left" vertical="center"/>
    </xf>
    <xf numFmtId="0" fontId="58" fillId="0" borderId="0" xfId="0" applyFont="1" applyAlignment="1">
      <alignment horizontal="center"/>
    </xf>
    <xf numFmtId="0" fontId="22" fillId="5" borderId="7" xfId="0" applyFont="1" applyFill="1" applyBorder="1" applyAlignment="1">
      <alignment horizontal="center"/>
    </xf>
    <xf numFmtId="0" fontId="22" fillId="5" borderId="10" xfId="0" applyFont="1" applyFill="1" applyBorder="1" applyAlignment="1">
      <alignment horizontal="center"/>
    </xf>
    <xf numFmtId="0" fontId="22" fillId="5" borderId="8" xfId="0" applyFont="1" applyFill="1" applyBorder="1" applyAlignment="1">
      <alignment horizontal="center"/>
    </xf>
    <xf numFmtId="0" fontId="19" fillId="0" borderId="7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0" fontId="21" fillId="5" borderId="7" xfId="0" applyFont="1" applyFill="1" applyBorder="1" applyAlignment="1">
      <alignment horizontal="center"/>
    </xf>
    <xf numFmtId="0" fontId="21" fillId="5" borderId="10" xfId="0" applyFont="1" applyFill="1" applyBorder="1" applyAlignment="1">
      <alignment horizontal="center"/>
    </xf>
    <xf numFmtId="0" fontId="21" fillId="5" borderId="8" xfId="0" applyFont="1" applyFill="1" applyBorder="1" applyAlignment="1">
      <alignment horizontal="center"/>
    </xf>
    <xf numFmtId="0" fontId="32" fillId="0" borderId="0" xfId="0" applyFont="1" applyAlignment="1">
      <alignment horizontal="center"/>
    </xf>
    <xf numFmtId="40" fontId="12" fillId="0" borderId="7" xfId="3" applyFont="1" applyBorder="1" applyAlignment="1">
      <alignment horizontal="center"/>
    </xf>
    <xf numFmtId="40" fontId="12" fillId="0" borderId="10" xfId="3" applyFont="1" applyBorder="1" applyAlignment="1">
      <alignment horizontal="center"/>
    </xf>
    <xf numFmtId="40" fontId="12" fillId="0" borderId="8" xfId="3" applyFont="1" applyBorder="1" applyAlignment="1">
      <alignment horizontal="center"/>
    </xf>
    <xf numFmtId="0" fontId="19" fillId="0" borderId="10" xfId="0" applyFont="1" applyBorder="1" applyAlignment="1">
      <alignment horizontal="center"/>
    </xf>
    <xf numFmtId="0" fontId="54" fillId="0" borderId="0" xfId="0" applyFont="1" applyAlignment="1">
      <alignment horizontal="left" vertical="center"/>
    </xf>
    <xf numFmtId="0" fontId="48" fillId="0" borderId="21" xfId="0" applyFont="1" applyBorder="1" applyAlignment="1">
      <alignment horizontal="center" vertical="center"/>
    </xf>
    <xf numFmtId="0" fontId="48" fillId="0" borderId="22" xfId="0" applyFont="1" applyBorder="1" applyAlignment="1">
      <alignment horizontal="center" vertical="center"/>
    </xf>
    <xf numFmtId="0" fontId="48" fillId="0" borderId="21" xfId="0" applyFont="1" applyBorder="1" applyAlignment="1">
      <alignment horizontal="center" vertical="center" wrapText="1"/>
    </xf>
    <xf numFmtId="0" fontId="48" fillId="0" borderId="22" xfId="0" applyFont="1" applyBorder="1" applyAlignment="1">
      <alignment horizontal="center" vertical="center" wrapText="1"/>
    </xf>
    <xf numFmtId="165" fontId="86" fillId="0" borderId="0" xfId="0" applyNumberFormat="1" applyFont="1" applyAlignment="1">
      <alignment horizontal="right" vertical="center"/>
    </xf>
    <xf numFmtId="0" fontId="77" fillId="11" borderId="0" xfId="0" applyFont="1" applyFill="1" applyAlignment="1">
      <alignment horizontal="left" vertical="center"/>
    </xf>
    <xf numFmtId="165" fontId="85" fillId="11" borderId="0" xfId="0" applyNumberFormat="1" applyFont="1" applyFill="1" applyAlignment="1">
      <alignment horizontal="right" vertical="center"/>
    </xf>
    <xf numFmtId="0" fontId="75" fillId="0" borderId="0" xfId="0" applyFont="1" applyAlignment="1">
      <alignment horizontal="left" vertical="center"/>
    </xf>
    <xf numFmtId="0" fontId="72" fillId="0" borderId="0" xfId="0" applyFont="1" applyAlignment="1">
      <alignment horizontal="left" vertical="center"/>
    </xf>
    <xf numFmtId="0" fontId="73" fillId="0" borderId="0" xfId="0" applyFont="1" applyAlignment="1">
      <alignment horizontal="left" vertical="center"/>
    </xf>
    <xf numFmtId="0" fontId="78" fillId="0" borderId="0" xfId="0" applyFont="1" applyAlignment="1">
      <alignment horizontal="center" vertical="center"/>
    </xf>
    <xf numFmtId="14" fontId="79" fillId="0" borderId="0" xfId="0" applyNumberFormat="1" applyFont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27" fillId="5" borderId="0" xfId="0" applyFont="1" applyFill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8" fillId="0" borderId="0" xfId="5" applyFont="1" applyAlignment="1">
      <alignment horizontal="center"/>
    </xf>
  </cellXfs>
  <cellStyles count="8">
    <cellStyle name="Cálculo" xfId="7" builtinId="22"/>
    <cellStyle name="Euro" xfId="1" xr:uid="{00000000-0005-0000-0000-000000000000}"/>
    <cellStyle name="Hipervínculo" xfId="2" builtinId="8"/>
    <cellStyle name="Millares" xfId="3" builtinId="3"/>
    <cellStyle name="Millares_Confeccion" xfId="4" xr:uid="{00000000-0005-0000-0000-000003000000}"/>
    <cellStyle name="Normal" xfId="0" builtinId="0"/>
    <cellStyle name="Normal_Confeccion" xfId="5" xr:uid="{00000000-0005-0000-0000-000005000000}"/>
    <cellStyle name="Porcentaje" xfId="6" builtinId="5"/>
  </cellStyles>
  <dxfs count="0"/>
  <tableStyles count="0" defaultTableStyle="TableStyleMedium9" defaultPivotStyle="PivotStyleLight16"/>
  <colors>
    <mruColors>
      <color rgb="FF311F11"/>
      <color rgb="FF50321C"/>
      <color rgb="FF22150C"/>
      <color rgb="FFD5A987"/>
      <color rgb="FFF8F1EC"/>
      <color rgb="FFF1E2D7"/>
      <color rgb="FFDFBEA5"/>
      <color rgb="FFE1DBD5"/>
      <color rgb="FFBFDB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47625</xdr:colOff>
      <xdr:row>0</xdr:row>
      <xdr:rowOff>0</xdr:rowOff>
    </xdr:from>
    <xdr:to>
      <xdr:col>44</xdr:col>
      <xdr:colOff>266700</xdr:colOff>
      <xdr:row>1</xdr:row>
      <xdr:rowOff>47992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C2244A38-566E-01A3-7FCB-07AD6C04C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50" y="0"/>
          <a:ext cx="3400425" cy="14100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628650</xdr:colOff>
      <xdr:row>0</xdr:row>
      <xdr:rowOff>19050</xdr:rowOff>
    </xdr:from>
    <xdr:to>
      <xdr:col>8</xdr:col>
      <xdr:colOff>771525</xdr:colOff>
      <xdr:row>5</xdr:row>
      <xdr:rowOff>153419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A861219-06B7-4927-80CB-1AD7E253A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19050"/>
          <a:ext cx="2276475" cy="9439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142874</xdr:colOff>
      <xdr:row>0</xdr:row>
      <xdr:rowOff>66676</xdr:rowOff>
    </xdr:from>
    <xdr:to>
      <xdr:col>2</xdr:col>
      <xdr:colOff>2013224</xdr:colOff>
      <xdr:row>13</xdr:row>
      <xdr:rowOff>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078EB8D6-BD68-55FA-BD1F-A1B75BA2A1D4}"/>
            </a:ext>
          </a:extLst>
        </xdr:cNvPr>
        <xdr:cNvSpPr txBox="1"/>
      </xdr:nvSpPr>
      <xdr:spPr>
        <a:xfrm>
          <a:off x="142874" y="66676"/>
          <a:ext cx="2908575" cy="22860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s-E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s-E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s-E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s-E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s-E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s-E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s-E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s-E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o-RO" sz="1100" b="1" i="0" u="none" strike="noStrike">
              <a:solidFill>
                <a:srgbClr val="50321C"/>
              </a:solidFill>
              <a:effectLst/>
              <a:latin typeface="Aptos Display" panose="020B0004020202020204" pitchFamily="34" charset="0"/>
              <a:ea typeface="+mn-ea"/>
              <a:cs typeface="+mn-cs"/>
            </a:rPr>
            <a:t>MANTELERIAS ALMA S.L.</a:t>
          </a:r>
          <a:r>
            <a:rPr lang="ro-RO" sz="1100">
              <a:solidFill>
                <a:srgbClr val="50321C"/>
              </a:solidFill>
              <a:latin typeface="Aptos Display" panose="020B0004020202020204" pitchFamily="34" charset="0"/>
            </a:rPr>
            <a:t> </a:t>
          </a:r>
          <a:endParaRPr lang="es-ES" sz="1100">
            <a:solidFill>
              <a:srgbClr val="50321C"/>
            </a:solidFill>
            <a:latin typeface="Aptos Display" panose="020B0004020202020204" pitchFamily="34" charset="0"/>
          </a:endParaRPr>
        </a:p>
        <a:p>
          <a:r>
            <a:rPr lang="ro-RO" sz="1100" b="0" i="0" u="none" strike="noStrike">
              <a:solidFill>
                <a:srgbClr val="50321C"/>
              </a:solidFill>
              <a:effectLst/>
              <a:latin typeface="Aptos Display" panose="020B0004020202020204" pitchFamily="34" charset="0"/>
              <a:ea typeface="+mn-ea"/>
              <a:cs typeface="+mn-cs"/>
            </a:rPr>
            <a:t>Calle del Haya, 1 - Planta 3</a:t>
          </a:r>
          <a:r>
            <a:rPr lang="ro-RO" sz="1100">
              <a:solidFill>
                <a:srgbClr val="50321C"/>
              </a:solidFill>
              <a:latin typeface="Aptos Display" panose="020B0004020202020204" pitchFamily="34" charset="0"/>
            </a:rPr>
            <a:t> </a:t>
          </a:r>
          <a:r>
            <a:rPr lang="es-ES" sz="1100" baseline="0">
              <a:solidFill>
                <a:srgbClr val="50321C"/>
              </a:solidFill>
              <a:latin typeface="Aptos Display" panose="020B0004020202020204" pitchFamily="34" charset="0"/>
            </a:rPr>
            <a:t>- </a:t>
          </a:r>
          <a:r>
            <a:rPr lang="ro-RO" sz="1100" b="0" i="0" u="none" strike="noStrike">
              <a:solidFill>
                <a:srgbClr val="50321C"/>
              </a:solidFill>
              <a:effectLst/>
              <a:latin typeface="Aptos Display" panose="020B0004020202020204" pitchFamily="34" charset="0"/>
              <a:ea typeface="+mn-ea"/>
              <a:cs typeface="+mn-cs"/>
            </a:rPr>
            <a:t>28044 Madrid</a:t>
          </a:r>
          <a:r>
            <a:rPr lang="ro-RO" sz="1100">
              <a:solidFill>
                <a:srgbClr val="50321C"/>
              </a:solidFill>
              <a:latin typeface="Aptos Display" panose="020B0004020202020204" pitchFamily="34" charset="0"/>
            </a:rPr>
            <a:t> </a:t>
          </a:r>
          <a:endParaRPr lang="es-ES" sz="1100">
            <a:solidFill>
              <a:srgbClr val="50321C"/>
            </a:solidFill>
            <a:latin typeface="Aptos Display" panose="020B0004020202020204" pitchFamily="34" charset="0"/>
          </a:endParaRPr>
        </a:p>
        <a:p>
          <a:r>
            <a:rPr lang="es-ES" sz="1100">
              <a:solidFill>
                <a:srgbClr val="50321C"/>
              </a:solidFill>
              <a:latin typeface="Aptos Display" panose="020B0004020202020204" pitchFamily="34" charset="0"/>
            </a:rPr>
            <a:t>TEL: 91 469 71 56 - info@manteleriasalma.es</a:t>
          </a:r>
        </a:p>
        <a:p>
          <a:r>
            <a:rPr lang="es-ES" sz="1100">
              <a:solidFill>
                <a:srgbClr val="50321C"/>
              </a:solidFill>
              <a:latin typeface="Aptos Display" panose="020B0004020202020204" pitchFamily="34" charset="0"/>
            </a:rPr>
            <a:t>www.manteleriasalma.es</a:t>
          </a:r>
        </a:p>
      </xdr:txBody>
    </xdr:sp>
    <xdr:clientData/>
  </xdr:twoCellAnchor>
  <xdr:twoCellAnchor>
    <xdr:from>
      <xdr:col>0</xdr:col>
      <xdr:colOff>19048</xdr:colOff>
      <xdr:row>57</xdr:row>
      <xdr:rowOff>95250</xdr:rowOff>
    </xdr:from>
    <xdr:to>
      <xdr:col>7</xdr:col>
      <xdr:colOff>800099</xdr:colOff>
      <xdr:row>65</xdr:row>
      <xdr:rowOff>133350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EC5EE186-5DCA-DA3B-5F63-48D92329B4B2}"/>
            </a:ext>
          </a:extLst>
        </xdr:cNvPr>
        <xdr:cNvSpPr txBox="1"/>
      </xdr:nvSpPr>
      <xdr:spPr>
        <a:xfrm>
          <a:off x="19048" y="10629900"/>
          <a:ext cx="8591551" cy="1333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000" b="1">
              <a:solidFill>
                <a:srgbClr val="311F11"/>
              </a:solidFill>
              <a:effectLst/>
              <a:latin typeface="Aptos Display" panose="020B0004020202020204" pitchFamily="34" charset="0"/>
              <a:ea typeface="+mn-ea"/>
              <a:cs typeface="+mn-cs"/>
            </a:rPr>
            <a:t>OBSERVACIONES: </a:t>
          </a:r>
          <a:endParaRPr lang="ro-RO" sz="1000" b="1">
            <a:solidFill>
              <a:srgbClr val="311F11"/>
            </a:solidFill>
            <a:effectLst/>
            <a:latin typeface="Aptos Display" panose="020B0004020202020204" pitchFamily="34" charset="0"/>
            <a:ea typeface="+mn-ea"/>
            <a:cs typeface="+mn-cs"/>
          </a:endParaRPr>
        </a:p>
        <a:p>
          <a:r>
            <a:rPr lang="es-ES" sz="1000">
              <a:solidFill>
                <a:srgbClr val="311F11"/>
              </a:solidFill>
              <a:effectLst/>
              <a:latin typeface="Aptos Display" panose="020B0004020202020204" pitchFamily="34" charset="0"/>
              <a:ea typeface="+mn-ea"/>
              <a:cs typeface="+mn-cs"/>
            </a:rPr>
            <a:t>Los manteles serán identificadas con etiqueta de color según la medida de la mesa. </a:t>
          </a:r>
          <a:endParaRPr lang="ro-RO" sz="1000">
            <a:solidFill>
              <a:srgbClr val="311F11"/>
            </a:solidFill>
            <a:effectLst/>
            <a:latin typeface="Aptos Display" panose="020B0004020202020204" pitchFamily="34" charset="0"/>
            <a:ea typeface="+mn-ea"/>
            <a:cs typeface="+mn-cs"/>
          </a:endParaRPr>
        </a:p>
        <a:p>
          <a:r>
            <a:rPr lang="es-ES" sz="1000">
              <a:solidFill>
                <a:srgbClr val="311F11"/>
              </a:solidFill>
              <a:effectLst/>
              <a:latin typeface="Aptos Display" panose="020B0004020202020204" pitchFamily="34" charset="0"/>
              <a:ea typeface="+mn-ea"/>
              <a:cs typeface="+mn-cs"/>
            </a:rPr>
            <a:t>Tipo de confección: CAPET / Considerado encogimiento. </a:t>
          </a:r>
          <a:endParaRPr lang="ro-RO" sz="1000">
            <a:solidFill>
              <a:srgbClr val="311F11"/>
            </a:solidFill>
            <a:effectLst/>
            <a:latin typeface="Aptos Display" panose="020B0004020202020204" pitchFamily="34" charset="0"/>
            <a:ea typeface="+mn-ea"/>
            <a:cs typeface="+mn-cs"/>
          </a:endParaRPr>
        </a:p>
        <a:p>
          <a:r>
            <a:rPr lang="es-ES" sz="1000">
              <a:solidFill>
                <a:srgbClr val="311F11"/>
              </a:solidFill>
              <a:effectLst/>
              <a:latin typeface="Aptos Display" panose="020B0004020202020204" pitchFamily="34" charset="0"/>
              <a:ea typeface="+mn-ea"/>
              <a:cs typeface="+mn-cs"/>
            </a:rPr>
            <a:t>La cantidad de prendas puede variar en un </a:t>
          </a:r>
          <a:r>
            <a:rPr lang="es-ES" sz="1000" b="1">
              <a:solidFill>
                <a:srgbClr val="311F11"/>
              </a:solidFill>
              <a:effectLst/>
              <a:latin typeface="Aptos Display" panose="020B0004020202020204" pitchFamily="34" charset="0"/>
              <a:ea typeface="+mn-ea"/>
              <a:cs typeface="+mn-cs"/>
            </a:rPr>
            <a:t>±10%</a:t>
          </a:r>
          <a:r>
            <a:rPr lang="es-ES" sz="1000">
              <a:solidFill>
                <a:srgbClr val="311F11"/>
              </a:solidFill>
              <a:effectLst/>
              <a:latin typeface="Aptos Display" panose="020B0004020202020204" pitchFamily="34" charset="0"/>
              <a:ea typeface="+mn-ea"/>
              <a:cs typeface="+mn-cs"/>
            </a:rPr>
            <a:t> de la cantidad presupuestada.</a:t>
          </a:r>
          <a:endParaRPr lang="ro-RO" sz="1000">
            <a:solidFill>
              <a:srgbClr val="311F11"/>
            </a:solidFill>
            <a:effectLst/>
            <a:latin typeface="Aptos Display" panose="020B0004020202020204" pitchFamily="34" charset="0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 plazo estimado de entrega es de 15 a 20 días desde la fecha de aceptación del presupuesto.</a:t>
          </a:r>
          <a:endParaRPr lang="es-ES" sz="1000" b="1">
            <a:solidFill>
              <a:srgbClr val="311F11"/>
            </a:solidFill>
            <a:effectLst/>
            <a:latin typeface="Aptos Display" panose="020B0004020202020204" pitchFamily="34" charset="0"/>
            <a:ea typeface="+mn-ea"/>
            <a:cs typeface="+mn-cs"/>
          </a:endParaRPr>
        </a:p>
        <a:p>
          <a:r>
            <a:rPr lang="es-ES" sz="1000" b="1">
              <a:solidFill>
                <a:srgbClr val="311F11"/>
              </a:solidFill>
              <a:effectLst/>
              <a:latin typeface="Aptos Display" panose="020B0004020202020204" pitchFamily="34" charset="0"/>
              <a:ea typeface="+mn-ea"/>
              <a:cs typeface="+mn-cs"/>
            </a:rPr>
            <a:t>FORMAS DE PAGO:</a:t>
          </a:r>
          <a:endParaRPr lang="ro-RO" sz="1000">
            <a:solidFill>
              <a:srgbClr val="311F11"/>
            </a:solidFill>
            <a:effectLst/>
            <a:latin typeface="Aptos Display" panose="020B0004020202020204" pitchFamily="34" charset="0"/>
            <a:ea typeface="+mn-ea"/>
            <a:cs typeface="+mn-cs"/>
          </a:endParaRPr>
        </a:p>
        <a:p>
          <a:r>
            <a:rPr lang="es-ES" sz="1000">
              <a:solidFill>
                <a:srgbClr val="311F11"/>
              </a:solidFill>
              <a:effectLst/>
              <a:latin typeface="Aptos Display" panose="020B0004020202020204" pitchFamily="34" charset="0"/>
              <a:ea typeface="+mn-ea"/>
              <a:cs typeface="+mn-cs"/>
            </a:rPr>
            <a:t>50% a la aceptación de presupuesto; 50% restante mediante transferencia o recibo a 30 días fecha factura.</a:t>
          </a:r>
          <a:endParaRPr lang="ro-RO" sz="1000">
            <a:solidFill>
              <a:srgbClr val="311F11"/>
            </a:solidFill>
            <a:effectLst/>
            <a:latin typeface="Aptos Display" panose="020B0004020202020204" pitchFamily="34" charset="0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123824</xdr:colOff>
      <xdr:row>1</xdr:row>
      <xdr:rowOff>57967</xdr:rowOff>
    </xdr:from>
    <xdr:to>
      <xdr:col>2</xdr:col>
      <xdr:colOff>695326</xdr:colOff>
      <xdr:row>8</xdr:row>
      <xdr:rowOff>38099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341DD0B-14C5-4927-853F-9D6B1021F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4" y="219892"/>
          <a:ext cx="2933702" cy="11612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1CAB3-71A1-457C-A94C-1FB8E44C1520}">
  <sheetPr>
    <tabColor rgb="FFC00000"/>
  </sheetPr>
  <dimension ref="A3:B14"/>
  <sheetViews>
    <sheetView workbookViewId="0">
      <selection activeCell="B14" sqref="B14"/>
    </sheetView>
  </sheetViews>
  <sheetFormatPr baseColWidth="10" defaultRowHeight="12.75" x14ac:dyDescent="0.2"/>
  <cols>
    <col min="1" max="1" width="26.42578125" bestFit="1" customWidth="1"/>
    <col min="2" max="2" width="103.140625" customWidth="1"/>
  </cols>
  <sheetData>
    <row r="3" spans="1:2" ht="15.75" x14ac:dyDescent="0.2">
      <c r="A3" s="193" t="s">
        <v>212</v>
      </c>
      <c r="B3" s="194">
        <v>110125</v>
      </c>
    </row>
    <row r="4" spans="1:2" ht="15.75" x14ac:dyDescent="0.25">
      <c r="A4" s="193" t="s">
        <v>213</v>
      </c>
      <c r="B4" s="195" t="s">
        <v>342</v>
      </c>
    </row>
    <row r="5" spans="1:2" ht="15.75" x14ac:dyDescent="0.2">
      <c r="A5" s="193" t="s">
        <v>214</v>
      </c>
      <c r="B5" s="178">
        <f ca="1">TODAY()</f>
        <v>46038</v>
      </c>
    </row>
    <row r="6" spans="1:2" ht="15.75" x14ac:dyDescent="0.2">
      <c r="A6" s="193" t="s">
        <v>215</v>
      </c>
      <c r="B6" s="194" t="s">
        <v>327</v>
      </c>
    </row>
    <row r="7" spans="1:2" ht="15.75" x14ac:dyDescent="0.2">
      <c r="A7" s="193" t="s">
        <v>216</v>
      </c>
      <c r="B7" s="194"/>
    </row>
    <row r="8" spans="1:2" ht="18.75" x14ac:dyDescent="0.3">
      <c r="A8" s="288" t="s">
        <v>211</v>
      </c>
      <c r="B8" s="288"/>
    </row>
    <row r="9" spans="1:2" ht="15.75" x14ac:dyDescent="0.25">
      <c r="A9" s="193" t="s">
        <v>217</v>
      </c>
      <c r="B9" s="195" t="s">
        <v>342</v>
      </c>
    </row>
    <row r="10" spans="1:2" ht="15.75" x14ac:dyDescent="0.2">
      <c r="A10" s="193" t="s">
        <v>218</v>
      </c>
      <c r="B10" s="194"/>
    </row>
    <row r="11" spans="1:2" ht="15.75" x14ac:dyDescent="0.2">
      <c r="A11" s="193" t="s">
        <v>219</v>
      </c>
      <c r="B11" s="194"/>
    </row>
    <row r="12" spans="1:2" ht="15.75" x14ac:dyDescent="0.2">
      <c r="A12" s="193" t="s">
        <v>220</v>
      </c>
      <c r="B12" s="154"/>
    </row>
    <row r="13" spans="1:2" ht="15.75" x14ac:dyDescent="0.2">
      <c r="A13" s="193" t="s">
        <v>221</v>
      </c>
      <c r="B13" s="194"/>
    </row>
    <row r="14" spans="1:2" ht="15.75" x14ac:dyDescent="0.2">
      <c r="A14" s="193" t="s">
        <v>222</v>
      </c>
      <c r="B14" s="194"/>
    </row>
  </sheetData>
  <mergeCells count="1">
    <mergeCell ref="A8:B8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2">
    <tabColor rgb="FF00B050"/>
    <pageSetUpPr fitToPage="1"/>
  </sheetPr>
  <dimension ref="A1:BA43"/>
  <sheetViews>
    <sheetView showGridLines="0" tabSelected="1" topLeftCell="AF1" zoomScaleNormal="100" workbookViewId="0">
      <selection activeCell="AI23" sqref="AI23"/>
    </sheetView>
  </sheetViews>
  <sheetFormatPr baseColWidth="10" defaultRowHeight="15" x14ac:dyDescent="0.3"/>
  <cols>
    <col min="1" max="1" width="13.42578125" style="14" customWidth="1"/>
    <col min="2" max="2" width="12.140625" style="14" bestFit="1" customWidth="1"/>
    <col min="3" max="3" width="21.5703125" style="14" customWidth="1"/>
    <col min="4" max="4" width="7.140625" style="14" bestFit="1" customWidth="1"/>
    <col min="5" max="5" width="8.28515625" style="14" customWidth="1"/>
    <col min="6" max="6" width="8.7109375" style="14" bestFit="1" customWidth="1"/>
    <col min="7" max="7" width="12.28515625" style="14" customWidth="1"/>
    <col min="8" max="8" width="6.85546875" style="14" bestFit="1" customWidth="1"/>
    <col min="9" max="9" width="11.42578125" style="14"/>
    <col min="10" max="10" width="13.28515625" style="14" bestFit="1" customWidth="1"/>
    <col min="11" max="11" width="13" style="14" customWidth="1"/>
    <col min="12" max="18" width="11" style="14" customWidth="1"/>
    <col min="19" max="19" width="13.28515625" style="14" bestFit="1" customWidth="1"/>
    <col min="20" max="20" width="13.85546875" style="14" customWidth="1"/>
    <col min="21" max="21" width="13.42578125" style="14" customWidth="1"/>
    <col min="22" max="22" width="20.5703125" style="14" bestFit="1" customWidth="1"/>
    <col min="23" max="23" width="11.42578125" style="14"/>
    <col min="24" max="24" width="12.85546875" style="14" customWidth="1"/>
    <col min="25" max="25" width="20.5703125" style="14" bestFit="1" customWidth="1"/>
    <col min="26" max="27" width="11.42578125" style="14"/>
    <col min="28" max="28" width="16.5703125" style="14" customWidth="1"/>
    <col min="29" max="29" width="15.42578125" style="14" customWidth="1"/>
    <col min="30" max="30" width="15.42578125" style="14" bestFit="1" customWidth="1"/>
    <col min="31" max="31" width="15" style="14" bestFit="1" customWidth="1"/>
    <col min="32" max="40" width="15.42578125" style="14" customWidth="1"/>
    <col min="41" max="41" width="2.5703125" style="16" customWidth="1"/>
    <col min="42" max="42" width="13" style="14" customWidth="1"/>
    <col min="43" max="43" width="15.7109375" style="14" customWidth="1"/>
    <col min="44" max="44" width="19" style="14" customWidth="1"/>
    <col min="45" max="45" width="17.7109375" style="14" customWidth="1"/>
    <col min="46" max="46" width="29.85546875" style="14" customWidth="1"/>
    <col min="47" max="47" width="21.140625" style="14" customWidth="1"/>
    <col min="48" max="48" width="15.42578125" style="14" customWidth="1"/>
    <col min="49" max="49" width="12.85546875" style="14" customWidth="1"/>
    <col min="50" max="50" width="25.42578125" style="14" customWidth="1"/>
    <col min="51" max="51" width="19" style="14" customWidth="1"/>
    <col min="52" max="52" width="11.42578125" style="14" customWidth="1"/>
    <col min="53" max="53" width="14.42578125" style="14" customWidth="1"/>
    <col min="54" max="16384" width="11.42578125" style="14"/>
  </cols>
  <sheetData>
    <row r="1" spans="1:53" ht="107.25" customHeight="1" x14ac:dyDescent="1.35">
      <c r="AQ1" s="107"/>
      <c r="AR1" s="116"/>
      <c r="AS1" s="108"/>
      <c r="AT1" s="107"/>
      <c r="AU1" s="107"/>
      <c r="AV1" s="108"/>
      <c r="AW1" s="108"/>
      <c r="AX1" s="108"/>
      <c r="AY1" s="108"/>
      <c r="AZ1" s="108"/>
    </row>
    <row r="2" spans="1:53" ht="15" customHeight="1" x14ac:dyDescent="0.3">
      <c r="AP2" s="98"/>
      <c r="AQ2" s="98"/>
      <c r="AR2" s="98"/>
      <c r="AS2" s="297"/>
      <c r="AT2" s="297"/>
      <c r="AU2" s="297"/>
      <c r="AV2" s="297"/>
      <c r="AW2" s="297"/>
      <c r="AX2" s="297"/>
      <c r="AY2" s="98"/>
      <c r="AZ2" s="98"/>
    </row>
    <row r="3" spans="1:53" ht="15" customHeight="1" x14ac:dyDescent="0.35">
      <c r="A3" s="166" t="s">
        <v>208</v>
      </c>
      <c r="B3" s="179"/>
      <c r="C3" s="175">
        <f>DATOS!B3</f>
        <v>110125</v>
      </c>
      <c r="AL3" s="18"/>
      <c r="AP3" s="177" t="s">
        <v>157</v>
      </c>
      <c r="AQ3" s="98"/>
      <c r="AR3" s="182">
        <f>C3</f>
        <v>110125</v>
      </c>
      <c r="AS3" s="98"/>
      <c r="AT3" s="98"/>
      <c r="AU3" s="98"/>
      <c r="AV3" s="98"/>
      <c r="AW3" s="98"/>
      <c r="AX3" s="98"/>
      <c r="AY3" s="98"/>
      <c r="AZ3" s="98"/>
    </row>
    <row r="4" spans="1:53" ht="18" x14ac:dyDescent="0.35">
      <c r="A4" s="166" t="s">
        <v>30</v>
      </c>
      <c r="B4" s="179"/>
      <c r="C4" s="183" t="str">
        <f>DATOS!B4</f>
        <v>CLIENTE</v>
      </c>
      <c r="E4" s="15"/>
      <c r="F4" s="15"/>
      <c r="AP4" s="175" t="s">
        <v>30</v>
      </c>
      <c r="AQ4" s="166"/>
      <c r="AR4" s="182" t="str">
        <f>C4</f>
        <v>CLIENTE</v>
      </c>
      <c r="AS4" s="176"/>
      <c r="AT4" s="177"/>
      <c r="AU4" s="99"/>
      <c r="AV4" s="99"/>
      <c r="AW4" s="192"/>
      <c r="AX4" s="192"/>
      <c r="AY4" s="99"/>
      <c r="AZ4" s="98"/>
    </row>
    <row r="5" spans="1:53" ht="18" x14ac:dyDescent="0.35">
      <c r="A5" s="166" t="s">
        <v>31</v>
      </c>
      <c r="B5" s="179"/>
      <c r="C5" s="184">
        <f ca="1">DATOS!B5</f>
        <v>46038</v>
      </c>
      <c r="E5" s="17"/>
      <c r="F5" s="17"/>
      <c r="AP5" s="175" t="s">
        <v>32</v>
      </c>
      <c r="AQ5" s="166"/>
      <c r="AR5" s="178">
        <f ca="1">C5</f>
        <v>46038</v>
      </c>
      <c r="AT5" s="179" t="s">
        <v>40</v>
      </c>
      <c r="AU5" s="176"/>
      <c r="AV5" s="154"/>
      <c r="AW5" s="99"/>
      <c r="AX5" s="99"/>
      <c r="AY5" s="99"/>
      <c r="AZ5" s="99"/>
    </row>
    <row r="6" spans="1:53" ht="18" x14ac:dyDescent="0.35">
      <c r="A6" s="166" t="s">
        <v>40</v>
      </c>
      <c r="B6" s="179"/>
      <c r="C6" s="183" t="str">
        <f>DATOS!B6</f>
        <v>MARIO</v>
      </c>
      <c r="E6" s="15"/>
      <c r="F6" s="15"/>
      <c r="AP6" s="175" t="s">
        <v>33</v>
      </c>
      <c r="AQ6" s="166"/>
      <c r="AR6" s="178">
        <f ca="1">AR5+10</f>
        <v>46048</v>
      </c>
      <c r="AT6" s="179" t="s">
        <v>41</v>
      </c>
      <c r="AU6" s="176"/>
      <c r="AW6" s="99"/>
      <c r="AX6" s="99"/>
      <c r="AY6" s="99"/>
      <c r="AZ6" s="99"/>
    </row>
    <row r="7" spans="1:53" ht="15" customHeight="1" thickBot="1" x14ac:dyDescent="0.45">
      <c r="A7" s="166" t="s">
        <v>41</v>
      </c>
      <c r="B7" s="179"/>
      <c r="C7" s="175">
        <f>DATOS!B7</f>
        <v>0</v>
      </c>
      <c r="M7" s="187"/>
      <c r="N7" s="187"/>
      <c r="O7" s="187"/>
      <c r="P7" s="187"/>
      <c r="Q7" s="187"/>
      <c r="R7" s="187"/>
      <c r="AP7" s="98"/>
      <c r="AQ7" s="98"/>
      <c r="AR7" s="106"/>
      <c r="AS7" s="98"/>
      <c r="AT7" s="98"/>
      <c r="AW7" s="98"/>
      <c r="AX7" s="98"/>
      <c r="AY7" s="98"/>
      <c r="AZ7" s="98"/>
    </row>
    <row r="8" spans="1:53" ht="20.25" thickBot="1" x14ac:dyDescent="0.45">
      <c r="A8" s="294" t="s">
        <v>182</v>
      </c>
      <c r="B8" s="295"/>
      <c r="C8" s="295"/>
      <c r="D8" s="296"/>
      <c r="E8" s="188"/>
      <c r="F8" s="189"/>
      <c r="G8" s="189"/>
      <c r="H8" s="189"/>
      <c r="I8" s="189"/>
      <c r="J8" s="189"/>
      <c r="K8" s="190"/>
      <c r="L8" s="289" t="s">
        <v>92</v>
      </c>
      <c r="M8" s="290"/>
      <c r="N8" s="290"/>
      <c r="O8" s="290"/>
      <c r="P8" s="290"/>
      <c r="Q8" s="290"/>
      <c r="R8" s="291"/>
      <c r="S8" s="292" t="s">
        <v>13</v>
      </c>
      <c r="T8" s="301"/>
      <c r="U8" s="293"/>
      <c r="V8" s="60" t="s">
        <v>38</v>
      </c>
      <c r="W8" s="292" t="s">
        <v>14</v>
      </c>
      <c r="X8" s="293"/>
      <c r="Y8" s="60" t="s">
        <v>37</v>
      </c>
      <c r="Z8" s="292" t="s">
        <v>15</v>
      </c>
      <c r="AA8" s="293"/>
      <c r="AB8" s="59" t="s">
        <v>16</v>
      </c>
      <c r="AC8" s="59" t="s">
        <v>82</v>
      </c>
      <c r="AD8" s="46" t="s">
        <v>86</v>
      </c>
      <c r="AE8" s="46" t="s">
        <v>90</v>
      </c>
      <c r="AF8" s="59" t="s">
        <v>89</v>
      </c>
      <c r="AG8" s="46" t="s">
        <v>18</v>
      </c>
      <c r="AH8" s="61" t="s">
        <v>81</v>
      </c>
      <c r="AI8" s="46" t="s">
        <v>3</v>
      </c>
      <c r="AJ8" s="59" t="s">
        <v>26</v>
      </c>
      <c r="AK8" s="46" t="s">
        <v>27</v>
      </c>
      <c r="AL8" s="59" t="s">
        <v>9</v>
      </c>
      <c r="AM8" s="59" t="s">
        <v>42</v>
      </c>
      <c r="AP8" s="98"/>
      <c r="AQ8" s="98"/>
      <c r="AR8" s="106"/>
      <c r="AS8" s="98"/>
      <c r="AT8" s="98"/>
      <c r="AU8" s="98"/>
      <c r="AV8" s="98"/>
      <c r="AW8" s="98"/>
      <c r="AX8" s="98"/>
      <c r="AY8" s="98"/>
      <c r="AZ8" s="98"/>
    </row>
    <row r="9" spans="1:53" s="130" customFormat="1" ht="54" customHeight="1" thickBot="1" x14ac:dyDescent="0.4">
      <c r="A9" s="131" t="s">
        <v>29</v>
      </c>
      <c r="B9" s="132" t="s">
        <v>23</v>
      </c>
      <c r="C9" s="133" t="s">
        <v>71</v>
      </c>
      <c r="D9" s="134" t="s">
        <v>9</v>
      </c>
      <c r="E9" s="133" t="s">
        <v>72</v>
      </c>
      <c r="F9" s="133" t="s">
        <v>73</v>
      </c>
      <c r="G9" s="135" t="s">
        <v>74</v>
      </c>
      <c r="H9" s="135"/>
      <c r="I9" s="131" t="s">
        <v>24</v>
      </c>
      <c r="J9" s="133" t="s">
        <v>76</v>
      </c>
      <c r="K9" s="136" t="s">
        <v>77</v>
      </c>
      <c r="L9" s="137" t="s">
        <v>209</v>
      </c>
      <c r="M9" s="131" t="s">
        <v>11</v>
      </c>
      <c r="N9" s="135" t="s">
        <v>12</v>
      </c>
      <c r="O9" s="135" t="s">
        <v>79</v>
      </c>
      <c r="P9" s="133" t="s">
        <v>140</v>
      </c>
      <c r="Q9" s="133" t="s">
        <v>78</v>
      </c>
      <c r="R9" s="136" t="s">
        <v>141</v>
      </c>
      <c r="S9" s="138" t="s">
        <v>80</v>
      </c>
      <c r="T9" s="185" t="s">
        <v>11</v>
      </c>
      <c r="U9" s="186" t="s">
        <v>12</v>
      </c>
      <c r="V9" s="140" t="s">
        <v>39</v>
      </c>
      <c r="W9" s="131" t="s">
        <v>11</v>
      </c>
      <c r="X9" s="139" t="s">
        <v>12</v>
      </c>
      <c r="Y9" s="140" t="s">
        <v>36</v>
      </c>
      <c r="Z9" s="131" t="s">
        <v>11</v>
      </c>
      <c r="AA9" s="139" t="s">
        <v>12</v>
      </c>
      <c r="AB9" s="140" t="s">
        <v>17</v>
      </c>
      <c r="AC9" s="140" t="s">
        <v>17</v>
      </c>
      <c r="AD9" s="140"/>
      <c r="AE9" s="140"/>
      <c r="AF9" s="141" t="s">
        <v>91</v>
      </c>
      <c r="AG9" s="140"/>
      <c r="AH9" s="140" t="s">
        <v>17</v>
      </c>
      <c r="AI9" s="140"/>
      <c r="AJ9" s="140" t="s">
        <v>17</v>
      </c>
      <c r="AK9" s="142" t="s">
        <v>25</v>
      </c>
      <c r="AL9" s="142" t="s">
        <v>25</v>
      </c>
      <c r="AM9" s="142" t="s">
        <v>17</v>
      </c>
      <c r="AO9" s="143"/>
      <c r="AP9" s="169" t="s">
        <v>193</v>
      </c>
      <c r="AQ9" s="170" t="s">
        <v>201</v>
      </c>
      <c r="AR9" s="169" t="s">
        <v>4</v>
      </c>
      <c r="AS9" s="171" t="s">
        <v>194</v>
      </c>
      <c r="AT9" s="169" t="s">
        <v>202</v>
      </c>
      <c r="AU9" s="169" t="s">
        <v>9</v>
      </c>
      <c r="AV9" s="169" t="s">
        <v>38</v>
      </c>
      <c r="AW9" s="172"/>
      <c r="AX9" s="169" t="s">
        <v>195</v>
      </c>
      <c r="AY9" s="173" t="s">
        <v>203</v>
      </c>
      <c r="AZ9" s="174" t="s">
        <v>29</v>
      </c>
      <c r="BA9" s="174" t="s">
        <v>200</v>
      </c>
    </row>
    <row r="10" spans="1:53" ht="16.5" customHeight="1" x14ac:dyDescent="0.35">
      <c r="A10" s="45">
        <v>0</v>
      </c>
      <c r="B10" s="43">
        <v>1</v>
      </c>
      <c r="C10" s="43"/>
      <c r="D10" s="48">
        <v>1</v>
      </c>
      <c r="E10" s="41" t="e">
        <f>MATCH(C10,ARTICULOS!$F$10:$F$699,0)</f>
        <v>#N/A</v>
      </c>
      <c r="F10" s="41" t="e">
        <f>+VLOOKUP(E10,ARTICULOS!$D$10:$I$699,6)</f>
        <v>#N/A</v>
      </c>
      <c r="G10" s="42" t="e">
        <f t="shared" ref="G10:G19" si="0">+F10&amp;D10</f>
        <v>#N/A</v>
      </c>
      <c r="H10" s="42" t="e">
        <f>+MATCH(G10,COLORES!$E$7:$E$4394,0)</f>
        <v>#N/A</v>
      </c>
      <c r="I10" s="49" t="e">
        <f>VLOOKUP(H10,COLORES!$A$7:$I$4394,8)</f>
        <v>#N/A</v>
      </c>
      <c r="J10" s="50" t="e">
        <f>VLOOKUP(H10,COLORES!$A$7:$I$4394,9)</f>
        <v>#N/A</v>
      </c>
      <c r="K10" s="191" t="e">
        <f t="shared" ref="K10:K19" si="1">I10*(1+B10)</f>
        <v>#N/A</v>
      </c>
      <c r="L10" s="44">
        <v>0</v>
      </c>
      <c r="M10" s="45">
        <v>0</v>
      </c>
      <c r="N10" s="47">
        <v>0</v>
      </c>
      <c r="O10" s="47">
        <v>0</v>
      </c>
      <c r="P10" s="47">
        <v>0</v>
      </c>
      <c r="Q10" s="47">
        <v>0</v>
      </c>
      <c r="R10" s="48"/>
      <c r="S10" s="53" t="str">
        <f t="shared" ref="S10:S19" si="2">IF(P10&gt;0,IF(O10&gt;0,"(/)"&amp;O10&amp;"*"&amp;P10&amp;IF(Q10&gt;0,"+"&amp;Q10,IF(Q10=0,"",Q10)),+M10&amp;"*"&amp;N10&amp;"*"&amp;P10&amp;IF(Q10&gt;0,"+"&amp;Q10,IF(Q10=0,"",Q10))),"")</f>
        <v/>
      </c>
      <c r="T10" s="51">
        <f t="shared" ref="T10:T19" si="3">+IF(O10&gt;0,O10+R10*2,M10+R10*2)+P10*2+Q10*2</f>
        <v>0</v>
      </c>
      <c r="U10" s="52">
        <f t="shared" ref="U10:U19" si="4">+IF(O10&gt;0,O10+R10*2,N10+R10*2)+P10*2+Q10*2</f>
        <v>0</v>
      </c>
      <c r="V10" s="54"/>
      <c r="W10" s="56">
        <f t="shared" ref="W10:W19" si="5">IF(V10=1,T10+5,T10+(V10*4))</f>
        <v>0</v>
      </c>
      <c r="X10" s="57">
        <f t="shared" ref="X10:X19" si="6">IF(V10=1,U10+5,U10+(V10*4))</f>
        <v>0</v>
      </c>
      <c r="Y10" s="54">
        <v>0</v>
      </c>
      <c r="Z10" s="56">
        <f>IF(Y10=1,ROUNDUP(W10*(1+VLOOKUP(E10,ARTICULOS!$D$10:$H$699,5)),0),W10)</f>
        <v>0</v>
      </c>
      <c r="AA10" s="57">
        <f>IF(Y10=1,ROUNDUP(X10*(1+VLOOKUP(E10,ARTICULOS!$D$10:$H$699,4)),0),X10)</f>
        <v>0</v>
      </c>
      <c r="AB10" s="54">
        <v>2</v>
      </c>
      <c r="AC10" s="54"/>
      <c r="AD10" s="53" t="str">
        <f t="shared" ref="AD10:AD19" si="7">IF(AC10=1,J10*100&amp;Z10,"")</f>
        <v/>
      </c>
      <c r="AE10" s="53" t="str">
        <f>IF(AC10=1,VLOOKUP(AD10,EMPALME!$C$2:$F$33,4),"")</f>
        <v/>
      </c>
      <c r="AF10" s="44"/>
      <c r="AG10" s="55" t="e">
        <f>IF(L10=3,IF(V10=1,CONFECCION!$C$18,CONFECCION!$C$18*2),IF(V10=1,HLOOKUP(AA10,CONFECCION!$C$17:$AD$33,VLOOKUP(Z10,CONFECCION!$A$18:$B$33,2)-16),2*HLOOKUP(AA10,CONFECCION!$C$17:$AD$33,VLOOKUP(Z10,CONFECCION!$A$18:$B$33,2)-16)))*IF(AC10=1,3,1)</f>
        <v>#N/A</v>
      </c>
      <c r="AH10" s="54"/>
      <c r="AI10" s="55" t="e">
        <f>IF(AC10=1,AA10/100*K10+IF(AF10&gt;0,K10*(VLOOKUP(AD10,EMPALME!$C$2:$D$33,2)/100)/AF10,K10*(VLOOKUP(AD10,EMPALME!$C$2:$D$33,2)/100)/VLOOKUP(AD10,EMPALME!$C$2:$F$33,4)),IF(AH10=2,ROUND((K10*(AA10/100)-(I10/10)*INT((AA10/100)/0.55)*INT((J10-(Z10/100)*INT(J10/(Z10/100)))/0.55))/INT(J10/(Z10/100)),2),ROUND(K10*(AA10/100)/INT(J10/(Z10/100)),2)))</f>
        <v>#N/A</v>
      </c>
      <c r="AJ10" s="54">
        <v>2</v>
      </c>
      <c r="AK10" s="55">
        <f>ROUND(IF(AJ10=2,0,((Z10*2)+(AA10*2))*CONFECCION!$B$35/100),2)</f>
        <v>0</v>
      </c>
      <c r="AL10" s="54"/>
      <c r="AM10" s="54">
        <v>2</v>
      </c>
      <c r="AP10" s="149"/>
      <c r="AQ10" s="149" t="str">
        <f t="shared" ref="AQ10:AQ19" si="8">IF(S10=0,"",S10)</f>
        <v/>
      </c>
      <c r="AR10" s="149" t="str">
        <f>IF(A10=0,"",VLOOKUP(L10,ARTICULOS!$A$10:$B$19,2))</f>
        <v/>
      </c>
      <c r="AS10" s="157" t="str">
        <f t="shared" ref="AS10:AS19" si="9">IF(A10=0,"",T10&amp;" * "&amp;U10)&amp;IF(AM10=1," PR","")</f>
        <v/>
      </c>
      <c r="AT10" s="167" t="str">
        <f>IF(A10=0,"",VLOOKUP(E10,ARTICULOS!$D$10:$F$699,3))</f>
        <v/>
      </c>
      <c r="AU10" s="164" t="str">
        <f>IF(A10=0,"","c/ "&amp;D10&amp;" "&amp;VLOOKUP(H10,COLORES!$A$7:$G$4394,7))</f>
        <v/>
      </c>
      <c r="AV10" s="149" t="str">
        <f t="shared" ref="AV10:AV19" si="10">IF(A10=0,"",IF(V10=1,"Dobl. Sencillo","Dobl. "&amp;V10&amp;" cm."))</f>
        <v/>
      </c>
      <c r="AW10" s="149" t="str">
        <f t="shared" ref="AW10:AW19" si="11">+IF(Y10=1,"SI","")</f>
        <v/>
      </c>
      <c r="AX10" s="149" t="str">
        <f t="shared" ref="AX10:AX19" si="12">IF(A10=0,"",IF(AB10=2,Z10&amp;" * "&amp;AA10,IF(Z10=AA10,"Redondo "&amp;Z10&amp;" * "&amp;AA10,"Ovalado "&amp;Z10&amp;" * "&amp;AA10)))</f>
        <v/>
      </c>
      <c r="AY10" s="152" t="str">
        <f t="shared" ref="AY10:AY19" si="13">IF(A10=0,"",AG10+AI10+AK10)</f>
        <v/>
      </c>
      <c r="AZ10" s="155" t="str">
        <f t="shared" ref="AZ10:AZ19" si="14">IF(A10=0,"",A10)</f>
        <v/>
      </c>
      <c r="BA10" s="156" t="str">
        <f t="shared" ref="BA10:BA19" si="15">IF(A10=0,"",ROUND(AY10*AZ10,2))</f>
        <v/>
      </c>
    </row>
    <row r="11" spans="1:53" ht="16.5" customHeight="1" x14ac:dyDescent="0.35">
      <c r="A11" s="45">
        <v>0</v>
      </c>
      <c r="B11" s="43">
        <v>1</v>
      </c>
      <c r="C11" s="43"/>
      <c r="D11" s="48">
        <v>1</v>
      </c>
      <c r="E11" s="41" t="e">
        <f>MATCH(C11,ARTICULOS!$F$10:$F$699,0)</f>
        <v>#N/A</v>
      </c>
      <c r="F11" s="41" t="e">
        <f>+VLOOKUP(E11,ARTICULOS!$D$10:$I$699,6)</f>
        <v>#N/A</v>
      </c>
      <c r="G11" s="42" t="e">
        <f t="shared" si="0"/>
        <v>#N/A</v>
      </c>
      <c r="H11" s="42" t="e">
        <f>+MATCH(G11,COLORES!$E$7:$E$4394,0)</f>
        <v>#N/A</v>
      </c>
      <c r="I11" s="49" t="e">
        <f>VLOOKUP(H11,COLORES!$A$7:$I$4394,8)</f>
        <v>#N/A</v>
      </c>
      <c r="J11" s="50" t="e">
        <f>VLOOKUP(H11,COLORES!$A$7:$I$4394,9)</f>
        <v>#N/A</v>
      </c>
      <c r="K11" s="191" t="e">
        <f t="shared" si="1"/>
        <v>#N/A</v>
      </c>
      <c r="L11" s="44">
        <v>0</v>
      </c>
      <c r="M11" s="45">
        <v>0</v>
      </c>
      <c r="N11" s="47">
        <v>0</v>
      </c>
      <c r="O11" s="47">
        <v>0</v>
      </c>
      <c r="P11" s="47">
        <v>0</v>
      </c>
      <c r="Q11" s="47">
        <v>0</v>
      </c>
      <c r="R11" s="48"/>
      <c r="S11" s="53" t="str">
        <f t="shared" si="2"/>
        <v/>
      </c>
      <c r="T11" s="51">
        <f t="shared" si="3"/>
        <v>0</v>
      </c>
      <c r="U11" s="52">
        <f t="shared" si="4"/>
        <v>0</v>
      </c>
      <c r="V11" s="54"/>
      <c r="W11" s="56">
        <f t="shared" si="5"/>
        <v>0</v>
      </c>
      <c r="X11" s="57">
        <f t="shared" si="6"/>
        <v>0</v>
      </c>
      <c r="Y11" s="54">
        <v>0</v>
      </c>
      <c r="Z11" s="56">
        <f>IF(Y11=1,ROUNDUP(W11*(1+VLOOKUP(E11,ARTICULOS!$D$10:$H$699,5)),0),W11)</f>
        <v>0</v>
      </c>
      <c r="AA11" s="57">
        <f>IF(Y11=1,ROUNDUP(X11*(1+VLOOKUP(E11,ARTICULOS!$D$10:$H$699,4)),0),X11)</f>
        <v>0</v>
      </c>
      <c r="AB11" s="54">
        <v>2</v>
      </c>
      <c r="AC11" s="54"/>
      <c r="AD11" s="53" t="str">
        <f t="shared" si="7"/>
        <v/>
      </c>
      <c r="AE11" s="53" t="str">
        <f>IF(AC11=1,VLOOKUP(AD11,EMPALME!$C$2:$F$33,4),"")</f>
        <v/>
      </c>
      <c r="AF11" s="44"/>
      <c r="AG11" s="55" t="e">
        <f>IF(L11=3,IF(V11=1,CONFECCION!$C$18,CONFECCION!$C$18*2),IF(V11=1,HLOOKUP(AA11,CONFECCION!$C$17:$AD$33,VLOOKUP(Z11,CONFECCION!$A$18:$B$33,2)-16),2*HLOOKUP(AA11,CONFECCION!$C$17:$AD$33,VLOOKUP(Z11,CONFECCION!$A$18:$B$33,2)-16)))*IF(AC11=1,3,1)</f>
        <v>#N/A</v>
      </c>
      <c r="AH11" s="54"/>
      <c r="AI11" s="55" t="e">
        <f>IF(AC11=1,AA11/100*K11+IF(AF11&gt;0,K11*(VLOOKUP(AD11,EMPALME!$C$2:$D$33,2)/100)/AF11,K11*(VLOOKUP(AD11,EMPALME!$C$2:$D$33,2)/100)/VLOOKUP(AD11,EMPALME!$C$2:$F$33,4)),IF(AH11=2,ROUND((K11*(AA11/100)-(I11/10)*INT((AA11/100)/0.55)*INT((J11-(Z11/100)*INT(J11/(Z11/100)))/0.55))/INT(J11/(Z11/100)),2),ROUND(K11*(AA11/100)/INT(J11/(Z11/100)),2)))</f>
        <v>#N/A</v>
      </c>
      <c r="AJ11" s="54">
        <v>2</v>
      </c>
      <c r="AK11" s="55">
        <f>ROUND(IF(AJ11=2,0,((Z11*2)+(AA11*2))*CONFECCION!$B$35/100),2)</f>
        <v>0</v>
      </c>
      <c r="AL11" s="54"/>
      <c r="AM11" s="54">
        <v>2</v>
      </c>
      <c r="AP11" s="149"/>
      <c r="AQ11" s="149" t="str">
        <f t="shared" si="8"/>
        <v/>
      </c>
      <c r="AR11" s="149" t="str">
        <f>IF(A11=0,"",VLOOKUP(L11,ARTICULOS!$A$10:$B$19,2))</f>
        <v/>
      </c>
      <c r="AS11" s="157" t="str">
        <f t="shared" si="9"/>
        <v/>
      </c>
      <c r="AT11" s="167" t="str">
        <f>IF(A11=0,"",VLOOKUP(E11,ARTICULOS!$D$10:$F$699,3))</f>
        <v/>
      </c>
      <c r="AU11" s="164" t="str">
        <f>IF(A11=0,"","c/ "&amp;D11&amp;" "&amp;VLOOKUP(H11,COLORES!$A$7:$G$4394,7))</f>
        <v/>
      </c>
      <c r="AV11" s="149" t="str">
        <f t="shared" si="10"/>
        <v/>
      </c>
      <c r="AW11" s="149" t="str">
        <f t="shared" si="11"/>
        <v/>
      </c>
      <c r="AX11" s="149" t="str">
        <f t="shared" si="12"/>
        <v/>
      </c>
      <c r="AY11" s="152" t="str">
        <f t="shared" si="13"/>
        <v/>
      </c>
      <c r="AZ11" s="155" t="str">
        <f t="shared" si="14"/>
        <v/>
      </c>
      <c r="BA11" s="156" t="str">
        <f t="shared" si="15"/>
        <v/>
      </c>
    </row>
    <row r="12" spans="1:53" ht="16.5" customHeight="1" x14ac:dyDescent="0.35">
      <c r="A12" s="45">
        <v>0</v>
      </c>
      <c r="B12" s="43">
        <v>1</v>
      </c>
      <c r="C12" s="43"/>
      <c r="D12" s="48">
        <v>1</v>
      </c>
      <c r="E12" s="41" t="e">
        <f>MATCH(C12,ARTICULOS!$F$10:$F$699,0)</f>
        <v>#N/A</v>
      </c>
      <c r="F12" s="41" t="e">
        <f>+VLOOKUP(E12,ARTICULOS!$D$10:$I$699,6)</f>
        <v>#N/A</v>
      </c>
      <c r="G12" s="42" t="e">
        <f t="shared" si="0"/>
        <v>#N/A</v>
      </c>
      <c r="H12" s="42" t="e">
        <f>+MATCH(G12,COLORES!$E$7:$E$4394,0)</f>
        <v>#N/A</v>
      </c>
      <c r="I12" s="49" t="e">
        <f>VLOOKUP(H12,COLORES!$A$7:$I$4394,8)</f>
        <v>#N/A</v>
      </c>
      <c r="J12" s="50" t="e">
        <f>VLOOKUP(H12,COLORES!$A$7:$I$4394,9)</f>
        <v>#N/A</v>
      </c>
      <c r="K12" s="191" t="e">
        <f t="shared" si="1"/>
        <v>#N/A</v>
      </c>
      <c r="L12" s="44">
        <v>0</v>
      </c>
      <c r="M12" s="45">
        <v>0</v>
      </c>
      <c r="N12" s="47">
        <v>0</v>
      </c>
      <c r="O12" s="47">
        <v>0</v>
      </c>
      <c r="P12" s="47">
        <v>0</v>
      </c>
      <c r="Q12" s="47">
        <v>0</v>
      </c>
      <c r="R12" s="48"/>
      <c r="S12" s="53" t="str">
        <f t="shared" si="2"/>
        <v/>
      </c>
      <c r="T12" s="51">
        <f t="shared" si="3"/>
        <v>0</v>
      </c>
      <c r="U12" s="52">
        <f t="shared" si="4"/>
        <v>0</v>
      </c>
      <c r="V12" s="54"/>
      <c r="W12" s="56">
        <f t="shared" si="5"/>
        <v>0</v>
      </c>
      <c r="X12" s="57">
        <f t="shared" si="6"/>
        <v>0</v>
      </c>
      <c r="Y12" s="54">
        <v>0</v>
      </c>
      <c r="Z12" s="56">
        <f>IF(Y12=1,ROUNDUP(W12*(1+VLOOKUP(E12,ARTICULOS!$D$10:$H$699,5)),0),W12)</f>
        <v>0</v>
      </c>
      <c r="AA12" s="57">
        <f>IF(Y12=1,ROUNDUP(X12*(1+VLOOKUP(E12,ARTICULOS!$D$10:$H$699,4)),0),X12)</f>
        <v>0</v>
      </c>
      <c r="AB12" s="54">
        <v>2</v>
      </c>
      <c r="AC12" s="54"/>
      <c r="AD12" s="53" t="str">
        <f t="shared" si="7"/>
        <v/>
      </c>
      <c r="AE12" s="53" t="str">
        <f>IF(AC12=1,VLOOKUP(AD12,EMPALME!$C$2:$F$33,4),"")</f>
        <v/>
      </c>
      <c r="AF12" s="44"/>
      <c r="AG12" s="55" t="e">
        <f>IF(L12=3,IF(V12=1,CONFECCION!$C$18,CONFECCION!$C$18*2),IF(V12=1,HLOOKUP(AA12,CONFECCION!$C$17:$AD$33,VLOOKUP(Z12,CONFECCION!$A$18:$B$33,2)-16),2*HLOOKUP(AA12,CONFECCION!$C$17:$AD$33,VLOOKUP(Z12,CONFECCION!$A$18:$B$33,2)-16)))*IF(AC12=1,3,1)</f>
        <v>#N/A</v>
      </c>
      <c r="AH12" s="54"/>
      <c r="AI12" s="55" t="e">
        <f>IF(AC12=1,AA12/100*K12+IF(AF12&gt;0,K12*(VLOOKUP(AD12,EMPALME!$C$2:$D$33,2)/100)/AF12,K12*(VLOOKUP(AD12,EMPALME!$C$2:$D$33,2)/100)/VLOOKUP(AD12,EMPALME!$C$2:$F$33,4)),IF(AH12=2,ROUND((K12*(AA12/100)-(I12/10)*INT((AA12/100)/0.55)*INT((J12-(Z12/100)*INT(J12/(Z12/100)))/0.55))/INT(J12/(Z12/100)),2),ROUND(K12*(AA12/100)/INT(J12/(Z12/100)),2)))</f>
        <v>#N/A</v>
      </c>
      <c r="AJ12" s="54">
        <v>2</v>
      </c>
      <c r="AK12" s="55">
        <f>ROUND(IF(AJ12=2,0,((Z12*2)+(AA12*2))*CONFECCION!$B$35/100),2)</f>
        <v>0</v>
      </c>
      <c r="AL12" s="54"/>
      <c r="AM12" s="54">
        <v>2</v>
      </c>
      <c r="AP12" s="149"/>
      <c r="AQ12" s="149" t="str">
        <f t="shared" si="8"/>
        <v/>
      </c>
      <c r="AR12" s="149" t="str">
        <f>IF(A12=0,"",VLOOKUP(L12,ARTICULOS!$A$10:$B$19,2))</f>
        <v/>
      </c>
      <c r="AS12" s="157" t="str">
        <f t="shared" si="9"/>
        <v/>
      </c>
      <c r="AT12" s="167" t="str">
        <f>IF(A12=0,"",VLOOKUP(E12,ARTICULOS!$D$10:$F$699,3))</f>
        <v/>
      </c>
      <c r="AU12" s="164" t="str">
        <f>IF(A12=0,"","c/ "&amp;D12&amp;" "&amp;VLOOKUP(H12,COLORES!$A$7:$G$4394,7))</f>
        <v/>
      </c>
      <c r="AV12" s="149" t="str">
        <f t="shared" si="10"/>
        <v/>
      </c>
      <c r="AW12" s="149" t="str">
        <f t="shared" si="11"/>
        <v/>
      </c>
      <c r="AX12" s="149" t="str">
        <f t="shared" si="12"/>
        <v/>
      </c>
      <c r="AY12" s="152" t="str">
        <f t="shared" si="13"/>
        <v/>
      </c>
      <c r="AZ12" s="155" t="str">
        <f t="shared" si="14"/>
        <v/>
      </c>
      <c r="BA12" s="156" t="str">
        <f t="shared" si="15"/>
        <v/>
      </c>
    </row>
    <row r="13" spans="1:53" ht="16.5" customHeight="1" x14ac:dyDescent="0.35">
      <c r="A13" s="45">
        <v>0</v>
      </c>
      <c r="B13" s="43">
        <v>1</v>
      </c>
      <c r="C13" s="43"/>
      <c r="D13" s="48">
        <v>1</v>
      </c>
      <c r="E13" s="41" t="e">
        <f>MATCH(C13,ARTICULOS!$F$10:$F$699,0)</f>
        <v>#N/A</v>
      </c>
      <c r="F13" s="41" t="e">
        <f>+VLOOKUP(E13,ARTICULOS!$D$10:$I$699,6)</f>
        <v>#N/A</v>
      </c>
      <c r="G13" s="42" t="e">
        <f t="shared" si="0"/>
        <v>#N/A</v>
      </c>
      <c r="H13" s="42" t="e">
        <f>+MATCH(G13,COLORES!$E$7:$E$4394,0)</f>
        <v>#N/A</v>
      </c>
      <c r="I13" s="49" t="e">
        <f>VLOOKUP(H13,COLORES!$A$7:$I$4394,8)</f>
        <v>#N/A</v>
      </c>
      <c r="J13" s="50" t="e">
        <f>VLOOKUP(H13,COLORES!$A$7:$I$4394,9)</f>
        <v>#N/A</v>
      </c>
      <c r="K13" s="191" t="e">
        <f t="shared" si="1"/>
        <v>#N/A</v>
      </c>
      <c r="L13" s="44">
        <v>0</v>
      </c>
      <c r="M13" s="45">
        <v>0</v>
      </c>
      <c r="N13" s="47">
        <v>0</v>
      </c>
      <c r="O13" s="47">
        <v>0</v>
      </c>
      <c r="P13" s="47">
        <v>0</v>
      </c>
      <c r="Q13" s="47">
        <v>0</v>
      </c>
      <c r="R13" s="48"/>
      <c r="S13" s="53" t="str">
        <f t="shared" si="2"/>
        <v/>
      </c>
      <c r="T13" s="51">
        <f t="shared" si="3"/>
        <v>0</v>
      </c>
      <c r="U13" s="52">
        <f t="shared" si="4"/>
        <v>0</v>
      </c>
      <c r="V13" s="54"/>
      <c r="W13" s="56">
        <f t="shared" si="5"/>
        <v>0</v>
      </c>
      <c r="X13" s="57">
        <f t="shared" si="6"/>
        <v>0</v>
      </c>
      <c r="Y13" s="54">
        <v>0</v>
      </c>
      <c r="Z13" s="56">
        <f>IF(Y13=1,ROUNDUP(W13*(1+VLOOKUP(E13,ARTICULOS!$D$10:$H$699,5)),0),W13)</f>
        <v>0</v>
      </c>
      <c r="AA13" s="57">
        <f>IF(Y13=1,ROUNDUP(X13*(1+VLOOKUP(E13,ARTICULOS!$D$10:$H$699,4)),0),X13)</f>
        <v>0</v>
      </c>
      <c r="AB13" s="54">
        <v>2</v>
      </c>
      <c r="AC13" s="54"/>
      <c r="AD13" s="53" t="str">
        <f t="shared" si="7"/>
        <v/>
      </c>
      <c r="AE13" s="53" t="str">
        <f>IF(AC13=1,VLOOKUP(AD13,EMPALME!$C$2:$F$33,4),"")</f>
        <v/>
      </c>
      <c r="AF13" s="44"/>
      <c r="AG13" s="55" t="e">
        <f>IF(L13=3,IF(V13=1,CONFECCION!$C$18,CONFECCION!$C$18*2),IF(V13=1,HLOOKUP(AA13,CONFECCION!$C$17:$AD$33,VLOOKUP(Z13,CONFECCION!$A$18:$B$33,2)-16),2*HLOOKUP(AA13,CONFECCION!$C$17:$AD$33,VLOOKUP(Z13,CONFECCION!$A$18:$B$33,2)-16)))*IF(AC13=1,3,1)</f>
        <v>#N/A</v>
      </c>
      <c r="AH13" s="54"/>
      <c r="AI13" s="55" t="e">
        <f>IF(AC13=1,AA13/100*K13+IF(AF13&gt;0,K13*(VLOOKUP(AD13,EMPALME!$C$2:$D$33,2)/100)/AF13,K13*(VLOOKUP(AD13,EMPALME!$C$2:$D$33,2)/100)/VLOOKUP(AD13,EMPALME!$C$2:$F$33,4)),IF(AH13=2,ROUND((K13*(AA13/100)-(I13/10)*INT((AA13/100)/0.55)*INT((J13-(Z13/100)*INT(J13/(Z13/100)))/0.55))/INT(J13/(Z13/100)),2),ROUND(K13*(AA13/100)/INT(J13/(Z13/100)),2)))</f>
        <v>#N/A</v>
      </c>
      <c r="AJ13" s="54">
        <v>2</v>
      </c>
      <c r="AK13" s="55">
        <f>ROUND(IF(AJ13=2,0,((Z13*2)+(AA13*2))*CONFECCION!$B$35/100),2)</f>
        <v>0</v>
      </c>
      <c r="AL13" s="54"/>
      <c r="AM13" s="54">
        <v>2</v>
      </c>
      <c r="AP13" s="149"/>
      <c r="AQ13" s="149" t="str">
        <f t="shared" si="8"/>
        <v/>
      </c>
      <c r="AR13" s="149" t="str">
        <f>IF(A13=0,"",VLOOKUP(L13,ARTICULOS!$A$10:$B$19,2))</f>
        <v/>
      </c>
      <c r="AS13" s="157" t="str">
        <f t="shared" si="9"/>
        <v/>
      </c>
      <c r="AT13" s="167" t="str">
        <f>IF(A13=0,"",VLOOKUP(E13,ARTICULOS!$D$10:$F$699,3))</f>
        <v/>
      </c>
      <c r="AU13" s="164" t="str">
        <f>IF(A13=0,"","c/ "&amp;D13&amp;" "&amp;VLOOKUP(H13,COLORES!$A$7:$G$4394,7))</f>
        <v/>
      </c>
      <c r="AV13" s="149" t="str">
        <f t="shared" si="10"/>
        <v/>
      </c>
      <c r="AW13" s="149" t="str">
        <f t="shared" si="11"/>
        <v/>
      </c>
      <c r="AX13" s="149" t="str">
        <f t="shared" si="12"/>
        <v/>
      </c>
      <c r="AY13" s="152" t="str">
        <f t="shared" si="13"/>
        <v/>
      </c>
      <c r="AZ13" s="155" t="str">
        <f t="shared" si="14"/>
        <v/>
      </c>
      <c r="BA13" s="156" t="str">
        <f t="shared" si="15"/>
        <v/>
      </c>
    </row>
    <row r="14" spans="1:53" ht="16.5" customHeight="1" x14ac:dyDescent="0.35">
      <c r="A14" s="45">
        <v>0</v>
      </c>
      <c r="B14" s="43">
        <v>1</v>
      </c>
      <c r="C14" s="43"/>
      <c r="D14" s="48">
        <v>1</v>
      </c>
      <c r="E14" s="41" t="e">
        <f>MATCH(C14,ARTICULOS!$F$10:$F$699,0)</f>
        <v>#N/A</v>
      </c>
      <c r="F14" s="41" t="e">
        <f>+VLOOKUP(E14,ARTICULOS!$D$10:$I$699,6)</f>
        <v>#N/A</v>
      </c>
      <c r="G14" s="42" t="e">
        <f t="shared" si="0"/>
        <v>#N/A</v>
      </c>
      <c r="H14" s="42" t="e">
        <f>+MATCH(G14,COLORES!$E$7:$E$4394,0)</f>
        <v>#N/A</v>
      </c>
      <c r="I14" s="49" t="e">
        <f>VLOOKUP(H14,COLORES!$A$7:$I$4394,8)</f>
        <v>#N/A</v>
      </c>
      <c r="J14" s="50" t="e">
        <f>VLOOKUP(H14,COLORES!$A$7:$I$4394,9)</f>
        <v>#N/A</v>
      </c>
      <c r="K14" s="191" t="e">
        <f t="shared" si="1"/>
        <v>#N/A</v>
      </c>
      <c r="L14" s="44">
        <v>0</v>
      </c>
      <c r="M14" s="45">
        <v>0</v>
      </c>
      <c r="N14" s="47">
        <v>0</v>
      </c>
      <c r="O14" s="47">
        <v>0</v>
      </c>
      <c r="P14" s="47">
        <v>0</v>
      </c>
      <c r="Q14" s="47">
        <v>0</v>
      </c>
      <c r="R14" s="48"/>
      <c r="S14" s="53" t="str">
        <f t="shared" si="2"/>
        <v/>
      </c>
      <c r="T14" s="51">
        <f t="shared" si="3"/>
        <v>0</v>
      </c>
      <c r="U14" s="52">
        <f t="shared" si="4"/>
        <v>0</v>
      </c>
      <c r="V14" s="54"/>
      <c r="W14" s="56">
        <f t="shared" si="5"/>
        <v>0</v>
      </c>
      <c r="X14" s="57">
        <f t="shared" si="6"/>
        <v>0</v>
      </c>
      <c r="Y14" s="54">
        <v>0</v>
      </c>
      <c r="Z14" s="56">
        <f>IF(Y14=1,ROUNDUP(W14*(1+VLOOKUP(E14,ARTICULOS!$D$10:$H$699,5)),0),W14)</f>
        <v>0</v>
      </c>
      <c r="AA14" s="57">
        <f>IF(Y14=1,ROUNDUP(X14*(1+VLOOKUP(E14,ARTICULOS!$D$10:$H$699,4)),0),X14)</f>
        <v>0</v>
      </c>
      <c r="AB14" s="54">
        <v>2</v>
      </c>
      <c r="AC14" s="54"/>
      <c r="AD14" s="53" t="str">
        <f t="shared" si="7"/>
        <v/>
      </c>
      <c r="AE14" s="53" t="str">
        <f>IF(AC14=1,VLOOKUP(AD14,EMPALME!$C$2:$F$33,4),"")</f>
        <v/>
      </c>
      <c r="AF14" s="44"/>
      <c r="AG14" s="55" t="e">
        <f>IF(L14=3,IF(V14=1,CONFECCION!$C$18,CONFECCION!$C$18*2),IF(V14=1,HLOOKUP(AA14,CONFECCION!$C$17:$AD$33,VLOOKUP(Z14,CONFECCION!$A$18:$B$33,2)-16),2*HLOOKUP(AA14,CONFECCION!$C$17:$AD$33,VLOOKUP(Z14,CONFECCION!$A$18:$B$33,2)-16)))*IF(AC14=1,3,1)</f>
        <v>#N/A</v>
      </c>
      <c r="AH14" s="54"/>
      <c r="AI14" s="55" t="e">
        <f>IF(AC14=1,AA14/100*K14+IF(AF14&gt;0,K14*(VLOOKUP(AD14,EMPALME!$C$2:$D$33,2)/100)/AF14,K14*(VLOOKUP(AD14,EMPALME!$C$2:$D$33,2)/100)/VLOOKUP(AD14,EMPALME!$C$2:$F$33,4)),IF(AH14=2,ROUND((K14*(AA14/100)-(I14/10)*INT((AA14/100)/0.55)*INT((J14-(Z14/100)*INT(J14/(Z14/100)))/0.55))/INT(J14/(Z14/100)),2),ROUND(K14*(AA14/100)/INT(J14/(Z14/100)),2)))</f>
        <v>#N/A</v>
      </c>
      <c r="AJ14" s="54">
        <v>2</v>
      </c>
      <c r="AK14" s="55">
        <f>ROUND(IF(AJ14=2,0,((Z14*2)+(AA14*2))*CONFECCION!$B$35/100),2)</f>
        <v>0</v>
      </c>
      <c r="AL14" s="54"/>
      <c r="AM14" s="54">
        <v>2</v>
      </c>
      <c r="AP14" s="149"/>
      <c r="AQ14" s="149" t="str">
        <f t="shared" si="8"/>
        <v/>
      </c>
      <c r="AR14" s="149" t="str">
        <f>IF(A14=0,"",VLOOKUP(L14,ARTICULOS!$A$10:$B$19,2))</f>
        <v/>
      </c>
      <c r="AS14" s="157" t="str">
        <f t="shared" si="9"/>
        <v/>
      </c>
      <c r="AT14" s="167" t="str">
        <f>IF(A14=0,"",VLOOKUP(E14,ARTICULOS!$D$10:$F$699,3))</f>
        <v/>
      </c>
      <c r="AU14" s="164" t="str">
        <f>IF(A14=0,"","c/ "&amp;D14&amp;" "&amp;VLOOKUP(H14,COLORES!$A$7:$G$4394,7))</f>
        <v/>
      </c>
      <c r="AV14" s="149" t="str">
        <f t="shared" si="10"/>
        <v/>
      </c>
      <c r="AW14" s="149" t="str">
        <f t="shared" si="11"/>
        <v/>
      </c>
      <c r="AX14" s="149" t="str">
        <f t="shared" si="12"/>
        <v/>
      </c>
      <c r="AY14" s="152" t="str">
        <f t="shared" si="13"/>
        <v/>
      </c>
      <c r="AZ14" s="155" t="str">
        <f t="shared" si="14"/>
        <v/>
      </c>
      <c r="BA14" s="156" t="str">
        <f t="shared" si="15"/>
        <v/>
      </c>
    </row>
    <row r="15" spans="1:53" ht="16.5" customHeight="1" x14ac:dyDescent="0.35">
      <c r="A15" s="45">
        <v>0</v>
      </c>
      <c r="B15" s="43">
        <v>1</v>
      </c>
      <c r="C15" s="43"/>
      <c r="D15" s="48">
        <v>1</v>
      </c>
      <c r="E15" s="41" t="e">
        <f>MATCH(C15,ARTICULOS!$F$10:$F$699,0)</f>
        <v>#N/A</v>
      </c>
      <c r="F15" s="41" t="e">
        <f>+VLOOKUP(E15,ARTICULOS!$D$10:$I$699,6)</f>
        <v>#N/A</v>
      </c>
      <c r="G15" s="42" t="e">
        <f t="shared" si="0"/>
        <v>#N/A</v>
      </c>
      <c r="H15" s="42" t="e">
        <f>+MATCH(G15,COLORES!$E$7:$E$4394,0)</f>
        <v>#N/A</v>
      </c>
      <c r="I15" s="49" t="e">
        <f>VLOOKUP(H15,COLORES!$A$7:$I$4394,8)</f>
        <v>#N/A</v>
      </c>
      <c r="J15" s="50" t="e">
        <f>VLOOKUP(H15,COLORES!$A$7:$I$4394,9)</f>
        <v>#N/A</v>
      </c>
      <c r="K15" s="191" t="e">
        <f t="shared" si="1"/>
        <v>#N/A</v>
      </c>
      <c r="L15" s="44">
        <v>0</v>
      </c>
      <c r="M15" s="45">
        <v>0</v>
      </c>
      <c r="N15" s="47">
        <v>0</v>
      </c>
      <c r="O15" s="47">
        <v>0</v>
      </c>
      <c r="P15" s="47">
        <v>0</v>
      </c>
      <c r="Q15" s="47">
        <v>0</v>
      </c>
      <c r="R15" s="48"/>
      <c r="S15" s="53" t="str">
        <f t="shared" si="2"/>
        <v/>
      </c>
      <c r="T15" s="51">
        <f t="shared" si="3"/>
        <v>0</v>
      </c>
      <c r="U15" s="52">
        <f t="shared" si="4"/>
        <v>0</v>
      </c>
      <c r="V15" s="54"/>
      <c r="W15" s="56">
        <f t="shared" si="5"/>
        <v>0</v>
      </c>
      <c r="X15" s="57">
        <f t="shared" si="6"/>
        <v>0</v>
      </c>
      <c r="Y15" s="54">
        <v>0</v>
      </c>
      <c r="Z15" s="56">
        <f>IF(Y15=1,ROUNDUP(W15*(1+VLOOKUP(E15,ARTICULOS!$D$10:$H$699,5)),0),W15)</f>
        <v>0</v>
      </c>
      <c r="AA15" s="57">
        <f>IF(Y15=1,ROUNDUP(X15*(1+VLOOKUP(E15,ARTICULOS!$D$10:$H$699,4)),0),X15)</f>
        <v>0</v>
      </c>
      <c r="AB15" s="54">
        <v>2</v>
      </c>
      <c r="AC15" s="54"/>
      <c r="AD15" s="53" t="str">
        <f t="shared" si="7"/>
        <v/>
      </c>
      <c r="AE15" s="53" t="str">
        <f>IF(AC15=1,VLOOKUP(AD15,EMPALME!$C$2:$F$33,4),"")</f>
        <v/>
      </c>
      <c r="AF15" s="44"/>
      <c r="AG15" s="55" t="e">
        <f>IF(L15=3,IF(V15=1,CONFECCION!$C$18,CONFECCION!$C$18*2),IF(V15=1,HLOOKUP(AA15,CONFECCION!$C$17:$AD$33,VLOOKUP(Z15,CONFECCION!$A$18:$B$33,2)-16),2*HLOOKUP(AA15,CONFECCION!$C$17:$AD$33,VLOOKUP(Z15,CONFECCION!$A$18:$B$33,2)-16)))*IF(AC15=1,3,1)</f>
        <v>#N/A</v>
      </c>
      <c r="AH15" s="54"/>
      <c r="AI15" s="55" t="e">
        <f>IF(AC15=1,AA15/100*K15+IF(AF15&gt;0,K15*(VLOOKUP(AD15,EMPALME!$C$2:$D$33,2)/100)/AF15,K15*(VLOOKUP(AD15,EMPALME!$C$2:$D$33,2)/100)/VLOOKUP(AD15,EMPALME!$C$2:$F$33,4)),IF(AH15=2,ROUND((K15*(AA15/100)-(I15/10)*INT((AA15/100)/0.55)*INT((J15-(Z15/100)*INT(J15/(Z15/100)))/0.55))/INT(J15/(Z15/100)),2),ROUND(K15*(AA15/100)/INT(J15/(Z15/100)),2)))</f>
        <v>#N/A</v>
      </c>
      <c r="AJ15" s="54">
        <v>2</v>
      </c>
      <c r="AK15" s="55">
        <f>ROUND(IF(AJ15=2,0,((Z15*2)+(AA15*2))*CONFECCION!$B$35/100),2)</f>
        <v>0</v>
      </c>
      <c r="AL15" s="54"/>
      <c r="AM15" s="54">
        <v>2</v>
      </c>
      <c r="AP15" s="149"/>
      <c r="AQ15" s="149" t="str">
        <f t="shared" si="8"/>
        <v/>
      </c>
      <c r="AR15" s="149" t="str">
        <f>IF(A15=0,"",VLOOKUP(L15,ARTICULOS!$A$10:$B$19,2))</f>
        <v/>
      </c>
      <c r="AS15" s="157" t="str">
        <f t="shared" si="9"/>
        <v/>
      </c>
      <c r="AT15" s="167" t="str">
        <f>IF(A15=0,"",VLOOKUP(E15,ARTICULOS!$D$10:$F$699,3))</f>
        <v/>
      </c>
      <c r="AU15" s="164" t="str">
        <f>IF(A15=0,"","c/ "&amp;D15&amp;" "&amp;VLOOKUP(H15,COLORES!$A$7:$G$4394,7))</f>
        <v/>
      </c>
      <c r="AV15" s="149" t="str">
        <f t="shared" si="10"/>
        <v/>
      </c>
      <c r="AW15" s="149" t="str">
        <f t="shared" si="11"/>
        <v/>
      </c>
      <c r="AX15" s="149" t="str">
        <f t="shared" si="12"/>
        <v/>
      </c>
      <c r="AY15" s="152" t="str">
        <f t="shared" si="13"/>
        <v/>
      </c>
      <c r="AZ15" s="155" t="str">
        <f t="shared" si="14"/>
        <v/>
      </c>
      <c r="BA15" s="156" t="str">
        <f t="shared" si="15"/>
        <v/>
      </c>
    </row>
    <row r="16" spans="1:53" ht="16.5" customHeight="1" x14ac:dyDescent="0.35">
      <c r="A16" s="45">
        <v>0</v>
      </c>
      <c r="B16" s="43">
        <v>1</v>
      </c>
      <c r="C16" s="43"/>
      <c r="D16" s="48">
        <v>1</v>
      </c>
      <c r="E16" s="41" t="e">
        <f>MATCH(C16,ARTICULOS!$F$10:$F$699,0)</f>
        <v>#N/A</v>
      </c>
      <c r="F16" s="41" t="e">
        <f>+VLOOKUP(E16,ARTICULOS!$D$10:$I$699,6)</f>
        <v>#N/A</v>
      </c>
      <c r="G16" s="42" t="e">
        <f t="shared" si="0"/>
        <v>#N/A</v>
      </c>
      <c r="H16" s="42" t="e">
        <f>+MATCH(G16,COLORES!$E$7:$E$4394,0)</f>
        <v>#N/A</v>
      </c>
      <c r="I16" s="49" t="e">
        <f>VLOOKUP(H16,COLORES!$A$7:$I$4394,8)</f>
        <v>#N/A</v>
      </c>
      <c r="J16" s="50" t="e">
        <f>VLOOKUP(H16,COLORES!$A$7:$I$4394,9)</f>
        <v>#N/A</v>
      </c>
      <c r="K16" s="191" t="e">
        <f t="shared" si="1"/>
        <v>#N/A</v>
      </c>
      <c r="L16" s="44">
        <v>0</v>
      </c>
      <c r="M16" s="45">
        <v>0</v>
      </c>
      <c r="N16" s="47">
        <v>0</v>
      </c>
      <c r="O16" s="47">
        <v>0</v>
      </c>
      <c r="P16" s="47">
        <v>0</v>
      </c>
      <c r="Q16" s="47">
        <v>0</v>
      </c>
      <c r="R16" s="48"/>
      <c r="S16" s="53" t="str">
        <f t="shared" si="2"/>
        <v/>
      </c>
      <c r="T16" s="51">
        <f t="shared" si="3"/>
        <v>0</v>
      </c>
      <c r="U16" s="52">
        <f t="shared" si="4"/>
        <v>0</v>
      </c>
      <c r="V16" s="54"/>
      <c r="W16" s="56">
        <f t="shared" si="5"/>
        <v>0</v>
      </c>
      <c r="X16" s="57">
        <f t="shared" si="6"/>
        <v>0</v>
      </c>
      <c r="Y16" s="54">
        <v>0</v>
      </c>
      <c r="Z16" s="56">
        <f>IF(Y16=1,ROUNDUP(W16*(1+VLOOKUP(E16,ARTICULOS!$D$10:$H$699,5)),0),W16)</f>
        <v>0</v>
      </c>
      <c r="AA16" s="57">
        <f>IF(Y16=1,ROUNDUP(X16*(1+VLOOKUP(E16,ARTICULOS!$D$10:$H$699,4)),0),X16)</f>
        <v>0</v>
      </c>
      <c r="AB16" s="54">
        <v>2</v>
      </c>
      <c r="AC16" s="54"/>
      <c r="AD16" s="53" t="str">
        <f t="shared" si="7"/>
        <v/>
      </c>
      <c r="AE16" s="53" t="str">
        <f>IF(AC16=1,VLOOKUP(AD16,EMPALME!$C$2:$F$33,4),"")</f>
        <v/>
      </c>
      <c r="AF16" s="44"/>
      <c r="AG16" s="55" t="e">
        <f>IF(L16=3,IF(V16=1,CONFECCION!$C$18,CONFECCION!$C$18*2),IF(V16=1,HLOOKUP(AA16,CONFECCION!$C$17:$AD$33,VLOOKUP(Z16,CONFECCION!$A$18:$B$33,2)-16),2*HLOOKUP(AA16,CONFECCION!$C$17:$AD$33,VLOOKUP(Z16,CONFECCION!$A$18:$B$33,2)-16)))*IF(AC16=1,3,1)</f>
        <v>#N/A</v>
      </c>
      <c r="AH16" s="54"/>
      <c r="AI16" s="55" t="e">
        <f>IF(AC16=1,AA16/100*K16+IF(AF16&gt;0,K16*(VLOOKUP(AD16,EMPALME!$C$2:$D$33,2)/100)/AF16,K16*(VLOOKUP(AD16,EMPALME!$C$2:$D$33,2)/100)/VLOOKUP(AD16,EMPALME!$C$2:$F$33,4)),IF(AH16=2,ROUND((K16*(AA16/100)-(I16/10)*INT((AA16/100)/0.55)*INT((J16-(Z16/100)*INT(J16/(Z16/100)))/0.55))/INT(J16/(Z16/100)),2),ROUND(K16*(AA16/100)/INT(J16/(Z16/100)),2)))</f>
        <v>#N/A</v>
      </c>
      <c r="AJ16" s="54">
        <v>2</v>
      </c>
      <c r="AK16" s="55">
        <f>ROUND(IF(AJ16=2,0,((Z16*2)+(AA16*2))*CONFECCION!$B$35/100),2)</f>
        <v>0</v>
      </c>
      <c r="AL16" s="54"/>
      <c r="AM16" s="54">
        <v>2</v>
      </c>
      <c r="AP16" s="149"/>
      <c r="AQ16" s="149" t="str">
        <f t="shared" si="8"/>
        <v/>
      </c>
      <c r="AR16" s="149" t="str">
        <f>IF(A16=0,"",VLOOKUP(L16,ARTICULOS!$A$10:$B$19,2))</f>
        <v/>
      </c>
      <c r="AS16" s="157" t="str">
        <f t="shared" si="9"/>
        <v/>
      </c>
      <c r="AT16" s="167" t="str">
        <f>IF(A16=0,"",VLOOKUP(E16,ARTICULOS!$D$10:$F$699,3))</f>
        <v/>
      </c>
      <c r="AU16" s="164" t="str">
        <f>IF(A16=0,"","c/ "&amp;D16&amp;" "&amp;VLOOKUP(H16,COLORES!$A$7:$G$4394,7))</f>
        <v/>
      </c>
      <c r="AV16" s="149" t="str">
        <f t="shared" si="10"/>
        <v/>
      </c>
      <c r="AW16" s="149" t="str">
        <f t="shared" si="11"/>
        <v/>
      </c>
      <c r="AX16" s="149" t="str">
        <f t="shared" si="12"/>
        <v/>
      </c>
      <c r="AY16" s="152" t="str">
        <f t="shared" si="13"/>
        <v/>
      </c>
      <c r="AZ16" s="155" t="str">
        <f t="shared" si="14"/>
        <v/>
      </c>
      <c r="BA16" s="156" t="str">
        <f t="shared" si="15"/>
        <v/>
      </c>
    </row>
    <row r="17" spans="1:53" ht="16.5" customHeight="1" x14ac:dyDescent="0.35">
      <c r="A17" s="45">
        <v>0</v>
      </c>
      <c r="B17" s="43">
        <v>1</v>
      </c>
      <c r="C17" s="43"/>
      <c r="D17" s="48">
        <v>1</v>
      </c>
      <c r="E17" s="41" t="e">
        <f>MATCH(C17,ARTICULOS!$F$10:$F$699,0)</f>
        <v>#N/A</v>
      </c>
      <c r="F17" s="41" t="e">
        <f>+VLOOKUP(E17,ARTICULOS!$D$10:$I$699,6)</f>
        <v>#N/A</v>
      </c>
      <c r="G17" s="42" t="e">
        <f t="shared" si="0"/>
        <v>#N/A</v>
      </c>
      <c r="H17" s="42" t="e">
        <f>+MATCH(G17,COLORES!$E$7:$E$4394,0)</f>
        <v>#N/A</v>
      </c>
      <c r="I17" s="49" t="e">
        <f>VLOOKUP(H17,COLORES!$A$7:$I$4394,8)</f>
        <v>#N/A</v>
      </c>
      <c r="J17" s="50" t="e">
        <f>VLOOKUP(H17,COLORES!$A$7:$I$4394,9)</f>
        <v>#N/A</v>
      </c>
      <c r="K17" s="191" t="e">
        <f t="shared" si="1"/>
        <v>#N/A</v>
      </c>
      <c r="L17" s="44">
        <v>0</v>
      </c>
      <c r="M17" s="45">
        <v>0</v>
      </c>
      <c r="N17" s="47">
        <v>0</v>
      </c>
      <c r="O17" s="47">
        <v>0</v>
      </c>
      <c r="P17" s="47">
        <v>0</v>
      </c>
      <c r="Q17" s="47">
        <v>0</v>
      </c>
      <c r="R17" s="48"/>
      <c r="S17" s="53" t="str">
        <f t="shared" si="2"/>
        <v/>
      </c>
      <c r="T17" s="51">
        <f t="shared" si="3"/>
        <v>0</v>
      </c>
      <c r="U17" s="52">
        <f t="shared" si="4"/>
        <v>0</v>
      </c>
      <c r="V17" s="54"/>
      <c r="W17" s="56">
        <f t="shared" si="5"/>
        <v>0</v>
      </c>
      <c r="X17" s="57">
        <f t="shared" si="6"/>
        <v>0</v>
      </c>
      <c r="Y17" s="54">
        <v>0</v>
      </c>
      <c r="Z17" s="56">
        <f>IF(Y17=1,ROUNDUP(W17*(1+VLOOKUP(E17,ARTICULOS!$D$10:$H$699,5)),0),W17)</f>
        <v>0</v>
      </c>
      <c r="AA17" s="57">
        <f>IF(Y17=1,ROUNDUP(X17*(1+VLOOKUP(E17,ARTICULOS!$D$10:$H$699,4)),0),X17)</f>
        <v>0</v>
      </c>
      <c r="AB17" s="54">
        <v>2</v>
      </c>
      <c r="AC17" s="54"/>
      <c r="AD17" s="53" t="str">
        <f t="shared" si="7"/>
        <v/>
      </c>
      <c r="AE17" s="53" t="str">
        <f>IF(AC17=1,VLOOKUP(AD17,EMPALME!$C$2:$F$33,4),"")</f>
        <v/>
      </c>
      <c r="AF17" s="44"/>
      <c r="AG17" s="55" t="e">
        <f>IF(L17=3,IF(V17=1,CONFECCION!$C$18,CONFECCION!$C$18*2),IF(V17=1,HLOOKUP(AA17,CONFECCION!$C$17:$AD$33,VLOOKUP(Z17,CONFECCION!$A$18:$B$33,2)-16),2*HLOOKUP(AA17,CONFECCION!$C$17:$AD$33,VLOOKUP(Z17,CONFECCION!$A$18:$B$33,2)-16)))*IF(AC17=1,3,1)</f>
        <v>#N/A</v>
      </c>
      <c r="AH17" s="54"/>
      <c r="AI17" s="55" t="e">
        <f>IF(AC17=1,AA17/100*K17+IF(AF17&gt;0,K17*(VLOOKUP(AD17,EMPALME!$C$2:$D$33,2)/100)/AF17,K17*(VLOOKUP(AD17,EMPALME!$C$2:$D$33,2)/100)/VLOOKUP(AD17,EMPALME!$C$2:$F$33,4)),IF(AH17=2,ROUND((K17*(AA17/100)-(I17/10)*INT((AA17/100)/0.55)*INT((J17-(Z17/100)*INT(J17/(Z17/100)))/0.55))/INT(J17/(Z17/100)),2),ROUND(K17*(AA17/100)/INT(J17/(Z17/100)),2)))</f>
        <v>#N/A</v>
      </c>
      <c r="AJ17" s="54">
        <v>2</v>
      </c>
      <c r="AK17" s="55">
        <f>ROUND(IF(AJ17=2,0,((Z17*2)+(AA17*2))*CONFECCION!$B$35/100),2)</f>
        <v>0</v>
      </c>
      <c r="AL17" s="54"/>
      <c r="AM17" s="54">
        <v>2</v>
      </c>
      <c r="AP17" s="149"/>
      <c r="AQ17" s="149" t="str">
        <f t="shared" si="8"/>
        <v/>
      </c>
      <c r="AR17" s="149" t="str">
        <f>IF(A17=0,"",VLOOKUP(L17,ARTICULOS!$A$10:$B$19,2))</f>
        <v/>
      </c>
      <c r="AS17" s="157" t="str">
        <f t="shared" si="9"/>
        <v/>
      </c>
      <c r="AT17" s="167" t="str">
        <f>IF(A17=0,"",VLOOKUP(E17,ARTICULOS!$D$10:$F$699,3))</f>
        <v/>
      </c>
      <c r="AU17" s="164" t="str">
        <f>IF(A17=0,"","c/ "&amp;D17&amp;" "&amp;VLOOKUP(H17,COLORES!$A$7:$G$4394,7))</f>
        <v/>
      </c>
      <c r="AV17" s="149" t="str">
        <f t="shared" si="10"/>
        <v/>
      </c>
      <c r="AW17" s="149" t="str">
        <f t="shared" si="11"/>
        <v/>
      </c>
      <c r="AX17" s="149" t="str">
        <f t="shared" si="12"/>
        <v/>
      </c>
      <c r="AY17" s="152" t="str">
        <f t="shared" si="13"/>
        <v/>
      </c>
      <c r="AZ17" s="155" t="str">
        <f t="shared" si="14"/>
        <v/>
      </c>
      <c r="BA17" s="156" t="str">
        <f t="shared" si="15"/>
        <v/>
      </c>
    </row>
    <row r="18" spans="1:53" ht="16.5" customHeight="1" x14ac:dyDescent="0.35">
      <c r="A18" s="45">
        <v>0</v>
      </c>
      <c r="B18" s="43">
        <v>1</v>
      </c>
      <c r="C18" s="43"/>
      <c r="D18" s="48">
        <v>1</v>
      </c>
      <c r="E18" s="41" t="e">
        <f>MATCH(C18,ARTICULOS!$F$10:$F$699,0)</f>
        <v>#N/A</v>
      </c>
      <c r="F18" s="41" t="e">
        <f>+VLOOKUP(E18,ARTICULOS!$D$10:$I$699,6)</f>
        <v>#N/A</v>
      </c>
      <c r="G18" s="42" t="e">
        <f t="shared" si="0"/>
        <v>#N/A</v>
      </c>
      <c r="H18" s="42" t="e">
        <f>+MATCH(G18,COLORES!$E$7:$E$4394,0)</f>
        <v>#N/A</v>
      </c>
      <c r="I18" s="49" t="e">
        <f>VLOOKUP(H18,COLORES!$A$7:$I$4394,8)</f>
        <v>#N/A</v>
      </c>
      <c r="J18" s="50" t="e">
        <f>VLOOKUP(H18,COLORES!$A$7:$I$4394,9)</f>
        <v>#N/A</v>
      </c>
      <c r="K18" s="191" t="e">
        <f t="shared" si="1"/>
        <v>#N/A</v>
      </c>
      <c r="L18" s="44">
        <v>0</v>
      </c>
      <c r="M18" s="45">
        <v>0</v>
      </c>
      <c r="N18" s="47">
        <v>0</v>
      </c>
      <c r="O18" s="47">
        <v>0</v>
      </c>
      <c r="P18" s="47">
        <v>0</v>
      </c>
      <c r="Q18" s="47">
        <v>0</v>
      </c>
      <c r="R18" s="48"/>
      <c r="S18" s="53" t="str">
        <f t="shared" si="2"/>
        <v/>
      </c>
      <c r="T18" s="51">
        <f t="shared" si="3"/>
        <v>0</v>
      </c>
      <c r="U18" s="52">
        <f t="shared" si="4"/>
        <v>0</v>
      </c>
      <c r="V18" s="54"/>
      <c r="W18" s="56">
        <f t="shared" si="5"/>
        <v>0</v>
      </c>
      <c r="X18" s="57">
        <f t="shared" si="6"/>
        <v>0</v>
      </c>
      <c r="Y18" s="54">
        <v>0</v>
      </c>
      <c r="Z18" s="56">
        <f>IF(Y18=1,ROUNDUP(W18*(1+VLOOKUP(E18,ARTICULOS!$D$10:$H$699,5)),0),W18)</f>
        <v>0</v>
      </c>
      <c r="AA18" s="57">
        <f>IF(Y18=1,ROUNDUP(X18*(1+VLOOKUP(E18,ARTICULOS!$D$10:$H$699,4)),0),X18)</f>
        <v>0</v>
      </c>
      <c r="AB18" s="54">
        <v>2</v>
      </c>
      <c r="AC18" s="54"/>
      <c r="AD18" s="53" t="str">
        <f t="shared" si="7"/>
        <v/>
      </c>
      <c r="AE18" s="53" t="str">
        <f>IF(AC18=1,VLOOKUP(AD18,EMPALME!$C$2:$F$33,4),"")</f>
        <v/>
      </c>
      <c r="AF18" s="44"/>
      <c r="AG18" s="55" t="e">
        <f>IF(L18=3,IF(V18=1,CONFECCION!$C$18,CONFECCION!$C$18*2),IF(V18=1,HLOOKUP(AA18,CONFECCION!$C$17:$AD$33,VLOOKUP(Z18,CONFECCION!$A$18:$B$33,2)-16),2*HLOOKUP(AA18,CONFECCION!$C$17:$AD$33,VLOOKUP(Z18,CONFECCION!$A$18:$B$33,2)-16)))*IF(AC18=1,3,1)</f>
        <v>#N/A</v>
      </c>
      <c r="AH18" s="54"/>
      <c r="AI18" s="55" t="e">
        <f>IF(AC18=1,AA18/100*K18+IF(AF18&gt;0,K18*(VLOOKUP(AD18,EMPALME!$C$2:$D$33,2)/100)/AF18,K18*(VLOOKUP(AD18,EMPALME!$C$2:$D$33,2)/100)/VLOOKUP(AD18,EMPALME!$C$2:$F$33,4)),IF(AH18=2,ROUND((K18*(AA18/100)-(I18/10)*INT((AA18/100)/0.55)*INT((J18-(Z18/100)*INT(J18/(Z18/100)))/0.55))/INT(J18/(Z18/100)),2),ROUND(K18*(AA18/100)/INT(J18/(Z18/100)),2)))</f>
        <v>#N/A</v>
      </c>
      <c r="AJ18" s="54">
        <v>2</v>
      </c>
      <c r="AK18" s="55">
        <f>ROUND(IF(AJ18=2,0,((Z18*2)+(AA18*2))*CONFECCION!$B$35/100),2)</f>
        <v>0</v>
      </c>
      <c r="AL18" s="54"/>
      <c r="AM18" s="54">
        <v>2</v>
      </c>
      <c r="AP18" s="149"/>
      <c r="AQ18" s="149" t="str">
        <f t="shared" si="8"/>
        <v/>
      </c>
      <c r="AR18" s="149" t="str">
        <f>IF(A18=0,"",VLOOKUP(L18,ARTICULOS!$A$10:$B$19,2))</f>
        <v/>
      </c>
      <c r="AS18" s="157" t="str">
        <f t="shared" si="9"/>
        <v/>
      </c>
      <c r="AT18" s="167" t="str">
        <f>IF(A18=0,"",VLOOKUP(E18,ARTICULOS!$D$10:$F$699,3))</f>
        <v/>
      </c>
      <c r="AU18" s="164" t="str">
        <f>IF(A18=0,"","c/ "&amp;D18&amp;" "&amp;VLOOKUP(H18,COLORES!$A$7:$G$4394,7))</f>
        <v/>
      </c>
      <c r="AV18" s="149" t="str">
        <f t="shared" si="10"/>
        <v/>
      </c>
      <c r="AW18" s="149" t="str">
        <f t="shared" si="11"/>
        <v/>
      </c>
      <c r="AX18" s="149" t="str">
        <f t="shared" si="12"/>
        <v/>
      </c>
      <c r="AY18" s="152" t="str">
        <f t="shared" si="13"/>
        <v/>
      </c>
      <c r="AZ18" s="155" t="str">
        <f t="shared" si="14"/>
        <v/>
      </c>
      <c r="BA18" s="156" t="str">
        <f t="shared" si="15"/>
        <v/>
      </c>
    </row>
    <row r="19" spans="1:53" ht="16.5" customHeight="1" x14ac:dyDescent="0.35">
      <c r="A19" s="45">
        <v>0</v>
      </c>
      <c r="B19" s="43">
        <v>1</v>
      </c>
      <c r="C19" s="43"/>
      <c r="D19" s="48">
        <v>1</v>
      </c>
      <c r="E19" s="41" t="e">
        <f>MATCH(C19,ARTICULOS!$F$10:$F$699,0)</f>
        <v>#N/A</v>
      </c>
      <c r="F19" s="41" t="e">
        <f>+VLOOKUP(E19,ARTICULOS!$D$10:$I$699,6)</f>
        <v>#N/A</v>
      </c>
      <c r="G19" s="42" t="e">
        <f t="shared" si="0"/>
        <v>#N/A</v>
      </c>
      <c r="H19" s="42" t="e">
        <f>+MATCH(G19,COLORES!$E$7:$E$4394,0)</f>
        <v>#N/A</v>
      </c>
      <c r="I19" s="49" t="e">
        <f>VLOOKUP(H19,COLORES!$A$7:$I$4394,8)</f>
        <v>#N/A</v>
      </c>
      <c r="J19" s="50" t="e">
        <f>VLOOKUP(H19,COLORES!$A$7:$I$4394,9)</f>
        <v>#N/A</v>
      </c>
      <c r="K19" s="191" t="e">
        <f t="shared" si="1"/>
        <v>#N/A</v>
      </c>
      <c r="L19" s="44">
        <v>0</v>
      </c>
      <c r="M19" s="45">
        <v>0</v>
      </c>
      <c r="N19" s="47">
        <v>0</v>
      </c>
      <c r="O19" s="47">
        <v>0</v>
      </c>
      <c r="P19" s="47">
        <v>0</v>
      </c>
      <c r="Q19" s="47">
        <v>0</v>
      </c>
      <c r="R19" s="48"/>
      <c r="S19" s="53" t="str">
        <f t="shared" si="2"/>
        <v/>
      </c>
      <c r="T19" s="51">
        <f t="shared" si="3"/>
        <v>0</v>
      </c>
      <c r="U19" s="52">
        <f t="shared" si="4"/>
        <v>0</v>
      </c>
      <c r="V19" s="54"/>
      <c r="W19" s="56">
        <f t="shared" si="5"/>
        <v>0</v>
      </c>
      <c r="X19" s="57">
        <f t="shared" si="6"/>
        <v>0</v>
      </c>
      <c r="Y19" s="54">
        <v>0</v>
      </c>
      <c r="Z19" s="56">
        <f>IF(Y19=1,ROUNDUP(W19*(1+VLOOKUP(E19,ARTICULOS!$D$10:$H$699,5)),0),W19)</f>
        <v>0</v>
      </c>
      <c r="AA19" s="57">
        <f>IF(Y19=1,ROUNDUP(X19*(1+VLOOKUP(E19,ARTICULOS!$D$10:$H$699,4)),0),X19)</f>
        <v>0</v>
      </c>
      <c r="AB19" s="54">
        <v>2</v>
      </c>
      <c r="AC19" s="54"/>
      <c r="AD19" s="53" t="str">
        <f t="shared" si="7"/>
        <v/>
      </c>
      <c r="AE19" s="53" t="str">
        <f>IF(AC19=1,VLOOKUP(AD19,EMPALME!$C$2:$F$33,4),"")</f>
        <v/>
      </c>
      <c r="AF19" s="44"/>
      <c r="AG19" s="55" t="e">
        <f>IF(L19=3,IF(V19=1,CONFECCION!$C$18,CONFECCION!$C$18*2),IF(V19=1,HLOOKUP(AA19,CONFECCION!$C$17:$AD$33,VLOOKUP(Z19,CONFECCION!$A$18:$B$33,2)-16),2*HLOOKUP(AA19,CONFECCION!$C$17:$AD$33,VLOOKUP(Z19,CONFECCION!$A$18:$B$33,2)-16)))*IF(AC19=1,3,1)</f>
        <v>#N/A</v>
      </c>
      <c r="AH19" s="54"/>
      <c r="AI19" s="55" t="e">
        <f>IF(AC19=1,AA19/100*K19+IF(AF19&gt;0,K19*(VLOOKUP(AD19,EMPALME!$C$2:$D$33,2)/100)/AF19,K19*(VLOOKUP(AD19,EMPALME!$C$2:$D$33,2)/100)/VLOOKUP(AD19,EMPALME!$C$2:$F$33,4)),IF(AH19=2,ROUND((K19*(AA19/100)-(I19/10)*INT((AA19/100)/0.55)*INT((J19-(Z19/100)*INT(J19/(Z19/100)))/0.55))/INT(J19/(Z19/100)),2),ROUND(K19*(AA19/100)/INT(J19/(Z19/100)),2)))</f>
        <v>#N/A</v>
      </c>
      <c r="AJ19" s="54">
        <v>2</v>
      </c>
      <c r="AK19" s="55">
        <f>ROUND(IF(AJ19=2,0,((Z19*2)+(AA19*2))*CONFECCION!$B$35/100),2)</f>
        <v>0</v>
      </c>
      <c r="AL19" s="54"/>
      <c r="AM19" s="54">
        <v>2</v>
      </c>
      <c r="AP19" s="149"/>
      <c r="AQ19" s="149" t="str">
        <f t="shared" si="8"/>
        <v/>
      </c>
      <c r="AR19" s="149" t="str">
        <f>IF(A19=0,"",VLOOKUP(L19,ARTICULOS!$A$10:$B$19,2))</f>
        <v/>
      </c>
      <c r="AS19" s="157" t="str">
        <f t="shared" si="9"/>
        <v/>
      </c>
      <c r="AT19" s="167" t="str">
        <f>IF(A19=0,"",VLOOKUP(E19,ARTICULOS!$D$10:$F$699,3))</f>
        <v/>
      </c>
      <c r="AU19" s="164" t="str">
        <f>IF(A19=0,"","c/ "&amp;D19&amp;" "&amp;VLOOKUP(H19,COLORES!$A$7:$G$4394,7))</f>
        <v/>
      </c>
      <c r="AV19" s="149" t="str">
        <f t="shared" si="10"/>
        <v/>
      </c>
      <c r="AW19" s="149" t="str">
        <f t="shared" si="11"/>
        <v/>
      </c>
      <c r="AX19" s="149" t="str">
        <f t="shared" si="12"/>
        <v/>
      </c>
      <c r="AY19" s="152" t="str">
        <f t="shared" si="13"/>
        <v/>
      </c>
      <c r="AZ19" s="155" t="str">
        <f t="shared" si="14"/>
        <v/>
      </c>
      <c r="BA19" s="156" t="str">
        <f t="shared" si="15"/>
        <v/>
      </c>
    </row>
    <row r="20" spans="1:53" ht="16.5" customHeight="1" x14ac:dyDescent="0.35">
      <c r="A20" s="45">
        <v>0</v>
      </c>
      <c r="B20" s="43">
        <v>1</v>
      </c>
      <c r="C20" s="43"/>
      <c r="D20" s="48">
        <v>1</v>
      </c>
      <c r="E20" s="41" t="e">
        <f>MATCH(C20,ARTICULOS!$F$10:$F$699,0)</f>
        <v>#N/A</v>
      </c>
      <c r="F20" s="41" t="e">
        <f>+VLOOKUP(E20,ARTICULOS!$D$10:$I$699,6)</f>
        <v>#N/A</v>
      </c>
      <c r="G20" s="42" t="e">
        <f t="shared" ref="G19:G28" si="16">+F20&amp;D20</f>
        <v>#N/A</v>
      </c>
      <c r="H20" s="42" t="e">
        <f>+MATCH(G20,COLORES!$E$7:$E$4394,0)</f>
        <v>#N/A</v>
      </c>
      <c r="I20" s="49" t="e">
        <f>VLOOKUP(H20,COLORES!$A$7:$I$4394,8)</f>
        <v>#N/A</v>
      </c>
      <c r="J20" s="50" t="e">
        <f>VLOOKUP(H20,COLORES!$A$7:$I$4394,9)</f>
        <v>#N/A</v>
      </c>
      <c r="K20" s="191" t="e">
        <f t="shared" ref="K19:K28" si="17">I20*(1+B20)</f>
        <v>#N/A</v>
      </c>
      <c r="L20" s="44">
        <v>0</v>
      </c>
      <c r="M20" s="45">
        <v>0</v>
      </c>
      <c r="N20" s="47">
        <v>0</v>
      </c>
      <c r="O20" s="47">
        <v>0</v>
      </c>
      <c r="P20" s="47">
        <v>0</v>
      </c>
      <c r="Q20" s="47">
        <v>0</v>
      </c>
      <c r="R20" s="48"/>
      <c r="S20" s="53" t="str">
        <f t="shared" ref="S19:S28" si="18">IF(P20&gt;0,IF(O20&gt;0,"(/)"&amp;O20&amp;"*"&amp;P20&amp;IF(Q20&gt;0,"+"&amp;Q20,IF(Q20=0,"",Q20)),+M20&amp;"*"&amp;N20&amp;"*"&amp;P20&amp;IF(Q20&gt;0,"+"&amp;Q20,IF(Q20=0,"",Q20))),"")</f>
        <v/>
      </c>
      <c r="T20" s="51">
        <f t="shared" ref="T19:T28" si="19">+IF(O20&gt;0,O20+R20*2,M20+R20*2)+P20*2+Q20*2</f>
        <v>0</v>
      </c>
      <c r="U20" s="52">
        <f t="shared" ref="U19:U28" si="20">+IF(O20&gt;0,O20+R20*2,N20+R20*2)+P20*2+Q20*2</f>
        <v>0</v>
      </c>
      <c r="V20" s="54"/>
      <c r="W20" s="56">
        <f t="shared" ref="W19:W28" si="21">IF(V20=1,T20+5,T20+(V20*4))</f>
        <v>0</v>
      </c>
      <c r="X20" s="57">
        <f t="shared" ref="X19:X28" si="22">IF(V20=1,U20+5,U20+(V20*4))</f>
        <v>0</v>
      </c>
      <c r="Y20" s="54">
        <v>0</v>
      </c>
      <c r="Z20" s="56">
        <f>IF(Y20=1,ROUNDUP(W20*(1+VLOOKUP(E20,ARTICULOS!$D$10:$H$699,5)),0),W20)</f>
        <v>0</v>
      </c>
      <c r="AA20" s="57">
        <f>IF(Y20=1,ROUNDUP(X20*(1+VLOOKUP(E20,ARTICULOS!$D$10:$H$699,4)),0),X20)</f>
        <v>0</v>
      </c>
      <c r="AB20" s="54">
        <v>2</v>
      </c>
      <c r="AC20" s="54"/>
      <c r="AD20" s="53" t="str">
        <f t="shared" ref="AD19:AD28" si="23">IF(AC20=1,J20*100&amp;Z20,"")</f>
        <v/>
      </c>
      <c r="AE20" s="53" t="str">
        <f>IF(AC20=1,VLOOKUP(AD20,EMPALME!$C$2:$F$33,4),"")</f>
        <v/>
      </c>
      <c r="AF20" s="44"/>
      <c r="AG20" s="55" t="e">
        <f>IF(L20=3,IF(V20=1,CONFECCION!$C$18,CONFECCION!$C$18*2),IF(V20=1,HLOOKUP(AA20,CONFECCION!$C$17:$AD$33,VLOOKUP(Z20,CONFECCION!$A$18:$B$33,2)-16),2*HLOOKUP(AA20,CONFECCION!$C$17:$AD$33,VLOOKUP(Z20,CONFECCION!$A$18:$B$33,2)-16)))*IF(AC20=1,3,1)</f>
        <v>#N/A</v>
      </c>
      <c r="AH20" s="54"/>
      <c r="AI20" s="55" t="e">
        <f>IF(AC20=1,AA20/100*K20+IF(AF20&gt;0,K20*(VLOOKUP(AD20,EMPALME!$C$2:$D$33,2)/100)/AF20,K20*(VLOOKUP(AD20,EMPALME!$C$2:$D$33,2)/100)/VLOOKUP(AD20,EMPALME!$C$2:$F$33,4)),IF(AH20=2,ROUND((K20*(AA20/100)-(I20/10)*INT((AA20/100)/0.55)*INT((J20-(Z20/100)*INT(J20/(Z20/100)))/0.55))/INT(J20/(Z20/100)),2),ROUND(K20*(AA20/100)/INT(J20/(Z20/100)),2)))</f>
        <v>#N/A</v>
      </c>
      <c r="AJ20" s="54">
        <v>2</v>
      </c>
      <c r="AK20" s="55">
        <f>ROUND(IF(AJ20=2,0,((Z20*2)+(AA20*2))*CONFECCION!$B$35/100),2)</f>
        <v>0</v>
      </c>
      <c r="AL20" s="54"/>
      <c r="AM20" s="54">
        <v>2</v>
      </c>
      <c r="AP20" s="149"/>
      <c r="AQ20" s="149" t="str">
        <f t="shared" ref="AQ19:AQ28" si="24">IF(S20=0,"",S20)</f>
        <v/>
      </c>
      <c r="AR20" s="149" t="str">
        <f>IF(A20=0,"",VLOOKUP(L20,ARTICULOS!$A$10:$B$19,2))</f>
        <v/>
      </c>
      <c r="AS20" s="157" t="str">
        <f t="shared" ref="AS19:AS28" si="25">IF(A20=0,"",T20&amp;" * "&amp;U20)&amp;IF(AM20=1," PR","")</f>
        <v/>
      </c>
      <c r="AT20" s="167" t="str">
        <f>IF(A20=0,"",VLOOKUP(E20,ARTICULOS!$D$10:$F$699,3))</f>
        <v/>
      </c>
      <c r="AU20" s="164" t="str">
        <f>IF(A20=0,"","c/ "&amp;D20&amp;" "&amp;VLOOKUP(H20,COLORES!$A$7:$G$4394,7))</f>
        <v/>
      </c>
      <c r="AV20" s="149" t="str">
        <f t="shared" ref="AV19:AV28" si="26">IF(A20=0,"",IF(V20=1,"Dobl. Sencillo","Dobl. "&amp;V20&amp;" cm."))</f>
        <v/>
      </c>
      <c r="AW20" s="149" t="str">
        <f t="shared" ref="AW19:AW28" si="27">+IF(Y20=1,"SI","")</f>
        <v/>
      </c>
      <c r="AX20" s="149" t="str">
        <f t="shared" ref="AX19:AX28" si="28">IF(A20=0,"",IF(AB20=2,Z20&amp;" * "&amp;AA20,IF(Z20=AA20,"Redondo "&amp;Z20&amp;" * "&amp;AA20,"Ovalado "&amp;Z20&amp;" * "&amp;AA20)))</f>
        <v/>
      </c>
      <c r="AY20" s="152" t="str">
        <f t="shared" ref="AY19:AY28" si="29">IF(A20=0,"",AG20+AI20+AK20)</f>
        <v/>
      </c>
      <c r="AZ20" s="155" t="str">
        <f t="shared" ref="AZ19:AZ28" si="30">IF(A20=0,"",A20)</f>
        <v/>
      </c>
      <c r="BA20" s="156" t="str">
        <f t="shared" ref="BA19:BA28" si="31">IF(A20=0,"",ROUND(AY20*AZ20,2))</f>
        <v/>
      </c>
    </row>
    <row r="21" spans="1:53" ht="16.5" customHeight="1" x14ac:dyDescent="0.35">
      <c r="A21" s="45">
        <v>0</v>
      </c>
      <c r="B21" s="43">
        <v>1</v>
      </c>
      <c r="C21" s="43"/>
      <c r="D21" s="48">
        <v>1</v>
      </c>
      <c r="E21" s="41" t="e">
        <f>MATCH(C21,ARTICULOS!$F$10:$F$699,0)</f>
        <v>#N/A</v>
      </c>
      <c r="F21" s="41" t="e">
        <f>+VLOOKUP(E21,ARTICULOS!$D$10:$I$699,6)</f>
        <v>#N/A</v>
      </c>
      <c r="G21" s="42" t="e">
        <f t="shared" si="16"/>
        <v>#N/A</v>
      </c>
      <c r="H21" s="42" t="e">
        <f>+MATCH(G21,COLORES!$E$7:$E$4394,0)</f>
        <v>#N/A</v>
      </c>
      <c r="I21" s="49" t="e">
        <f>VLOOKUP(H21,COLORES!$A$7:$I$4394,8)</f>
        <v>#N/A</v>
      </c>
      <c r="J21" s="50" t="e">
        <f>VLOOKUP(H21,COLORES!$A$7:$I$4394,9)</f>
        <v>#N/A</v>
      </c>
      <c r="K21" s="191" t="e">
        <f t="shared" si="17"/>
        <v>#N/A</v>
      </c>
      <c r="L21" s="44">
        <v>0</v>
      </c>
      <c r="M21" s="45">
        <v>0</v>
      </c>
      <c r="N21" s="47">
        <v>0</v>
      </c>
      <c r="O21" s="47">
        <v>0</v>
      </c>
      <c r="P21" s="47">
        <v>0</v>
      </c>
      <c r="Q21" s="47">
        <v>0</v>
      </c>
      <c r="R21" s="48"/>
      <c r="S21" s="53" t="str">
        <f t="shared" si="18"/>
        <v/>
      </c>
      <c r="T21" s="51">
        <f t="shared" si="19"/>
        <v>0</v>
      </c>
      <c r="U21" s="52">
        <f t="shared" si="20"/>
        <v>0</v>
      </c>
      <c r="V21" s="54"/>
      <c r="W21" s="56">
        <f t="shared" si="21"/>
        <v>0</v>
      </c>
      <c r="X21" s="57">
        <f t="shared" si="22"/>
        <v>0</v>
      </c>
      <c r="Y21" s="54">
        <v>0</v>
      </c>
      <c r="Z21" s="56">
        <f>IF(Y21=1,ROUNDUP(W21*(1+VLOOKUP(E21,ARTICULOS!$D$10:$H$699,5)),0),W21)</f>
        <v>0</v>
      </c>
      <c r="AA21" s="57">
        <f>IF(Y21=1,ROUNDUP(X21*(1+VLOOKUP(E21,ARTICULOS!$D$10:$H$699,4)),0),X21)</f>
        <v>0</v>
      </c>
      <c r="AB21" s="54">
        <v>2</v>
      </c>
      <c r="AC21" s="54"/>
      <c r="AD21" s="53" t="str">
        <f t="shared" si="23"/>
        <v/>
      </c>
      <c r="AE21" s="53" t="str">
        <f>IF(AC21=1,VLOOKUP(AD21,EMPALME!$C$2:$F$33,4),"")</f>
        <v/>
      </c>
      <c r="AF21" s="44"/>
      <c r="AG21" s="55" t="e">
        <f>IF(L21=3,IF(V21=1,CONFECCION!$C$18,CONFECCION!$C$18*2),IF(V21=1,HLOOKUP(AA21,CONFECCION!$C$17:$AD$33,VLOOKUP(Z21,CONFECCION!$A$18:$B$33,2)-16),2*HLOOKUP(AA21,CONFECCION!$C$17:$AD$33,VLOOKUP(Z21,CONFECCION!$A$18:$B$33,2)-16)))*IF(AC21=1,3,1)</f>
        <v>#N/A</v>
      </c>
      <c r="AH21" s="54"/>
      <c r="AI21" s="55" t="e">
        <f>IF(AC21=1,AA21/100*K21+IF(AF21&gt;0,K21*(VLOOKUP(AD21,EMPALME!$C$2:$D$33,2)/100)/AF21,K21*(VLOOKUP(AD21,EMPALME!$C$2:$D$33,2)/100)/VLOOKUP(AD21,EMPALME!$C$2:$F$33,4)),IF(AH21=2,ROUND((K21*(AA21/100)-(I21/10)*INT((AA21/100)/0.55)*INT((J21-(Z21/100)*INT(J21/(Z21/100)))/0.55))/INT(J21/(Z21/100)),2),ROUND(K21*(AA21/100)/INT(J21/(Z21/100)),2)))</f>
        <v>#N/A</v>
      </c>
      <c r="AJ21" s="54">
        <v>2</v>
      </c>
      <c r="AK21" s="55">
        <f>ROUND(IF(AJ21=2,0,((Z21*2)+(AA21*2))*CONFECCION!$B$35/100),2)</f>
        <v>0</v>
      </c>
      <c r="AL21" s="54"/>
      <c r="AM21" s="54">
        <v>2</v>
      </c>
      <c r="AP21" s="149"/>
      <c r="AQ21" s="149" t="str">
        <f t="shared" si="24"/>
        <v/>
      </c>
      <c r="AR21" s="149" t="str">
        <f>IF(A21=0,"",VLOOKUP(L21,ARTICULOS!$A$10:$B$19,2))</f>
        <v/>
      </c>
      <c r="AS21" s="157" t="str">
        <f t="shared" si="25"/>
        <v/>
      </c>
      <c r="AT21" s="167" t="str">
        <f>IF(A21=0,"",VLOOKUP(E21,ARTICULOS!$D$10:$F$699,3))</f>
        <v/>
      </c>
      <c r="AU21" s="164" t="str">
        <f>IF(A21=0,"","c/ "&amp;D21&amp;" "&amp;VLOOKUP(H21,COLORES!$A$7:$G$4394,7))</f>
        <v/>
      </c>
      <c r="AV21" s="149" t="str">
        <f t="shared" si="26"/>
        <v/>
      </c>
      <c r="AW21" s="149" t="str">
        <f t="shared" si="27"/>
        <v/>
      </c>
      <c r="AX21" s="149" t="str">
        <f t="shared" si="28"/>
        <v/>
      </c>
      <c r="AY21" s="152" t="str">
        <f t="shared" si="29"/>
        <v/>
      </c>
      <c r="AZ21" s="155" t="str">
        <f t="shared" si="30"/>
        <v/>
      </c>
      <c r="BA21" s="156" t="str">
        <f t="shared" si="31"/>
        <v/>
      </c>
    </row>
    <row r="22" spans="1:53" ht="16.5" customHeight="1" x14ac:dyDescent="0.35">
      <c r="A22" s="45">
        <v>0</v>
      </c>
      <c r="B22" s="43">
        <v>1</v>
      </c>
      <c r="C22" s="43"/>
      <c r="D22" s="48">
        <v>1</v>
      </c>
      <c r="E22" s="41" t="e">
        <f>MATCH(C22,ARTICULOS!$F$10:$F$699,0)</f>
        <v>#N/A</v>
      </c>
      <c r="F22" s="41" t="e">
        <f>+VLOOKUP(E22,ARTICULOS!$D$10:$I$699,6)</f>
        <v>#N/A</v>
      </c>
      <c r="G22" s="42" t="e">
        <f t="shared" si="16"/>
        <v>#N/A</v>
      </c>
      <c r="H22" s="42" t="e">
        <f>+MATCH(G22,COLORES!$E$7:$E$4394,0)</f>
        <v>#N/A</v>
      </c>
      <c r="I22" s="49" t="e">
        <f>VLOOKUP(H22,COLORES!$A$7:$I$4394,8)</f>
        <v>#N/A</v>
      </c>
      <c r="J22" s="50" t="e">
        <f>VLOOKUP(H22,COLORES!$A$7:$I$4394,9)</f>
        <v>#N/A</v>
      </c>
      <c r="K22" s="191" t="e">
        <f t="shared" si="17"/>
        <v>#N/A</v>
      </c>
      <c r="L22" s="44">
        <v>0</v>
      </c>
      <c r="M22" s="45">
        <v>0</v>
      </c>
      <c r="N22" s="47">
        <v>0</v>
      </c>
      <c r="O22" s="47">
        <v>0</v>
      </c>
      <c r="P22" s="47">
        <v>0</v>
      </c>
      <c r="Q22" s="47">
        <v>0</v>
      </c>
      <c r="R22" s="48"/>
      <c r="S22" s="53" t="str">
        <f t="shared" si="18"/>
        <v/>
      </c>
      <c r="T22" s="51">
        <f t="shared" si="19"/>
        <v>0</v>
      </c>
      <c r="U22" s="52">
        <f t="shared" si="20"/>
        <v>0</v>
      </c>
      <c r="V22" s="54"/>
      <c r="W22" s="56">
        <f t="shared" si="21"/>
        <v>0</v>
      </c>
      <c r="X22" s="57">
        <f t="shared" si="22"/>
        <v>0</v>
      </c>
      <c r="Y22" s="54">
        <v>0</v>
      </c>
      <c r="Z22" s="56">
        <f>IF(Y22=1,ROUNDUP(W22*(1+VLOOKUP(E22,ARTICULOS!$D$10:$H$699,5)),0),W22)</f>
        <v>0</v>
      </c>
      <c r="AA22" s="57">
        <f>IF(Y22=1,ROUNDUP(X22*(1+VLOOKUP(E22,ARTICULOS!$D$10:$H$699,4)),0),X22)</f>
        <v>0</v>
      </c>
      <c r="AB22" s="54">
        <v>2</v>
      </c>
      <c r="AC22" s="54"/>
      <c r="AD22" s="53" t="str">
        <f t="shared" si="23"/>
        <v/>
      </c>
      <c r="AE22" s="53" t="str">
        <f>IF(AC22=1,VLOOKUP(AD22,EMPALME!$C$2:$F$33,4),"")</f>
        <v/>
      </c>
      <c r="AF22" s="44"/>
      <c r="AG22" s="55" t="e">
        <f>IF(L22=3,IF(V22=1,CONFECCION!$C$18,CONFECCION!$C$18*2),IF(V22=1,HLOOKUP(AA22,CONFECCION!$C$17:$AD$33,VLOOKUP(Z22,CONFECCION!$A$18:$B$33,2)-16),2*HLOOKUP(AA22,CONFECCION!$C$17:$AD$33,VLOOKUP(Z22,CONFECCION!$A$18:$B$33,2)-16)))*IF(AC22=1,3,1)</f>
        <v>#N/A</v>
      </c>
      <c r="AH22" s="54"/>
      <c r="AI22" s="55" t="e">
        <f>IF(AC22=1,AA22/100*K22+IF(AF22&gt;0,K22*(VLOOKUP(AD22,EMPALME!$C$2:$D$33,2)/100)/AF22,K22*(VLOOKUP(AD22,EMPALME!$C$2:$D$33,2)/100)/VLOOKUP(AD22,EMPALME!$C$2:$F$33,4)),IF(AH22=2,ROUND((K22*(AA22/100)-(I22/10)*INT((AA22/100)/0.55)*INT((J22-(Z22/100)*INT(J22/(Z22/100)))/0.55))/INT(J22/(Z22/100)),2),ROUND(K22*(AA22/100)/INT(J22/(Z22/100)),2)))</f>
        <v>#N/A</v>
      </c>
      <c r="AJ22" s="54">
        <v>2</v>
      </c>
      <c r="AK22" s="55">
        <f>ROUND(IF(AJ22=2,0,((Z22*2)+(AA22*2))*CONFECCION!$B$35/100),2)</f>
        <v>0</v>
      </c>
      <c r="AL22" s="54"/>
      <c r="AM22" s="54">
        <v>2</v>
      </c>
      <c r="AP22" s="149"/>
      <c r="AQ22" s="149" t="str">
        <f t="shared" si="24"/>
        <v/>
      </c>
      <c r="AR22" s="149" t="str">
        <f>IF(A22=0,"",VLOOKUP(L22,ARTICULOS!$A$10:$B$19,2))</f>
        <v/>
      </c>
      <c r="AS22" s="157" t="str">
        <f t="shared" si="25"/>
        <v/>
      </c>
      <c r="AT22" s="167" t="str">
        <f>IF(A22=0,"",VLOOKUP(E22,ARTICULOS!$D$10:$F$699,3))</f>
        <v/>
      </c>
      <c r="AU22" s="164" t="str">
        <f>IF(A22=0,"","c/ "&amp;D22&amp;" "&amp;VLOOKUP(H22,COLORES!$A$7:$G$4394,7))</f>
        <v/>
      </c>
      <c r="AV22" s="149" t="str">
        <f t="shared" si="26"/>
        <v/>
      </c>
      <c r="AW22" s="149" t="str">
        <f t="shared" si="27"/>
        <v/>
      </c>
      <c r="AX22" s="149" t="str">
        <f t="shared" si="28"/>
        <v/>
      </c>
      <c r="AY22" s="152" t="str">
        <f t="shared" si="29"/>
        <v/>
      </c>
      <c r="AZ22" s="155" t="str">
        <f t="shared" si="30"/>
        <v/>
      </c>
      <c r="BA22" s="156" t="str">
        <f t="shared" si="31"/>
        <v/>
      </c>
    </row>
    <row r="23" spans="1:53" ht="16.5" customHeight="1" x14ac:dyDescent="0.35">
      <c r="A23" s="45">
        <v>0</v>
      </c>
      <c r="B23" s="43">
        <v>1</v>
      </c>
      <c r="C23" s="43"/>
      <c r="D23" s="48">
        <v>1</v>
      </c>
      <c r="E23" s="41" t="e">
        <f>MATCH(C23,ARTICULOS!$F$10:$F$699,0)</f>
        <v>#N/A</v>
      </c>
      <c r="F23" s="41" t="e">
        <f>+VLOOKUP(E23,ARTICULOS!$D$10:$I$699,6)</f>
        <v>#N/A</v>
      </c>
      <c r="G23" s="42" t="e">
        <f t="shared" si="16"/>
        <v>#N/A</v>
      </c>
      <c r="H23" s="42" t="e">
        <f>+MATCH(G23,COLORES!$E$7:$E$4394,0)</f>
        <v>#N/A</v>
      </c>
      <c r="I23" s="49" t="e">
        <f>VLOOKUP(H23,COLORES!$A$7:$I$4394,8)</f>
        <v>#N/A</v>
      </c>
      <c r="J23" s="50" t="e">
        <f>VLOOKUP(H23,COLORES!$A$7:$I$4394,9)</f>
        <v>#N/A</v>
      </c>
      <c r="K23" s="191" t="e">
        <f t="shared" si="17"/>
        <v>#N/A</v>
      </c>
      <c r="L23" s="44">
        <v>0</v>
      </c>
      <c r="M23" s="45">
        <v>0</v>
      </c>
      <c r="N23" s="47">
        <v>0</v>
      </c>
      <c r="O23" s="47">
        <v>0</v>
      </c>
      <c r="P23" s="47">
        <v>0</v>
      </c>
      <c r="Q23" s="47">
        <v>0</v>
      </c>
      <c r="R23" s="48"/>
      <c r="S23" s="53" t="str">
        <f t="shared" si="18"/>
        <v/>
      </c>
      <c r="T23" s="51">
        <f t="shared" si="19"/>
        <v>0</v>
      </c>
      <c r="U23" s="52">
        <f t="shared" si="20"/>
        <v>0</v>
      </c>
      <c r="V23" s="54"/>
      <c r="W23" s="56">
        <f t="shared" si="21"/>
        <v>0</v>
      </c>
      <c r="X23" s="57">
        <f t="shared" si="22"/>
        <v>0</v>
      </c>
      <c r="Y23" s="54">
        <v>0</v>
      </c>
      <c r="Z23" s="56">
        <f>IF(Y23=1,ROUNDUP(W23*(1+VLOOKUP(E23,ARTICULOS!$D$10:$H$699,5)),0),W23)</f>
        <v>0</v>
      </c>
      <c r="AA23" s="57">
        <f>IF(Y23=1,ROUNDUP(X23*(1+VLOOKUP(E23,ARTICULOS!$D$10:$H$699,4)),0),X23)</f>
        <v>0</v>
      </c>
      <c r="AB23" s="54">
        <v>2</v>
      </c>
      <c r="AC23" s="54"/>
      <c r="AD23" s="53" t="str">
        <f t="shared" si="23"/>
        <v/>
      </c>
      <c r="AE23" s="53" t="str">
        <f>IF(AC23=1,VLOOKUP(AD23,EMPALME!$C$2:$F$33,4),"")</f>
        <v/>
      </c>
      <c r="AF23" s="44"/>
      <c r="AG23" s="55" t="e">
        <f>IF(L23=3,IF(V23=1,CONFECCION!$C$18,CONFECCION!$C$18*2),IF(V23=1,HLOOKUP(AA23,CONFECCION!$C$17:$AD$33,VLOOKUP(Z23,CONFECCION!$A$18:$B$33,2)-16),2*HLOOKUP(AA23,CONFECCION!$C$17:$AD$33,VLOOKUP(Z23,CONFECCION!$A$18:$B$33,2)-16)))*IF(AC23=1,3,1)</f>
        <v>#N/A</v>
      </c>
      <c r="AH23" s="54"/>
      <c r="AI23" s="55" t="e">
        <f>IF(AC23=1,AA23/100*K23+IF(AF23&gt;0,K23*(VLOOKUP(AD23,EMPALME!$C$2:$D$33,2)/100)/AF23,K23*(VLOOKUP(AD23,EMPALME!$C$2:$D$33,2)/100)/VLOOKUP(AD23,EMPALME!$C$2:$F$33,4)),IF(AH23=2,ROUND((K23*(AA23/100)-(I23/10)*INT((AA23/100)/0.55)*INT((J23-(Z23/100)*INT(J23/(Z23/100)))/0.55))/INT(J23/(Z23/100)),2),ROUND(K23*(AA23/100)/INT(J23/(Z23/100)),2)))</f>
        <v>#N/A</v>
      </c>
      <c r="AJ23" s="54">
        <v>2</v>
      </c>
      <c r="AK23" s="55">
        <f>ROUND(IF(AJ23=2,0,((Z23*2)+(AA23*2))*CONFECCION!$B$35/100),2)</f>
        <v>0</v>
      </c>
      <c r="AL23" s="54"/>
      <c r="AM23" s="54">
        <v>2</v>
      </c>
      <c r="AP23" s="149"/>
      <c r="AQ23" s="149" t="str">
        <f t="shared" si="24"/>
        <v/>
      </c>
      <c r="AR23" s="149" t="str">
        <f>IF(A23=0,"",VLOOKUP(L23,ARTICULOS!$A$10:$B$19,2))</f>
        <v/>
      </c>
      <c r="AS23" s="157" t="str">
        <f t="shared" si="25"/>
        <v/>
      </c>
      <c r="AT23" s="167" t="str">
        <f>IF(A23=0,"",VLOOKUP(E23,ARTICULOS!$D$10:$F$699,3))</f>
        <v/>
      </c>
      <c r="AU23" s="164" t="str">
        <f>IF(A23=0,"","c/ "&amp;D23&amp;" "&amp;VLOOKUP(H23,COLORES!$A$7:$G$4394,7))</f>
        <v/>
      </c>
      <c r="AV23" s="149" t="str">
        <f t="shared" si="26"/>
        <v/>
      </c>
      <c r="AW23" s="149" t="str">
        <f t="shared" si="27"/>
        <v/>
      </c>
      <c r="AX23" s="149" t="str">
        <f t="shared" si="28"/>
        <v/>
      </c>
      <c r="AY23" s="152" t="str">
        <f t="shared" si="29"/>
        <v/>
      </c>
      <c r="AZ23" s="155" t="str">
        <f t="shared" si="30"/>
        <v/>
      </c>
      <c r="BA23" s="156" t="str">
        <f t="shared" si="31"/>
        <v/>
      </c>
    </row>
    <row r="24" spans="1:53" ht="16.5" customHeight="1" x14ac:dyDescent="0.35">
      <c r="A24" s="45">
        <v>0</v>
      </c>
      <c r="B24" s="43">
        <v>1</v>
      </c>
      <c r="C24" s="43"/>
      <c r="D24" s="48">
        <v>1</v>
      </c>
      <c r="E24" s="41" t="e">
        <f>MATCH(C24,ARTICULOS!$F$10:$F$699,0)</f>
        <v>#N/A</v>
      </c>
      <c r="F24" s="41" t="e">
        <f>+VLOOKUP(E24,ARTICULOS!$D$10:$I$699,6)</f>
        <v>#N/A</v>
      </c>
      <c r="G24" s="42" t="e">
        <f t="shared" si="16"/>
        <v>#N/A</v>
      </c>
      <c r="H24" s="42" t="e">
        <f>+MATCH(G24,COLORES!$E$7:$E$4394,0)</f>
        <v>#N/A</v>
      </c>
      <c r="I24" s="49" t="e">
        <f>VLOOKUP(H24,COLORES!$A$7:$I$4394,8)</f>
        <v>#N/A</v>
      </c>
      <c r="J24" s="50" t="e">
        <f>VLOOKUP(H24,COLORES!$A$7:$I$4394,9)</f>
        <v>#N/A</v>
      </c>
      <c r="K24" s="191" t="e">
        <f t="shared" si="17"/>
        <v>#N/A</v>
      </c>
      <c r="L24" s="44">
        <v>0</v>
      </c>
      <c r="M24" s="45">
        <v>0</v>
      </c>
      <c r="N24" s="47">
        <v>0</v>
      </c>
      <c r="O24" s="47">
        <v>0</v>
      </c>
      <c r="P24" s="47">
        <v>0</v>
      </c>
      <c r="Q24" s="47">
        <v>0</v>
      </c>
      <c r="R24" s="48"/>
      <c r="S24" s="53" t="str">
        <f t="shared" si="18"/>
        <v/>
      </c>
      <c r="T24" s="51">
        <f t="shared" si="19"/>
        <v>0</v>
      </c>
      <c r="U24" s="52">
        <f t="shared" si="20"/>
        <v>0</v>
      </c>
      <c r="V24" s="54"/>
      <c r="W24" s="56">
        <f t="shared" si="21"/>
        <v>0</v>
      </c>
      <c r="X24" s="57">
        <f t="shared" si="22"/>
        <v>0</v>
      </c>
      <c r="Y24" s="54">
        <v>0</v>
      </c>
      <c r="Z24" s="56">
        <f>IF(Y24=1,ROUNDUP(W24*(1+VLOOKUP(E24,ARTICULOS!$D$10:$H$699,5)),0),W24)</f>
        <v>0</v>
      </c>
      <c r="AA24" s="57">
        <f>IF(Y24=1,ROUNDUP(X24*(1+VLOOKUP(E24,ARTICULOS!$D$10:$H$699,4)),0),X24)</f>
        <v>0</v>
      </c>
      <c r="AB24" s="54">
        <v>2</v>
      </c>
      <c r="AC24" s="54"/>
      <c r="AD24" s="53" t="str">
        <f t="shared" si="23"/>
        <v/>
      </c>
      <c r="AE24" s="53" t="str">
        <f>IF(AC24=1,VLOOKUP(AD24,EMPALME!$C$2:$F$33,4),"")</f>
        <v/>
      </c>
      <c r="AF24" s="44"/>
      <c r="AG24" s="55" t="e">
        <f>IF(L24=3,IF(V24=1,CONFECCION!$C$18,CONFECCION!$C$18*2),IF(V24=1,HLOOKUP(AA24,CONFECCION!$C$17:$AD$33,VLOOKUP(Z24,CONFECCION!$A$18:$B$33,2)-16),2*HLOOKUP(AA24,CONFECCION!$C$17:$AD$33,VLOOKUP(Z24,CONFECCION!$A$18:$B$33,2)-16)))*IF(AC24=1,3,1)</f>
        <v>#N/A</v>
      </c>
      <c r="AH24" s="54"/>
      <c r="AI24" s="55" t="e">
        <f>IF(AC24=1,AA24/100*K24+IF(AF24&gt;0,K24*(VLOOKUP(AD24,EMPALME!$C$2:$D$33,2)/100)/AF24,K24*(VLOOKUP(AD24,EMPALME!$C$2:$D$33,2)/100)/VLOOKUP(AD24,EMPALME!$C$2:$F$33,4)),IF(AH24=2,ROUND((K24*(AA24/100)-(I24/10)*INT((AA24/100)/0.55)*INT((J24-(Z24/100)*INT(J24/(Z24/100)))/0.55))/INT(J24/(Z24/100)),2),ROUND(K24*(AA24/100)/INT(J24/(Z24/100)),2)))</f>
        <v>#N/A</v>
      </c>
      <c r="AJ24" s="54">
        <v>2</v>
      </c>
      <c r="AK24" s="55">
        <f>ROUND(IF(AJ24=2,0,((Z24*2)+(AA24*2))*CONFECCION!$B$35/100),2)</f>
        <v>0</v>
      </c>
      <c r="AL24" s="54"/>
      <c r="AM24" s="54">
        <v>2</v>
      </c>
      <c r="AP24" s="149"/>
      <c r="AQ24" s="149" t="str">
        <f t="shared" si="24"/>
        <v/>
      </c>
      <c r="AR24" s="149" t="str">
        <f>IF(A24=0,"",VLOOKUP(L24,ARTICULOS!$A$10:$B$19,2))</f>
        <v/>
      </c>
      <c r="AS24" s="157" t="str">
        <f t="shared" si="25"/>
        <v/>
      </c>
      <c r="AT24" s="167" t="str">
        <f>IF(A24=0,"",VLOOKUP(E24,ARTICULOS!$D$10:$F$699,3))</f>
        <v/>
      </c>
      <c r="AU24" s="164" t="str">
        <f>IF(A24=0,"","c/ "&amp;D24&amp;" "&amp;VLOOKUP(H24,COLORES!$A$7:$G$4394,7))</f>
        <v/>
      </c>
      <c r="AV24" s="149" t="str">
        <f t="shared" si="26"/>
        <v/>
      </c>
      <c r="AW24" s="149" t="str">
        <f t="shared" si="27"/>
        <v/>
      </c>
      <c r="AX24" s="149" t="str">
        <f t="shared" si="28"/>
        <v/>
      </c>
      <c r="AY24" s="152" t="str">
        <f t="shared" si="29"/>
        <v/>
      </c>
      <c r="AZ24" s="155" t="str">
        <f t="shared" si="30"/>
        <v/>
      </c>
      <c r="BA24" s="156" t="str">
        <f t="shared" si="31"/>
        <v/>
      </c>
    </row>
    <row r="25" spans="1:53" ht="16.5" customHeight="1" x14ac:dyDescent="0.35">
      <c r="A25" s="45">
        <v>0</v>
      </c>
      <c r="B25" s="43">
        <v>1</v>
      </c>
      <c r="C25" s="43"/>
      <c r="D25" s="48">
        <v>1</v>
      </c>
      <c r="E25" s="41" t="e">
        <f>MATCH(C25,ARTICULOS!$F$10:$F$699,0)</f>
        <v>#N/A</v>
      </c>
      <c r="F25" s="41" t="e">
        <f>+VLOOKUP(E25,ARTICULOS!$D$10:$I$699,6)</f>
        <v>#N/A</v>
      </c>
      <c r="G25" s="42" t="e">
        <f t="shared" si="16"/>
        <v>#N/A</v>
      </c>
      <c r="H25" s="42" t="e">
        <f>+MATCH(G25,COLORES!$E$7:$E$4394,0)</f>
        <v>#N/A</v>
      </c>
      <c r="I25" s="49" t="e">
        <f>VLOOKUP(H25,COLORES!$A$7:$I$4394,8)</f>
        <v>#N/A</v>
      </c>
      <c r="J25" s="50" t="e">
        <f>VLOOKUP(H25,COLORES!$A$7:$I$4394,9)</f>
        <v>#N/A</v>
      </c>
      <c r="K25" s="191" t="e">
        <f t="shared" si="17"/>
        <v>#N/A</v>
      </c>
      <c r="L25" s="44">
        <v>0</v>
      </c>
      <c r="M25" s="45">
        <v>0</v>
      </c>
      <c r="N25" s="47">
        <v>0</v>
      </c>
      <c r="O25" s="47">
        <v>0</v>
      </c>
      <c r="P25" s="47">
        <v>0</v>
      </c>
      <c r="Q25" s="47">
        <v>0</v>
      </c>
      <c r="R25" s="48"/>
      <c r="S25" s="53" t="str">
        <f t="shared" si="18"/>
        <v/>
      </c>
      <c r="T25" s="51">
        <f t="shared" si="19"/>
        <v>0</v>
      </c>
      <c r="U25" s="52">
        <f t="shared" si="20"/>
        <v>0</v>
      </c>
      <c r="V25" s="54"/>
      <c r="W25" s="56">
        <f t="shared" si="21"/>
        <v>0</v>
      </c>
      <c r="X25" s="57">
        <f t="shared" si="22"/>
        <v>0</v>
      </c>
      <c r="Y25" s="54">
        <v>0</v>
      </c>
      <c r="Z25" s="56">
        <f>IF(Y25=1,ROUNDUP(W25*(1+VLOOKUP(E25,ARTICULOS!$D$10:$H$699,5)),0),W25)</f>
        <v>0</v>
      </c>
      <c r="AA25" s="57">
        <f>IF(Y25=1,ROUNDUP(X25*(1+VLOOKUP(E25,ARTICULOS!$D$10:$H$699,4)),0),X25)</f>
        <v>0</v>
      </c>
      <c r="AB25" s="54">
        <v>2</v>
      </c>
      <c r="AC25" s="54"/>
      <c r="AD25" s="53" t="str">
        <f t="shared" si="23"/>
        <v/>
      </c>
      <c r="AE25" s="53" t="str">
        <f>IF(AC25=1,VLOOKUP(AD25,EMPALME!$C$2:$F$33,4),"")</f>
        <v/>
      </c>
      <c r="AF25" s="44"/>
      <c r="AG25" s="55" t="e">
        <f>IF(L25=3,IF(V25=1,CONFECCION!$C$18,CONFECCION!$C$18*2),IF(V25=1,HLOOKUP(AA25,CONFECCION!$C$17:$AD$33,VLOOKUP(Z25,CONFECCION!$A$18:$B$33,2)-16),2*HLOOKUP(AA25,CONFECCION!$C$17:$AD$33,VLOOKUP(Z25,CONFECCION!$A$18:$B$33,2)-16)))*IF(AC25=1,3,1)</f>
        <v>#N/A</v>
      </c>
      <c r="AH25" s="54"/>
      <c r="AI25" s="55" t="e">
        <f>IF(AC25=1,AA25/100*K25+IF(AF25&gt;0,K25*(VLOOKUP(AD25,EMPALME!$C$2:$D$33,2)/100)/AF25,K25*(VLOOKUP(AD25,EMPALME!$C$2:$D$33,2)/100)/VLOOKUP(AD25,EMPALME!$C$2:$F$33,4)),IF(AH25=2,ROUND((K25*(AA25/100)-(I25/10)*INT((AA25/100)/0.55)*INT((J25-(Z25/100)*INT(J25/(Z25/100)))/0.55))/INT(J25/(Z25/100)),2),ROUND(K25*(AA25/100)/INT(J25/(Z25/100)),2)))</f>
        <v>#N/A</v>
      </c>
      <c r="AJ25" s="54">
        <v>2</v>
      </c>
      <c r="AK25" s="55">
        <f>ROUND(IF(AJ25=2,0,((Z25*2)+(AA25*2))*CONFECCION!$B$35/100),2)</f>
        <v>0</v>
      </c>
      <c r="AL25" s="54"/>
      <c r="AM25" s="54">
        <v>2</v>
      </c>
      <c r="AP25" s="149"/>
      <c r="AQ25" s="149" t="str">
        <f t="shared" si="24"/>
        <v/>
      </c>
      <c r="AR25" s="149" t="str">
        <f>IF(A25=0,"",VLOOKUP(L25,ARTICULOS!$A$10:$B$19,2))</f>
        <v/>
      </c>
      <c r="AS25" s="157" t="str">
        <f t="shared" si="25"/>
        <v/>
      </c>
      <c r="AT25" s="167" t="str">
        <f>IF(A25=0,"",VLOOKUP(E25,ARTICULOS!$D$10:$F$699,3))</f>
        <v/>
      </c>
      <c r="AU25" s="164" t="str">
        <f>IF(A25=0,"","c/ "&amp;D25&amp;" "&amp;VLOOKUP(H25,COLORES!$A$7:$G$4394,7))</f>
        <v/>
      </c>
      <c r="AV25" s="149" t="str">
        <f t="shared" si="26"/>
        <v/>
      </c>
      <c r="AW25" s="149" t="str">
        <f t="shared" si="27"/>
        <v/>
      </c>
      <c r="AX25" s="149" t="str">
        <f t="shared" si="28"/>
        <v/>
      </c>
      <c r="AY25" s="152" t="str">
        <f t="shared" si="29"/>
        <v/>
      </c>
      <c r="AZ25" s="155" t="str">
        <f t="shared" si="30"/>
        <v/>
      </c>
      <c r="BA25" s="156" t="str">
        <f t="shared" si="31"/>
        <v/>
      </c>
    </row>
    <row r="26" spans="1:53" ht="16.5" customHeight="1" x14ac:dyDescent="0.35">
      <c r="A26" s="45">
        <v>0</v>
      </c>
      <c r="B26" s="43">
        <v>1</v>
      </c>
      <c r="C26" s="43"/>
      <c r="D26" s="48">
        <v>1</v>
      </c>
      <c r="E26" s="41" t="e">
        <f>MATCH(C26,ARTICULOS!$F$10:$F$699,0)</f>
        <v>#N/A</v>
      </c>
      <c r="F26" s="41" t="e">
        <f>+VLOOKUP(E26,ARTICULOS!$D$10:$I$699,6)</f>
        <v>#N/A</v>
      </c>
      <c r="G26" s="42" t="e">
        <f t="shared" si="16"/>
        <v>#N/A</v>
      </c>
      <c r="H26" s="42" t="e">
        <f>+MATCH(G26,COLORES!$E$7:$E$4394,0)</f>
        <v>#N/A</v>
      </c>
      <c r="I26" s="49" t="e">
        <f>VLOOKUP(H26,COLORES!$A$7:$I$4394,8)</f>
        <v>#N/A</v>
      </c>
      <c r="J26" s="50" t="e">
        <f>VLOOKUP(H26,COLORES!$A$7:$I$4394,9)</f>
        <v>#N/A</v>
      </c>
      <c r="K26" s="191" t="e">
        <f t="shared" si="17"/>
        <v>#N/A</v>
      </c>
      <c r="L26" s="44">
        <v>0</v>
      </c>
      <c r="M26" s="45">
        <v>0</v>
      </c>
      <c r="N26" s="47">
        <v>0</v>
      </c>
      <c r="O26" s="47">
        <v>0</v>
      </c>
      <c r="P26" s="47">
        <v>0</v>
      </c>
      <c r="Q26" s="47">
        <v>0</v>
      </c>
      <c r="R26" s="48"/>
      <c r="S26" s="53" t="str">
        <f t="shared" si="18"/>
        <v/>
      </c>
      <c r="T26" s="51">
        <f t="shared" si="19"/>
        <v>0</v>
      </c>
      <c r="U26" s="52">
        <f t="shared" si="20"/>
        <v>0</v>
      </c>
      <c r="V26" s="54"/>
      <c r="W26" s="56">
        <f t="shared" si="21"/>
        <v>0</v>
      </c>
      <c r="X26" s="57">
        <f t="shared" si="22"/>
        <v>0</v>
      </c>
      <c r="Y26" s="54">
        <v>0</v>
      </c>
      <c r="Z26" s="56">
        <f>IF(Y26=1,ROUNDUP(W26*(1+VLOOKUP(E26,ARTICULOS!$D$10:$H$699,5)),0),W26)</f>
        <v>0</v>
      </c>
      <c r="AA26" s="57">
        <f>IF(Y26=1,ROUNDUP(X26*(1+VLOOKUP(E26,ARTICULOS!$D$10:$H$699,4)),0),X26)</f>
        <v>0</v>
      </c>
      <c r="AB26" s="54">
        <v>2</v>
      </c>
      <c r="AC26" s="54"/>
      <c r="AD26" s="53" t="str">
        <f t="shared" si="23"/>
        <v/>
      </c>
      <c r="AE26" s="53" t="str">
        <f>IF(AC26=1,VLOOKUP(AD26,EMPALME!$C$2:$F$33,4),"")</f>
        <v/>
      </c>
      <c r="AF26" s="44"/>
      <c r="AG26" s="55" t="e">
        <f>IF(L26=3,IF(V26=1,CONFECCION!$C$18,CONFECCION!$C$18*2),IF(V26=1,HLOOKUP(AA26,CONFECCION!$C$17:$AD$33,VLOOKUP(Z26,CONFECCION!$A$18:$B$33,2)-16),2*HLOOKUP(AA26,CONFECCION!$C$17:$AD$33,VLOOKUP(Z26,CONFECCION!$A$18:$B$33,2)-16)))*IF(AC26=1,3,1)</f>
        <v>#N/A</v>
      </c>
      <c r="AH26" s="54"/>
      <c r="AI26" s="55" t="e">
        <f>IF(AC26=1,AA26/100*K26+IF(AF26&gt;0,K26*(VLOOKUP(AD26,EMPALME!$C$2:$D$33,2)/100)/AF26,K26*(VLOOKUP(AD26,EMPALME!$C$2:$D$33,2)/100)/VLOOKUP(AD26,EMPALME!$C$2:$F$33,4)),IF(AH26=2,ROUND((K26*(AA26/100)-(I26/10)*INT((AA26/100)/0.55)*INT((J26-(Z26/100)*INT(J26/(Z26/100)))/0.55))/INT(J26/(Z26/100)),2),ROUND(K26*(AA26/100)/INT(J26/(Z26/100)),2)))</f>
        <v>#N/A</v>
      </c>
      <c r="AJ26" s="54">
        <v>2</v>
      </c>
      <c r="AK26" s="55">
        <f>ROUND(IF(AJ26=2,0,((Z26*2)+(AA26*2))*CONFECCION!$B$35/100),2)</f>
        <v>0</v>
      </c>
      <c r="AL26" s="54"/>
      <c r="AM26" s="54">
        <v>2</v>
      </c>
      <c r="AP26" s="149"/>
      <c r="AQ26" s="149" t="str">
        <f t="shared" si="24"/>
        <v/>
      </c>
      <c r="AR26" s="149" t="str">
        <f>IF(A26=0,"",VLOOKUP(L26,ARTICULOS!$A$10:$B$19,2))</f>
        <v/>
      </c>
      <c r="AS26" s="157" t="str">
        <f t="shared" si="25"/>
        <v/>
      </c>
      <c r="AT26" s="167" t="str">
        <f>IF(A26=0,"",VLOOKUP(E26,ARTICULOS!$D$10:$F$699,3))</f>
        <v/>
      </c>
      <c r="AU26" s="164" t="str">
        <f>IF(A26=0,"","c/ "&amp;D26&amp;" "&amp;VLOOKUP(H26,COLORES!$A$7:$G$4394,7))</f>
        <v/>
      </c>
      <c r="AV26" s="149" t="str">
        <f t="shared" si="26"/>
        <v/>
      </c>
      <c r="AW26" s="149" t="str">
        <f t="shared" si="27"/>
        <v/>
      </c>
      <c r="AX26" s="149" t="str">
        <f t="shared" si="28"/>
        <v/>
      </c>
      <c r="AY26" s="152" t="str">
        <f t="shared" si="29"/>
        <v/>
      </c>
      <c r="AZ26" s="155" t="str">
        <f t="shared" si="30"/>
        <v/>
      </c>
      <c r="BA26" s="156" t="str">
        <f t="shared" si="31"/>
        <v/>
      </c>
    </row>
    <row r="27" spans="1:53" ht="16.5" customHeight="1" x14ac:dyDescent="0.35">
      <c r="A27" s="45">
        <v>0</v>
      </c>
      <c r="B27" s="43">
        <v>1</v>
      </c>
      <c r="C27" s="43"/>
      <c r="D27" s="48">
        <v>1</v>
      </c>
      <c r="E27" s="41" t="e">
        <f>MATCH(C27,ARTICULOS!$F$10:$F$699,0)</f>
        <v>#N/A</v>
      </c>
      <c r="F27" s="41" t="e">
        <f>+VLOOKUP(E27,ARTICULOS!$D$10:$I$699,6)</f>
        <v>#N/A</v>
      </c>
      <c r="G27" s="42" t="e">
        <f t="shared" si="16"/>
        <v>#N/A</v>
      </c>
      <c r="H27" s="42" t="e">
        <f>+MATCH(G27,COLORES!$E$7:$E$4394,0)</f>
        <v>#N/A</v>
      </c>
      <c r="I27" s="49" t="e">
        <f>VLOOKUP(H27,COLORES!$A$7:$I$4394,8)</f>
        <v>#N/A</v>
      </c>
      <c r="J27" s="50" t="e">
        <f>VLOOKUP(H27,COLORES!$A$7:$I$4394,9)</f>
        <v>#N/A</v>
      </c>
      <c r="K27" s="191" t="e">
        <f t="shared" si="17"/>
        <v>#N/A</v>
      </c>
      <c r="L27" s="44">
        <v>0</v>
      </c>
      <c r="M27" s="45">
        <v>0</v>
      </c>
      <c r="N27" s="47">
        <v>0</v>
      </c>
      <c r="O27" s="47">
        <v>0</v>
      </c>
      <c r="P27" s="47">
        <v>0</v>
      </c>
      <c r="Q27" s="47">
        <v>0</v>
      </c>
      <c r="R27" s="48"/>
      <c r="S27" s="53" t="str">
        <f t="shared" si="18"/>
        <v/>
      </c>
      <c r="T27" s="51">
        <f t="shared" si="19"/>
        <v>0</v>
      </c>
      <c r="U27" s="52">
        <f t="shared" si="20"/>
        <v>0</v>
      </c>
      <c r="V27" s="54"/>
      <c r="W27" s="56">
        <f t="shared" si="21"/>
        <v>0</v>
      </c>
      <c r="X27" s="57">
        <f t="shared" si="22"/>
        <v>0</v>
      </c>
      <c r="Y27" s="54">
        <v>0</v>
      </c>
      <c r="Z27" s="56">
        <f>IF(Y27=1,ROUNDUP(W27*(1+VLOOKUP(E27,ARTICULOS!$D$10:$H$699,5)),0),W27)</f>
        <v>0</v>
      </c>
      <c r="AA27" s="57">
        <f>IF(Y27=1,ROUNDUP(X27*(1+VLOOKUP(E27,ARTICULOS!$D$10:$H$699,4)),0),X27)</f>
        <v>0</v>
      </c>
      <c r="AB27" s="54">
        <v>2</v>
      </c>
      <c r="AC27" s="54"/>
      <c r="AD27" s="53" t="str">
        <f t="shared" si="23"/>
        <v/>
      </c>
      <c r="AE27" s="53" t="str">
        <f>IF(AC27=1,VLOOKUP(AD27,EMPALME!$C$2:$F$33,4),"")</f>
        <v/>
      </c>
      <c r="AF27" s="44"/>
      <c r="AG27" s="55" t="e">
        <f>IF(L27=3,IF(V27=1,CONFECCION!$C$18,CONFECCION!$C$18*2),IF(V27=1,HLOOKUP(AA27,CONFECCION!$C$17:$AD$33,VLOOKUP(Z27,CONFECCION!$A$18:$B$33,2)-16),2*HLOOKUP(AA27,CONFECCION!$C$17:$AD$33,VLOOKUP(Z27,CONFECCION!$A$18:$B$33,2)-16)))*IF(AC27=1,3,1)</f>
        <v>#N/A</v>
      </c>
      <c r="AH27" s="54"/>
      <c r="AI27" s="55" t="e">
        <f>IF(AC27=1,AA27/100*K27+IF(AF27&gt;0,K27*(VLOOKUP(AD27,EMPALME!$C$2:$D$33,2)/100)/AF27,K27*(VLOOKUP(AD27,EMPALME!$C$2:$D$33,2)/100)/VLOOKUP(AD27,EMPALME!$C$2:$F$33,4)),IF(AH27=2,ROUND((K27*(AA27/100)-(I27/10)*INT((AA27/100)/0.55)*INT((J27-(Z27/100)*INT(J27/(Z27/100)))/0.55))/INT(J27/(Z27/100)),2),ROUND(K27*(AA27/100)/INT(J27/(Z27/100)),2)))</f>
        <v>#N/A</v>
      </c>
      <c r="AJ27" s="54">
        <v>2</v>
      </c>
      <c r="AK27" s="55">
        <f>ROUND(IF(AJ27=2,0,((Z27*2)+(AA27*2))*CONFECCION!$B$35/100),2)</f>
        <v>0</v>
      </c>
      <c r="AL27" s="54"/>
      <c r="AM27" s="54">
        <v>2</v>
      </c>
      <c r="AP27" s="149"/>
      <c r="AQ27" s="149" t="str">
        <f t="shared" si="24"/>
        <v/>
      </c>
      <c r="AR27" s="149" t="str">
        <f>IF(A27=0,"",VLOOKUP(L27,ARTICULOS!$A$10:$B$19,2))</f>
        <v/>
      </c>
      <c r="AS27" s="157" t="str">
        <f t="shared" si="25"/>
        <v/>
      </c>
      <c r="AT27" s="167" t="str">
        <f>IF(A27=0,"",VLOOKUP(E27,ARTICULOS!$D$10:$F$699,3))</f>
        <v/>
      </c>
      <c r="AU27" s="164" t="str">
        <f>IF(A27=0,"","c/ "&amp;D27&amp;" "&amp;VLOOKUP(H27,COLORES!$A$7:$G$4394,7))</f>
        <v/>
      </c>
      <c r="AV27" s="149" t="str">
        <f t="shared" si="26"/>
        <v/>
      </c>
      <c r="AW27" s="149" t="str">
        <f t="shared" si="27"/>
        <v/>
      </c>
      <c r="AX27" s="149" t="str">
        <f t="shared" si="28"/>
        <v/>
      </c>
      <c r="AY27" s="152" t="str">
        <f t="shared" si="29"/>
        <v/>
      </c>
      <c r="AZ27" s="155" t="str">
        <f t="shared" si="30"/>
        <v/>
      </c>
      <c r="BA27" s="156" t="str">
        <f t="shared" si="31"/>
        <v/>
      </c>
    </row>
    <row r="28" spans="1:53" ht="16.5" customHeight="1" x14ac:dyDescent="0.35">
      <c r="A28" s="45">
        <v>0</v>
      </c>
      <c r="B28" s="43">
        <v>1</v>
      </c>
      <c r="C28" s="43"/>
      <c r="D28" s="48">
        <v>1</v>
      </c>
      <c r="E28" s="41" t="e">
        <f>MATCH(C28,ARTICULOS!$F$10:$F$699,0)</f>
        <v>#N/A</v>
      </c>
      <c r="F28" s="41" t="e">
        <f>+VLOOKUP(E28,ARTICULOS!$D$10:$I$699,6)</f>
        <v>#N/A</v>
      </c>
      <c r="G28" s="42" t="e">
        <f t="shared" si="16"/>
        <v>#N/A</v>
      </c>
      <c r="H28" s="42" t="e">
        <f>+MATCH(G28,COLORES!$E$7:$E$4394,0)</f>
        <v>#N/A</v>
      </c>
      <c r="I28" s="49" t="e">
        <f>VLOOKUP(H28,COLORES!$A$7:$I$4394,8)</f>
        <v>#N/A</v>
      </c>
      <c r="J28" s="50" t="e">
        <f>VLOOKUP(H28,COLORES!$A$7:$I$4394,9)</f>
        <v>#N/A</v>
      </c>
      <c r="K28" s="191" t="e">
        <f t="shared" si="17"/>
        <v>#N/A</v>
      </c>
      <c r="L28" s="44">
        <v>0</v>
      </c>
      <c r="M28" s="45">
        <v>0</v>
      </c>
      <c r="N28" s="47">
        <v>0</v>
      </c>
      <c r="O28" s="47">
        <v>0</v>
      </c>
      <c r="P28" s="47">
        <v>0</v>
      </c>
      <c r="Q28" s="47">
        <v>0</v>
      </c>
      <c r="R28" s="48"/>
      <c r="S28" s="53" t="str">
        <f t="shared" si="18"/>
        <v/>
      </c>
      <c r="T28" s="51">
        <f t="shared" si="19"/>
        <v>0</v>
      </c>
      <c r="U28" s="52">
        <f t="shared" si="20"/>
        <v>0</v>
      </c>
      <c r="V28" s="54"/>
      <c r="W28" s="56">
        <f t="shared" si="21"/>
        <v>0</v>
      </c>
      <c r="X28" s="57">
        <f t="shared" si="22"/>
        <v>0</v>
      </c>
      <c r="Y28" s="54">
        <v>0</v>
      </c>
      <c r="Z28" s="56">
        <f>IF(Y28=1,ROUNDUP(W28*(1+VLOOKUP(E28,ARTICULOS!$D$10:$H$699,5)),0),W28)</f>
        <v>0</v>
      </c>
      <c r="AA28" s="57">
        <f>IF(Y28=1,ROUNDUP(X28*(1+VLOOKUP(E28,ARTICULOS!$D$10:$H$699,4)),0),X28)</f>
        <v>0</v>
      </c>
      <c r="AB28" s="54">
        <v>2</v>
      </c>
      <c r="AC28" s="54"/>
      <c r="AD28" s="53" t="str">
        <f t="shared" si="23"/>
        <v/>
      </c>
      <c r="AE28" s="53" t="str">
        <f>IF(AC28=1,VLOOKUP(AD28,EMPALME!$C$2:$F$33,4),"")</f>
        <v/>
      </c>
      <c r="AF28" s="44"/>
      <c r="AG28" s="55" t="e">
        <f>IF(L28=3,IF(V28=1,CONFECCION!$C$18,CONFECCION!$C$18*2),IF(V28=1,HLOOKUP(AA28,CONFECCION!$C$17:$AD$33,VLOOKUP(Z28,CONFECCION!$A$18:$B$33,2)-16),2*HLOOKUP(AA28,CONFECCION!$C$17:$AD$33,VLOOKUP(Z28,CONFECCION!$A$18:$B$33,2)-16)))*IF(AC28=1,3,1)</f>
        <v>#N/A</v>
      </c>
      <c r="AH28" s="54"/>
      <c r="AI28" s="55" t="e">
        <f>IF(AC28=1,AA28/100*K28+IF(AF28&gt;0,K28*(VLOOKUP(AD28,EMPALME!$C$2:$D$33,2)/100)/AF28,K28*(VLOOKUP(AD28,EMPALME!$C$2:$D$33,2)/100)/VLOOKUP(AD28,EMPALME!$C$2:$F$33,4)),IF(AH28=2,ROUND((K28*(AA28/100)-(I28/10)*INT((AA28/100)/0.55)*INT((J28-(Z28/100)*INT(J28/(Z28/100)))/0.55))/INT(J28/(Z28/100)),2),ROUND(K28*(AA28/100)/INT(J28/(Z28/100)),2)))</f>
        <v>#N/A</v>
      </c>
      <c r="AJ28" s="54">
        <v>2</v>
      </c>
      <c r="AK28" s="55">
        <f>ROUND(IF(AJ28=2,0,((Z28*2)+(AA28*2))*CONFECCION!$B$35/100),2)</f>
        <v>0</v>
      </c>
      <c r="AL28" s="54"/>
      <c r="AM28" s="54">
        <v>2</v>
      </c>
      <c r="AP28" s="149"/>
      <c r="AQ28" s="149" t="str">
        <f t="shared" si="24"/>
        <v/>
      </c>
      <c r="AR28" s="149" t="str">
        <f>IF(A28=0,"",VLOOKUP(L28,ARTICULOS!$A$10:$B$19,2))</f>
        <v/>
      </c>
      <c r="AS28" s="157" t="str">
        <f t="shared" si="25"/>
        <v/>
      </c>
      <c r="AT28" s="167" t="str">
        <f>IF(A28=0,"",VLOOKUP(E28,ARTICULOS!$D$10:$F$699,3))</f>
        <v/>
      </c>
      <c r="AU28" s="164" t="str">
        <f>IF(A28=0,"","c/ "&amp;D28&amp;" "&amp;VLOOKUP(H28,COLORES!$A$7:$G$4394,7))</f>
        <v/>
      </c>
      <c r="AV28" s="149" t="str">
        <f t="shared" si="26"/>
        <v/>
      </c>
      <c r="AW28" s="149" t="str">
        <f t="shared" si="27"/>
        <v/>
      </c>
      <c r="AX28" s="149" t="str">
        <f t="shared" si="28"/>
        <v/>
      </c>
      <c r="AY28" s="152" t="str">
        <f t="shared" si="29"/>
        <v/>
      </c>
      <c r="AZ28" s="155" t="str">
        <f t="shared" si="30"/>
        <v/>
      </c>
      <c r="BA28" s="156" t="str">
        <f t="shared" si="31"/>
        <v/>
      </c>
    </row>
    <row r="29" spans="1:53" ht="16.5" customHeight="1" thickBot="1" x14ac:dyDescent="0.4">
      <c r="A29" s="45">
        <v>0</v>
      </c>
      <c r="B29" s="43">
        <v>1</v>
      </c>
      <c r="C29" s="43"/>
      <c r="D29" s="48">
        <v>1</v>
      </c>
      <c r="E29" s="41" t="e">
        <f>MATCH(C29,ARTICULOS!$F$10:$F$699,0)</f>
        <v>#N/A</v>
      </c>
      <c r="F29" s="41" t="e">
        <f>+VLOOKUP(E29,ARTICULOS!$D$10:$I$699,6)</f>
        <v>#N/A</v>
      </c>
      <c r="G29" s="42" t="e">
        <f t="shared" ref="G26:G29" si="32">+F29&amp;D29</f>
        <v>#N/A</v>
      </c>
      <c r="H29" s="42" t="e">
        <f>+MATCH(G29,COLORES!$E$7:$E$4394,0)</f>
        <v>#N/A</v>
      </c>
      <c r="I29" s="49" t="e">
        <f>VLOOKUP(H29,COLORES!$A$7:$I$4394,8)</f>
        <v>#N/A</v>
      </c>
      <c r="J29" s="50" t="e">
        <f>VLOOKUP(H29,COLORES!$A$7:$I$4394,9)</f>
        <v>#N/A</v>
      </c>
      <c r="K29" s="191" t="e">
        <f t="shared" ref="K26:K29" si="33">I29*(1+B29)</f>
        <v>#N/A</v>
      </c>
      <c r="L29" s="44">
        <v>0</v>
      </c>
      <c r="M29" s="45">
        <v>0</v>
      </c>
      <c r="N29" s="47">
        <v>0</v>
      </c>
      <c r="O29" s="47">
        <v>0</v>
      </c>
      <c r="P29" s="47">
        <v>0</v>
      </c>
      <c r="Q29" s="47">
        <v>0</v>
      </c>
      <c r="R29" s="48"/>
      <c r="S29" s="53" t="str">
        <f t="shared" ref="S26:S29" si="34">IF(P29&gt;0,IF(O29&gt;0,"(/)"&amp;O29&amp;"*"&amp;P29&amp;IF(Q29&gt;0,"+"&amp;Q29,IF(Q29=0,"",Q29)),+M29&amp;"*"&amp;N29&amp;"*"&amp;P29&amp;IF(Q29&gt;0,"+"&amp;Q29,IF(Q29=0,"",Q29))),"")</f>
        <v/>
      </c>
      <c r="T29" s="51">
        <f t="shared" ref="T26:T29" si="35">+IF(O29&gt;0,O29+R29*2,M29+R29*2)+P29*2+Q29*2</f>
        <v>0</v>
      </c>
      <c r="U29" s="52">
        <f t="shared" ref="U26:U29" si="36">+IF(O29&gt;0,O29+R29*2,N29+R29*2)+P29*2+Q29*2</f>
        <v>0</v>
      </c>
      <c r="V29" s="54"/>
      <c r="W29" s="56">
        <f t="shared" ref="W26:W29" si="37">IF(V29=1,T29+5,T29+(V29*4))</f>
        <v>0</v>
      </c>
      <c r="X29" s="57">
        <f t="shared" ref="X26:X29" si="38">IF(V29=1,U29+5,U29+(V29*4))</f>
        <v>0</v>
      </c>
      <c r="Y29" s="54">
        <v>0</v>
      </c>
      <c r="Z29" s="56">
        <f>IF(Y29=1,ROUNDUP(W29*(1+VLOOKUP(E29,ARTICULOS!$D$10:$H$699,5)),0),W29)</f>
        <v>0</v>
      </c>
      <c r="AA29" s="57">
        <f>IF(Y29=1,ROUNDUP(X29*(1+VLOOKUP(E29,ARTICULOS!$D$10:$H$699,4)),0),X29)</f>
        <v>0</v>
      </c>
      <c r="AB29" s="54">
        <v>2</v>
      </c>
      <c r="AC29" s="54"/>
      <c r="AD29" s="53" t="str">
        <f t="shared" ref="AD26:AD29" si="39">IF(AC29=1,J29*100&amp;Z29,"")</f>
        <v/>
      </c>
      <c r="AE29" s="53" t="str">
        <f>IF(AC29=1,VLOOKUP(AD29,EMPALME!$C$2:$F$33,4),"")</f>
        <v/>
      </c>
      <c r="AF29" s="44"/>
      <c r="AG29" s="55" t="e">
        <f>IF(L29=3,IF(V29=1,CONFECCION!$C$18,CONFECCION!$C$18*2),IF(V29=1,HLOOKUP(AA29,CONFECCION!$C$17:$AD$33,VLOOKUP(Z29,CONFECCION!$A$18:$B$33,2)-16),2*HLOOKUP(AA29,CONFECCION!$C$17:$AD$33,VLOOKUP(Z29,CONFECCION!$A$18:$B$33,2)-16)))*IF(AC29=1,3,1)</f>
        <v>#N/A</v>
      </c>
      <c r="AH29" s="54"/>
      <c r="AI29" s="55" t="e">
        <f>IF(AC29=1,AA29/100*K29+IF(AF29&gt;0,K29*(VLOOKUP(AD29,EMPALME!$C$2:$D$33,2)/100)/AF29,K29*(VLOOKUP(AD29,EMPALME!$C$2:$D$33,2)/100)/VLOOKUP(AD29,EMPALME!$C$2:$F$33,4)),IF(AH29=2,ROUND((K29*(AA29/100)-(I29/10)*INT((AA29/100)/0.55)*INT((J29-(Z29/100)*INT(J29/(Z29/100)))/0.55))/INT(J29/(Z29/100)),2),ROUND(K29*(AA29/100)/INT(J29/(Z29/100)),2)))</f>
        <v>#N/A</v>
      </c>
      <c r="AJ29" s="54">
        <v>2</v>
      </c>
      <c r="AK29" s="55">
        <f>ROUND(IF(AJ29=2,0,((Z29*2)+(AA29*2))*CONFECCION!$B$35/100),2)</f>
        <v>0</v>
      </c>
      <c r="AL29" s="54"/>
      <c r="AM29" s="54">
        <v>2</v>
      </c>
      <c r="AP29" s="149"/>
      <c r="AQ29" s="149" t="str">
        <f t="shared" ref="AQ26:AQ29" si="40">IF(S29=0,"",S29)</f>
        <v/>
      </c>
      <c r="AR29" s="149" t="str">
        <f>IF(A29=0,"",VLOOKUP(L29,ARTICULOS!$A$10:$B$19,2))</f>
        <v/>
      </c>
      <c r="AS29" s="157" t="str">
        <f t="shared" ref="AS26:AS29" si="41">IF(A29=0,"",T29&amp;" * "&amp;U29)&amp;IF(AM29=1," PR","")</f>
        <v/>
      </c>
      <c r="AT29" s="167" t="str">
        <f>IF(A29=0,"",VLOOKUP(E29,ARTICULOS!$D$10:$F$699,3))</f>
        <v/>
      </c>
      <c r="AU29" s="164" t="str">
        <f>IF(A29=0,"","c/ "&amp;D29&amp;" "&amp;VLOOKUP(H29,COLORES!$A$7:$G$4394,7))</f>
        <v/>
      </c>
      <c r="AV29" s="149" t="str">
        <f t="shared" ref="AV26:AV29" si="42">IF(A29=0,"",IF(V29=1,"Dobl. Sencillo","Dobl. "&amp;V29&amp;" cm."))</f>
        <v/>
      </c>
      <c r="AW29" s="149" t="str">
        <f t="shared" ref="AW26:AW29" si="43">+IF(Y29=1,"SI","")</f>
        <v/>
      </c>
      <c r="AX29" s="149" t="str">
        <f t="shared" ref="AX26:AX29" si="44">IF(A29=0,"",IF(AB29=2,Z29&amp;" * "&amp;AA29,IF(Z29=AA29,"Redondo "&amp;Z29&amp;" * "&amp;AA29,"Ovalado "&amp;Z29&amp;" * "&amp;AA29)))</f>
        <v/>
      </c>
      <c r="AY29" s="152" t="str">
        <f t="shared" ref="AY26:AY29" si="45">IF(A29=0,"",AG29+AI29+AK29)</f>
        <v/>
      </c>
      <c r="AZ29" s="155" t="str">
        <f t="shared" ref="AZ26:AZ29" si="46">IF(A29=0,"",A29)</f>
        <v/>
      </c>
      <c r="BA29" s="156" t="str">
        <f t="shared" ref="BA26:BA29" si="47">IF(A29=0,"",ROUND(AY29*AZ29,2))</f>
        <v/>
      </c>
    </row>
    <row r="30" spans="1:53" ht="16.5" customHeight="1" thickBot="1" x14ac:dyDescent="0.35">
      <c r="A30" s="19"/>
      <c r="B30" s="20"/>
      <c r="C30" s="20"/>
      <c r="D30" s="23"/>
      <c r="E30" s="20"/>
      <c r="F30" s="20"/>
      <c r="G30" s="19"/>
      <c r="H30" s="19"/>
      <c r="I30" s="21"/>
      <c r="J30" s="21"/>
      <c r="K30" s="22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4"/>
      <c r="W30" s="19"/>
      <c r="X30" s="19"/>
      <c r="Y30" s="24"/>
      <c r="Z30" s="25"/>
      <c r="AA30" s="25"/>
      <c r="AB30" s="19"/>
      <c r="AC30" s="19"/>
      <c r="AD30" s="19"/>
      <c r="AE30" s="19"/>
      <c r="AF30" s="19"/>
      <c r="AG30" s="19"/>
      <c r="AH30" s="19"/>
      <c r="AI30" s="19"/>
      <c r="AJ30" s="23"/>
      <c r="AK30" s="26"/>
      <c r="AL30" s="23"/>
      <c r="AP30" s="150"/>
      <c r="AQ30" s="151"/>
      <c r="AR30" s="149" t="str">
        <f>IF(A30=0,"",VLOOKUP(L30,ARTICULOS!$A$10:$B$19,2))</f>
        <v/>
      </c>
      <c r="AS30" s="163"/>
      <c r="AT30" s="168"/>
      <c r="AU30" s="165"/>
      <c r="AV30" s="151" t="str">
        <f>IF(A30=0,"",IF(V30=1,"Sencillo","Dobl. "&amp;V30&amp;" cm."))</f>
        <v/>
      </c>
      <c r="AW30" s="151"/>
      <c r="AX30" s="298" t="s">
        <v>189</v>
      </c>
      <c r="AY30" s="299"/>
      <c r="AZ30" s="300"/>
      <c r="BA30" s="153"/>
    </row>
    <row r="31" spans="1:53" ht="15.75" customHeight="1" x14ac:dyDescent="0.3">
      <c r="AO31" s="100"/>
    </row>
    <row r="32" spans="1:53" ht="16.5" hidden="1" customHeight="1" x14ac:dyDescent="0.3">
      <c r="AP32" s="98"/>
      <c r="AQ32" s="98"/>
      <c r="AR32" s="98"/>
      <c r="AS32" s="98"/>
      <c r="AT32" s="98"/>
      <c r="AU32" s="98"/>
      <c r="AV32" s="98"/>
      <c r="AW32" s="98"/>
      <c r="AX32" s="98"/>
      <c r="AY32" s="98"/>
      <c r="AZ32" s="98"/>
    </row>
    <row r="33" spans="1:52" ht="25.5" customHeight="1" x14ac:dyDescent="0.8">
      <c r="AP33" s="197" t="s">
        <v>188</v>
      </c>
      <c r="AQ33" s="196"/>
      <c r="AR33" s="147"/>
      <c r="AS33" s="147"/>
      <c r="AT33" s="147"/>
      <c r="AU33" s="148"/>
      <c r="AV33" s="147"/>
      <c r="AW33" s="147"/>
      <c r="AX33" s="98"/>
      <c r="AY33" s="98"/>
      <c r="AZ33" s="98"/>
    </row>
    <row r="34" spans="1:52" ht="16.5" customHeight="1" x14ac:dyDescent="0.3">
      <c r="AP34" s="129" t="s">
        <v>34</v>
      </c>
      <c r="AQ34" s="129"/>
      <c r="AR34" s="101"/>
      <c r="AS34" s="129"/>
      <c r="AT34" s="101"/>
      <c r="AU34" s="98"/>
      <c r="AV34" s="98"/>
      <c r="AW34" s="98"/>
      <c r="AX34" s="98"/>
      <c r="AY34" s="98"/>
      <c r="AZ34" s="98"/>
    </row>
    <row r="35" spans="1:52" ht="16.5" customHeight="1" x14ac:dyDescent="0.3">
      <c r="AP35" s="129" t="s">
        <v>156</v>
      </c>
      <c r="AQ35" s="129"/>
      <c r="AR35" s="101"/>
      <c r="AS35" s="129"/>
      <c r="AT35" s="101"/>
      <c r="AU35" s="98"/>
      <c r="AV35" s="98"/>
      <c r="AW35" s="98"/>
      <c r="AX35" s="98"/>
      <c r="AY35" s="98"/>
      <c r="AZ35" s="98"/>
    </row>
    <row r="36" spans="1:52" ht="16.5" customHeight="1" x14ac:dyDescent="0.3">
      <c r="AP36" s="129" t="s">
        <v>35</v>
      </c>
      <c r="AQ36" s="129"/>
      <c r="AR36" s="101"/>
      <c r="AS36" s="129"/>
      <c r="AT36" s="101"/>
      <c r="AU36" s="98"/>
      <c r="AV36" s="98"/>
      <c r="AW36" s="98"/>
      <c r="AX36" s="98"/>
      <c r="AY36" s="98"/>
      <c r="AZ36" s="98"/>
    </row>
    <row r="37" spans="1:52" ht="16.5" customHeight="1" x14ac:dyDescent="0.3">
      <c r="AP37" s="129" t="s">
        <v>192</v>
      </c>
      <c r="AQ37" s="129"/>
      <c r="AR37" s="101"/>
      <c r="AS37" s="129"/>
      <c r="AT37" s="101"/>
      <c r="AU37" s="98"/>
      <c r="AV37" s="98"/>
      <c r="AW37" s="98"/>
      <c r="AX37" s="98"/>
      <c r="AY37" s="98"/>
      <c r="AZ37" s="98"/>
    </row>
    <row r="38" spans="1:52" ht="16.5" customHeight="1" x14ac:dyDescent="0.3">
      <c r="AP38" s="123" t="s">
        <v>191</v>
      </c>
      <c r="AQ38" s="101"/>
      <c r="AR38" s="101"/>
      <c r="AS38" s="101"/>
      <c r="AT38" s="101"/>
      <c r="AU38" s="98"/>
      <c r="AV38" s="98"/>
      <c r="AW38" s="98"/>
      <c r="AX38" s="98"/>
      <c r="AY38" s="98"/>
      <c r="AZ38" s="98"/>
    </row>
    <row r="39" spans="1:52" ht="16.5" customHeight="1" x14ac:dyDescent="0.3">
      <c r="AP39" s="101" t="s">
        <v>190</v>
      </c>
      <c r="AQ39" s="101"/>
      <c r="AR39" s="101"/>
      <c r="AS39" s="101"/>
      <c r="AT39" s="101"/>
      <c r="AU39" s="98"/>
      <c r="AV39" s="98"/>
      <c r="AW39" s="98"/>
      <c r="AX39" s="98"/>
      <c r="AY39" s="98"/>
      <c r="AZ39" s="98"/>
    </row>
    <row r="40" spans="1:52" ht="16.5" customHeight="1" x14ac:dyDescent="0.3">
      <c r="AQ40" s="101"/>
      <c r="AR40" s="101"/>
      <c r="AS40" s="101"/>
      <c r="AT40" s="101"/>
    </row>
    <row r="41" spans="1:52" ht="16.5" customHeight="1" x14ac:dyDescent="0.3"/>
    <row r="42" spans="1:52" ht="16.5" customHeight="1" x14ac:dyDescent="0.3"/>
    <row r="43" spans="1:52" x14ac:dyDescent="0.3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</row>
  </sheetData>
  <mergeCells count="7">
    <mergeCell ref="L8:R8"/>
    <mergeCell ref="Z8:AA8"/>
    <mergeCell ref="A8:D8"/>
    <mergeCell ref="AS2:AX2"/>
    <mergeCell ref="AX30:AZ30"/>
    <mergeCell ref="W8:X8"/>
    <mergeCell ref="S8:U8"/>
  </mergeCells>
  <printOptions horizontalCentered="1" verticalCentered="1"/>
  <pageMargins left="0.31496062992125984" right="0.47244094488188981" top="0.19685039370078741" bottom="0.15748031496062992" header="0" footer="0"/>
  <pageSetup paperSize="9" scale="71" orientation="landscape" horizontalDpi="300" verticalDpi="300" copies="2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C000"/>
  </sheetPr>
  <dimension ref="A2:I39"/>
  <sheetViews>
    <sheetView workbookViewId="0">
      <selection activeCell="K14" sqref="K14"/>
    </sheetView>
  </sheetViews>
  <sheetFormatPr baseColWidth="10" defaultRowHeight="12.75" x14ac:dyDescent="0.2"/>
  <cols>
    <col min="1" max="1" width="9.85546875" customWidth="1"/>
    <col min="2" max="2" width="17.42578125" customWidth="1"/>
    <col min="3" max="3" width="22" customWidth="1"/>
    <col min="4" max="4" width="14.7109375" bestFit="1" customWidth="1"/>
    <col min="5" max="5" width="23.85546875" customWidth="1"/>
    <col min="6" max="6" width="18.42578125" customWidth="1"/>
    <col min="7" max="7" width="15" customWidth="1"/>
    <col min="8" max="8" width="17" customWidth="1"/>
    <col min="9" max="9" width="11.7109375" customWidth="1"/>
  </cols>
  <sheetData>
    <row r="2" spans="1:9" x14ac:dyDescent="0.2">
      <c r="A2" s="235" t="s">
        <v>246</v>
      </c>
      <c r="B2" s="230">
        <f>DATOS!B3</f>
        <v>110125</v>
      </c>
      <c r="C2" s="229" t="s">
        <v>30</v>
      </c>
      <c r="D2" t="str">
        <f>DATOS!B4</f>
        <v>CLIENTE</v>
      </c>
    </row>
    <row r="3" spans="1:9" x14ac:dyDescent="0.2">
      <c r="A3" s="231"/>
      <c r="B3" s="232"/>
      <c r="C3" s="229"/>
    </row>
    <row r="4" spans="1:9" x14ac:dyDescent="0.2">
      <c r="A4" s="231"/>
      <c r="B4" s="232"/>
      <c r="C4" s="229" t="s">
        <v>247</v>
      </c>
    </row>
    <row r="5" spans="1:9" x14ac:dyDescent="0.2">
      <c r="A5" s="231"/>
      <c r="B5" s="232"/>
      <c r="C5" s="229" t="s">
        <v>248</v>
      </c>
    </row>
    <row r="6" spans="1:9" x14ac:dyDescent="0.2">
      <c r="A6" s="233"/>
      <c r="B6" s="234"/>
      <c r="C6" s="229" t="s">
        <v>249</v>
      </c>
    </row>
    <row r="7" spans="1:9" ht="13.5" thickBot="1" x14ac:dyDescent="0.25">
      <c r="A7" s="236"/>
      <c r="B7" s="236"/>
      <c r="C7" s="236"/>
      <c r="D7" s="236"/>
      <c r="E7" s="236"/>
      <c r="F7" s="236"/>
      <c r="G7" s="236"/>
      <c r="H7" s="236"/>
      <c r="I7" s="236"/>
    </row>
    <row r="8" spans="1:9" x14ac:dyDescent="0.2">
      <c r="A8" s="303" t="s">
        <v>193</v>
      </c>
      <c r="B8" s="303" t="s">
        <v>80</v>
      </c>
      <c r="C8" s="303" t="s">
        <v>4</v>
      </c>
      <c r="D8" s="305" t="s">
        <v>194</v>
      </c>
      <c r="E8" s="303" t="s">
        <v>3</v>
      </c>
      <c r="F8" s="303" t="s">
        <v>9</v>
      </c>
      <c r="G8" s="303" t="s">
        <v>38</v>
      </c>
      <c r="H8" s="305" t="s">
        <v>250</v>
      </c>
      <c r="I8" s="303" t="s">
        <v>29</v>
      </c>
    </row>
    <row r="9" spans="1:9" ht="13.5" thickBot="1" x14ac:dyDescent="0.25">
      <c r="A9" s="304"/>
      <c r="B9" s="304"/>
      <c r="C9" s="304"/>
      <c r="D9" s="306"/>
      <c r="E9" s="304"/>
      <c r="F9" s="304"/>
      <c r="G9" s="304"/>
      <c r="H9" s="306"/>
      <c r="I9" s="304"/>
    </row>
    <row r="10" spans="1:9" s="161" customFormat="1" ht="17.100000000000001" customHeight="1" x14ac:dyDescent="0.2">
      <c r="A10" s="160"/>
      <c r="B10" s="160"/>
      <c r="C10" s="160"/>
      <c r="D10" s="160"/>
      <c r="E10" s="160"/>
      <c r="F10" s="160"/>
      <c r="G10" s="160"/>
      <c r="H10" s="160"/>
      <c r="I10" s="160"/>
    </row>
    <row r="11" spans="1:9" s="161" customFormat="1" ht="17.100000000000001" customHeight="1" x14ac:dyDescent="0.2">
      <c r="A11" s="180">
        <f>'PRESUPUESTO '!AP10</f>
        <v>0</v>
      </c>
      <c r="B11" s="180" t="str">
        <f>'PRESUPUESTO '!AQ10</f>
        <v/>
      </c>
      <c r="C11" s="180" t="str">
        <f>'PRESUPUESTO '!AR10</f>
        <v/>
      </c>
      <c r="D11" s="180" t="str">
        <f>'PRESUPUESTO '!AS10</f>
        <v/>
      </c>
      <c r="E11" s="180" t="str">
        <f>'PRESUPUESTO '!AT10</f>
        <v/>
      </c>
      <c r="F11" s="180" t="str">
        <f>'PRESUPUESTO '!AU10</f>
        <v/>
      </c>
      <c r="G11" s="180" t="str">
        <f>'PRESUPUESTO '!AV10</f>
        <v/>
      </c>
      <c r="H11" s="180" t="str">
        <f>'PRESUPUESTO '!AX10</f>
        <v/>
      </c>
      <c r="I11" s="181" t="str">
        <f>'PRESUPUESTO '!AZ10</f>
        <v/>
      </c>
    </row>
    <row r="12" spans="1:9" s="161" customFormat="1" ht="17.100000000000001" customHeight="1" x14ac:dyDescent="0.2">
      <c r="A12" s="162">
        <f>'PRESUPUESTO '!AP11</f>
        <v>0</v>
      </c>
      <c r="B12" s="180" t="str">
        <f>'PRESUPUESTO '!AQ11</f>
        <v/>
      </c>
      <c r="C12" s="180" t="str">
        <f>'PRESUPUESTO '!AR11</f>
        <v/>
      </c>
      <c r="D12" s="180" t="str">
        <f>'PRESUPUESTO '!AS11</f>
        <v/>
      </c>
      <c r="E12" s="180" t="str">
        <f>'PRESUPUESTO '!AT11</f>
        <v/>
      </c>
      <c r="F12" s="180" t="str">
        <f>'PRESUPUESTO '!AU11</f>
        <v/>
      </c>
      <c r="G12" s="180" t="str">
        <f>'PRESUPUESTO '!AV11</f>
        <v/>
      </c>
      <c r="H12" s="180" t="str">
        <f>'PRESUPUESTO '!AX11</f>
        <v/>
      </c>
      <c r="I12" s="181" t="str">
        <f>'PRESUPUESTO '!AZ11</f>
        <v/>
      </c>
    </row>
    <row r="13" spans="1:9" s="161" customFormat="1" ht="17.100000000000001" customHeight="1" x14ac:dyDescent="0.2">
      <c r="A13" s="162" t="e">
        <f>'PRESUPUESTO '!#REF!</f>
        <v>#REF!</v>
      </c>
      <c r="B13" s="180" t="e">
        <f>'PRESUPUESTO '!#REF!</f>
        <v>#REF!</v>
      </c>
      <c r="C13" s="180" t="e">
        <f>'PRESUPUESTO '!#REF!</f>
        <v>#REF!</v>
      </c>
      <c r="D13" s="180" t="e">
        <f>'PRESUPUESTO '!#REF!</f>
        <v>#REF!</v>
      </c>
      <c r="E13" s="180" t="e">
        <f>'PRESUPUESTO '!#REF!</f>
        <v>#REF!</v>
      </c>
      <c r="F13" s="180" t="e">
        <f>'PRESUPUESTO '!#REF!</f>
        <v>#REF!</v>
      </c>
      <c r="G13" s="180" t="e">
        <f>'PRESUPUESTO '!#REF!</f>
        <v>#REF!</v>
      </c>
      <c r="H13" s="180" t="e">
        <f>'PRESUPUESTO '!#REF!</f>
        <v>#REF!</v>
      </c>
      <c r="I13" s="181" t="e">
        <f>'PRESUPUESTO '!#REF!</f>
        <v>#REF!</v>
      </c>
    </row>
    <row r="14" spans="1:9" s="161" customFormat="1" ht="17.100000000000001" customHeight="1" x14ac:dyDescent="0.2">
      <c r="A14" s="162">
        <f>'PRESUPUESTO '!AP12</f>
        <v>0</v>
      </c>
      <c r="B14" s="180" t="str">
        <f>'PRESUPUESTO '!AQ12</f>
        <v/>
      </c>
      <c r="C14" s="180" t="str">
        <f>'PRESUPUESTO '!AR12</f>
        <v/>
      </c>
      <c r="D14" s="180" t="str">
        <f>'PRESUPUESTO '!AS12</f>
        <v/>
      </c>
      <c r="E14" s="180" t="str">
        <f>'PRESUPUESTO '!AT12</f>
        <v/>
      </c>
      <c r="F14" s="180" t="str">
        <f>'PRESUPUESTO '!AU12</f>
        <v/>
      </c>
      <c r="G14" s="180" t="str">
        <f>'PRESUPUESTO '!AV12</f>
        <v/>
      </c>
      <c r="H14" s="180" t="str">
        <f>'PRESUPUESTO '!AX12</f>
        <v/>
      </c>
      <c r="I14" s="181" t="str">
        <f>'PRESUPUESTO '!AZ12</f>
        <v/>
      </c>
    </row>
    <row r="15" spans="1:9" s="161" customFormat="1" ht="17.100000000000001" customHeight="1" x14ac:dyDescent="0.2">
      <c r="A15" s="162">
        <f>'PRESUPUESTO '!AP13</f>
        <v>0</v>
      </c>
      <c r="B15" s="180" t="str">
        <f>'PRESUPUESTO '!AQ13</f>
        <v/>
      </c>
      <c r="C15" s="180" t="str">
        <f>'PRESUPUESTO '!AR13</f>
        <v/>
      </c>
      <c r="D15" s="180" t="str">
        <f>'PRESUPUESTO '!AS13</f>
        <v/>
      </c>
      <c r="E15" s="180" t="str">
        <f>'PRESUPUESTO '!AT13</f>
        <v/>
      </c>
      <c r="F15" s="180" t="str">
        <f>'PRESUPUESTO '!AU13</f>
        <v/>
      </c>
      <c r="G15" s="180" t="str">
        <f>'PRESUPUESTO '!AV13</f>
        <v/>
      </c>
      <c r="H15" s="180" t="str">
        <f>'PRESUPUESTO '!AX13</f>
        <v/>
      </c>
      <c r="I15" s="181" t="str">
        <f>'PRESUPUESTO '!AZ13</f>
        <v/>
      </c>
    </row>
    <row r="16" spans="1:9" s="161" customFormat="1" ht="17.100000000000001" customHeight="1" x14ac:dyDescent="0.2">
      <c r="A16" s="162">
        <f>'PRESUPUESTO '!AP14</f>
        <v>0</v>
      </c>
      <c r="B16" s="180" t="str">
        <f>'PRESUPUESTO '!AQ14</f>
        <v/>
      </c>
      <c r="C16" s="180" t="str">
        <f>'PRESUPUESTO '!AR14</f>
        <v/>
      </c>
      <c r="D16" s="180" t="str">
        <f>'PRESUPUESTO '!AS14</f>
        <v/>
      </c>
      <c r="E16" s="180" t="str">
        <f>'PRESUPUESTO '!AT14</f>
        <v/>
      </c>
      <c r="F16" s="180" t="str">
        <f>'PRESUPUESTO '!AU14</f>
        <v/>
      </c>
      <c r="G16" s="180" t="str">
        <f>'PRESUPUESTO '!AV14</f>
        <v/>
      </c>
      <c r="H16" s="180" t="str">
        <f>'PRESUPUESTO '!AX14</f>
        <v/>
      </c>
      <c r="I16" s="181" t="str">
        <f>'PRESUPUESTO '!AZ14</f>
        <v/>
      </c>
    </row>
    <row r="17" spans="1:9" s="161" customFormat="1" ht="17.100000000000001" customHeight="1" x14ac:dyDescent="0.2">
      <c r="A17" s="162">
        <f>'PRESUPUESTO '!AP15</f>
        <v>0</v>
      </c>
      <c r="B17" s="180" t="str">
        <f>'PRESUPUESTO '!AQ15</f>
        <v/>
      </c>
      <c r="C17" s="180" t="str">
        <f>'PRESUPUESTO '!AR15</f>
        <v/>
      </c>
      <c r="D17" s="180" t="str">
        <f>'PRESUPUESTO '!AS15</f>
        <v/>
      </c>
      <c r="E17" s="180" t="str">
        <f>'PRESUPUESTO '!AT15</f>
        <v/>
      </c>
      <c r="F17" s="180" t="str">
        <f>'PRESUPUESTO '!AU15</f>
        <v/>
      </c>
      <c r="G17" s="180" t="str">
        <f>'PRESUPUESTO '!AV15</f>
        <v/>
      </c>
      <c r="H17" s="180" t="str">
        <f>'PRESUPUESTO '!AX15</f>
        <v/>
      </c>
      <c r="I17" s="181" t="str">
        <f>'PRESUPUESTO '!AZ15</f>
        <v/>
      </c>
    </row>
    <row r="18" spans="1:9" s="161" customFormat="1" ht="17.100000000000001" customHeight="1" x14ac:dyDescent="0.2">
      <c r="A18" s="162">
        <f>'PRESUPUESTO '!AP16</f>
        <v>0</v>
      </c>
      <c r="B18" s="180" t="str">
        <f>'PRESUPUESTO '!AQ16</f>
        <v/>
      </c>
      <c r="C18" s="180" t="str">
        <f>'PRESUPUESTO '!AR16</f>
        <v/>
      </c>
      <c r="D18" s="180" t="str">
        <f>'PRESUPUESTO '!AS16</f>
        <v/>
      </c>
      <c r="E18" s="180" t="str">
        <f>'PRESUPUESTO '!AT16</f>
        <v/>
      </c>
      <c r="F18" s="180" t="str">
        <f>'PRESUPUESTO '!AU16</f>
        <v/>
      </c>
      <c r="G18" s="180" t="str">
        <f>'PRESUPUESTO '!AV16</f>
        <v/>
      </c>
      <c r="H18" s="180" t="str">
        <f>'PRESUPUESTO '!AX16</f>
        <v/>
      </c>
      <c r="I18" s="181" t="str">
        <f>'PRESUPUESTO '!AZ16</f>
        <v/>
      </c>
    </row>
    <row r="19" spans="1:9" s="161" customFormat="1" ht="17.100000000000001" customHeight="1" x14ac:dyDescent="0.2">
      <c r="A19" s="162">
        <f>'PRESUPUESTO '!AP24</f>
        <v>0</v>
      </c>
      <c r="B19" s="180" t="str">
        <f>'PRESUPUESTO '!AQ24</f>
        <v/>
      </c>
      <c r="C19" s="180" t="str">
        <f>'PRESUPUESTO '!AR24</f>
        <v/>
      </c>
      <c r="D19" s="180" t="str">
        <f>'PRESUPUESTO '!AS24</f>
        <v/>
      </c>
      <c r="E19" s="180" t="str">
        <f>'PRESUPUESTO '!AT24</f>
        <v/>
      </c>
      <c r="F19" s="180" t="str">
        <f>'PRESUPUESTO '!AU24</f>
        <v/>
      </c>
      <c r="G19" s="180" t="str">
        <f>'PRESUPUESTO '!AV24</f>
        <v/>
      </c>
      <c r="H19" s="180" t="str">
        <f>'PRESUPUESTO '!AX24</f>
        <v/>
      </c>
      <c r="I19" s="181" t="str">
        <f>'PRESUPUESTO '!AZ24</f>
        <v/>
      </c>
    </row>
    <row r="20" spans="1:9" s="161" customFormat="1" ht="17.100000000000001" customHeight="1" x14ac:dyDescent="0.2">
      <c r="A20" s="162">
        <f>'PRESUPUESTO '!AP25</f>
        <v>0</v>
      </c>
      <c r="B20" s="180" t="str">
        <f>'PRESUPUESTO '!AQ25</f>
        <v/>
      </c>
      <c r="C20" s="180" t="str">
        <f>'PRESUPUESTO '!AR25</f>
        <v/>
      </c>
      <c r="D20" s="180" t="str">
        <f>'PRESUPUESTO '!AS25</f>
        <v/>
      </c>
      <c r="E20" s="180" t="str">
        <f>'PRESUPUESTO '!AT25</f>
        <v/>
      </c>
      <c r="F20" s="180" t="str">
        <f>'PRESUPUESTO '!AU25</f>
        <v/>
      </c>
      <c r="G20" s="180" t="str">
        <f>'PRESUPUESTO '!AV25</f>
        <v/>
      </c>
      <c r="H20" s="180" t="str">
        <f>'PRESUPUESTO '!AX25</f>
        <v/>
      </c>
      <c r="I20" s="181" t="str">
        <f>'PRESUPUESTO '!AZ25</f>
        <v/>
      </c>
    </row>
    <row r="21" spans="1:9" s="161" customFormat="1" ht="17.100000000000001" customHeight="1" x14ac:dyDescent="0.2">
      <c r="A21" s="162">
        <f>'PRESUPUESTO '!AP26</f>
        <v>0</v>
      </c>
      <c r="B21" s="180" t="str">
        <f>'PRESUPUESTO '!AQ26</f>
        <v/>
      </c>
      <c r="C21" s="180" t="str">
        <f>'PRESUPUESTO '!AR26</f>
        <v/>
      </c>
      <c r="D21" s="180" t="str">
        <f>'PRESUPUESTO '!AS26</f>
        <v/>
      </c>
      <c r="E21" s="180" t="str">
        <f>'PRESUPUESTO '!AT26</f>
        <v/>
      </c>
      <c r="F21" s="180" t="str">
        <f>'PRESUPUESTO '!AU26</f>
        <v/>
      </c>
      <c r="G21" s="180" t="str">
        <f>'PRESUPUESTO '!AV26</f>
        <v/>
      </c>
      <c r="H21" s="180" t="str">
        <f>'PRESUPUESTO '!AX26</f>
        <v/>
      </c>
      <c r="I21" s="181" t="str">
        <f>'PRESUPUESTO '!AZ26</f>
        <v/>
      </c>
    </row>
    <row r="22" spans="1:9" s="161" customFormat="1" ht="17.100000000000001" customHeight="1" x14ac:dyDescent="0.2">
      <c r="A22" s="162">
        <f>'PRESUPUESTO '!AP27</f>
        <v>0</v>
      </c>
      <c r="B22" s="180" t="str">
        <f>'PRESUPUESTO '!AQ27</f>
        <v/>
      </c>
      <c r="C22" s="180" t="str">
        <f>'PRESUPUESTO '!AR27</f>
        <v/>
      </c>
      <c r="D22" s="180" t="str">
        <f>'PRESUPUESTO '!AS27</f>
        <v/>
      </c>
      <c r="E22" s="180" t="str">
        <f>'PRESUPUESTO '!AT27</f>
        <v/>
      </c>
      <c r="F22" s="180" t="str">
        <f>'PRESUPUESTO '!AU27</f>
        <v/>
      </c>
      <c r="G22" s="180" t="str">
        <f>'PRESUPUESTO '!AV27</f>
        <v/>
      </c>
      <c r="H22" s="180" t="str">
        <f>'PRESUPUESTO '!AX27</f>
        <v/>
      </c>
      <c r="I22" s="181" t="str">
        <f>'PRESUPUESTO '!AZ27</f>
        <v/>
      </c>
    </row>
    <row r="23" spans="1:9" s="161" customFormat="1" ht="17.100000000000001" customHeight="1" x14ac:dyDescent="0.2">
      <c r="A23" s="162">
        <f>'PRESUPUESTO '!AP28</f>
        <v>0</v>
      </c>
      <c r="B23" s="180" t="str">
        <f>'PRESUPUESTO '!AQ28</f>
        <v/>
      </c>
      <c r="C23" s="180" t="str">
        <f>'PRESUPUESTO '!AR28</f>
        <v/>
      </c>
      <c r="D23" s="180" t="str">
        <f>'PRESUPUESTO '!AS28</f>
        <v/>
      </c>
      <c r="E23" s="180" t="str">
        <f>'PRESUPUESTO '!AT28</f>
        <v/>
      </c>
      <c r="F23" s="180" t="str">
        <f>'PRESUPUESTO '!AU28</f>
        <v/>
      </c>
      <c r="G23" s="180" t="str">
        <f>'PRESUPUESTO '!AV28</f>
        <v/>
      </c>
      <c r="H23" s="180" t="str">
        <f>'PRESUPUESTO '!AX28</f>
        <v/>
      </c>
      <c r="I23" s="181" t="str">
        <f>'PRESUPUESTO '!AZ28</f>
        <v/>
      </c>
    </row>
    <row r="24" spans="1:9" s="161" customFormat="1" ht="17.100000000000001" customHeight="1" x14ac:dyDescent="0.2">
      <c r="A24" s="162">
        <f>'PRESUPUESTO '!AP29</f>
        <v>0</v>
      </c>
      <c r="B24" s="180" t="str">
        <f>'PRESUPUESTO '!AQ29</f>
        <v/>
      </c>
      <c r="C24" s="180" t="str">
        <f>'PRESUPUESTO '!AR29</f>
        <v/>
      </c>
      <c r="D24" s="180" t="str">
        <f>'PRESUPUESTO '!AS29</f>
        <v/>
      </c>
      <c r="E24" s="180" t="str">
        <f>'PRESUPUESTO '!AT29</f>
        <v/>
      </c>
      <c r="F24" s="180" t="str">
        <f>'PRESUPUESTO '!AU29</f>
        <v/>
      </c>
      <c r="G24" s="180" t="str">
        <f>'PRESUPUESTO '!AV29</f>
        <v/>
      </c>
      <c r="H24" s="180" t="str">
        <f>'PRESUPUESTO '!AX29</f>
        <v/>
      </c>
      <c r="I24" s="181" t="str">
        <f>'PRESUPUESTO '!AZ29</f>
        <v/>
      </c>
    </row>
    <row r="25" spans="1:9" ht="17.100000000000001" customHeight="1" x14ac:dyDescent="0.2">
      <c r="A25" s="162" t="e">
        <f>'PRESUPUESTO '!#REF!</f>
        <v>#REF!</v>
      </c>
      <c r="B25" s="180" t="e">
        <f>'PRESUPUESTO '!#REF!</f>
        <v>#REF!</v>
      </c>
      <c r="C25" s="180" t="e">
        <f>'PRESUPUESTO '!#REF!</f>
        <v>#REF!</v>
      </c>
      <c r="D25" s="180" t="e">
        <f>'PRESUPUESTO '!#REF!</f>
        <v>#REF!</v>
      </c>
      <c r="E25" s="180" t="e">
        <f>'PRESUPUESTO '!#REF!</f>
        <v>#REF!</v>
      </c>
      <c r="F25" s="180" t="e">
        <f>'PRESUPUESTO '!#REF!</f>
        <v>#REF!</v>
      </c>
      <c r="G25" s="180" t="e">
        <f>'PRESUPUESTO '!#REF!</f>
        <v>#REF!</v>
      </c>
      <c r="H25" s="180" t="e">
        <f>'PRESUPUESTO '!#REF!</f>
        <v>#REF!</v>
      </c>
      <c r="I25" s="181" t="e">
        <f>'PRESUPUESTO '!#REF!</f>
        <v>#REF!</v>
      </c>
    </row>
    <row r="26" spans="1:9" ht="17.100000000000001" customHeight="1" x14ac:dyDescent="0.2">
      <c r="A26" s="180">
        <f>'PRESUPUESTO '!AP29</f>
        <v>0</v>
      </c>
      <c r="B26" s="180" t="str">
        <f>'PRESUPUESTO '!AQ12</f>
        <v/>
      </c>
      <c r="C26" s="180" t="str">
        <f>'PRESUPUESTO '!AR29</f>
        <v/>
      </c>
      <c r="D26" s="180" t="str">
        <f>'PRESUPUESTO '!AS29</f>
        <v/>
      </c>
      <c r="E26" s="180" t="str">
        <f>'PRESUPUESTO '!AT29</f>
        <v/>
      </c>
      <c r="F26" s="180" t="str">
        <f>'PRESUPUESTO '!AU29</f>
        <v/>
      </c>
      <c r="G26" s="180" t="str">
        <f>'PRESUPUESTO '!AV12</f>
        <v/>
      </c>
      <c r="H26" s="180" t="str">
        <f>'PRESUPUESTO '!AX29</f>
        <v/>
      </c>
      <c r="I26" s="181" t="str">
        <f>'PRESUPUESTO '!AZ29</f>
        <v/>
      </c>
    </row>
    <row r="27" spans="1:9" ht="15.75" x14ac:dyDescent="0.25">
      <c r="A27" s="242" t="s">
        <v>251</v>
      </c>
      <c r="B27" s="238"/>
      <c r="C27" s="179"/>
      <c r="D27" s="179"/>
      <c r="E27" s="243" t="s">
        <v>207</v>
      </c>
      <c r="F27" s="179"/>
      <c r="G27" s="179"/>
      <c r="H27" s="179"/>
      <c r="I27" s="179"/>
    </row>
    <row r="28" spans="1:9" ht="15.75" x14ac:dyDescent="0.25">
      <c r="B28" s="237"/>
      <c r="C28" s="239"/>
      <c r="F28" s="179"/>
      <c r="G28" s="179"/>
      <c r="H28" s="179"/>
      <c r="I28" s="179"/>
    </row>
    <row r="29" spans="1:9" ht="15.75" x14ac:dyDescent="0.25">
      <c r="A29" s="240"/>
      <c r="B29" s="240"/>
      <c r="C29" s="179"/>
      <c r="D29" s="179"/>
      <c r="E29" s="179"/>
      <c r="F29" s="179"/>
      <c r="G29" s="179"/>
      <c r="H29" s="179"/>
      <c r="I29" s="179"/>
    </row>
    <row r="30" spans="1:9" ht="15.75" x14ac:dyDescent="0.25">
      <c r="A30" s="302"/>
      <c r="B30" s="302"/>
      <c r="C30" s="179"/>
      <c r="D30" s="179"/>
      <c r="E30" s="179"/>
      <c r="F30" s="179"/>
      <c r="G30" s="179"/>
      <c r="H30" s="179"/>
      <c r="I30" s="179"/>
    </row>
    <row r="31" spans="1:9" ht="15.75" x14ac:dyDescent="0.25">
      <c r="A31" s="240"/>
      <c r="B31" s="241"/>
      <c r="C31" s="179"/>
      <c r="D31" s="179"/>
      <c r="E31" s="179"/>
      <c r="F31" s="179"/>
      <c r="G31" s="179"/>
      <c r="H31" s="179"/>
      <c r="I31" s="179"/>
    </row>
    <row r="32" spans="1:9" ht="15.75" x14ac:dyDescent="0.25">
      <c r="A32" s="302"/>
      <c r="B32" s="302"/>
      <c r="D32" s="179"/>
      <c r="E32" s="179"/>
      <c r="F32" s="179"/>
      <c r="G32" s="179"/>
      <c r="H32" s="179"/>
      <c r="I32" s="179"/>
    </row>
    <row r="33" spans="1:9" ht="15.75" x14ac:dyDescent="0.25">
      <c r="A33" s="194"/>
      <c r="B33" s="194"/>
      <c r="C33" s="179"/>
      <c r="D33" s="179"/>
      <c r="E33" s="179"/>
      <c r="F33" s="179"/>
      <c r="G33" s="179"/>
      <c r="H33" s="179"/>
      <c r="I33" s="179"/>
    </row>
    <row r="34" spans="1:9" ht="15.75" x14ac:dyDescent="0.25">
      <c r="A34" s="237"/>
      <c r="B34" s="179"/>
      <c r="C34" s="179"/>
      <c r="D34" s="179"/>
      <c r="E34" s="179"/>
      <c r="F34" s="179"/>
      <c r="G34" s="179"/>
      <c r="H34" s="179"/>
      <c r="I34" s="179"/>
    </row>
    <row r="35" spans="1:9" ht="15.75" x14ac:dyDescent="0.25">
      <c r="A35" s="179"/>
      <c r="B35" s="179"/>
      <c r="C35" s="179"/>
      <c r="D35" s="179"/>
      <c r="E35" s="179"/>
      <c r="F35" s="179"/>
      <c r="G35" s="179"/>
      <c r="H35" s="179"/>
      <c r="I35" s="179"/>
    </row>
    <row r="36" spans="1:9" ht="15.75" x14ac:dyDescent="0.25">
      <c r="A36" s="179"/>
      <c r="B36" s="179"/>
      <c r="C36" s="179"/>
      <c r="D36" s="179"/>
      <c r="E36" s="179"/>
      <c r="F36" s="179"/>
      <c r="G36" s="179"/>
      <c r="H36" s="179"/>
      <c r="I36" s="179"/>
    </row>
    <row r="37" spans="1:9" ht="15.75" x14ac:dyDescent="0.25">
      <c r="A37" s="179"/>
      <c r="B37" s="179"/>
      <c r="C37" s="179"/>
      <c r="D37" s="179"/>
      <c r="E37" s="179"/>
      <c r="F37" s="179"/>
      <c r="G37" s="179"/>
      <c r="H37" s="179"/>
      <c r="I37" s="179"/>
    </row>
    <row r="38" spans="1:9" ht="15.75" x14ac:dyDescent="0.25">
      <c r="A38" s="179"/>
      <c r="B38" s="179"/>
      <c r="C38" s="179"/>
      <c r="D38" s="179"/>
      <c r="E38" s="179"/>
      <c r="F38" s="179"/>
      <c r="G38" s="179"/>
      <c r="H38" s="179"/>
      <c r="I38" s="179"/>
    </row>
    <row r="39" spans="1:9" ht="15.75" x14ac:dyDescent="0.25">
      <c r="A39" s="179"/>
      <c r="B39" s="179"/>
      <c r="C39" s="179"/>
      <c r="D39" s="179"/>
      <c r="E39" s="179"/>
      <c r="F39" s="179"/>
      <c r="G39" s="179"/>
      <c r="H39" s="179"/>
      <c r="I39" s="179"/>
    </row>
  </sheetData>
  <mergeCells count="11">
    <mergeCell ref="D8:D9"/>
    <mergeCell ref="E8:E9"/>
    <mergeCell ref="G8:G9"/>
    <mergeCell ref="H8:H9"/>
    <mergeCell ref="I8:I9"/>
    <mergeCell ref="F8:F9"/>
    <mergeCell ref="A30:B30"/>
    <mergeCell ref="A32:B32"/>
    <mergeCell ref="A8:A9"/>
    <mergeCell ref="B8:B9"/>
    <mergeCell ref="C8:C9"/>
  </mergeCells>
  <pageMargins left="0" right="0" top="0" bottom="0.15748031496062992" header="0" footer="0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 tint="-0.499984740745262"/>
    <pageSetUpPr fitToPage="1"/>
  </sheetPr>
  <dimension ref="A4:H56"/>
  <sheetViews>
    <sheetView view="pageLayout" zoomScaleNormal="100" workbookViewId="0">
      <selection activeCell="G51" sqref="G51:H51"/>
    </sheetView>
  </sheetViews>
  <sheetFormatPr baseColWidth="10" defaultRowHeight="12.75" x14ac:dyDescent="0.2"/>
  <cols>
    <col min="1" max="1" width="17.7109375" style="244" customWidth="1"/>
    <col min="2" max="2" width="15.5703125" style="244" customWidth="1"/>
    <col min="3" max="3" width="32.42578125" style="244" customWidth="1"/>
    <col min="4" max="4" width="11.42578125" style="244"/>
    <col min="5" max="5" width="12.85546875" style="244" customWidth="1"/>
    <col min="6" max="6" width="11.42578125" style="244"/>
    <col min="7" max="7" width="10.7109375" style="244" customWidth="1"/>
    <col min="8" max="8" width="11.28515625" style="244" customWidth="1"/>
    <col min="9" max="9" width="5.42578125" style="244" bestFit="1" customWidth="1"/>
    <col min="10" max="16384" width="11.42578125" style="244"/>
  </cols>
  <sheetData>
    <row r="4" spans="1:8" ht="13.5" x14ac:dyDescent="0.25">
      <c r="D4" s="258"/>
      <c r="E4" s="258"/>
      <c r="F4" s="258"/>
      <c r="G4" s="258"/>
      <c r="H4" s="258"/>
    </row>
    <row r="5" spans="1:8" ht="13.5" x14ac:dyDescent="0.25">
      <c r="D5" s="258"/>
      <c r="E5" s="258"/>
      <c r="F5" s="258"/>
      <c r="G5" s="258"/>
      <c r="H5" s="258"/>
    </row>
    <row r="6" spans="1:8" ht="13.5" x14ac:dyDescent="0.25">
      <c r="D6" s="258"/>
      <c r="E6" s="258"/>
      <c r="F6" s="258"/>
      <c r="G6" s="258"/>
      <c r="H6" s="258"/>
    </row>
    <row r="7" spans="1:8" ht="13.5" x14ac:dyDescent="0.25">
      <c r="D7" s="258"/>
      <c r="E7" s="258" t="s">
        <v>30</v>
      </c>
      <c r="F7" s="267" t="str">
        <f>DATOS!B4</f>
        <v>CLIENTE</v>
      </c>
      <c r="G7" s="258"/>
      <c r="H7" s="258"/>
    </row>
    <row r="8" spans="1:8" ht="13.5" x14ac:dyDescent="0.25">
      <c r="D8" s="258"/>
      <c r="E8" s="265">
        <f>DATOS!B11</f>
        <v>0</v>
      </c>
      <c r="F8" s="258"/>
      <c r="G8" s="258"/>
      <c r="H8" s="258"/>
    </row>
    <row r="9" spans="1:8" ht="13.5" x14ac:dyDescent="0.25">
      <c r="D9" s="258"/>
      <c r="E9" s="265">
        <f>DATOS!B12</f>
        <v>0</v>
      </c>
      <c r="F9" s="258"/>
      <c r="G9" s="258"/>
      <c r="H9" s="258"/>
    </row>
    <row r="10" spans="1:8" ht="13.5" x14ac:dyDescent="0.25">
      <c r="D10" s="258"/>
      <c r="E10" s="265">
        <f>DATOS!B13</f>
        <v>0</v>
      </c>
      <c r="F10" s="258"/>
      <c r="G10" s="258"/>
      <c r="H10" s="258"/>
    </row>
    <row r="11" spans="1:8" ht="15" x14ac:dyDescent="0.25">
      <c r="A11" s="311"/>
      <c r="B11" s="311"/>
      <c r="C11" s="311"/>
      <c r="D11" s="258"/>
      <c r="E11" s="268">
        <f>DATOS!B14</f>
        <v>0</v>
      </c>
      <c r="F11" s="258"/>
      <c r="G11" s="258"/>
      <c r="H11" s="258"/>
    </row>
    <row r="12" spans="1:8" ht="15" x14ac:dyDescent="0.25">
      <c r="A12" s="312"/>
      <c r="B12" s="312"/>
      <c r="C12" s="312"/>
      <c r="D12" s="258"/>
      <c r="E12" s="258"/>
      <c r="F12" s="258"/>
      <c r="G12" s="258"/>
      <c r="H12" s="258"/>
    </row>
    <row r="13" spans="1:8" ht="15" x14ac:dyDescent="0.25">
      <c r="A13" s="312"/>
      <c r="B13" s="312"/>
      <c r="C13" s="312"/>
      <c r="D13" s="258"/>
      <c r="E13" s="258"/>
      <c r="F13" s="258"/>
      <c r="G13" s="258"/>
      <c r="H13" s="258"/>
    </row>
    <row r="14" spans="1:8" ht="15" customHeight="1" x14ac:dyDescent="0.2">
      <c r="A14" s="245"/>
      <c r="B14" s="246"/>
      <c r="C14" s="246"/>
      <c r="D14" s="246"/>
      <c r="E14" s="246"/>
      <c r="F14" s="247"/>
      <c r="G14" s="247"/>
      <c r="H14" s="248"/>
    </row>
    <row r="15" spans="1:8" ht="15" customHeight="1" x14ac:dyDescent="0.25">
      <c r="A15" s="313" t="s">
        <v>197</v>
      </c>
      <c r="B15" s="313"/>
      <c r="C15" s="313">
        <f>DATOS!B3</f>
        <v>110125</v>
      </c>
      <c r="D15" s="249"/>
      <c r="E15" s="266" t="s">
        <v>198</v>
      </c>
      <c r="F15" s="266"/>
      <c r="G15" s="314">
        <f ca="1">DATOS!B5</f>
        <v>46038</v>
      </c>
      <c r="H15" s="314"/>
    </row>
    <row r="16" spans="1:8" ht="15" customHeight="1" x14ac:dyDescent="0.25">
      <c r="A16" s="313"/>
      <c r="B16" s="313"/>
      <c r="C16" s="313"/>
      <c r="D16" s="249"/>
      <c r="E16" s="266" t="s">
        <v>196</v>
      </c>
      <c r="F16" s="266"/>
      <c r="G16" s="314">
        <f ca="1">'PRESUPUESTO '!AR6</f>
        <v>46048</v>
      </c>
      <c r="H16" s="314"/>
    </row>
    <row r="17" spans="1:8" ht="15" customHeight="1" x14ac:dyDescent="0.2">
      <c r="A17" s="249"/>
      <c r="B17" s="249"/>
      <c r="C17" s="249"/>
      <c r="D17" s="249"/>
      <c r="E17" s="249"/>
    </row>
    <row r="18" spans="1:8" s="250" customFormat="1" ht="12.75" customHeight="1" x14ac:dyDescent="0.2">
      <c r="A18" s="308" t="s">
        <v>4</v>
      </c>
      <c r="B18" s="308" t="s">
        <v>80</v>
      </c>
      <c r="C18" s="308" t="s">
        <v>199</v>
      </c>
      <c r="D18" s="308"/>
      <c r="E18" s="308" t="s">
        <v>194</v>
      </c>
      <c r="F18" s="308" t="s">
        <v>27</v>
      </c>
      <c r="G18" s="308" t="s">
        <v>29</v>
      </c>
      <c r="H18" s="308" t="s">
        <v>200</v>
      </c>
    </row>
    <row r="19" spans="1:8" s="250" customFormat="1" ht="12.75" customHeight="1" x14ac:dyDescent="0.2">
      <c r="A19" s="308"/>
      <c r="B19" s="308"/>
      <c r="C19" s="308"/>
      <c r="D19" s="308"/>
      <c r="E19" s="308"/>
      <c r="F19" s="308"/>
      <c r="G19" s="308"/>
      <c r="H19" s="308"/>
    </row>
    <row r="20" spans="1:8" s="250" customFormat="1" ht="12.75" customHeight="1" x14ac:dyDescent="0.2">
      <c r="A20" s="251"/>
      <c r="B20" s="251"/>
      <c r="C20" s="251"/>
      <c r="D20" s="251"/>
      <c r="E20" s="251"/>
      <c r="F20" s="251"/>
      <c r="G20" s="251"/>
      <c r="H20" s="251"/>
    </row>
    <row r="21" spans="1:8" s="252" customFormat="1" ht="15" x14ac:dyDescent="0.25">
      <c r="A21" s="259" t="str">
        <f>'PRESUPUESTO '!AR10</f>
        <v/>
      </c>
      <c r="B21" s="259"/>
      <c r="C21" s="259" t="str">
        <f>'PRESUPUESTO '!AT10&amp;"  "&amp;'PRESUPUESTO '!AU10&amp;"  "&amp;'PRESUPUESTO '!AV10</f>
        <v xml:space="preserve">    </v>
      </c>
      <c r="D21" s="260"/>
      <c r="E21" s="259" t="str">
        <f>'PRESUPUESTO '!AS10</f>
        <v/>
      </c>
      <c r="F21" s="261" t="str">
        <f>'PRESUPUESTO '!AY10</f>
        <v/>
      </c>
      <c r="G21" s="262" t="str">
        <f>'PRESUPUESTO '!AZ10</f>
        <v/>
      </c>
      <c r="H21" s="263" t="str">
        <f>'PRESUPUESTO '!BA10</f>
        <v/>
      </c>
    </row>
    <row r="22" spans="1:8" ht="15" x14ac:dyDescent="0.25">
      <c r="A22" s="259" t="str">
        <f>'PRESUPUESTO '!AR11</f>
        <v/>
      </c>
      <c r="B22" s="259" t="str">
        <f>'PRESUPUESTO '!AQ11</f>
        <v/>
      </c>
      <c r="C22" s="259" t="str">
        <f>'PRESUPUESTO '!AT11&amp;"  "&amp;'PRESUPUESTO '!AU11&amp;"  "&amp;'PRESUPUESTO '!AV11</f>
        <v xml:space="preserve">    </v>
      </c>
      <c r="D22" s="264"/>
      <c r="E22" s="259"/>
      <c r="F22" s="261" t="str">
        <f>'PRESUPUESTO '!AY11</f>
        <v/>
      </c>
      <c r="G22" s="262" t="str">
        <f>'PRESUPUESTO '!AZ11</f>
        <v/>
      </c>
      <c r="H22" s="263" t="str">
        <f>'PRESUPUESTO '!BA11</f>
        <v/>
      </c>
    </row>
    <row r="23" spans="1:8" ht="15" x14ac:dyDescent="0.2">
      <c r="A23" s="259"/>
      <c r="B23" s="310"/>
      <c r="C23" s="310"/>
      <c r="D23" s="310"/>
      <c r="E23" s="259"/>
      <c r="F23" s="261"/>
      <c r="G23" s="262"/>
      <c r="H23" s="263"/>
    </row>
    <row r="24" spans="1:8" ht="15" x14ac:dyDescent="0.25">
      <c r="A24" s="259" t="s">
        <v>7</v>
      </c>
      <c r="B24" s="259" t="str">
        <f>'PRESUPUESTO '!AQ12</f>
        <v/>
      </c>
      <c r="C24" s="259" t="str">
        <f>'PRESUPUESTO '!AT12&amp;"  "&amp;'PRESUPUESTO '!AU12&amp;"  "&amp;'PRESUPUESTO '!AV12</f>
        <v xml:space="preserve">    </v>
      </c>
      <c r="D24" s="264"/>
      <c r="E24" s="259" t="str">
        <f>'PRESUPUESTO '!AS12</f>
        <v/>
      </c>
      <c r="F24" s="261" t="str">
        <f>'PRESUPUESTO '!AY12</f>
        <v/>
      </c>
      <c r="G24" s="262" t="str">
        <f>'PRESUPUESTO '!AZ12</f>
        <v/>
      </c>
      <c r="H24" s="263" t="str">
        <f>'PRESUPUESTO '!BA12</f>
        <v/>
      </c>
    </row>
    <row r="25" spans="1:8" ht="15" x14ac:dyDescent="0.25">
      <c r="A25" s="259" t="str">
        <f>'PRESUPUESTO '!AR13</f>
        <v/>
      </c>
      <c r="B25" s="259" t="str">
        <f>'PRESUPUESTO '!AQ13</f>
        <v/>
      </c>
      <c r="C25" s="259" t="str">
        <f>'PRESUPUESTO '!AT13&amp;"  "&amp;'PRESUPUESTO '!AU13&amp;"  "&amp;'PRESUPUESTO '!AV13</f>
        <v xml:space="preserve">    </v>
      </c>
      <c r="D25" s="264"/>
      <c r="E25" s="259" t="str">
        <f>'PRESUPUESTO '!AS13</f>
        <v/>
      </c>
      <c r="F25" s="261" t="str">
        <f>'PRESUPUESTO '!AY13</f>
        <v/>
      </c>
      <c r="G25" s="262" t="str">
        <f>'PRESUPUESTO '!AZ13</f>
        <v/>
      </c>
      <c r="H25" s="263" t="str">
        <f>'PRESUPUESTO '!BA13</f>
        <v/>
      </c>
    </row>
    <row r="26" spans="1:8" ht="15" x14ac:dyDescent="0.25">
      <c r="A26" s="283" t="str">
        <f>'PRESUPUESTO '!AR14</f>
        <v/>
      </c>
      <c r="B26" s="283" t="str">
        <f>'PRESUPUESTO '!AQ14</f>
        <v/>
      </c>
      <c r="C26" s="283" t="str">
        <f>'PRESUPUESTO '!AT14&amp;"  "&amp;'PRESUPUESTO '!AU14&amp;"  "&amp;'PRESUPUESTO '!AV14</f>
        <v xml:space="preserve">    </v>
      </c>
      <c r="D26" s="284"/>
      <c r="E26" s="283" t="str">
        <f>'PRESUPUESTO '!AS14</f>
        <v/>
      </c>
      <c r="F26" s="285" t="str">
        <f>'PRESUPUESTO '!AY14</f>
        <v/>
      </c>
      <c r="G26" s="286" t="str">
        <f>'PRESUPUESTO '!AZ14</f>
        <v/>
      </c>
      <c r="H26" s="287" t="str">
        <f>'PRESUPUESTO '!BA14</f>
        <v/>
      </c>
    </row>
    <row r="27" spans="1:8" ht="15" x14ac:dyDescent="0.25">
      <c r="A27" s="259" t="str">
        <f>'PRESUPUESTO '!AR15</f>
        <v/>
      </c>
      <c r="B27" s="259" t="str">
        <f>'PRESUPUESTO '!AQ15</f>
        <v/>
      </c>
      <c r="C27" s="259" t="str">
        <f>'PRESUPUESTO '!AT15&amp;"  "&amp;'PRESUPUESTO '!AU15&amp;"  "&amp;'PRESUPUESTO '!AV15</f>
        <v xml:space="preserve">    </v>
      </c>
      <c r="D27" s="264"/>
      <c r="E27" s="259" t="str">
        <f>'PRESUPUESTO '!AS15</f>
        <v/>
      </c>
      <c r="F27" s="261" t="str">
        <f>'PRESUPUESTO '!AY15</f>
        <v/>
      </c>
      <c r="G27" s="262" t="str">
        <f>'PRESUPUESTO '!AZ15</f>
        <v/>
      </c>
      <c r="H27" s="263" t="str">
        <f>'PRESUPUESTO '!BA15</f>
        <v/>
      </c>
    </row>
    <row r="28" spans="1:8" ht="15" x14ac:dyDescent="0.25">
      <c r="A28" s="259" t="str">
        <f>'PRESUPUESTO '!AR16</f>
        <v/>
      </c>
      <c r="B28" s="259" t="str">
        <f>'PRESUPUESTO '!AQ16</f>
        <v/>
      </c>
      <c r="C28" s="259" t="str">
        <f>'PRESUPUESTO '!AT16&amp;"  "&amp;'PRESUPUESTO '!AU16&amp;"  "&amp;'PRESUPUESTO '!AV16</f>
        <v xml:space="preserve">    </v>
      </c>
      <c r="D28" s="264"/>
      <c r="E28" s="259" t="str">
        <f>'PRESUPUESTO '!AS16</f>
        <v/>
      </c>
      <c r="F28" s="261" t="str">
        <f>'PRESUPUESTO '!AY16</f>
        <v/>
      </c>
      <c r="G28" s="262" t="str">
        <f>'PRESUPUESTO '!AZ16</f>
        <v/>
      </c>
      <c r="H28" s="263" t="str">
        <f>'PRESUPUESTO '!BA16</f>
        <v/>
      </c>
    </row>
    <row r="29" spans="1:8" ht="15" x14ac:dyDescent="0.25">
      <c r="A29" s="259" t="str">
        <f>'PRESUPUESTO '!AR24</f>
        <v/>
      </c>
      <c r="B29" s="259" t="str">
        <f>'PRESUPUESTO '!AQ24</f>
        <v/>
      </c>
      <c r="C29" s="259" t="str">
        <f>'PRESUPUESTO '!AT24&amp;"  "&amp;'PRESUPUESTO '!AU24&amp;"  "&amp;'PRESUPUESTO '!AV24</f>
        <v xml:space="preserve">    </v>
      </c>
      <c r="D29" s="264"/>
      <c r="E29" s="259" t="str">
        <f>'PRESUPUESTO '!AS24</f>
        <v/>
      </c>
      <c r="F29" s="261" t="str">
        <f>'PRESUPUESTO '!AY24</f>
        <v/>
      </c>
      <c r="G29" s="262" t="str">
        <f>'PRESUPUESTO '!AZ24</f>
        <v/>
      </c>
      <c r="H29" s="263" t="str">
        <f>'PRESUPUESTO '!BA24</f>
        <v/>
      </c>
    </row>
    <row r="30" spans="1:8" ht="15" x14ac:dyDescent="0.25">
      <c r="A30" s="259" t="str">
        <f>'PRESUPUESTO '!AR25</f>
        <v/>
      </c>
      <c r="B30" s="259" t="str">
        <f>'PRESUPUESTO '!AQ25</f>
        <v/>
      </c>
      <c r="C30" s="259" t="str">
        <f>'PRESUPUESTO '!AT25&amp;"  "&amp;'PRESUPUESTO '!AU25&amp;"  "&amp;'PRESUPUESTO '!AV25</f>
        <v xml:space="preserve">    </v>
      </c>
      <c r="D30" s="264"/>
      <c r="E30" s="259" t="str">
        <f>'PRESUPUESTO '!AS25</f>
        <v/>
      </c>
      <c r="F30" s="261" t="str">
        <f>'PRESUPUESTO '!AY25</f>
        <v/>
      </c>
      <c r="G30" s="262" t="str">
        <f>'PRESUPUESTO '!AZ25</f>
        <v/>
      </c>
      <c r="H30" s="263" t="str">
        <f>'PRESUPUESTO '!BA25</f>
        <v/>
      </c>
    </row>
    <row r="31" spans="1:8" ht="15" x14ac:dyDescent="0.25">
      <c r="A31" s="259" t="str">
        <f>'PRESUPUESTO '!AR26</f>
        <v/>
      </c>
      <c r="B31" s="259" t="str">
        <f>'PRESUPUESTO '!AQ26</f>
        <v/>
      </c>
      <c r="C31" s="259" t="str">
        <f>'PRESUPUESTO '!AT26&amp;"  "&amp;'PRESUPUESTO '!AU26&amp;"  "&amp;'PRESUPUESTO '!AV26</f>
        <v xml:space="preserve">    </v>
      </c>
      <c r="D31" s="264"/>
      <c r="E31" s="259" t="str">
        <f>'PRESUPUESTO '!AS26</f>
        <v/>
      </c>
      <c r="F31" s="261" t="str">
        <f>'PRESUPUESTO '!AY26</f>
        <v/>
      </c>
      <c r="G31" s="262" t="str">
        <f>'PRESUPUESTO '!AZ26</f>
        <v/>
      </c>
      <c r="H31" s="263" t="str">
        <f>'PRESUPUESTO '!BA26</f>
        <v/>
      </c>
    </row>
    <row r="32" spans="1:8" ht="15" x14ac:dyDescent="0.25">
      <c r="A32" s="259" t="str">
        <f>'PRESUPUESTO '!AR27</f>
        <v/>
      </c>
      <c r="B32" s="259" t="str">
        <f>'PRESUPUESTO '!AQ27</f>
        <v/>
      </c>
      <c r="C32" s="259" t="str">
        <f>'PRESUPUESTO '!AT27&amp;"  "&amp;'PRESUPUESTO '!AU27&amp;"  "&amp;'PRESUPUESTO '!AV27</f>
        <v xml:space="preserve">    </v>
      </c>
      <c r="D32" s="264"/>
      <c r="E32" s="259" t="str">
        <f>'PRESUPUESTO '!AS27</f>
        <v/>
      </c>
      <c r="F32" s="261" t="str">
        <f>'PRESUPUESTO '!AY27</f>
        <v/>
      </c>
      <c r="G32" s="262" t="str">
        <f>'PRESUPUESTO '!AZ27</f>
        <v/>
      </c>
      <c r="H32" s="263" t="str">
        <f>'PRESUPUESTO '!BA27</f>
        <v/>
      </c>
    </row>
    <row r="33" spans="1:8" ht="15" x14ac:dyDescent="0.25">
      <c r="A33" s="259" t="str">
        <f>'PRESUPUESTO '!AR28</f>
        <v/>
      </c>
      <c r="B33" s="259" t="str">
        <f>'PRESUPUESTO '!AQ28</f>
        <v/>
      </c>
      <c r="C33" s="259" t="str">
        <f>'PRESUPUESTO '!AT28&amp;"  "&amp;'PRESUPUESTO '!AU28&amp;"  "&amp;'PRESUPUESTO '!AV28</f>
        <v xml:space="preserve">    </v>
      </c>
      <c r="D33" s="264"/>
      <c r="E33" s="259" t="str">
        <f>'PRESUPUESTO '!AS28</f>
        <v/>
      </c>
      <c r="F33" s="261" t="str">
        <f>'PRESUPUESTO '!AY28</f>
        <v/>
      </c>
      <c r="G33" s="262" t="str">
        <f>'PRESUPUESTO '!AZ28</f>
        <v/>
      </c>
      <c r="H33" s="263" t="str">
        <f>'PRESUPUESTO '!BA28</f>
        <v/>
      </c>
    </row>
    <row r="34" spans="1:8" ht="15" x14ac:dyDescent="0.25">
      <c r="A34" s="259" t="str">
        <f>'PRESUPUESTO '!AR29</f>
        <v/>
      </c>
      <c r="B34" s="259" t="str">
        <f>'PRESUPUESTO '!AQ29</f>
        <v/>
      </c>
      <c r="C34" s="259" t="str">
        <f>'PRESUPUESTO '!AT29&amp;"  "&amp;'PRESUPUESTO '!AU29&amp;"  "&amp;'PRESUPUESTO '!AV29</f>
        <v xml:space="preserve">    </v>
      </c>
      <c r="D34" s="264"/>
      <c r="E34" s="259" t="str">
        <f>'PRESUPUESTO '!AS29</f>
        <v/>
      </c>
      <c r="F34" s="261" t="str">
        <f>'PRESUPUESTO '!AY29</f>
        <v/>
      </c>
      <c r="G34" s="262" t="str">
        <f>'PRESUPUESTO '!AZ29</f>
        <v/>
      </c>
      <c r="H34" s="263" t="str">
        <f>'PRESUPUESTO '!BA29</f>
        <v/>
      </c>
    </row>
    <row r="35" spans="1:8" ht="15" x14ac:dyDescent="0.25">
      <c r="A35" s="259"/>
      <c r="B35" s="259"/>
      <c r="C35" s="259" t="str">
        <f>'PRESUPUESTO '!AT30&amp;"  "&amp;'PRESUPUESTO '!AU30&amp;"  "&amp;'PRESUPUESTO '!AV30</f>
        <v xml:space="preserve">    </v>
      </c>
      <c r="D35" s="264"/>
      <c r="E35" s="259" t="str">
        <f>'PRESUPUESTO '!AS27</f>
        <v/>
      </c>
      <c r="F35" s="261" t="str">
        <f>'PRESUPUESTO '!AY27</f>
        <v/>
      </c>
      <c r="G35" s="262" t="str">
        <f>'PRESUPUESTO '!AZ27</f>
        <v/>
      </c>
      <c r="H35" s="263" t="str">
        <f>'PRESUPUESTO '!BA27</f>
        <v/>
      </c>
    </row>
    <row r="36" spans="1:8" ht="15" x14ac:dyDescent="0.25">
      <c r="A36" s="259"/>
      <c r="B36" s="259"/>
      <c r="C36" s="259" t="str">
        <f>'PRESUPUESTO '!AT31&amp;"  "&amp;'PRESUPUESTO '!AU31&amp;"  "&amp;'PRESUPUESTO '!AV31</f>
        <v xml:space="preserve">    </v>
      </c>
      <c r="D36" s="264"/>
      <c r="E36" s="259" t="str">
        <f>'PRESUPUESTO '!AS28</f>
        <v/>
      </c>
      <c r="F36" s="261" t="str">
        <f>'PRESUPUESTO '!AY28</f>
        <v/>
      </c>
      <c r="G36" s="262" t="str">
        <f>'PRESUPUESTO '!AZ28</f>
        <v/>
      </c>
      <c r="H36" s="263" t="str">
        <f>'PRESUPUESTO '!BA28</f>
        <v/>
      </c>
    </row>
    <row r="37" spans="1:8" ht="15" x14ac:dyDescent="0.25">
      <c r="A37" s="259"/>
      <c r="B37" s="259"/>
      <c r="C37" s="259" t="str">
        <f>'PRESUPUESTO '!AT32&amp;"  "&amp;'PRESUPUESTO '!AU32&amp;"  "&amp;'PRESUPUESTO '!AV32</f>
        <v xml:space="preserve">    </v>
      </c>
      <c r="D37" s="264"/>
      <c r="E37" s="259" t="str">
        <f>'PRESUPUESTO '!AS29</f>
        <v/>
      </c>
      <c r="F37" s="261" t="str">
        <f>'PRESUPUESTO '!AY29</f>
        <v/>
      </c>
      <c r="G37" s="262" t="str">
        <f>'PRESUPUESTO '!AZ29</f>
        <v/>
      </c>
      <c r="H37" s="263" t="str">
        <f>'PRESUPUESTO '!BA29</f>
        <v/>
      </c>
    </row>
    <row r="38" spans="1:8" ht="15" x14ac:dyDescent="0.25">
      <c r="A38" s="259"/>
      <c r="B38" s="259"/>
      <c r="C38" s="259" t="str">
        <f>'PRESUPUESTO '!AT33&amp;"  "&amp;'PRESUPUESTO '!AU33&amp;"  "&amp;'PRESUPUESTO '!AV33</f>
        <v xml:space="preserve">    </v>
      </c>
      <c r="D38" s="264"/>
      <c r="E38" s="259"/>
      <c r="F38" s="261"/>
      <c r="G38" s="262"/>
      <c r="H38" s="263"/>
    </row>
    <row r="39" spans="1:8" ht="15" x14ac:dyDescent="0.25">
      <c r="A39" s="259"/>
      <c r="B39" s="259"/>
      <c r="C39" s="259" t="str">
        <f>'PRESUPUESTO '!AT34&amp;"  "&amp;'PRESUPUESTO '!AU34&amp;"  "&amp;'PRESUPUESTO '!AV34</f>
        <v xml:space="preserve">    </v>
      </c>
      <c r="D39" s="264"/>
      <c r="E39" s="259"/>
      <c r="F39" s="261"/>
      <c r="G39" s="262"/>
      <c r="H39" s="263"/>
    </row>
    <row r="40" spans="1:8" ht="15" x14ac:dyDescent="0.25">
      <c r="A40" s="259"/>
      <c r="B40" s="259"/>
      <c r="C40" s="259" t="str">
        <f>'PRESUPUESTO '!AT35&amp;"  "&amp;'PRESUPUESTO '!AU35&amp;"  "&amp;'PRESUPUESTO '!AV35</f>
        <v xml:space="preserve">    </v>
      </c>
      <c r="D40" s="264"/>
      <c r="E40" s="259"/>
      <c r="F40" s="261"/>
      <c r="G40" s="262"/>
      <c r="H40" s="263"/>
    </row>
    <row r="41" spans="1:8" ht="15" x14ac:dyDescent="0.25">
      <c r="A41" s="259"/>
      <c r="B41" s="259"/>
      <c r="C41" s="259" t="str">
        <f>'PRESUPUESTO '!AT36&amp;"  "&amp;'PRESUPUESTO '!AU36&amp;"  "&amp;'PRESUPUESTO '!AV36</f>
        <v xml:space="preserve">    </v>
      </c>
      <c r="D41" s="264"/>
      <c r="E41" s="259"/>
      <c r="F41" s="261"/>
      <c r="G41" s="262"/>
      <c r="H41" s="263"/>
    </row>
    <row r="42" spans="1:8" ht="15" x14ac:dyDescent="0.25">
      <c r="A42" s="259"/>
      <c r="B42" s="259"/>
      <c r="C42" s="259" t="str">
        <f>'PRESUPUESTO '!AT37&amp;"  "&amp;'PRESUPUESTO '!AU37&amp;"  "&amp;'PRESUPUESTO '!AV37</f>
        <v xml:space="preserve">    </v>
      </c>
      <c r="D42" s="264"/>
      <c r="E42" s="259"/>
      <c r="F42" s="261"/>
      <c r="G42" s="262"/>
      <c r="H42" s="263"/>
    </row>
    <row r="43" spans="1:8" ht="15" x14ac:dyDescent="0.25">
      <c r="A43" s="259"/>
      <c r="B43" s="259"/>
      <c r="C43" s="259" t="str">
        <f>'PRESUPUESTO '!AT38&amp;"  "&amp;'PRESUPUESTO '!AU38&amp;"  "&amp;'PRESUPUESTO '!AV38</f>
        <v xml:space="preserve">    </v>
      </c>
      <c r="D43" s="264"/>
      <c r="E43" s="259"/>
      <c r="F43" s="261"/>
      <c r="G43" s="262"/>
      <c r="H43" s="263"/>
    </row>
    <row r="44" spans="1:8" ht="15" x14ac:dyDescent="0.25">
      <c r="A44" s="259"/>
      <c r="B44" s="259"/>
      <c r="C44" s="259" t="str">
        <f>'PRESUPUESTO '!AT39&amp;"  "&amp;'PRESUPUESTO '!AU39&amp;"  "&amp;'PRESUPUESTO '!AV39</f>
        <v xml:space="preserve">    </v>
      </c>
      <c r="D44" s="264"/>
      <c r="E44" s="259"/>
      <c r="F44" s="261"/>
      <c r="G44" s="262"/>
      <c r="H44" s="263"/>
    </row>
    <row r="45" spans="1:8" ht="15" x14ac:dyDescent="0.25">
      <c r="A45" s="259"/>
      <c r="B45" s="259"/>
      <c r="C45" s="259" t="str">
        <f>'PRESUPUESTO '!AT40&amp;"  "&amp;'PRESUPUESTO '!AU40&amp;"  "&amp;'PRESUPUESTO '!AV40</f>
        <v xml:space="preserve">    </v>
      </c>
      <c r="D45" s="264"/>
      <c r="E45" s="259"/>
      <c r="F45" s="261"/>
      <c r="G45" s="262"/>
      <c r="H45" s="263"/>
    </row>
    <row r="46" spans="1:8" ht="15" x14ac:dyDescent="0.25">
      <c r="A46" s="259"/>
      <c r="B46" s="259"/>
      <c r="C46" s="259" t="str">
        <f>'PRESUPUESTO '!AT41&amp;"  "&amp;'PRESUPUESTO '!AU41&amp;"  "&amp;'PRESUPUESTO '!AV41</f>
        <v xml:space="preserve">    </v>
      </c>
      <c r="D46" s="264"/>
      <c r="E46" s="259"/>
      <c r="F46" s="261"/>
      <c r="G46" s="262"/>
      <c r="H46" s="263"/>
    </row>
    <row r="47" spans="1:8" ht="15" x14ac:dyDescent="0.25">
      <c r="A47" s="259"/>
      <c r="B47" s="259"/>
      <c r="C47" s="259" t="str">
        <f>'PRESUPUESTO '!AT42&amp;"  "&amp;'PRESUPUESTO '!AU42&amp;"  "&amp;'PRESUPUESTO '!AV42</f>
        <v xml:space="preserve">    </v>
      </c>
      <c r="D47" s="264"/>
      <c r="E47" s="259"/>
      <c r="F47" s="261"/>
      <c r="G47" s="262"/>
      <c r="H47" s="263"/>
    </row>
    <row r="48" spans="1:8" ht="15" x14ac:dyDescent="0.25">
      <c r="A48" s="259"/>
      <c r="B48" s="259"/>
      <c r="C48" s="259" t="str">
        <f>'PRESUPUESTO '!AT43&amp;"  "&amp;'PRESUPUESTO '!AU43&amp;"  "&amp;'PRESUPUESTO '!AV43</f>
        <v xml:space="preserve">    </v>
      </c>
      <c r="D48" s="264"/>
      <c r="E48" s="259"/>
      <c r="F48" s="261"/>
      <c r="G48" s="262"/>
      <c r="H48" s="263"/>
    </row>
    <row r="49" spans="1:8" ht="15" x14ac:dyDescent="0.25">
      <c r="A49" s="259"/>
      <c r="B49" s="259"/>
      <c r="C49" s="259" t="str">
        <f>'PRESUPUESTO '!AT44&amp;"  "&amp;'PRESUPUESTO '!AU44&amp;"  "&amp;'PRESUPUESTO '!AV44</f>
        <v xml:space="preserve">    </v>
      </c>
      <c r="D49" s="264"/>
      <c r="E49" s="259"/>
      <c r="F49" s="261"/>
      <c r="G49" s="262"/>
      <c r="H49" s="263"/>
    </row>
    <row r="50" spans="1:8" ht="15" x14ac:dyDescent="0.25">
      <c r="A50" s="257"/>
      <c r="B50" s="257"/>
      <c r="C50" s="257"/>
      <c r="D50" s="265"/>
      <c r="E50" s="265"/>
      <c r="F50" s="265"/>
      <c r="G50" s="265"/>
      <c r="H50" s="258"/>
    </row>
    <row r="51" spans="1:8" ht="15" x14ac:dyDescent="0.25">
      <c r="A51" s="253"/>
      <c r="B51" s="253"/>
      <c r="C51" s="253"/>
      <c r="D51" s="254"/>
      <c r="E51" s="254"/>
      <c r="F51" s="274" t="s">
        <v>252</v>
      </c>
      <c r="G51" s="309"/>
      <c r="H51" s="309"/>
    </row>
    <row r="52" spans="1:8" ht="15" x14ac:dyDescent="0.25">
      <c r="A52" s="252"/>
      <c r="B52" s="252"/>
      <c r="C52" s="252"/>
      <c r="D52" s="252"/>
      <c r="E52" s="252"/>
      <c r="F52" s="275" t="s">
        <v>253</v>
      </c>
      <c r="G52" s="307">
        <f>G51*0.21</f>
        <v>0</v>
      </c>
      <c r="H52" s="307"/>
    </row>
    <row r="53" spans="1:8" ht="15" x14ac:dyDescent="0.25">
      <c r="A53" s="252"/>
      <c r="B53" s="252"/>
      <c r="C53" s="252"/>
      <c r="D53" s="252"/>
      <c r="E53" s="252"/>
      <c r="F53" s="275" t="s">
        <v>254</v>
      </c>
      <c r="G53" s="307">
        <f>G51+G52</f>
        <v>0</v>
      </c>
      <c r="H53" s="307"/>
    </row>
    <row r="54" spans="1:8" ht="15.75" x14ac:dyDescent="0.25">
      <c r="A54" s="269" t="s">
        <v>206</v>
      </c>
      <c r="B54" s="270"/>
      <c r="C54" s="271"/>
      <c r="D54" s="252"/>
      <c r="E54" s="252"/>
      <c r="F54" s="252"/>
      <c r="G54" s="255"/>
      <c r="H54" s="256"/>
    </row>
    <row r="55" spans="1:8" ht="15" x14ac:dyDescent="0.25">
      <c r="A55" s="272"/>
      <c r="B55" s="273"/>
      <c r="C55" s="273"/>
      <c r="D55" s="252"/>
      <c r="E55" s="252"/>
      <c r="F55" s="252"/>
      <c r="G55" s="252"/>
      <c r="H55" s="252"/>
    </row>
    <row r="56" spans="1:8" ht="15" x14ac:dyDescent="0.25">
      <c r="A56" s="269" t="s">
        <v>31</v>
      </c>
      <c r="B56" s="270"/>
      <c r="C56" s="271"/>
      <c r="D56" s="252"/>
      <c r="E56" s="252"/>
      <c r="F56" s="252"/>
      <c r="G56" s="252"/>
      <c r="H56" s="252"/>
    </row>
  </sheetData>
  <mergeCells count="18">
    <mergeCell ref="A11:C11"/>
    <mergeCell ref="A12:C12"/>
    <mergeCell ref="A13:C13"/>
    <mergeCell ref="H18:H19"/>
    <mergeCell ref="G18:G19"/>
    <mergeCell ref="B18:B19"/>
    <mergeCell ref="A15:B16"/>
    <mergeCell ref="C15:C16"/>
    <mergeCell ref="G15:H15"/>
    <mergeCell ref="G16:H16"/>
    <mergeCell ref="G52:H52"/>
    <mergeCell ref="G53:H53"/>
    <mergeCell ref="A18:A19"/>
    <mergeCell ref="E18:E19"/>
    <mergeCell ref="C18:D19"/>
    <mergeCell ref="F18:F19"/>
    <mergeCell ref="G51:H51"/>
    <mergeCell ref="B23:D23"/>
  </mergeCells>
  <printOptions horizontalCentered="1"/>
  <pageMargins left="0.11811023622047245" right="0.11811023622047245" top="0.15748031496062992" bottom="0.15748031496062992" header="0.11811023622047245" footer="0"/>
  <pageSetup paperSize="9" scale="7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pageSetUpPr fitToPage="1"/>
  </sheetPr>
  <dimension ref="A6:L849"/>
  <sheetViews>
    <sheetView topLeftCell="A7" workbookViewId="0">
      <selection activeCell="I58" sqref="I58"/>
    </sheetView>
  </sheetViews>
  <sheetFormatPr baseColWidth="10" defaultRowHeight="12.75" x14ac:dyDescent="0.2"/>
  <cols>
    <col min="2" max="2" width="18.7109375" customWidth="1"/>
    <col min="3" max="3" width="16.42578125" customWidth="1"/>
    <col min="4" max="4" width="7.5703125" customWidth="1"/>
    <col min="6" max="6" width="27.28515625" customWidth="1"/>
    <col min="7" max="7" width="22.85546875" customWidth="1"/>
    <col min="8" max="8" width="23.28515625" customWidth="1"/>
    <col min="9" max="9" width="13.140625" customWidth="1"/>
    <col min="13" max="13" width="16.85546875" bestFit="1" customWidth="1"/>
  </cols>
  <sheetData>
    <row r="6" spans="1:11" ht="30.75" x14ac:dyDescent="0.45">
      <c r="D6" s="320" t="s">
        <v>139</v>
      </c>
      <c r="E6" s="320"/>
      <c r="F6" s="320"/>
      <c r="G6" s="320"/>
      <c r="H6" s="320"/>
      <c r="I6" s="320"/>
    </row>
    <row r="7" spans="1:11" ht="13.5" thickBot="1" x14ac:dyDescent="0.25"/>
    <row r="8" spans="1:11" ht="13.5" thickBot="1" x14ac:dyDescent="0.25">
      <c r="A8" s="315" t="s">
        <v>5</v>
      </c>
      <c r="B8" s="316"/>
      <c r="D8" s="317" t="s">
        <v>4</v>
      </c>
      <c r="E8" s="318"/>
      <c r="F8" s="318"/>
      <c r="G8" s="318"/>
      <c r="H8" s="319"/>
      <c r="I8" s="27"/>
    </row>
    <row r="9" spans="1:11" ht="14.25" thickTop="1" thickBot="1" x14ac:dyDescent="0.25">
      <c r="A9" s="2"/>
      <c r="B9" s="3"/>
      <c r="D9" s="32" t="s">
        <v>72</v>
      </c>
      <c r="E9" s="38"/>
      <c r="F9" s="35"/>
      <c r="G9" s="36" t="s">
        <v>144</v>
      </c>
      <c r="H9" s="37" t="s">
        <v>145</v>
      </c>
      <c r="I9" s="33" t="s">
        <v>73</v>
      </c>
      <c r="K9" s="58"/>
    </row>
    <row r="10" spans="1:11" x14ac:dyDescent="0.2">
      <c r="A10" s="2">
        <v>1</v>
      </c>
      <c r="B10" s="3" t="s">
        <v>6</v>
      </c>
      <c r="D10" s="2">
        <v>1</v>
      </c>
      <c r="E10" s="199" t="s">
        <v>70</v>
      </c>
      <c r="F10" s="200" t="s">
        <v>226</v>
      </c>
      <c r="G10" s="201">
        <v>0.03</v>
      </c>
      <c r="H10" s="201">
        <v>0.02</v>
      </c>
      <c r="I10" s="68" t="str">
        <f>+D10&amp;E10</f>
        <v>1TVR</v>
      </c>
      <c r="K10" s="29"/>
    </row>
    <row r="11" spans="1:11" x14ac:dyDescent="0.2">
      <c r="A11" s="2">
        <v>2</v>
      </c>
      <c r="B11" s="3" t="s">
        <v>7</v>
      </c>
      <c r="D11" s="2">
        <v>2</v>
      </c>
      <c r="E11" s="199" t="s">
        <v>70</v>
      </c>
      <c r="F11" s="200" t="s">
        <v>227</v>
      </c>
      <c r="G11" s="201">
        <v>0</v>
      </c>
      <c r="H11" s="201">
        <v>0</v>
      </c>
      <c r="I11" s="69" t="str">
        <f t="shared" ref="I11:I44" si="0">+D11&amp;E11</f>
        <v>2TVR</v>
      </c>
      <c r="K11" s="29"/>
    </row>
    <row r="12" spans="1:11" x14ac:dyDescent="0.2">
      <c r="A12" s="2">
        <v>3</v>
      </c>
      <c r="B12" s="3" t="s">
        <v>8</v>
      </c>
      <c r="D12" s="2">
        <v>3</v>
      </c>
      <c r="E12" s="199" t="s">
        <v>70</v>
      </c>
      <c r="F12" s="200" t="s">
        <v>245</v>
      </c>
      <c r="G12" s="201">
        <v>0</v>
      </c>
      <c r="H12" s="201">
        <v>0</v>
      </c>
      <c r="I12" s="69" t="str">
        <f t="shared" si="0"/>
        <v>3TVR</v>
      </c>
      <c r="K12" s="29"/>
    </row>
    <row r="13" spans="1:11" x14ac:dyDescent="0.2">
      <c r="A13" s="2">
        <v>4</v>
      </c>
      <c r="B13" s="3" t="s">
        <v>204</v>
      </c>
      <c r="C13" t="s">
        <v>228</v>
      </c>
      <c r="D13" s="2">
        <v>4</v>
      </c>
      <c r="E13" s="199" t="s">
        <v>70</v>
      </c>
      <c r="F13" s="200" t="s">
        <v>10</v>
      </c>
      <c r="G13" s="201">
        <v>0.03</v>
      </c>
      <c r="H13" s="201">
        <v>0.02</v>
      </c>
      <c r="I13" s="69" t="str">
        <f t="shared" si="0"/>
        <v>4TVR</v>
      </c>
      <c r="K13" s="29"/>
    </row>
    <row r="14" spans="1:11" x14ac:dyDescent="0.2">
      <c r="A14" s="2">
        <v>5</v>
      </c>
      <c r="B14" s="3" t="s">
        <v>143</v>
      </c>
      <c r="C14" t="s">
        <v>230</v>
      </c>
      <c r="D14" s="2">
        <v>5</v>
      </c>
      <c r="E14" s="199" t="s">
        <v>70</v>
      </c>
      <c r="F14" s="200" t="s">
        <v>229</v>
      </c>
      <c r="G14" s="201">
        <v>0.03</v>
      </c>
      <c r="H14" s="201">
        <v>0.02</v>
      </c>
      <c r="I14" s="69" t="str">
        <f t="shared" si="0"/>
        <v>5TVR</v>
      </c>
      <c r="K14" s="30"/>
    </row>
    <row r="15" spans="1:11" x14ac:dyDescent="0.2">
      <c r="A15" s="2">
        <v>6</v>
      </c>
      <c r="B15" s="3" t="s">
        <v>205</v>
      </c>
      <c r="D15" s="2">
        <v>6</v>
      </c>
      <c r="E15" s="199" t="s">
        <v>70</v>
      </c>
      <c r="F15" s="200" t="s">
        <v>183</v>
      </c>
      <c r="G15" s="202">
        <v>0</v>
      </c>
      <c r="H15" s="202">
        <v>0</v>
      </c>
      <c r="I15" s="69" t="str">
        <f t="shared" si="0"/>
        <v>6TVR</v>
      </c>
      <c r="K15" s="29"/>
    </row>
    <row r="16" spans="1:11" x14ac:dyDescent="0.2">
      <c r="A16" s="2">
        <v>7</v>
      </c>
      <c r="B16" s="3" t="s">
        <v>210</v>
      </c>
      <c r="D16" s="2">
        <v>7</v>
      </c>
      <c r="E16" s="199" t="s">
        <v>70</v>
      </c>
      <c r="F16" s="200" t="s">
        <v>231</v>
      </c>
      <c r="G16" s="201">
        <v>0.03</v>
      </c>
      <c r="H16" s="201">
        <v>0.02</v>
      </c>
      <c r="I16" s="69" t="str">
        <f t="shared" si="0"/>
        <v>7TVR</v>
      </c>
      <c r="K16" s="29"/>
    </row>
    <row r="17" spans="1:11" x14ac:dyDescent="0.2">
      <c r="A17" s="2">
        <v>8</v>
      </c>
      <c r="B17" s="3" t="s">
        <v>224</v>
      </c>
      <c r="D17" s="2">
        <v>8</v>
      </c>
      <c r="E17" s="199" t="s">
        <v>70</v>
      </c>
      <c r="F17" s="200" t="s">
        <v>232</v>
      </c>
      <c r="G17" s="201">
        <v>0</v>
      </c>
      <c r="H17" s="201">
        <v>0</v>
      </c>
      <c r="I17" s="69" t="str">
        <f t="shared" si="0"/>
        <v>8TVR</v>
      </c>
      <c r="K17" s="30"/>
    </row>
    <row r="18" spans="1:11" x14ac:dyDescent="0.2">
      <c r="A18" s="2">
        <v>9</v>
      </c>
      <c r="B18" s="3"/>
      <c r="D18" s="2">
        <v>9</v>
      </c>
      <c r="E18" s="199" t="s">
        <v>70</v>
      </c>
      <c r="F18" s="200" t="s">
        <v>225</v>
      </c>
      <c r="G18" s="201">
        <v>0</v>
      </c>
      <c r="H18" s="201">
        <v>0</v>
      </c>
      <c r="I18" s="69" t="str">
        <f t="shared" si="0"/>
        <v>9TVR</v>
      </c>
      <c r="K18" s="29"/>
    </row>
    <row r="19" spans="1:11" x14ac:dyDescent="0.2">
      <c r="A19" s="2">
        <v>10</v>
      </c>
      <c r="B19" s="3" t="s">
        <v>331</v>
      </c>
      <c r="C19" t="s">
        <v>233</v>
      </c>
      <c r="D19" s="2">
        <v>10</v>
      </c>
      <c r="E19" s="199" t="s">
        <v>70</v>
      </c>
      <c r="F19" s="203" t="s">
        <v>234</v>
      </c>
      <c r="G19" s="204">
        <v>0.03</v>
      </c>
      <c r="H19" s="204">
        <v>0.05</v>
      </c>
      <c r="I19" s="69" t="str">
        <f t="shared" si="0"/>
        <v>10TVR</v>
      </c>
      <c r="K19" s="29"/>
    </row>
    <row r="20" spans="1:11" x14ac:dyDescent="0.2">
      <c r="A20" s="2"/>
      <c r="B20" s="3"/>
      <c r="D20" s="2">
        <v>11</v>
      </c>
      <c r="E20" s="199" t="s">
        <v>70</v>
      </c>
      <c r="F20" s="200" t="s">
        <v>235</v>
      </c>
      <c r="G20" s="201">
        <v>0.03</v>
      </c>
      <c r="H20" s="201">
        <v>0.02</v>
      </c>
      <c r="I20" s="69" t="str">
        <f t="shared" si="0"/>
        <v>11TVR</v>
      </c>
      <c r="K20" s="29"/>
    </row>
    <row r="21" spans="1:11" x14ac:dyDescent="0.2">
      <c r="A21" s="2"/>
      <c r="B21" s="3"/>
      <c r="D21" s="2">
        <v>12</v>
      </c>
      <c r="E21" s="205" t="s">
        <v>148</v>
      </c>
      <c r="F21" s="206" t="s">
        <v>236</v>
      </c>
      <c r="G21" s="207">
        <v>4.4999999999999998E-2</v>
      </c>
      <c r="H21" s="207">
        <v>3.5000000000000003E-2</v>
      </c>
      <c r="I21" s="69" t="str">
        <f t="shared" si="0"/>
        <v>12GRT</v>
      </c>
      <c r="J21">
        <v>2024</v>
      </c>
      <c r="K21" s="29"/>
    </row>
    <row r="22" spans="1:11" x14ac:dyDescent="0.2">
      <c r="A22" s="2"/>
      <c r="B22" s="3"/>
      <c r="D22" s="2">
        <v>13</v>
      </c>
      <c r="E22" s="205" t="s">
        <v>148</v>
      </c>
      <c r="F22" s="206" t="s">
        <v>237</v>
      </c>
      <c r="G22" s="207">
        <v>0.05</v>
      </c>
      <c r="H22" s="207">
        <v>0.05</v>
      </c>
      <c r="I22" s="69" t="str">
        <f t="shared" si="0"/>
        <v>13GRT</v>
      </c>
      <c r="J22">
        <v>2024</v>
      </c>
      <c r="K22" t="s">
        <v>302</v>
      </c>
    </row>
    <row r="23" spans="1:11" x14ac:dyDescent="0.2">
      <c r="A23" s="2"/>
      <c r="B23" s="3"/>
      <c r="D23" s="2">
        <v>14</v>
      </c>
      <c r="E23" s="205" t="s">
        <v>223</v>
      </c>
      <c r="F23" s="206" t="s">
        <v>238</v>
      </c>
      <c r="G23" s="208">
        <v>0</v>
      </c>
      <c r="H23" s="208">
        <v>0</v>
      </c>
      <c r="I23" s="69" t="str">
        <f t="shared" si="0"/>
        <v>14RMR</v>
      </c>
      <c r="K23" s="29"/>
    </row>
    <row r="24" spans="1:11" x14ac:dyDescent="0.2">
      <c r="A24" s="2"/>
      <c r="B24" s="3"/>
      <c r="D24" s="2">
        <v>15</v>
      </c>
      <c r="E24" s="205" t="s">
        <v>223</v>
      </c>
      <c r="F24" s="206" t="s">
        <v>239</v>
      </c>
      <c r="G24" s="209">
        <v>0</v>
      </c>
      <c r="H24" s="209">
        <v>0</v>
      </c>
      <c r="I24" s="69" t="str">
        <f t="shared" si="0"/>
        <v>15RMR</v>
      </c>
      <c r="K24" s="29"/>
    </row>
    <row r="25" spans="1:11" x14ac:dyDescent="0.2">
      <c r="A25" s="2"/>
      <c r="B25" s="3"/>
      <c r="D25" s="2">
        <v>16</v>
      </c>
      <c r="E25" s="205" t="s">
        <v>223</v>
      </c>
      <c r="F25" s="206" t="s">
        <v>240</v>
      </c>
      <c r="G25" s="207">
        <v>0</v>
      </c>
      <c r="H25" s="207">
        <v>0</v>
      </c>
      <c r="I25" s="69" t="str">
        <f t="shared" si="0"/>
        <v>16RMR</v>
      </c>
      <c r="K25" s="29"/>
    </row>
    <row r="26" spans="1:11" ht="13.5" thickBot="1" x14ac:dyDescent="0.25">
      <c r="A26" s="4"/>
      <c r="B26" s="5"/>
      <c r="D26" s="2">
        <v>17</v>
      </c>
      <c r="E26" s="205" t="s">
        <v>255</v>
      </c>
      <c r="F26" s="206" t="s">
        <v>256</v>
      </c>
      <c r="G26" s="207">
        <v>0.03</v>
      </c>
      <c r="H26" s="207">
        <v>0.02</v>
      </c>
      <c r="I26" s="69" t="str">
        <f t="shared" si="0"/>
        <v>17GCU</v>
      </c>
      <c r="K26" s="29"/>
    </row>
    <row r="27" spans="1:11" x14ac:dyDescent="0.2">
      <c r="D27" s="2">
        <v>18</v>
      </c>
      <c r="E27" s="205" t="s">
        <v>70</v>
      </c>
      <c r="F27" s="206" t="s">
        <v>245</v>
      </c>
      <c r="G27" s="207">
        <v>0</v>
      </c>
      <c r="H27" s="207">
        <v>0</v>
      </c>
      <c r="I27" s="69" t="str">
        <f t="shared" si="0"/>
        <v>18TVR</v>
      </c>
      <c r="K27" s="29"/>
    </row>
    <row r="28" spans="1:11" x14ac:dyDescent="0.2">
      <c r="D28" s="2">
        <v>19</v>
      </c>
      <c r="E28" s="205" t="s">
        <v>255</v>
      </c>
      <c r="F28" s="206" t="s">
        <v>260</v>
      </c>
      <c r="G28" s="207">
        <v>0.03</v>
      </c>
      <c r="H28" s="207">
        <v>0.02</v>
      </c>
      <c r="I28" s="69" t="str">
        <f t="shared" si="0"/>
        <v>19GCU</v>
      </c>
      <c r="K28" s="29"/>
    </row>
    <row r="29" spans="1:11" x14ac:dyDescent="0.2">
      <c r="D29" s="2">
        <v>20</v>
      </c>
      <c r="E29" s="205" t="s">
        <v>70</v>
      </c>
      <c r="F29" s="206" t="s">
        <v>261</v>
      </c>
      <c r="G29" s="207">
        <v>0.03</v>
      </c>
      <c r="H29" s="207">
        <v>0.02</v>
      </c>
      <c r="I29" s="69" t="str">
        <f t="shared" si="0"/>
        <v>20TVR</v>
      </c>
      <c r="K29" s="29"/>
    </row>
    <row r="30" spans="1:11" x14ac:dyDescent="0.2">
      <c r="D30" s="2">
        <v>21</v>
      </c>
      <c r="E30" s="205" t="s">
        <v>70</v>
      </c>
      <c r="F30" s="210" t="s">
        <v>263</v>
      </c>
      <c r="G30" s="207">
        <v>0.03</v>
      </c>
      <c r="H30" s="209">
        <v>0.02</v>
      </c>
      <c r="I30" s="69" t="str">
        <f t="shared" si="0"/>
        <v>21TVR</v>
      </c>
      <c r="J30" t="s">
        <v>335</v>
      </c>
      <c r="K30" s="30"/>
    </row>
    <row r="31" spans="1:11" x14ac:dyDescent="0.2">
      <c r="D31" s="2">
        <v>22</v>
      </c>
      <c r="E31" s="205" t="s">
        <v>70</v>
      </c>
      <c r="F31" s="206" t="s">
        <v>265</v>
      </c>
      <c r="G31" s="207">
        <v>0.06</v>
      </c>
      <c r="H31" s="207">
        <v>0.04</v>
      </c>
      <c r="I31" s="69" t="str">
        <f t="shared" si="0"/>
        <v>22TVR</v>
      </c>
      <c r="K31" s="29"/>
    </row>
    <row r="32" spans="1:11" x14ac:dyDescent="0.2">
      <c r="D32" s="2">
        <v>23</v>
      </c>
      <c r="E32" s="205" t="s">
        <v>267</v>
      </c>
      <c r="F32" s="210" t="s">
        <v>268</v>
      </c>
      <c r="G32" s="207">
        <v>6.7000000000000004E-2</v>
      </c>
      <c r="H32" s="207">
        <v>5.5E-2</v>
      </c>
      <c r="I32" s="69" t="str">
        <f t="shared" si="0"/>
        <v>23ANG</v>
      </c>
    </row>
    <row r="33" spans="4:9" x14ac:dyDescent="0.2">
      <c r="D33" s="2">
        <v>24</v>
      </c>
      <c r="E33" s="205" t="s">
        <v>148</v>
      </c>
      <c r="F33" s="210" t="s">
        <v>143</v>
      </c>
      <c r="G33" s="209">
        <v>0</v>
      </c>
      <c r="H33" s="209">
        <v>0</v>
      </c>
      <c r="I33" s="69" t="str">
        <f t="shared" si="0"/>
        <v>24GRT</v>
      </c>
    </row>
    <row r="34" spans="4:9" s="119" customFormat="1" x14ac:dyDescent="0.2">
      <c r="D34" s="117">
        <v>25</v>
      </c>
      <c r="E34" s="118" t="s">
        <v>70</v>
      </c>
      <c r="F34" s="122" t="s">
        <v>273</v>
      </c>
      <c r="G34" s="120">
        <v>0</v>
      </c>
      <c r="H34" s="120">
        <v>0</v>
      </c>
      <c r="I34" s="121" t="str">
        <f t="shared" si="0"/>
        <v>25TVR</v>
      </c>
    </row>
    <row r="35" spans="4:9" s="119" customFormat="1" x14ac:dyDescent="0.2">
      <c r="D35" s="117">
        <v>26</v>
      </c>
      <c r="E35" s="118" t="s">
        <v>274</v>
      </c>
      <c r="F35" s="119" t="s">
        <v>275</v>
      </c>
      <c r="G35" s="120">
        <v>0.02</v>
      </c>
      <c r="H35" s="120">
        <v>0.02</v>
      </c>
      <c r="I35" s="121" t="str">
        <f t="shared" si="0"/>
        <v>26BTX</v>
      </c>
    </row>
    <row r="36" spans="4:9" s="119" customFormat="1" x14ac:dyDescent="0.2">
      <c r="D36" s="117">
        <v>27</v>
      </c>
      <c r="E36" s="118" t="s">
        <v>255</v>
      </c>
      <c r="F36" s="122" t="s">
        <v>278</v>
      </c>
      <c r="G36" s="120">
        <v>3.5000000000000003E-2</v>
      </c>
      <c r="H36" s="120">
        <v>0.03</v>
      </c>
      <c r="I36" s="121" t="str">
        <f t="shared" si="0"/>
        <v>27GCU</v>
      </c>
    </row>
    <row r="37" spans="4:9" x14ac:dyDescent="0.2">
      <c r="D37" s="2">
        <v>28</v>
      </c>
      <c r="E37" s="39" t="s">
        <v>284</v>
      </c>
      <c r="F37" s="65" t="s">
        <v>285</v>
      </c>
      <c r="G37" s="66">
        <v>2.5000000000000001E-2</v>
      </c>
      <c r="H37" s="66">
        <v>0.02</v>
      </c>
      <c r="I37" s="69" t="str">
        <f t="shared" si="0"/>
        <v>28YEB</v>
      </c>
    </row>
    <row r="38" spans="4:9" x14ac:dyDescent="0.2">
      <c r="D38" s="2">
        <v>29</v>
      </c>
      <c r="E38" s="39" t="s">
        <v>70</v>
      </c>
      <c r="F38" s="65" t="s">
        <v>288</v>
      </c>
      <c r="G38" s="66">
        <v>0.02</v>
      </c>
      <c r="H38" s="66">
        <v>0.02</v>
      </c>
      <c r="I38" s="69" t="str">
        <f t="shared" si="0"/>
        <v>29TVR</v>
      </c>
    </row>
    <row r="39" spans="4:9" x14ac:dyDescent="0.2">
      <c r="D39" s="2">
        <v>30</v>
      </c>
      <c r="E39" s="39" t="s">
        <v>274</v>
      </c>
      <c r="F39" s="65" t="s">
        <v>289</v>
      </c>
      <c r="G39" s="66">
        <v>0.02</v>
      </c>
      <c r="H39" s="66">
        <v>0.02</v>
      </c>
      <c r="I39" s="69" t="str">
        <f t="shared" si="0"/>
        <v>30BTX</v>
      </c>
    </row>
    <row r="40" spans="4:9" x14ac:dyDescent="0.2">
      <c r="D40" s="2">
        <v>31</v>
      </c>
      <c r="E40" s="39" t="s">
        <v>274</v>
      </c>
      <c r="F40" s="28" t="s">
        <v>290</v>
      </c>
      <c r="G40" s="66">
        <v>0.02</v>
      </c>
      <c r="H40" s="66">
        <v>0.02</v>
      </c>
      <c r="I40" s="69" t="str">
        <f t="shared" si="0"/>
        <v>31BTX</v>
      </c>
    </row>
    <row r="41" spans="4:9" x14ac:dyDescent="0.2">
      <c r="D41" s="2">
        <v>32</v>
      </c>
      <c r="E41" s="39" t="s">
        <v>255</v>
      </c>
      <c r="F41" s="114" t="s">
        <v>310</v>
      </c>
      <c r="G41" s="66">
        <v>0</v>
      </c>
      <c r="H41" s="66">
        <v>0</v>
      </c>
      <c r="I41" s="69" t="str">
        <f t="shared" si="0"/>
        <v>32GCU</v>
      </c>
    </row>
    <row r="42" spans="4:9" x14ac:dyDescent="0.2">
      <c r="D42" s="2">
        <v>33</v>
      </c>
      <c r="E42" s="39" t="s">
        <v>70</v>
      </c>
      <c r="F42" s="65" t="s">
        <v>312</v>
      </c>
      <c r="G42" s="66">
        <v>0.01</v>
      </c>
      <c r="H42" s="66">
        <v>0.01</v>
      </c>
      <c r="I42" s="69" t="str">
        <f t="shared" si="0"/>
        <v>33TVR</v>
      </c>
    </row>
    <row r="43" spans="4:9" x14ac:dyDescent="0.2">
      <c r="D43" s="2">
        <v>34</v>
      </c>
      <c r="E43" s="39" t="s">
        <v>274</v>
      </c>
      <c r="F43" s="65" t="s">
        <v>290</v>
      </c>
      <c r="G43" s="66">
        <v>0.03</v>
      </c>
      <c r="H43" s="66">
        <v>0.05</v>
      </c>
      <c r="I43" s="69" t="str">
        <f t="shared" si="0"/>
        <v>34BTX</v>
      </c>
    </row>
    <row r="44" spans="4:9" x14ac:dyDescent="0.2">
      <c r="D44" s="2">
        <v>35</v>
      </c>
      <c r="E44" s="39" t="s">
        <v>281</v>
      </c>
      <c r="F44" s="65" t="s">
        <v>282</v>
      </c>
      <c r="G44" s="66">
        <v>0</v>
      </c>
      <c r="H44" s="66">
        <v>0</v>
      </c>
      <c r="I44" s="69" t="str">
        <f t="shared" si="0"/>
        <v>35RMA</v>
      </c>
    </row>
    <row r="45" spans="4:9" x14ac:dyDescent="0.2">
      <c r="D45" s="2">
        <v>36</v>
      </c>
      <c r="E45" s="39" t="s">
        <v>255</v>
      </c>
      <c r="F45" s="28" t="s">
        <v>283</v>
      </c>
      <c r="G45" s="29">
        <v>0</v>
      </c>
      <c r="H45" s="29">
        <v>0</v>
      </c>
      <c r="I45" s="69" t="str">
        <f t="shared" ref="I45:I74" si="1">+D45&amp;E45</f>
        <v>36GCU</v>
      </c>
    </row>
    <row r="46" spans="4:9" x14ac:dyDescent="0.2">
      <c r="D46" s="2">
        <v>37</v>
      </c>
      <c r="E46" s="39" t="s">
        <v>274</v>
      </c>
      <c r="F46" s="28" t="s">
        <v>313</v>
      </c>
      <c r="G46" s="29">
        <v>0.02</v>
      </c>
      <c r="H46" s="29">
        <v>0.02</v>
      </c>
      <c r="I46" s="69" t="str">
        <f t="shared" si="1"/>
        <v>37BTX</v>
      </c>
    </row>
    <row r="47" spans="4:9" x14ac:dyDescent="0.2">
      <c r="D47" s="2">
        <v>38</v>
      </c>
      <c r="E47" s="39" t="s">
        <v>70</v>
      </c>
      <c r="F47" s="114" t="s">
        <v>318</v>
      </c>
      <c r="G47" s="66">
        <v>0.03</v>
      </c>
      <c r="H47" s="66">
        <v>0.05</v>
      </c>
      <c r="I47" s="69" t="str">
        <f t="shared" si="1"/>
        <v>38TVR</v>
      </c>
    </row>
    <row r="48" spans="4:9" x14ac:dyDescent="0.2">
      <c r="D48" s="2">
        <v>39</v>
      </c>
      <c r="E48" s="39" t="s">
        <v>70</v>
      </c>
      <c r="F48" s="114" t="s">
        <v>317</v>
      </c>
      <c r="G48" s="66">
        <v>0</v>
      </c>
      <c r="H48" s="66">
        <v>0</v>
      </c>
      <c r="I48" s="69" t="str">
        <f t="shared" si="1"/>
        <v>39TVR</v>
      </c>
    </row>
    <row r="49" spans="4:10" x14ac:dyDescent="0.2">
      <c r="D49" s="2">
        <v>40</v>
      </c>
      <c r="E49" s="39" t="s">
        <v>70</v>
      </c>
      <c r="F49" s="65" t="s">
        <v>319</v>
      </c>
      <c r="G49" s="66">
        <v>1.4999999999999999E-2</v>
      </c>
      <c r="H49" s="66">
        <v>0.03</v>
      </c>
      <c r="I49" s="69" t="str">
        <f t="shared" si="1"/>
        <v>40TVR</v>
      </c>
    </row>
    <row r="50" spans="4:10" s="114" customFormat="1" x14ac:dyDescent="0.2">
      <c r="D50" s="124">
        <v>41</v>
      </c>
      <c r="E50" s="125" t="s">
        <v>284</v>
      </c>
      <c r="F50" s="115" t="s">
        <v>324</v>
      </c>
      <c r="G50" s="126">
        <v>0.03</v>
      </c>
      <c r="H50" s="126">
        <v>1.4999999999999999E-2</v>
      </c>
      <c r="I50" s="127" t="str">
        <f t="shared" si="1"/>
        <v>41YEB</v>
      </c>
    </row>
    <row r="51" spans="4:10" x14ac:dyDescent="0.2">
      <c r="D51" s="2">
        <v>42</v>
      </c>
      <c r="E51" s="39" t="s">
        <v>70</v>
      </c>
      <c r="F51" s="28" t="s">
        <v>225</v>
      </c>
      <c r="G51" s="29">
        <v>0.01</v>
      </c>
      <c r="H51" s="29">
        <v>0.01</v>
      </c>
      <c r="I51" s="69" t="str">
        <f t="shared" si="1"/>
        <v>42TVR</v>
      </c>
    </row>
    <row r="52" spans="4:10" x14ac:dyDescent="0.2">
      <c r="D52" s="2">
        <v>43</v>
      </c>
      <c r="E52" s="39" t="s">
        <v>292</v>
      </c>
      <c r="F52" s="114" t="s">
        <v>293</v>
      </c>
      <c r="G52" s="67"/>
      <c r="H52" s="67"/>
      <c r="I52" s="69" t="str">
        <f>+D52&amp;E52</f>
        <v>43COM</v>
      </c>
    </row>
    <row r="53" spans="4:10" x14ac:dyDescent="0.2">
      <c r="D53" s="2">
        <v>44</v>
      </c>
      <c r="E53" s="39" t="s">
        <v>148</v>
      </c>
      <c r="F53" s="114" t="s">
        <v>295</v>
      </c>
      <c r="G53" s="66">
        <v>5.5E-2</v>
      </c>
      <c r="H53" s="66">
        <v>3.5000000000000003E-2</v>
      </c>
      <c r="I53" s="69" t="str">
        <f>+D53&amp;E53</f>
        <v>44GRT</v>
      </c>
      <c r="J53">
        <v>2024</v>
      </c>
    </row>
    <row r="54" spans="4:10" x14ac:dyDescent="0.2">
      <c r="D54" s="2">
        <v>45</v>
      </c>
      <c r="E54" s="39" t="s">
        <v>284</v>
      </c>
      <c r="F54" s="65" t="s">
        <v>330</v>
      </c>
      <c r="G54" s="66">
        <v>0</v>
      </c>
      <c r="H54" s="66">
        <v>0</v>
      </c>
      <c r="I54" s="69" t="str">
        <f t="shared" si="1"/>
        <v>45YEB</v>
      </c>
    </row>
    <row r="55" spans="4:10" x14ac:dyDescent="0.2">
      <c r="D55" s="2">
        <v>46</v>
      </c>
      <c r="E55" s="39" t="s">
        <v>281</v>
      </c>
      <c r="F55" s="28" t="s">
        <v>332</v>
      </c>
      <c r="G55" s="29">
        <v>0</v>
      </c>
      <c r="H55" s="29">
        <v>0</v>
      </c>
      <c r="I55" s="69" t="str">
        <f t="shared" si="1"/>
        <v>46RMA</v>
      </c>
    </row>
    <row r="56" spans="4:10" x14ac:dyDescent="0.2">
      <c r="D56" s="2">
        <v>47</v>
      </c>
      <c r="E56" s="39" t="s">
        <v>255</v>
      </c>
      <c r="F56" s="65" t="s">
        <v>337</v>
      </c>
      <c r="G56" s="66">
        <v>5.5E-2</v>
      </c>
      <c r="H56" s="66">
        <v>3.5000000000000003E-2</v>
      </c>
      <c r="I56" s="69" t="str">
        <f t="shared" si="1"/>
        <v>47GCU</v>
      </c>
    </row>
    <row r="57" spans="4:10" x14ac:dyDescent="0.2">
      <c r="D57" s="2">
        <v>48</v>
      </c>
      <c r="E57" s="39" t="s">
        <v>284</v>
      </c>
      <c r="F57" s="28" t="s">
        <v>339</v>
      </c>
      <c r="G57" s="29">
        <v>0.02</v>
      </c>
      <c r="H57" s="29">
        <v>0.02</v>
      </c>
      <c r="I57" s="69" t="str">
        <f t="shared" si="1"/>
        <v>48YEB</v>
      </c>
    </row>
    <row r="58" spans="4:10" x14ac:dyDescent="0.2">
      <c r="D58" s="2">
        <v>49</v>
      </c>
      <c r="E58" s="39" t="s">
        <v>344</v>
      </c>
      <c r="F58" s="28" t="s">
        <v>343</v>
      </c>
      <c r="G58" s="29">
        <v>0</v>
      </c>
      <c r="H58" s="29">
        <v>0</v>
      </c>
      <c r="I58" s="69" t="str">
        <f t="shared" si="1"/>
        <v>49MRV</v>
      </c>
    </row>
    <row r="59" spans="4:10" x14ac:dyDescent="0.2">
      <c r="D59" s="2">
        <v>50</v>
      </c>
      <c r="E59" s="39"/>
      <c r="F59" s="28"/>
      <c r="G59" s="29"/>
      <c r="H59" s="29"/>
      <c r="I59" s="69" t="str">
        <f t="shared" si="1"/>
        <v>50</v>
      </c>
    </row>
    <row r="60" spans="4:10" x14ac:dyDescent="0.2">
      <c r="D60" s="2">
        <v>51</v>
      </c>
      <c r="E60" s="39"/>
      <c r="F60" s="28"/>
      <c r="G60" s="29"/>
      <c r="H60" s="29"/>
      <c r="I60" s="69" t="str">
        <f t="shared" si="1"/>
        <v>51</v>
      </c>
    </row>
    <row r="61" spans="4:10" x14ac:dyDescent="0.2">
      <c r="D61" s="2">
        <v>52</v>
      </c>
      <c r="E61" s="39"/>
      <c r="F61" s="28"/>
      <c r="G61" s="29"/>
      <c r="H61" s="29"/>
      <c r="I61" s="69" t="str">
        <f t="shared" si="1"/>
        <v>52</v>
      </c>
    </row>
    <row r="62" spans="4:10" x14ac:dyDescent="0.2">
      <c r="D62" s="2">
        <v>53</v>
      </c>
      <c r="E62" s="39"/>
      <c r="F62" s="28"/>
      <c r="G62" s="29"/>
      <c r="H62" s="29"/>
      <c r="I62" s="69" t="str">
        <f t="shared" si="1"/>
        <v>53</v>
      </c>
    </row>
    <row r="63" spans="4:10" x14ac:dyDescent="0.2">
      <c r="D63" s="2">
        <v>54</v>
      </c>
      <c r="E63" s="39"/>
      <c r="F63" s="28"/>
      <c r="G63" s="29"/>
      <c r="H63" s="29"/>
      <c r="I63" s="69" t="str">
        <f t="shared" si="1"/>
        <v>54</v>
      </c>
    </row>
    <row r="64" spans="4:10" x14ac:dyDescent="0.2">
      <c r="D64" s="2">
        <v>55</v>
      </c>
      <c r="E64" s="39"/>
      <c r="F64" s="28"/>
      <c r="G64" s="29"/>
      <c r="H64" s="29"/>
      <c r="I64" s="69" t="str">
        <f t="shared" si="1"/>
        <v>55</v>
      </c>
    </row>
    <row r="65" spans="4:12" x14ac:dyDescent="0.2">
      <c r="D65" s="2">
        <v>56</v>
      </c>
      <c r="E65" s="39"/>
      <c r="F65" s="28"/>
      <c r="G65" s="29"/>
      <c r="H65" s="29"/>
      <c r="I65" s="69" t="str">
        <f t="shared" si="1"/>
        <v>56</v>
      </c>
    </row>
    <row r="66" spans="4:12" x14ac:dyDescent="0.2">
      <c r="D66" s="2">
        <v>57</v>
      </c>
      <c r="E66" s="39"/>
      <c r="F66" s="198"/>
      <c r="G66" s="67"/>
      <c r="H66" s="67"/>
      <c r="I66" s="69" t="str">
        <f t="shared" si="1"/>
        <v>57</v>
      </c>
      <c r="K66" s="128"/>
      <c r="L66" s="128"/>
    </row>
    <row r="67" spans="4:12" x14ac:dyDescent="0.2">
      <c r="D67" s="2">
        <v>58</v>
      </c>
      <c r="E67" s="39"/>
      <c r="F67" s="115"/>
      <c r="G67" s="30"/>
      <c r="H67" s="30"/>
      <c r="I67" s="69" t="str">
        <f t="shared" si="1"/>
        <v>58</v>
      </c>
    </row>
    <row r="68" spans="4:12" x14ac:dyDescent="0.2">
      <c r="D68" s="2">
        <v>59</v>
      </c>
      <c r="E68" s="39"/>
      <c r="F68" s="28"/>
      <c r="G68" s="30"/>
      <c r="H68" s="30"/>
      <c r="I68" s="69" t="str">
        <f t="shared" si="1"/>
        <v>59</v>
      </c>
    </row>
    <row r="69" spans="4:12" x14ac:dyDescent="0.2">
      <c r="D69" s="2">
        <v>60</v>
      </c>
      <c r="E69" s="39"/>
      <c r="F69" s="28"/>
      <c r="G69" s="30"/>
      <c r="H69" s="30"/>
      <c r="I69" s="69" t="str">
        <f t="shared" si="1"/>
        <v>60</v>
      </c>
    </row>
    <row r="70" spans="4:12" x14ac:dyDescent="0.2">
      <c r="D70" s="2">
        <v>61</v>
      </c>
      <c r="E70" s="39"/>
      <c r="F70" s="28"/>
      <c r="G70" s="30"/>
      <c r="H70" s="30"/>
      <c r="I70" s="69" t="str">
        <f t="shared" si="1"/>
        <v>61</v>
      </c>
    </row>
    <row r="71" spans="4:12" x14ac:dyDescent="0.2">
      <c r="D71" s="2">
        <v>62</v>
      </c>
      <c r="E71" s="39"/>
      <c r="F71" s="28"/>
      <c r="G71" s="30"/>
      <c r="H71" s="30"/>
      <c r="I71" s="69" t="str">
        <f t="shared" si="1"/>
        <v>62</v>
      </c>
    </row>
    <row r="72" spans="4:12" x14ac:dyDescent="0.2">
      <c r="D72" s="2">
        <v>63</v>
      </c>
      <c r="E72" s="39"/>
      <c r="F72" s="28"/>
      <c r="G72" s="30"/>
      <c r="H72" s="30"/>
      <c r="I72" s="69" t="str">
        <f t="shared" si="1"/>
        <v>63</v>
      </c>
    </row>
    <row r="73" spans="4:12" x14ac:dyDescent="0.2">
      <c r="D73" s="2">
        <v>64</v>
      </c>
      <c r="E73" s="39"/>
      <c r="F73" s="28"/>
      <c r="G73" s="30"/>
      <c r="H73" s="30"/>
      <c r="I73" s="69" t="str">
        <f t="shared" si="1"/>
        <v>64</v>
      </c>
    </row>
    <row r="74" spans="4:12" x14ac:dyDescent="0.2">
      <c r="D74" s="2">
        <v>65</v>
      </c>
      <c r="E74" s="39"/>
      <c r="F74" s="28"/>
      <c r="G74" s="30"/>
      <c r="H74" s="30"/>
      <c r="I74" s="69" t="str">
        <f t="shared" si="1"/>
        <v>65</v>
      </c>
    </row>
    <row r="75" spans="4:12" x14ac:dyDescent="0.2">
      <c r="D75" s="2">
        <v>66</v>
      </c>
      <c r="E75" s="39"/>
      <c r="F75" s="115"/>
      <c r="G75" s="30"/>
      <c r="H75" s="30"/>
      <c r="I75" s="69" t="str">
        <f t="shared" ref="I75:I137" si="2">+D75&amp;E75</f>
        <v>66</v>
      </c>
    </row>
    <row r="76" spans="4:12" x14ac:dyDescent="0.2">
      <c r="D76" s="2">
        <v>67</v>
      </c>
      <c r="E76" s="39"/>
      <c r="F76" s="28"/>
      <c r="G76" s="30"/>
      <c r="H76" s="30"/>
      <c r="I76" s="69" t="str">
        <f t="shared" si="2"/>
        <v>67</v>
      </c>
    </row>
    <row r="77" spans="4:12" x14ac:dyDescent="0.2">
      <c r="D77" s="2">
        <v>68</v>
      </c>
      <c r="E77" s="39"/>
      <c r="F77" s="28"/>
      <c r="G77" s="30"/>
      <c r="H77" s="30"/>
      <c r="I77" s="69" t="str">
        <f t="shared" si="2"/>
        <v>68</v>
      </c>
    </row>
    <row r="78" spans="4:12" x14ac:dyDescent="0.2">
      <c r="D78" s="2">
        <v>69</v>
      </c>
      <c r="E78" s="39"/>
      <c r="F78" s="28"/>
      <c r="G78" s="30"/>
      <c r="H78" s="30"/>
      <c r="I78" s="69" t="str">
        <f t="shared" si="2"/>
        <v>69</v>
      </c>
    </row>
    <row r="79" spans="4:12" x14ac:dyDescent="0.2">
      <c r="D79" s="2">
        <v>70</v>
      </c>
      <c r="E79" s="39"/>
      <c r="F79" s="28"/>
      <c r="G79" s="30"/>
      <c r="H79" s="30"/>
      <c r="I79" s="69" t="str">
        <f t="shared" si="2"/>
        <v>70</v>
      </c>
    </row>
    <row r="80" spans="4:12" x14ac:dyDescent="0.2">
      <c r="D80" s="2">
        <v>71</v>
      </c>
      <c r="E80" s="39"/>
      <c r="F80" s="115"/>
      <c r="G80" s="30"/>
      <c r="H80" s="30"/>
      <c r="I80" s="69" t="str">
        <f t="shared" si="2"/>
        <v>71</v>
      </c>
    </row>
    <row r="81" spans="4:10" x14ac:dyDescent="0.2">
      <c r="D81" s="2">
        <v>72</v>
      </c>
      <c r="E81" s="39"/>
      <c r="F81" s="28"/>
      <c r="G81" s="30"/>
      <c r="H81" s="30"/>
      <c r="I81" s="69" t="str">
        <f t="shared" si="2"/>
        <v>72</v>
      </c>
    </row>
    <row r="82" spans="4:10" x14ac:dyDescent="0.2">
      <c r="D82" s="2">
        <v>73</v>
      </c>
      <c r="E82" s="39"/>
      <c r="F82" s="28"/>
      <c r="G82" s="29"/>
      <c r="H82" s="29"/>
      <c r="I82" s="69" t="str">
        <f t="shared" si="2"/>
        <v>73</v>
      </c>
    </row>
    <row r="83" spans="4:10" x14ac:dyDescent="0.2">
      <c r="D83" s="2">
        <v>74</v>
      </c>
      <c r="E83" s="39"/>
      <c r="F83" s="28"/>
      <c r="G83" s="29"/>
      <c r="H83" s="29"/>
      <c r="I83" s="69" t="str">
        <f t="shared" si="2"/>
        <v>74</v>
      </c>
      <c r="J83" s="146"/>
    </row>
    <row r="84" spans="4:10" x14ac:dyDescent="0.2">
      <c r="D84" s="2">
        <v>75</v>
      </c>
      <c r="E84" s="39"/>
      <c r="F84" s="28"/>
      <c r="G84" s="29"/>
      <c r="H84" s="29"/>
      <c r="I84" s="69" t="str">
        <f t="shared" si="2"/>
        <v>75</v>
      </c>
    </row>
    <row r="85" spans="4:10" x14ac:dyDescent="0.2">
      <c r="D85" s="2">
        <v>76</v>
      </c>
      <c r="E85" s="39"/>
      <c r="F85" s="28"/>
      <c r="G85" s="29"/>
      <c r="H85" s="29"/>
      <c r="I85" s="69" t="str">
        <f t="shared" si="2"/>
        <v>76</v>
      </c>
    </row>
    <row r="86" spans="4:10" x14ac:dyDescent="0.2">
      <c r="D86" s="2">
        <v>77</v>
      </c>
      <c r="E86" s="39"/>
      <c r="F86" s="28"/>
      <c r="G86" s="29"/>
      <c r="H86" s="29"/>
      <c r="I86" s="69" t="str">
        <f t="shared" si="2"/>
        <v>77</v>
      </c>
    </row>
    <row r="87" spans="4:10" x14ac:dyDescent="0.2">
      <c r="D87" s="2">
        <v>78</v>
      </c>
      <c r="E87" s="39"/>
      <c r="F87" s="28"/>
      <c r="G87" s="29"/>
      <c r="H87" s="29"/>
      <c r="I87" s="69" t="str">
        <f t="shared" si="2"/>
        <v>78</v>
      </c>
    </row>
    <row r="88" spans="4:10" x14ac:dyDescent="0.2">
      <c r="D88" s="2">
        <v>79</v>
      </c>
      <c r="E88" s="39"/>
      <c r="F88" s="28"/>
      <c r="G88" s="29"/>
      <c r="H88" s="29"/>
      <c r="I88" s="69" t="str">
        <f t="shared" si="2"/>
        <v>79</v>
      </c>
    </row>
    <row r="89" spans="4:10" x14ac:dyDescent="0.2">
      <c r="D89" s="2">
        <v>80</v>
      </c>
      <c r="E89" s="39"/>
      <c r="F89" s="28"/>
      <c r="G89" s="29"/>
      <c r="H89" s="29"/>
      <c r="I89" s="69" t="str">
        <f t="shared" si="2"/>
        <v>80</v>
      </c>
    </row>
    <row r="90" spans="4:10" x14ac:dyDescent="0.2">
      <c r="D90" s="2">
        <v>81</v>
      </c>
      <c r="E90" s="39"/>
      <c r="F90" s="28"/>
      <c r="G90" s="29"/>
      <c r="H90" s="29"/>
      <c r="I90" s="69" t="str">
        <f t="shared" si="2"/>
        <v>81</v>
      </c>
    </row>
    <row r="91" spans="4:10" x14ac:dyDescent="0.2">
      <c r="D91" s="2">
        <v>82</v>
      </c>
      <c r="E91" s="39"/>
      <c r="F91" s="28"/>
      <c r="G91" s="29"/>
      <c r="H91" s="29"/>
      <c r="I91" s="69" t="str">
        <f t="shared" si="2"/>
        <v>82</v>
      </c>
    </row>
    <row r="92" spans="4:10" x14ac:dyDescent="0.2">
      <c r="D92" s="2">
        <v>83</v>
      </c>
      <c r="E92" s="39"/>
      <c r="F92" s="28"/>
      <c r="G92" s="29"/>
      <c r="H92" s="29"/>
      <c r="I92" s="69" t="str">
        <f t="shared" si="2"/>
        <v>83</v>
      </c>
    </row>
    <row r="93" spans="4:10" x14ac:dyDescent="0.2">
      <c r="D93" s="2">
        <v>84</v>
      </c>
      <c r="E93" s="39"/>
      <c r="F93" s="28"/>
      <c r="G93" s="29"/>
      <c r="H93" s="29"/>
      <c r="I93" s="69" t="str">
        <f t="shared" si="2"/>
        <v>84</v>
      </c>
    </row>
    <row r="94" spans="4:10" x14ac:dyDescent="0.2">
      <c r="D94" s="2">
        <v>85</v>
      </c>
      <c r="E94" s="39"/>
      <c r="F94" s="28"/>
      <c r="G94" s="29"/>
      <c r="H94" s="29"/>
      <c r="I94" s="69" t="str">
        <f t="shared" si="2"/>
        <v>85</v>
      </c>
    </row>
    <row r="95" spans="4:10" x14ac:dyDescent="0.2">
      <c r="D95" s="2">
        <v>86</v>
      </c>
      <c r="E95" s="39"/>
      <c r="F95" s="28"/>
      <c r="G95" s="29"/>
      <c r="H95" s="29"/>
      <c r="I95" s="69" t="str">
        <f t="shared" si="2"/>
        <v>86</v>
      </c>
    </row>
    <row r="96" spans="4:10" x14ac:dyDescent="0.2">
      <c r="D96" s="2">
        <v>87</v>
      </c>
      <c r="E96" s="39"/>
      <c r="F96" s="28"/>
      <c r="G96" s="29"/>
      <c r="H96" s="29"/>
      <c r="I96" s="69" t="str">
        <f t="shared" si="2"/>
        <v>87</v>
      </c>
    </row>
    <row r="97" spans="2:9" x14ac:dyDescent="0.2">
      <c r="D97" s="2">
        <v>88</v>
      </c>
      <c r="E97" s="39"/>
      <c r="F97" s="28"/>
      <c r="G97" s="29"/>
      <c r="H97" s="29"/>
      <c r="I97" s="69" t="str">
        <f t="shared" si="2"/>
        <v>88</v>
      </c>
    </row>
    <row r="98" spans="2:9" x14ac:dyDescent="0.2">
      <c r="D98" s="2">
        <v>89</v>
      </c>
      <c r="E98" s="39"/>
      <c r="F98" s="28"/>
      <c r="G98" s="29"/>
      <c r="H98" s="29"/>
      <c r="I98" s="69" t="str">
        <f t="shared" si="2"/>
        <v>89</v>
      </c>
    </row>
    <row r="99" spans="2:9" x14ac:dyDescent="0.2">
      <c r="D99" s="2">
        <v>90</v>
      </c>
      <c r="E99" s="39"/>
      <c r="F99" s="28"/>
      <c r="G99" s="29"/>
      <c r="H99" s="29"/>
      <c r="I99" s="69" t="str">
        <f t="shared" si="2"/>
        <v>90</v>
      </c>
    </row>
    <row r="100" spans="2:9" x14ac:dyDescent="0.2">
      <c r="D100" s="2">
        <v>91</v>
      </c>
      <c r="E100" s="39"/>
      <c r="F100" s="28"/>
      <c r="G100" s="29"/>
      <c r="H100" s="29"/>
      <c r="I100" s="69" t="str">
        <f t="shared" si="2"/>
        <v>91</v>
      </c>
    </row>
    <row r="101" spans="2:9" x14ac:dyDescent="0.2">
      <c r="D101" s="2">
        <v>92</v>
      </c>
      <c r="E101" s="39"/>
      <c r="F101" s="28"/>
      <c r="G101" s="29"/>
      <c r="H101" s="29"/>
      <c r="I101" s="69" t="str">
        <f t="shared" si="2"/>
        <v>92</v>
      </c>
    </row>
    <row r="102" spans="2:9" x14ac:dyDescent="0.2">
      <c r="D102" s="2">
        <v>93</v>
      </c>
      <c r="E102" s="39"/>
      <c r="F102" s="28"/>
      <c r="G102" s="29"/>
      <c r="H102" s="29"/>
      <c r="I102" s="69" t="str">
        <f t="shared" si="2"/>
        <v>93</v>
      </c>
    </row>
    <row r="103" spans="2:9" x14ac:dyDescent="0.2">
      <c r="D103" s="2">
        <v>94</v>
      </c>
      <c r="E103" s="39"/>
      <c r="F103" s="28"/>
      <c r="G103" s="29"/>
      <c r="H103" s="29"/>
      <c r="I103" s="69" t="str">
        <f t="shared" si="2"/>
        <v>94</v>
      </c>
    </row>
    <row r="104" spans="2:9" x14ac:dyDescent="0.2">
      <c r="B104" s="102"/>
      <c r="D104" s="2">
        <v>95</v>
      </c>
      <c r="E104" s="39"/>
      <c r="F104" s="28"/>
      <c r="G104" s="29"/>
      <c r="H104" s="29"/>
      <c r="I104" s="69" t="str">
        <f t="shared" si="2"/>
        <v>95</v>
      </c>
    </row>
    <row r="105" spans="2:9" x14ac:dyDescent="0.2">
      <c r="D105" s="2">
        <v>96</v>
      </c>
      <c r="E105" s="39"/>
      <c r="F105" s="28"/>
      <c r="G105" s="29"/>
      <c r="H105" s="29"/>
      <c r="I105" s="69" t="str">
        <f t="shared" si="2"/>
        <v>96</v>
      </c>
    </row>
    <row r="106" spans="2:9" x14ac:dyDescent="0.2">
      <c r="D106" s="2">
        <v>97</v>
      </c>
      <c r="E106" s="39"/>
      <c r="F106" s="28"/>
      <c r="G106" s="29"/>
      <c r="H106" s="29"/>
      <c r="I106" s="69" t="str">
        <f t="shared" si="2"/>
        <v>97</v>
      </c>
    </row>
    <row r="107" spans="2:9" x14ac:dyDescent="0.2">
      <c r="D107" s="2">
        <v>98</v>
      </c>
      <c r="E107" s="39"/>
      <c r="F107" s="28"/>
      <c r="G107" s="29"/>
      <c r="H107" s="29"/>
      <c r="I107" s="69" t="str">
        <f t="shared" si="2"/>
        <v>98</v>
      </c>
    </row>
    <row r="108" spans="2:9" x14ac:dyDescent="0.2">
      <c r="D108" s="2">
        <v>99</v>
      </c>
      <c r="E108" s="39"/>
      <c r="F108" s="28"/>
      <c r="G108" s="29"/>
      <c r="H108" s="29"/>
      <c r="I108" s="69" t="str">
        <f t="shared" si="2"/>
        <v>99</v>
      </c>
    </row>
    <row r="109" spans="2:9" x14ac:dyDescent="0.2">
      <c r="D109" s="2">
        <v>100</v>
      </c>
      <c r="E109" s="39"/>
      <c r="F109" s="28"/>
      <c r="G109" s="29"/>
      <c r="H109" s="29"/>
      <c r="I109" s="69" t="str">
        <f t="shared" si="2"/>
        <v>100</v>
      </c>
    </row>
    <row r="110" spans="2:9" x14ac:dyDescent="0.2">
      <c r="D110" s="2">
        <v>101</v>
      </c>
      <c r="E110" s="39"/>
      <c r="F110" s="28"/>
      <c r="G110" s="29"/>
      <c r="H110" s="29"/>
      <c r="I110" s="69" t="str">
        <f t="shared" si="2"/>
        <v>101</v>
      </c>
    </row>
    <row r="111" spans="2:9" x14ac:dyDescent="0.2">
      <c r="D111" s="2">
        <v>102</v>
      </c>
      <c r="E111" s="39"/>
      <c r="F111" s="28"/>
      <c r="G111" s="29"/>
      <c r="H111" s="29"/>
      <c r="I111" s="69" t="str">
        <f t="shared" si="2"/>
        <v>102</v>
      </c>
    </row>
    <row r="112" spans="2:9" x14ac:dyDescent="0.2">
      <c r="D112" s="2">
        <v>103</v>
      </c>
      <c r="E112" s="39"/>
      <c r="F112" s="28"/>
      <c r="G112" s="29"/>
      <c r="H112" s="29"/>
      <c r="I112" s="69" t="str">
        <f t="shared" si="2"/>
        <v>103</v>
      </c>
    </row>
    <row r="113" spans="4:9" x14ac:dyDescent="0.2">
      <c r="D113" s="2">
        <v>104</v>
      </c>
      <c r="E113" s="39"/>
      <c r="F113" s="115"/>
      <c r="G113" s="29"/>
      <c r="H113" s="29"/>
      <c r="I113" s="69" t="str">
        <f t="shared" si="2"/>
        <v>104</v>
      </c>
    </row>
    <row r="114" spans="4:9" x14ac:dyDescent="0.2">
      <c r="D114" s="2">
        <v>105</v>
      </c>
      <c r="E114" s="39"/>
      <c r="F114" s="28"/>
      <c r="G114" s="29"/>
      <c r="H114" s="29"/>
      <c r="I114" s="69" t="str">
        <f t="shared" si="2"/>
        <v>105</v>
      </c>
    </row>
    <row r="115" spans="4:9" x14ac:dyDescent="0.2">
      <c r="D115" s="2">
        <v>106</v>
      </c>
      <c r="E115" s="39"/>
      <c r="F115" s="28"/>
      <c r="G115" s="29"/>
      <c r="H115" s="29"/>
      <c r="I115" s="69" t="str">
        <f t="shared" si="2"/>
        <v>106</v>
      </c>
    </row>
    <row r="116" spans="4:9" x14ac:dyDescent="0.2">
      <c r="D116" s="2">
        <v>107</v>
      </c>
      <c r="E116" s="39"/>
      <c r="F116" s="28"/>
      <c r="G116" s="29"/>
      <c r="H116" s="29"/>
      <c r="I116" s="69" t="str">
        <f t="shared" si="2"/>
        <v>107</v>
      </c>
    </row>
    <row r="117" spans="4:9" x14ac:dyDescent="0.2">
      <c r="D117" s="2">
        <v>108</v>
      </c>
      <c r="E117" s="39"/>
      <c r="F117" s="28"/>
      <c r="G117" s="29"/>
      <c r="H117" s="29"/>
      <c r="I117" s="69" t="str">
        <f t="shared" si="2"/>
        <v>108</v>
      </c>
    </row>
    <row r="118" spans="4:9" x14ac:dyDescent="0.2">
      <c r="D118" s="2">
        <v>109</v>
      </c>
      <c r="E118" s="39"/>
      <c r="F118" s="28"/>
      <c r="G118" s="29"/>
      <c r="H118" s="29"/>
      <c r="I118" s="69" t="str">
        <f t="shared" si="2"/>
        <v>109</v>
      </c>
    </row>
    <row r="119" spans="4:9" x14ac:dyDescent="0.2">
      <c r="D119" s="2">
        <v>110</v>
      </c>
      <c r="E119" s="39"/>
      <c r="F119" s="28"/>
      <c r="G119" s="29"/>
      <c r="H119" s="29"/>
      <c r="I119" s="69" t="str">
        <f t="shared" si="2"/>
        <v>110</v>
      </c>
    </row>
    <row r="120" spans="4:9" x14ac:dyDescent="0.2">
      <c r="D120" s="2">
        <v>111</v>
      </c>
      <c r="E120" s="39"/>
      <c r="F120" s="28"/>
      <c r="G120" s="29"/>
      <c r="H120" s="29"/>
      <c r="I120" s="69" t="str">
        <f t="shared" si="2"/>
        <v>111</v>
      </c>
    </row>
    <row r="121" spans="4:9" x14ac:dyDescent="0.2">
      <c r="D121" s="2">
        <v>112</v>
      </c>
      <c r="E121" s="39"/>
      <c r="F121" s="28"/>
      <c r="G121" s="29"/>
      <c r="H121" s="29"/>
      <c r="I121" s="69" t="str">
        <f t="shared" si="2"/>
        <v>112</v>
      </c>
    </row>
    <row r="122" spans="4:9" x14ac:dyDescent="0.2">
      <c r="D122" s="2">
        <v>113</v>
      </c>
      <c r="E122" s="39"/>
      <c r="F122" s="28"/>
      <c r="G122" s="29"/>
      <c r="H122" s="29"/>
      <c r="I122" s="69" t="str">
        <f t="shared" si="2"/>
        <v>113</v>
      </c>
    </row>
    <row r="123" spans="4:9" x14ac:dyDescent="0.2">
      <c r="D123" s="2">
        <v>114</v>
      </c>
      <c r="E123" s="39"/>
      <c r="F123" s="28"/>
      <c r="G123" s="29"/>
      <c r="H123" s="29"/>
      <c r="I123" s="69" t="str">
        <f t="shared" si="2"/>
        <v>114</v>
      </c>
    </row>
    <row r="124" spans="4:9" x14ac:dyDescent="0.2">
      <c r="D124" s="2">
        <v>115</v>
      </c>
      <c r="E124" s="39"/>
      <c r="F124" s="28"/>
      <c r="G124" s="29"/>
      <c r="H124" s="29"/>
      <c r="I124" s="69" t="str">
        <f t="shared" si="2"/>
        <v>115</v>
      </c>
    </row>
    <row r="125" spans="4:9" x14ac:dyDescent="0.2">
      <c r="D125" s="2">
        <v>116</v>
      </c>
      <c r="E125" s="39"/>
      <c r="F125" s="28"/>
      <c r="G125" s="29"/>
      <c r="H125" s="29"/>
      <c r="I125" s="69" t="str">
        <f t="shared" si="2"/>
        <v>116</v>
      </c>
    </row>
    <row r="126" spans="4:9" x14ac:dyDescent="0.2">
      <c r="D126" s="2">
        <v>117</v>
      </c>
      <c r="E126" s="39"/>
      <c r="F126" s="28"/>
      <c r="G126" s="29"/>
      <c r="H126" s="29"/>
      <c r="I126" s="69" t="str">
        <f t="shared" si="2"/>
        <v>117</v>
      </c>
    </row>
    <row r="127" spans="4:9" x14ac:dyDescent="0.2">
      <c r="D127" s="2">
        <v>118</v>
      </c>
      <c r="E127" s="39"/>
      <c r="F127" s="28"/>
      <c r="G127" s="29"/>
      <c r="H127" s="29"/>
      <c r="I127" s="69" t="str">
        <f t="shared" si="2"/>
        <v>118</v>
      </c>
    </row>
    <row r="128" spans="4:9" x14ac:dyDescent="0.2">
      <c r="D128" s="2">
        <v>119</v>
      </c>
      <c r="E128" s="39"/>
      <c r="F128" s="28"/>
      <c r="G128" s="29"/>
      <c r="H128" s="29"/>
      <c r="I128" s="69" t="str">
        <f t="shared" si="2"/>
        <v>119</v>
      </c>
    </row>
    <row r="129" spans="4:10" x14ac:dyDescent="0.2">
      <c r="D129" s="2">
        <v>120</v>
      </c>
      <c r="E129" s="39"/>
      <c r="F129" s="115"/>
      <c r="G129" s="29"/>
      <c r="H129" s="29"/>
      <c r="I129" s="69" t="str">
        <f t="shared" si="2"/>
        <v>120</v>
      </c>
    </row>
    <row r="130" spans="4:10" x14ac:dyDescent="0.2">
      <c r="D130" s="2">
        <v>121</v>
      </c>
      <c r="E130" s="39"/>
      <c r="F130" s="28"/>
      <c r="G130" s="29"/>
      <c r="H130" s="29"/>
      <c r="I130" s="69" t="str">
        <f t="shared" si="2"/>
        <v>121</v>
      </c>
    </row>
    <row r="131" spans="4:10" x14ac:dyDescent="0.2">
      <c r="D131" s="2">
        <v>122</v>
      </c>
      <c r="E131" s="39"/>
      <c r="F131" s="28"/>
      <c r="G131" s="29"/>
      <c r="H131" s="29"/>
      <c r="I131" s="69" t="str">
        <f t="shared" si="2"/>
        <v>122</v>
      </c>
    </row>
    <row r="132" spans="4:10" x14ac:dyDescent="0.2">
      <c r="D132" s="2">
        <v>123</v>
      </c>
      <c r="E132" s="39"/>
      <c r="F132" s="28"/>
      <c r="G132" s="29"/>
      <c r="H132" s="29"/>
      <c r="I132" s="69" t="str">
        <f t="shared" si="2"/>
        <v>123</v>
      </c>
    </row>
    <row r="133" spans="4:10" x14ac:dyDescent="0.2">
      <c r="D133" s="2">
        <v>124</v>
      </c>
      <c r="E133" s="39"/>
      <c r="F133" s="28"/>
      <c r="G133" s="29"/>
      <c r="H133" s="29"/>
      <c r="I133" s="69" t="str">
        <f t="shared" si="2"/>
        <v>124</v>
      </c>
    </row>
    <row r="134" spans="4:10" x14ac:dyDescent="0.2">
      <c r="D134" s="2">
        <v>125</v>
      </c>
      <c r="E134" s="39"/>
      <c r="F134" s="28"/>
      <c r="G134" s="29"/>
      <c r="H134" s="29"/>
      <c r="I134" s="69" t="str">
        <f t="shared" si="2"/>
        <v>125</v>
      </c>
    </row>
    <row r="135" spans="4:10" x14ac:dyDescent="0.2">
      <c r="D135" s="2">
        <v>126</v>
      </c>
      <c r="E135" s="39"/>
      <c r="F135" s="28"/>
      <c r="G135" s="29"/>
      <c r="H135" s="29"/>
      <c r="I135" s="69" t="str">
        <f t="shared" si="2"/>
        <v>126</v>
      </c>
    </row>
    <row r="136" spans="4:10" x14ac:dyDescent="0.2">
      <c r="D136" s="2">
        <v>127</v>
      </c>
      <c r="E136" s="39"/>
      <c r="F136" s="28"/>
      <c r="G136" s="29"/>
      <c r="H136" s="29"/>
      <c r="I136" s="69" t="str">
        <f t="shared" si="2"/>
        <v>127</v>
      </c>
    </row>
    <row r="137" spans="4:10" x14ac:dyDescent="0.2">
      <c r="D137" s="2">
        <v>128</v>
      </c>
      <c r="E137" s="39"/>
      <c r="F137" s="144"/>
      <c r="G137" s="29"/>
      <c r="H137" s="29"/>
      <c r="I137" s="69" t="str">
        <f t="shared" si="2"/>
        <v>128</v>
      </c>
      <c r="J137" s="145"/>
    </row>
    <row r="138" spans="4:10" x14ac:dyDescent="0.2">
      <c r="D138" s="2">
        <v>129</v>
      </c>
      <c r="E138" s="39"/>
      <c r="F138" s="115"/>
      <c r="G138" s="29"/>
      <c r="H138" s="29"/>
      <c r="I138" s="69" t="str">
        <f>+D138&amp;E138</f>
        <v>129</v>
      </c>
    </row>
    <row r="139" spans="4:10" x14ac:dyDescent="0.2">
      <c r="D139" s="2">
        <v>130</v>
      </c>
      <c r="E139" s="39"/>
      <c r="F139" s="28"/>
      <c r="G139" s="29"/>
      <c r="H139" s="29"/>
      <c r="I139" s="69" t="str">
        <f>+D139&amp;E139</f>
        <v>130</v>
      </c>
    </row>
    <row r="140" spans="4:10" x14ac:dyDescent="0.2">
      <c r="D140" s="2">
        <v>131</v>
      </c>
      <c r="E140" s="39"/>
      <c r="F140" s="144"/>
      <c r="G140" s="29"/>
      <c r="H140" s="29"/>
      <c r="I140" s="69" t="str">
        <f t="shared" ref="I140:I202" si="3">+D140&amp;E140</f>
        <v>131</v>
      </c>
      <c r="J140" s="145"/>
    </row>
    <row r="141" spans="4:10" x14ac:dyDescent="0.2">
      <c r="D141" s="2">
        <v>132</v>
      </c>
      <c r="E141" s="39"/>
      <c r="F141" s="28"/>
      <c r="G141" s="29"/>
      <c r="H141" s="29"/>
      <c r="I141" s="69" t="str">
        <f t="shared" si="3"/>
        <v>132</v>
      </c>
    </row>
    <row r="142" spans="4:10" x14ac:dyDescent="0.2">
      <c r="D142" s="2">
        <v>133</v>
      </c>
      <c r="E142" s="39"/>
      <c r="F142" s="28"/>
      <c r="G142" s="29"/>
      <c r="H142" s="29"/>
      <c r="I142" s="69" t="str">
        <f>+D142&amp;E142</f>
        <v>133</v>
      </c>
    </row>
    <row r="143" spans="4:10" x14ac:dyDescent="0.2">
      <c r="D143" s="2">
        <v>134</v>
      </c>
      <c r="E143" s="39"/>
      <c r="F143" s="28"/>
      <c r="G143" s="29"/>
      <c r="H143" s="29"/>
      <c r="I143" s="69" t="str">
        <f t="shared" si="3"/>
        <v>134</v>
      </c>
    </row>
    <row r="144" spans="4:10" x14ac:dyDescent="0.2">
      <c r="D144" s="2">
        <v>135</v>
      </c>
      <c r="E144" s="39"/>
      <c r="F144" s="115"/>
      <c r="G144" s="29"/>
      <c r="H144" s="29"/>
      <c r="I144" s="69" t="str">
        <f t="shared" si="3"/>
        <v>135</v>
      </c>
    </row>
    <row r="145" spans="2:9" x14ac:dyDescent="0.2">
      <c r="D145" s="2">
        <v>136</v>
      </c>
      <c r="E145" s="39"/>
      <c r="F145" s="28"/>
      <c r="G145" s="29"/>
      <c r="H145" s="29"/>
      <c r="I145" s="69" t="str">
        <f t="shared" si="3"/>
        <v>136</v>
      </c>
    </row>
    <row r="146" spans="2:9" x14ac:dyDescent="0.2">
      <c r="D146" s="2">
        <v>137</v>
      </c>
      <c r="E146" s="39"/>
      <c r="F146" s="28"/>
      <c r="G146" s="29"/>
      <c r="H146" s="29"/>
      <c r="I146" s="69" t="str">
        <f t="shared" si="3"/>
        <v>137</v>
      </c>
    </row>
    <row r="147" spans="2:9" x14ac:dyDescent="0.2">
      <c r="D147" s="2">
        <v>138</v>
      </c>
      <c r="E147" s="39"/>
      <c r="F147" s="28"/>
      <c r="G147" s="29"/>
      <c r="H147" s="29"/>
      <c r="I147" s="69" t="str">
        <f t="shared" si="3"/>
        <v>138</v>
      </c>
    </row>
    <row r="148" spans="2:9" x14ac:dyDescent="0.2">
      <c r="D148" s="2">
        <v>139</v>
      </c>
      <c r="E148" s="39"/>
      <c r="F148" s="28"/>
      <c r="G148" s="29"/>
      <c r="H148" s="29"/>
      <c r="I148" s="69" t="str">
        <f t="shared" si="3"/>
        <v>139</v>
      </c>
    </row>
    <row r="149" spans="2:9" x14ac:dyDescent="0.2">
      <c r="D149" s="2">
        <v>140</v>
      </c>
      <c r="E149" s="39"/>
      <c r="F149" s="28"/>
      <c r="G149" s="29"/>
      <c r="H149" s="29"/>
      <c r="I149" s="69" t="str">
        <f t="shared" si="3"/>
        <v>140</v>
      </c>
    </row>
    <row r="150" spans="2:9" x14ac:dyDescent="0.2">
      <c r="D150" s="2">
        <v>141</v>
      </c>
      <c r="E150" s="39"/>
      <c r="F150" s="28"/>
      <c r="G150" s="29"/>
      <c r="H150" s="29"/>
      <c r="I150" s="69" t="str">
        <f t="shared" si="3"/>
        <v>141</v>
      </c>
    </row>
    <row r="151" spans="2:9" x14ac:dyDescent="0.2">
      <c r="D151" s="2">
        <v>142</v>
      </c>
      <c r="E151" s="39"/>
      <c r="F151" s="28"/>
      <c r="G151" s="29"/>
      <c r="H151" s="29"/>
      <c r="I151" s="69" t="str">
        <f t="shared" si="3"/>
        <v>142</v>
      </c>
    </row>
    <row r="152" spans="2:9" x14ac:dyDescent="0.2">
      <c r="D152" s="2">
        <v>143</v>
      </c>
      <c r="E152" s="39"/>
      <c r="F152" s="28"/>
      <c r="G152" s="29"/>
      <c r="H152" s="29"/>
      <c r="I152" s="69" t="str">
        <f t="shared" si="3"/>
        <v>143</v>
      </c>
    </row>
    <row r="153" spans="2:9" x14ac:dyDescent="0.2">
      <c r="D153" s="2">
        <v>144</v>
      </c>
      <c r="E153" s="39"/>
      <c r="F153" s="28"/>
      <c r="G153" s="29"/>
      <c r="H153" s="29"/>
      <c r="I153" s="69" t="str">
        <f t="shared" si="3"/>
        <v>144</v>
      </c>
    </row>
    <row r="154" spans="2:9" x14ac:dyDescent="0.2">
      <c r="D154" s="2">
        <v>145</v>
      </c>
      <c r="E154" s="39"/>
      <c r="F154" s="28"/>
      <c r="G154" s="29"/>
      <c r="H154" s="29"/>
      <c r="I154" s="69" t="str">
        <f t="shared" si="3"/>
        <v>145</v>
      </c>
    </row>
    <row r="155" spans="2:9" x14ac:dyDescent="0.2">
      <c r="D155" s="2">
        <v>146</v>
      </c>
      <c r="E155" s="39"/>
      <c r="F155" s="115"/>
      <c r="G155" s="29"/>
      <c r="H155" s="29"/>
      <c r="I155" s="69" t="str">
        <f t="shared" si="3"/>
        <v>146</v>
      </c>
    </row>
    <row r="156" spans="2:9" x14ac:dyDescent="0.2">
      <c r="D156" s="2">
        <v>147</v>
      </c>
      <c r="E156" s="39"/>
      <c r="F156" s="28"/>
      <c r="G156" s="29"/>
      <c r="H156" s="29"/>
      <c r="I156" s="69" t="str">
        <f t="shared" si="3"/>
        <v>147</v>
      </c>
    </row>
    <row r="157" spans="2:9" x14ac:dyDescent="0.2">
      <c r="D157" s="2">
        <v>148</v>
      </c>
      <c r="E157" s="39"/>
      <c r="F157" s="28"/>
      <c r="G157" s="29"/>
      <c r="H157" s="29"/>
      <c r="I157" s="69" t="str">
        <f t="shared" si="3"/>
        <v>148</v>
      </c>
    </row>
    <row r="158" spans="2:9" x14ac:dyDescent="0.2">
      <c r="B158" s="102"/>
      <c r="D158" s="2">
        <v>149</v>
      </c>
      <c r="E158" s="39"/>
      <c r="F158" s="28"/>
      <c r="G158" s="29"/>
      <c r="H158" s="29"/>
      <c r="I158" s="69" t="str">
        <f t="shared" si="3"/>
        <v>149</v>
      </c>
    </row>
    <row r="159" spans="2:9" x14ac:dyDescent="0.2">
      <c r="B159" s="102"/>
      <c r="D159" s="2">
        <v>150</v>
      </c>
      <c r="E159" s="39"/>
      <c r="F159" s="115"/>
      <c r="G159" s="29"/>
      <c r="H159" s="29"/>
      <c r="I159" s="69" t="str">
        <f t="shared" si="3"/>
        <v>150</v>
      </c>
    </row>
    <row r="160" spans="2:9" x14ac:dyDescent="0.2">
      <c r="D160" s="2">
        <v>151</v>
      </c>
      <c r="E160" s="39"/>
      <c r="F160" s="28"/>
      <c r="G160" s="29"/>
      <c r="H160" s="29"/>
      <c r="I160" s="69" t="str">
        <f t="shared" si="3"/>
        <v>151</v>
      </c>
    </row>
    <row r="161" spans="1:9" x14ac:dyDescent="0.2">
      <c r="D161" s="2">
        <v>152</v>
      </c>
      <c r="E161" s="103"/>
      <c r="F161" s="115"/>
      <c r="G161" s="29"/>
      <c r="H161" s="29"/>
      <c r="I161" s="69" t="str">
        <f t="shared" si="3"/>
        <v>152</v>
      </c>
    </row>
    <row r="162" spans="1:9" x14ac:dyDescent="0.2">
      <c r="B162" s="102"/>
      <c r="D162" s="2">
        <v>153</v>
      </c>
      <c r="E162" s="103"/>
      <c r="F162" s="104"/>
      <c r="G162" s="29"/>
      <c r="H162" s="29"/>
      <c r="I162" s="69" t="str">
        <f t="shared" si="3"/>
        <v>153</v>
      </c>
    </row>
    <row r="163" spans="1:9" x14ac:dyDescent="0.2">
      <c r="B163" s="102"/>
      <c r="D163" s="2">
        <v>154</v>
      </c>
      <c r="E163" s="103"/>
      <c r="F163" s="104"/>
      <c r="G163" s="29"/>
      <c r="H163" s="29"/>
      <c r="I163" s="69" t="str">
        <f t="shared" si="3"/>
        <v>154</v>
      </c>
    </row>
    <row r="164" spans="1:9" x14ac:dyDescent="0.2">
      <c r="B164" s="102"/>
      <c r="D164" s="2">
        <v>155</v>
      </c>
      <c r="E164" s="103"/>
      <c r="F164" s="104"/>
      <c r="G164" s="29"/>
      <c r="H164" s="29"/>
      <c r="I164" s="69" t="str">
        <f t="shared" si="3"/>
        <v>155</v>
      </c>
    </row>
    <row r="165" spans="1:9" x14ac:dyDescent="0.2">
      <c r="D165" s="2">
        <v>156</v>
      </c>
      <c r="E165" s="103"/>
      <c r="F165" s="104"/>
      <c r="G165" s="29"/>
      <c r="H165" s="29"/>
      <c r="I165" s="69" t="str">
        <f t="shared" si="3"/>
        <v>156</v>
      </c>
    </row>
    <row r="166" spans="1:9" x14ac:dyDescent="0.2">
      <c r="D166" s="2">
        <v>157</v>
      </c>
      <c r="E166" s="39"/>
      <c r="F166" s="28"/>
      <c r="G166" s="29"/>
      <c r="H166" s="29"/>
      <c r="I166" s="69" t="str">
        <f t="shared" si="3"/>
        <v>157</v>
      </c>
    </row>
    <row r="167" spans="1:9" x14ac:dyDescent="0.2">
      <c r="D167" s="2">
        <v>158</v>
      </c>
      <c r="E167" s="39"/>
      <c r="F167" s="28"/>
      <c r="G167" s="29"/>
      <c r="H167" s="29"/>
      <c r="I167" s="69" t="str">
        <f t="shared" si="3"/>
        <v>158</v>
      </c>
    </row>
    <row r="168" spans="1:9" x14ac:dyDescent="0.2">
      <c r="D168" s="2">
        <v>159</v>
      </c>
      <c r="E168" s="39"/>
      <c r="F168" s="28"/>
      <c r="G168" s="29"/>
      <c r="H168" s="29"/>
      <c r="I168" s="69" t="str">
        <f t="shared" si="3"/>
        <v>159</v>
      </c>
    </row>
    <row r="169" spans="1:9" x14ac:dyDescent="0.2">
      <c r="D169" s="2">
        <v>160</v>
      </c>
      <c r="E169" s="39"/>
      <c r="F169" s="28"/>
      <c r="G169" s="29"/>
      <c r="H169" s="29"/>
      <c r="I169" s="69" t="str">
        <f t="shared" si="3"/>
        <v>160</v>
      </c>
    </row>
    <row r="170" spans="1:9" x14ac:dyDescent="0.2">
      <c r="B170" s="102"/>
      <c r="D170" s="2">
        <v>161</v>
      </c>
      <c r="E170" s="39"/>
      <c r="F170" s="105"/>
      <c r="G170" s="29"/>
      <c r="H170" s="29"/>
      <c r="I170" s="69" t="str">
        <f t="shared" si="3"/>
        <v>161</v>
      </c>
    </row>
    <row r="171" spans="1:9" x14ac:dyDescent="0.2">
      <c r="D171" s="2">
        <v>162</v>
      </c>
      <c r="E171" s="39"/>
      <c r="F171" s="28"/>
      <c r="G171" s="29"/>
      <c r="H171" s="29"/>
      <c r="I171" s="69" t="str">
        <f t="shared" si="3"/>
        <v>162</v>
      </c>
    </row>
    <row r="172" spans="1:9" x14ac:dyDescent="0.2">
      <c r="D172" s="2">
        <v>163</v>
      </c>
      <c r="E172" s="39"/>
      <c r="F172" s="28"/>
      <c r="G172" s="29"/>
      <c r="H172" s="29"/>
      <c r="I172" s="69" t="str">
        <f t="shared" si="3"/>
        <v>163</v>
      </c>
    </row>
    <row r="173" spans="1:9" x14ac:dyDescent="0.2">
      <c r="A173" s="28"/>
      <c r="D173" s="2">
        <v>164</v>
      </c>
      <c r="E173" s="39"/>
      <c r="F173" s="28"/>
      <c r="G173" s="29"/>
      <c r="H173" s="29"/>
      <c r="I173" s="69" t="str">
        <f t="shared" si="3"/>
        <v>164</v>
      </c>
    </row>
    <row r="174" spans="1:9" x14ac:dyDescent="0.2">
      <c r="D174" s="2">
        <v>165</v>
      </c>
      <c r="E174" s="39"/>
      <c r="F174" s="28"/>
      <c r="G174" s="29"/>
      <c r="H174" s="29"/>
      <c r="I174" s="69" t="str">
        <f t="shared" si="3"/>
        <v>165</v>
      </c>
    </row>
    <row r="175" spans="1:9" x14ac:dyDescent="0.2">
      <c r="D175" s="2">
        <v>166</v>
      </c>
      <c r="E175" s="39"/>
      <c r="F175" s="28"/>
      <c r="G175" s="29"/>
      <c r="H175" s="29"/>
      <c r="I175" s="69" t="str">
        <f t="shared" si="3"/>
        <v>166</v>
      </c>
    </row>
    <row r="176" spans="1:9" x14ac:dyDescent="0.2">
      <c r="D176" s="2">
        <v>167</v>
      </c>
      <c r="E176" s="39"/>
      <c r="F176" s="28"/>
      <c r="G176" s="29"/>
      <c r="H176" s="29"/>
      <c r="I176" s="69" t="str">
        <f t="shared" si="3"/>
        <v>167</v>
      </c>
    </row>
    <row r="177" spans="4:9" x14ac:dyDescent="0.2">
      <c r="D177" s="2">
        <v>168</v>
      </c>
      <c r="E177" s="39"/>
      <c r="F177" s="28"/>
      <c r="G177" s="29"/>
      <c r="H177" s="29"/>
      <c r="I177" s="69" t="str">
        <f t="shared" si="3"/>
        <v>168</v>
      </c>
    </row>
    <row r="178" spans="4:9" x14ac:dyDescent="0.2">
      <c r="D178" s="2">
        <v>169</v>
      </c>
      <c r="E178" s="39"/>
      <c r="F178" s="28"/>
      <c r="G178" s="29"/>
      <c r="H178" s="29"/>
      <c r="I178" s="69" t="str">
        <f t="shared" si="3"/>
        <v>169</v>
      </c>
    </row>
    <row r="179" spans="4:9" x14ac:dyDescent="0.2">
      <c r="D179" s="2">
        <v>170</v>
      </c>
      <c r="E179" s="39"/>
      <c r="F179" s="28"/>
      <c r="G179" s="29"/>
      <c r="H179" s="29"/>
      <c r="I179" s="69" t="str">
        <f t="shared" si="3"/>
        <v>170</v>
      </c>
    </row>
    <row r="180" spans="4:9" x14ac:dyDescent="0.2">
      <c r="D180" s="2">
        <v>171</v>
      </c>
      <c r="E180" s="39"/>
      <c r="F180" s="28"/>
      <c r="G180" s="29"/>
      <c r="H180" s="29"/>
      <c r="I180" s="69" t="str">
        <f t="shared" si="3"/>
        <v>171</v>
      </c>
    </row>
    <row r="181" spans="4:9" x14ac:dyDescent="0.2">
      <c r="D181" s="2">
        <v>172</v>
      </c>
      <c r="E181" s="39"/>
      <c r="F181" s="28"/>
      <c r="G181" s="29"/>
      <c r="H181" s="29"/>
      <c r="I181" s="69" t="str">
        <f t="shared" si="3"/>
        <v>172</v>
      </c>
    </row>
    <row r="182" spans="4:9" x14ac:dyDescent="0.2">
      <c r="D182" s="2">
        <v>173</v>
      </c>
      <c r="E182" s="39"/>
      <c r="F182" s="28"/>
      <c r="G182" s="29"/>
      <c r="H182" s="29"/>
      <c r="I182" s="69" t="str">
        <f t="shared" si="3"/>
        <v>173</v>
      </c>
    </row>
    <row r="183" spans="4:9" x14ac:dyDescent="0.2">
      <c r="D183" s="2">
        <v>174</v>
      </c>
      <c r="E183" s="39"/>
      <c r="F183" s="28"/>
      <c r="G183" s="29"/>
      <c r="H183" s="29"/>
      <c r="I183" s="69" t="str">
        <f t="shared" si="3"/>
        <v>174</v>
      </c>
    </row>
    <row r="184" spans="4:9" s="114" customFormat="1" x14ac:dyDescent="0.2">
      <c r="D184" s="124">
        <v>175</v>
      </c>
      <c r="E184" s="125"/>
      <c r="F184" s="115"/>
      <c r="G184" s="126"/>
      <c r="H184" s="126"/>
      <c r="I184" s="127" t="str">
        <f t="shared" si="3"/>
        <v>175</v>
      </c>
    </row>
    <row r="185" spans="4:9" x14ac:dyDescent="0.2">
      <c r="D185" s="2">
        <v>176</v>
      </c>
      <c r="E185" s="39"/>
      <c r="F185" s="28"/>
      <c r="G185" s="29"/>
      <c r="H185" s="29"/>
      <c r="I185" s="69" t="str">
        <f t="shared" si="3"/>
        <v>176</v>
      </c>
    </row>
    <row r="186" spans="4:9" x14ac:dyDescent="0.2">
      <c r="D186" s="2">
        <v>177</v>
      </c>
      <c r="E186" s="39"/>
      <c r="F186" s="28"/>
      <c r="G186" s="29"/>
      <c r="H186" s="29"/>
      <c r="I186" s="69" t="str">
        <f t="shared" si="3"/>
        <v>177</v>
      </c>
    </row>
    <row r="187" spans="4:9" x14ac:dyDescent="0.2">
      <c r="D187" s="2">
        <v>178</v>
      </c>
      <c r="E187" s="39"/>
      <c r="F187" s="28"/>
      <c r="G187" s="29"/>
      <c r="H187" s="29"/>
      <c r="I187" s="69" t="str">
        <f t="shared" si="3"/>
        <v>178</v>
      </c>
    </row>
    <row r="188" spans="4:9" x14ac:dyDescent="0.2">
      <c r="D188" s="2">
        <v>179</v>
      </c>
      <c r="E188" s="39"/>
      <c r="F188" s="115"/>
      <c r="G188" s="29"/>
      <c r="H188" s="29"/>
      <c r="I188" s="69" t="str">
        <f t="shared" si="3"/>
        <v>179</v>
      </c>
    </row>
    <row r="189" spans="4:9" x14ac:dyDescent="0.2">
      <c r="D189" s="2">
        <v>180</v>
      </c>
      <c r="E189" s="39"/>
      <c r="F189" s="28"/>
      <c r="G189" s="29"/>
      <c r="H189" s="29"/>
      <c r="I189" s="69" t="str">
        <f t="shared" si="3"/>
        <v>180</v>
      </c>
    </row>
    <row r="190" spans="4:9" x14ac:dyDescent="0.2">
      <c r="D190" s="2">
        <v>181</v>
      </c>
      <c r="E190" s="39"/>
      <c r="F190" s="28"/>
      <c r="G190" s="29"/>
      <c r="H190" s="29"/>
      <c r="I190" s="69" t="str">
        <f t="shared" si="3"/>
        <v>181</v>
      </c>
    </row>
    <row r="191" spans="4:9" x14ac:dyDescent="0.2">
      <c r="D191" s="2">
        <v>182</v>
      </c>
      <c r="E191" s="39"/>
      <c r="F191" s="28"/>
      <c r="G191" s="29"/>
      <c r="H191" s="29"/>
      <c r="I191" s="69" t="str">
        <f t="shared" si="3"/>
        <v>182</v>
      </c>
    </row>
    <row r="192" spans="4:9" x14ac:dyDescent="0.2">
      <c r="D192" s="2">
        <v>183</v>
      </c>
      <c r="E192" s="39"/>
      <c r="F192" s="28"/>
      <c r="G192" s="29"/>
      <c r="H192" s="29"/>
      <c r="I192" s="69" t="str">
        <f t="shared" si="3"/>
        <v>183</v>
      </c>
    </row>
    <row r="193" spans="4:9" x14ac:dyDescent="0.2">
      <c r="D193" s="2">
        <v>184</v>
      </c>
      <c r="E193" s="39"/>
      <c r="F193" s="28"/>
      <c r="G193" s="29"/>
      <c r="H193" s="29"/>
      <c r="I193" s="69" t="str">
        <f t="shared" si="3"/>
        <v>184</v>
      </c>
    </row>
    <row r="194" spans="4:9" x14ac:dyDescent="0.2">
      <c r="D194" s="2">
        <v>185</v>
      </c>
      <c r="E194" s="39"/>
      <c r="F194" s="28"/>
      <c r="G194" s="29"/>
      <c r="H194" s="29"/>
      <c r="I194" s="69" t="str">
        <f t="shared" si="3"/>
        <v>185</v>
      </c>
    </row>
    <row r="195" spans="4:9" x14ac:dyDescent="0.2">
      <c r="D195" s="2">
        <v>186</v>
      </c>
      <c r="E195" s="39"/>
      <c r="F195" s="28"/>
      <c r="G195" s="29"/>
      <c r="H195" s="29"/>
      <c r="I195" s="69" t="str">
        <f t="shared" si="3"/>
        <v>186</v>
      </c>
    </row>
    <row r="196" spans="4:9" x14ac:dyDescent="0.2">
      <c r="D196" s="2">
        <v>187</v>
      </c>
      <c r="E196" s="39"/>
      <c r="F196" s="28"/>
      <c r="G196" s="29"/>
      <c r="H196" s="29"/>
      <c r="I196" s="69" t="str">
        <f t="shared" si="3"/>
        <v>187</v>
      </c>
    </row>
    <row r="197" spans="4:9" x14ac:dyDescent="0.2">
      <c r="D197" s="2">
        <v>188</v>
      </c>
      <c r="E197" s="39"/>
      <c r="F197" s="28"/>
      <c r="G197" s="29"/>
      <c r="H197" s="29"/>
      <c r="I197" s="69" t="str">
        <f t="shared" si="3"/>
        <v>188</v>
      </c>
    </row>
    <row r="198" spans="4:9" x14ac:dyDescent="0.2">
      <c r="D198" s="2">
        <v>189</v>
      </c>
      <c r="E198" s="39"/>
      <c r="F198" s="28"/>
      <c r="G198" s="29"/>
      <c r="H198" s="29"/>
      <c r="I198" s="69" t="str">
        <f t="shared" si="3"/>
        <v>189</v>
      </c>
    </row>
    <row r="199" spans="4:9" x14ac:dyDescent="0.2">
      <c r="D199" s="2">
        <v>190</v>
      </c>
      <c r="E199" s="39"/>
      <c r="F199" s="28"/>
      <c r="G199" s="29"/>
      <c r="H199" s="29"/>
      <c r="I199" s="69" t="str">
        <f t="shared" si="3"/>
        <v>190</v>
      </c>
    </row>
    <row r="200" spans="4:9" x14ac:dyDescent="0.2">
      <c r="D200" s="2">
        <v>191</v>
      </c>
      <c r="E200" s="39"/>
      <c r="F200" s="28"/>
      <c r="G200" s="29"/>
      <c r="H200" s="29"/>
      <c r="I200" s="69" t="str">
        <f t="shared" si="3"/>
        <v>191</v>
      </c>
    </row>
    <row r="201" spans="4:9" x14ac:dyDescent="0.2">
      <c r="D201" s="2">
        <v>192</v>
      </c>
      <c r="E201" s="39"/>
      <c r="F201" s="28"/>
      <c r="G201" s="29"/>
      <c r="H201" s="29"/>
      <c r="I201" s="69" t="str">
        <f t="shared" si="3"/>
        <v>192</v>
      </c>
    </row>
    <row r="202" spans="4:9" x14ac:dyDescent="0.2">
      <c r="D202" s="2">
        <v>193</v>
      </c>
      <c r="E202" s="39"/>
      <c r="F202" s="28"/>
      <c r="G202" s="29"/>
      <c r="H202" s="29"/>
      <c r="I202" s="69" t="str">
        <f t="shared" si="3"/>
        <v>193</v>
      </c>
    </row>
    <row r="203" spans="4:9" x14ac:dyDescent="0.2">
      <c r="D203" s="2">
        <v>194</v>
      </c>
      <c r="E203" s="39"/>
      <c r="F203" s="28"/>
      <c r="G203" s="29"/>
      <c r="H203" s="29"/>
      <c r="I203" s="69" t="str">
        <f t="shared" ref="I203:I266" si="4">+D203&amp;E203</f>
        <v>194</v>
      </c>
    </row>
    <row r="204" spans="4:9" x14ac:dyDescent="0.2">
      <c r="D204" s="2">
        <v>195</v>
      </c>
      <c r="E204" s="39"/>
      <c r="F204" s="28"/>
      <c r="G204" s="29"/>
      <c r="H204" s="29"/>
      <c r="I204" s="69" t="str">
        <f t="shared" si="4"/>
        <v>195</v>
      </c>
    </row>
    <row r="205" spans="4:9" x14ac:dyDescent="0.2">
      <c r="D205" s="2">
        <v>196</v>
      </c>
      <c r="E205" s="39"/>
      <c r="F205" s="28"/>
      <c r="G205" s="29"/>
      <c r="H205" s="29"/>
      <c r="I205" s="69" t="str">
        <f t="shared" si="4"/>
        <v>196</v>
      </c>
    </row>
    <row r="206" spans="4:9" x14ac:dyDescent="0.2">
      <c r="D206" s="2">
        <v>197</v>
      </c>
      <c r="E206" s="39"/>
      <c r="F206" s="28"/>
      <c r="G206" s="29"/>
      <c r="H206" s="29"/>
      <c r="I206" s="69" t="str">
        <f t="shared" si="4"/>
        <v>197</v>
      </c>
    </row>
    <row r="207" spans="4:9" x14ac:dyDescent="0.2">
      <c r="D207" s="2">
        <v>198</v>
      </c>
      <c r="E207" s="39"/>
      <c r="F207" s="28"/>
      <c r="G207" s="29"/>
      <c r="H207" s="29"/>
      <c r="I207" s="69" t="str">
        <f t="shared" si="4"/>
        <v>198</v>
      </c>
    </row>
    <row r="208" spans="4:9" x14ac:dyDescent="0.2">
      <c r="D208" s="2">
        <v>199</v>
      </c>
      <c r="E208" s="39"/>
      <c r="F208" s="28"/>
      <c r="G208" s="29"/>
      <c r="H208" s="29"/>
      <c r="I208" s="69" t="str">
        <f t="shared" si="4"/>
        <v>199</v>
      </c>
    </row>
    <row r="209" spans="1:9" x14ac:dyDescent="0.2">
      <c r="D209" s="2">
        <v>200</v>
      </c>
      <c r="E209" s="39"/>
      <c r="F209" s="28"/>
      <c r="G209" s="29"/>
      <c r="H209" s="29"/>
      <c r="I209" s="69" t="str">
        <f t="shared" si="4"/>
        <v>200</v>
      </c>
    </row>
    <row r="210" spans="1:9" x14ac:dyDescent="0.2">
      <c r="D210" s="2">
        <v>201</v>
      </c>
      <c r="E210" s="39"/>
      <c r="F210" s="28"/>
      <c r="G210" s="29"/>
      <c r="H210" s="29"/>
      <c r="I210" s="69" t="str">
        <f t="shared" si="4"/>
        <v>201</v>
      </c>
    </row>
    <row r="211" spans="1:9" x14ac:dyDescent="0.2">
      <c r="D211" s="2">
        <v>202</v>
      </c>
      <c r="E211" s="39"/>
      <c r="F211" s="28"/>
      <c r="G211" s="29"/>
      <c r="H211" s="29"/>
      <c r="I211" s="69" t="str">
        <f t="shared" si="4"/>
        <v>202</v>
      </c>
    </row>
    <row r="212" spans="1:9" x14ac:dyDescent="0.2">
      <c r="D212" s="2">
        <v>203</v>
      </c>
      <c r="E212" s="39"/>
      <c r="F212" s="28"/>
      <c r="G212" s="29"/>
      <c r="H212" s="29"/>
      <c r="I212" s="69" t="str">
        <f t="shared" si="4"/>
        <v>203</v>
      </c>
    </row>
    <row r="213" spans="1:9" x14ac:dyDescent="0.2">
      <c r="D213" s="2">
        <v>204</v>
      </c>
      <c r="E213" s="39"/>
      <c r="F213" s="28"/>
      <c r="G213" s="29"/>
      <c r="H213" s="29"/>
      <c r="I213" s="69" t="str">
        <f t="shared" si="4"/>
        <v>204</v>
      </c>
    </row>
    <row r="214" spans="1:9" x14ac:dyDescent="0.2">
      <c r="D214" s="2">
        <v>205</v>
      </c>
      <c r="E214" s="39"/>
      <c r="F214" s="28"/>
      <c r="G214" s="29"/>
      <c r="H214" s="29"/>
      <c r="I214" s="69" t="str">
        <f t="shared" si="4"/>
        <v>205</v>
      </c>
    </row>
    <row r="215" spans="1:9" x14ac:dyDescent="0.2">
      <c r="D215" s="2">
        <v>206</v>
      </c>
      <c r="E215" s="39"/>
      <c r="F215" s="28"/>
      <c r="G215" s="29"/>
      <c r="H215" s="29"/>
      <c r="I215" s="69" t="str">
        <f t="shared" si="4"/>
        <v>206</v>
      </c>
    </row>
    <row r="216" spans="1:9" x14ac:dyDescent="0.2">
      <c r="D216" s="2">
        <v>207</v>
      </c>
      <c r="E216" s="39"/>
      <c r="F216" s="28"/>
      <c r="G216" s="29"/>
      <c r="H216" s="29"/>
      <c r="I216" s="69" t="str">
        <f t="shared" si="4"/>
        <v>207</v>
      </c>
    </row>
    <row r="217" spans="1:9" x14ac:dyDescent="0.2">
      <c r="D217" s="2">
        <v>208</v>
      </c>
      <c r="E217" s="39"/>
      <c r="F217" s="28"/>
      <c r="G217" s="29"/>
      <c r="H217" s="29"/>
      <c r="I217" s="69" t="str">
        <f t="shared" si="4"/>
        <v>208</v>
      </c>
    </row>
    <row r="218" spans="1:9" x14ac:dyDescent="0.2">
      <c r="D218" s="2">
        <v>209</v>
      </c>
      <c r="E218" s="39"/>
      <c r="F218" s="28"/>
      <c r="G218" s="29"/>
      <c r="H218" s="29"/>
      <c r="I218" s="69" t="str">
        <f t="shared" si="4"/>
        <v>209</v>
      </c>
    </row>
    <row r="219" spans="1:9" x14ac:dyDescent="0.2">
      <c r="B219" t="s">
        <v>187</v>
      </c>
      <c r="D219" s="2">
        <v>210</v>
      </c>
      <c r="E219" s="39"/>
      <c r="F219" s="28"/>
      <c r="G219" s="29"/>
      <c r="H219" s="29"/>
      <c r="I219" s="69" t="str">
        <f t="shared" si="4"/>
        <v>210</v>
      </c>
    </row>
    <row r="220" spans="1:9" x14ac:dyDescent="0.2">
      <c r="D220" s="2">
        <v>211</v>
      </c>
      <c r="E220" s="39"/>
      <c r="F220" s="28"/>
      <c r="G220" s="29"/>
      <c r="H220" s="29"/>
      <c r="I220" s="69" t="str">
        <f t="shared" si="4"/>
        <v>211</v>
      </c>
    </row>
    <row r="221" spans="1:9" x14ac:dyDescent="0.2">
      <c r="A221" t="s">
        <v>184</v>
      </c>
      <c r="D221" s="2">
        <v>212</v>
      </c>
      <c r="E221" s="39"/>
      <c r="F221" s="28"/>
      <c r="G221" s="29"/>
      <c r="H221" s="29"/>
      <c r="I221" s="69" t="str">
        <f t="shared" si="4"/>
        <v>212</v>
      </c>
    </row>
    <row r="222" spans="1:9" x14ac:dyDescent="0.2">
      <c r="A222" t="s">
        <v>185</v>
      </c>
      <c r="D222" s="2">
        <v>213</v>
      </c>
      <c r="E222" s="39"/>
      <c r="F222" s="28"/>
      <c r="G222" s="29"/>
      <c r="H222" s="29"/>
      <c r="I222" s="69" t="str">
        <f t="shared" si="4"/>
        <v>213</v>
      </c>
    </row>
    <row r="223" spans="1:9" x14ac:dyDescent="0.2">
      <c r="D223" s="2">
        <v>214</v>
      </c>
      <c r="E223" s="39"/>
      <c r="F223" s="28"/>
      <c r="G223" s="29"/>
      <c r="H223" s="29"/>
      <c r="I223" s="69" t="str">
        <f t="shared" si="4"/>
        <v>214</v>
      </c>
    </row>
    <row r="224" spans="1:9" x14ac:dyDescent="0.2">
      <c r="A224" t="s">
        <v>186</v>
      </c>
      <c r="D224" s="2">
        <v>215</v>
      </c>
      <c r="E224" s="39"/>
      <c r="F224" s="28"/>
      <c r="G224" s="29"/>
      <c r="H224" s="29"/>
      <c r="I224" s="69" t="str">
        <f t="shared" si="4"/>
        <v>215</v>
      </c>
    </row>
    <row r="225" spans="4:9" x14ac:dyDescent="0.2">
      <c r="D225" s="2">
        <v>216</v>
      </c>
      <c r="E225" s="39"/>
      <c r="F225" s="28"/>
      <c r="G225" s="29"/>
      <c r="H225" s="29"/>
      <c r="I225" s="69" t="str">
        <f t="shared" si="4"/>
        <v>216</v>
      </c>
    </row>
    <row r="226" spans="4:9" x14ac:dyDescent="0.2">
      <c r="D226" s="2">
        <v>217</v>
      </c>
      <c r="E226" s="39"/>
      <c r="F226" s="28"/>
      <c r="G226" s="29"/>
      <c r="H226" s="29"/>
      <c r="I226" s="69" t="str">
        <f t="shared" si="4"/>
        <v>217</v>
      </c>
    </row>
    <row r="227" spans="4:9" x14ac:dyDescent="0.2">
      <c r="D227" s="2">
        <v>218</v>
      </c>
      <c r="E227" s="39"/>
      <c r="F227" s="28"/>
      <c r="G227" s="29"/>
      <c r="H227" s="29"/>
      <c r="I227" s="69" t="str">
        <f t="shared" si="4"/>
        <v>218</v>
      </c>
    </row>
    <row r="228" spans="4:9" x14ac:dyDescent="0.2">
      <c r="D228" s="2">
        <v>219</v>
      </c>
      <c r="E228" s="39"/>
      <c r="F228" s="28"/>
      <c r="G228" s="29"/>
      <c r="H228" s="29"/>
      <c r="I228" s="69" t="str">
        <f t="shared" si="4"/>
        <v>219</v>
      </c>
    </row>
    <row r="229" spans="4:9" x14ac:dyDescent="0.2">
      <c r="D229" s="2">
        <v>220</v>
      </c>
      <c r="E229" s="39"/>
      <c r="F229" s="28"/>
      <c r="G229" s="29"/>
      <c r="H229" s="29"/>
      <c r="I229" s="69" t="str">
        <f t="shared" si="4"/>
        <v>220</v>
      </c>
    </row>
    <row r="230" spans="4:9" x14ac:dyDescent="0.2">
      <c r="D230" s="2">
        <v>221</v>
      </c>
      <c r="E230" s="39"/>
      <c r="F230" s="28"/>
      <c r="G230" s="29"/>
      <c r="H230" s="29"/>
      <c r="I230" s="69" t="str">
        <f t="shared" si="4"/>
        <v>221</v>
      </c>
    </row>
    <row r="231" spans="4:9" x14ac:dyDescent="0.2">
      <c r="D231" s="2">
        <v>222</v>
      </c>
      <c r="E231" s="39"/>
      <c r="F231" s="28"/>
      <c r="G231" s="29"/>
      <c r="H231" s="29"/>
      <c r="I231" s="69" t="str">
        <f t="shared" si="4"/>
        <v>222</v>
      </c>
    </row>
    <row r="232" spans="4:9" x14ac:dyDescent="0.2">
      <c r="D232" s="2">
        <v>223</v>
      </c>
      <c r="E232" s="39"/>
      <c r="F232" s="28"/>
      <c r="G232" s="29"/>
      <c r="H232" s="29"/>
      <c r="I232" s="69" t="str">
        <f t="shared" si="4"/>
        <v>223</v>
      </c>
    </row>
    <row r="233" spans="4:9" x14ac:dyDescent="0.2">
      <c r="D233" s="2">
        <v>224</v>
      </c>
      <c r="E233" s="39"/>
      <c r="F233" s="28"/>
      <c r="G233" s="29"/>
      <c r="H233" s="29"/>
      <c r="I233" s="69" t="str">
        <f t="shared" si="4"/>
        <v>224</v>
      </c>
    </row>
    <row r="234" spans="4:9" x14ac:dyDescent="0.2">
      <c r="D234" s="2">
        <v>225</v>
      </c>
      <c r="E234" s="39"/>
      <c r="F234" s="28"/>
      <c r="G234" s="29"/>
      <c r="H234" s="29"/>
      <c r="I234" s="69" t="str">
        <f t="shared" si="4"/>
        <v>225</v>
      </c>
    </row>
    <row r="235" spans="4:9" x14ac:dyDescent="0.2">
      <c r="D235" s="2">
        <v>226</v>
      </c>
      <c r="E235" s="39"/>
      <c r="F235" s="28"/>
      <c r="G235" s="29"/>
      <c r="H235" s="29"/>
      <c r="I235" s="69" t="str">
        <f t="shared" si="4"/>
        <v>226</v>
      </c>
    </row>
    <row r="236" spans="4:9" x14ac:dyDescent="0.2">
      <c r="D236" s="2">
        <v>227</v>
      </c>
      <c r="E236" s="39"/>
      <c r="F236" s="28"/>
      <c r="G236" s="29"/>
      <c r="H236" s="29"/>
      <c r="I236" s="69" t="str">
        <f t="shared" si="4"/>
        <v>227</v>
      </c>
    </row>
    <row r="237" spans="4:9" x14ac:dyDescent="0.2">
      <c r="D237" s="2">
        <v>228</v>
      </c>
      <c r="E237" s="39"/>
      <c r="F237" s="28"/>
      <c r="G237" s="29"/>
      <c r="H237" s="29"/>
      <c r="I237" s="69" t="str">
        <f t="shared" si="4"/>
        <v>228</v>
      </c>
    </row>
    <row r="238" spans="4:9" x14ac:dyDescent="0.2">
      <c r="D238" s="2">
        <v>229</v>
      </c>
      <c r="E238" s="39"/>
      <c r="F238" s="28"/>
      <c r="G238" s="29"/>
      <c r="H238" s="29"/>
      <c r="I238" s="69" t="str">
        <f t="shared" si="4"/>
        <v>229</v>
      </c>
    </row>
    <row r="239" spans="4:9" x14ac:dyDescent="0.2">
      <c r="D239" s="2">
        <v>230</v>
      </c>
      <c r="E239" s="39"/>
      <c r="F239" s="28"/>
      <c r="G239" s="29"/>
      <c r="H239" s="29"/>
      <c r="I239" s="69" t="str">
        <f t="shared" si="4"/>
        <v>230</v>
      </c>
    </row>
    <row r="240" spans="4:9" x14ac:dyDescent="0.2">
      <c r="D240" s="2">
        <v>231</v>
      </c>
      <c r="E240" s="39"/>
      <c r="F240" s="28"/>
      <c r="G240" s="29"/>
      <c r="H240" s="29"/>
      <c r="I240" s="69" t="str">
        <f t="shared" si="4"/>
        <v>231</v>
      </c>
    </row>
    <row r="241" spans="4:9" x14ac:dyDescent="0.2">
      <c r="D241" s="2">
        <v>232</v>
      </c>
      <c r="E241" s="39"/>
      <c r="F241" s="28"/>
      <c r="G241" s="29"/>
      <c r="H241" s="29"/>
      <c r="I241" s="69" t="str">
        <f t="shared" si="4"/>
        <v>232</v>
      </c>
    </row>
    <row r="242" spans="4:9" x14ac:dyDescent="0.2">
      <c r="D242" s="2">
        <v>233</v>
      </c>
      <c r="E242" s="39"/>
      <c r="F242" s="28"/>
      <c r="G242" s="29"/>
      <c r="H242" s="29"/>
      <c r="I242" s="69" t="str">
        <f t="shared" si="4"/>
        <v>233</v>
      </c>
    </row>
    <row r="243" spans="4:9" x14ac:dyDescent="0.2">
      <c r="D243" s="2">
        <v>234</v>
      </c>
      <c r="E243" s="39"/>
      <c r="F243" s="28"/>
      <c r="G243" s="29"/>
      <c r="H243" s="29"/>
      <c r="I243" s="69" t="str">
        <f t="shared" si="4"/>
        <v>234</v>
      </c>
    </row>
    <row r="244" spans="4:9" x14ac:dyDescent="0.2">
      <c r="D244" s="2">
        <v>235</v>
      </c>
      <c r="E244" s="39"/>
      <c r="F244" s="28"/>
      <c r="G244" s="29"/>
      <c r="H244" s="29"/>
      <c r="I244" s="69" t="str">
        <f t="shared" si="4"/>
        <v>235</v>
      </c>
    </row>
    <row r="245" spans="4:9" x14ac:dyDescent="0.2">
      <c r="D245" s="2">
        <v>236</v>
      </c>
      <c r="E245" s="39"/>
      <c r="F245" s="28"/>
      <c r="G245" s="29"/>
      <c r="H245" s="29"/>
      <c r="I245" s="69" t="str">
        <f t="shared" si="4"/>
        <v>236</v>
      </c>
    </row>
    <row r="246" spans="4:9" x14ac:dyDescent="0.2">
      <c r="D246" s="2">
        <v>237</v>
      </c>
      <c r="E246" s="39"/>
      <c r="F246" s="28"/>
      <c r="G246" s="29"/>
      <c r="H246" s="29"/>
      <c r="I246" s="69" t="str">
        <f t="shared" si="4"/>
        <v>237</v>
      </c>
    </row>
    <row r="247" spans="4:9" x14ac:dyDescent="0.2">
      <c r="D247" s="2">
        <v>238</v>
      </c>
      <c r="E247" s="39"/>
      <c r="F247" s="28"/>
      <c r="G247" s="29"/>
      <c r="H247" s="29"/>
      <c r="I247" s="69" t="str">
        <f t="shared" si="4"/>
        <v>238</v>
      </c>
    </row>
    <row r="248" spans="4:9" x14ac:dyDescent="0.2">
      <c r="D248" s="2">
        <v>239</v>
      </c>
      <c r="E248" s="39"/>
      <c r="F248" s="28"/>
      <c r="G248" s="29"/>
      <c r="H248" s="29"/>
      <c r="I248" s="69" t="str">
        <f t="shared" si="4"/>
        <v>239</v>
      </c>
    </row>
    <row r="249" spans="4:9" x14ac:dyDescent="0.2">
      <c r="D249" s="2">
        <v>240</v>
      </c>
      <c r="E249" s="39"/>
      <c r="F249" s="28"/>
      <c r="G249" s="29"/>
      <c r="H249" s="29"/>
      <c r="I249" s="69" t="str">
        <f t="shared" si="4"/>
        <v>240</v>
      </c>
    </row>
    <row r="250" spans="4:9" x14ac:dyDescent="0.2">
      <c r="D250" s="2">
        <v>241</v>
      </c>
      <c r="E250" s="39"/>
      <c r="F250" s="28"/>
      <c r="G250" s="29"/>
      <c r="H250" s="29"/>
      <c r="I250" s="69" t="str">
        <f t="shared" si="4"/>
        <v>241</v>
      </c>
    </row>
    <row r="251" spans="4:9" x14ac:dyDescent="0.2">
      <c r="D251" s="2">
        <v>242</v>
      </c>
      <c r="E251" s="39"/>
      <c r="F251" s="28"/>
      <c r="G251" s="29"/>
      <c r="H251" s="29"/>
      <c r="I251" s="69" t="str">
        <f t="shared" si="4"/>
        <v>242</v>
      </c>
    </row>
    <row r="252" spans="4:9" x14ac:dyDescent="0.2">
      <c r="D252" s="2">
        <v>243</v>
      </c>
      <c r="E252" s="39"/>
      <c r="F252" s="28"/>
      <c r="G252" s="29"/>
      <c r="H252" s="29"/>
      <c r="I252" s="69" t="str">
        <f t="shared" si="4"/>
        <v>243</v>
      </c>
    </row>
    <row r="253" spans="4:9" x14ac:dyDescent="0.2">
      <c r="D253" s="2">
        <v>244</v>
      </c>
      <c r="E253" s="39"/>
      <c r="F253" s="28"/>
      <c r="G253" s="29"/>
      <c r="H253" s="29"/>
      <c r="I253" s="69" t="str">
        <f t="shared" si="4"/>
        <v>244</v>
      </c>
    </row>
    <row r="254" spans="4:9" x14ac:dyDescent="0.2">
      <c r="D254" s="2">
        <v>245</v>
      </c>
      <c r="E254" s="39"/>
      <c r="F254" s="28"/>
      <c r="G254" s="29"/>
      <c r="H254" s="29"/>
      <c r="I254" s="69" t="str">
        <f t="shared" si="4"/>
        <v>245</v>
      </c>
    </row>
    <row r="255" spans="4:9" x14ac:dyDescent="0.2">
      <c r="D255" s="2">
        <v>246</v>
      </c>
      <c r="E255" s="39"/>
      <c r="F255" s="28"/>
      <c r="G255" s="29"/>
      <c r="H255" s="29"/>
      <c r="I255" s="69" t="str">
        <f t="shared" si="4"/>
        <v>246</v>
      </c>
    </row>
    <row r="256" spans="4:9" x14ac:dyDescent="0.2">
      <c r="D256" s="2">
        <v>247</v>
      </c>
      <c r="E256" s="39"/>
      <c r="F256" s="28"/>
      <c r="G256" s="29"/>
      <c r="H256" s="29"/>
      <c r="I256" s="69" t="str">
        <f t="shared" si="4"/>
        <v>247</v>
      </c>
    </row>
    <row r="257" spans="4:9" x14ac:dyDescent="0.2">
      <c r="D257" s="2">
        <v>248</v>
      </c>
      <c r="E257" s="39"/>
      <c r="F257" s="28"/>
      <c r="G257" s="29"/>
      <c r="H257" s="29"/>
      <c r="I257" s="69" t="str">
        <f t="shared" si="4"/>
        <v>248</v>
      </c>
    </row>
    <row r="258" spans="4:9" x14ac:dyDescent="0.2">
      <c r="D258" s="2">
        <v>249</v>
      </c>
      <c r="E258" s="39"/>
      <c r="F258" s="28"/>
      <c r="G258" s="29"/>
      <c r="H258" s="29"/>
      <c r="I258" s="69" t="str">
        <f t="shared" si="4"/>
        <v>249</v>
      </c>
    </row>
    <row r="259" spans="4:9" x14ac:dyDescent="0.2">
      <c r="D259" s="2">
        <v>250</v>
      </c>
      <c r="E259" s="39"/>
      <c r="F259" s="28"/>
      <c r="G259" s="29"/>
      <c r="H259" s="29"/>
      <c r="I259" s="69" t="str">
        <f t="shared" si="4"/>
        <v>250</v>
      </c>
    </row>
    <row r="260" spans="4:9" x14ac:dyDescent="0.2">
      <c r="D260" s="2">
        <v>251</v>
      </c>
      <c r="E260" s="39"/>
      <c r="F260" s="28"/>
      <c r="G260" s="29"/>
      <c r="H260" s="29"/>
      <c r="I260" s="69" t="str">
        <f t="shared" si="4"/>
        <v>251</v>
      </c>
    </row>
    <row r="261" spans="4:9" x14ac:dyDescent="0.2">
      <c r="D261" s="2">
        <v>252</v>
      </c>
      <c r="E261" s="39"/>
      <c r="F261" s="28"/>
      <c r="G261" s="29"/>
      <c r="H261" s="29"/>
      <c r="I261" s="69" t="str">
        <f t="shared" si="4"/>
        <v>252</v>
      </c>
    </row>
    <row r="262" spans="4:9" x14ac:dyDescent="0.2">
      <c r="D262" s="2">
        <v>253</v>
      </c>
      <c r="E262" s="39"/>
      <c r="F262" s="28"/>
      <c r="G262" s="29"/>
      <c r="H262" s="29"/>
      <c r="I262" s="69" t="str">
        <f t="shared" si="4"/>
        <v>253</v>
      </c>
    </row>
    <row r="263" spans="4:9" x14ac:dyDescent="0.2">
      <c r="D263" s="2">
        <v>254</v>
      </c>
      <c r="E263" s="39"/>
      <c r="F263" s="28"/>
      <c r="G263" s="29"/>
      <c r="H263" s="29"/>
      <c r="I263" s="69" t="str">
        <f t="shared" si="4"/>
        <v>254</v>
      </c>
    </row>
    <row r="264" spans="4:9" x14ac:dyDescent="0.2">
      <c r="D264" s="2">
        <v>255</v>
      </c>
      <c r="E264" s="39"/>
      <c r="F264" s="28"/>
      <c r="G264" s="29"/>
      <c r="H264" s="29"/>
      <c r="I264" s="69" t="str">
        <f t="shared" si="4"/>
        <v>255</v>
      </c>
    </row>
    <row r="265" spans="4:9" x14ac:dyDescent="0.2">
      <c r="D265" s="2">
        <v>256</v>
      </c>
      <c r="E265" s="39"/>
      <c r="F265" s="28"/>
      <c r="G265" s="29"/>
      <c r="H265" s="29"/>
      <c r="I265" s="69" t="str">
        <f t="shared" si="4"/>
        <v>256</v>
      </c>
    </row>
    <row r="266" spans="4:9" x14ac:dyDescent="0.2">
      <c r="D266" s="2">
        <v>257</v>
      </c>
      <c r="E266" s="39"/>
      <c r="F266" s="28"/>
      <c r="G266" s="29"/>
      <c r="H266" s="29"/>
      <c r="I266" s="69" t="str">
        <f t="shared" si="4"/>
        <v>257</v>
      </c>
    </row>
    <row r="267" spans="4:9" x14ac:dyDescent="0.2">
      <c r="D267" s="2">
        <v>258</v>
      </c>
      <c r="E267" s="39"/>
      <c r="F267" s="28"/>
      <c r="G267" s="29"/>
      <c r="H267" s="29"/>
      <c r="I267" s="69" t="str">
        <f t="shared" ref="I267:I330" si="5">+D267&amp;E267</f>
        <v>258</v>
      </c>
    </row>
    <row r="268" spans="4:9" x14ac:dyDescent="0.2">
      <c r="D268" s="2">
        <v>259</v>
      </c>
      <c r="E268" s="39"/>
      <c r="F268" s="28"/>
      <c r="G268" s="29"/>
      <c r="H268" s="29"/>
      <c r="I268" s="69" t="str">
        <f t="shared" si="5"/>
        <v>259</v>
      </c>
    </row>
    <row r="269" spans="4:9" x14ac:dyDescent="0.2">
      <c r="D269" s="2">
        <v>260</v>
      </c>
      <c r="E269" s="39"/>
      <c r="F269" s="28"/>
      <c r="G269" s="29"/>
      <c r="H269" s="29"/>
      <c r="I269" s="69" t="str">
        <f t="shared" si="5"/>
        <v>260</v>
      </c>
    </row>
    <row r="270" spans="4:9" x14ac:dyDescent="0.2">
      <c r="D270" s="2">
        <v>261</v>
      </c>
      <c r="E270" s="39"/>
      <c r="F270" s="28"/>
      <c r="G270" s="29"/>
      <c r="H270" s="29"/>
      <c r="I270" s="69" t="str">
        <f t="shared" si="5"/>
        <v>261</v>
      </c>
    </row>
    <row r="271" spans="4:9" x14ac:dyDescent="0.2">
      <c r="D271" s="2">
        <v>262</v>
      </c>
      <c r="E271" s="39"/>
      <c r="F271" s="28"/>
      <c r="G271" s="29"/>
      <c r="H271" s="29"/>
      <c r="I271" s="69" t="str">
        <f t="shared" si="5"/>
        <v>262</v>
      </c>
    </row>
    <row r="272" spans="4:9" x14ac:dyDescent="0.2">
      <c r="D272" s="2">
        <v>263</v>
      </c>
      <c r="E272" s="39"/>
      <c r="F272" s="28"/>
      <c r="G272" s="29"/>
      <c r="H272" s="29"/>
      <c r="I272" s="69" t="str">
        <f t="shared" si="5"/>
        <v>263</v>
      </c>
    </row>
    <row r="273" spans="4:9" x14ac:dyDescent="0.2">
      <c r="D273" s="2">
        <v>264</v>
      </c>
      <c r="E273" s="39"/>
      <c r="F273" s="28"/>
      <c r="G273" s="29"/>
      <c r="H273" s="29"/>
      <c r="I273" s="69" t="str">
        <f t="shared" si="5"/>
        <v>264</v>
      </c>
    </row>
    <row r="274" spans="4:9" x14ac:dyDescent="0.2">
      <c r="D274" s="2">
        <v>265</v>
      </c>
      <c r="E274" s="39"/>
      <c r="F274" s="28"/>
      <c r="G274" s="29"/>
      <c r="H274" s="29"/>
      <c r="I274" s="69" t="str">
        <f t="shared" si="5"/>
        <v>265</v>
      </c>
    </row>
    <row r="275" spans="4:9" x14ac:dyDescent="0.2">
      <c r="D275" s="2">
        <v>266</v>
      </c>
      <c r="E275" s="39"/>
      <c r="F275" s="28"/>
      <c r="G275" s="29"/>
      <c r="H275" s="29"/>
      <c r="I275" s="69" t="str">
        <f t="shared" si="5"/>
        <v>266</v>
      </c>
    </row>
    <row r="276" spans="4:9" x14ac:dyDescent="0.2">
      <c r="D276" s="2">
        <v>267</v>
      </c>
      <c r="E276" s="39"/>
      <c r="F276" s="28"/>
      <c r="G276" s="29"/>
      <c r="H276" s="29"/>
      <c r="I276" s="69" t="str">
        <f t="shared" si="5"/>
        <v>267</v>
      </c>
    </row>
    <row r="277" spans="4:9" x14ac:dyDescent="0.2">
      <c r="D277" s="2">
        <v>268</v>
      </c>
      <c r="E277" s="39"/>
      <c r="F277" s="28"/>
      <c r="G277" s="29"/>
      <c r="H277" s="29"/>
      <c r="I277" s="69" t="str">
        <f t="shared" si="5"/>
        <v>268</v>
      </c>
    </row>
    <row r="278" spans="4:9" x14ac:dyDescent="0.2">
      <c r="D278" s="2">
        <v>269</v>
      </c>
      <c r="E278" s="39"/>
      <c r="F278" s="28"/>
      <c r="G278" s="29"/>
      <c r="H278" s="29"/>
      <c r="I278" s="69" t="str">
        <f t="shared" si="5"/>
        <v>269</v>
      </c>
    </row>
    <row r="279" spans="4:9" x14ac:dyDescent="0.2">
      <c r="D279" s="2">
        <v>270</v>
      </c>
      <c r="E279" s="39"/>
      <c r="F279" s="28"/>
      <c r="G279" s="29"/>
      <c r="H279" s="29"/>
      <c r="I279" s="69" t="str">
        <f t="shared" si="5"/>
        <v>270</v>
      </c>
    </row>
    <row r="280" spans="4:9" x14ac:dyDescent="0.2">
      <c r="D280" s="2">
        <v>271</v>
      </c>
      <c r="E280" s="39"/>
      <c r="F280" s="28"/>
      <c r="G280" s="29"/>
      <c r="H280" s="29"/>
      <c r="I280" s="69" t="str">
        <f t="shared" si="5"/>
        <v>271</v>
      </c>
    </row>
    <row r="281" spans="4:9" x14ac:dyDescent="0.2">
      <c r="D281" s="2">
        <v>272</v>
      </c>
      <c r="E281" s="39"/>
      <c r="F281" s="28"/>
      <c r="G281" s="29"/>
      <c r="H281" s="29"/>
      <c r="I281" s="69" t="str">
        <f t="shared" si="5"/>
        <v>272</v>
      </c>
    </row>
    <row r="282" spans="4:9" x14ac:dyDescent="0.2">
      <c r="D282" s="2">
        <v>273</v>
      </c>
      <c r="E282" s="39"/>
      <c r="F282" s="28"/>
      <c r="G282" s="29"/>
      <c r="H282" s="29"/>
      <c r="I282" s="69" t="str">
        <f t="shared" si="5"/>
        <v>273</v>
      </c>
    </row>
    <row r="283" spans="4:9" x14ac:dyDescent="0.2">
      <c r="D283" s="2">
        <v>274</v>
      </c>
      <c r="E283" s="39"/>
      <c r="F283" s="28"/>
      <c r="G283" s="29"/>
      <c r="H283" s="29"/>
      <c r="I283" s="69" t="str">
        <f t="shared" si="5"/>
        <v>274</v>
      </c>
    </row>
    <row r="284" spans="4:9" x14ac:dyDescent="0.2">
      <c r="D284" s="2">
        <v>275</v>
      </c>
      <c r="E284" s="39"/>
      <c r="F284" s="28"/>
      <c r="G284" s="29"/>
      <c r="H284" s="29"/>
      <c r="I284" s="69" t="str">
        <f t="shared" si="5"/>
        <v>275</v>
      </c>
    </row>
    <row r="285" spans="4:9" x14ac:dyDescent="0.2">
      <c r="D285" s="2">
        <v>276</v>
      </c>
      <c r="E285" s="39"/>
      <c r="F285" s="28"/>
      <c r="G285" s="29"/>
      <c r="H285" s="29"/>
      <c r="I285" s="69" t="str">
        <f t="shared" si="5"/>
        <v>276</v>
      </c>
    </row>
    <row r="286" spans="4:9" x14ac:dyDescent="0.2">
      <c r="D286" s="2">
        <v>277</v>
      </c>
      <c r="E286" s="39"/>
      <c r="F286" s="28"/>
      <c r="G286" s="29"/>
      <c r="H286" s="29"/>
      <c r="I286" s="69" t="str">
        <f t="shared" si="5"/>
        <v>277</v>
      </c>
    </row>
    <row r="287" spans="4:9" x14ac:dyDescent="0.2">
      <c r="D287" s="2">
        <v>278</v>
      </c>
      <c r="E287" s="39"/>
      <c r="F287" s="28"/>
      <c r="G287" s="29"/>
      <c r="H287" s="29"/>
      <c r="I287" s="69" t="str">
        <f t="shared" si="5"/>
        <v>278</v>
      </c>
    </row>
    <row r="288" spans="4:9" x14ac:dyDescent="0.2">
      <c r="D288" s="2">
        <v>279</v>
      </c>
      <c r="E288" s="39"/>
      <c r="F288" s="28"/>
      <c r="G288" s="29"/>
      <c r="H288" s="29"/>
      <c r="I288" s="69" t="str">
        <f t="shared" si="5"/>
        <v>279</v>
      </c>
    </row>
    <row r="289" spans="4:9" x14ac:dyDescent="0.2">
      <c r="D289" s="2">
        <v>280</v>
      </c>
      <c r="E289" s="39"/>
      <c r="F289" s="28"/>
      <c r="G289" s="29"/>
      <c r="H289" s="29"/>
      <c r="I289" s="69" t="str">
        <f t="shared" si="5"/>
        <v>280</v>
      </c>
    </row>
    <row r="290" spans="4:9" x14ac:dyDescent="0.2">
      <c r="D290" s="2">
        <v>281</v>
      </c>
      <c r="E290" s="39"/>
      <c r="F290" s="28"/>
      <c r="G290" s="29"/>
      <c r="H290" s="29"/>
      <c r="I290" s="69" t="str">
        <f t="shared" si="5"/>
        <v>281</v>
      </c>
    </row>
    <row r="291" spans="4:9" x14ac:dyDescent="0.2">
      <c r="D291" s="2">
        <v>282</v>
      </c>
      <c r="E291" s="39"/>
      <c r="F291" s="28"/>
      <c r="G291" s="29"/>
      <c r="H291" s="29"/>
      <c r="I291" s="69" t="str">
        <f t="shared" si="5"/>
        <v>282</v>
      </c>
    </row>
    <row r="292" spans="4:9" x14ac:dyDescent="0.2">
      <c r="D292" s="2">
        <v>283</v>
      </c>
      <c r="E292" s="39"/>
      <c r="F292" s="28"/>
      <c r="G292" s="29"/>
      <c r="H292" s="29"/>
      <c r="I292" s="69" t="str">
        <f t="shared" si="5"/>
        <v>283</v>
      </c>
    </row>
    <row r="293" spans="4:9" x14ac:dyDescent="0.2">
      <c r="D293" s="2">
        <v>284</v>
      </c>
      <c r="E293" s="39"/>
      <c r="F293" s="28"/>
      <c r="G293" s="29"/>
      <c r="H293" s="29"/>
      <c r="I293" s="69" t="str">
        <f t="shared" si="5"/>
        <v>284</v>
      </c>
    </row>
    <row r="294" spans="4:9" x14ac:dyDescent="0.2">
      <c r="D294" s="2">
        <v>285</v>
      </c>
      <c r="E294" s="39"/>
      <c r="F294" s="28"/>
      <c r="G294" s="29"/>
      <c r="H294" s="29"/>
      <c r="I294" s="69" t="str">
        <f t="shared" si="5"/>
        <v>285</v>
      </c>
    </row>
    <row r="295" spans="4:9" x14ac:dyDescent="0.2">
      <c r="D295" s="2">
        <v>286</v>
      </c>
      <c r="E295" s="39"/>
      <c r="F295" s="28"/>
      <c r="G295" s="29"/>
      <c r="H295" s="29"/>
      <c r="I295" s="69" t="str">
        <f t="shared" si="5"/>
        <v>286</v>
      </c>
    </row>
    <row r="296" spans="4:9" x14ac:dyDescent="0.2">
      <c r="D296" s="2">
        <v>287</v>
      </c>
      <c r="E296" s="39"/>
      <c r="F296" s="28"/>
      <c r="G296" s="29"/>
      <c r="H296" s="29"/>
      <c r="I296" s="69" t="str">
        <f t="shared" si="5"/>
        <v>287</v>
      </c>
    </row>
    <row r="297" spans="4:9" x14ac:dyDescent="0.2">
      <c r="D297" s="2">
        <v>288</v>
      </c>
      <c r="E297" s="39"/>
      <c r="F297" s="28"/>
      <c r="G297" s="29"/>
      <c r="H297" s="29"/>
      <c r="I297" s="69" t="str">
        <f t="shared" si="5"/>
        <v>288</v>
      </c>
    </row>
    <row r="298" spans="4:9" x14ac:dyDescent="0.2">
      <c r="D298" s="2">
        <v>289</v>
      </c>
      <c r="E298" s="39"/>
      <c r="F298" s="28"/>
      <c r="G298" s="29"/>
      <c r="H298" s="29"/>
      <c r="I298" s="69" t="str">
        <f t="shared" si="5"/>
        <v>289</v>
      </c>
    </row>
    <row r="299" spans="4:9" x14ac:dyDescent="0.2">
      <c r="D299" s="2">
        <v>290</v>
      </c>
      <c r="E299" s="39"/>
      <c r="F299" s="28"/>
      <c r="G299" s="29"/>
      <c r="H299" s="29"/>
      <c r="I299" s="69" t="str">
        <f t="shared" si="5"/>
        <v>290</v>
      </c>
    </row>
    <row r="300" spans="4:9" x14ac:dyDescent="0.2">
      <c r="D300" s="2">
        <v>291</v>
      </c>
      <c r="E300" s="39"/>
      <c r="F300" s="28"/>
      <c r="G300" s="29"/>
      <c r="H300" s="29"/>
      <c r="I300" s="69" t="str">
        <f t="shared" si="5"/>
        <v>291</v>
      </c>
    </row>
    <row r="301" spans="4:9" x14ac:dyDescent="0.2">
      <c r="D301" s="2">
        <v>292</v>
      </c>
      <c r="E301" s="39"/>
      <c r="F301" s="28"/>
      <c r="G301" s="29"/>
      <c r="H301" s="29"/>
      <c r="I301" s="69" t="str">
        <f t="shared" si="5"/>
        <v>292</v>
      </c>
    </row>
    <row r="302" spans="4:9" x14ac:dyDescent="0.2">
      <c r="D302" s="2">
        <v>293</v>
      </c>
      <c r="E302" s="39"/>
      <c r="F302" s="28"/>
      <c r="G302" s="29"/>
      <c r="H302" s="29"/>
      <c r="I302" s="69" t="str">
        <f t="shared" si="5"/>
        <v>293</v>
      </c>
    </row>
    <row r="303" spans="4:9" x14ac:dyDescent="0.2">
      <c r="D303" s="2">
        <v>294</v>
      </c>
      <c r="E303" s="39"/>
      <c r="F303" s="28"/>
      <c r="G303" s="29"/>
      <c r="H303" s="29"/>
      <c r="I303" s="69" t="str">
        <f t="shared" si="5"/>
        <v>294</v>
      </c>
    </row>
    <row r="304" spans="4:9" x14ac:dyDescent="0.2">
      <c r="D304" s="2">
        <v>295</v>
      </c>
      <c r="E304" s="39"/>
      <c r="F304" s="28"/>
      <c r="G304" s="29"/>
      <c r="H304" s="29"/>
      <c r="I304" s="69" t="str">
        <f t="shared" si="5"/>
        <v>295</v>
      </c>
    </row>
    <row r="305" spans="4:9" x14ac:dyDescent="0.2">
      <c r="D305" s="2">
        <v>296</v>
      </c>
      <c r="E305" s="39"/>
      <c r="F305" s="28"/>
      <c r="G305" s="29"/>
      <c r="H305" s="29"/>
      <c r="I305" s="69" t="str">
        <f t="shared" si="5"/>
        <v>296</v>
      </c>
    </row>
    <row r="306" spans="4:9" x14ac:dyDescent="0.2">
      <c r="D306" s="2">
        <v>297</v>
      </c>
      <c r="E306" s="39"/>
      <c r="F306" s="28"/>
      <c r="G306" s="29"/>
      <c r="H306" s="29"/>
      <c r="I306" s="69" t="str">
        <f t="shared" si="5"/>
        <v>297</v>
      </c>
    </row>
    <row r="307" spans="4:9" x14ac:dyDescent="0.2">
      <c r="D307" s="2">
        <v>298</v>
      </c>
      <c r="E307" s="39"/>
      <c r="F307" s="28"/>
      <c r="G307" s="29"/>
      <c r="H307" s="29"/>
      <c r="I307" s="69" t="str">
        <f t="shared" si="5"/>
        <v>298</v>
      </c>
    </row>
    <row r="308" spans="4:9" x14ac:dyDescent="0.2">
      <c r="D308" s="2">
        <v>299</v>
      </c>
      <c r="E308" s="39"/>
      <c r="F308" s="28"/>
      <c r="G308" s="29"/>
      <c r="H308" s="29"/>
      <c r="I308" s="69" t="str">
        <f t="shared" si="5"/>
        <v>299</v>
      </c>
    </row>
    <row r="309" spans="4:9" x14ac:dyDescent="0.2">
      <c r="D309" s="2">
        <v>300</v>
      </c>
      <c r="E309" s="39"/>
      <c r="F309" s="28"/>
      <c r="G309" s="29"/>
      <c r="H309" s="29"/>
      <c r="I309" s="69" t="str">
        <f t="shared" si="5"/>
        <v>300</v>
      </c>
    </row>
    <row r="310" spans="4:9" x14ac:dyDescent="0.2">
      <c r="D310" s="2">
        <v>301</v>
      </c>
      <c r="E310" s="39"/>
      <c r="F310" s="28"/>
      <c r="G310" s="29"/>
      <c r="H310" s="29"/>
      <c r="I310" s="69" t="str">
        <f t="shared" si="5"/>
        <v>301</v>
      </c>
    </row>
    <row r="311" spans="4:9" x14ac:dyDescent="0.2">
      <c r="D311" s="2">
        <v>302</v>
      </c>
      <c r="E311" s="39"/>
      <c r="F311" s="28"/>
      <c r="G311" s="29"/>
      <c r="H311" s="29"/>
      <c r="I311" s="69" t="str">
        <f t="shared" si="5"/>
        <v>302</v>
      </c>
    </row>
    <row r="312" spans="4:9" x14ac:dyDescent="0.2">
      <c r="D312" s="2">
        <v>303</v>
      </c>
      <c r="E312" s="39"/>
      <c r="F312" s="28"/>
      <c r="G312" s="29"/>
      <c r="H312" s="29"/>
      <c r="I312" s="69" t="str">
        <f t="shared" si="5"/>
        <v>303</v>
      </c>
    </row>
    <row r="313" spans="4:9" x14ac:dyDescent="0.2">
      <c r="D313" s="2">
        <v>304</v>
      </c>
      <c r="E313" s="39"/>
      <c r="F313" s="28"/>
      <c r="G313" s="29"/>
      <c r="H313" s="29"/>
      <c r="I313" s="69" t="str">
        <f t="shared" si="5"/>
        <v>304</v>
      </c>
    </row>
    <row r="314" spans="4:9" x14ac:dyDescent="0.2">
      <c r="D314" s="2">
        <v>305</v>
      </c>
      <c r="E314" s="39"/>
      <c r="F314" s="28"/>
      <c r="G314" s="29"/>
      <c r="H314" s="29"/>
      <c r="I314" s="69" t="str">
        <f t="shared" si="5"/>
        <v>305</v>
      </c>
    </row>
    <row r="315" spans="4:9" x14ac:dyDescent="0.2">
      <c r="D315" s="2">
        <v>306</v>
      </c>
      <c r="E315" s="39"/>
      <c r="F315" s="28"/>
      <c r="G315" s="29"/>
      <c r="H315" s="29"/>
      <c r="I315" s="69" t="str">
        <f t="shared" si="5"/>
        <v>306</v>
      </c>
    </row>
    <row r="316" spans="4:9" x14ac:dyDescent="0.2">
      <c r="D316" s="2">
        <v>307</v>
      </c>
      <c r="E316" s="39"/>
      <c r="F316" s="28"/>
      <c r="G316" s="29"/>
      <c r="H316" s="29"/>
      <c r="I316" s="69" t="str">
        <f t="shared" si="5"/>
        <v>307</v>
      </c>
    </row>
    <row r="317" spans="4:9" x14ac:dyDescent="0.2">
      <c r="D317" s="2">
        <v>308</v>
      </c>
      <c r="E317" s="39"/>
      <c r="F317" s="28"/>
      <c r="G317" s="29"/>
      <c r="H317" s="29"/>
      <c r="I317" s="69" t="str">
        <f t="shared" si="5"/>
        <v>308</v>
      </c>
    </row>
    <row r="318" spans="4:9" x14ac:dyDescent="0.2">
      <c r="D318" s="2">
        <v>309</v>
      </c>
      <c r="E318" s="39"/>
      <c r="F318" s="28"/>
      <c r="G318" s="29"/>
      <c r="H318" s="29"/>
      <c r="I318" s="69" t="str">
        <f t="shared" si="5"/>
        <v>309</v>
      </c>
    </row>
    <row r="319" spans="4:9" x14ac:dyDescent="0.2">
      <c r="D319" s="2">
        <v>310</v>
      </c>
      <c r="E319" s="39"/>
      <c r="F319" s="28"/>
      <c r="G319" s="29"/>
      <c r="H319" s="29"/>
      <c r="I319" s="69" t="str">
        <f t="shared" si="5"/>
        <v>310</v>
      </c>
    </row>
    <row r="320" spans="4:9" x14ac:dyDescent="0.2">
      <c r="D320" s="2">
        <v>311</v>
      </c>
      <c r="E320" s="39"/>
      <c r="F320" s="28"/>
      <c r="G320" s="29"/>
      <c r="H320" s="29"/>
      <c r="I320" s="69" t="str">
        <f t="shared" si="5"/>
        <v>311</v>
      </c>
    </row>
    <row r="321" spans="4:9" x14ac:dyDescent="0.2">
      <c r="D321" s="2">
        <v>312</v>
      </c>
      <c r="E321" s="39"/>
      <c r="F321" s="28"/>
      <c r="G321" s="29"/>
      <c r="H321" s="29"/>
      <c r="I321" s="69" t="str">
        <f t="shared" si="5"/>
        <v>312</v>
      </c>
    </row>
    <row r="322" spans="4:9" x14ac:dyDescent="0.2">
      <c r="D322" s="2">
        <v>313</v>
      </c>
      <c r="E322" s="39"/>
      <c r="F322" s="28"/>
      <c r="G322" s="29"/>
      <c r="H322" s="29"/>
      <c r="I322" s="69" t="str">
        <f t="shared" si="5"/>
        <v>313</v>
      </c>
    </row>
    <row r="323" spans="4:9" x14ac:dyDescent="0.2">
      <c r="D323" s="2">
        <v>314</v>
      </c>
      <c r="E323" s="39"/>
      <c r="F323" s="28"/>
      <c r="G323" s="29"/>
      <c r="H323" s="29"/>
      <c r="I323" s="69" t="str">
        <f t="shared" si="5"/>
        <v>314</v>
      </c>
    </row>
    <row r="324" spans="4:9" x14ac:dyDescent="0.2">
      <c r="D324" s="2">
        <v>315</v>
      </c>
      <c r="E324" s="39"/>
      <c r="F324" s="28"/>
      <c r="G324" s="29"/>
      <c r="H324" s="29"/>
      <c r="I324" s="69" t="str">
        <f t="shared" si="5"/>
        <v>315</v>
      </c>
    </row>
    <row r="325" spans="4:9" x14ac:dyDescent="0.2">
      <c r="D325" s="2">
        <v>316</v>
      </c>
      <c r="E325" s="39"/>
      <c r="F325" s="28"/>
      <c r="G325" s="29"/>
      <c r="H325" s="29"/>
      <c r="I325" s="69" t="str">
        <f t="shared" si="5"/>
        <v>316</v>
      </c>
    </row>
    <row r="326" spans="4:9" x14ac:dyDescent="0.2">
      <c r="D326" s="2">
        <v>317</v>
      </c>
      <c r="E326" s="39"/>
      <c r="F326" s="28"/>
      <c r="G326" s="29"/>
      <c r="H326" s="29"/>
      <c r="I326" s="69" t="str">
        <f t="shared" si="5"/>
        <v>317</v>
      </c>
    </row>
    <row r="327" spans="4:9" x14ac:dyDescent="0.2">
      <c r="D327" s="2">
        <v>318</v>
      </c>
      <c r="E327" s="39"/>
      <c r="F327" s="28"/>
      <c r="G327" s="29"/>
      <c r="H327" s="29"/>
      <c r="I327" s="69" t="str">
        <f t="shared" si="5"/>
        <v>318</v>
      </c>
    </row>
    <row r="328" spans="4:9" x14ac:dyDescent="0.2">
      <c r="D328" s="2">
        <v>319</v>
      </c>
      <c r="E328" s="39"/>
      <c r="F328" s="28"/>
      <c r="G328" s="29"/>
      <c r="H328" s="29"/>
      <c r="I328" s="69" t="str">
        <f t="shared" si="5"/>
        <v>319</v>
      </c>
    </row>
    <row r="329" spans="4:9" x14ac:dyDescent="0.2">
      <c r="D329" s="2">
        <v>320</v>
      </c>
      <c r="E329" s="39"/>
      <c r="F329" s="28"/>
      <c r="G329" s="29"/>
      <c r="H329" s="29"/>
      <c r="I329" s="69" t="str">
        <f t="shared" si="5"/>
        <v>320</v>
      </c>
    </row>
    <row r="330" spans="4:9" x14ac:dyDescent="0.2">
      <c r="D330" s="2">
        <v>321</v>
      </c>
      <c r="E330" s="39"/>
      <c r="F330" s="28"/>
      <c r="G330" s="29"/>
      <c r="H330" s="29"/>
      <c r="I330" s="69" t="str">
        <f t="shared" si="5"/>
        <v>321</v>
      </c>
    </row>
    <row r="331" spans="4:9" x14ac:dyDescent="0.2">
      <c r="D331" s="2">
        <v>322</v>
      </c>
      <c r="E331" s="39"/>
      <c r="F331" s="28"/>
      <c r="G331" s="29"/>
      <c r="H331" s="29"/>
      <c r="I331" s="69" t="str">
        <f t="shared" ref="I331:I394" si="6">+D331&amp;E331</f>
        <v>322</v>
      </c>
    </row>
    <row r="332" spans="4:9" x14ac:dyDescent="0.2">
      <c r="D332" s="2">
        <v>323</v>
      </c>
      <c r="E332" s="39"/>
      <c r="F332" s="28"/>
      <c r="G332" s="29"/>
      <c r="H332" s="29"/>
      <c r="I332" s="69" t="str">
        <f t="shared" si="6"/>
        <v>323</v>
      </c>
    </row>
    <row r="333" spans="4:9" x14ac:dyDescent="0.2">
      <c r="D333" s="2">
        <v>324</v>
      </c>
      <c r="E333" s="39"/>
      <c r="F333" s="28"/>
      <c r="G333" s="29"/>
      <c r="H333" s="29"/>
      <c r="I333" s="69" t="str">
        <f t="shared" si="6"/>
        <v>324</v>
      </c>
    </row>
    <row r="334" spans="4:9" x14ac:dyDescent="0.2">
      <c r="D334" s="2">
        <v>325</v>
      </c>
      <c r="E334" s="39"/>
      <c r="F334" s="28"/>
      <c r="G334" s="29"/>
      <c r="H334" s="29"/>
      <c r="I334" s="69" t="str">
        <f t="shared" si="6"/>
        <v>325</v>
      </c>
    </row>
    <row r="335" spans="4:9" x14ac:dyDescent="0.2">
      <c r="D335" s="2">
        <v>326</v>
      </c>
      <c r="E335" s="39"/>
      <c r="F335" s="28"/>
      <c r="G335" s="29"/>
      <c r="H335" s="29"/>
      <c r="I335" s="69" t="str">
        <f t="shared" si="6"/>
        <v>326</v>
      </c>
    </row>
    <row r="336" spans="4:9" x14ac:dyDescent="0.2">
      <c r="D336" s="2">
        <v>327</v>
      </c>
      <c r="E336" s="39"/>
      <c r="F336" s="28"/>
      <c r="G336" s="29"/>
      <c r="H336" s="29"/>
      <c r="I336" s="69" t="str">
        <f t="shared" si="6"/>
        <v>327</v>
      </c>
    </row>
    <row r="337" spans="4:9" x14ac:dyDescent="0.2">
      <c r="D337" s="2">
        <v>328</v>
      </c>
      <c r="E337" s="39"/>
      <c r="F337" s="28"/>
      <c r="G337" s="29"/>
      <c r="H337" s="29"/>
      <c r="I337" s="69" t="str">
        <f t="shared" si="6"/>
        <v>328</v>
      </c>
    </row>
    <row r="338" spans="4:9" x14ac:dyDescent="0.2">
      <c r="D338" s="2">
        <v>329</v>
      </c>
      <c r="E338" s="39"/>
      <c r="F338" s="28"/>
      <c r="G338" s="29"/>
      <c r="H338" s="29"/>
      <c r="I338" s="69" t="str">
        <f t="shared" si="6"/>
        <v>329</v>
      </c>
    </row>
    <row r="339" spans="4:9" x14ac:dyDescent="0.2">
      <c r="D339" s="2">
        <v>330</v>
      </c>
      <c r="E339" s="39"/>
      <c r="F339" s="28"/>
      <c r="G339" s="29"/>
      <c r="H339" s="29"/>
      <c r="I339" s="69" t="str">
        <f t="shared" si="6"/>
        <v>330</v>
      </c>
    </row>
    <row r="340" spans="4:9" x14ac:dyDescent="0.2">
      <c r="D340" s="2">
        <v>331</v>
      </c>
      <c r="E340" s="39"/>
      <c r="F340" s="28"/>
      <c r="G340" s="29"/>
      <c r="H340" s="29"/>
      <c r="I340" s="69" t="str">
        <f t="shared" si="6"/>
        <v>331</v>
      </c>
    </row>
    <row r="341" spans="4:9" x14ac:dyDescent="0.2">
      <c r="D341" s="2">
        <v>332</v>
      </c>
      <c r="E341" s="39"/>
      <c r="F341" s="28"/>
      <c r="G341" s="29"/>
      <c r="H341" s="29"/>
      <c r="I341" s="69" t="str">
        <f t="shared" si="6"/>
        <v>332</v>
      </c>
    </row>
    <row r="342" spans="4:9" x14ac:dyDescent="0.2">
      <c r="D342" s="2">
        <v>333</v>
      </c>
      <c r="E342" s="39"/>
      <c r="F342" s="28"/>
      <c r="G342" s="29"/>
      <c r="H342" s="29"/>
      <c r="I342" s="69" t="str">
        <f t="shared" si="6"/>
        <v>333</v>
      </c>
    </row>
    <row r="343" spans="4:9" x14ac:dyDescent="0.2">
      <c r="D343" s="2">
        <v>334</v>
      </c>
      <c r="E343" s="39"/>
      <c r="F343" s="28"/>
      <c r="G343" s="29"/>
      <c r="H343" s="29"/>
      <c r="I343" s="69" t="str">
        <f t="shared" si="6"/>
        <v>334</v>
      </c>
    </row>
    <row r="344" spans="4:9" x14ac:dyDescent="0.2">
      <c r="D344" s="2">
        <v>335</v>
      </c>
      <c r="E344" s="39"/>
      <c r="F344" s="28"/>
      <c r="G344" s="29"/>
      <c r="H344" s="29"/>
      <c r="I344" s="69" t="str">
        <f t="shared" si="6"/>
        <v>335</v>
      </c>
    </row>
    <row r="345" spans="4:9" x14ac:dyDescent="0.2">
      <c r="D345" s="2">
        <v>336</v>
      </c>
      <c r="E345" s="39"/>
      <c r="F345" s="28"/>
      <c r="G345" s="29"/>
      <c r="H345" s="29"/>
      <c r="I345" s="69" t="str">
        <f t="shared" si="6"/>
        <v>336</v>
      </c>
    </row>
    <row r="346" spans="4:9" x14ac:dyDescent="0.2">
      <c r="D346" s="2">
        <v>337</v>
      </c>
      <c r="E346" s="39"/>
      <c r="F346" s="28"/>
      <c r="G346" s="29"/>
      <c r="H346" s="29"/>
      <c r="I346" s="69" t="str">
        <f t="shared" si="6"/>
        <v>337</v>
      </c>
    </row>
    <row r="347" spans="4:9" x14ac:dyDescent="0.2">
      <c r="D347" s="2">
        <v>338</v>
      </c>
      <c r="E347" s="39"/>
      <c r="F347" s="28"/>
      <c r="G347" s="29"/>
      <c r="H347" s="29"/>
      <c r="I347" s="69" t="str">
        <f t="shared" si="6"/>
        <v>338</v>
      </c>
    </row>
    <row r="348" spans="4:9" x14ac:dyDescent="0.2">
      <c r="D348" s="2">
        <v>339</v>
      </c>
      <c r="E348" s="39"/>
      <c r="F348" s="28"/>
      <c r="G348" s="29"/>
      <c r="H348" s="29"/>
      <c r="I348" s="69" t="str">
        <f t="shared" si="6"/>
        <v>339</v>
      </c>
    </row>
    <row r="349" spans="4:9" x14ac:dyDescent="0.2">
      <c r="D349" s="2">
        <v>340</v>
      </c>
      <c r="E349" s="39"/>
      <c r="F349" s="28"/>
      <c r="G349" s="29"/>
      <c r="H349" s="29"/>
      <c r="I349" s="69" t="str">
        <f t="shared" si="6"/>
        <v>340</v>
      </c>
    </row>
    <row r="350" spans="4:9" x14ac:dyDescent="0.2">
      <c r="D350" s="2">
        <v>341</v>
      </c>
      <c r="E350" s="39"/>
      <c r="F350" s="28"/>
      <c r="G350" s="29"/>
      <c r="H350" s="29"/>
      <c r="I350" s="69" t="str">
        <f t="shared" si="6"/>
        <v>341</v>
      </c>
    </row>
    <row r="351" spans="4:9" x14ac:dyDescent="0.2">
      <c r="D351" s="2">
        <v>342</v>
      </c>
      <c r="E351" s="39"/>
      <c r="F351" s="28"/>
      <c r="G351" s="29"/>
      <c r="H351" s="29"/>
      <c r="I351" s="69" t="str">
        <f t="shared" si="6"/>
        <v>342</v>
      </c>
    </row>
    <row r="352" spans="4:9" x14ac:dyDescent="0.2">
      <c r="D352" s="2">
        <v>343</v>
      </c>
      <c r="E352" s="39"/>
      <c r="F352" s="28"/>
      <c r="G352" s="29"/>
      <c r="H352" s="29"/>
      <c r="I352" s="69" t="str">
        <f t="shared" si="6"/>
        <v>343</v>
      </c>
    </row>
    <row r="353" spans="4:9" x14ac:dyDescent="0.2">
      <c r="D353" s="2">
        <v>344</v>
      </c>
      <c r="E353" s="39"/>
      <c r="F353" s="28"/>
      <c r="G353" s="29"/>
      <c r="H353" s="29"/>
      <c r="I353" s="69" t="str">
        <f t="shared" si="6"/>
        <v>344</v>
      </c>
    </row>
    <row r="354" spans="4:9" x14ac:dyDescent="0.2">
      <c r="D354" s="2">
        <v>345</v>
      </c>
      <c r="E354" s="39"/>
      <c r="F354" s="28"/>
      <c r="G354" s="29"/>
      <c r="H354" s="29"/>
      <c r="I354" s="69" t="str">
        <f t="shared" si="6"/>
        <v>345</v>
      </c>
    </row>
    <row r="355" spans="4:9" x14ac:dyDescent="0.2">
      <c r="D355" s="2">
        <v>346</v>
      </c>
      <c r="E355" s="39"/>
      <c r="F355" s="28"/>
      <c r="G355" s="29"/>
      <c r="H355" s="29"/>
      <c r="I355" s="69" t="str">
        <f t="shared" si="6"/>
        <v>346</v>
      </c>
    </row>
    <row r="356" spans="4:9" x14ac:dyDescent="0.2">
      <c r="D356" s="2">
        <v>347</v>
      </c>
      <c r="E356" s="39"/>
      <c r="F356" s="28"/>
      <c r="G356" s="29"/>
      <c r="H356" s="29"/>
      <c r="I356" s="69" t="str">
        <f t="shared" si="6"/>
        <v>347</v>
      </c>
    </row>
    <row r="357" spans="4:9" x14ac:dyDescent="0.2">
      <c r="D357" s="2">
        <v>348</v>
      </c>
      <c r="E357" s="39"/>
      <c r="F357" s="28"/>
      <c r="G357" s="29"/>
      <c r="H357" s="29"/>
      <c r="I357" s="69" t="str">
        <f t="shared" si="6"/>
        <v>348</v>
      </c>
    </row>
    <row r="358" spans="4:9" x14ac:dyDescent="0.2">
      <c r="D358" s="2">
        <v>349</v>
      </c>
      <c r="E358" s="39"/>
      <c r="F358" s="28"/>
      <c r="G358" s="29"/>
      <c r="H358" s="29"/>
      <c r="I358" s="69" t="str">
        <f t="shared" si="6"/>
        <v>349</v>
      </c>
    </row>
    <row r="359" spans="4:9" x14ac:dyDescent="0.2">
      <c r="D359" s="2">
        <v>350</v>
      </c>
      <c r="E359" s="39"/>
      <c r="F359" s="28"/>
      <c r="G359" s="29"/>
      <c r="H359" s="29"/>
      <c r="I359" s="69" t="str">
        <f t="shared" si="6"/>
        <v>350</v>
      </c>
    </row>
    <row r="360" spans="4:9" x14ac:dyDescent="0.2">
      <c r="D360" s="2">
        <v>351</v>
      </c>
      <c r="E360" s="39"/>
      <c r="F360" s="28"/>
      <c r="G360" s="29"/>
      <c r="H360" s="29"/>
      <c r="I360" s="69" t="str">
        <f t="shared" si="6"/>
        <v>351</v>
      </c>
    </row>
    <row r="361" spans="4:9" x14ac:dyDescent="0.2">
      <c r="D361" s="2">
        <v>352</v>
      </c>
      <c r="E361" s="39"/>
      <c r="F361" s="28"/>
      <c r="G361" s="29"/>
      <c r="H361" s="29"/>
      <c r="I361" s="69" t="str">
        <f t="shared" si="6"/>
        <v>352</v>
      </c>
    </row>
    <row r="362" spans="4:9" x14ac:dyDescent="0.2">
      <c r="D362" s="2">
        <v>353</v>
      </c>
      <c r="E362" s="39"/>
      <c r="F362" s="28"/>
      <c r="G362" s="29"/>
      <c r="H362" s="29"/>
      <c r="I362" s="69" t="str">
        <f t="shared" si="6"/>
        <v>353</v>
      </c>
    </row>
    <row r="363" spans="4:9" x14ac:dyDescent="0.2">
      <c r="D363" s="2">
        <v>354</v>
      </c>
      <c r="E363" s="39"/>
      <c r="F363" s="28"/>
      <c r="G363" s="29"/>
      <c r="H363" s="29"/>
      <c r="I363" s="69" t="str">
        <f t="shared" si="6"/>
        <v>354</v>
      </c>
    </row>
    <row r="364" spans="4:9" x14ac:dyDescent="0.2">
      <c r="D364" s="2">
        <v>355</v>
      </c>
      <c r="E364" s="39"/>
      <c r="F364" s="28"/>
      <c r="G364" s="29"/>
      <c r="H364" s="29"/>
      <c r="I364" s="69" t="str">
        <f t="shared" si="6"/>
        <v>355</v>
      </c>
    </row>
    <row r="365" spans="4:9" x14ac:dyDescent="0.2">
      <c r="D365" s="2">
        <v>356</v>
      </c>
      <c r="E365" s="39"/>
      <c r="F365" s="28"/>
      <c r="G365" s="29"/>
      <c r="H365" s="29"/>
      <c r="I365" s="69" t="str">
        <f t="shared" si="6"/>
        <v>356</v>
      </c>
    </row>
    <row r="366" spans="4:9" x14ac:dyDescent="0.2">
      <c r="D366" s="2">
        <v>357</v>
      </c>
      <c r="E366" s="39"/>
      <c r="F366" s="28"/>
      <c r="G366" s="29"/>
      <c r="H366" s="29"/>
      <c r="I366" s="69" t="str">
        <f t="shared" si="6"/>
        <v>357</v>
      </c>
    </row>
    <row r="367" spans="4:9" x14ac:dyDescent="0.2">
      <c r="D367" s="2">
        <v>358</v>
      </c>
      <c r="E367" s="39"/>
      <c r="F367" s="28"/>
      <c r="G367" s="29"/>
      <c r="H367" s="29"/>
      <c r="I367" s="69" t="str">
        <f t="shared" si="6"/>
        <v>358</v>
      </c>
    </row>
    <row r="368" spans="4:9" x14ac:dyDescent="0.2">
      <c r="D368" s="2">
        <v>359</v>
      </c>
      <c r="E368" s="39"/>
      <c r="F368" s="28"/>
      <c r="G368" s="29"/>
      <c r="H368" s="29"/>
      <c r="I368" s="69" t="str">
        <f t="shared" si="6"/>
        <v>359</v>
      </c>
    </row>
    <row r="369" spans="4:9" x14ac:dyDescent="0.2">
      <c r="D369" s="2">
        <v>360</v>
      </c>
      <c r="E369" s="39"/>
      <c r="F369" s="28"/>
      <c r="G369" s="29"/>
      <c r="H369" s="29"/>
      <c r="I369" s="69" t="str">
        <f t="shared" si="6"/>
        <v>360</v>
      </c>
    </row>
    <row r="370" spans="4:9" x14ac:dyDescent="0.2">
      <c r="D370" s="2">
        <v>361</v>
      </c>
      <c r="E370" s="39"/>
      <c r="F370" s="28"/>
      <c r="G370" s="29"/>
      <c r="H370" s="29"/>
      <c r="I370" s="69" t="str">
        <f t="shared" si="6"/>
        <v>361</v>
      </c>
    </row>
    <row r="371" spans="4:9" x14ac:dyDescent="0.2">
      <c r="D371" s="2">
        <v>362</v>
      </c>
      <c r="E371" s="39"/>
      <c r="F371" s="28"/>
      <c r="G371" s="29"/>
      <c r="H371" s="29"/>
      <c r="I371" s="69" t="str">
        <f t="shared" si="6"/>
        <v>362</v>
      </c>
    </row>
    <row r="372" spans="4:9" x14ac:dyDescent="0.2">
      <c r="D372" s="2">
        <v>363</v>
      </c>
      <c r="E372" s="39"/>
      <c r="F372" s="28"/>
      <c r="G372" s="29"/>
      <c r="H372" s="29"/>
      <c r="I372" s="69" t="str">
        <f t="shared" si="6"/>
        <v>363</v>
      </c>
    </row>
    <row r="373" spans="4:9" x14ac:dyDescent="0.2">
      <c r="D373" s="2">
        <v>364</v>
      </c>
      <c r="E373" s="39"/>
      <c r="F373" s="28"/>
      <c r="G373" s="29"/>
      <c r="H373" s="29"/>
      <c r="I373" s="69" t="str">
        <f t="shared" si="6"/>
        <v>364</v>
      </c>
    </row>
    <row r="374" spans="4:9" x14ac:dyDescent="0.2">
      <c r="D374" s="2">
        <v>365</v>
      </c>
      <c r="E374" s="39"/>
      <c r="F374" s="28"/>
      <c r="G374" s="29"/>
      <c r="H374" s="29"/>
      <c r="I374" s="69" t="str">
        <f t="shared" si="6"/>
        <v>365</v>
      </c>
    </row>
    <row r="375" spans="4:9" x14ac:dyDescent="0.2">
      <c r="D375" s="2">
        <v>366</v>
      </c>
      <c r="E375" s="39"/>
      <c r="F375" s="28"/>
      <c r="G375" s="29"/>
      <c r="H375" s="29"/>
      <c r="I375" s="69" t="str">
        <f t="shared" si="6"/>
        <v>366</v>
      </c>
    </row>
    <row r="376" spans="4:9" x14ac:dyDescent="0.2">
      <c r="D376" s="2">
        <v>367</v>
      </c>
      <c r="E376" s="39"/>
      <c r="F376" s="28"/>
      <c r="G376" s="29"/>
      <c r="H376" s="29"/>
      <c r="I376" s="69" t="str">
        <f t="shared" si="6"/>
        <v>367</v>
      </c>
    </row>
    <row r="377" spans="4:9" x14ac:dyDescent="0.2">
      <c r="D377" s="2">
        <v>368</v>
      </c>
      <c r="E377" s="39"/>
      <c r="F377" s="28"/>
      <c r="G377" s="29"/>
      <c r="H377" s="29"/>
      <c r="I377" s="69" t="str">
        <f t="shared" si="6"/>
        <v>368</v>
      </c>
    </row>
    <row r="378" spans="4:9" x14ac:dyDescent="0.2">
      <c r="D378" s="2">
        <v>369</v>
      </c>
      <c r="E378" s="39"/>
      <c r="F378" s="28"/>
      <c r="G378" s="29"/>
      <c r="H378" s="29"/>
      <c r="I378" s="69" t="str">
        <f t="shared" si="6"/>
        <v>369</v>
      </c>
    </row>
    <row r="379" spans="4:9" x14ac:dyDescent="0.2">
      <c r="D379" s="2">
        <v>370</v>
      </c>
      <c r="E379" s="39"/>
      <c r="F379" s="28"/>
      <c r="G379" s="29"/>
      <c r="H379" s="29"/>
      <c r="I379" s="69" t="str">
        <f t="shared" si="6"/>
        <v>370</v>
      </c>
    </row>
    <row r="380" spans="4:9" x14ac:dyDescent="0.2">
      <c r="D380" s="2">
        <v>371</v>
      </c>
      <c r="E380" s="39"/>
      <c r="F380" s="28"/>
      <c r="G380" s="29"/>
      <c r="H380" s="29"/>
      <c r="I380" s="69" t="str">
        <f t="shared" si="6"/>
        <v>371</v>
      </c>
    </row>
    <row r="381" spans="4:9" x14ac:dyDescent="0.2">
      <c r="D381" s="2">
        <v>372</v>
      </c>
      <c r="E381" s="39"/>
      <c r="F381" s="28"/>
      <c r="G381" s="29"/>
      <c r="H381" s="29"/>
      <c r="I381" s="69" t="str">
        <f t="shared" si="6"/>
        <v>372</v>
      </c>
    </row>
    <row r="382" spans="4:9" x14ac:dyDescent="0.2">
      <c r="D382" s="2">
        <v>373</v>
      </c>
      <c r="E382" s="39"/>
      <c r="F382" s="28"/>
      <c r="G382" s="29"/>
      <c r="H382" s="29"/>
      <c r="I382" s="69" t="str">
        <f t="shared" si="6"/>
        <v>373</v>
      </c>
    </row>
    <row r="383" spans="4:9" x14ac:dyDescent="0.2">
      <c r="D383" s="2">
        <v>374</v>
      </c>
      <c r="E383" s="39"/>
      <c r="F383" s="28"/>
      <c r="G383" s="29"/>
      <c r="H383" s="29"/>
      <c r="I383" s="69" t="str">
        <f t="shared" si="6"/>
        <v>374</v>
      </c>
    </row>
    <row r="384" spans="4:9" x14ac:dyDescent="0.2">
      <c r="D384" s="2">
        <v>375</v>
      </c>
      <c r="E384" s="39"/>
      <c r="F384" s="28"/>
      <c r="G384" s="29"/>
      <c r="H384" s="29"/>
      <c r="I384" s="69" t="str">
        <f t="shared" si="6"/>
        <v>375</v>
      </c>
    </row>
    <row r="385" spans="4:9" x14ac:dyDescent="0.2">
      <c r="D385" s="2">
        <v>376</v>
      </c>
      <c r="E385" s="39"/>
      <c r="F385" s="28"/>
      <c r="G385" s="29"/>
      <c r="H385" s="29"/>
      <c r="I385" s="69" t="str">
        <f t="shared" si="6"/>
        <v>376</v>
      </c>
    </row>
    <row r="386" spans="4:9" x14ac:dyDescent="0.2">
      <c r="D386" s="2">
        <v>377</v>
      </c>
      <c r="E386" s="39"/>
      <c r="F386" s="28"/>
      <c r="G386" s="29"/>
      <c r="H386" s="29"/>
      <c r="I386" s="69" t="str">
        <f t="shared" si="6"/>
        <v>377</v>
      </c>
    </row>
    <row r="387" spans="4:9" x14ac:dyDescent="0.2">
      <c r="D387" s="2">
        <v>378</v>
      </c>
      <c r="E387" s="39"/>
      <c r="F387" s="28"/>
      <c r="G387" s="29"/>
      <c r="H387" s="29"/>
      <c r="I387" s="69" t="str">
        <f t="shared" si="6"/>
        <v>378</v>
      </c>
    </row>
    <row r="388" spans="4:9" x14ac:dyDescent="0.2">
      <c r="D388" s="2">
        <v>379</v>
      </c>
      <c r="E388" s="39"/>
      <c r="F388" s="28"/>
      <c r="G388" s="29"/>
      <c r="H388" s="29"/>
      <c r="I388" s="69" t="str">
        <f t="shared" si="6"/>
        <v>379</v>
      </c>
    </row>
    <row r="389" spans="4:9" x14ac:dyDescent="0.2">
      <c r="D389" s="2">
        <v>380</v>
      </c>
      <c r="E389" s="39"/>
      <c r="F389" s="28"/>
      <c r="G389" s="29"/>
      <c r="H389" s="29"/>
      <c r="I389" s="69" t="str">
        <f t="shared" si="6"/>
        <v>380</v>
      </c>
    </row>
    <row r="390" spans="4:9" x14ac:dyDescent="0.2">
      <c r="D390" s="2">
        <v>381</v>
      </c>
      <c r="E390" s="39"/>
      <c r="F390" s="28"/>
      <c r="G390" s="29"/>
      <c r="H390" s="29"/>
      <c r="I390" s="69" t="str">
        <f t="shared" si="6"/>
        <v>381</v>
      </c>
    </row>
    <row r="391" spans="4:9" x14ac:dyDescent="0.2">
      <c r="D391" s="2">
        <v>382</v>
      </c>
      <c r="E391" s="39"/>
      <c r="F391" s="28"/>
      <c r="G391" s="29"/>
      <c r="H391" s="29"/>
      <c r="I391" s="69" t="str">
        <f t="shared" si="6"/>
        <v>382</v>
      </c>
    </row>
    <row r="392" spans="4:9" x14ac:dyDescent="0.2">
      <c r="D392" s="2">
        <v>383</v>
      </c>
      <c r="E392" s="39"/>
      <c r="F392" s="28"/>
      <c r="G392" s="29"/>
      <c r="H392" s="29"/>
      <c r="I392" s="69" t="str">
        <f t="shared" si="6"/>
        <v>383</v>
      </c>
    </row>
    <row r="393" spans="4:9" x14ac:dyDescent="0.2">
      <c r="D393" s="2">
        <v>384</v>
      </c>
      <c r="E393" s="39"/>
      <c r="F393" s="28"/>
      <c r="G393" s="29"/>
      <c r="H393" s="29"/>
      <c r="I393" s="69" t="str">
        <f t="shared" si="6"/>
        <v>384</v>
      </c>
    </row>
    <row r="394" spans="4:9" x14ac:dyDescent="0.2">
      <c r="D394" s="2">
        <v>385</v>
      </c>
      <c r="E394" s="39"/>
      <c r="F394" s="28"/>
      <c r="G394" s="29"/>
      <c r="H394" s="29"/>
      <c r="I394" s="69" t="str">
        <f t="shared" si="6"/>
        <v>385</v>
      </c>
    </row>
    <row r="395" spans="4:9" x14ac:dyDescent="0.2">
      <c r="D395" s="2">
        <v>386</v>
      </c>
      <c r="E395" s="39"/>
      <c r="F395" s="28"/>
      <c r="G395" s="29"/>
      <c r="H395" s="29"/>
      <c r="I395" s="69" t="str">
        <f t="shared" ref="I395:I458" si="7">+D395&amp;E395</f>
        <v>386</v>
      </c>
    </row>
    <row r="396" spans="4:9" x14ac:dyDescent="0.2">
      <c r="D396" s="2">
        <v>387</v>
      </c>
      <c r="E396" s="39"/>
      <c r="F396" s="28"/>
      <c r="G396" s="29"/>
      <c r="H396" s="29"/>
      <c r="I396" s="69" t="str">
        <f t="shared" si="7"/>
        <v>387</v>
      </c>
    </row>
    <row r="397" spans="4:9" x14ac:dyDescent="0.2">
      <c r="D397" s="2">
        <v>388</v>
      </c>
      <c r="E397" s="39"/>
      <c r="F397" s="28"/>
      <c r="G397" s="29"/>
      <c r="H397" s="29"/>
      <c r="I397" s="69" t="str">
        <f t="shared" si="7"/>
        <v>388</v>
      </c>
    </row>
    <row r="398" spans="4:9" x14ac:dyDescent="0.2">
      <c r="D398" s="2">
        <v>389</v>
      </c>
      <c r="E398" s="39"/>
      <c r="F398" s="28"/>
      <c r="G398" s="29"/>
      <c r="H398" s="29"/>
      <c r="I398" s="69" t="str">
        <f t="shared" si="7"/>
        <v>389</v>
      </c>
    </row>
    <row r="399" spans="4:9" x14ac:dyDescent="0.2">
      <c r="D399" s="2">
        <v>390</v>
      </c>
      <c r="E399" s="39"/>
      <c r="F399" s="28"/>
      <c r="G399" s="29"/>
      <c r="H399" s="29"/>
      <c r="I399" s="69" t="str">
        <f t="shared" si="7"/>
        <v>390</v>
      </c>
    </row>
    <row r="400" spans="4:9" x14ac:dyDescent="0.2">
      <c r="D400" s="2">
        <v>391</v>
      </c>
      <c r="E400" s="39"/>
      <c r="F400" s="28"/>
      <c r="G400" s="29"/>
      <c r="H400" s="29"/>
      <c r="I400" s="69" t="str">
        <f t="shared" si="7"/>
        <v>391</v>
      </c>
    </row>
    <row r="401" spans="4:9" x14ac:dyDescent="0.2">
      <c r="D401" s="2">
        <v>392</v>
      </c>
      <c r="E401" s="39"/>
      <c r="F401" s="28"/>
      <c r="G401" s="29"/>
      <c r="H401" s="29"/>
      <c r="I401" s="69" t="str">
        <f t="shared" si="7"/>
        <v>392</v>
      </c>
    </row>
    <row r="402" spans="4:9" x14ac:dyDescent="0.2">
      <c r="D402" s="2">
        <v>393</v>
      </c>
      <c r="E402" s="39"/>
      <c r="F402" s="28"/>
      <c r="G402" s="29"/>
      <c r="H402" s="29"/>
      <c r="I402" s="69" t="str">
        <f t="shared" si="7"/>
        <v>393</v>
      </c>
    </row>
    <row r="403" spans="4:9" x14ac:dyDescent="0.2">
      <c r="D403" s="2">
        <v>394</v>
      </c>
      <c r="E403" s="39"/>
      <c r="F403" s="28"/>
      <c r="G403" s="29"/>
      <c r="H403" s="29"/>
      <c r="I403" s="69" t="str">
        <f t="shared" si="7"/>
        <v>394</v>
      </c>
    </row>
    <row r="404" spans="4:9" x14ac:dyDescent="0.2">
      <c r="D404" s="2">
        <v>395</v>
      </c>
      <c r="E404" s="39"/>
      <c r="F404" s="28"/>
      <c r="G404" s="29"/>
      <c r="H404" s="29"/>
      <c r="I404" s="69" t="str">
        <f t="shared" si="7"/>
        <v>395</v>
      </c>
    </row>
    <row r="405" spans="4:9" x14ac:dyDescent="0.2">
      <c r="D405" s="2">
        <v>396</v>
      </c>
      <c r="E405" s="39"/>
      <c r="F405" s="28"/>
      <c r="G405" s="29"/>
      <c r="H405" s="29"/>
      <c r="I405" s="69" t="str">
        <f t="shared" si="7"/>
        <v>396</v>
      </c>
    </row>
    <row r="406" spans="4:9" x14ac:dyDescent="0.2">
      <c r="D406" s="2">
        <v>397</v>
      </c>
      <c r="E406" s="39"/>
      <c r="F406" s="28"/>
      <c r="G406" s="29"/>
      <c r="H406" s="29"/>
      <c r="I406" s="69" t="str">
        <f t="shared" si="7"/>
        <v>397</v>
      </c>
    </row>
    <row r="407" spans="4:9" x14ac:dyDescent="0.2">
      <c r="D407" s="2">
        <v>398</v>
      </c>
      <c r="E407" s="39"/>
      <c r="F407" s="28"/>
      <c r="G407" s="29"/>
      <c r="H407" s="29"/>
      <c r="I407" s="69" t="str">
        <f t="shared" si="7"/>
        <v>398</v>
      </c>
    </row>
    <row r="408" spans="4:9" x14ac:dyDescent="0.2">
      <c r="D408" s="2">
        <v>399</v>
      </c>
      <c r="E408" s="39"/>
      <c r="F408" s="28"/>
      <c r="G408" s="29"/>
      <c r="H408" s="29"/>
      <c r="I408" s="69" t="str">
        <f t="shared" si="7"/>
        <v>399</v>
      </c>
    </row>
    <row r="409" spans="4:9" x14ac:dyDescent="0.2">
      <c r="D409" s="2">
        <v>400</v>
      </c>
      <c r="E409" s="39"/>
      <c r="F409" s="28"/>
      <c r="G409" s="29"/>
      <c r="H409" s="29"/>
      <c r="I409" s="69" t="str">
        <f t="shared" si="7"/>
        <v>400</v>
      </c>
    </row>
    <row r="410" spans="4:9" x14ac:dyDescent="0.2">
      <c r="D410" s="2">
        <v>401</v>
      </c>
      <c r="E410" s="39"/>
      <c r="F410" s="28"/>
      <c r="G410" s="29"/>
      <c r="H410" s="29"/>
      <c r="I410" s="69" t="str">
        <f t="shared" si="7"/>
        <v>401</v>
      </c>
    </row>
    <row r="411" spans="4:9" x14ac:dyDescent="0.2">
      <c r="D411" s="2">
        <v>402</v>
      </c>
      <c r="E411" s="39"/>
      <c r="F411" s="28"/>
      <c r="G411" s="29"/>
      <c r="H411" s="29"/>
      <c r="I411" s="69" t="str">
        <f t="shared" si="7"/>
        <v>402</v>
      </c>
    </row>
    <row r="412" spans="4:9" x14ac:dyDescent="0.2">
      <c r="D412" s="2">
        <v>403</v>
      </c>
      <c r="E412" s="39"/>
      <c r="F412" s="28"/>
      <c r="G412" s="29"/>
      <c r="H412" s="29"/>
      <c r="I412" s="69" t="str">
        <f t="shared" si="7"/>
        <v>403</v>
      </c>
    </row>
    <row r="413" spans="4:9" x14ac:dyDescent="0.2">
      <c r="D413" s="2">
        <v>404</v>
      </c>
      <c r="E413" s="39"/>
      <c r="F413" s="28"/>
      <c r="G413" s="29"/>
      <c r="H413" s="29"/>
      <c r="I413" s="69" t="str">
        <f t="shared" si="7"/>
        <v>404</v>
      </c>
    </row>
    <row r="414" spans="4:9" x14ac:dyDescent="0.2">
      <c r="D414" s="2">
        <v>405</v>
      </c>
      <c r="E414" s="39"/>
      <c r="F414" s="28"/>
      <c r="G414" s="29"/>
      <c r="H414" s="29"/>
      <c r="I414" s="69" t="str">
        <f t="shared" si="7"/>
        <v>405</v>
      </c>
    </row>
    <row r="415" spans="4:9" x14ac:dyDescent="0.2">
      <c r="D415" s="2">
        <v>406</v>
      </c>
      <c r="E415" s="39"/>
      <c r="F415" s="28"/>
      <c r="G415" s="29"/>
      <c r="H415" s="29"/>
      <c r="I415" s="69" t="str">
        <f t="shared" si="7"/>
        <v>406</v>
      </c>
    </row>
    <row r="416" spans="4:9" x14ac:dyDescent="0.2">
      <c r="D416" s="2">
        <v>407</v>
      </c>
      <c r="E416" s="39"/>
      <c r="F416" s="28"/>
      <c r="G416" s="29"/>
      <c r="H416" s="29"/>
      <c r="I416" s="69" t="str">
        <f t="shared" si="7"/>
        <v>407</v>
      </c>
    </row>
    <row r="417" spans="4:9" x14ac:dyDescent="0.2">
      <c r="D417" s="2">
        <v>408</v>
      </c>
      <c r="E417" s="39"/>
      <c r="F417" s="28"/>
      <c r="G417" s="29"/>
      <c r="H417" s="29"/>
      <c r="I417" s="69" t="str">
        <f t="shared" si="7"/>
        <v>408</v>
      </c>
    </row>
    <row r="418" spans="4:9" x14ac:dyDescent="0.2">
      <c r="D418" s="2">
        <v>409</v>
      </c>
      <c r="E418" s="39"/>
      <c r="F418" s="28"/>
      <c r="G418" s="29"/>
      <c r="H418" s="29"/>
      <c r="I418" s="69" t="str">
        <f t="shared" si="7"/>
        <v>409</v>
      </c>
    </row>
    <row r="419" spans="4:9" x14ac:dyDescent="0.2">
      <c r="D419" s="2">
        <v>410</v>
      </c>
      <c r="E419" s="39"/>
      <c r="F419" s="28"/>
      <c r="G419" s="29"/>
      <c r="H419" s="29"/>
      <c r="I419" s="69" t="str">
        <f t="shared" si="7"/>
        <v>410</v>
      </c>
    </row>
    <row r="420" spans="4:9" x14ac:dyDescent="0.2">
      <c r="D420" s="2">
        <v>411</v>
      </c>
      <c r="E420" s="39"/>
      <c r="F420" s="28"/>
      <c r="G420" s="29"/>
      <c r="H420" s="29"/>
      <c r="I420" s="69" t="str">
        <f t="shared" si="7"/>
        <v>411</v>
      </c>
    </row>
    <row r="421" spans="4:9" x14ac:dyDescent="0.2">
      <c r="D421" s="2">
        <v>412</v>
      </c>
      <c r="E421" s="39"/>
      <c r="F421" s="28"/>
      <c r="G421" s="29"/>
      <c r="H421" s="29"/>
      <c r="I421" s="69" t="str">
        <f t="shared" si="7"/>
        <v>412</v>
      </c>
    </row>
    <row r="422" spans="4:9" x14ac:dyDescent="0.2">
      <c r="D422" s="2">
        <v>413</v>
      </c>
      <c r="E422" s="39"/>
      <c r="F422" s="28"/>
      <c r="G422" s="29"/>
      <c r="H422" s="29"/>
      <c r="I422" s="69" t="str">
        <f t="shared" si="7"/>
        <v>413</v>
      </c>
    </row>
    <row r="423" spans="4:9" x14ac:dyDescent="0.2">
      <c r="D423" s="2">
        <v>414</v>
      </c>
      <c r="E423" s="39"/>
      <c r="F423" s="28"/>
      <c r="G423" s="29"/>
      <c r="H423" s="29"/>
      <c r="I423" s="69" t="str">
        <f t="shared" si="7"/>
        <v>414</v>
      </c>
    </row>
    <row r="424" spans="4:9" x14ac:dyDescent="0.2">
      <c r="D424" s="2">
        <v>415</v>
      </c>
      <c r="E424" s="39"/>
      <c r="F424" s="28"/>
      <c r="G424" s="29"/>
      <c r="H424" s="29"/>
      <c r="I424" s="69" t="str">
        <f t="shared" si="7"/>
        <v>415</v>
      </c>
    </row>
    <row r="425" spans="4:9" x14ac:dyDescent="0.2">
      <c r="D425" s="2">
        <v>416</v>
      </c>
      <c r="E425" s="39"/>
      <c r="F425" s="28"/>
      <c r="G425" s="29"/>
      <c r="H425" s="29"/>
      <c r="I425" s="69" t="str">
        <f t="shared" si="7"/>
        <v>416</v>
      </c>
    </row>
    <row r="426" spans="4:9" x14ac:dyDescent="0.2">
      <c r="D426" s="2">
        <v>417</v>
      </c>
      <c r="E426" s="39"/>
      <c r="F426" s="28"/>
      <c r="G426" s="29"/>
      <c r="H426" s="29"/>
      <c r="I426" s="69" t="str">
        <f t="shared" si="7"/>
        <v>417</v>
      </c>
    </row>
    <row r="427" spans="4:9" x14ac:dyDescent="0.2">
      <c r="D427" s="2">
        <v>418</v>
      </c>
      <c r="E427" s="39"/>
      <c r="F427" s="28"/>
      <c r="G427" s="29"/>
      <c r="H427" s="29"/>
      <c r="I427" s="69" t="str">
        <f t="shared" si="7"/>
        <v>418</v>
      </c>
    </row>
    <row r="428" spans="4:9" x14ac:dyDescent="0.2">
      <c r="D428" s="2">
        <v>419</v>
      </c>
      <c r="E428" s="39"/>
      <c r="F428" s="28"/>
      <c r="G428" s="29"/>
      <c r="H428" s="29"/>
      <c r="I428" s="69" t="str">
        <f t="shared" si="7"/>
        <v>419</v>
      </c>
    </row>
    <row r="429" spans="4:9" x14ac:dyDescent="0.2">
      <c r="D429" s="2">
        <v>420</v>
      </c>
      <c r="E429" s="39"/>
      <c r="F429" s="28"/>
      <c r="G429" s="29"/>
      <c r="H429" s="29"/>
      <c r="I429" s="69" t="str">
        <f t="shared" si="7"/>
        <v>420</v>
      </c>
    </row>
    <row r="430" spans="4:9" x14ac:dyDescent="0.2">
      <c r="D430" s="2">
        <v>421</v>
      </c>
      <c r="E430" s="39"/>
      <c r="F430" s="28"/>
      <c r="G430" s="29"/>
      <c r="H430" s="29"/>
      <c r="I430" s="69" t="str">
        <f t="shared" si="7"/>
        <v>421</v>
      </c>
    </row>
    <row r="431" spans="4:9" x14ac:dyDescent="0.2">
      <c r="D431" s="2">
        <v>422</v>
      </c>
      <c r="E431" s="39"/>
      <c r="F431" s="28"/>
      <c r="G431" s="29"/>
      <c r="H431" s="29"/>
      <c r="I431" s="69" t="str">
        <f t="shared" si="7"/>
        <v>422</v>
      </c>
    </row>
    <row r="432" spans="4:9" x14ac:dyDescent="0.2">
      <c r="D432" s="2">
        <v>423</v>
      </c>
      <c r="E432" s="39"/>
      <c r="F432" s="28"/>
      <c r="G432" s="29"/>
      <c r="H432" s="29"/>
      <c r="I432" s="69" t="str">
        <f t="shared" si="7"/>
        <v>423</v>
      </c>
    </row>
    <row r="433" spans="4:9" x14ac:dyDescent="0.2">
      <c r="D433" s="2">
        <v>424</v>
      </c>
      <c r="E433" s="39"/>
      <c r="F433" s="28"/>
      <c r="G433" s="29"/>
      <c r="H433" s="29"/>
      <c r="I433" s="69" t="str">
        <f t="shared" si="7"/>
        <v>424</v>
      </c>
    </row>
    <row r="434" spans="4:9" x14ac:dyDescent="0.2">
      <c r="D434" s="2">
        <v>425</v>
      </c>
      <c r="E434" s="39"/>
      <c r="F434" s="28"/>
      <c r="G434" s="29"/>
      <c r="H434" s="29"/>
      <c r="I434" s="69" t="str">
        <f t="shared" si="7"/>
        <v>425</v>
      </c>
    </row>
    <row r="435" spans="4:9" x14ac:dyDescent="0.2">
      <c r="D435" s="2">
        <v>426</v>
      </c>
      <c r="E435" s="39"/>
      <c r="F435" s="28"/>
      <c r="G435" s="29"/>
      <c r="H435" s="29"/>
      <c r="I435" s="69" t="str">
        <f t="shared" si="7"/>
        <v>426</v>
      </c>
    </row>
    <row r="436" spans="4:9" x14ac:dyDescent="0.2">
      <c r="D436" s="2">
        <v>427</v>
      </c>
      <c r="E436" s="39"/>
      <c r="F436" s="28"/>
      <c r="G436" s="29"/>
      <c r="H436" s="29"/>
      <c r="I436" s="69" t="str">
        <f t="shared" si="7"/>
        <v>427</v>
      </c>
    </row>
    <row r="437" spans="4:9" x14ac:dyDescent="0.2">
      <c r="D437" s="2">
        <v>428</v>
      </c>
      <c r="E437" s="39"/>
      <c r="F437" s="28"/>
      <c r="G437" s="29"/>
      <c r="H437" s="29"/>
      <c r="I437" s="69" t="str">
        <f t="shared" si="7"/>
        <v>428</v>
      </c>
    </row>
    <row r="438" spans="4:9" x14ac:dyDescent="0.2">
      <c r="D438" s="2">
        <v>429</v>
      </c>
      <c r="E438" s="39"/>
      <c r="F438" s="28"/>
      <c r="G438" s="29"/>
      <c r="H438" s="29"/>
      <c r="I438" s="69" t="str">
        <f t="shared" si="7"/>
        <v>429</v>
      </c>
    </row>
    <row r="439" spans="4:9" x14ac:dyDescent="0.2">
      <c r="D439" s="2">
        <v>430</v>
      </c>
      <c r="E439" s="39"/>
      <c r="F439" s="28"/>
      <c r="G439" s="29"/>
      <c r="H439" s="29"/>
      <c r="I439" s="69" t="str">
        <f t="shared" si="7"/>
        <v>430</v>
      </c>
    </row>
    <row r="440" spans="4:9" x14ac:dyDescent="0.2">
      <c r="D440" s="2">
        <v>431</v>
      </c>
      <c r="E440" s="39"/>
      <c r="F440" s="28"/>
      <c r="G440" s="29"/>
      <c r="H440" s="29"/>
      <c r="I440" s="69" t="str">
        <f t="shared" si="7"/>
        <v>431</v>
      </c>
    </row>
    <row r="441" spans="4:9" x14ac:dyDescent="0.2">
      <c r="D441" s="2">
        <v>432</v>
      </c>
      <c r="E441" s="39"/>
      <c r="F441" s="28"/>
      <c r="G441" s="29"/>
      <c r="H441" s="29"/>
      <c r="I441" s="69" t="str">
        <f t="shared" si="7"/>
        <v>432</v>
      </c>
    </row>
    <row r="442" spans="4:9" x14ac:dyDescent="0.2">
      <c r="D442" s="2">
        <v>433</v>
      </c>
      <c r="E442" s="39"/>
      <c r="F442" s="28"/>
      <c r="G442" s="29"/>
      <c r="H442" s="29"/>
      <c r="I442" s="69" t="str">
        <f t="shared" si="7"/>
        <v>433</v>
      </c>
    </row>
    <row r="443" spans="4:9" x14ac:dyDescent="0.2">
      <c r="D443" s="2">
        <v>434</v>
      </c>
      <c r="E443" s="39"/>
      <c r="F443" s="28"/>
      <c r="G443" s="29"/>
      <c r="H443" s="29"/>
      <c r="I443" s="69" t="str">
        <f t="shared" si="7"/>
        <v>434</v>
      </c>
    </row>
    <row r="444" spans="4:9" x14ac:dyDescent="0.2">
      <c r="D444" s="2">
        <v>435</v>
      </c>
      <c r="E444" s="39"/>
      <c r="F444" s="28"/>
      <c r="G444" s="29"/>
      <c r="H444" s="29"/>
      <c r="I444" s="69" t="str">
        <f t="shared" si="7"/>
        <v>435</v>
      </c>
    </row>
    <row r="445" spans="4:9" x14ac:dyDescent="0.2">
      <c r="D445" s="2">
        <v>436</v>
      </c>
      <c r="E445" s="39"/>
      <c r="F445" s="28"/>
      <c r="G445" s="29"/>
      <c r="H445" s="29"/>
      <c r="I445" s="69" t="str">
        <f t="shared" si="7"/>
        <v>436</v>
      </c>
    </row>
    <row r="446" spans="4:9" x14ac:dyDescent="0.2">
      <c r="D446" s="2">
        <v>437</v>
      </c>
      <c r="E446" s="39"/>
      <c r="F446" s="28"/>
      <c r="G446" s="29"/>
      <c r="H446" s="29"/>
      <c r="I446" s="69" t="str">
        <f t="shared" si="7"/>
        <v>437</v>
      </c>
    </row>
    <row r="447" spans="4:9" x14ac:dyDescent="0.2">
      <c r="D447" s="2">
        <v>438</v>
      </c>
      <c r="E447" s="39"/>
      <c r="F447" s="28"/>
      <c r="G447" s="29"/>
      <c r="H447" s="29"/>
      <c r="I447" s="69" t="str">
        <f t="shared" si="7"/>
        <v>438</v>
      </c>
    </row>
    <row r="448" spans="4:9" x14ac:dyDescent="0.2">
      <c r="D448" s="2">
        <v>439</v>
      </c>
      <c r="E448" s="39"/>
      <c r="F448" s="28"/>
      <c r="G448" s="29"/>
      <c r="H448" s="29"/>
      <c r="I448" s="69" t="str">
        <f t="shared" si="7"/>
        <v>439</v>
      </c>
    </row>
    <row r="449" spans="4:9" x14ac:dyDescent="0.2">
      <c r="D449" s="2">
        <v>440</v>
      </c>
      <c r="E449" s="39"/>
      <c r="F449" s="28"/>
      <c r="G449" s="29"/>
      <c r="H449" s="29"/>
      <c r="I449" s="69" t="str">
        <f t="shared" si="7"/>
        <v>440</v>
      </c>
    </row>
    <row r="450" spans="4:9" x14ac:dyDescent="0.2">
      <c r="D450" s="2">
        <v>441</v>
      </c>
      <c r="E450" s="39"/>
      <c r="F450" s="28"/>
      <c r="G450" s="29"/>
      <c r="H450" s="29"/>
      <c r="I450" s="69" t="str">
        <f t="shared" si="7"/>
        <v>441</v>
      </c>
    </row>
    <row r="451" spans="4:9" x14ac:dyDescent="0.2">
      <c r="D451" s="2">
        <v>442</v>
      </c>
      <c r="E451" s="39"/>
      <c r="F451" s="28"/>
      <c r="G451" s="29"/>
      <c r="H451" s="29"/>
      <c r="I451" s="69" t="str">
        <f t="shared" si="7"/>
        <v>442</v>
      </c>
    </row>
    <row r="452" spans="4:9" x14ac:dyDescent="0.2">
      <c r="D452" s="2">
        <v>443</v>
      </c>
      <c r="E452" s="39"/>
      <c r="F452" s="28"/>
      <c r="G452" s="29"/>
      <c r="H452" s="29"/>
      <c r="I452" s="69" t="str">
        <f t="shared" si="7"/>
        <v>443</v>
      </c>
    </row>
    <row r="453" spans="4:9" x14ac:dyDescent="0.2">
      <c r="D453" s="2">
        <v>444</v>
      </c>
      <c r="E453" s="39"/>
      <c r="F453" s="28"/>
      <c r="G453" s="29"/>
      <c r="H453" s="29"/>
      <c r="I453" s="69" t="str">
        <f t="shared" si="7"/>
        <v>444</v>
      </c>
    </row>
    <row r="454" spans="4:9" x14ac:dyDescent="0.2">
      <c r="D454" s="2">
        <v>445</v>
      </c>
      <c r="E454" s="39"/>
      <c r="F454" s="28"/>
      <c r="G454" s="29"/>
      <c r="H454" s="29"/>
      <c r="I454" s="69" t="str">
        <f t="shared" si="7"/>
        <v>445</v>
      </c>
    </row>
    <row r="455" spans="4:9" x14ac:dyDescent="0.2">
      <c r="D455" s="2">
        <v>446</v>
      </c>
      <c r="E455" s="39"/>
      <c r="F455" s="28"/>
      <c r="G455" s="29"/>
      <c r="H455" s="29"/>
      <c r="I455" s="69" t="str">
        <f t="shared" si="7"/>
        <v>446</v>
      </c>
    </row>
    <row r="456" spans="4:9" x14ac:dyDescent="0.2">
      <c r="D456" s="2">
        <v>447</v>
      </c>
      <c r="E456" s="39"/>
      <c r="F456" s="28"/>
      <c r="G456" s="29"/>
      <c r="H456" s="29"/>
      <c r="I456" s="69" t="str">
        <f t="shared" si="7"/>
        <v>447</v>
      </c>
    </row>
    <row r="457" spans="4:9" x14ac:dyDescent="0.2">
      <c r="D457" s="2">
        <v>448</v>
      </c>
      <c r="E457" s="39"/>
      <c r="F457" s="28"/>
      <c r="G457" s="29"/>
      <c r="H457" s="29"/>
      <c r="I457" s="69" t="str">
        <f t="shared" si="7"/>
        <v>448</v>
      </c>
    </row>
    <row r="458" spans="4:9" x14ac:dyDescent="0.2">
      <c r="D458" s="2">
        <v>449</v>
      </c>
      <c r="E458" s="39"/>
      <c r="F458" s="28"/>
      <c r="G458" s="29"/>
      <c r="H458" s="29"/>
      <c r="I458" s="69" t="str">
        <f t="shared" si="7"/>
        <v>449</v>
      </c>
    </row>
    <row r="459" spans="4:9" x14ac:dyDescent="0.2">
      <c r="D459" s="2">
        <v>450</v>
      </c>
      <c r="E459" s="39"/>
      <c r="F459" s="28"/>
      <c r="G459" s="29"/>
      <c r="H459" s="29"/>
      <c r="I459" s="69" t="str">
        <f t="shared" ref="I459:I522" si="8">+D459&amp;E459</f>
        <v>450</v>
      </c>
    </row>
    <row r="460" spans="4:9" x14ac:dyDescent="0.2">
      <c r="D460" s="2">
        <v>451</v>
      </c>
      <c r="E460" s="39"/>
      <c r="F460" s="28"/>
      <c r="G460" s="29"/>
      <c r="H460" s="29"/>
      <c r="I460" s="69" t="str">
        <f t="shared" si="8"/>
        <v>451</v>
      </c>
    </row>
    <row r="461" spans="4:9" x14ac:dyDescent="0.2">
      <c r="D461" s="2">
        <v>452</v>
      </c>
      <c r="E461" s="39"/>
      <c r="F461" s="28"/>
      <c r="G461" s="29"/>
      <c r="H461" s="29"/>
      <c r="I461" s="69" t="str">
        <f t="shared" si="8"/>
        <v>452</v>
      </c>
    </row>
    <row r="462" spans="4:9" x14ac:dyDescent="0.2">
      <c r="D462" s="2">
        <v>453</v>
      </c>
      <c r="E462" s="39"/>
      <c r="F462" s="28"/>
      <c r="G462" s="29"/>
      <c r="H462" s="29"/>
      <c r="I462" s="69" t="str">
        <f t="shared" si="8"/>
        <v>453</v>
      </c>
    </row>
    <row r="463" spans="4:9" x14ac:dyDescent="0.2">
      <c r="D463" s="2">
        <v>454</v>
      </c>
      <c r="E463" s="39"/>
      <c r="F463" s="28"/>
      <c r="G463" s="29"/>
      <c r="H463" s="29"/>
      <c r="I463" s="69" t="str">
        <f t="shared" si="8"/>
        <v>454</v>
      </c>
    </row>
    <row r="464" spans="4:9" x14ac:dyDescent="0.2">
      <c r="D464" s="2">
        <v>455</v>
      </c>
      <c r="E464" s="39"/>
      <c r="F464" s="28"/>
      <c r="G464" s="29"/>
      <c r="H464" s="29"/>
      <c r="I464" s="69" t="str">
        <f t="shared" si="8"/>
        <v>455</v>
      </c>
    </row>
    <row r="465" spans="4:9" x14ac:dyDescent="0.2">
      <c r="D465" s="2">
        <v>456</v>
      </c>
      <c r="E465" s="39"/>
      <c r="F465" s="28"/>
      <c r="G465" s="29"/>
      <c r="H465" s="29"/>
      <c r="I465" s="69" t="str">
        <f t="shared" si="8"/>
        <v>456</v>
      </c>
    </row>
    <row r="466" spans="4:9" x14ac:dyDescent="0.2">
      <c r="D466" s="2">
        <v>457</v>
      </c>
      <c r="E466" s="39"/>
      <c r="F466" s="28"/>
      <c r="G466" s="29"/>
      <c r="H466" s="29"/>
      <c r="I466" s="69" t="str">
        <f t="shared" si="8"/>
        <v>457</v>
      </c>
    </row>
    <row r="467" spans="4:9" x14ac:dyDescent="0.2">
      <c r="D467" s="2">
        <v>458</v>
      </c>
      <c r="E467" s="39"/>
      <c r="F467" s="28"/>
      <c r="G467" s="29"/>
      <c r="H467" s="29"/>
      <c r="I467" s="69" t="str">
        <f t="shared" si="8"/>
        <v>458</v>
      </c>
    </row>
    <row r="468" spans="4:9" x14ac:dyDescent="0.2">
      <c r="D468" s="2">
        <v>459</v>
      </c>
      <c r="E468" s="39"/>
      <c r="F468" s="28"/>
      <c r="G468" s="29"/>
      <c r="H468" s="29"/>
      <c r="I468" s="69" t="str">
        <f t="shared" si="8"/>
        <v>459</v>
      </c>
    </row>
    <row r="469" spans="4:9" x14ac:dyDescent="0.2">
      <c r="D469" s="2">
        <v>460</v>
      </c>
      <c r="E469" s="39"/>
      <c r="F469" s="28"/>
      <c r="G469" s="29"/>
      <c r="H469" s="29"/>
      <c r="I469" s="69" t="str">
        <f t="shared" si="8"/>
        <v>460</v>
      </c>
    </row>
    <row r="470" spans="4:9" x14ac:dyDescent="0.2">
      <c r="D470" s="2">
        <v>461</v>
      </c>
      <c r="E470" s="39"/>
      <c r="F470" s="28"/>
      <c r="G470" s="29"/>
      <c r="H470" s="29"/>
      <c r="I470" s="69" t="str">
        <f t="shared" si="8"/>
        <v>461</v>
      </c>
    </row>
    <row r="471" spans="4:9" x14ac:dyDescent="0.2">
      <c r="D471" s="2">
        <v>462</v>
      </c>
      <c r="E471" s="39"/>
      <c r="F471" s="28"/>
      <c r="G471" s="29"/>
      <c r="H471" s="29"/>
      <c r="I471" s="69" t="str">
        <f t="shared" si="8"/>
        <v>462</v>
      </c>
    </row>
    <row r="472" spans="4:9" x14ac:dyDescent="0.2">
      <c r="D472" s="2">
        <v>463</v>
      </c>
      <c r="E472" s="39"/>
      <c r="F472" s="28"/>
      <c r="G472" s="29"/>
      <c r="H472" s="29"/>
      <c r="I472" s="69" t="str">
        <f t="shared" si="8"/>
        <v>463</v>
      </c>
    </row>
    <row r="473" spans="4:9" x14ac:dyDescent="0.2">
      <c r="D473" s="2">
        <v>464</v>
      </c>
      <c r="E473" s="39"/>
      <c r="F473" s="28"/>
      <c r="G473" s="29"/>
      <c r="H473" s="29"/>
      <c r="I473" s="69" t="str">
        <f t="shared" si="8"/>
        <v>464</v>
      </c>
    </row>
    <row r="474" spans="4:9" x14ac:dyDescent="0.2">
      <c r="D474" s="2">
        <v>465</v>
      </c>
      <c r="E474" s="39"/>
      <c r="F474" s="28"/>
      <c r="G474" s="29"/>
      <c r="H474" s="29"/>
      <c r="I474" s="69" t="str">
        <f t="shared" si="8"/>
        <v>465</v>
      </c>
    </row>
    <row r="475" spans="4:9" x14ac:dyDescent="0.2">
      <c r="D475" s="2">
        <v>466</v>
      </c>
      <c r="E475" s="39"/>
      <c r="F475" s="28"/>
      <c r="G475" s="29"/>
      <c r="H475" s="29"/>
      <c r="I475" s="69" t="str">
        <f t="shared" si="8"/>
        <v>466</v>
      </c>
    </row>
    <row r="476" spans="4:9" x14ac:dyDescent="0.2">
      <c r="D476" s="2">
        <v>467</v>
      </c>
      <c r="E476" s="39"/>
      <c r="F476" s="28"/>
      <c r="G476" s="29"/>
      <c r="H476" s="29"/>
      <c r="I476" s="69" t="str">
        <f t="shared" si="8"/>
        <v>467</v>
      </c>
    </row>
    <row r="477" spans="4:9" x14ac:dyDescent="0.2">
      <c r="D477" s="2">
        <v>468</v>
      </c>
      <c r="E477" s="39"/>
      <c r="F477" s="28"/>
      <c r="G477" s="29"/>
      <c r="H477" s="29"/>
      <c r="I477" s="69" t="str">
        <f t="shared" si="8"/>
        <v>468</v>
      </c>
    </row>
    <row r="478" spans="4:9" x14ac:dyDescent="0.2">
      <c r="D478" s="2">
        <v>469</v>
      </c>
      <c r="E478" s="39"/>
      <c r="F478" s="28"/>
      <c r="G478" s="29"/>
      <c r="H478" s="29"/>
      <c r="I478" s="69" t="str">
        <f t="shared" si="8"/>
        <v>469</v>
      </c>
    </row>
    <row r="479" spans="4:9" x14ac:dyDescent="0.2">
      <c r="D479" s="2">
        <v>470</v>
      </c>
      <c r="E479" s="39"/>
      <c r="F479" s="28"/>
      <c r="G479" s="29"/>
      <c r="H479" s="29"/>
      <c r="I479" s="69" t="str">
        <f t="shared" si="8"/>
        <v>470</v>
      </c>
    </row>
    <row r="480" spans="4:9" x14ac:dyDescent="0.2">
      <c r="D480" s="2">
        <v>471</v>
      </c>
      <c r="E480" s="39"/>
      <c r="F480" s="28"/>
      <c r="G480" s="29"/>
      <c r="H480" s="29"/>
      <c r="I480" s="69" t="str">
        <f t="shared" si="8"/>
        <v>471</v>
      </c>
    </row>
    <row r="481" spans="4:9" x14ac:dyDescent="0.2">
      <c r="D481" s="2">
        <v>472</v>
      </c>
      <c r="E481" s="39"/>
      <c r="F481" s="28"/>
      <c r="G481" s="29"/>
      <c r="H481" s="29"/>
      <c r="I481" s="69" t="str">
        <f t="shared" si="8"/>
        <v>472</v>
      </c>
    </row>
    <row r="482" spans="4:9" x14ac:dyDescent="0.2">
      <c r="D482" s="2">
        <v>473</v>
      </c>
      <c r="E482" s="39"/>
      <c r="F482" s="28"/>
      <c r="G482" s="29"/>
      <c r="H482" s="29"/>
      <c r="I482" s="69" t="str">
        <f t="shared" si="8"/>
        <v>473</v>
      </c>
    </row>
    <row r="483" spans="4:9" x14ac:dyDescent="0.2">
      <c r="D483" s="2">
        <v>474</v>
      </c>
      <c r="E483" s="39"/>
      <c r="F483" s="28"/>
      <c r="G483" s="29"/>
      <c r="H483" s="29"/>
      <c r="I483" s="69" t="str">
        <f t="shared" si="8"/>
        <v>474</v>
      </c>
    </row>
    <row r="484" spans="4:9" x14ac:dyDescent="0.2">
      <c r="D484" s="2">
        <v>475</v>
      </c>
      <c r="E484" s="39"/>
      <c r="F484" s="28"/>
      <c r="G484" s="29"/>
      <c r="H484" s="29"/>
      <c r="I484" s="69" t="str">
        <f t="shared" si="8"/>
        <v>475</v>
      </c>
    </row>
    <row r="485" spans="4:9" x14ac:dyDescent="0.2">
      <c r="D485" s="2">
        <v>476</v>
      </c>
      <c r="E485" s="39"/>
      <c r="F485" s="28"/>
      <c r="G485" s="29"/>
      <c r="H485" s="29"/>
      <c r="I485" s="69" t="str">
        <f t="shared" si="8"/>
        <v>476</v>
      </c>
    </row>
    <row r="486" spans="4:9" x14ac:dyDescent="0.2">
      <c r="D486" s="2">
        <v>477</v>
      </c>
      <c r="E486" s="39"/>
      <c r="F486" s="28"/>
      <c r="G486" s="29"/>
      <c r="H486" s="29"/>
      <c r="I486" s="69" t="str">
        <f t="shared" si="8"/>
        <v>477</v>
      </c>
    </row>
    <row r="487" spans="4:9" x14ac:dyDescent="0.2">
      <c r="D487" s="2">
        <v>478</v>
      </c>
      <c r="E487" s="39"/>
      <c r="F487" s="28"/>
      <c r="G487" s="29"/>
      <c r="H487" s="29"/>
      <c r="I487" s="69" t="str">
        <f t="shared" si="8"/>
        <v>478</v>
      </c>
    </row>
    <row r="488" spans="4:9" x14ac:dyDescent="0.2">
      <c r="D488" s="2">
        <v>479</v>
      </c>
      <c r="E488" s="39"/>
      <c r="F488" s="28"/>
      <c r="G488" s="29"/>
      <c r="H488" s="29"/>
      <c r="I488" s="69" t="str">
        <f t="shared" si="8"/>
        <v>479</v>
      </c>
    </row>
    <row r="489" spans="4:9" x14ac:dyDescent="0.2">
      <c r="D489" s="2">
        <v>480</v>
      </c>
      <c r="E489" s="39"/>
      <c r="F489" s="28"/>
      <c r="G489" s="29"/>
      <c r="H489" s="29"/>
      <c r="I489" s="69" t="str">
        <f t="shared" si="8"/>
        <v>480</v>
      </c>
    </row>
    <row r="490" spans="4:9" x14ac:dyDescent="0.2">
      <c r="D490" s="2">
        <v>481</v>
      </c>
      <c r="E490" s="39"/>
      <c r="F490" s="28"/>
      <c r="G490" s="29"/>
      <c r="H490" s="29"/>
      <c r="I490" s="69" t="str">
        <f t="shared" si="8"/>
        <v>481</v>
      </c>
    </row>
    <row r="491" spans="4:9" x14ac:dyDescent="0.2">
      <c r="D491" s="2">
        <v>482</v>
      </c>
      <c r="E491" s="39"/>
      <c r="F491" s="28"/>
      <c r="G491" s="29"/>
      <c r="H491" s="29"/>
      <c r="I491" s="69" t="str">
        <f t="shared" si="8"/>
        <v>482</v>
      </c>
    </row>
    <row r="492" spans="4:9" x14ac:dyDescent="0.2">
      <c r="D492" s="2">
        <v>483</v>
      </c>
      <c r="E492" s="39"/>
      <c r="F492" s="28"/>
      <c r="G492" s="29"/>
      <c r="H492" s="29"/>
      <c r="I492" s="69" t="str">
        <f t="shared" si="8"/>
        <v>483</v>
      </c>
    </row>
    <row r="493" spans="4:9" x14ac:dyDescent="0.2">
      <c r="D493" s="2">
        <v>484</v>
      </c>
      <c r="E493" s="39"/>
      <c r="F493" s="28"/>
      <c r="G493" s="29"/>
      <c r="H493" s="29"/>
      <c r="I493" s="69" t="str">
        <f t="shared" si="8"/>
        <v>484</v>
      </c>
    </row>
    <row r="494" spans="4:9" x14ac:dyDescent="0.2">
      <c r="D494" s="2">
        <v>485</v>
      </c>
      <c r="E494" s="39"/>
      <c r="F494" s="28"/>
      <c r="G494" s="29"/>
      <c r="H494" s="29"/>
      <c r="I494" s="69" t="str">
        <f t="shared" si="8"/>
        <v>485</v>
      </c>
    </row>
    <row r="495" spans="4:9" x14ac:dyDescent="0.2">
      <c r="D495" s="2">
        <v>486</v>
      </c>
      <c r="E495" s="39"/>
      <c r="F495" s="28"/>
      <c r="G495" s="29"/>
      <c r="H495" s="29"/>
      <c r="I495" s="69" t="str">
        <f t="shared" si="8"/>
        <v>486</v>
      </c>
    </row>
    <row r="496" spans="4:9" x14ac:dyDescent="0.2">
      <c r="D496" s="2">
        <v>487</v>
      </c>
      <c r="E496" s="39"/>
      <c r="F496" s="28"/>
      <c r="G496" s="29"/>
      <c r="H496" s="29"/>
      <c r="I496" s="69" t="str">
        <f t="shared" si="8"/>
        <v>487</v>
      </c>
    </row>
    <row r="497" spans="4:9" x14ac:dyDescent="0.2">
      <c r="D497" s="2">
        <v>488</v>
      </c>
      <c r="E497" s="39"/>
      <c r="F497" s="28"/>
      <c r="G497" s="29"/>
      <c r="H497" s="29"/>
      <c r="I497" s="69" t="str">
        <f t="shared" si="8"/>
        <v>488</v>
      </c>
    </row>
    <row r="498" spans="4:9" x14ac:dyDescent="0.2">
      <c r="D498" s="2">
        <v>489</v>
      </c>
      <c r="E498" s="39"/>
      <c r="F498" s="28"/>
      <c r="G498" s="29"/>
      <c r="H498" s="29"/>
      <c r="I498" s="69" t="str">
        <f t="shared" si="8"/>
        <v>489</v>
      </c>
    </row>
    <row r="499" spans="4:9" x14ac:dyDescent="0.2">
      <c r="D499" s="2">
        <v>490</v>
      </c>
      <c r="E499" s="39"/>
      <c r="F499" s="28"/>
      <c r="G499" s="29"/>
      <c r="H499" s="29"/>
      <c r="I499" s="69" t="str">
        <f t="shared" si="8"/>
        <v>490</v>
      </c>
    </row>
    <row r="500" spans="4:9" x14ac:dyDescent="0.2">
      <c r="D500" s="2">
        <v>491</v>
      </c>
      <c r="E500" s="39"/>
      <c r="F500" s="28"/>
      <c r="G500" s="29"/>
      <c r="H500" s="29"/>
      <c r="I500" s="69" t="str">
        <f t="shared" si="8"/>
        <v>491</v>
      </c>
    </row>
    <row r="501" spans="4:9" x14ac:dyDescent="0.2">
      <c r="D501" s="2">
        <v>492</v>
      </c>
      <c r="E501" s="39"/>
      <c r="F501" s="28"/>
      <c r="G501" s="29"/>
      <c r="H501" s="29"/>
      <c r="I501" s="69" t="str">
        <f t="shared" si="8"/>
        <v>492</v>
      </c>
    </row>
    <row r="502" spans="4:9" x14ac:dyDescent="0.2">
      <c r="D502" s="2">
        <v>493</v>
      </c>
      <c r="E502" s="39"/>
      <c r="F502" s="28"/>
      <c r="G502" s="29"/>
      <c r="H502" s="29"/>
      <c r="I502" s="69" t="str">
        <f t="shared" si="8"/>
        <v>493</v>
      </c>
    </row>
    <row r="503" spans="4:9" x14ac:dyDescent="0.2">
      <c r="D503" s="2">
        <v>494</v>
      </c>
      <c r="E503" s="39"/>
      <c r="F503" s="28"/>
      <c r="G503" s="29"/>
      <c r="H503" s="29"/>
      <c r="I503" s="69" t="str">
        <f t="shared" si="8"/>
        <v>494</v>
      </c>
    </row>
    <row r="504" spans="4:9" x14ac:dyDescent="0.2">
      <c r="D504" s="2">
        <v>495</v>
      </c>
      <c r="E504" s="39"/>
      <c r="F504" s="28"/>
      <c r="G504" s="29"/>
      <c r="H504" s="29"/>
      <c r="I504" s="69" t="str">
        <f t="shared" si="8"/>
        <v>495</v>
      </c>
    </row>
    <row r="505" spans="4:9" x14ac:dyDescent="0.2">
      <c r="D505" s="2">
        <v>496</v>
      </c>
      <c r="E505" s="39"/>
      <c r="F505" s="28"/>
      <c r="G505" s="29"/>
      <c r="H505" s="29"/>
      <c r="I505" s="69" t="str">
        <f t="shared" si="8"/>
        <v>496</v>
      </c>
    </row>
    <row r="506" spans="4:9" x14ac:dyDescent="0.2">
      <c r="D506" s="2">
        <v>497</v>
      </c>
      <c r="E506" s="39"/>
      <c r="F506" s="28"/>
      <c r="G506" s="29"/>
      <c r="H506" s="29"/>
      <c r="I506" s="69" t="str">
        <f t="shared" si="8"/>
        <v>497</v>
      </c>
    </row>
    <row r="507" spans="4:9" x14ac:dyDescent="0.2">
      <c r="D507" s="2">
        <v>498</v>
      </c>
      <c r="E507" s="39"/>
      <c r="F507" s="28"/>
      <c r="G507" s="29"/>
      <c r="H507" s="29"/>
      <c r="I507" s="69" t="str">
        <f t="shared" si="8"/>
        <v>498</v>
      </c>
    </row>
    <row r="508" spans="4:9" x14ac:dyDescent="0.2">
      <c r="D508" s="2">
        <v>499</v>
      </c>
      <c r="E508" s="39"/>
      <c r="F508" s="28"/>
      <c r="G508" s="29"/>
      <c r="H508" s="29"/>
      <c r="I508" s="69" t="str">
        <f t="shared" si="8"/>
        <v>499</v>
      </c>
    </row>
    <row r="509" spans="4:9" x14ac:dyDescent="0.2">
      <c r="D509" s="2">
        <v>500</v>
      </c>
      <c r="E509" s="39"/>
      <c r="F509" s="28"/>
      <c r="G509" s="29"/>
      <c r="H509" s="29"/>
      <c r="I509" s="69" t="str">
        <f t="shared" si="8"/>
        <v>500</v>
      </c>
    </row>
    <row r="510" spans="4:9" x14ac:dyDescent="0.2">
      <c r="D510" s="2">
        <v>501</v>
      </c>
      <c r="E510" s="39"/>
      <c r="F510" s="28"/>
      <c r="G510" s="29"/>
      <c r="H510" s="29"/>
      <c r="I510" s="69" t="str">
        <f t="shared" si="8"/>
        <v>501</v>
      </c>
    </row>
    <row r="511" spans="4:9" x14ac:dyDescent="0.2">
      <c r="D511" s="2">
        <v>502</v>
      </c>
      <c r="E511" s="39"/>
      <c r="F511" s="28"/>
      <c r="G511" s="29"/>
      <c r="H511" s="29"/>
      <c r="I511" s="69" t="str">
        <f t="shared" si="8"/>
        <v>502</v>
      </c>
    </row>
    <row r="512" spans="4:9" x14ac:dyDescent="0.2">
      <c r="D512" s="2">
        <v>503</v>
      </c>
      <c r="E512" s="39"/>
      <c r="F512" s="28"/>
      <c r="G512" s="29"/>
      <c r="H512" s="29"/>
      <c r="I512" s="69" t="str">
        <f t="shared" si="8"/>
        <v>503</v>
      </c>
    </row>
    <row r="513" spans="4:9" x14ac:dyDescent="0.2">
      <c r="D513" s="2">
        <v>504</v>
      </c>
      <c r="E513" s="39"/>
      <c r="F513" s="28"/>
      <c r="G513" s="29"/>
      <c r="H513" s="29"/>
      <c r="I513" s="69" t="str">
        <f t="shared" si="8"/>
        <v>504</v>
      </c>
    </row>
    <row r="514" spans="4:9" x14ac:dyDescent="0.2">
      <c r="D514" s="2">
        <v>505</v>
      </c>
      <c r="E514" s="39"/>
      <c r="F514" s="28"/>
      <c r="G514" s="29"/>
      <c r="H514" s="29"/>
      <c r="I514" s="69" t="str">
        <f t="shared" si="8"/>
        <v>505</v>
      </c>
    </row>
    <row r="515" spans="4:9" x14ac:dyDescent="0.2">
      <c r="D515" s="2">
        <v>506</v>
      </c>
      <c r="E515" s="39"/>
      <c r="F515" s="28"/>
      <c r="G515" s="29"/>
      <c r="H515" s="29"/>
      <c r="I515" s="69" t="str">
        <f t="shared" si="8"/>
        <v>506</v>
      </c>
    </row>
    <row r="516" spans="4:9" x14ac:dyDescent="0.2">
      <c r="D516" s="2">
        <v>507</v>
      </c>
      <c r="E516" s="39"/>
      <c r="F516" s="28"/>
      <c r="G516" s="29"/>
      <c r="H516" s="29"/>
      <c r="I516" s="69" t="str">
        <f t="shared" si="8"/>
        <v>507</v>
      </c>
    </row>
    <row r="517" spans="4:9" x14ac:dyDescent="0.2">
      <c r="D517" s="2">
        <v>508</v>
      </c>
      <c r="E517" s="39"/>
      <c r="F517" s="28"/>
      <c r="G517" s="29"/>
      <c r="H517" s="29"/>
      <c r="I517" s="69" t="str">
        <f t="shared" si="8"/>
        <v>508</v>
      </c>
    </row>
    <row r="518" spans="4:9" x14ac:dyDescent="0.2">
      <c r="D518" s="2">
        <v>509</v>
      </c>
      <c r="E518" s="39"/>
      <c r="F518" s="28"/>
      <c r="G518" s="29"/>
      <c r="H518" s="29"/>
      <c r="I518" s="69" t="str">
        <f t="shared" si="8"/>
        <v>509</v>
      </c>
    </row>
    <row r="519" spans="4:9" x14ac:dyDescent="0.2">
      <c r="D519" s="2">
        <v>510</v>
      </c>
      <c r="E519" s="39"/>
      <c r="F519" s="28"/>
      <c r="G519" s="29"/>
      <c r="H519" s="29"/>
      <c r="I519" s="69" t="str">
        <f t="shared" si="8"/>
        <v>510</v>
      </c>
    </row>
    <row r="520" spans="4:9" x14ac:dyDescent="0.2">
      <c r="D520" s="2">
        <v>511</v>
      </c>
      <c r="E520" s="39"/>
      <c r="F520" s="28"/>
      <c r="G520" s="29"/>
      <c r="H520" s="29"/>
      <c r="I520" s="69" t="str">
        <f t="shared" si="8"/>
        <v>511</v>
      </c>
    </row>
    <row r="521" spans="4:9" x14ac:dyDescent="0.2">
      <c r="D521" s="2">
        <v>512</v>
      </c>
      <c r="E521" s="39"/>
      <c r="F521" s="28"/>
      <c r="G521" s="29"/>
      <c r="H521" s="29"/>
      <c r="I521" s="69" t="str">
        <f t="shared" si="8"/>
        <v>512</v>
      </c>
    </row>
    <row r="522" spans="4:9" x14ac:dyDescent="0.2">
      <c r="D522" s="2">
        <v>513</v>
      </c>
      <c r="E522" s="39"/>
      <c r="F522" s="28"/>
      <c r="G522" s="29"/>
      <c r="H522" s="29"/>
      <c r="I522" s="69" t="str">
        <f t="shared" si="8"/>
        <v>513</v>
      </c>
    </row>
    <row r="523" spans="4:9" x14ac:dyDescent="0.2">
      <c r="D523" s="2">
        <v>514</v>
      </c>
      <c r="E523" s="39"/>
      <c r="F523" s="28"/>
      <c r="G523" s="29"/>
      <c r="H523" s="29"/>
      <c r="I523" s="69" t="str">
        <f t="shared" ref="I523:I586" si="9">+D523&amp;E523</f>
        <v>514</v>
      </c>
    </row>
    <row r="524" spans="4:9" x14ac:dyDescent="0.2">
      <c r="D524" s="2">
        <v>515</v>
      </c>
      <c r="E524" s="39"/>
      <c r="F524" s="28"/>
      <c r="G524" s="29"/>
      <c r="H524" s="29"/>
      <c r="I524" s="69" t="str">
        <f t="shared" si="9"/>
        <v>515</v>
      </c>
    </row>
    <row r="525" spans="4:9" x14ac:dyDescent="0.2">
      <c r="D525" s="2">
        <v>516</v>
      </c>
      <c r="E525" s="39"/>
      <c r="F525" s="28"/>
      <c r="G525" s="29"/>
      <c r="H525" s="29"/>
      <c r="I525" s="69" t="str">
        <f t="shared" si="9"/>
        <v>516</v>
      </c>
    </row>
    <row r="526" spans="4:9" x14ac:dyDescent="0.2">
      <c r="D526" s="2">
        <v>517</v>
      </c>
      <c r="E526" s="39"/>
      <c r="F526" s="28"/>
      <c r="G526" s="29"/>
      <c r="H526" s="29"/>
      <c r="I526" s="69" t="str">
        <f t="shared" si="9"/>
        <v>517</v>
      </c>
    </row>
    <row r="527" spans="4:9" x14ac:dyDescent="0.2">
      <c r="D527" s="2">
        <v>518</v>
      </c>
      <c r="E527" s="39"/>
      <c r="F527" s="28"/>
      <c r="G527" s="29"/>
      <c r="H527" s="29"/>
      <c r="I527" s="69" t="str">
        <f t="shared" si="9"/>
        <v>518</v>
      </c>
    </row>
    <row r="528" spans="4:9" x14ac:dyDescent="0.2">
      <c r="D528" s="2">
        <v>519</v>
      </c>
      <c r="E528" s="39"/>
      <c r="F528" s="28"/>
      <c r="G528" s="29"/>
      <c r="H528" s="29"/>
      <c r="I528" s="69" t="str">
        <f t="shared" si="9"/>
        <v>519</v>
      </c>
    </row>
    <row r="529" spans="4:9" x14ac:dyDescent="0.2">
      <c r="D529" s="2">
        <v>520</v>
      </c>
      <c r="E529" s="39"/>
      <c r="F529" s="28"/>
      <c r="G529" s="29"/>
      <c r="H529" s="29"/>
      <c r="I529" s="69" t="str">
        <f t="shared" si="9"/>
        <v>520</v>
      </c>
    </row>
    <row r="530" spans="4:9" x14ac:dyDescent="0.2">
      <c r="D530" s="2">
        <v>521</v>
      </c>
      <c r="E530" s="39"/>
      <c r="F530" s="28"/>
      <c r="G530" s="29"/>
      <c r="H530" s="29"/>
      <c r="I530" s="69" t="str">
        <f t="shared" si="9"/>
        <v>521</v>
      </c>
    </row>
    <row r="531" spans="4:9" x14ac:dyDescent="0.2">
      <c r="D531" s="2">
        <v>522</v>
      </c>
      <c r="E531" s="39"/>
      <c r="F531" s="28"/>
      <c r="G531" s="29"/>
      <c r="H531" s="29"/>
      <c r="I531" s="69" t="str">
        <f t="shared" si="9"/>
        <v>522</v>
      </c>
    </row>
    <row r="532" spans="4:9" x14ac:dyDescent="0.2">
      <c r="D532" s="2">
        <v>523</v>
      </c>
      <c r="E532" s="39"/>
      <c r="F532" s="28"/>
      <c r="G532" s="29"/>
      <c r="H532" s="29"/>
      <c r="I532" s="69" t="str">
        <f t="shared" si="9"/>
        <v>523</v>
      </c>
    </row>
    <row r="533" spans="4:9" x14ac:dyDescent="0.2">
      <c r="D533" s="2">
        <v>524</v>
      </c>
      <c r="E533" s="39"/>
      <c r="F533" s="28"/>
      <c r="G533" s="29"/>
      <c r="H533" s="29"/>
      <c r="I533" s="69" t="str">
        <f t="shared" si="9"/>
        <v>524</v>
      </c>
    </row>
    <row r="534" spans="4:9" x14ac:dyDescent="0.2">
      <c r="D534" s="2">
        <v>525</v>
      </c>
      <c r="E534" s="39"/>
      <c r="F534" s="28"/>
      <c r="G534" s="29"/>
      <c r="H534" s="29"/>
      <c r="I534" s="69" t="str">
        <f t="shared" si="9"/>
        <v>525</v>
      </c>
    </row>
    <row r="535" spans="4:9" x14ac:dyDescent="0.2">
      <c r="D535" s="2">
        <v>526</v>
      </c>
      <c r="E535" s="39"/>
      <c r="F535" s="28"/>
      <c r="G535" s="29"/>
      <c r="H535" s="29"/>
      <c r="I535" s="69" t="str">
        <f t="shared" si="9"/>
        <v>526</v>
      </c>
    </row>
    <row r="536" spans="4:9" x14ac:dyDescent="0.2">
      <c r="D536" s="2">
        <v>527</v>
      </c>
      <c r="E536" s="39"/>
      <c r="F536" s="28"/>
      <c r="G536" s="29"/>
      <c r="H536" s="29"/>
      <c r="I536" s="69" t="str">
        <f t="shared" si="9"/>
        <v>527</v>
      </c>
    </row>
    <row r="537" spans="4:9" x14ac:dyDescent="0.2">
      <c r="D537" s="2">
        <v>528</v>
      </c>
      <c r="E537" s="39"/>
      <c r="F537" s="28"/>
      <c r="G537" s="29"/>
      <c r="H537" s="29"/>
      <c r="I537" s="69" t="str">
        <f t="shared" si="9"/>
        <v>528</v>
      </c>
    </row>
    <row r="538" spans="4:9" x14ac:dyDescent="0.2">
      <c r="D538" s="2">
        <v>529</v>
      </c>
      <c r="E538" s="39"/>
      <c r="F538" s="28"/>
      <c r="G538" s="29"/>
      <c r="H538" s="29"/>
      <c r="I538" s="69" t="str">
        <f t="shared" si="9"/>
        <v>529</v>
      </c>
    </row>
    <row r="539" spans="4:9" x14ac:dyDescent="0.2">
      <c r="D539" s="2">
        <v>530</v>
      </c>
      <c r="E539" s="39"/>
      <c r="F539" s="28"/>
      <c r="G539" s="29"/>
      <c r="H539" s="29"/>
      <c r="I539" s="69" t="str">
        <f t="shared" si="9"/>
        <v>530</v>
      </c>
    </row>
    <row r="540" spans="4:9" x14ac:dyDescent="0.2">
      <c r="D540" s="2">
        <v>531</v>
      </c>
      <c r="E540" s="39"/>
      <c r="F540" s="28"/>
      <c r="G540" s="29"/>
      <c r="H540" s="29"/>
      <c r="I540" s="69" t="str">
        <f t="shared" si="9"/>
        <v>531</v>
      </c>
    </row>
    <row r="541" spans="4:9" x14ac:dyDescent="0.2">
      <c r="D541" s="2">
        <v>532</v>
      </c>
      <c r="E541" s="39"/>
      <c r="F541" s="28"/>
      <c r="G541" s="29"/>
      <c r="H541" s="29"/>
      <c r="I541" s="69" t="str">
        <f t="shared" si="9"/>
        <v>532</v>
      </c>
    </row>
    <row r="542" spans="4:9" x14ac:dyDescent="0.2">
      <c r="D542" s="2">
        <v>533</v>
      </c>
      <c r="E542" s="39"/>
      <c r="F542" s="28"/>
      <c r="G542" s="29"/>
      <c r="H542" s="29"/>
      <c r="I542" s="69" t="str">
        <f t="shared" si="9"/>
        <v>533</v>
      </c>
    </row>
    <row r="543" spans="4:9" x14ac:dyDescent="0.2">
      <c r="D543" s="2">
        <v>534</v>
      </c>
      <c r="E543" s="39"/>
      <c r="F543" s="28"/>
      <c r="G543" s="29"/>
      <c r="H543" s="29"/>
      <c r="I543" s="69" t="str">
        <f t="shared" si="9"/>
        <v>534</v>
      </c>
    </row>
    <row r="544" spans="4:9" x14ac:dyDescent="0.2">
      <c r="D544" s="2">
        <v>535</v>
      </c>
      <c r="E544" s="39"/>
      <c r="F544" s="28"/>
      <c r="G544" s="29"/>
      <c r="H544" s="29"/>
      <c r="I544" s="69" t="str">
        <f t="shared" si="9"/>
        <v>535</v>
      </c>
    </row>
    <row r="545" spans="4:9" x14ac:dyDescent="0.2">
      <c r="D545" s="2">
        <v>536</v>
      </c>
      <c r="E545" s="39"/>
      <c r="F545" s="28"/>
      <c r="G545" s="29"/>
      <c r="H545" s="29"/>
      <c r="I545" s="69" t="str">
        <f t="shared" si="9"/>
        <v>536</v>
      </c>
    </row>
    <row r="546" spans="4:9" x14ac:dyDescent="0.2">
      <c r="D546" s="2">
        <v>537</v>
      </c>
      <c r="E546" s="39"/>
      <c r="F546" s="28"/>
      <c r="G546" s="29"/>
      <c r="H546" s="29"/>
      <c r="I546" s="69" t="str">
        <f t="shared" si="9"/>
        <v>537</v>
      </c>
    </row>
    <row r="547" spans="4:9" x14ac:dyDescent="0.2">
      <c r="D547" s="2">
        <v>538</v>
      </c>
      <c r="E547" s="39"/>
      <c r="F547" s="28"/>
      <c r="G547" s="29"/>
      <c r="H547" s="29"/>
      <c r="I547" s="69" t="str">
        <f t="shared" si="9"/>
        <v>538</v>
      </c>
    </row>
    <row r="548" spans="4:9" x14ac:dyDescent="0.2">
      <c r="D548" s="2">
        <v>539</v>
      </c>
      <c r="E548" s="39"/>
      <c r="F548" s="28"/>
      <c r="G548" s="29"/>
      <c r="H548" s="29"/>
      <c r="I548" s="69" t="str">
        <f t="shared" si="9"/>
        <v>539</v>
      </c>
    </row>
    <row r="549" spans="4:9" x14ac:dyDescent="0.2">
      <c r="D549" s="2">
        <v>540</v>
      </c>
      <c r="E549" s="39"/>
      <c r="F549" s="28"/>
      <c r="G549" s="29"/>
      <c r="H549" s="29"/>
      <c r="I549" s="69" t="str">
        <f t="shared" si="9"/>
        <v>540</v>
      </c>
    </row>
    <row r="550" spans="4:9" x14ac:dyDescent="0.2">
      <c r="D550" s="2">
        <v>541</v>
      </c>
      <c r="E550" s="39"/>
      <c r="F550" s="28"/>
      <c r="G550" s="29"/>
      <c r="H550" s="29"/>
      <c r="I550" s="69" t="str">
        <f t="shared" si="9"/>
        <v>541</v>
      </c>
    </row>
    <row r="551" spans="4:9" x14ac:dyDescent="0.2">
      <c r="D551" s="2">
        <v>542</v>
      </c>
      <c r="E551" s="39"/>
      <c r="F551" s="28"/>
      <c r="G551" s="29"/>
      <c r="H551" s="29"/>
      <c r="I551" s="69" t="str">
        <f t="shared" si="9"/>
        <v>542</v>
      </c>
    </row>
    <row r="552" spans="4:9" x14ac:dyDescent="0.2">
      <c r="D552" s="2">
        <v>543</v>
      </c>
      <c r="E552" s="39"/>
      <c r="F552" s="28"/>
      <c r="G552" s="29"/>
      <c r="H552" s="29"/>
      <c r="I552" s="69" t="str">
        <f t="shared" si="9"/>
        <v>543</v>
      </c>
    </row>
    <row r="553" spans="4:9" x14ac:dyDescent="0.2">
      <c r="D553" s="2">
        <v>544</v>
      </c>
      <c r="E553" s="39"/>
      <c r="F553" s="28"/>
      <c r="G553" s="29"/>
      <c r="H553" s="29"/>
      <c r="I553" s="69" t="str">
        <f t="shared" si="9"/>
        <v>544</v>
      </c>
    </row>
    <row r="554" spans="4:9" x14ac:dyDescent="0.2">
      <c r="D554" s="2">
        <v>545</v>
      </c>
      <c r="E554" s="39"/>
      <c r="F554" s="28"/>
      <c r="G554" s="29"/>
      <c r="H554" s="29"/>
      <c r="I554" s="69" t="str">
        <f t="shared" si="9"/>
        <v>545</v>
      </c>
    </row>
    <row r="555" spans="4:9" x14ac:dyDescent="0.2">
      <c r="D555" s="2">
        <v>546</v>
      </c>
      <c r="E555" s="39"/>
      <c r="F555" s="28"/>
      <c r="G555" s="29"/>
      <c r="H555" s="29"/>
      <c r="I555" s="69" t="str">
        <f t="shared" si="9"/>
        <v>546</v>
      </c>
    </row>
    <row r="556" spans="4:9" x14ac:dyDescent="0.2">
      <c r="D556" s="2">
        <v>547</v>
      </c>
      <c r="E556" s="39"/>
      <c r="F556" s="28"/>
      <c r="G556" s="29"/>
      <c r="H556" s="29"/>
      <c r="I556" s="69" t="str">
        <f t="shared" si="9"/>
        <v>547</v>
      </c>
    </row>
    <row r="557" spans="4:9" x14ac:dyDescent="0.2">
      <c r="D557" s="2">
        <v>548</v>
      </c>
      <c r="E557" s="39"/>
      <c r="F557" s="28"/>
      <c r="G557" s="29"/>
      <c r="H557" s="29"/>
      <c r="I557" s="69" t="str">
        <f t="shared" si="9"/>
        <v>548</v>
      </c>
    </row>
    <row r="558" spans="4:9" x14ac:dyDescent="0.2">
      <c r="D558" s="2">
        <v>549</v>
      </c>
      <c r="E558" s="39"/>
      <c r="F558" s="28"/>
      <c r="G558" s="29"/>
      <c r="H558" s="29"/>
      <c r="I558" s="69" t="str">
        <f t="shared" si="9"/>
        <v>549</v>
      </c>
    </row>
    <row r="559" spans="4:9" x14ac:dyDescent="0.2">
      <c r="D559" s="2">
        <v>550</v>
      </c>
      <c r="E559" s="39"/>
      <c r="F559" s="28"/>
      <c r="G559" s="29"/>
      <c r="H559" s="29"/>
      <c r="I559" s="69" t="str">
        <f t="shared" si="9"/>
        <v>550</v>
      </c>
    </row>
    <row r="560" spans="4:9" x14ac:dyDescent="0.2">
      <c r="D560" s="2">
        <v>551</v>
      </c>
      <c r="E560" s="39"/>
      <c r="F560" s="28"/>
      <c r="G560" s="29"/>
      <c r="H560" s="29"/>
      <c r="I560" s="69" t="str">
        <f t="shared" si="9"/>
        <v>551</v>
      </c>
    </row>
    <row r="561" spans="4:9" x14ac:dyDescent="0.2">
      <c r="D561" s="2">
        <v>552</v>
      </c>
      <c r="E561" s="39"/>
      <c r="F561" s="28"/>
      <c r="G561" s="29"/>
      <c r="H561" s="29"/>
      <c r="I561" s="69" t="str">
        <f t="shared" si="9"/>
        <v>552</v>
      </c>
    </row>
    <row r="562" spans="4:9" x14ac:dyDescent="0.2">
      <c r="D562" s="2">
        <v>553</v>
      </c>
      <c r="E562" s="39"/>
      <c r="F562" s="28"/>
      <c r="G562" s="29"/>
      <c r="H562" s="29"/>
      <c r="I562" s="69" t="str">
        <f t="shared" si="9"/>
        <v>553</v>
      </c>
    </row>
    <row r="563" spans="4:9" x14ac:dyDescent="0.2">
      <c r="D563" s="2">
        <v>554</v>
      </c>
      <c r="E563" s="39"/>
      <c r="F563" s="28"/>
      <c r="G563" s="29"/>
      <c r="H563" s="29"/>
      <c r="I563" s="69" t="str">
        <f t="shared" si="9"/>
        <v>554</v>
      </c>
    </row>
    <row r="564" spans="4:9" x14ac:dyDescent="0.2">
      <c r="D564" s="2">
        <v>555</v>
      </c>
      <c r="E564" s="39"/>
      <c r="F564" s="28"/>
      <c r="G564" s="29"/>
      <c r="H564" s="29"/>
      <c r="I564" s="69" t="str">
        <f t="shared" si="9"/>
        <v>555</v>
      </c>
    </row>
    <row r="565" spans="4:9" x14ac:dyDescent="0.2">
      <c r="D565" s="2">
        <v>556</v>
      </c>
      <c r="E565" s="39"/>
      <c r="F565" s="28"/>
      <c r="G565" s="29"/>
      <c r="H565" s="29"/>
      <c r="I565" s="69" t="str">
        <f t="shared" si="9"/>
        <v>556</v>
      </c>
    </row>
    <row r="566" spans="4:9" x14ac:dyDescent="0.2">
      <c r="D566" s="2">
        <v>557</v>
      </c>
      <c r="E566" s="39"/>
      <c r="F566" s="28"/>
      <c r="G566" s="29"/>
      <c r="H566" s="29"/>
      <c r="I566" s="69" t="str">
        <f t="shared" si="9"/>
        <v>557</v>
      </c>
    </row>
    <row r="567" spans="4:9" x14ac:dyDescent="0.2">
      <c r="D567" s="2">
        <v>558</v>
      </c>
      <c r="E567" s="39"/>
      <c r="F567" s="28"/>
      <c r="G567" s="29"/>
      <c r="H567" s="29"/>
      <c r="I567" s="69" t="str">
        <f t="shared" si="9"/>
        <v>558</v>
      </c>
    </row>
    <row r="568" spans="4:9" x14ac:dyDescent="0.2">
      <c r="D568" s="2">
        <v>559</v>
      </c>
      <c r="E568" s="39"/>
      <c r="F568" s="28"/>
      <c r="G568" s="29"/>
      <c r="H568" s="29"/>
      <c r="I568" s="69" t="str">
        <f t="shared" si="9"/>
        <v>559</v>
      </c>
    </row>
    <row r="569" spans="4:9" x14ac:dyDescent="0.2">
      <c r="D569" s="2">
        <v>560</v>
      </c>
      <c r="E569" s="39"/>
      <c r="F569" s="28"/>
      <c r="G569" s="29"/>
      <c r="H569" s="29"/>
      <c r="I569" s="69" t="str">
        <f t="shared" si="9"/>
        <v>560</v>
      </c>
    </row>
    <row r="570" spans="4:9" x14ac:dyDescent="0.2">
      <c r="D570" s="2">
        <v>561</v>
      </c>
      <c r="E570" s="39"/>
      <c r="F570" s="28"/>
      <c r="G570" s="29"/>
      <c r="H570" s="29"/>
      <c r="I570" s="69" t="str">
        <f t="shared" si="9"/>
        <v>561</v>
      </c>
    </row>
    <row r="571" spans="4:9" x14ac:dyDescent="0.2">
      <c r="D571" s="2">
        <v>562</v>
      </c>
      <c r="E571" s="39"/>
      <c r="F571" s="28"/>
      <c r="G571" s="29"/>
      <c r="H571" s="29"/>
      <c r="I571" s="69" t="str">
        <f t="shared" si="9"/>
        <v>562</v>
      </c>
    </row>
    <row r="572" spans="4:9" x14ac:dyDescent="0.2">
      <c r="D572" s="2">
        <v>563</v>
      </c>
      <c r="E572" s="39"/>
      <c r="F572" s="28"/>
      <c r="G572" s="29"/>
      <c r="H572" s="29"/>
      <c r="I572" s="69" t="str">
        <f t="shared" si="9"/>
        <v>563</v>
      </c>
    </row>
    <row r="573" spans="4:9" x14ac:dyDescent="0.2">
      <c r="D573" s="2">
        <v>564</v>
      </c>
      <c r="E573" s="39"/>
      <c r="F573" s="28"/>
      <c r="G573" s="29"/>
      <c r="H573" s="29"/>
      <c r="I573" s="69" t="str">
        <f t="shared" si="9"/>
        <v>564</v>
      </c>
    </row>
    <row r="574" spans="4:9" x14ac:dyDescent="0.2">
      <c r="D574" s="2">
        <v>565</v>
      </c>
      <c r="E574" s="39"/>
      <c r="F574" s="28"/>
      <c r="G574" s="29"/>
      <c r="H574" s="29"/>
      <c r="I574" s="69" t="str">
        <f t="shared" si="9"/>
        <v>565</v>
      </c>
    </row>
    <row r="575" spans="4:9" x14ac:dyDescent="0.2">
      <c r="D575" s="2">
        <v>566</v>
      </c>
      <c r="E575" s="39"/>
      <c r="F575" s="28"/>
      <c r="G575" s="29"/>
      <c r="H575" s="29"/>
      <c r="I575" s="69" t="str">
        <f t="shared" si="9"/>
        <v>566</v>
      </c>
    </row>
    <row r="576" spans="4:9" x14ac:dyDescent="0.2">
      <c r="D576" s="2">
        <v>567</v>
      </c>
      <c r="E576" s="39"/>
      <c r="F576" s="28"/>
      <c r="G576" s="29"/>
      <c r="H576" s="29"/>
      <c r="I576" s="69" t="str">
        <f t="shared" si="9"/>
        <v>567</v>
      </c>
    </row>
    <row r="577" spans="4:9" x14ac:dyDescent="0.2">
      <c r="D577" s="2">
        <v>568</v>
      </c>
      <c r="E577" s="39"/>
      <c r="F577" s="28"/>
      <c r="G577" s="29"/>
      <c r="H577" s="29"/>
      <c r="I577" s="69" t="str">
        <f t="shared" si="9"/>
        <v>568</v>
      </c>
    </row>
    <row r="578" spans="4:9" x14ac:dyDescent="0.2">
      <c r="D578" s="2">
        <v>569</v>
      </c>
      <c r="E578" s="39"/>
      <c r="F578" s="28"/>
      <c r="G578" s="29"/>
      <c r="H578" s="29"/>
      <c r="I578" s="69" t="str">
        <f t="shared" si="9"/>
        <v>569</v>
      </c>
    </row>
    <row r="579" spans="4:9" x14ac:dyDescent="0.2">
      <c r="D579" s="2">
        <v>570</v>
      </c>
      <c r="E579" s="39"/>
      <c r="F579" s="28"/>
      <c r="G579" s="29"/>
      <c r="H579" s="29"/>
      <c r="I579" s="69" t="str">
        <f t="shared" si="9"/>
        <v>570</v>
      </c>
    </row>
    <row r="580" spans="4:9" x14ac:dyDescent="0.2">
      <c r="D580" s="2">
        <v>571</v>
      </c>
      <c r="E580" s="39"/>
      <c r="F580" s="28"/>
      <c r="G580" s="29"/>
      <c r="H580" s="29"/>
      <c r="I580" s="69" t="str">
        <f t="shared" si="9"/>
        <v>571</v>
      </c>
    </row>
    <row r="581" spans="4:9" x14ac:dyDescent="0.2">
      <c r="D581" s="2">
        <v>572</v>
      </c>
      <c r="E581" s="39"/>
      <c r="F581" s="28"/>
      <c r="G581" s="29"/>
      <c r="H581" s="29"/>
      <c r="I581" s="69" t="str">
        <f t="shared" si="9"/>
        <v>572</v>
      </c>
    </row>
    <row r="582" spans="4:9" x14ac:dyDescent="0.2">
      <c r="D582" s="2">
        <v>573</v>
      </c>
      <c r="E582" s="39"/>
      <c r="F582" s="28"/>
      <c r="G582" s="29"/>
      <c r="H582" s="29"/>
      <c r="I582" s="69" t="str">
        <f t="shared" si="9"/>
        <v>573</v>
      </c>
    </row>
    <row r="583" spans="4:9" x14ac:dyDescent="0.2">
      <c r="D583" s="2">
        <v>574</v>
      </c>
      <c r="E583" s="39"/>
      <c r="F583" s="28"/>
      <c r="G583" s="29"/>
      <c r="H583" s="29"/>
      <c r="I583" s="69" t="str">
        <f t="shared" si="9"/>
        <v>574</v>
      </c>
    </row>
    <row r="584" spans="4:9" x14ac:dyDescent="0.2">
      <c r="D584" s="2">
        <v>575</v>
      </c>
      <c r="E584" s="39"/>
      <c r="F584" s="28"/>
      <c r="G584" s="29"/>
      <c r="H584" s="29"/>
      <c r="I584" s="69" t="str">
        <f t="shared" si="9"/>
        <v>575</v>
      </c>
    </row>
    <row r="585" spans="4:9" x14ac:dyDescent="0.2">
      <c r="D585" s="2">
        <v>576</v>
      </c>
      <c r="E585" s="39"/>
      <c r="F585" s="28"/>
      <c r="G585" s="29"/>
      <c r="H585" s="29"/>
      <c r="I585" s="69" t="str">
        <f t="shared" si="9"/>
        <v>576</v>
      </c>
    </row>
    <row r="586" spans="4:9" x14ac:dyDescent="0.2">
      <c r="D586" s="2">
        <v>577</v>
      </c>
      <c r="E586" s="39"/>
      <c r="F586" s="28"/>
      <c r="G586" s="29"/>
      <c r="H586" s="29"/>
      <c r="I586" s="69" t="str">
        <f t="shared" si="9"/>
        <v>577</v>
      </c>
    </row>
    <row r="587" spans="4:9" x14ac:dyDescent="0.2">
      <c r="D587" s="2">
        <v>578</v>
      </c>
      <c r="E587" s="39"/>
      <c r="F587" s="28"/>
      <c r="G587" s="29"/>
      <c r="H587" s="29"/>
      <c r="I587" s="69" t="str">
        <f t="shared" ref="I587:I650" si="10">+D587&amp;E587</f>
        <v>578</v>
      </c>
    </row>
    <row r="588" spans="4:9" x14ac:dyDescent="0.2">
      <c r="D588" s="2">
        <v>579</v>
      </c>
      <c r="E588" s="39"/>
      <c r="F588" s="28"/>
      <c r="G588" s="29"/>
      <c r="H588" s="29"/>
      <c r="I588" s="69" t="str">
        <f t="shared" si="10"/>
        <v>579</v>
      </c>
    </row>
    <row r="589" spans="4:9" x14ac:dyDescent="0.2">
      <c r="D589" s="2">
        <v>580</v>
      </c>
      <c r="E589" s="39"/>
      <c r="F589" s="28"/>
      <c r="G589" s="29"/>
      <c r="H589" s="29"/>
      <c r="I589" s="69" t="str">
        <f t="shared" si="10"/>
        <v>580</v>
      </c>
    </row>
    <row r="590" spans="4:9" x14ac:dyDescent="0.2">
      <c r="D590" s="2">
        <v>581</v>
      </c>
      <c r="E590" s="39"/>
      <c r="F590" s="28"/>
      <c r="G590" s="29"/>
      <c r="H590" s="29"/>
      <c r="I590" s="69" t="str">
        <f t="shared" si="10"/>
        <v>581</v>
      </c>
    </row>
    <row r="591" spans="4:9" x14ac:dyDescent="0.2">
      <c r="D591" s="2">
        <v>582</v>
      </c>
      <c r="E591" s="39"/>
      <c r="F591" s="28"/>
      <c r="G591" s="29"/>
      <c r="H591" s="29"/>
      <c r="I591" s="69" t="str">
        <f t="shared" si="10"/>
        <v>582</v>
      </c>
    </row>
    <row r="592" spans="4:9" x14ac:dyDescent="0.2">
      <c r="D592" s="2">
        <v>583</v>
      </c>
      <c r="E592" s="39"/>
      <c r="F592" s="28"/>
      <c r="G592" s="29"/>
      <c r="H592" s="29"/>
      <c r="I592" s="69" t="str">
        <f t="shared" si="10"/>
        <v>583</v>
      </c>
    </row>
    <row r="593" spans="4:9" x14ac:dyDescent="0.2">
      <c r="D593" s="2">
        <v>584</v>
      </c>
      <c r="E593" s="39"/>
      <c r="F593" s="28"/>
      <c r="G593" s="29"/>
      <c r="H593" s="29"/>
      <c r="I593" s="69" t="str">
        <f t="shared" si="10"/>
        <v>584</v>
      </c>
    </row>
    <row r="594" spans="4:9" x14ac:dyDescent="0.2">
      <c r="D594" s="2">
        <v>585</v>
      </c>
      <c r="E594" s="39"/>
      <c r="F594" s="28"/>
      <c r="G594" s="29"/>
      <c r="H594" s="29"/>
      <c r="I594" s="69" t="str">
        <f t="shared" si="10"/>
        <v>585</v>
      </c>
    </row>
    <row r="595" spans="4:9" x14ac:dyDescent="0.2">
      <c r="D595" s="2">
        <v>586</v>
      </c>
      <c r="E595" s="39"/>
      <c r="F595" s="28"/>
      <c r="G595" s="29"/>
      <c r="H595" s="29"/>
      <c r="I595" s="69" t="str">
        <f t="shared" si="10"/>
        <v>586</v>
      </c>
    </row>
    <row r="596" spans="4:9" x14ac:dyDescent="0.2">
      <c r="D596" s="2">
        <v>587</v>
      </c>
      <c r="E596" s="39"/>
      <c r="F596" s="28"/>
      <c r="G596" s="29"/>
      <c r="H596" s="29"/>
      <c r="I596" s="69" t="str">
        <f t="shared" si="10"/>
        <v>587</v>
      </c>
    </row>
    <row r="597" spans="4:9" x14ac:dyDescent="0.2">
      <c r="D597" s="2">
        <v>588</v>
      </c>
      <c r="E597" s="39"/>
      <c r="F597" s="28"/>
      <c r="G597" s="29"/>
      <c r="H597" s="29"/>
      <c r="I597" s="69" t="str">
        <f t="shared" si="10"/>
        <v>588</v>
      </c>
    </row>
    <row r="598" spans="4:9" x14ac:dyDescent="0.2">
      <c r="D598" s="2">
        <v>589</v>
      </c>
      <c r="E598" s="39"/>
      <c r="F598" s="28"/>
      <c r="G598" s="29"/>
      <c r="H598" s="29"/>
      <c r="I598" s="69" t="str">
        <f t="shared" si="10"/>
        <v>589</v>
      </c>
    </row>
    <row r="599" spans="4:9" x14ac:dyDescent="0.2">
      <c r="D599" s="2">
        <v>590</v>
      </c>
      <c r="E599" s="39"/>
      <c r="F599" s="28"/>
      <c r="G599" s="29"/>
      <c r="H599" s="29"/>
      <c r="I599" s="69" t="str">
        <f t="shared" si="10"/>
        <v>590</v>
      </c>
    </row>
    <row r="600" spans="4:9" x14ac:dyDescent="0.2">
      <c r="D600" s="2">
        <v>591</v>
      </c>
      <c r="E600" s="39"/>
      <c r="F600" s="28"/>
      <c r="G600" s="29"/>
      <c r="H600" s="29"/>
      <c r="I600" s="69" t="str">
        <f t="shared" si="10"/>
        <v>591</v>
      </c>
    </row>
    <row r="601" spans="4:9" x14ac:dyDescent="0.2">
      <c r="D601" s="2">
        <v>592</v>
      </c>
      <c r="E601" s="39"/>
      <c r="F601" s="28"/>
      <c r="G601" s="29"/>
      <c r="H601" s="29"/>
      <c r="I601" s="69" t="str">
        <f t="shared" si="10"/>
        <v>592</v>
      </c>
    </row>
    <row r="602" spans="4:9" x14ac:dyDescent="0.2">
      <c r="D602" s="2">
        <v>593</v>
      </c>
      <c r="E602" s="39"/>
      <c r="F602" s="28"/>
      <c r="G602" s="29"/>
      <c r="H602" s="29"/>
      <c r="I602" s="69" t="str">
        <f t="shared" si="10"/>
        <v>593</v>
      </c>
    </row>
    <row r="603" spans="4:9" x14ac:dyDescent="0.2">
      <c r="D603" s="2">
        <v>594</v>
      </c>
      <c r="E603" s="39"/>
      <c r="F603" s="28"/>
      <c r="G603" s="29"/>
      <c r="H603" s="29"/>
      <c r="I603" s="69" t="str">
        <f t="shared" si="10"/>
        <v>594</v>
      </c>
    </row>
    <row r="604" spans="4:9" x14ac:dyDescent="0.2">
      <c r="D604" s="2">
        <v>595</v>
      </c>
      <c r="E604" s="39"/>
      <c r="F604" s="28"/>
      <c r="G604" s="29"/>
      <c r="H604" s="29"/>
      <c r="I604" s="69" t="str">
        <f t="shared" si="10"/>
        <v>595</v>
      </c>
    </row>
    <row r="605" spans="4:9" x14ac:dyDescent="0.2">
      <c r="D605" s="2">
        <v>596</v>
      </c>
      <c r="E605" s="39"/>
      <c r="F605" s="28"/>
      <c r="G605" s="29"/>
      <c r="H605" s="29"/>
      <c r="I605" s="69" t="str">
        <f t="shared" si="10"/>
        <v>596</v>
      </c>
    </row>
    <row r="606" spans="4:9" x14ac:dyDescent="0.2">
      <c r="D606" s="2">
        <v>597</v>
      </c>
      <c r="E606" s="39"/>
      <c r="F606" s="28"/>
      <c r="G606" s="29"/>
      <c r="H606" s="29"/>
      <c r="I606" s="69" t="str">
        <f t="shared" si="10"/>
        <v>597</v>
      </c>
    </row>
    <row r="607" spans="4:9" x14ac:dyDescent="0.2">
      <c r="D607" s="2">
        <v>598</v>
      </c>
      <c r="E607" s="39"/>
      <c r="F607" s="28"/>
      <c r="G607" s="29"/>
      <c r="H607" s="29"/>
      <c r="I607" s="69" t="str">
        <f t="shared" si="10"/>
        <v>598</v>
      </c>
    </row>
    <row r="608" spans="4:9" x14ac:dyDescent="0.2">
      <c r="D608" s="2">
        <v>599</v>
      </c>
      <c r="E608" s="39"/>
      <c r="F608" s="28"/>
      <c r="G608" s="29"/>
      <c r="H608" s="29"/>
      <c r="I608" s="69" t="str">
        <f t="shared" si="10"/>
        <v>599</v>
      </c>
    </row>
    <row r="609" spans="4:9" x14ac:dyDescent="0.2">
      <c r="D609" s="2">
        <v>600</v>
      </c>
      <c r="E609" s="39"/>
      <c r="F609" s="28"/>
      <c r="G609" s="29"/>
      <c r="H609" s="29"/>
      <c r="I609" s="69" t="str">
        <f t="shared" si="10"/>
        <v>600</v>
      </c>
    </row>
    <row r="610" spans="4:9" x14ac:dyDescent="0.2">
      <c r="D610" s="2">
        <v>601</v>
      </c>
      <c r="E610" s="39"/>
      <c r="F610" s="28"/>
      <c r="G610" s="29"/>
      <c r="H610" s="29"/>
      <c r="I610" s="69" t="str">
        <f t="shared" si="10"/>
        <v>601</v>
      </c>
    </row>
    <row r="611" spans="4:9" x14ac:dyDescent="0.2">
      <c r="D611" s="2">
        <v>602</v>
      </c>
      <c r="E611" s="39"/>
      <c r="F611" s="28"/>
      <c r="G611" s="29"/>
      <c r="H611" s="29"/>
      <c r="I611" s="69" t="str">
        <f t="shared" si="10"/>
        <v>602</v>
      </c>
    </row>
    <row r="612" spans="4:9" x14ac:dyDescent="0.2">
      <c r="D612" s="2">
        <v>603</v>
      </c>
      <c r="E612" s="39"/>
      <c r="F612" s="28"/>
      <c r="G612" s="29"/>
      <c r="H612" s="29"/>
      <c r="I612" s="69" t="str">
        <f t="shared" si="10"/>
        <v>603</v>
      </c>
    </row>
    <row r="613" spans="4:9" x14ac:dyDescent="0.2">
      <c r="D613" s="2">
        <v>604</v>
      </c>
      <c r="E613" s="39"/>
      <c r="F613" s="28"/>
      <c r="G613" s="29"/>
      <c r="H613" s="29"/>
      <c r="I613" s="69" t="str">
        <f t="shared" si="10"/>
        <v>604</v>
      </c>
    </row>
    <row r="614" spans="4:9" x14ac:dyDescent="0.2">
      <c r="D614" s="2">
        <v>605</v>
      </c>
      <c r="E614" s="39"/>
      <c r="F614" s="28"/>
      <c r="G614" s="29"/>
      <c r="H614" s="29"/>
      <c r="I614" s="69" t="str">
        <f t="shared" si="10"/>
        <v>605</v>
      </c>
    </row>
    <row r="615" spans="4:9" x14ac:dyDescent="0.2">
      <c r="D615" s="2">
        <v>606</v>
      </c>
      <c r="E615" s="39"/>
      <c r="F615" s="28"/>
      <c r="G615" s="29"/>
      <c r="H615" s="29"/>
      <c r="I615" s="69" t="str">
        <f t="shared" si="10"/>
        <v>606</v>
      </c>
    </row>
    <row r="616" spans="4:9" x14ac:dyDescent="0.2">
      <c r="D616" s="2">
        <v>607</v>
      </c>
      <c r="E616" s="39"/>
      <c r="F616" s="28"/>
      <c r="G616" s="29"/>
      <c r="H616" s="29"/>
      <c r="I616" s="69" t="str">
        <f t="shared" si="10"/>
        <v>607</v>
      </c>
    </row>
    <row r="617" spans="4:9" x14ac:dyDescent="0.2">
      <c r="D617" s="2">
        <v>608</v>
      </c>
      <c r="E617" s="39"/>
      <c r="F617" s="28"/>
      <c r="G617" s="29"/>
      <c r="H617" s="29"/>
      <c r="I617" s="69" t="str">
        <f t="shared" si="10"/>
        <v>608</v>
      </c>
    </row>
    <row r="618" spans="4:9" x14ac:dyDescent="0.2">
      <c r="D618" s="2">
        <v>609</v>
      </c>
      <c r="E618" s="39"/>
      <c r="F618" s="28"/>
      <c r="G618" s="29"/>
      <c r="H618" s="29"/>
      <c r="I618" s="69" t="str">
        <f t="shared" si="10"/>
        <v>609</v>
      </c>
    </row>
    <row r="619" spans="4:9" x14ac:dyDescent="0.2">
      <c r="D619" s="2">
        <v>610</v>
      </c>
      <c r="E619" s="39"/>
      <c r="F619" s="28"/>
      <c r="G619" s="29"/>
      <c r="H619" s="29"/>
      <c r="I619" s="69" t="str">
        <f t="shared" si="10"/>
        <v>610</v>
      </c>
    </row>
    <row r="620" spans="4:9" x14ac:dyDescent="0.2">
      <c r="D620" s="2">
        <v>611</v>
      </c>
      <c r="E620" s="39"/>
      <c r="F620" s="28"/>
      <c r="G620" s="29"/>
      <c r="H620" s="29"/>
      <c r="I620" s="69" t="str">
        <f t="shared" si="10"/>
        <v>611</v>
      </c>
    </row>
    <row r="621" spans="4:9" x14ac:dyDescent="0.2">
      <c r="D621" s="2">
        <v>612</v>
      </c>
      <c r="E621" s="39"/>
      <c r="F621" s="28"/>
      <c r="G621" s="29"/>
      <c r="H621" s="29"/>
      <c r="I621" s="69" t="str">
        <f t="shared" si="10"/>
        <v>612</v>
      </c>
    </row>
    <row r="622" spans="4:9" x14ac:dyDescent="0.2">
      <c r="D622" s="2">
        <v>613</v>
      </c>
      <c r="E622" s="39"/>
      <c r="F622" s="28"/>
      <c r="G622" s="29"/>
      <c r="H622" s="29"/>
      <c r="I622" s="69" t="str">
        <f t="shared" si="10"/>
        <v>613</v>
      </c>
    </row>
    <row r="623" spans="4:9" x14ac:dyDescent="0.2">
      <c r="D623" s="2">
        <v>614</v>
      </c>
      <c r="E623" s="39"/>
      <c r="F623" s="28"/>
      <c r="G623" s="29"/>
      <c r="H623" s="29"/>
      <c r="I623" s="69" t="str">
        <f t="shared" si="10"/>
        <v>614</v>
      </c>
    </row>
    <row r="624" spans="4:9" x14ac:dyDescent="0.2">
      <c r="D624" s="2">
        <v>615</v>
      </c>
      <c r="E624" s="39"/>
      <c r="F624" s="28"/>
      <c r="G624" s="29"/>
      <c r="H624" s="29"/>
      <c r="I624" s="69" t="str">
        <f t="shared" si="10"/>
        <v>615</v>
      </c>
    </row>
    <row r="625" spans="4:9" x14ac:dyDescent="0.2">
      <c r="D625" s="2">
        <v>616</v>
      </c>
      <c r="E625" s="39"/>
      <c r="F625" s="28"/>
      <c r="G625" s="29"/>
      <c r="H625" s="29"/>
      <c r="I625" s="69" t="str">
        <f t="shared" si="10"/>
        <v>616</v>
      </c>
    </row>
    <row r="626" spans="4:9" x14ac:dyDescent="0.2">
      <c r="D626" s="2">
        <v>617</v>
      </c>
      <c r="E626" s="39"/>
      <c r="F626" s="28"/>
      <c r="G626" s="29"/>
      <c r="H626" s="29"/>
      <c r="I626" s="69" t="str">
        <f t="shared" si="10"/>
        <v>617</v>
      </c>
    </row>
    <row r="627" spans="4:9" x14ac:dyDescent="0.2">
      <c r="D627" s="2">
        <v>618</v>
      </c>
      <c r="E627" s="39"/>
      <c r="F627" s="28"/>
      <c r="G627" s="29"/>
      <c r="H627" s="29"/>
      <c r="I627" s="69" t="str">
        <f t="shared" si="10"/>
        <v>618</v>
      </c>
    </row>
    <row r="628" spans="4:9" x14ac:dyDescent="0.2">
      <c r="D628" s="2">
        <v>619</v>
      </c>
      <c r="E628" s="39"/>
      <c r="F628" s="28"/>
      <c r="G628" s="29"/>
      <c r="H628" s="29"/>
      <c r="I628" s="69" t="str">
        <f t="shared" si="10"/>
        <v>619</v>
      </c>
    </row>
    <row r="629" spans="4:9" x14ac:dyDescent="0.2">
      <c r="D629" s="2">
        <v>620</v>
      </c>
      <c r="E629" s="39"/>
      <c r="F629" s="28"/>
      <c r="G629" s="29"/>
      <c r="H629" s="29"/>
      <c r="I629" s="69" t="str">
        <f t="shared" si="10"/>
        <v>620</v>
      </c>
    </row>
    <row r="630" spans="4:9" x14ac:dyDescent="0.2">
      <c r="D630" s="2">
        <v>621</v>
      </c>
      <c r="E630" s="39"/>
      <c r="F630" s="28"/>
      <c r="G630" s="29"/>
      <c r="H630" s="29"/>
      <c r="I630" s="69" t="str">
        <f t="shared" si="10"/>
        <v>621</v>
      </c>
    </row>
    <row r="631" spans="4:9" x14ac:dyDescent="0.2">
      <c r="D631" s="2">
        <v>622</v>
      </c>
      <c r="E631" s="39"/>
      <c r="F631" s="28"/>
      <c r="G631" s="29"/>
      <c r="H631" s="29"/>
      <c r="I631" s="69" t="str">
        <f t="shared" si="10"/>
        <v>622</v>
      </c>
    </row>
    <row r="632" spans="4:9" x14ac:dyDescent="0.2">
      <c r="D632" s="2">
        <v>623</v>
      </c>
      <c r="E632" s="39"/>
      <c r="F632" s="28"/>
      <c r="G632" s="29"/>
      <c r="H632" s="29"/>
      <c r="I632" s="69" t="str">
        <f t="shared" si="10"/>
        <v>623</v>
      </c>
    </row>
    <row r="633" spans="4:9" x14ac:dyDescent="0.2">
      <c r="D633" s="2">
        <v>624</v>
      </c>
      <c r="E633" s="39"/>
      <c r="F633" s="28"/>
      <c r="G633" s="29"/>
      <c r="H633" s="29"/>
      <c r="I633" s="69" t="str">
        <f t="shared" si="10"/>
        <v>624</v>
      </c>
    </row>
    <row r="634" spans="4:9" x14ac:dyDescent="0.2">
      <c r="D634" s="2">
        <v>625</v>
      </c>
      <c r="E634" s="39"/>
      <c r="F634" s="28"/>
      <c r="G634" s="29"/>
      <c r="H634" s="29"/>
      <c r="I634" s="69" t="str">
        <f t="shared" si="10"/>
        <v>625</v>
      </c>
    </row>
    <row r="635" spans="4:9" x14ac:dyDescent="0.2">
      <c r="D635" s="2">
        <v>626</v>
      </c>
      <c r="E635" s="39"/>
      <c r="F635" s="28"/>
      <c r="G635" s="29"/>
      <c r="H635" s="29"/>
      <c r="I635" s="69" t="str">
        <f t="shared" si="10"/>
        <v>626</v>
      </c>
    </row>
    <row r="636" spans="4:9" x14ac:dyDescent="0.2">
      <c r="D636" s="2">
        <v>627</v>
      </c>
      <c r="E636" s="39"/>
      <c r="F636" s="28"/>
      <c r="G636" s="29"/>
      <c r="H636" s="29"/>
      <c r="I636" s="69" t="str">
        <f t="shared" si="10"/>
        <v>627</v>
      </c>
    </row>
    <row r="637" spans="4:9" x14ac:dyDescent="0.2">
      <c r="D637" s="2">
        <v>628</v>
      </c>
      <c r="E637" s="39"/>
      <c r="F637" s="28"/>
      <c r="G637" s="29"/>
      <c r="H637" s="29"/>
      <c r="I637" s="69" t="str">
        <f t="shared" si="10"/>
        <v>628</v>
      </c>
    </row>
    <row r="638" spans="4:9" x14ac:dyDescent="0.2">
      <c r="D638" s="2">
        <v>629</v>
      </c>
      <c r="E638" s="39"/>
      <c r="F638" s="28"/>
      <c r="G638" s="29"/>
      <c r="H638" s="29"/>
      <c r="I638" s="69" t="str">
        <f t="shared" si="10"/>
        <v>629</v>
      </c>
    </row>
    <row r="639" spans="4:9" x14ac:dyDescent="0.2">
      <c r="D639" s="2">
        <v>630</v>
      </c>
      <c r="E639" s="39"/>
      <c r="F639" s="28"/>
      <c r="G639" s="29"/>
      <c r="H639" s="29"/>
      <c r="I639" s="69" t="str">
        <f t="shared" si="10"/>
        <v>630</v>
      </c>
    </row>
    <row r="640" spans="4:9" x14ac:dyDescent="0.2">
      <c r="D640" s="2">
        <v>631</v>
      </c>
      <c r="E640" s="39"/>
      <c r="F640" s="28"/>
      <c r="G640" s="29"/>
      <c r="H640" s="29"/>
      <c r="I640" s="69" t="str">
        <f t="shared" si="10"/>
        <v>631</v>
      </c>
    </row>
    <row r="641" spans="4:9" x14ac:dyDescent="0.2">
      <c r="D641" s="2">
        <v>632</v>
      </c>
      <c r="E641" s="39"/>
      <c r="F641" s="28"/>
      <c r="G641" s="29"/>
      <c r="H641" s="29"/>
      <c r="I641" s="69" t="str">
        <f t="shared" si="10"/>
        <v>632</v>
      </c>
    </row>
    <row r="642" spans="4:9" x14ac:dyDescent="0.2">
      <c r="D642" s="2">
        <v>633</v>
      </c>
      <c r="E642" s="39"/>
      <c r="F642" s="28"/>
      <c r="G642" s="29"/>
      <c r="H642" s="29"/>
      <c r="I642" s="69" t="str">
        <f t="shared" si="10"/>
        <v>633</v>
      </c>
    </row>
    <row r="643" spans="4:9" x14ac:dyDescent="0.2">
      <c r="D643" s="2">
        <v>634</v>
      </c>
      <c r="E643" s="39"/>
      <c r="F643" s="28"/>
      <c r="G643" s="29"/>
      <c r="H643" s="29"/>
      <c r="I643" s="69" t="str">
        <f t="shared" si="10"/>
        <v>634</v>
      </c>
    </row>
    <row r="644" spans="4:9" x14ac:dyDescent="0.2">
      <c r="D644" s="2">
        <v>635</v>
      </c>
      <c r="E644" s="39"/>
      <c r="F644" s="28"/>
      <c r="G644" s="29"/>
      <c r="H644" s="29"/>
      <c r="I644" s="69" t="str">
        <f t="shared" si="10"/>
        <v>635</v>
      </c>
    </row>
    <row r="645" spans="4:9" x14ac:dyDescent="0.2">
      <c r="D645" s="2">
        <v>636</v>
      </c>
      <c r="E645" s="39"/>
      <c r="F645" s="28"/>
      <c r="G645" s="29"/>
      <c r="H645" s="29"/>
      <c r="I645" s="69" t="str">
        <f t="shared" si="10"/>
        <v>636</v>
      </c>
    </row>
    <row r="646" spans="4:9" x14ac:dyDescent="0.2">
      <c r="D646" s="2">
        <v>637</v>
      </c>
      <c r="E646" s="39"/>
      <c r="F646" s="28"/>
      <c r="G646" s="29"/>
      <c r="H646" s="29"/>
      <c r="I646" s="69" t="str">
        <f t="shared" si="10"/>
        <v>637</v>
      </c>
    </row>
    <row r="647" spans="4:9" x14ac:dyDescent="0.2">
      <c r="D647" s="2">
        <v>638</v>
      </c>
      <c r="E647" s="39"/>
      <c r="F647" s="28"/>
      <c r="G647" s="29"/>
      <c r="H647" s="29"/>
      <c r="I647" s="69" t="str">
        <f t="shared" si="10"/>
        <v>638</v>
      </c>
    </row>
    <row r="648" spans="4:9" x14ac:dyDescent="0.2">
      <c r="D648" s="2">
        <v>639</v>
      </c>
      <c r="E648" s="39"/>
      <c r="F648" s="28"/>
      <c r="G648" s="29"/>
      <c r="H648" s="29"/>
      <c r="I648" s="69" t="str">
        <f t="shared" si="10"/>
        <v>639</v>
      </c>
    </row>
    <row r="649" spans="4:9" x14ac:dyDescent="0.2">
      <c r="D649" s="2">
        <v>640</v>
      </c>
      <c r="E649" s="39"/>
      <c r="F649" s="28"/>
      <c r="G649" s="29"/>
      <c r="H649" s="29"/>
      <c r="I649" s="69" t="str">
        <f t="shared" si="10"/>
        <v>640</v>
      </c>
    </row>
    <row r="650" spans="4:9" x14ac:dyDescent="0.2">
      <c r="D650" s="2">
        <v>641</v>
      </c>
      <c r="E650" s="39"/>
      <c r="F650" s="28"/>
      <c r="G650" s="29"/>
      <c r="H650" s="29"/>
      <c r="I650" s="69" t="str">
        <f t="shared" si="10"/>
        <v>641</v>
      </c>
    </row>
    <row r="651" spans="4:9" x14ac:dyDescent="0.2">
      <c r="D651" s="2">
        <v>642</v>
      </c>
      <c r="E651" s="39"/>
      <c r="F651" s="28"/>
      <c r="G651" s="29"/>
      <c r="H651" s="29"/>
      <c r="I651" s="69" t="str">
        <f t="shared" ref="I651:I699" si="11">+D651&amp;E651</f>
        <v>642</v>
      </c>
    </row>
    <row r="652" spans="4:9" x14ac:dyDescent="0.2">
      <c r="D652" s="2">
        <v>643</v>
      </c>
      <c r="E652" s="39"/>
      <c r="F652" s="28"/>
      <c r="G652" s="29"/>
      <c r="H652" s="29"/>
      <c r="I652" s="69" t="str">
        <f t="shared" si="11"/>
        <v>643</v>
      </c>
    </row>
    <row r="653" spans="4:9" x14ac:dyDescent="0.2">
      <c r="D653" s="2">
        <v>644</v>
      </c>
      <c r="E653" s="39"/>
      <c r="F653" s="28"/>
      <c r="G653" s="29"/>
      <c r="H653" s="29"/>
      <c r="I653" s="69" t="str">
        <f t="shared" si="11"/>
        <v>644</v>
      </c>
    </row>
    <row r="654" spans="4:9" x14ac:dyDescent="0.2">
      <c r="D654" s="2">
        <v>645</v>
      </c>
      <c r="E654" s="39"/>
      <c r="F654" s="28"/>
      <c r="G654" s="29"/>
      <c r="H654" s="29"/>
      <c r="I654" s="69" t="str">
        <f t="shared" si="11"/>
        <v>645</v>
      </c>
    </row>
    <row r="655" spans="4:9" x14ac:dyDescent="0.2">
      <c r="D655" s="2">
        <v>646</v>
      </c>
      <c r="E655" s="39"/>
      <c r="F655" s="28"/>
      <c r="G655" s="29"/>
      <c r="H655" s="29"/>
      <c r="I655" s="69" t="str">
        <f t="shared" si="11"/>
        <v>646</v>
      </c>
    </row>
    <row r="656" spans="4:9" x14ac:dyDescent="0.2">
      <c r="D656" s="2">
        <v>647</v>
      </c>
      <c r="E656" s="39"/>
      <c r="F656" s="28"/>
      <c r="G656" s="29"/>
      <c r="H656" s="29"/>
      <c r="I656" s="69" t="str">
        <f t="shared" si="11"/>
        <v>647</v>
      </c>
    </row>
    <row r="657" spans="4:9" x14ac:dyDescent="0.2">
      <c r="D657" s="2">
        <v>648</v>
      </c>
      <c r="E657" s="39"/>
      <c r="F657" s="28"/>
      <c r="G657" s="29"/>
      <c r="H657" s="29"/>
      <c r="I657" s="69" t="str">
        <f t="shared" si="11"/>
        <v>648</v>
      </c>
    </row>
    <row r="658" spans="4:9" x14ac:dyDescent="0.2">
      <c r="D658" s="2">
        <v>649</v>
      </c>
      <c r="E658" s="39"/>
      <c r="F658" s="28"/>
      <c r="G658" s="29"/>
      <c r="H658" s="29"/>
      <c r="I658" s="69" t="str">
        <f t="shared" si="11"/>
        <v>649</v>
      </c>
    </row>
    <row r="659" spans="4:9" x14ac:dyDescent="0.2">
      <c r="D659" s="2">
        <v>650</v>
      </c>
      <c r="E659" s="39"/>
      <c r="F659" s="28"/>
      <c r="G659" s="29"/>
      <c r="H659" s="29"/>
      <c r="I659" s="69" t="str">
        <f t="shared" si="11"/>
        <v>650</v>
      </c>
    </row>
    <row r="660" spans="4:9" x14ac:dyDescent="0.2">
      <c r="D660" s="2">
        <v>651</v>
      </c>
      <c r="E660" s="39"/>
      <c r="F660" s="28"/>
      <c r="G660" s="29"/>
      <c r="H660" s="29"/>
      <c r="I660" s="69" t="str">
        <f t="shared" si="11"/>
        <v>651</v>
      </c>
    </row>
    <row r="661" spans="4:9" x14ac:dyDescent="0.2">
      <c r="D661" s="2">
        <v>652</v>
      </c>
      <c r="E661" s="39"/>
      <c r="F661" s="28"/>
      <c r="G661" s="29"/>
      <c r="H661" s="29"/>
      <c r="I661" s="69" t="str">
        <f t="shared" si="11"/>
        <v>652</v>
      </c>
    </row>
    <row r="662" spans="4:9" x14ac:dyDescent="0.2">
      <c r="D662" s="2">
        <v>653</v>
      </c>
      <c r="E662" s="39"/>
      <c r="F662" s="28"/>
      <c r="G662" s="29"/>
      <c r="H662" s="29"/>
      <c r="I662" s="69" t="str">
        <f t="shared" si="11"/>
        <v>653</v>
      </c>
    </row>
    <row r="663" spans="4:9" x14ac:dyDescent="0.2">
      <c r="D663" s="2">
        <v>654</v>
      </c>
      <c r="E663" s="39"/>
      <c r="F663" s="28"/>
      <c r="G663" s="29"/>
      <c r="H663" s="29"/>
      <c r="I663" s="69" t="str">
        <f t="shared" si="11"/>
        <v>654</v>
      </c>
    </row>
    <row r="664" spans="4:9" x14ac:dyDescent="0.2">
      <c r="D664" s="2">
        <v>655</v>
      </c>
      <c r="E664" s="39"/>
      <c r="F664" s="28"/>
      <c r="G664" s="29"/>
      <c r="H664" s="29"/>
      <c r="I664" s="69" t="str">
        <f t="shared" si="11"/>
        <v>655</v>
      </c>
    </row>
    <row r="665" spans="4:9" x14ac:dyDescent="0.2">
      <c r="D665" s="2">
        <v>656</v>
      </c>
      <c r="E665" s="39"/>
      <c r="F665" s="28"/>
      <c r="G665" s="29"/>
      <c r="H665" s="29"/>
      <c r="I665" s="69" t="str">
        <f t="shared" si="11"/>
        <v>656</v>
      </c>
    </row>
    <row r="666" spans="4:9" x14ac:dyDescent="0.2">
      <c r="D666" s="2">
        <v>657</v>
      </c>
      <c r="E666" s="39"/>
      <c r="F666" s="28"/>
      <c r="G666" s="29"/>
      <c r="H666" s="29"/>
      <c r="I666" s="69" t="str">
        <f t="shared" si="11"/>
        <v>657</v>
      </c>
    </row>
    <row r="667" spans="4:9" x14ac:dyDescent="0.2">
      <c r="D667" s="2">
        <v>658</v>
      </c>
      <c r="E667" s="39"/>
      <c r="F667" s="28"/>
      <c r="G667" s="29"/>
      <c r="H667" s="29"/>
      <c r="I667" s="69" t="str">
        <f t="shared" si="11"/>
        <v>658</v>
      </c>
    </row>
    <row r="668" spans="4:9" x14ac:dyDescent="0.2">
      <c r="D668" s="2">
        <v>659</v>
      </c>
      <c r="E668" s="39"/>
      <c r="F668" s="28"/>
      <c r="G668" s="29"/>
      <c r="H668" s="29"/>
      <c r="I668" s="69" t="str">
        <f t="shared" si="11"/>
        <v>659</v>
      </c>
    </row>
    <row r="669" spans="4:9" x14ac:dyDescent="0.2">
      <c r="D669" s="2">
        <v>660</v>
      </c>
      <c r="E669" s="39"/>
      <c r="F669" s="28"/>
      <c r="G669" s="29"/>
      <c r="H669" s="29"/>
      <c r="I669" s="69" t="str">
        <f t="shared" si="11"/>
        <v>660</v>
      </c>
    </row>
    <row r="670" spans="4:9" x14ac:dyDescent="0.2">
      <c r="D670" s="2">
        <v>661</v>
      </c>
      <c r="E670" s="39"/>
      <c r="F670" s="28"/>
      <c r="G670" s="29"/>
      <c r="H670" s="29"/>
      <c r="I670" s="69" t="str">
        <f t="shared" si="11"/>
        <v>661</v>
      </c>
    </row>
    <row r="671" spans="4:9" x14ac:dyDescent="0.2">
      <c r="D671" s="2">
        <v>662</v>
      </c>
      <c r="E671" s="39"/>
      <c r="F671" s="28"/>
      <c r="G671" s="29"/>
      <c r="H671" s="29"/>
      <c r="I671" s="69" t="str">
        <f t="shared" si="11"/>
        <v>662</v>
      </c>
    </row>
    <row r="672" spans="4:9" x14ac:dyDescent="0.2">
      <c r="D672" s="2">
        <v>663</v>
      </c>
      <c r="E672" s="39"/>
      <c r="F672" s="28"/>
      <c r="G672" s="29"/>
      <c r="H672" s="29"/>
      <c r="I672" s="69" t="str">
        <f t="shared" si="11"/>
        <v>663</v>
      </c>
    </row>
    <row r="673" spans="4:9" x14ac:dyDescent="0.2">
      <c r="D673" s="2">
        <v>664</v>
      </c>
      <c r="E673" s="39"/>
      <c r="F673" s="28"/>
      <c r="G673" s="29"/>
      <c r="H673" s="29"/>
      <c r="I673" s="69" t="str">
        <f t="shared" si="11"/>
        <v>664</v>
      </c>
    </row>
    <row r="674" spans="4:9" x14ac:dyDescent="0.2">
      <c r="D674" s="2">
        <v>665</v>
      </c>
      <c r="E674" s="39"/>
      <c r="F674" s="28"/>
      <c r="G674" s="29"/>
      <c r="H674" s="29"/>
      <c r="I674" s="69" t="str">
        <f t="shared" si="11"/>
        <v>665</v>
      </c>
    </row>
    <row r="675" spans="4:9" x14ac:dyDescent="0.2">
      <c r="D675" s="2">
        <v>666</v>
      </c>
      <c r="E675" s="39"/>
      <c r="F675" s="28"/>
      <c r="G675" s="29"/>
      <c r="H675" s="29"/>
      <c r="I675" s="69" t="str">
        <f t="shared" si="11"/>
        <v>666</v>
      </c>
    </row>
    <row r="676" spans="4:9" x14ac:dyDescent="0.2">
      <c r="D676" s="2">
        <v>667</v>
      </c>
      <c r="E676" s="39"/>
      <c r="F676" s="28"/>
      <c r="G676" s="29"/>
      <c r="H676" s="29"/>
      <c r="I676" s="69" t="str">
        <f t="shared" si="11"/>
        <v>667</v>
      </c>
    </row>
    <row r="677" spans="4:9" x14ac:dyDescent="0.2">
      <c r="D677" s="2">
        <v>668</v>
      </c>
      <c r="E677" s="39"/>
      <c r="F677" s="28"/>
      <c r="G677" s="29"/>
      <c r="H677" s="29"/>
      <c r="I677" s="69" t="str">
        <f t="shared" si="11"/>
        <v>668</v>
      </c>
    </row>
    <row r="678" spans="4:9" x14ac:dyDescent="0.2">
      <c r="D678" s="2">
        <v>669</v>
      </c>
      <c r="E678" s="39"/>
      <c r="F678" s="28"/>
      <c r="G678" s="29"/>
      <c r="H678" s="29"/>
      <c r="I678" s="69" t="str">
        <f t="shared" si="11"/>
        <v>669</v>
      </c>
    </row>
    <row r="679" spans="4:9" x14ac:dyDescent="0.2">
      <c r="D679" s="2">
        <v>670</v>
      </c>
      <c r="E679" s="39"/>
      <c r="F679" s="28"/>
      <c r="G679" s="29"/>
      <c r="H679" s="29"/>
      <c r="I679" s="69" t="str">
        <f t="shared" si="11"/>
        <v>670</v>
      </c>
    </row>
    <row r="680" spans="4:9" x14ac:dyDescent="0.2">
      <c r="D680" s="2">
        <v>671</v>
      </c>
      <c r="E680" s="39"/>
      <c r="F680" s="28"/>
      <c r="G680" s="29"/>
      <c r="H680" s="29"/>
      <c r="I680" s="69" t="str">
        <f t="shared" si="11"/>
        <v>671</v>
      </c>
    </row>
    <row r="681" spans="4:9" x14ac:dyDescent="0.2">
      <c r="D681" s="2">
        <v>672</v>
      </c>
      <c r="E681" s="39"/>
      <c r="F681" s="28"/>
      <c r="G681" s="29"/>
      <c r="H681" s="29"/>
      <c r="I681" s="69" t="str">
        <f t="shared" si="11"/>
        <v>672</v>
      </c>
    </row>
    <row r="682" spans="4:9" x14ac:dyDescent="0.2">
      <c r="D682" s="2">
        <v>673</v>
      </c>
      <c r="E682" s="39"/>
      <c r="F682" s="28"/>
      <c r="G682" s="29"/>
      <c r="H682" s="29"/>
      <c r="I682" s="69" t="str">
        <f t="shared" si="11"/>
        <v>673</v>
      </c>
    </row>
    <row r="683" spans="4:9" x14ac:dyDescent="0.2">
      <c r="D683" s="2">
        <v>674</v>
      </c>
      <c r="E683" s="39"/>
      <c r="F683" s="28"/>
      <c r="G683" s="29"/>
      <c r="H683" s="29"/>
      <c r="I683" s="69" t="str">
        <f t="shared" si="11"/>
        <v>674</v>
      </c>
    </row>
    <row r="684" spans="4:9" x14ac:dyDescent="0.2">
      <c r="D684" s="2">
        <v>675</v>
      </c>
      <c r="E684" s="39"/>
      <c r="F684" s="28"/>
      <c r="G684" s="29"/>
      <c r="H684" s="29"/>
      <c r="I684" s="69" t="str">
        <f t="shared" si="11"/>
        <v>675</v>
      </c>
    </row>
    <row r="685" spans="4:9" x14ac:dyDescent="0.2">
      <c r="D685" s="2">
        <v>676</v>
      </c>
      <c r="E685" s="39"/>
      <c r="F685" s="28"/>
      <c r="G685" s="29"/>
      <c r="H685" s="29"/>
      <c r="I685" s="69" t="str">
        <f t="shared" si="11"/>
        <v>676</v>
      </c>
    </row>
    <row r="686" spans="4:9" x14ac:dyDescent="0.2">
      <c r="D686" s="2">
        <v>677</v>
      </c>
      <c r="E686" s="39"/>
      <c r="F686" s="28"/>
      <c r="G686" s="29"/>
      <c r="H686" s="29"/>
      <c r="I686" s="69" t="str">
        <f t="shared" si="11"/>
        <v>677</v>
      </c>
    </row>
    <row r="687" spans="4:9" x14ac:dyDescent="0.2">
      <c r="D687" s="2">
        <v>678</v>
      </c>
      <c r="E687" s="39"/>
      <c r="F687" s="28"/>
      <c r="G687" s="29"/>
      <c r="H687" s="29"/>
      <c r="I687" s="69" t="str">
        <f t="shared" si="11"/>
        <v>678</v>
      </c>
    </row>
    <row r="688" spans="4:9" x14ac:dyDescent="0.2">
      <c r="D688" s="2">
        <v>679</v>
      </c>
      <c r="E688" s="39"/>
      <c r="F688" s="28"/>
      <c r="G688" s="29"/>
      <c r="H688" s="29"/>
      <c r="I688" s="69" t="str">
        <f t="shared" si="11"/>
        <v>679</v>
      </c>
    </row>
    <row r="689" spans="4:9" x14ac:dyDescent="0.2">
      <c r="D689" s="2">
        <v>680</v>
      </c>
      <c r="E689" s="39"/>
      <c r="F689" s="28"/>
      <c r="G689" s="29"/>
      <c r="H689" s="29"/>
      <c r="I689" s="69" t="str">
        <f t="shared" si="11"/>
        <v>680</v>
      </c>
    </row>
    <row r="690" spans="4:9" x14ac:dyDescent="0.2">
      <c r="D690" s="2">
        <v>681</v>
      </c>
      <c r="E690" s="39"/>
      <c r="F690" s="28"/>
      <c r="G690" s="29"/>
      <c r="H690" s="29"/>
      <c r="I690" s="69" t="str">
        <f t="shared" si="11"/>
        <v>681</v>
      </c>
    </row>
    <row r="691" spans="4:9" x14ac:dyDescent="0.2">
      <c r="D691" s="2">
        <v>682</v>
      </c>
      <c r="E691" s="39"/>
      <c r="F691" s="28"/>
      <c r="G691" s="29"/>
      <c r="H691" s="29"/>
      <c r="I691" s="69" t="str">
        <f t="shared" si="11"/>
        <v>682</v>
      </c>
    </row>
    <row r="692" spans="4:9" x14ac:dyDescent="0.2">
      <c r="D692" s="2">
        <v>683</v>
      </c>
      <c r="E692" s="39"/>
      <c r="F692" s="28"/>
      <c r="G692" s="29"/>
      <c r="H692" s="29"/>
      <c r="I692" s="69" t="str">
        <f t="shared" si="11"/>
        <v>683</v>
      </c>
    </row>
    <row r="693" spans="4:9" x14ac:dyDescent="0.2">
      <c r="D693" s="2">
        <v>684</v>
      </c>
      <c r="E693" s="39"/>
      <c r="F693" s="28"/>
      <c r="G693" s="29"/>
      <c r="H693" s="29"/>
      <c r="I693" s="69" t="str">
        <f t="shared" si="11"/>
        <v>684</v>
      </c>
    </row>
    <row r="694" spans="4:9" x14ac:dyDescent="0.2">
      <c r="D694" s="2">
        <v>685</v>
      </c>
      <c r="E694" s="39"/>
      <c r="F694" s="28"/>
      <c r="G694" s="29"/>
      <c r="H694" s="29"/>
      <c r="I694" s="69" t="str">
        <f t="shared" si="11"/>
        <v>685</v>
      </c>
    </row>
    <row r="695" spans="4:9" x14ac:dyDescent="0.2">
      <c r="D695" s="2">
        <v>686</v>
      </c>
      <c r="E695" s="39"/>
      <c r="F695" s="28"/>
      <c r="G695" s="29"/>
      <c r="H695" s="29"/>
      <c r="I695" s="69" t="str">
        <f t="shared" si="11"/>
        <v>686</v>
      </c>
    </row>
    <row r="696" spans="4:9" x14ac:dyDescent="0.2">
      <c r="D696" s="2">
        <v>687</v>
      </c>
      <c r="E696" s="39"/>
      <c r="F696" s="28"/>
      <c r="G696" s="29"/>
      <c r="H696" s="29"/>
      <c r="I696" s="69" t="str">
        <f t="shared" si="11"/>
        <v>687</v>
      </c>
    </row>
    <row r="697" spans="4:9" x14ac:dyDescent="0.2">
      <c r="D697" s="2">
        <v>688</v>
      </c>
      <c r="E697" s="39"/>
      <c r="F697" s="28"/>
      <c r="G697" s="29"/>
      <c r="H697" s="29"/>
      <c r="I697" s="69" t="str">
        <f t="shared" si="11"/>
        <v>688</v>
      </c>
    </row>
    <row r="698" spans="4:9" ht="13.5" thickBot="1" x14ac:dyDescent="0.25">
      <c r="D698" s="2">
        <v>689</v>
      </c>
      <c r="E698" s="39"/>
      <c r="F698" s="28"/>
      <c r="G698" s="73"/>
      <c r="H698" s="73"/>
      <c r="I698" s="69" t="str">
        <f t="shared" si="11"/>
        <v>689</v>
      </c>
    </row>
    <row r="699" spans="4:9" ht="13.5" thickBot="1" x14ac:dyDescent="0.25">
      <c r="D699" s="4">
        <v>690</v>
      </c>
      <c r="E699" s="40"/>
      <c r="F699" s="31"/>
      <c r="G699" s="74"/>
      <c r="H699" s="74"/>
      <c r="I699" s="70" t="str">
        <f t="shared" si="11"/>
        <v>690</v>
      </c>
    </row>
    <row r="700" spans="4:9" x14ac:dyDescent="0.2">
      <c r="G700" s="74"/>
      <c r="H700" s="74"/>
    </row>
    <row r="701" spans="4:9" x14ac:dyDescent="0.2">
      <c r="G701" s="74"/>
      <c r="H701" s="74"/>
    </row>
    <row r="702" spans="4:9" x14ac:dyDescent="0.2">
      <c r="G702" s="74"/>
      <c r="H702" s="74"/>
    </row>
    <row r="703" spans="4:9" x14ac:dyDescent="0.2">
      <c r="G703" s="74"/>
      <c r="H703" s="74"/>
    </row>
    <row r="704" spans="4:9" x14ac:dyDescent="0.2">
      <c r="G704" s="74"/>
      <c r="H704" s="74"/>
    </row>
    <row r="705" spans="7:8" x14ac:dyDescent="0.2">
      <c r="G705" s="74"/>
      <c r="H705" s="74"/>
    </row>
    <row r="706" spans="7:8" x14ac:dyDescent="0.2">
      <c r="G706" s="74"/>
      <c r="H706" s="74"/>
    </row>
    <row r="707" spans="7:8" x14ac:dyDescent="0.2">
      <c r="G707" s="74"/>
      <c r="H707" s="74"/>
    </row>
    <row r="708" spans="7:8" x14ac:dyDescent="0.2">
      <c r="G708" s="74"/>
      <c r="H708" s="74"/>
    </row>
    <row r="709" spans="7:8" x14ac:dyDescent="0.2">
      <c r="G709" s="74"/>
      <c r="H709" s="74"/>
    </row>
    <row r="710" spans="7:8" x14ac:dyDescent="0.2">
      <c r="G710" s="74"/>
      <c r="H710" s="74"/>
    </row>
    <row r="711" spans="7:8" x14ac:dyDescent="0.2">
      <c r="G711" s="74"/>
      <c r="H711" s="74"/>
    </row>
    <row r="712" spans="7:8" x14ac:dyDescent="0.2">
      <c r="G712" s="74"/>
      <c r="H712" s="74"/>
    </row>
    <row r="713" spans="7:8" x14ac:dyDescent="0.2">
      <c r="G713" s="74"/>
      <c r="H713" s="74"/>
    </row>
    <row r="714" spans="7:8" x14ac:dyDescent="0.2">
      <c r="G714" s="74"/>
      <c r="H714" s="74"/>
    </row>
    <row r="715" spans="7:8" x14ac:dyDescent="0.2">
      <c r="G715" s="74"/>
      <c r="H715" s="74"/>
    </row>
    <row r="716" spans="7:8" x14ac:dyDescent="0.2">
      <c r="G716" s="74"/>
      <c r="H716" s="74"/>
    </row>
    <row r="717" spans="7:8" x14ac:dyDescent="0.2">
      <c r="G717" s="74"/>
      <c r="H717" s="74"/>
    </row>
    <row r="718" spans="7:8" x14ac:dyDescent="0.2">
      <c r="G718" s="74"/>
      <c r="H718" s="74"/>
    </row>
    <row r="719" spans="7:8" x14ac:dyDescent="0.2">
      <c r="G719" s="74"/>
      <c r="H719" s="74"/>
    </row>
    <row r="720" spans="7:8" x14ac:dyDescent="0.2">
      <c r="G720" s="74"/>
      <c r="H720" s="74"/>
    </row>
    <row r="721" spans="7:8" x14ac:dyDescent="0.2">
      <c r="G721" s="74"/>
      <c r="H721" s="74"/>
    </row>
    <row r="722" spans="7:8" x14ac:dyDescent="0.2">
      <c r="G722" s="74"/>
      <c r="H722" s="74"/>
    </row>
    <row r="723" spans="7:8" x14ac:dyDescent="0.2">
      <c r="G723" s="74"/>
      <c r="H723" s="74"/>
    </row>
    <row r="724" spans="7:8" x14ac:dyDescent="0.2">
      <c r="G724" s="74"/>
      <c r="H724" s="74"/>
    </row>
    <row r="725" spans="7:8" x14ac:dyDescent="0.2">
      <c r="G725" s="74"/>
      <c r="H725" s="74"/>
    </row>
    <row r="726" spans="7:8" x14ac:dyDescent="0.2">
      <c r="G726" s="74"/>
      <c r="H726" s="74"/>
    </row>
    <row r="727" spans="7:8" x14ac:dyDescent="0.2">
      <c r="G727" s="74"/>
      <c r="H727" s="74"/>
    </row>
    <row r="728" spans="7:8" x14ac:dyDescent="0.2">
      <c r="G728" s="74"/>
      <c r="H728" s="74"/>
    </row>
    <row r="729" spans="7:8" x14ac:dyDescent="0.2">
      <c r="G729" s="74"/>
      <c r="H729" s="74"/>
    </row>
    <row r="730" spans="7:8" x14ac:dyDescent="0.2">
      <c r="G730" s="74"/>
      <c r="H730" s="74"/>
    </row>
    <row r="731" spans="7:8" x14ac:dyDescent="0.2">
      <c r="G731" s="74"/>
      <c r="H731" s="74"/>
    </row>
    <row r="732" spans="7:8" x14ac:dyDescent="0.2">
      <c r="G732" s="74"/>
      <c r="H732" s="74"/>
    </row>
    <row r="733" spans="7:8" x14ac:dyDescent="0.2">
      <c r="G733" s="74"/>
      <c r="H733" s="74"/>
    </row>
    <row r="734" spans="7:8" x14ac:dyDescent="0.2">
      <c r="G734" s="74"/>
      <c r="H734" s="74"/>
    </row>
    <row r="735" spans="7:8" x14ac:dyDescent="0.2">
      <c r="G735" s="74"/>
      <c r="H735" s="74"/>
    </row>
    <row r="736" spans="7:8" x14ac:dyDescent="0.2">
      <c r="G736" s="74"/>
      <c r="H736" s="74"/>
    </row>
    <row r="737" spans="7:8" x14ac:dyDescent="0.2">
      <c r="G737" s="74"/>
      <c r="H737" s="74"/>
    </row>
    <row r="738" spans="7:8" x14ac:dyDescent="0.2">
      <c r="G738" s="74"/>
      <c r="H738" s="74"/>
    </row>
    <row r="739" spans="7:8" x14ac:dyDescent="0.2">
      <c r="G739" s="74"/>
      <c r="H739" s="74"/>
    </row>
    <row r="740" spans="7:8" x14ac:dyDescent="0.2">
      <c r="G740" s="74"/>
      <c r="H740" s="74"/>
    </row>
    <row r="741" spans="7:8" x14ac:dyDescent="0.2">
      <c r="G741" s="74"/>
      <c r="H741" s="74"/>
    </row>
    <row r="742" spans="7:8" x14ac:dyDescent="0.2">
      <c r="G742" s="74"/>
      <c r="H742" s="74"/>
    </row>
    <row r="743" spans="7:8" x14ac:dyDescent="0.2">
      <c r="G743" s="74"/>
      <c r="H743" s="74"/>
    </row>
    <row r="744" spans="7:8" x14ac:dyDescent="0.2">
      <c r="G744" s="74"/>
      <c r="H744" s="74"/>
    </row>
    <row r="745" spans="7:8" x14ac:dyDescent="0.2">
      <c r="G745" s="74"/>
      <c r="H745" s="74"/>
    </row>
    <row r="746" spans="7:8" x14ac:dyDescent="0.2">
      <c r="G746" s="74"/>
      <c r="H746" s="74"/>
    </row>
    <row r="747" spans="7:8" x14ac:dyDescent="0.2">
      <c r="G747" s="74"/>
      <c r="H747" s="74"/>
    </row>
    <row r="748" spans="7:8" x14ac:dyDescent="0.2">
      <c r="G748" s="74"/>
      <c r="H748" s="74"/>
    </row>
    <row r="749" spans="7:8" x14ac:dyDescent="0.2">
      <c r="G749" s="74"/>
      <c r="H749" s="74"/>
    </row>
    <row r="750" spans="7:8" x14ac:dyDescent="0.2">
      <c r="G750" s="74"/>
      <c r="H750" s="74"/>
    </row>
    <row r="751" spans="7:8" x14ac:dyDescent="0.2">
      <c r="G751" s="74"/>
      <c r="H751" s="74"/>
    </row>
    <row r="752" spans="7:8" x14ac:dyDescent="0.2">
      <c r="G752" s="74"/>
      <c r="H752" s="74"/>
    </row>
    <row r="753" spans="7:8" x14ac:dyDescent="0.2">
      <c r="G753" s="74"/>
      <c r="H753" s="74"/>
    </row>
    <row r="754" spans="7:8" x14ac:dyDescent="0.2">
      <c r="G754" s="74"/>
      <c r="H754" s="74"/>
    </row>
    <row r="755" spans="7:8" x14ac:dyDescent="0.2">
      <c r="G755" s="74"/>
      <c r="H755" s="74"/>
    </row>
    <row r="756" spans="7:8" x14ac:dyDescent="0.2">
      <c r="G756" s="74"/>
      <c r="H756" s="74"/>
    </row>
    <row r="757" spans="7:8" x14ac:dyDescent="0.2">
      <c r="G757" s="74"/>
      <c r="H757" s="74"/>
    </row>
    <row r="758" spans="7:8" x14ac:dyDescent="0.2">
      <c r="G758" s="74"/>
      <c r="H758" s="74"/>
    </row>
    <row r="759" spans="7:8" x14ac:dyDescent="0.2">
      <c r="G759" s="74"/>
      <c r="H759" s="74"/>
    </row>
    <row r="760" spans="7:8" x14ac:dyDescent="0.2">
      <c r="G760" s="74"/>
      <c r="H760" s="74"/>
    </row>
    <row r="761" spans="7:8" x14ac:dyDescent="0.2">
      <c r="G761" s="74"/>
      <c r="H761" s="74"/>
    </row>
    <row r="762" spans="7:8" x14ac:dyDescent="0.2">
      <c r="G762" s="74"/>
      <c r="H762" s="74"/>
    </row>
    <row r="763" spans="7:8" x14ac:dyDescent="0.2">
      <c r="G763" s="74"/>
      <c r="H763" s="74"/>
    </row>
    <row r="764" spans="7:8" x14ac:dyDescent="0.2">
      <c r="G764" s="74"/>
      <c r="H764" s="74"/>
    </row>
    <row r="765" spans="7:8" x14ac:dyDescent="0.2">
      <c r="G765" s="74"/>
      <c r="H765" s="74"/>
    </row>
    <row r="766" spans="7:8" x14ac:dyDescent="0.2">
      <c r="G766" s="74"/>
      <c r="H766" s="74"/>
    </row>
    <row r="767" spans="7:8" x14ac:dyDescent="0.2">
      <c r="G767" s="74"/>
      <c r="H767" s="74"/>
    </row>
    <row r="768" spans="7:8" x14ac:dyDescent="0.2">
      <c r="G768" s="74"/>
      <c r="H768" s="74"/>
    </row>
    <row r="769" spans="7:8" x14ac:dyDescent="0.2">
      <c r="G769" s="74"/>
      <c r="H769" s="74"/>
    </row>
    <row r="770" spans="7:8" x14ac:dyDescent="0.2">
      <c r="G770" s="74"/>
      <c r="H770" s="74"/>
    </row>
    <row r="771" spans="7:8" x14ac:dyDescent="0.2">
      <c r="G771" s="74"/>
      <c r="H771" s="74"/>
    </row>
    <row r="772" spans="7:8" x14ac:dyDescent="0.2">
      <c r="G772" s="74"/>
      <c r="H772" s="74"/>
    </row>
    <row r="773" spans="7:8" x14ac:dyDescent="0.2">
      <c r="G773" s="74"/>
      <c r="H773" s="74"/>
    </row>
    <row r="774" spans="7:8" x14ac:dyDescent="0.2">
      <c r="G774" s="74"/>
      <c r="H774" s="74"/>
    </row>
    <row r="775" spans="7:8" x14ac:dyDescent="0.2">
      <c r="G775" s="74"/>
      <c r="H775" s="74"/>
    </row>
    <row r="776" spans="7:8" x14ac:dyDescent="0.2">
      <c r="G776" s="74"/>
      <c r="H776" s="74"/>
    </row>
    <row r="777" spans="7:8" x14ac:dyDescent="0.2">
      <c r="G777" s="74"/>
      <c r="H777" s="74"/>
    </row>
    <row r="778" spans="7:8" x14ac:dyDescent="0.2">
      <c r="G778" s="74"/>
      <c r="H778" s="74"/>
    </row>
    <row r="779" spans="7:8" x14ac:dyDescent="0.2">
      <c r="G779" s="74"/>
      <c r="H779" s="74"/>
    </row>
    <row r="780" spans="7:8" x14ac:dyDescent="0.2">
      <c r="G780" s="74"/>
      <c r="H780" s="74"/>
    </row>
    <row r="781" spans="7:8" x14ac:dyDescent="0.2">
      <c r="G781" s="74"/>
      <c r="H781" s="74"/>
    </row>
    <row r="782" spans="7:8" x14ac:dyDescent="0.2">
      <c r="G782" s="74"/>
      <c r="H782" s="74"/>
    </row>
    <row r="783" spans="7:8" x14ac:dyDescent="0.2">
      <c r="G783" s="74"/>
      <c r="H783" s="74"/>
    </row>
    <row r="784" spans="7:8" x14ac:dyDescent="0.2">
      <c r="G784" s="74"/>
      <c r="H784" s="74"/>
    </row>
    <row r="785" spans="7:8" x14ac:dyDescent="0.2">
      <c r="G785" s="74"/>
      <c r="H785" s="74"/>
    </row>
    <row r="786" spans="7:8" x14ac:dyDescent="0.2">
      <c r="G786" s="74"/>
      <c r="H786" s="74"/>
    </row>
    <row r="787" spans="7:8" x14ac:dyDescent="0.2">
      <c r="G787" s="74"/>
      <c r="H787" s="74"/>
    </row>
    <row r="788" spans="7:8" x14ac:dyDescent="0.2">
      <c r="G788" s="74"/>
      <c r="H788" s="74"/>
    </row>
    <row r="789" spans="7:8" x14ac:dyDescent="0.2">
      <c r="G789" s="74"/>
      <c r="H789" s="74"/>
    </row>
    <row r="790" spans="7:8" x14ac:dyDescent="0.2">
      <c r="G790" s="74"/>
      <c r="H790" s="74"/>
    </row>
    <row r="791" spans="7:8" x14ac:dyDescent="0.2">
      <c r="G791" s="74"/>
      <c r="H791" s="74"/>
    </row>
    <row r="792" spans="7:8" x14ac:dyDescent="0.2">
      <c r="G792" s="74"/>
      <c r="H792" s="74"/>
    </row>
    <row r="793" spans="7:8" x14ac:dyDescent="0.2">
      <c r="G793" s="74"/>
      <c r="H793" s="74"/>
    </row>
    <row r="794" spans="7:8" x14ac:dyDescent="0.2">
      <c r="G794" s="74"/>
      <c r="H794" s="74"/>
    </row>
    <row r="795" spans="7:8" x14ac:dyDescent="0.2">
      <c r="G795" s="74"/>
      <c r="H795" s="74"/>
    </row>
    <row r="796" spans="7:8" x14ac:dyDescent="0.2">
      <c r="G796" s="74"/>
      <c r="H796" s="74"/>
    </row>
    <row r="797" spans="7:8" x14ac:dyDescent="0.2">
      <c r="G797" s="74"/>
      <c r="H797" s="74"/>
    </row>
    <row r="798" spans="7:8" x14ac:dyDescent="0.2">
      <c r="G798" s="74"/>
      <c r="H798" s="74"/>
    </row>
    <row r="799" spans="7:8" x14ac:dyDescent="0.2">
      <c r="G799" s="74"/>
      <c r="H799" s="74"/>
    </row>
    <row r="800" spans="7:8" x14ac:dyDescent="0.2">
      <c r="G800" s="74"/>
      <c r="H800" s="74"/>
    </row>
    <row r="801" spans="7:8" x14ac:dyDescent="0.2">
      <c r="G801" s="74"/>
      <c r="H801" s="74"/>
    </row>
    <row r="802" spans="7:8" x14ac:dyDescent="0.2">
      <c r="G802" s="74"/>
      <c r="H802" s="74"/>
    </row>
    <row r="803" spans="7:8" x14ac:dyDescent="0.2">
      <c r="G803" s="74"/>
      <c r="H803" s="74"/>
    </row>
    <row r="804" spans="7:8" x14ac:dyDescent="0.2">
      <c r="G804" s="74"/>
      <c r="H804" s="74"/>
    </row>
    <row r="805" spans="7:8" x14ac:dyDescent="0.2">
      <c r="G805" s="74"/>
      <c r="H805" s="74"/>
    </row>
    <row r="806" spans="7:8" x14ac:dyDescent="0.2">
      <c r="G806" s="74"/>
      <c r="H806" s="74"/>
    </row>
    <row r="807" spans="7:8" x14ac:dyDescent="0.2">
      <c r="G807" s="74"/>
      <c r="H807" s="74"/>
    </row>
    <row r="808" spans="7:8" x14ac:dyDescent="0.2">
      <c r="G808" s="74"/>
      <c r="H808" s="74"/>
    </row>
    <row r="809" spans="7:8" x14ac:dyDescent="0.2">
      <c r="G809" s="74"/>
      <c r="H809" s="74"/>
    </row>
    <row r="810" spans="7:8" x14ac:dyDescent="0.2">
      <c r="G810" s="74"/>
      <c r="H810" s="74"/>
    </row>
    <row r="811" spans="7:8" x14ac:dyDescent="0.2">
      <c r="G811" s="74"/>
      <c r="H811" s="74"/>
    </row>
    <row r="812" spans="7:8" x14ac:dyDescent="0.2">
      <c r="G812" s="74"/>
      <c r="H812" s="74"/>
    </row>
    <row r="813" spans="7:8" x14ac:dyDescent="0.2">
      <c r="G813" s="74"/>
      <c r="H813" s="74"/>
    </row>
    <row r="814" spans="7:8" x14ac:dyDescent="0.2">
      <c r="G814" s="74"/>
      <c r="H814" s="74"/>
    </row>
    <row r="815" spans="7:8" x14ac:dyDescent="0.2">
      <c r="G815" s="74"/>
      <c r="H815" s="74"/>
    </row>
    <row r="816" spans="7:8" x14ac:dyDescent="0.2">
      <c r="G816" s="74"/>
      <c r="H816" s="74"/>
    </row>
    <row r="817" spans="7:8" x14ac:dyDescent="0.2">
      <c r="G817" s="74"/>
      <c r="H817" s="74"/>
    </row>
    <row r="818" spans="7:8" x14ac:dyDescent="0.2">
      <c r="G818" s="74"/>
      <c r="H818" s="74"/>
    </row>
    <row r="819" spans="7:8" x14ac:dyDescent="0.2">
      <c r="G819" s="74"/>
      <c r="H819" s="74"/>
    </row>
    <row r="820" spans="7:8" x14ac:dyDescent="0.2">
      <c r="G820" s="74"/>
      <c r="H820" s="74"/>
    </row>
    <row r="821" spans="7:8" x14ac:dyDescent="0.2">
      <c r="G821" s="74"/>
      <c r="H821" s="74"/>
    </row>
    <row r="822" spans="7:8" x14ac:dyDescent="0.2">
      <c r="G822" s="74"/>
      <c r="H822" s="74"/>
    </row>
    <row r="823" spans="7:8" x14ac:dyDescent="0.2">
      <c r="G823" s="74"/>
      <c r="H823" s="74"/>
    </row>
    <row r="824" spans="7:8" x14ac:dyDescent="0.2">
      <c r="G824" s="74"/>
      <c r="H824" s="74"/>
    </row>
    <row r="825" spans="7:8" x14ac:dyDescent="0.2">
      <c r="G825" s="74"/>
      <c r="H825" s="74"/>
    </row>
    <row r="826" spans="7:8" x14ac:dyDescent="0.2">
      <c r="G826" s="74"/>
      <c r="H826" s="74"/>
    </row>
    <row r="827" spans="7:8" x14ac:dyDescent="0.2">
      <c r="G827" s="74"/>
      <c r="H827" s="74"/>
    </row>
    <row r="828" spans="7:8" x14ac:dyDescent="0.2">
      <c r="G828" s="74"/>
      <c r="H828" s="74"/>
    </row>
    <row r="829" spans="7:8" x14ac:dyDescent="0.2">
      <c r="G829" s="74"/>
      <c r="H829" s="74"/>
    </row>
    <row r="830" spans="7:8" x14ac:dyDescent="0.2">
      <c r="G830" s="74"/>
      <c r="H830" s="74"/>
    </row>
    <row r="831" spans="7:8" x14ac:dyDescent="0.2">
      <c r="G831" s="74"/>
      <c r="H831" s="74"/>
    </row>
    <row r="832" spans="7:8" x14ac:dyDescent="0.2">
      <c r="G832" s="74"/>
      <c r="H832" s="74"/>
    </row>
    <row r="833" spans="7:8" x14ac:dyDescent="0.2">
      <c r="G833" s="74"/>
      <c r="H833" s="74"/>
    </row>
    <row r="834" spans="7:8" x14ac:dyDescent="0.2">
      <c r="G834" s="74"/>
      <c r="H834" s="74"/>
    </row>
    <row r="835" spans="7:8" x14ac:dyDescent="0.2">
      <c r="G835" s="74"/>
      <c r="H835" s="74"/>
    </row>
    <row r="836" spans="7:8" x14ac:dyDescent="0.2">
      <c r="G836" s="74"/>
      <c r="H836" s="74"/>
    </row>
    <row r="837" spans="7:8" x14ac:dyDescent="0.2">
      <c r="G837" s="74"/>
      <c r="H837" s="74"/>
    </row>
    <row r="838" spans="7:8" x14ac:dyDescent="0.2">
      <c r="G838" s="72"/>
      <c r="H838" s="72"/>
    </row>
    <row r="839" spans="7:8" x14ac:dyDescent="0.2">
      <c r="G839" s="72"/>
      <c r="H839" s="72"/>
    </row>
    <row r="840" spans="7:8" x14ac:dyDescent="0.2">
      <c r="G840" s="72"/>
      <c r="H840" s="72"/>
    </row>
    <row r="841" spans="7:8" x14ac:dyDescent="0.2">
      <c r="G841" s="72"/>
      <c r="H841" s="72"/>
    </row>
    <row r="842" spans="7:8" x14ac:dyDescent="0.2">
      <c r="G842" s="72"/>
      <c r="H842" s="72"/>
    </row>
    <row r="843" spans="7:8" x14ac:dyDescent="0.2">
      <c r="G843" s="72"/>
      <c r="H843" s="72"/>
    </row>
    <row r="844" spans="7:8" x14ac:dyDescent="0.2">
      <c r="G844" s="72"/>
      <c r="H844" s="72"/>
    </row>
    <row r="845" spans="7:8" x14ac:dyDescent="0.2">
      <c r="G845" s="72"/>
      <c r="H845" s="72"/>
    </row>
    <row r="846" spans="7:8" x14ac:dyDescent="0.2">
      <c r="G846" s="72"/>
      <c r="H846" s="72"/>
    </row>
    <row r="847" spans="7:8" x14ac:dyDescent="0.2">
      <c r="G847" s="72"/>
      <c r="H847" s="72"/>
    </row>
    <row r="848" spans="7:8" x14ac:dyDescent="0.2">
      <c r="G848" s="72"/>
      <c r="H848" s="72"/>
    </row>
    <row r="849" spans="7:8" x14ac:dyDescent="0.2">
      <c r="G849" s="72"/>
      <c r="H849" s="72"/>
    </row>
  </sheetData>
  <mergeCells count="3">
    <mergeCell ref="A8:B8"/>
    <mergeCell ref="D8:H8"/>
    <mergeCell ref="D6:I6"/>
  </mergeCells>
  <printOptions horizontalCentered="1" verticalCentered="1"/>
  <pageMargins left="0.75" right="0.75" top="1" bottom="1" header="0" footer="0"/>
  <pageSetup paperSize="9" scale="96" orientation="landscape" horizontalDpi="4294967293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5:U64930"/>
  <sheetViews>
    <sheetView topLeftCell="A53" workbookViewId="0">
      <selection activeCell="D109" sqref="D109"/>
    </sheetView>
  </sheetViews>
  <sheetFormatPr baseColWidth="10" defaultRowHeight="12.75" x14ac:dyDescent="0.2"/>
  <cols>
    <col min="1" max="3" width="11.42578125" style="77"/>
    <col min="4" max="4" width="25.85546875" style="109" customWidth="1"/>
    <col min="5" max="5" width="8.7109375" customWidth="1"/>
    <col min="6" max="6" width="8.7109375" style="77" bestFit="1" customWidth="1"/>
    <col min="7" max="7" width="18.7109375" style="77" customWidth="1"/>
    <col min="8" max="8" width="8.5703125" style="77" bestFit="1" customWidth="1"/>
    <col min="9" max="9" width="8.85546875" style="77" bestFit="1" customWidth="1"/>
    <col min="10" max="10" width="28.140625" style="77" bestFit="1" customWidth="1"/>
    <col min="12" max="21" width="11.42578125" style="158"/>
  </cols>
  <sheetData>
    <row r="5" spans="1:21" ht="13.5" thickBot="1" x14ac:dyDescent="0.25"/>
    <row r="6" spans="1:21" s="1" customFormat="1" ht="13.5" thickBot="1" x14ac:dyDescent="0.25">
      <c r="A6" s="34" t="s">
        <v>75</v>
      </c>
      <c r="B6" s="32" t="s">
        <v>72</v>
      </c>
      <c r="C6" s="33" t="s">
        <v>73</v>
      </c>
      <c r="D6" s="211" t="s">
        <v>1</v>
      </c>
      <c r="E6" s="34" t="s">
        <v>74</v>
      </c>
      <c r="F6" s="321" t="s">
        <v>9</v>
      </c>
      <c r="G6" s="322"/>
      <c r="H6" s="34" t="s">
        <v>24</v>
      </c>
      <c r="I6" s="34" t="s">
        <v>11</v>
      </c>
      <c r="J6" s="34" t="s">
        <v>138</v>
      </c>
      <c r="L6" s="159"/>
      <c r="M6" s="159"/>
      <c r="N6" s="159"/>
      <c r="O6" s="159"/>
      <c r="P6" s="159"/>
      <c r="Q6" s="159"/>
      <c r="R6" s="159"/>
      <c r="S6" s="159"/>
      <c r="T6" s="159"/>
      <c r="U6" s="159"/>
    </row>
    <row r="7" spans="1:21" s="219" customFormat="1" x14ac:dyDescent="0.2">
      <c r="A7" s="218">
        <f t="shared" ref="A7" si="0">ROW()-6</f>
        <v>1</v>
      </c>
      <c r="B7" s="220">
        <v>1</v>
      </c>
      <c r="C7" s="221" t="str">
        <f>+VLOOKUP(B7,ARTICULOS!$D$10:$I$699,6)</f>
        <v>1TVR</v>
      </c>
      <c r="D7" s="214" t="s">
        <v>226</v>
      </c>
      <c r="E7" s="222" t="str">
        <f t="shared" ref="E7" si="1">+C7&amp;F7</f>
        <v>1TVR1</v>
      </c>
      <c r="F7" s="223">
        <v>1</v>
      </c>
      <c r="G7" s="224" t="s">
        <v>0</v>
      </c>
      <c r="H7" s="218">
        <v>8.41</v>
      </c>
      <c r="I7" s="218">
        <v>3.2</v>
      </c>
      <c r="J7" s="218" t="s">
        <v>241</v>
      </c>
      <c r="L7" s="225"/>
      <c r="M7" s="225"/>
      <c r="N7" s="225"/>
      <c r="O7" s="225"/>
      <c r="P7" s="225"/>
      <c r="Q7" s="225"/>
      <c r="R7" s="225"/>
      <c r="S7" s="225"/>
      <c r="T7" s="225"/>
      <c r="U7" s="225"/>
    </row>
    <row r="8" spans="1:21" s="219" customFormat="1" x14ac:dyDescent="0.2">
      <c r="A8" s="218">
        <f t="shared" ref="A8:A40" si="2">ROW()-6</f>
        <v>2</v>
      </c>
      <c r="B8" s="226">
        <f>+MATCH(D8,ARTICULOS!$F$10:$F$699,0)</f>
        <v>1</v>
      </c>
      <c r="C8" s="227" t="str">
        <f>+VLOOKUP(B8,ARTICULOS!$D$10:$I$699,6)</f>
        <v>1TVR</v>
      </c>
      <c r="D8" s="214" t="s">
        <v>226</v>
      </c>
      <c r="E8" s="215" t="str">
        <f t="shared" ref="E8:E10" si="3">+C8&amp;F8</f>
        <v>1TVR2</v>
      </c>
      <c r="F8" s="216">
        <v>2</v>
      </c>
      <c r="G8" s="217" t="s">
        <v>146</v>
      </c>
      <c r="H8" s="218">
        <v>11.06</v>
      </c>
      <c r="I8" s="218">
        <v>3.2</v>
      </c>
      <c r="J8" s="218" t="s">
        <v>241</v>
      </c>
      <c r="L8" s="225"/>
      <c r="M8" s="225"/>
      <c r="N8" s="225"/>
      <c r="O8" s="225"/>
      <c r="P8" s="225"/>
      <c r="Q8" s="225"/>
      <c r="R8" s="225"/>
      <c r="S8" s="225"/>
      <c r="T8" s="225"/>
      <c r="U8" s="225"/>
    </row>
    <row r="9" spans="1:21" s="219" customFormat="1" x14ac:dyDescent="0.2">
      <c r="A9" s="218">
        <f t="shared" si="2"/>
        <v>3</v>
      </c>
      <c r="B9" s="226">
        <f>+MATCH(D9,ARTICULOS!$F$10:$F$699,0)</f>
        <v>1</v>
      </c>
      <c r="C9" s="227" t="str">
        <f>+VLOOKUP(B9,ARTICULOS!$D$10:$I$699,6)</f>
        <v>1TVR</v>
      </c>
      <c r="D9" s="214" t="s">
        <v>226</v>
      </c>
      <c r="E9" s="215" t="str">
        <f t="shared" si="3"/>
        <v>1TVR3</v>
      </c>
      <c r="F9" s="216">
        <v>3</v>
      </c>
      <c r="G9" s="217" t="s">
        <v>242</v>
      </c>
      <c r="H9" s="218">
        <v>12.2</v>
      </c>
      <c r="I9" s="218">
        <v>3.2</v>
      </c>
      <c r="J9" s="218" t="s">
        <v>241</v>
      </c>
      <c r="L9" s="225"/>
      <c r="M9" s="225"/>
      <c r="N9" s="225"/>
      <c r="O9" s="225"/>
      <c r="P9" s="225"/>
      <c r="Q9" s="225"/>
      <c r="R9" s="225"/>
      <c r="S9" s="225"/>
      <c r="T9" s="225"/>
      <c r="U9" s="225"/>
    </row>
    <row r="10" spans="1:21" s="219" customFormat="1" x14ac:dyDescent="0.2">
      <c r="A10" s="218">
        <f t="shared" si="2"/>
        <v>4</v>
      </c>
      <c r="B10" s="226">
        <f>+MATCH(D10,ARTICULOS!$F$10:$F$699,0)</f>
        <v>1</v>
      </c>
      <c r="C10" s="227" t="str">
        <f>+VLOOKUP(B10,ARTICULOS!$D$10:$I$699,6)</f>
        <v>1TVR</v>
      </c>
      <c r="D10" s="214" t="s">
        <v>226</v>
      </c>
      <c r="E10" s="215" t="str">
        <f t="shared" si="3"/>
        <v>1TVR4</v>
      </c>
      <c r="F10" s="216">
        <v>4</v>
      </c>
      <c r="G10" s="217" t="s">
        <v>243</v>
      </c>
      <c r="H10" s="218">
        <v>13.46</v>
      </c>
      <c r="I10" s="218">
        <v>3.2</v>
      </c>
      <c r="J10" s="218" t="s">
        <v>241</v>
      </c>
      <c r="L10" s="225"/>
      <c r="M10" s="225"/>
      <c r="N10" s="225"/>
      <c r="O10" s="225"/>
      <c r="P10" s="225"/>
      <c r="Q10" s="225"/>
      <c r="R10" s="225"/>
      <c r="S10" s="225"/>
      <c r="T10" s="225"/>
      <c r="U10" s="225"/>
    </row>
    <row r="11" spans="1:21" s="219" customFormat="1" x14ac:dyDescent="0.2">
      <c r="A11" s="218">
        <f t="shared" si="2"/>
        <v>5</v>
      </c>
      <c r="B11" s="226">
        <f>+MATCH(D11,ARTICULOS!$F$10:$F$699,0)</f>
        <v>1</v>
      </c>
      <c r="C11" s="227" t="str">
        <f>+VLOOKUP(B11,ARTICULOS!$D$10:$I$699,6)</f>
        <v>1TVR</v>
      </c>
      <c r="D11" s="214" t="s">
        <v>226</v>
      </c>
      <c r="E11" s="215" t="str">
        <f t="shared" ref="E11:E74" si="4">+C11&amp;F11</f>
        <v>1TVR5</v>
      </c>
      <c r="F11" s="216">
        <v>5</v>
      </c>
      <c r="G11" s="217" t="s">
        <v>244</v>
      </c>
      <c r="H11" s="218">
        <v>14.55</v>
      </c>
      <c r="I11" s="218">
        <v>3.2</v>
      </c>
      <c r="J11" s="218" t="s">
        <v>241</v>
      </c>
      <c r="L11" s="225"/>
      <c r="M11" s="225"/>
      <c r="N11" s="225"/>
      <c r="O11" s="225"/>
      <c r="P11" s="225"/>
      <c r="Q11" s="225"/>
      <c r="R11" s="225"/>
      <c r="S11" s="225"/>
      <c r="T11" s="225"/>
      <c r="U11" s="225"/>
    </row>
    <row r="12" spans="1:21" s="219" customFormat="1" x14ac:dyDescent="0.2">
      <c r="A12" s="218">
        <f t="shared" si="2"/>
        <v>6</v>
      </c>
      <c r="B12" s="226">
        <f>+MATCH(D12,ARTICULOS!$F$10:$F$699,0)</f>
        <v>2</v>
      </c>
      <c r="C12" s="227" t="str">
        <f>+VLOOKUP(B12,ARTICULOS!$D$10:$I$699,6)</f>
        <v>2TVR</v>
      </c>
      <c r="D12" s="228" t="s">
        <v>227</v>
      </c>
      <c r="E12" s="215" t="str">
        <f t="shared" si="4"/>
        <v>2TVR1</v>
      </c>
      <c r="F12" s="216">
        <v>1</v>
      </c>
      <c r="G12" s="217" t="s">
        <v>0</v>
      </c>
      <c r="H12" s="218">
        <v>7.8</v>
      </c>
      <c r="I12" s="218">
        <v>3.25</v>
      </c>
      <c r="J12" s="218" t="s">
        <v>137</v>
      </c>
      <c r="L12" s="225"/>
      <c r="M12" s="225"/>
      <c r="N12" s="225"/>
      <c r="O12" s="225"/>
      <c r="P12" s="225"/>
      <c r="Q12" s="225"/>
      <c r="R12" s="225"/>
      <c r="S12" s="225"/>
      <c r="T12" s="225"/>
      <c r="U12" s="225"/>
    </row>
    <row r="13" spans="1:21" s="219" customFormat="1" x14ac:dyDescent="0.2">
      <c r="A13" s="218">
        <f t="shared" si="2"/>
        <v>7</v>
      </c>
      <c r="B13" s="226">
        <f>+MATCH(D13,ARTICULOS!$F$10:$F$699,0)</f>
        <v>2</v>
      </c>
      <c r="C13" s="227" t="str">
        <f>+VLOOKUP(B13,ARTICULOS!$D$10:$I$699,6)</f>
        <v>2TVR</v>
      </c>
      <c r="D13" s="228" t="s">
        <v>227</v>
      </c>
      <c r="E13" s="215" t="str">
        <f t="shared" si="4"/>
        <v>2TVR2</v>
      </c>
      <c r="F13" s="216">
        <v>2</v>
      </c>
      <c r="G13" s="217" t="s">
        <v>146</v>
      </c>
      <c r="H13" s="218">
        <v>9.2899999999999991</v>
      </c>
      <c r="I13" s="218">
        <v>3.25</v>
      </c>
      <c r="J13" s="218" t="s">
        <v>137</v>
      </c>
      <c r="L13" s="225"/>
      <c r="M13" s="225"/>
      <c r="N13" s="225"/>
      <c r="O13" s="225"/>
      <c r="P13" s="225"/>
      <c r="Q13" s="225"/>
      <c r="R13" s="225"/>
      <c r="S13" s="225"/>
      <c r="T13" s="225"/>
      <c r="U13" s="225"/>
    </row>
    <row r="14" spans="1:21" s="219" customFormat="1" x14ac:dyDescent="0.2">
      <c r="A14" s="218">
        <f t="shared" si="2"/>
        <v>8</v>
      </c>
      <c r="B14" s="226">
        <f>+MATCH(D14,ARTICULOS!$F$10:$F$699,0)</f>
        <v>2</v>
      </c>
      <c r="C14" s="227" t="str">
        <f>+VLOOKUP(B14,ARTICULOS!$D$10:$I$699,6)</f>
        <v>2TVR</v>
      </c>
      <c r="D14" s="228" t="s">
        <v>227</v>
      </c>
      <c r="E14" s="215" t="str">
        <f t="shared" si="4"/>
        <v>2TVR3</v>
      </c>
      <c r="F14" s="216">
        <v>3</v>
      </c>
      <c r="G14" s="217" t="s">
        <v>242</v>
      </c>
      <c r="H14" s="218">
        <v>9.8699999999999992</v>
      </c>
      <c r="I14" s="218">
        <v>3.25</v>
      </c>
      <c r="J14" s="218" t="s">
        <v>137</v>
      </c>
      <c r="L14" s="225"/>
      <c r="M14" s="225"/>
      <c r="N14" s="225"/>
      <c r="O14" s="225"/>
      <c r="P14" s="225"/>
      <c r="Q14" s="225"/>
      <c r="R14" s="225"/>
      <c r="S14" s="225"/>
      <c r="T14" s="225"/>
      <c r="U14" s="225"/>
    </row>
    <row r="15" spans="1:21" s="219" customFormat="1" x14ac:dyDescent="0.2">
      <c r="A15" s="218">
        <f t="shared" si="2"/>
        <v>9</v>
      </c>
      <c r="B15" s="226">
        <f>+MATCH(D15,ARTICULOS!$F$10:$F$699,0)</f>
        <v>2</v>
      </c>
      <c r="C15" s="227" t="str">
        <f>+VLOOKUP(B15,ARTICULOS!$D$10:$I$699,6)</f>
        <v>2TVR</v>
      </c>
      <c r="D15" s="228" t="s">
        <v>227</v>
      </c>
      <c r="E15" s="215" t="str">
        <f t="shared" si="4"/>
        <v>2TVR4</v>
      </c>
      <c r="F15" s="216">
        <v>4</v>
      </c>
      <c r="G15" s="217" t="s">
        <v>243</v>
      </c>
      <c r="H15" s="218">
        <v>11.4</v>
      </c>
      <c r="I15" s="218">
        <v>3.25</v>
      </c>
      <c r="J15" s="218" t="s">
        <v>137</v>
      </c>
      <c r="L15" s="225"/>
      <c r="M15" s="225"/>
      <c r="N15" s="225"/>
      <c r="O15" s="225"/>
      <c r="P15" s="225"/>
      <c r="Q15" s="225"/>
      <c r="R15" s="225"/>
      <c r="S15" s="225"/>
      <c r="T15" s="225"/>
      <c r="U15" s="225"/>
    </row>
    <row r="16" spans="1:21" s="219" customFormat="1" x14ac:dyDescent="0.2">
      <c r="A16" s="218">
        <f t="shared" si="2"/>
        <v>10</v>
      </c>
      <c r="B16" s="226">
        <f>+MATCH(D16,ARTICULOS!$F$10:$F$699,0)</f>
        <v>3</v>
      </c>
      <c r="C16" s="227" t="str">
        <f>+VLOOKUP(B16,ARTICULOS!$D$10:$I$699,6)</f>
        <v>3TVR</v>
      </c>
      <c r="D16" s="228" t="s">
        <v>245</v>
      </c>
      <c r="E16" s="215" t="str">
        <f t="shared" si="4"/>
        <v>3TVR1</v>
      </c>
      <c r="F16" s="216">
        <v>1</v>
      </c>
      <c r="G16" s="217" t="s">
        <v>0</v>
      </c>
      <c r="H16" s="218">
        <v>9.93</v>
      </c>
      <c r="I16" s="218">
        <v>3.4</v>
      </c>
      <c r="J16" s="218" t="s">
        <v>137</v>
      </c>
      <c r="L16" s="225"/>
      <c r="M16" s="225"/>
      <c r="N16" s="225"/>
      <c r="O16" s="225"/>
      <c r="P16" s="225"/>
      <c r="Q16" s="225"/>
      <c r="R16" s="225"/>
      <c r="S16" s="225"/>
      <c r="T16" s="225"/>
      <c r="U16" s="225"/>
    </row>
    <row r="17" spans="1:21" s="219" customFormat="1" x14ac:dyDescent="0.2">
      <c r="A17" s="218">
        <f t="shared" si="2"/>
        <v>11</v>
      </c>
      <c r="B17" s="226">
        <f>+MATCH(D17,ARTICULOS!$F$10:$F$699,0)</f>
        <v>3</v>
      </c>
      <c r="C17" s="227" t="str">
        <f>+VLOOKUP(B17,ARTICULOS!$D$10:$I$699,6)</f>
        <v>3TVR</v>
      </c>
      <c r="D17" s="228" t="s">
        <v>245</v>
      </c>
      <c r="E17" s="215" t="str">
        <f t="shared" si="4"/>
        <v>3TVR2</v>
      </c>
      <c r="F17" s="216">
        <v>2</v>
      </c>
      <c r="G17" s="217" t="s">
        <v>146</v>
      </c>
      <c r="H17" s="218">
        <v>11.29</v>
      </c>
      <c r="I17" s="218">
        <v>3.4</v>
      </c>
      <c r="J17" s="218" t="s">
        <v>137</v>
      </c>
      <c r="L17" s="225"/>
      <c r="M17" s="225"/>
      <c r="N17" s="225"/>
      <c r="O17" s="225"/>
      <c r="P17" s="225"/>
      <c r="Q17" s="225"/>
      <c r="R17" s="225"/>
      <c r="S17" s="225"/>
      <c r="T17" s="225"/>
      <c r="U17" s="225"/>
    </row>
    <row r="18" spans="1:21" s="219" customFormat="1" x14ac:dyDescent="0.2">
      <c r="A18" s="218">
        <f t="shared" si="2"/>
        <v>12</v>
      </c>
      <c r="B18" s="226">
        <f>+MATCH(D18,ARTICULOS!$F$10:$F$699,0)</f>
        <v>3</v>
      </c>
      <c r="C18" s="227" t="str">
        <f>+VLOOKUP(B18,ARTICULOS!$D$10:$I$699,6)</f>
        <v>3TVR</v>
      </c>
      <c r="D18" s="228" t="s">
        <v>245</v>
      </c>
      <c r="E18" s="215" t="str">
        <f t="shared" si="4"/>
        <v>3TVR3</v>
      </c>
      <c r="F18" s="216">
        <v>3</v>
      </c>
      <c r="G18" s="217" t="s">
        <v>242</v>
      </c>
      <c r="H18" s="218">
        <v>11.44</v>
      </c>
      <c r="I18" s="218">
        <v>3.4</v>
      </c>
      <c r="J18" s="218" t="s">
        <v>137</v>
      </c>
      <c r="L18" s="225"/>
      <c r="M18" s="225"/>
      <c r="N18" s="225"/>
      <c r="O18" s="225"/>
      <c r="P18" s="225"/>
      <c r="Q18" s="225"/>
      <c r="R18" s="225"/>
      <c r="S18" s="225"/>
      <c r="T18" s="225"/>
      <c r="U18" s="225"/>
    </row>
    <row r="19" spans="1:21" s="219" customFormat="1" x14ac:dyDescent="0.2">
      <c r="A19" s="218">
        <f t="shared" si="2"/>
        <v>13</v>
      </c>
      <c r="B19" s="226">
        <f>+MATCH(D19,ARTICULOS!$F$10:$F$699,0)</f>
        <v>3</v>
      </c>
      <c r="C19" s="227" t="str">
        <f>+VLOOKUP(B19,ARTICULOS!$D$10:$I$699,6)</f>
        <v>3TVR</v>
      </c>
      <c r="D19" s="228" t="s">
        <v>245</v>
      </c>
      <c r="E19" s="215" t="str">
        <f t="shared" si="4"/>
        <v>3TVR4</v>
      </c>
      <c r="F19" s="216">
        <v>4</v>
      </c>
      <c r="G19" s="217" t="s">
        <v>243</v>
      </c>
      <c r="H19" s="218">
        <v>12.67</v>
      </c>
      <c r="I19" s="218">
        <v>3.4</v>
      </c>
      <c r="J19" s="218" t="s">
        <v>137</v>
      </c>
      <c r="L19" s="225"/>
      <c r="M19" s="225"/>
      <c r="N19" s="225"/>
      <c r="O19" s="225"/>
      <c r="P19" s="225"/>
      <c r="Q19" s="225"/>
      <c r="R19" s="225"/>
      <c r="S19" s="225"/>
      <c r="T19" s="225"/>
      <c r="U19" s="225"/>
    </row>
    <row r="20" spans="1:21" s="219" customFormat="1" x14ac:dyDescent="0.2">
      <c r="A20" s="218">
        <f t="shared" si="2"/>
        <v>14</v>
      </c>
      <c r="B20" s="226">
        <f>+MATCH(D20,ARTICULOS!$F$10:$F$699,0)</f>
        <v>4</v>
      </c>
      <c r="C20" s="227" t="str">
        <f>+VLOOKUP(B20,ARTICULOS!$D$10:$I$699,6)</f>
        <v>4TVR</v>
      </c>
      <c r="D20" s="214" t="s">
        <v>10</v>
      </c>
      <c r="E20" s="215" t="str">
        <f t="shared" si="4"/>
        <v>4TVR1</v>
      </c>
      <c r="F20" s="216">
        <v>1</v>
      </c>
      <c r="G20" s="217" t="s">
        <v>0</v>
      </c>
      <c r="H20" s="218">
        <v>10.17</v>
      </c>
      <c r="I20" s="218">
        <v>3.2</v>
      </c>
      <c r="J20" s="218" t="s">
        <v>241</v>
      </c>
      <c r="L20" s="225"/>
      <c r="M20" s="225"/>
      <c r="N20" s="225"/>
      <c r="O20" s="225"/>
      <c r="P20" s="225"/>
      <c r="Q20" s="225"/>
      <c r="R20" s="225"/>
      <c r="S20" s="225"/>
      <c r="T20" s="225"/>
      <c r="U20" s="225"/>
    </row>
    <row r="21" spans="1:21" s="219" customFormat="1" x14ac:dyDescent="0.2">
      <c r="A21" s="218">
        <f t="shared" si="2"/>
        <v>15</v>
      </c>
      <c r="B21" s="226">
        <f>+MATCH(D21,ARTICULOS!$F$10:$F$699,0)</f>
        <v>4</v>
      </c>
      <c r="C21" s="227" t="str">
        <f>+VLOOKUP(B21,ARTICULOS!$D$10:$I$699,6)</f>
        <v>4TVR</v>
      </c>
      <c r="D21" s="214" t="s">
        <v>10</v>
      </c>
      <c r="E21" s="215" t="str">
        <f t="shared" si="4"/>
        <v>4TVR4</v>
      </c>
      <c r="F21" s="216">
        <v>4</v>
      </c>
      <c r="G21" s="217" t="s">
        <v>272</v>
      </c>
      <c r="H21" s="218">
        <v>12.01</v>
      </c>
      <c r="I21" s="218">
        <v>3.2</v>
      </c>
      <c r="J21" s="218" t="s">
        <v>241</v>
      </c>
      <c r="L21" s="225"/>
      <c r="M21" s="225"/>
      <c r="N21" s="225"/>
      <c r="O21" s="225"/>
      <c r="P21" s="225"/>
      <c r="Q21" s="225"/>
      <c r="R21" s="225"/>
      <c r="S21" s="225"/>
      <c r="T21" s="225"/>
      <c r="U21" s="225"/>
    </row>
    <row r="22" spans="1:21" s="219" customFormat="1" x14ac:dyDescent="0.2">
      <c r="A22" s="218">
        <f t="shared" si="2"/>
        <v>16</v>
      </c>
      <c r="B22" s="226">
        <f>+MATCH(D22,ARTICULOS!$F$10:$F$699,0)</f>
        <v>4</v>
      </c>
      <c r="C22" s="227" t="str">
        <f>+VLOOKUP(B22,ARTICULOS!$D$10:$I$699,6)</f>
        <v>4TVR</v>
      </c>
      <c r="D22" s="214" t="s">
        <v>10</v>
      </c>
      <c r="E22" s="215" t="str">
        <f t="shared" si="4"/>
        <v>4TVR0</v>
      </c>
      <c r="F22" s="216">
        <v>0</v>
      </c>
      <c r="G22" s="217" t="s">
        <v>242</v>
      </c>
      <c r="H22" s="218">
        <v>12.33</v>
      </c>
      <c r="I22" s="218">
        <v>3.2</v>
      </c>
      <c r="J22" s="218" t="s">
        <v>241</v>
      </c>
      <c r="L22" s="225"/>
      <c r="M22" s="225"/>
      <c r="N22" s="225"/>
      <c r="O22" s="225"/>
      <c r="P22" s="225"/>
      <c r="Q22" s="225"/>
      <c r="R22" s="225"/>
      <c r="S22" s="225"/>
      <c r="T22" s="225"/>
      <c r="U22" s="225"/>
    </row>
    <row r="23" spans="1:21" s="219" customFormat="1" x14ac:dyDescent="0.2">
      <c r="A23" s="218">
        <f t="shared" si="2"/>
        <v>17</v>
      </c>
      <c r="B23" s="226">
        <f>+MATCH(D23,ARTICULOS!$F$10:$F$699,0)</f>
        <v>4</v>
      </c>
      <c r="C23" s="227" t="str">
        <f>+VLOOKUP(B23,ARTICULOS!$D$10:$I$699,6)</f>
        <v>4TVR</v>
      </c>
      <c r="D23" s="214" t="s">
        <v>10</v>
      </c>
      <c r="E23" s="215" t="str">
        <f t="shared" si="4"/>
        <v>4TVR0</v>
      </c>
      <c r="F23" s="216">
        <v>0</v>
      </c>
      <c r="G23" s="217" t="s">
        <v>243</v>
      </c>
      <c r="H23" s="218">
        <v>14</v>
      </c>
      <c r="I23" s="218">
        <v>3.2</v>
      </c>
      <c r="J23" s="218" t="s">
        <v>241</v>
      </c>
      <c r="L23" s="225"/>
      <c r="M23" s="225"/>
      <c r="N23" s="225"/>
      <c r="O23" s="225"/>
      <c r="P23" s="225"/>
      <c r="Q23" s="225"/>
      <c r="R23" s="225"/>
      <c r="S23" s="225"/>
      <c r="T23" s="225"/>
      <c r="U23" s="225"/>
    </row>
    <row r="24" spans="1:21" s="219" customFormat="1" x14ac:dyDescent="0.2">
      <c r="A24" s="218">
        <f t="shared" si="2"/>
        <v>18</v>
      </c>
      <c r="B24" s="226">
        <f>+MATCH(D24,ARTICULOS!$F$10:$F$699,0)</f>
        <v>4</v>
      </c>
      <c r="C24" s="227" t="str">
        <f>+VLOOKUP(B24,ARTICULOS!$D$10:$I$699,6)</f>
        <v>4TVR</v>
      </c>
      <c r="D24" s="214" t="s">
        <v>10</v>
      </c>
      <c r="E24" s="215" t="str">
        <f t="shared" si="4"/>
        <v>4TVR0</v>
      </c>
      <c r="F24" s="216">
        <v>0</v>
      </c>
      <c r="G24" s="217" t="s">
        <v>244</v>
      </c>
      <c r="H24" s="218">
        <v>15.15</v>
      </c>
      <c r="I24" s="218">
        <v>3.2</v>
      </c>
      <c r="J24" s="218" t="s">
        <v>241</v>
      </c>
      <c r="L24" s="225"/>
      <c r="M24" s="225"/>
      <c r="N24" s="225"/>
      <c r="O24" s="225"/>
      <c r="P24" s="225"/>
      <c r="Q24" s="225"/>
      <c r="R24" s="225"/>
      <c r="S24" s="225"/>
      <c r="T24" s="225"/>
      <c r="U24" s="225"/>
    </row>
    <row r="25" spans="1:21" s="219" customFormat="1" x14ac:dyDescent="0.2">
      <c r="A25" s="218">
        <f t="shared" si="2"/>
        <v>19</v>
      </c>
      <c r="B25" s="226">
        <f>+MATCH(D25,ARTICULOS!$F$10:$F$699,0)</f>
        <v>5</v>
      </c>
      <c r="C25" s="227" t="str">
        <f>+VLOOKUP(B25,ARTICULOS!$D$10:$I$699,6)</f>
        <v>5TVR</v>
      </c>
      <c r="D25" s="228" t="s">
        <v>229</v>
      </c>
      <c r="E25" s="215" t="str">
        <f t="shared" si="4"/>
        <v>5TVR99</v>
      </c>
      <c r="F25" s="216">
        <v>99</v>
      </c>
      <c r="G25" s="217" t="s">
        <v>242</v>
      </c>
      <c r="H25" s="218">
        <v>12.46</v>
      </c>
      <c r="I25" s="218">
        <v>3.2</v>
      </c>
      <c r="J25" s="218" t="s">
        <v>241</v>
      </c>
      <c r="L25" s="225"/>
      <c r="M25" s="225"/>
      <c r="N25" s="225"/>
      <c r="O25" s="225"/>
      <c r="P25" s="225"/>
      <c r="Q25" s="225"/>
      <c r="R25" s="225"/>
      <c r="S25" s="225"/>
      <c r="T25" s="225"/>
      <c r="U25" s="225"/>
    </row>
    <row r="26" spans="1:21" s="219" customFormat="1" x14ac:dyDescent="0.2">
      <c r="A26" s="218">
        <f t="shared" si="2"/>
        <v>20</v>
      </c>
      <c r="B26" s="226">
        <f>+MATCH(D26,ARTICULOS!$F$10:$F$699,0)</f>
        <v>6</v>
      </c>
      <c r="C26" s="227" t="str">
        <f>+VLOOKUP(B26,ARTICULOS!$D$10:$I$699,6)</f>
        <v>6TVR</v>
      </c>
      <c r="D26" s="228" t="s">
        <v>183</v>
      </c>
      <c r="E26" s="215" t="str">
        <f t="shared" si="4"/>
        <v>6TVR1</v>
      </c>
      <c r="F26" s="216">
        <v>1</v>
      </c>
      <c r="G26" s="217" t="s">
        <v>0</v>
      </c>
      <c r="H26" s="218">
        <v>9.1300000000000008</v>
      </c>
      <c r="I26" s="218">
        <v>3.2</v>
      </c>
      <c r="J26" s="218" t="s">
        <v>137</v>
      </c>
      <c r="L26" s="225"/>
      <c r="M26" s="225"/>
      <c r="N26" s="225"/>
      <c r="O26" s="225"/>
      <c r="P26" s="225"/>
      <c r="Q26" s="225"/>
      <c r="R26" s="225"/>
      <c r="S26" s="225"/>
      <c r="T26" s="225"/>
      <c r="U26" s="225"/>
    </row>
    <row r="27" spans="1:21" s="219" customFormat="1" x14ac:dyDescent="0.2">
      <c r="A27" s="218">
        <f t="shared" si="2"/>
        <v>21</v>
      </c>
      <c r="B27" s="226">
        <f>+MATCH(D27,ARTICULOS!$F$10:$F$699,0)</f>
        <v>6</v>
      </c>
      <c r="C27" s="227" t="str">
        <f>+VLOOKUP(B27,ARTICULOS!$D$10:$I$699,6)</f>
        <v>6TVR</v>
      </c>
      <c r="D27" s="228" t="s">
        <v>183</v>
      </c>
      <c r="E27" s="215" t="str">
        <f t="shared" si="4"/>
        <v>6TVR2</v>
      </c>
      <c r="F27" s="216">
        <v>2</v>
      </c>
      <c r="G27" s="217" t="s">
        <v>146</v>
      </c>
      <c r="H27" s="218">
        <v>10.99</v>
      </c>
      <c r="I27" s="218">
        <v>3.2</v>
      </c>
      <c r="J27" s="218" t="s">
        <v>137</v>
      </c>
      <c r="L27" s="225"/>
      <c r="M27" s="225"/>
      <c r="N27" s="225"/>
      <c r="O27" s="225"/>
      <c r="P27" s="225"/>
      <c r="Q27" s="225"/>
      <c r="R27" s="225"/>
      <c r="S27" s="225"/>
      <c r="T27" s="225"/>
      <c r="U27" s="225"/>
    </row>
    <row r="28" spans="1:21" s="219" customFormat="1" x14ac:dyDescent="0.2">
      <c r="A28" s="218">
        <f t="shared" si="2"/>
        <v>22</v>
      </c>
      <c r="B28" s="226">
        <f>+MATCH(D28,ARTICULOS!$F$10:$F$699,0)</f>
        <v>6</v>
      </c>
      <c r="C28" s="227" t="str">
        <f>+VLOOKUP(B28,ARTICULOS!$D$10:$I$699,6)</f>
        <v>6TVR</v>
      </c>
      <c r="D28" s="228" t="s">
        <v>183</v>
      </c>
      <c r="E28" s="215" t="str">
        <f t="shared" si="4"/>
        <v>6TVR3</v>
      </c>
      <c r="F28" s="216">
        <v>3</v>
      </c>
      <c r="G28" s="217" t="s">
        <v>242</v>
      </c>
      <c r="H28" s="218">
        <v>11.64</v>
      </c>
      <c r="I28" s="218">
        <v>3.2</v>
      </c>
      <c r="J28" s="218" t="s">
        <v>137</v>
      </c>
      <c r="L28" s="225"/>
      <c r="M28" s="225"/>
      <c r="N28" s="225"/>
      <c r="O28" s="225"/>
      <c r="P28" s="225"/>
      <c r="Q28" s="225"/>
      <c r="R28" s="225"/>
      <c r="S28" s="225"/>
      <c r="T28" s="225"/>
      <c r="U28" s="225"/>
    </row>
    <row r="29" spans="1:21" s="219" customFormat="1" x14ac:dyDescent="0.2">
      <c r="A29" s="218">
        <f t="shared" si="2"/>
        <v>23</v>
      </c>
      <c r="B29" s="226">
        <f>+MATCH(D29,ARTICULOS!$F$10:$F$699,0)</f>
        <v>6</v>
      </c>
      <c r="C29" s="227" t="str">
        <f>+VLOOKUP(B29,ARTICULOS!$D$10:$I$699,6)</f>
        <v>6TVR</v>
      </c>
      <c r="D29" s="228" t="s">
        <v>183</v>
      </c>
      <c r="E29" s="215" t="str">
        <f t="shared" si="4"/>
        <v>6TVR4</v>
      </c>
      <c r="F29" s="216">
        <v>4</v>
      </c>
      <c r="G29" s="217" t="s">
        <v>243</v>
      </c>
      <c r="H29" s="218">
        <v>12.21</v>
      </c>
      <c r="I29" s="218">
        <v>3.2</v>
      </c>
      <c r="J29" s="218" t="s">
        <v>137</v>
      </c>
      <c r="L29" s="225"/>
      <c r="M29" s="225"/>
      <c r="N29" s="225"/>
      <c r="O29" s="225"/>
      <c r="P29" s="225"/>
      <c r="Q29" s="225"/>
      <c r="R29" s="225"/>
      <c r="S29" s="225"/>
      <c r="T29" s="225"/>
      <c r="U29" s="225"/>
    </row>
    <row r="30" spans="1:21" x14ac:dyDescent="0.2">
      <c r="A30" s="84">
        <f t="shared" si="2"/>
        <v>24</v>
      </c>
      <c r="B30" s="85">
        <f>+MATCH(D30,ARTICULOS!$F$10:$F$699,0)</f>
        <v>17</v>
      </c>
      <c r="C30" s="86" t="str">
        <f>+VLOOKUP(B30,ARTICULOS!$D$10:$I$699,6)</f>
        <v>17GCU</v>
      </c>
      <c r="D30" s="214" t="s">
        <v>256</v>
      </c>
      <c r="E30" s="215" t="str">
        <f t="shared" si="4"/>
        <v>17GCU20</v>
      </c>
      <c r="F30" s="216">
        <v>20</v>
      </c>
      <c r="G30" s="217" t="s">
        <v>257</v>
      </c>
      <c r="H30" s="218">
        <v>12.26</v>
      </c>
      <c r="I30" s="218">
        <v>3.3</v>
      </c>
      <c r="J30" s="218" t="s">
        <v>258</v>
      </c>
    </row>
    <row r="31" spans="1:21" x14ac:dyDescent="0.2">
      <c r="A31" s="84">
        <f t="shared" si="2"/>
        <v>25</v>
      </c>
      <c r="B31" s="85">
        <f>+MATCH(D31,ARTICULOS!$F$10:$F$699,0)</f>
        <v>3</v>
      </c>
      <c r="C31" s="86" t="str">
        <f>+VLOOKUP(B31,ARTICULOS!$D$10:$I$699,6)</f>
        <v>3TVR</v>
      </c>
      <c r="D31" s="214" t="s">
        <v>245</v>
      </c>
      <c r="E31" s="215" t="str">
        <f t="shared" si="4"/>
        <v>3TVR0</v>
      </c>
      <c r="F31" s="216">
        <v>0</v>
      </c>
      <c r="G31" s="217" t="s">
        <v>259</v>
      </c>
      <c r="H31" s="218">
        <v>12.67</v>
      </c>
      <c r="I31" s="218">
        <v>3.2</v>
      </c>
      <c r="J31" s="218" t="s">
        <v>137</v>
      </c>
    </row>
    <row r="32" spans="1:21" x14ac:dyDescent="0.2">
      <c r="A32" s="84">
        <f t="shared" si="2"/>
        <v>26</v>
      </c>
      <c r="B32" s="85">
        <f>+MATCH(D32,ARTICULOS!$F$10:$F$699,0)</f>
        <v>19</v>
      </c>
      <c r="C32" s="86" t="str">
        <f>+VLOOKUP(B32,ARTICULOS!$D$10:$I$699,6)</f>
        <v>19GCU</v>
      </c>
      <c r="D32" s="276" t="s">
        <v>260</v>
      </c>
      <c r="E32" s="215" t="str">
        <f t="shared" si="4"/>
        <v>19GCU1</v>
      </c>
      <c r="F32" s="216">
        <v>1</v>
      </c>
      <c r="G32" s="217" t="s">
        <v>0</v>
      </c>
      <c r="H32" s="218">
        <v>6.65</v>
      </c>
      <c r="I32" s="218">
        <v>3.3</v>
      </c>
      <c r="J32" s="218" t="s">
        <v>241</v>
      </c>
    </row>
    <row r="33" spans="1:10" x14ac:dyDescent="0.2">
      <c r="A33" s="84">
        <f t="shared" si="2"/>
        <v>27</v>
      </c>
      <c r="B33" s="85">
        <f>+MATCH(D33,ARTICULOS!$F$10:$F$699,0)</f>
        <v>20</v>
      </c>
      <c r="C33" s="86" t="str">
        <f>+VLOOKUP(B33,ARTICULOS!$D$10:$I$699,6)</f>
        <v>20TVR</v>
      </c>
      <c r="D33" s="276" t="s">
        <v>261</v>
      </c>
      <c r="E33" s="215" t="str">
        <f t="shared" si="4"/>
        <v>20TVR1</v>
      </c>
      <c r="F33" s="216">
        <v>1</v>
      </c>
      <c r="G33" s="217" t="s">
        <v>0</v>
      </c>
      <c r="H33" s="218">
        <v>5.47</v>
      </c>
      <c r="I33" s="218">
        <v>3.2</v>
      </c>
      <c r="J33" s="218" t="s">
        <v>241</v>
      </c>
    </row>
    <row r="34" spans="1:10" x14ac:dyDescent="0.2">
      <c r="A34" s="84">
        <f t="shared" si="2"/>
        <v>28</v>
      </c>
      <c r="B34" s="85">
        <f>+MATCH(D34,ARTICULOS!$F$10:$F$699,0)</f>
        <v>19</v>
      </c>
      <c r="C34" s="86" t="str">
        <f>+VLOOKUP(B34,ARTICULOS!$D$10:$I$699,6)</f>
        <v>19GCU</v>
      </c>
      <c r="D34" s="276" t="s">
        <v>260</v>
      </c>
      <c r="E34" s="215" t="str">
        <f t="shared" si="4"/>
        <v>19GCU63</v>
      </c>
      <c r="F34" s="216">
        <v>63</v>
      </c>
      <c r="G34" s="217" t="s">
        <v>262</v>
      </c>
      <c r="H34" s="218">
        <v>8.7100000000000009</v>
      </c>
      <c r="I34" s="218">
        <v>3.3</v>
      </c>
      <c r="J34" s="218" t="s">
        <v>241</v>
      </c>
    </row>
    <row r="35" spans="1:10" x14ac:dyDescent="0.2">
      <c r="A35" s="84">
        <f t="shared" si="2"/>
        <v>29</v>
      </c>
      <c r="B35" s="85">
        <f>+MATCH(D35,ARTICULOS!$F$10:$F$699,0)</f>
        <v>21</v>
      </c>
      <c r="C35" s="86" t="str">
        <f>+VLOOKUP(B35,ARTICULOS!$D$10:$I$699,6)</f>
        <v>21TVR</v>
      </c>
      <c r="D35" s="214" t="s">
        <v>263</v>
      </c>
      <c r="E35" s="215" t="str">
        <f t="shared" si="4"/>
        <v>21TVR1</v>
      </c>
      <c r="F35" s="216">
        <v>1</v>
      </c>
      <c r="G35" s="217" t="s">
        <v>0</v>
      </c>
      <c r="H35" s="218">
        <v>12.03</v>
      </c>
      <c r="I35" s="218">
        <v>3.2</v>
      </c>
      <c r="J35" s="218" t="s">
        <v>264</v>
      </c>
    </row>
    <row r="36" spans="1:10" x14ac:dyDescent="0.2">
      <c r="A36" s="84">
        <f t="shared" si="2"/>
        <v>30</v>
      </c>
      <c r="B36" s="85">
        <f>+MATCH(D36,ARTICULOS!$F$10:$F$699,0)</f>
        <v>22</v>
      </c>
      <c r="C36" s="86" t="str">
        <f>+VLOOKUP(B36,ARTICULOS!$D$10:$I$699,6)</f>
        <v>22TVR</v>
      </c>
      <c r="D36" s="214" t="s">
        <v>265</v>
      </c>
      <c r="E36" s="215" t="str">
        <f t="shared" si="4"/>
        <v>22TVR1</v>
      </c>
      <c r="F36" s="216">
        <v>1</v>
      </c>
      <c r="G36" s="217" t="s">
        <v>0</v>
      </c>
      <c r="H36" s="218">
        <v>10.85</v>
      </c>
      <c r="I36" s="218">
        <v>3.2</v>
      </c>
      <c r="J36" s="218" t="s">
        <v>241</v>
      </c>
    </row>
    <row r="37" spans="1:10" x14ac:dyDescent="0.2">
      <c r="A37" s="84">
        <f t="shared" si="2"/>
        <v>31</v>
      </c>
      <c r="B37" s="85">
        <f>+MATCH(D37,ARTICULOS!$F$10:$F$699,0)</f>
        <v>8</v>
      </c>
      <c r="C37" s="86" t="str">
        <f>+VLOOKUP(B37,ARTICULOS!$D$10:$I$699,6)</f>
        <v>8TVR</v>
      </c>
      <c r="D37" s="214" t="s">
        <v>232</v>
      </c>
      <c r="E37" s="215" t="str">
        <f t="shared" si="4"/>
        <v>8TVR11</v>
      </c>
      <c r="F37" s="216">
        <v>11</v>
      </c>
      <c r="G37" s="217" t="s">
        <v>266</v>
      </c>
      <c r="H37" s="218">
        <v>7.43</v>
      </c>
      <c r="I37" s="218">
        <v>3.2</v>
      </c>
      <c r="J37" s="218" t="s">
        <v>137</v>
      </c>
    </row>
    <row r="38" spans="1:10" x14ac:dyDescent="0.2">
      <c r="A38" s="84">
        <f t="shared" si="2"/>
        <v>32</v>
      </c>
      <c r="B38" s="85">
        <f>+MATCH(D38,ARTICULOS!$F$10:$F$699,0)</f>
        <v>23</v>
      </c>
      <c r="C38" s="86" t="str">
        <f>+VLOOKUP(B38,ARTICULOS!$D$10:$I$699,6)</f>
        <v>23ANG</v>
      </c>
      <c r="D38" s="214" t="s">
        <v>268</v>
      </c>
      <c r="E38" s="215" t="str">
        <f t="shared" si="4"/>
        <v>23ANG1</v>
      </c>
      <c r="F38" s="216">
        <v>1</v>
      </c>
      <c r="G38" s="217" t="s">
        <v>0</v>
      </c>
      <c r="H38" s="218">
        <v>21.15</v>
      </c>
      <c r="I38" s="218">
        <v>3.2</v>
      </c>
      <c r="J38" s="218" t="s">
        <v>269</v>
      </c>
    </row>
    <row r="39" spans="1:10" x14ac:dyDescent="0.2">
      <c r="A39" s="84">
        <f t="shared" si="2"/>
        <v>33</v>
      </c>
      <c r="B39" s="85">
        <f>+MATCH(D39,ARTICULOS!$F$10:$F$699,0)</f>
        <v>10</v>
      </c>
      <c r="C39" s="86" t="str">
        <f>+VLOOKUP(B39,ARTICULOS!$D$10:$I$699,6)</f>
        <v>10TVR</v>
      </c>
      <c r="D39" s="214" t="s">
        <v>234</v>
      </c>
      <c r="E39" s="215" t="str">
        <f t="shared" si="4"/>
        <v>10TVR44</v>
      </c>
      <c r="F39" s="216">
        <v>44</v>
      </c>
      <c r="G39" s="217" t="s">
        <v>270</v>
      </c>
      <c r="H39" s="218">
        <v>18.54</v>
      </c>
      <c r="I39" s="218">
        <v>3.2</v>
      </c>
      <c r="J39" s="218" t="s">
        <v>271</v>
      </c>
    </row>
    <row r="40" spans="1:10" x14ac:dyDescent="0.2">
      <c r="A40" s="84">
        <f t="shared" si="2"/>
        <v>34</v>
      </c>
      <c r="B40" s="85">
        <f>+MATCH(D40,ARTICULOS!$F$10:$F$699,0)</f>
        <v>24</v>
      </c>
      <c r="C40" s="86" t="str">
        <f>+VLOOKUP(B40,ARTICULOS!$D$10:$I$699,6)</f>
        <v>24GRT</v>
      </c>
      <c r="D40" s="214" t="s">
        <v>143</v>
      </c>
      <c r="E40" s="215" t="str">
        <f t="shared" si="4"/>
        <v>24GRT1</v>
      </c>
      <c r="F40" s="216">
        <v>1</v>
      </c>
      <c r="G40" s="217" t="s">
        <v>0</v>
      </c>
      <c r="H40" s="218">
        <v>6.26</v>
      </c>
      <c r="I40" s="218">
        <v>2</v>
      </c>
      <c r="J40" s="218" t="s">
        <v>137</v>
      </c>
    </row>
    <row r="41" spans="1:10" x14ac:dyDescent="0.2">
      <c r="A41" s="84">
        <f t="shared" ref="A41:A104" si="5">ROW()-6</f>
        <v>35</v>
      </c>
      <c r="B41" s="85">
        <f>+MATCH(D41,ARTICULOS!$F$10:$F$699,0)</f>
        <v>10</v>
      </c>
      <c r="C41" s="86" t="str">
        <f>+VLOOKUP(B41,ARTICULOS!$D$10:$I$699,6)</f>
        <v>10TVR</v>
      </c>
      <c r="D41" s="214" t="s">
        <v>234</v>
      </c>
      <c r="E41" s="215" t="str">
        <f t="shared" si="4"/>
        <v>10TVR1</v>
      </c>
      <c r="F41" s="216">
        <v>1</v>
      </c>
      <c r="G41" s="217" t="s">
        <v>0</v>
      </c>
      <c r="H41" s="218">
        <v>16.13</v>
      </c>
      <c r="I41" s="218">
        <v>3.2</v>
      </c>
      <c r="J41" s="218" t="s">
        <v>271</v>
      </c>
    </row>
    <row r="42" spans="1:10" x14ac:dyDescent="0.2">
      <c r="A42" s="84">
        <f t="shared" si="5"/>
        <v>36</v>
      </c>
      <c r="B42" s="85">
        <f>+MATCH(D42,ARTICULOS!$F$10:$F$699,0)</f>
        <v>10</v>
      </c>
      <c r="C42" s="86" t="str">
        <f>+VLOOKUP(B42,ARTICULOS!$D$10:$I$699,6)</f>
        <v>10TVR</v>
      </c>
      <c r="D42" s="214" t="s">
        <v>234</v>
      </c>
      <c r="E42" s="215" t="str">
        <f t="shared" si="4"/>
        <v>10TVR0</v>
      </c>
      <c r="F42" s="216">
        <v>0</v>
      </c>
      <c r="G42" s="217" t="s">
        <v>272</v>
      </c>
      <c r="H42" s="218">
        <v>16.440000000000001</v>
      </c>
      <c r="I42" s="218">
        <v>3.2</v>
      </c>
      <c r="J42" s="218" t="s">
        <v>271</v>
      </c>
    </row>
    <row r="43" spans="1:10" x14ac:dyDescent="0.2">
      <c r="A43" s="84">
        <f t="shared" si="5"/>
        <v>37</v>
      </c>
      <c r="B43" s="85">
        <f>+MATCH(D43,ARTICULOS!$F$10:$F$699,0)</f>
        <v>25</v>
      </c>
      <c r="C43" s="86" t="str">
        <f>+VLOOKUP(B43,ARTICULOS!$D$10:$I$699,6)</f>
        <v>25TVR</v>
      </c>
      <c r="D43" s="214" t="s">
        <v>273</v>
      </c>
      <c r="E43" s="215" t="str">
        <f t="shared" si="4"/>
        <v>25TVR93</v>
      </c>
      <c r="F43" s="216">
        <v>93</v>
      </c>
      <c r="G43" s="217" t="s">
        <v>262</v>
      </c>
      <c r="H43" s="218">
        <v>11.37</v>
      </c>
      <c r="I43" s="218">
        <v>3.05</v>
      </c>
      <c r="J43" s="218" t="s">
        <v>137</v>
      </c>
    </row>
    <row r="44" spans="1:10" x14ac:dyDescent="0.2">
      <c r="A44" s="84">
        <f t="shared" si="5"/>
        <v>38</v>
      </c>
      <c r="B44" s="85">
        <f>+MATCH(D44,ARTICULOS!$F$10:$F$699,0)</f>
        <v>19</v>
      </c>
      <c r="C44" s="86" t="str">
        <f>+VLOOKUP(B44,ARTICULOS!$D$10:$I$699,6)</f>
        <v>19GCU</v>
      </c>
      <c r="D44" s="214" t="s">
        <v>260</v>
      </c>
      <c r="E44" s="215" t="str">
        <f t="shared" si="4"/>
        <v>19GCU64</v>
      </c>
      <c r="F44" s="216">
        <v>64</v>
      </c>
      <c r="G44" s="217" t="s">
        <v>262</v>
      </c>
      <c r="H44" s="218">
        <v>8.7100000000000009</v>
      </c>
      <c r="I44" s="218">
        <v>3.3</v>
      </c>
      <c r="J44" s="218" t="s">
        <v>241</v>
      </c>
    </row>
    <row r="45" spans="1:10" x14ac:dyDescent="0.2">
      <c r="A45" s="84">
        <f t="shared" si="5"/>
        <v>39</v>
      </c>
      <c r="B45" s="85">
        <f>+MATCH(D45,ARTICULOS!$F$10:$F$699,0)</f>
        <v>26</v>
      </c>
      <c r="C45" s="86" t="str">
        <f>+VLOOKUP(B45,ARTICULOS!$D$10:$I$699,6)</f>
        <v>26BTX</v>
      </c>
      <c r="D45" s="214" t="s">
        <v>275</v>
      </c>
      <c r="E45" s="215" t="str">
        <f t="shared" si="4"/>
        <v>26BTX15</v>
      </c>
      <c r="F45" s="216">
        <v>15</v>
      </c>
      <c r="G45" s="217" t="s">
        <v>276</v>
      </c>
      <c r="H45" s="218">
        <v>6.76</v>
      </c>
      <c r="I45" s="218">
        <v>2.8</v>
      </c>
      <c r="J45" s="218" t="s">
        <v>277</v>
      </c>
    </row>
    <row r="46" spans="1:10" x14ac:dyDescent="0.2">
      <c r="A46" s="84">
        <f t="shared" si="5"/>
        <v>40</v>
      </c>
      <c r="B46" s="85">
        <v>27</v>
      </c>
      <c r="C46" s="86" t="str">
        <f>+VLOOKUP(B46,ARTICULOS!$D$10:$I$699,6)</f>
        <v>27GCU</v>
      </c>
      <c r="D46" s="214" t="s">
        <v>279</v>
      </c>
      <c r="E46" s="215" t="str">
        <f t="shared" si="4"/>
        <v>27GCU1</v>
      </c>
      <c r="F46" s="216">
        <v>1</v>
      </c>
      <c r="G46" s="217" t="s">
        <v>0</v>
      </c>
      <c r="H46" s="218">
        <v>7.22</v>
      </c>
      <c r="I46" s="218">
        <v>3.3</v>
      </c>
      <c r="J46" s="218" t="s">
        <v>241</v>
      </c>
    </row>
    <row r="47" spans="1:10" x14ac:dyDescent="0.2">
      <c r="A47" s="84">
        <f t="shared" si="5"/>
        <v>41</v>
      </c>
      <c r="B47" s="85">
        <v>27</v>
      </c>
      <c r="C47" s="86" t="str">
        <f>+VLOOKUP(B47,ARTICULOS!$D$10:$I$699,6)</f>
        <v>27GCU</v>
      </c>
      <c r="D47" s="214" t="s">
        <v>279</v>
      </c>
      <c r="E47" s="215" t="str">
        <f t="shared" si="4"/>
        <v>27GCU2</v>
      </c>
      <c r="F47" s="216">
        <v>2</v>
      </c>
      <c r="G47" s="217" t="s">
        <v>280</v>
      </c>
      <c r="H47" s="218">
        <v>9.2899999999999991</v>
      </c>
      <c r="I47" s="218">
        <v>3.3</v>
      </c>
      <c r="J47" s="218" t="s">
        <v>241</v>
      </c>
    </row>
    <row r="48" spans="1:10" x14ac:dyDescent="0.2">
      <c r="A48" s="84">
        <f t="shared" si="5"/>
        <v>42</v>
      </c>
      <c r="B48" s="85">
        <f>+MATCH(D48,ARTICULOS!$F$10:$F$699,0)</f>
        <v>35</v>
      </c>
      <c r="C48" s="86" t="str">
        <f>+VLOOKUP(B48,ARTICULOS!$D$10:$I$699,6)</f>
        <v>35RMA</v>
      </c>
      <c r="D48" s="214" t="s">
        <v>282</v>
      </c>
      <c r="E48" s="215" t="str">
        <f t="shared" si="4"/>
        <v>35RMA2</v>
      </c>
      <c r="F48" s="216">
        <v>2</v>
      </c>
      <c r="G48" s="217" t="s">
        <v>270</v>
      </c>
      <c r="H48" s="218">
        <v>8.3000000000000007</v>
      </c>
      <c r="I48" s="218">
        <v>2.8</v>
      </c>
      <c r="J48" s="218" t="s">
        <v>137</v>
      </c>
    </row>
    <row r="49" spans="1:11" x14ac:dyDescent="0.2">
      <c r="A49" s="84">
        <f t="shared" si="5"/>
        <v>43</v>
      </c>
      <c r="B49" s="85">
        <f>+MATCH(D49,ARTICULOS!$F$10:$F$699,0)</f>
        <v>36</v>
      </c>
      <c r="C49" s="86" t="str">
        <f>+VLOOKUP(B49,ARTICULOS!$D$10:$I$699,6)</f>
        <v>36GCU</v>
      </c>
      <c r="D49" s="212" t="s">
        <v>283</v>
      </c>
      <c r="E49" s="75" t="str">
        <f t="shared" si="4"/>
        <v>36GCU11</v>
      </c>
      <c r="F49" s="80">
        <v>11</v>
      </c>
      <c r="G49" s="81" t="s">
        <v>259</v>
      </c>
      <c r="H49" s="78">
        <v>8.3000000000000007</v>
      </c>
      <c r="I49" s="78">
        <v>3.3</v>
      </c>
      <c r="J49" s="218" t="s">
        <v>137</v>
      </c>
    </row>
    <row r="50" spans="1:11" x14ac:dyDescent="0.2">
      <c r="A50" s="84">
        <f t="shared" si="5"/>
        <v>44</v>
      </c>
      <c r="B50" s="85">
        <f>+MATCH(D50,ARTICULOS!$F$10:$F$699,0)</f>
        <v>19</v>
      </c>
      <c r="C50" s="86" t="str">
        <f>+VLOOKUP(B50,ARTICULOS!$D$10:$I$699,6)</f>
        <v>19GCU</v>
      </c>
      <c r="D50" s="212" t="s">
        <v>260</v>
      </c>
      <c r="E50" s="75" t="str">
        <f t="shared" si="4"/>
        <v>19GCU53</v>
      </c>
      <c r="F50" s="80">
        <v>53</v>
      </c>
      <c r="G50" s="81"/>
      <c r="H50" s="78">
        <v>8.7100000000000009</v>
      </c>
      <c r="I50" s="78">
        <v>3.3</v>
      </c>
      <c r="J50" s="218" t="s">
        <v>241</v>
      </c>
    </row>
    <row r="51" spans="1:11" x14ac:dyDescent="0.2">
      <c r="A51" s="84">
        <f t="shared" si="5"/>
        <v>45</v>
      </c>
      <c r="B51" s="85">
        <f>+MATCH(D51,ARTICULOS!$F$10:$F$699,0)</f>
        <v>19</v>
      </c>
      <c r="C51" s="86" t="str">
        <f>+VLOOKUP(B51,ARTICULOS!$D$10:$I$699,6)</f>
        <v>19GCU</v>
      </c>
      <c r="D51" s="212" t="s">
        <v>260</v>
      </c>
      <c r="E51" s="75" t="str">
        <f t="shared" si="4"/>
        <v>19GCU59</v>
      </c>
      <c r="F51" s="80">
        <v>59</v>
      </c>
      <c r="G51" s="81"/>
      <c r="H51" s="78">
        <v>8.86</v>
      </c>
      <c r="I51" s="78">
        <v>3.3</v>
      </c>
      <c r="J51" s="218" t="s">
        <v>241</v>
      </c>
    </row>
    <row r="52" spans="1:11" x14ac:dyDescent="0.2">
      <c r="A52" s="84">
        <f t="shared" si="5"/>
        <v>46</v>
      </c>
      <c r="B52" s="85">
        <f>+MATCH(D52,ARTICULOS!$F$10:$F$699,0)</f>
        <v>28</v>
      </c>
      <c r="C52" s="86" t="str">
        <f>+VLOOKUP(B52,ARTICULOS!$D$10:$I$699,6)</f>
        <v>28YEB</v>
      </c>
      <c r="D52" s="212" t="s">
        <v>285</v>
      </c>
      <c r="E52" s="75" t="str">
        <f t="shared" si="4"/>
        <v>28YEB1</v>
      </c>
      <c r="F52" s="80">
        <v>1</v>
      </c>
      <c r="G52" s="81" t="s">
        <v>286</v>
      </c>
      <c r="H52" s="78">
        <v>12.7</v>
      </c>
      <c r="I52" s="78">
        <v>2.8</v>
      </c>
      <c r="J52" s="78" t="s">
        <v>287</v>
      </c>
    </row>
    <row r="53" spans="1:11" x14ac:dyDescent="0.2">
      <c r="A53" s="84">
        <f t="shared" si="5"/>
        <v>47</v>
      </c>
      <c r="B53" s="85">
        <f>+MATCH(D53,ARTICULOS!$F$10:$F$699,0)</f>
        <v>17</v>
      </c>
      <c r="C53" s="86" t="str">
        <f>+VLOOKUP(B53,ARTICULOS!$D$10:$I$699,6)</f>
        <v>17GCU</v>
      </c>
      <c r="D53" s="212" t="s">
        <v>256</v>
      </c>
      <c r="E53" s="75" t="str">
        <f t="shared" si="4"/>
        <v>17GCU4</v>
      </c>
      <c r="F53" s="80">
        <v>4</v>
      </c>
      <c r="G53" s="81" t="s">
        <v>325</v>
      </c>
      <c r="H53" s="78">
        <v>13.41</v>
      </c>
      <c r="I53" s="78">
        <v>3.3</v>
      </c>
      <c r="J53" s="218" t="s">
        <v>258</v>
      </c>
    </row>
    <row r="54" spans="1:11" x14ac:dyDescent="0.2">
      <c r="A54" s="84">
        <f t="shared" si="5"/>
        <v>48</v>
      </c>
      <c r="B54" s="85">
        <f>+MATCH(D54,ARTICULOS!$F$10:$F$699,0)</f>
        <v>29</v>
      </c>
      <c r="C54" s="86" t="str">
        <f>+VLOOKUP(B54,ARTICULOS!$D$10:$I$699,6)</f>
        <v>29TVR</v>
      </c>
      <c r="D54" s="212" t="s">
        <v>288</v>
      </c>
      <c r="E54" s="75" t="str">
        <f t="shared" si="4"/>
        <v>29TVR1</v>
      </c>
      <c r="F54" s="80">
        <v>1</v>
      </c>
      <c r="G54" s="81" t="s">
        <v>0</v>
      </c>
      <c r="H54" s="78">
        <v>4.3600000000000003</v>
      </c>
      <c r="I54" s="78">
        <v>2.8</v>
      </c>
      <c r="J54" s="218" t="s">
        <v>241</v>
      </c>
    </row>
    <row r="55" spans="1:11" x14ac:dyDescent="0.2">
      <c r="A55" s="84">
        <f t="shared" si="5"/>
        <v>49</v>
      </c>
      <c r="B55" s="85">
        <f>+MATCH(D55,ARTICULOS!$F$10:$F$699,0)</f>
        <v>30</v>
      </c>
      <c r="C55" s="86" t="str">
        <f>+VLOOKUP(B55,ARTICULOS!$D$10:$I$699,6)</f>
        <v>30BTX</v>
      </c>
      <c r="D55" s="212" t="s">
        <v>289</v>
      </c>
      <c r="E55" s="75" t="str">
        <f t="shared" si="4"/>
        <v>30BTX1</v>
      </c>
      <c r="F55" s="80">
        <v>1</v>
      </c>
      <c r="G55" s="81" t="s">
        <v>272</v>
      </c>
      <c r="H55" s="78">
        <v>6.76</v>
      </c>
      <c r="I55" s="78">
        <v>2.8</v>
      </c>
      <c r="J55" s="218" t="s">
        <v>241</v>
      </c>
    </row>
    <row r="56" spans="1:11" x14ac:dyDescent="0.2">
      <c r="A56" s="84">
        <f t="shared" si="5"/>
        <v>50</v>
      </c>
      <c r="B56" s="85">
        <f>+MATCH(D56,ARTICULOS!$F$10:$F$699,0)</f>
        <v>31</v>
      </c>
      <c r="C56" s="86" t="str">
        <f>+VLOOKUP(B56,ARTICULOS!$D$10:$I$699,6)</f>
        <v>31BTX</v>
      </c>
      <c r="D56" s="212" t="s">
        <v>290</v>
      </c>
      <c r="E56" s="75" t="str">
        <f t="shared" si="4"/>
        <v>31BTX6</v>
      </c>
      <c r="F56" s="80">
        <v>6</v>
      </c>
      <c r="G56" s="81" t="s">
        <v>272</v>
      </c>
      <c r="H56" s="78">
        <v>6.76</v>
      </c>
      <c r="I56" s="78">
        <v>2.8</v>
      </c>
      <c r="J56" s="218" t="s">
        <v>241</v>
      </c>
    </row>
    <row r="57" spans="1:11" x14ac:dyDescent="0.2">
      <c r="A57" s="84">
        <f t="shared" si="5"/>
        <v>51</v>
      </c>
      <c r="B57" s="85">
        <f>+MATCH(D57,ARTICULOS!$F$10:$F$699,0)</f>
        <v>36</v>
      </c>
      <c r="C57" s="86" t="str">
        <f>+VLOOKUP(B57,ARTICULOS!$D$10:$I$699,6)</f>
        <v>36GCU</v>
      </c>
      <c r="D57" s="212" t="s">
        <v>283</v>
      </c>
      <c r="E57" s="75" t="str">
        <f t="shared" si="4"/>
        <v>36GCU1</v>
      </c>
      <c r="F57" s="80">
        <v>1</v>
      </c>
      <c r="G57" s="81" t="s">
        <v>0</v>
      </c>
      <c r="H57" s="78">
        <v>5.96</v>
      </c>
      <c r="I57" s="78">
        <v>3.3</v>
      </c>
      <c r="J57" s="78" t="s">
        <v>137</v>
      </c>
    </row>
    <row r="58" spans="1:11" x14ac:dyDescent="0.2">
      <c r="A58" s="84">
        <f t="shared" si="5"/>
        <v>52</v>
      </c>
      <c r="B58" s="85">
        <f>+MATCH(D58,ARTICULOS!$F$10:$F$699,0)</f>
        <v>19</v>
      </c>
      <c r="C58" s="86" t="str">
        <f>+VLOOKUP(B58,ARTICULOS!$D$10:$I$699,6)</f>
        <v>19GCU</v>
      </c>
      <c r="D58" s="214" t="s">
        <v>260</v>
      </c>
      <c r="E58" s="75" t="str">
        <f t="shared" si="4"/>
        <v>19GCU69</v>
      </c>
      <c r="F58" s="80">
        <v>69</v>
      </c>
      <c r="G58" s="81" t="s">
        <v>291</v>
      </c>
      <c r="H58" s="78">
        <v>8.7100000000000009</v>
      </c>
      <c r="I58" s="78">
        <v>3.3</v>
      </c>
      <c r="J58" s="218" t="s">
        <v>241</v>
      </c>
    </row>
    <row r="59" spans="1:11" x14ac:dyDescent="0.2">
      <c r="A59" s="84">
        <f t="shared" si="5"/>
        <v>53</v>
      </c>
      <c r="B59" s="85">
        <f>+MATCH(D59,ARTICULOS!$F$10:$F$699,0)</f>
        <v>9</v>
      </c>
      <c r="C59" s="86" t="str">
        <f>+VLOOKUP(B59,ARTICULOS!$D$10:$I$699,6)</f>
        <v>9TVR</v>
      </c>
      <c r="D59" s="212" t="s">
        <v>225</v>
      </c>
      <c r="E59" s="75" t="str">
        <f t="shared" si="4"/>
        <v>9TVR1</v>
      </c>
      <c r="F59" s="80">
        <v>1</v>
      </c>
      <c r="G59" s="81" t="s">
        <v>286</v>
      </c>
      <c r="H59" s="78">
        <v>11.64</v>
      </c>
      <c r="I59" s="78">
        <v>3.5</v>
      </c>
      <c r="J59" s="218" t="s">
        <v>137</v>
      </c>
    </row>
    <row r="60" spans="1:11" x14ac:dyDescent="0.2">
      <c r="A60" s="84">
        <f t="shared" si="5"/>
        <v>54</v>
      </c>
      <c r="B60" s="281">
        <f>+MATCH(D60,ARTICULOS!$F$10:$F$699,0)</f>
        <v>43</v>
      </c>
      <c r="C60" s="282" t="str">
        <f>+VLOOKUP(B60,ARTICULOS!$D$10:$I$699,6)</f>
        <v>43COM</v>
      </c>
      <c r="D60" s="278" t="s">
        <v>293</v>
      </c>
      <c r="E60" s="75" t="str">
        <f t="shared" si="4"/>
        <v>43COM1</v>
      </c>
      <c r="F60" s="279">
        <v>1</v>
      </c>
      <c r="G60" s="280" t="s">
        <v>286</v>
      </c>
      <c r="H60" s="84">
        <v>12.56</v>
      </c>
      <c r="I60" s="84">
        <v>2.8</v>
      </c>
      <c r="J60" s="84" t="s">
        <v>137</v>
      </c>
    </row>
    <row r="61" spans="1:11" x14ac:dyDescent="0.2">
      <c r="A61" s="84">
        <f t="shared" si="5"/>
        <v>55</v>
      </c>
      <c r="B61" s="85">
        <f>+MATCH(D61,ARTICULOS!$F$10:$F$699,0)</f>
        <v>19</v>
      </c>
      <c r="C61" s="86" t="str">
        <f>+VLOOKUP(B61,ARTICULOS!$D$10:$I$699,6)</f>
        <v>19GCU</v>
      </c>
      <c r="D61" s="212" t="s">
        <v>260</v>
      </c>
      <c r="E61" s="75" t="str">
        <f t="shared" si="4"/>
        <v>19GCU58</v>
      </c>
      <c r="F61" s="80">
        <v>58</v>
      </c>
      <c r="G61" s="81" t="s">
        <v>294</v>
      </c>
      <c r="H61" s="78">
        <v>9.16</v>
      </c>
      <c r="I61" s="78">
        <v>3.3</v>
      </c>
      <c r="J61" s="218" t="s">
        <v>241</v>
      </c>
    </row>
    <row r="62" spans="1:11" x14ac:dyDescent="0.2">
      <c r="A62" s="84">
        <f t="shared" si="5"/>
        <v>56</v>
      </c>
      <c r="B62" s="281">
        <f>+MATCH(D62,ARTICULOS!$F$10:$F$699,0)</f>
        <v>17</v>
      </c>
      <c r="C62" s="282" t="str">
        <f>+VLOOKUP(B62,ARTICULOS!$D$10:$I$699,6)</f>
        <v>17GCU</v>
      </c>
      <c r="D62" s="278" t="s">
        <v>256</v>
      </c>
      <c r="E62" s="75" t="str">
        <f t="shared" si="4"/>
        <v>17GCU1</v>
      </c>
      <c r="F62" s="279">
        <v>1</v>
      </c>
      <c r="G62" s="280" t="s">
        <v>0</v>
      </c>
      <c r="H62" s="84">
        <v>12.26</v>
      </c>
      <c r="I62" s="84">
        <v>3.3</v>
      </c>
      <c r="J62" s="84"/>
    </row>
    <row r="63" spans="1:11" x14ac:dyDescent="0.2">
      <c r="A63" s="84">
        <f t="shared" si="5"/>
        <v>57</v>
      </c>
      <c r="B63" s="85">
        <v>44</v>
      </c>
      <c r="C63" s="86" t="str">
        <f>+VLOOKUP(B63,ARTICULOS!$D$10:$I$699,6)</f>
        <v>44GRT</v>
      </c>
      <c r="D63" s="212" t="s">
        <v>296</v>
      </c>
      <c r="E63" s="75" t="str">
        <f t="shared" si="4"/>
        <v>44GRT1</v>
      </c>
      <c r="F63" s="80">
        <v>1</v>
      </c>
      <c r="G63" s="81" t="s">
        <v>0</v>
      </c>
      <c r="H63" s="78">
        <v>10.82</v>
      </c>
      <c r="I63" s="78">
        <v>3.4</v>
      </c>
      <c r="J63" s="218" t="s">
        <v>241</v>
      </c>
      <c r="K63">
        <v>2024</v>
      </c>
    </row>
    <row r="64" spans="1:11" x14ac:dyDescent="0.2">
      <c r="A64" s="84">
        <f t="shared" si="5"/>
        <v>58</v>
      </c>
      <c r="B64" s="85">
        <v>44</v>
      </c>
      <c r="C64" s="86" t="str">
        <f>+VLOOKUP(B64,ARTICULOS!$D$10:$I$699,6)</f>
        <v>44GRT</v>
      </c>
      <c r="D64" s="212" t="s">
        <v>296</v>
      </c>
      <c r="E64" s="75" t="str">
        <f t="shared" si="4"/>
        <v>44GRT2</v>
      </c>
      <c r="F64" s="80">
        <v>2</v>
      </c>
      <c r="G64" s="81" t="s">
        <v>297</v>
      </c>
      <c r="H64" s="78">
        <v>11</v>
      </c>
      <c r="I64" s="78">
        <v>3.4</v>
      </c>
      <c r="J64" s="218" t="s">
        <v>241</v>
      </c>
      <c r="K64">
        <v>2024</v>
      </c>
    </row>
    <row r="65" spans="1:11" x14ac:dyDescent="0.2">
      <c r="A65" s="84">
        <f t="shared" si="5"/>
        <v>59</v>
      </c>
      <c r="B65" s="85">
        <v>44</v>
      </c>
      <c r="C65" s="86" t="str">
        <f>+VLOOKUP(B65,ARTICULOS!$D$10:$I$699,6)</f>
        <v>44GRT</v>
      </c>
      <c r="D65" s="212" t="s">
        <v>296</v>
      </c>
      <c r="E65" s="75" t="str">
        <f t="shared" si="4"/>
        <v>44GRT3</v>
      </c>
      <c r="F65" s="80">
        <v>3</v>
      </c>
      <c r="G65" s="81" t="s">
        <v>298</v>
      </c>
      <c r="H65" s="78">
        <v>11.32</v>
      </c>
      <c r="I65" s="78">
        <v>3.4</v>
      </c>
      <c r="J65" s="218" t="s">
        <v>241</v>
      </c>
      <c r="K65">
        <v>2024</v>
      </c>
    </row>
    <row r="66" spans="1:11" x14ac:dyDescent="0.2">
      <c r="A66" s="84">
        <f t="shared" si="5"/>
        <v>60</v>
      </c>
      <c r="B66" s="85">
        <v>44</v>
      </c>
      <c r="C66" s="86" t="str">
        <f>+VLOOKUP(B66,ARTICULOS!$D$10:$I$699,6)</f>
        <v>44GRT</v>
      </c>
      <c r="D66" s="212" t="s">
        <v>296</v>
      </c>
      <c r="E66" s="75" t="str">
        <f t="shared" si="4"/>
        <v>44GRT4</v>
      </c>
      <c r="F66" s="80">
        <v>4</v>
      </c>
      <c r="G66" s="81" t="s">
        <v>299</v>
      </c>
      <c r="H66" s="78">
        <v>11.32</v>
      </c>
      <c r="I66" s="78">
        <v>3.4</v>
      </c>
      <c r="J66" s="218" t="s">
        <v>241</v>
      </c>
      <c r="K66">
        <v>2024</v>
      </c>
    </row>
    <row r="67" spans="1:11" x14ac:dyDescent="0.2">
      <c r="A67" s="84">
        <f t="shared" si="5"/>
        <v>61</v>
      </c>
      <c r="B67" s="85">
        <v>44</v>
      </c>
      <c r="C67" s="86" t="str">
        <f>+VLOOKUP(B67,ARTICULOS!$D$10:$I$699,6)</f>
        <v>44GRT</v>
      </c>
      <c r="D67" s="212" t="s">
        <v>296</v>
      </c>
      <c r="E67" s="75" t="str">
        <f t="shared" si="4"/>
        <v>44GRT5</v>
      </c>
      <c r="F67" s="80">
        <v>5</v>
      </c>
      <c r="G67" s="81" t="s">
        <v>300</v>
      </c>
      <c r="H67" s="78">
        <v>11.65</v>
      </c>
      <c r="I67" s="78">
        <v>3.4</v>
      </c>
      <c r="J67" s="218" t="s">
        <v>241</v>
      </c>
      <c r="K67">
        <v>2024</v>
      </c>
    </row>
    <row r="68" spans="1:11" x14ac:dyDescent="0.2">
      <c r="A68" s="84">
        <f t="shared" si="5"/>
        <v>62</v>
      </c>
      <c r="B68" s="85">
        <v>44</v>
      </c>
      <c r="C68" s="86" t="str">
        <f>+VLOOKUP(B68,ARTICULOS!$D$10:$I$699,6)</f>
        <v>44GRT</v>
      </c>
      <c r="D68" s="212" t="s">
        <v>296</v>
      </c>
      <c r="E68" s="75" t="str">
        <f t="shared" si="4"/>
        <v>44GRT6</v>
      </c>
      <c r="F68" s="80">
        <v>6</v>
      </c>
      <c r="G68" s="81" t="s">
        <v>301</v>
      </c>
      <c r="H68" s="78">
        <v>11.65</v>
      </c>
      <c r="I68" s="78">
        <v>3.4</v>
      </c>
      <c r="J68" s="84" t="s">
        <v>241</v>
      </c>
      <c r="K68">
        <v>2024</v>
      </c>
    </row>
    <row r="69" spans="1:11" x14ac:dyDescent="0.2">
      <c r="A69" s="84">
        <f t="shared" si="5"/>
        <v>63</v>
      </c>
      <c r="B69" s="85">
        <v>12</v>
      </c>
      <c r="C69" s="86" t="str">
        <f>+VLOOKUP(B69,ARTICULOS!$D$10:$I$699,6)</f>
        <v>12GRT</v>
      </c>
      <c r="D69" s="278" t="s">
        <v>236</v>
      </c>
      <c r="E69" s="75" t="str">
        <f t="shared" si="4"/>
        <v>12GRT6</v>
      </c>
      <c r="F69" s="279">
        <v>6</v>
      </c>
      <c r="G69" s="280" t="s">
        <v>301</v>
      </c>
      <c r="H69" s="84">
        <v>17.350000000000001</v>
      </c>
      <c r="I69" s="84">
        <v>3.4</v>
      </c>
      <c r="J69" s="84" t="s">
        <v>303</v>
      </c>
      <c r="K69" s="277">
        <v>2024</v>
      </c>
    </row>
    <row r="70" spans="1:11" x14ac:dyDescent="0.2">
      <c r="A70" s="84">
        <f t="shared" si="5"/>
        <v>64</v>
      </c>
      <c r="B70" s="85">
        <v>12</v>
      </c>
      <c r="C70" s="86" t="str">
        <f>+VLOOKUP(B70,ARTICULOS!$D$10:$I$699,6)</f>
        <v>12GRT</v>
      </c>
      <c r="D70" s="278" t="s">
        <v>236</v>
      </c>
      <c r="E70" s="75" t="str">
        <f t="shared" si="4"/>
        <v>12GRT5</v>
      </c>
      <c r="F70" s="279">
        <v>5</v>
      </c>
      <c r="G70" s="280" t="s">
        <v>300</v>
      </c>
      <c r="H70" s="84">
        <v>17.350000000000001</v>
      </c>
      <c r="I70" s="84">
        <v>3.4</v>
      </c>
      <c r="J70" s="84" t="s">
        <v>303</v>
      </c>
      <c r="K70" s="277">
        <v>2024</v>
      </c>
    </row>
    <row r="71" spans="1:11" x14ac:dyDescent="0.2">
      <c r="A71" s="84">
        <f t="shared" si="5"/>
        <v>65</v>
      </c>
      <c r="B71" s="85">
        <v>12</v>
      </c>
      <c r="C71" s="86" t="str">
        <f>+VLOOKUP(B71,ARTICULOS!$D$10:$I$699,6)</f>
        <v>12GRT</v>
      </c>
      <c r="D71" s="278" t="s">
        <v>236</v>
      </c>
      <c r="E71" s="75" t="str">
        <f t="shared" si="4"/>
        <v>12GRT4</v>
      </c>
      <c r="F71" s="279">
        <v>4</v>
      </c>
      <c r="G71" s="280" t="s">
        <v>298</v>
      </c>
      <c r="H71" s="84">
        <v>17.350000000000001</v>
      </c>
      <c r="I71" s="84">
        <v>3.4</v>
      </c>
      <c r="J71" s="84" t="s">
        <v>303</v>
      </c>
      <c r="K71" s="277">
        <v>2024</v>
      </c>
    </row>
    <row r="72" spans="1:11" x14ac:dyDescent="0.2">
      <c r="A72" s="84">
        <f t="shared" si="5"/>
        <v>66</v>
      </c>
      <c r="B72" s="85">
        <v>12</v>
      </c>
      <c r="C72" s="86" t="str">
        <f>+VLOOKUP(B72,ARTICULOS!$D$10:$I$699,6)</f>
        <v>12GRT</v>
      </c>
      <c r="D72" s="278" t="s">
        <v>236</v>
      </c>
      <c r="E72" s="75" t="str">
        <f t="shared" si="4"/>
        <v>12GRT3</v>
      </c>
      <c r="F72" s="279">
        <v>3</v>
      </c>
      <c r="G72" s="280" t="s">
        <v>297</v>
      </c>
      <c r="H72" s="84">
        <v>17.350000000000001</v>
      </c>
      <c r="I72" s="84">
        <v>3.4</v>
      </c>
      <c r="J72" s="84" t="s">
        <v>303</v>
      </c>
      <c r="K72" s="277">
        <v>2024</v>
      </c>
    </row>
    <row r="73" spans="1:11" x14ac:dyDescent="0.2">
      <c r="A73" s="84">
        <f t="shared" si="5"/>
        <v>67</v>
      </c>
      <c r="B73" s="85">
        <v>12</v>
      </c>
      <c r="C73" s="86" t="str">
        <f>+VLOOKUP(B73,ARTICULOS!$D$10:$I$699,6)</f>
        <v>12GRT</v>
      </c>
      <c r="D73" s="278" t="s">
        <v>236</v>
      </c>
      <c r="E73" s="75" t="str">
        <f t="shared" si="4"/>
        <v>12GRT2</v>
      </c>
      <c r="F73" s="279">
        <v>2</v>
      </c>
      <c r="G73" s="280" t="s">
        <v>304</v>
      </c>
      <c r="H73" s="84">
        <v>16.53</v>
      </c>
      <c r="I73" s="84">
        <v>3.4</v>
      </c>
      <c r="J73" s="84" t="s">
        <v>303</v>
      </c>
      <c r="K73" s="277">
        <v>2024</v>
      </c>
    </row>
    <row r="74" spans="1:11" x14ac:dyDescent="0.2">
      <c r="A74" s="84">
        <f t="shared" si="5"/>
        <v>68</v>
      </c>
      <c r="B74" s="85">
        <v>12</v>
      </c>
      <c r="C74" s="86" t="str">
        <f>+VLOOKUP(B74,ARTICULOS!$D$10:$I$699,6)</f>
        <v>12GRT</v>
      </c>
      <c r="D74" s="278" t="s">
        <v>236</v>
      </c>
      <c r="E74" s="75" t="str">
        <f t="shared" si="4"/>
        <v>12GRT1</v>
      </c>
      <c r="F74" s="279">
        <v>1</v>
      </c>
      <c r="G74" s="280" t="s">
        <v>0</v>
      </c>
      <c r="H74" s="84">
        <v>16.53</v>
      </c>
      <c r="I74" s="84">
        <v>3.4</v>
      </c>
      <c r="J74" s="84" t="s">
        <v>303</v>
      </c>
      <c r="K74" s="277">
        <v>2024</v>
      </c>
    </row>
    <row r="75" spans="1:11" x14ac:dyDescent="0.2">
      <c r="A75" s="84">
        <f t="shared" si="5"/>
        <v>69</v>
      </c>
      <c r="B75" s="85">
        <v>13</v>
      </c>
      <c r="C75" s="86" t="str">
        <f>+VLOOKUP(B75,ARTICULOS!$D$10:$I$699,6)</f>
        <v>13GRT</v>
      </c>
      <c r="D75" s="212" t="s">
        <v>237</v>
      </c>
      <c r="E75" s="75" t="str">
        <f t="shared" ref="E75:E138" si="6">+C75&amp;F75</f>
        <v>13GRT1</v>
      </c>
      <c r="F75" s="80">
        <v>1</v>
      </c>
      <c r="G75" s="81" t="s">
        <v>0</v>
      </c>
      <c r="H75" s="78">
        <v>10.050000000000001</v>
      </c>
      <c r="I75" s="78">
        <v>3.4</v>
      </c>
      <c r="J75" s="84" t="s">
        <v>305</v>
      </c>
      <c r="K75" s="277">
        <v>2024</v>
      </c>
    </row>
    <row r="76" spans="1:11" x14ac:dyDescent="0.2">
      <c r="A76" s="84">
        <f t="shared" si="5"/>
        <v>70</v>
      </c>
      <c r="B76" s="85">
        <v>13</v>
      </c>
      <c r="C76" s="86" t="str">
        <f>+VLOOKUP(B76,ARTICULOS!$D$10:$I$699,6)</f>
        <v>13GRT</v>
      </c>
      <c r="D76" s="212" t="s">
        <v>237</v>
      </c>
      <c r="E76" s="75" t="str">
        <f t="shared" si="6"/>
        <v>13GRT2</v>
      </c>
      <c r="F76" s="80">
        <v>2</v>
      </c>
      <c r="G76" s="81" t="s">
        <v>297</v>
      </c>
      <c r="H76" s="78">
        <v>10.32</v>
      </c>
      <c r="I76" s="78">
        <v>3.4</v>
      </c>
      <c r="J76" s="84" t="s">
        <v>305</v>
      </c>
      <c r="K76" s="277">
        <v>2024</v>
      </c>
    </row>
    <row r="77" spans="1:11" x14ac:dyDescent="0.2">
      <c r="A77" s="84">
        <f t="shared" si="5"/>
        <v>71</v>
      </c>
      <c r="B77" s="85">
        <v>13</v>
      </c>
      <c r="C77" s="86" t="str">
        <f>+VLOOKUP(B77,ARTICULOS!$D$10:$I$699,6)</f>
        <v>13GRT</v>
      </c>
      <c r="D77" s="212" t="s">
        <v>237</v>
      </c>
      <c r="E77" s="75" t="str">
        <f t="shared" si="6"/>
        <v>13GRT3</v>
      </c>
      <c r="F77" s="80">
        <v>3</v>
      </c>
      <c r="G77" s="81" t="s">
        <v>306</v>
      </c>
      <c r="H77" s="78">
        <v>11.17</v>
      </c>
      <c r="I77" s="78">
        <v>3.4</v>
      </c>
      <c r="J77" s="84" t="s">
        <v>305</v>
      </c>
      <c r="K77" s="277">
        <v>2024</v>
      </c>
    </row>
    <row r="78" spans="1:11" x14ac:dyDescent="0.2">
      <c r="A78" s="84">
        <f t="shared" si="5"/>
        <v>72</v>
      </c>
      <c r="B78" s="85">
        <v>13</v>
      </c>
      <c r="C78" s="86" t="str">
        <f>+VLOOKUP(B78,ARTICULOS!$D$10:$I$699,6)</f>
        <v>13GRT</v>
      </c>
      <c r="D78" s="212" t="s">
        <v>237</v>
      </c>
      <c r="E78" s="75" t="str">
        <f t="shared" si="6"/>
        <v>13GRT4</v>
      </c>
      <c r="F78" s="80">
        <v>4</v>
      </c>
      <c r="G78" s="81" t="s">
        <v>307</v>
      </c>
      <c r="H78" s="78">
        <v>11.17</v>
      </c>
      <c r="I78" s="78">
        <v>3.4</v>
      </c>
      <c r="J78" s="84" t="s">
        <v>305</v>
      </c>
      <c r="K78" s="277">
        <v>2024</v>
      </c>
    </row>
    <row r="79" spans="1:11" x14ac:dyDescent="0.2">
      <c r="A79" s="84">
        <f t="shared" si="5"/>
        <v>73</v>
      </c>
      <c r="B79" s="85">
        <v>13</v>
      </c>
      <c r="C79" s="86" t="str">
        <f>+VLOOKUP(B79,ARTICULOS!$D$10:$I$699,6)</f>
        <v>13GRT</v>
      </c>
      <c r="D79" s="212" t="s">
        <v>237</v>
      </c>
      <c r="E79" s="75" t="str">
        <f t="shared" si="6"/>
        <v>13GRT5</v>
      </c>
      <c r="F79" s="80">
        <v>5</v>
      </c>
      <c r="G79" s="81" t="s">
        <v>308</v>
      </c>
      <c r="H79" s="78">
        <v>11.17</v>
      </c>
      <c r="I79" s="78">
        <v>3.4</v>
      </c>
      <c r="J79" s="84" t="s">
        <v>305</v>
      </c>
      <c r="K79" s="277">
        <v>2024</v>
      </c>
    </row>
    <row r="80" spans="1:11" x14ac:dyDescent="0.2">
      <c r="A80" s="84">
        <f t="shared" si="5"/>
        <v>74</v>
      </c>
      <c r="B80" s="85">
        <f>+MATCH(D80,ARTICULOS!$F$10:$F$699,0)</f>
        <v>19</v>
      </c>
      <c r="C80" s="86" t="str">
        <f>+VLOOKUP(B80,ARTICULOS!$D$10:$I$699,6)</f>
        <v>19GCU</v>
      </c>
      <c r="D80" s="212" t="s">
        <v>260</v>
      </c>
      <c r="E80" s="75" t="str">
        <f t="shared" si="6"/>
        <v>19GCU70</v>
      </c>
      <c r="F80" s="80">
        <v>70</v>
      </c>
      <c r="G80" s="81" t="s">
        <v>309</v>
      </c>
      <c r="H80" s="78">
        <v>9.6999999999999993</v>
      </c>
      <c r="I80" s="78">
        <v>3.3</v>
      </c>
      <c r="J80" s="84" t="s">
        <v>241</v>
      </c>
    </row>
    <row r="81" spans="1:10" x14ac:dyDescent="0.2">
      <c r="A81" s="84">
        <f t="shared" si="5"/>
        <v>75</v>
      </c>
      <c r="B81" s="85">
        <f>+MATCH(D81,ARTICULOS!$F$10:$F$699,0)</f>
        <v>36</v>
      </c>
      <c r="C81" s="86" t="str">
        <f>+VLOOKUP(B81,ARTICULOS!$D$10:$I$699,6)</f>
        <v>36GCU</v>
      </c>
      <c r="D81" s="212" t="s">
        <v>283</v>
      </c>
      <c r="E81" s="75" t="str">
        <f t="shared" si="6"/>
        <v>36GCU19</v>
      </c>
      <c r="F81" s="80">
        <v>19</v>
      </c>
      <c r="G81" s="81" t="s">
        <v>309</v>
      </c>
      <c r="H81" s="78">
        <v>8.3000000000000007</v>
      </c>
      <c r="I81" s="78">
        <v>3.3</v>
      </c>
      <c r="J81" s="78" t="s">
        <v>137</v>
      </c>
    </row>
    <row r="82" spans="1:10" x14ac:dyDescent="0.2">
      <c r="A82" s="84">
        <f t="shared" si="5"/>
        <v>76</v>
      </c>
      <c r="B82" s="85">
        <f>+MATCH(D82,ARTICULOS!$F$10:$F$699,0)</f>
        <v>32</v>
      </c>
      <c r="C82" s="86" t="str">
        <f>+VLOOKUP(B82,ARTICULOS!$D$10:$I$699,6)</f>
        <v>32GCU</v>
      </c>
      <c r="D82" s="212" t="s">
        <v>310</v>
      </c>
      <c r="E82" s="75" t="str">
        <f t="shared" si="6"/>
        <v>32GCU1</v>
      </c>
      <c r="F82" s="80">
        <v>1</v>
      </c>
      <c r="G82" s="81" t="s">
        <v>0</v>
      </c>
      <c r="H82" s="78">
        <v>5.99</v>
      </c>
      <c r="I82" s="78">
        <v>1.6</v>
      </c>
      <c r="J82" s="78" t="s">
        <v>137</v>
      </c>
    </row>
    <row r="83" spans="1:10" x14ac:dyDescent="0.2">
      <c r="A83" s="84">
        <f t="shared" si="5"/>
        <v>77</v>
      </c>
      <c r="B83" s="85">
        <f>+MATCH(D83,ARTICULOS!$F$10:$F$699,0)</f>
        <v>32</v>
      </c>
      <c r="C83" s="86" t="str">
        <f>+VLOOKUP(B83,ARTICULOS!$D$10:$I$699,6)</f>
        <v>32GCU</v>
      </c>
      <c r="D83" s="212" t="s">
        <v>310</v>
      </c>
      <c r="E83" s="75" t="str">
        <f t="shared" si="6"/>
        <v>32GCU7</v>
      </c>
      <c r="F83" s="80">
        <v>7</v>
      </c>
      <c r="G83" s="81" t="s">
        <v>311</v>
      </c>
      <c r="H83" s="78">
        <v>5.99</v>
      </c>
      <c r="I83" s="78">
        <v>1.6</v>
      </c>
      <c r="J83" s="78" t="s">
        <v>137</v>
      </c>
    </row>
    <row r="84" spans="1:10" x14ac:dyDescent="0.2">
      <c r="A84" s="84">
        <f t="shared" si="5"/>
        <v>78</v>
      </c>
      <c r="B84" s="85">
        <f>+MATCH(D84,ARTICULOS!$F$10:$F$699,0)</f>
        <v>33</v>
      </c>
      <c r="C84" s="86" t="str">
        <f>+VLOOKUP(B84,ARTICULOS!$D$10:$I$699,6)</f>
        <v>33TVR</v>
      </c>
      <c r="D84" s="212" t="s">
        <v>312</v>
      </c>
      <c r="E84" s="75" t="str">
        <f t="shared" si="6"/>
        <v>33TVR1</v>
      </c>
      <c r="F84" s="80">
        <v>1</v>
      </c>
      <c r="G84" s="81" t="s">
        <v>0</v>
      </c>
      <c r="H84" s="78">
        <v>10.89</v>
      </c>
      <c r="I84" s="78">
        <v>3.25</v>
      </c>
      <c r="J84" s="78" t="s">
        <v>137</v>
      </c>
    </row>
    <row r="85" spans="1:10" x14ac:dyDescent="0.2">
      <c r="A85" s="84">
        <f t="shared" si="5"/>
        <v>79</v>
      </c>
      <c r="B85" s="85">
        <f>+MATCH(D85,ARTICULOS!$F$10:$F$699,0)</f>
        <v>37</v>
      </c>
      <c r="C85" s="86" t="str">
        <f>+VLOOKUP(B85,ARTICULOS!$D$10:$I$699,6)</f>
        <v>37BTX</v>
      </c>
      <c r="D85" s="212" t="s">
        <v>313</v>
      </c>
      <c r="E85" s="75" t="str">
        <f t="shared" si="6"/>
        <v>37BTX1</v>
      </c>
      <c r="F85" s="80">
        <v>1</v>
      </c>
      <c r="G85" s="81" t="s">
        <v>314</v>
      </c>
      <c r="H85" s="78">
        <v>8.4499999999999993</v>
      </c>
      <c r="I85" s="78">
        <v>2.8</v>
      </c>
      <c r="J85" s="78" t="s">
        <v>315</v>
      </c>
    </row>
    <row r="86" spans="1:10" x14ac:dyDescent="0.2">
      <c r="A86" s="84">
        <f t="shared" si="5"/>
        <v>80</v>
      </c>
      <c r="B86" s="85">
        <f>+MATCH(D86,ARTICULOS!$F$10:$F$699,0)</f>
        <v>31</v>
      </c>
      <c r="C86" s="86" t="str">
        <f>+VLOOKUP(B86,ARTICULOS!$D$10:$I$699,6)</f>
        <v>31BTX</v>
      </c>
      <c r="D86" s="212" t="s">
        <v>290</v>
      </c>
      <c r="E86" s="75" t="str">
        <f t="shared" si="6"/>
        <v>31BTX1</v>
      </c>
      <c r="F86" s="80">
        <v>1</v>
      </c>
      <c r="G86" s="81" t="s">
        <v>316</v>
      </c>
      <c r="H86" s="78">
        <v>8.6999999999999993</v>
      </c>
      <c r="I86" s="78">
        <v>2.8</v>
      </c>
      <c r="J86" s="78" t="s">
        <v>315</v>
      </c>
    </row>
    <row r="87" spans="1:10" x14ac:dyDescent="0.2">
      <c r="A87" s="84">
        <f t="shared" si="5"/>
        <v>81</v>
      </c>
      <c r="B87" s="85">
        <f>+MATCH(D87,ARTICULOS!$F$10:$F$699,0)</f>
        <v>38</v>
      </c>
      <c r="C87" s="86" t="str">
        <f>+VLOOKUP(B87,ARTICULOS!$D$10:$I$699,6)</f>
        <v>38TVR</v>
      </c>
      <c r="D87" s="114" t="s">
        <v>318</v>
      </c>
      <c r="E87" s="75" t="str">
        <f t="shared" si="6"/>
        <v>38TVR4P</v>
      </c>
      <c r="F87" s="80" t="s">
        <v>320</v>
      </c>
      <c r="G87" s="81" t="s">
        <v>322</v>
      </c>
      <c r="H87" s="78">
        <v>6.34</v>
      </c>
      <c r="I87" s="78">
        <v>3.2</v>
      </c>
      <c r="J87" s="218" t="s">
        <v>241</v>
      </c>
    </row>
    <row r="88" spans="1:10" x14ac:dyDescent="0.2">
      <c r="A88" s="84">
        <f t="shared" si="5"/>
        <v>82</v>
      </c>
      <c r="B88" s="85">
        <f>+MATCH(D88,ARTICULOS!$F$10:$F$699,0)</f>
        <v>39</v>
      </c>
      <c r="C88" s="86" t="str">
        <f>+VLOOKUP(B88,ARTICULOS!$D$10:$I$699,6)</f>
        <v>39TVR</v>
      </c>
      <c r="D88" s="114" t="s">
        <v>317</v>
      </c>
      <c r="E88" s="75" t="str">
        <f t="shared" si="6"/>
        <v>39TVR11P</v>
      </c>
      <c r="F88" s="80" t="s">
        <v>321</v>
      </c>
      <c r="G88" s="81" t="s">
        <v>322</v>
      </c>
      <c r="H88" s="78">
        <v>5.63</v>
      </c>
      <c r="I88" s="78">
        <v>3.2</v>
      </c>
      <c r="J88" s="78" t="s">
        <v>137</v>
      </c>
    </row>
    <row r="89" spans="1:10" x14ac:dyDescent="0.2">
      <c r="A89" s="84">
        <f t="shared" si="5"/>
        <v>83</v>
      </c>
      <c r="B89" s="85">
        <f>+MATCH(D89,ARTICULOS!$F$10:$F$699,0)</f>
        <v>40</v>
      </c>
      <c r="C89" s="86" t="str">
        <f>+VLOOKUP(B89,ARTICULOS!$D$10:$I$699,6)</f>
        <v>40TVR</v>
      </c>
      <c r="D89" s="65" t="s">
        <v>319</v>
      </c>
      <c r="E89" s="75" t="str">
        <f t="shared" si="6"/>
        <v>40TVR4</v>
      </c>
      <c r="F89" s="80">
        <v>4</v>
      </c>
      <c r="G89" s="81" t="s">
        <v>322</v>
      </c>
      <c r="H89" s="78">
        <v>5.9</v>
      </c>
      <c r="I89" s="78">
        <v>3.2</v>
      </c>
      <c r="J89" s="218" t="s">
        <v>323</v>
      </c>
    </row>
    <row r="90" spans="1:10" x14ac:dyDescent="0.2">
      <c r="A90" s="84">
        <f t="shared" si="5"/>
        <v>84</v>
      </c>
      <c r="B90" s="85">
        <f>+MATCH(D90,ARTICULOS!$F$10:$F$699,0)</f>
        <v>41</v>
      </c>
      <c r="C90" s="86" t="str">
        <f>+VLOOKUP(B90,ARTICULOS!$D$10:$I$699,6)</f>
        <v>41YEB</v>
      </c>
      <c r="D90" s="212" t="s">
        <v>324</v>
      </c>
      <c r="E90" s="75" t="str">
        <f t="shared" si="6"/>
        <v>41YEB100</v>
      </c>
      <c r="F90" s="80">
        <v>100</v>
      </c>
      <c r="G90" s="81" t="s">
        <v>259</v>
      </c>
      <c r="H90" s="78">
        <v>7.98</v>
      </c>
      <c r="I90" s="78">
        <v>2.8</v>
      </c>
      <c r="J90" s="218" t="s">
        <v>241</v>
      </c>
    </row>
    <row r="91" spans="1:10" x14ac:dyDescent="0.2">
      <c r="A91" s="84">
        <f t="shared" si="5"/>
        <v>85</v>
      </c>
      <c r="B91" s="85">
        <f>+MATCH(D91,ARTICULOS!$F$10:$F$699,0)</f>
        <v>17</v>
      </c>
      <c r="C91" s="86" t="str">
        <f>+VLOOKUP(B91,ARTICULOS!$D$10:$I$699,6)</f>
        <v>17GCU</v>
      </c>
      <c r="D91" s="212" t="s">
        <v>256</v>
      </c>
      <c r="E91" s="75" t="str">
        <f t="shared" si="6"/>
        <v>17GCU7</v>
      </c>
      <c r="F91" s="80">
        <v>7</v>
      </c>
      <c r="G91" s="81" t="s">
        <v>316</v>
      </c>
      <c r="H91" s="78">
        <v>14.27</v>
      </c>
      <c r="I91" s="78">
        <v>3.3</v>
      </c>
      <c r="J91" s="78"/>
    </row>
    <row r="92" spans="1:10" x14ac:dyDescent="0.2">
      <c r="A92" s="84">
        <f t="shared" si="5"/>
        <v>86</v>
      </c>
      <c r="B92" s="85">
        <f>+MATCH(D92,ARTICULOS!$F$10:$F$699,0)</f>
        <v>17</v>
      </c>
      <c r="C92" s="86" t="str">
        <f>+VLOOKUP(B92,ARTICULOS!$D$10:$I$699,6)</f>
        <v>17GCU</v>
      </c>
      <c r="D92" s="212" t="s">
        <v>256</v>
      </c>
      <c r="E92" s="75" t="str">
        <f t="shared" si="6"/>
        <v>17GCU13</v>
      </c>
      <c r="F92" s="80">
        <v>13</v>
      </c>
      <c r="G92" s="81" t="s">
        <v>326</v>
      </c>
      <c r="H92" s="78">
        <v>13.41</v>
      </c>
      <c r="I92" s="78">
        <v>3.3</v>
      </c>
      <c r="J92" s="78"/>
    </row>
    <row r="93" spans="1:10" x14ac:dyDescent="0.2">
      <c r="A93" s="84">
        <f t="shared" si="5"/>
        <v>87</v>
      </c>
      <c r="B93" s="85">
        <f>+MATCH(D93,ARTICULOS!$F$10:$F$699,0)</f>
        <v>17</v>
      </c>
      <c r="C93" s="86" t="str">
        <f>+VLOOKUP(B93,ARTICULOS!$D$10:$I$699,6)</f>
        <v>17GCU</v>
      </c>
      <c r="D93" s="212" t="s">
        <v>256</v>
      </c>
      <c r="E93" s="75" t="str">
        <f t="shared" si="6"/>
        <v>17GCU17</v>
      </c>
      <c r="F93" s="80">
        <v>17</v>
      </c>
      <c r="G93" s="81" t="s">
        <v>270</v>
      </c>
      <c r="H93" s="78">
        <v>14.27</v>
      </c>
      <c r="I93" s="78">
        <v>3.3</v>
      </c>
      <c r="J93" s="78"/>
    </row>
    <row r="94" spans="1:10" x14ac:dyDescent="0.2">
      <c r="A94" s="84">
        <f t="shared" si="5"/>
        <v>88</v>
      </c>
      <c r="B94" s="85">
        <f>+MATCH(D94,ARTICULOS!$F$10:$F$699,0)</f>
        <v>19</v>
      </c>
      <c r="C94" s="86" t="str">
        <f>+VLOOKUP(B94,ARTICULOS!$D$10:$I$699,6)</f>
        <v>19GCU</v>
      </c>
      <c r="D94" s="212" t="s">
        <v>260</v>
      </c>
      <c r="E94" s="75" t="str">
        <f t="shared" si="6"/>
        <v>19GCU65</v>
      </c>
      <c r="F94" s="80">
        <v>65</v>
      </c>
      <c r="G94" s="81" t="s">
        <v>262</v>
      </c>
      <c r="H94" s="78">
        <v>9.16</v>
      </c>
      <c r="I94" s="78">
        <v>3.3</v>
      </c>
      <c r="J94" s="218" t="s">
        <v>241</v>
      </c>
    </row>
    <row r="95" spans="1:10" x14ac:dyDescent="0.2">
      <c r="A95" s="84">
        <f t="shared" si="5"/>
        <v>89</v>
      </c>
      <c r="B95" s="85">
        <f>+MATCH(D95,ARTICULOS!$F$10:$F$699,0)</f>
        <v>17</v>
      </c>
      <c r="C95" s="86" t="str">
        <f>+VLOOKUP(B95,ARTICULOS!$D$10:$I$699,6)</f>
        <v>17GCU</v>
      </c>
      <c r="D95" s="212" t="s">
        <v>256</v>
      </c>
      <c r="E95" s="75" t="str">
        <f t="shared" si="6"/>
        <v>17GCU4</v>
      </c>
      <c r="F95" s="80">
        <v>4</v>
      </c>
      <c r="G95" s="81" t="s">
        <v>328</v>
      </c>
      <c r="H95" s="78">
        <v>13.41</v>
      </c>
      <c r="I95" s="78">
        <v>3.3</v>
      </c>
      <c r="J95" s="78"/>
    </row>
    <row r="96" spans="1:10" x14ac:dyDescent="0.2">
      <c r="A96" s="84">
        <f t="shared" si="5"/>
        <v>90</v>
      </c>
      <c r="B96" s="85">
        <f>+MATCH(D96,ARTICULOS!$F$10:$F$699,0)</f>
        <v>8</v>
      </c>
      <c r="C96" s="86" t="str">
        <f>+VLOOKUP(B96,ARTICULOS!$D$10:$I$699,6)</f>
        <v>8TVR</v>
      </c>
      <c r="D96" s="212" t="s">
        <v>232</v>
      </c>
      <c r="E96" s="75" t="str">
        <f t="shared" si="6"/>
        <v>8TVR74</v>
      </c>
      <c r="F96" s="80">
        <v>74</v>
      </c>
      <c r="G96" s="81" t="s">
        <v>329</v>
      </c>
      <c r="H96" s="78">
        <v>7.67</v>
      </c>
      <c r="I96" s="78">
        <v>3.2</v>
      </c>
      <c r="J96" s="78"/>
    </row>
    <row r="97" spans="1:10" x14ac:dyDescent="0.2">
      <c r="A97" s="84">
        <f t="shared" si="5"/>
        <v>91</v>
      </c>
      <c r="B97" s="85">
        <f>+MATCH(D97,ARTICULOS!$F$10:$F$699,0)</f>
        <v>17</v>
      </c>
      <c r="C97" s="86" t="str">
        <f>+VLOOKUP(B97,ARTICULOS!$D$10:$I$699,6)</f>
        <v>17GCU</v>
      </c>
      <c r="D97" s="212" t="s">
        <v>256</v>
      </c>
      <c r="E97" s="75" t="str">
        <f t="shared" si="6"/>
        <v>17GCU14</v>
      </c>
      <c r="F97" s="80">
        <v>14</v>
      </c>
      <c r="G97" s="81" t="s">
        <v>322</v>
      </c>
      <c r="H97" s="78">
        <v>13.41</v>
      </c>
      <c r="I97" s="78">
        <v>3.3</v>
      </c>
      <c r="J97" s="78"/>
    </row>
    <row r="98" spans="1:10" x14ac:dyDescent="0.2">
      <c r="A98" s="84">
        <f t="shared" si="5"/>
        <v>92</v>
      </c>
      <c r="B98" s="85">
        <f>+MATCH(D98,ARTICULOS!$F$10:$F$699,0)</f>
        <v>45</v>
      </c>
      <c r="C98" s="86" t="str">
        <f>+VLOOKUP(B98,ARTICULOS!$D$10:$I$699,6)</f>
        <v>45YEB</v>
      </c>
      <c r="D98" s="212" t="s">
        <v>330</v>
      </c>
      <c r="E98" s="75" t="str">
        <f t="shared" si="6"/>
        <v>45YEB13</v>
      </c>
      <c r="F98" s="80">
        <v>13</v>
      </c>
      <c r="G98" s="81" t="s">
        <v>259</v>
      </c>
      <c r="H98" s="78">
        <v>13.6</v>
      </c>
      <c r="I98" s="78">
        <v>2.8</v>
      </c>
      <c r="J98" s="78" t="s">
        <v>137</v>
      </c>
    </row>
    <row r="99" spans="1:10" x14ac:dyDescent="0.2">
      <c r="A99" s="84">
        <f t="shared" si="5"/>
        <v>93</v>
      </c>
      <c r="B99" s="85">
        <f>+MATCH(D99,ARTICULOS!$F$10:$F$699,0)</f>
        <v>46</v>
      </c>
      <c r="C99" s="86" t="str">
        <f>+VLOOKUP(B99,ARTICULOS!$D$10:$I$699,6)</f>
        <v>46RMA</v>
      </c>
      <c r="D99" s="212" t="s">
        <v>332</v>
      </c>
      <c r="E99" s="75" t="str">
        <f t="shared" si="6"/>
        <v>46RMA59</v>
      </c>
      <c r="F99" s="80">
        <v>59</v>
      </c>
      <c r="G99" s="81" t="s">
        <v>333</v>
      </c>
      <c r="H99" s="78">
        <v>8.7200000000000006</v>
      </c>
      <c r="I99" s="78">
        <v>2.8</v>
      </c>
      <c r="J99" s="78" t="s">
        <v>137</v>
      </c>
    </row>
    <row r="100" spans="1:10" x14ac:dyDescent="0.2">
      <c r="A100" s="84">
        <f t="shared" si="5"/>
        <v>94</v>
      </c>
      <c r="B100" s="85" t="e">
        <f>+MATCH(D100,ARTICULOS!$F$10:$F$699,0)</f>
        <v>#N/A</v>
      </c>
      <c r="C100" s="86" t="e">
        <f>+VLOOKUP(B100,ARTICULOS!$D$10:$I$699,6)</f>
        <v>#N/A</v>
      </c>
      <c r="D100" s="212" t="s">
        <v>334</v>
      </c>
      <c r="E100" s="75" t="e">
        <f t="shared" si="6"/>
        <v>#N/A</v>
      </c>
      <c r="F100" s="80">
        <v>59</v>
      </c>
      <c r="G100" s="81" t="s">
        <v>333</v>
      </c>
      <c r="H100" s="78">
        <v>13.07</v>
      </c>
      <c r="I100" s="78">
        <v>2.8</v>
      </c>
      <c r="J100" s="78" t="s">
        <v>137</v>
      </c>
    </row>
    <row r="101" spans="1:10" x14ac:dyDescent="0.2">
      <c r="A101" s="84">
        <f t="shared" si="5"/>
        <v>95</v>
      </c>
      <c r="B101" s="85">
        <f>+MATCH(D101,ARTICULOS!$F$10:$F$699,0)</f>
        <v>9</v>
      </c>
      <c r="C101" s="86" t="str">
        <f>+VLOOKUP(B101,ARTICULOS!$D$10:$I$699,6)</f>
        <v>9TVR</v>
      </c>
      <c r="D101" s="212" t="s">
        <v>225</v>
      </c>
      <c r="E101" s="75" t="str">
        <f t="shared" si="6"/>
        <v>9TVR11</v>
      </c>
      <c r="F101" s="80">
        <v>11</v>
      </c>
      <c r="G101" s="81" t="s">
        <v>336</v>
      </c>
      <c r="H101" s="78">
        <v>12.8</v>
      </c>
      <c r="I101" s="78">
        <v>3.4</v>
      </c>
      <c r="J101" s="78" t="s">
        <v>137</v>
      </c>
    </row>
    <row r="102" spans="1:10" x14ac:dyDescent="0.2">
      <c r="A102" s="84">
        <f t="shared" si="5"/>
        <v>96</v>
      </c>
      <c r="B102" s="85">
        <f>+MATCH(D102,ARTICULOS!$F$10:$F$699,0)</f>
        <v>9</v>
      </c>
      <c r="C102" s="86" t="str">
        <f>+VLOOKUP(B102,ARTICULOS!$D$10:$I$699,6)</f>
        <v>9TVR</v>
      </c>
      <c r="D102" s="212" t="s">
        <v>225</v>
      </c>
      <c r="E102" s="75" t="str">
        <f t="shared" si="6"/>
        <v>9TVR0</v>
      </c>
      <c r="F102" s="80">
        <v>0</v>
      </c>
      <c r="G102" s="81" t="s">
        <v>259</v>
      </c>
      <c r="H102" s="78">
        <v>12.8</v>
      </c>
      <c r="I102" s="78">
        <v>3.4</v>
      </c>
      <c r="J102" s="78" t="s">
        <v>137</v>
      </c>
    </row>
    <row r="103" spans="1:10" x14ac:dyDescent="0.2">
      <c r="A103" s="84">
        <f t="shared" si="5"/>
        <v>97</v>
      </c>
      <c r="B103" s="85">
        <f>+MATCH(D103,ARTICULOS!$F$10:$F$699,0)</f>
        <v>47</v>
      </c>
      <c r="C103" s="86" t="str">
        <f>+VLOOKUP(B103,ARTICULOS!$D$10:$I$699,6)</f>
        <v>47GCU</v>
      </c>
      <c r="D103" s="212" t="s">
        <v>337</v>
      </c>
      <c r="E103" s="75" t="str">
        <f t="shared" si="6"/>
        <v>47GCU1</v>
      </c>
      <c r="F103" s="80">
        <v>1</v>
      </c>
      <c r="G103" s="81" t="s">
        <v>0</v>
      </c>
      <c r="H103" s="78">
        <v>8.1199999999999992</v>
      </c>
      <c r="I103" s="78">
        <v>3.3</v>
      </c>
      <c r="J103" s="78" t="s">
        <v>338</v>
      </c>
    </row>
    <row r="104" spans="1:10" x14ac:dyDescent="0.2">
      <c r="A104" s="84">
        <f t="shared" si="5"/>
        <v>98</v>
      </c>
      <c r="B104" s="85">
        <f>+MATCH(D104,ARTICULOS!$F$10:$F$699,0)</f>
        <v>47</v>
      </c>
      <c r="C104" s="86" t="str">
        <f>+VLOOKUP(B104,ARTICULOS!$D$10:$I$699,6)</f>
        <v>47GCU</v>
      </c>
      <c r="D104" s="212" t="s">
        <v>337</v>
      </c>
      <c r="E104" s="75" t="str">
        <f t="shared" si="6"/>
        <v>47GCU2</v>
      </c>
      <c r="F104" s="80">
        <v>2</v>
      </c>
      <c r="G104" s="81" t="s">
        <v>272</v>
      </c>
      <c r="H104" s="78">
        <v>10.029999999999999</v>
      </c>
      <c r="I104" s="78">
        <v>3.3</v>
      </c>
      <c r="J104" s="78" t="s">
        <v>338</v>
      </c>
    </row>
    <row r="105" spans="1:10" x14ac:dyDescent="0.2">
      <c r="A105" s="84">
        <f t="shared" ref="A105:A168" si="7">ROW()-6</f>
        <v>99</v>
      </c>
      <c r="B105" s="85">
        <f>+MATCH(D105,ARTICULOS!$F$10:$F$699,0)</f>
        <v>48</v>
      </c>
      <c r="C105" s="86" t="str">
        <f>+VLOOKUP(B105,ARTICULOS!$D$10:$I$699,6)</f>
        <v>48YEB</v>
      </c>
      <c r="D105" s="212" t="s">
        <v>339</v>
      </c>
      <c r="E105" s="75" t="str">
        <f t="shared" si="6"/>
        <v>48YEB1</v>
      </c>
      <c r="F105" s="80">
        <v>1</v>
      </c>
      <c r="G105" s="81" t="s">
        <v>272</v>
      </c>
      <c r="H105" s="78">
        <v>13.3</v>
      </c>
      <c r="I105" s="78">
        <v>2.8</v>
      </c>
      <c r="J105" s="78"/>
    </row>
    <row r="106" spans="1:10" x14ac:dyDescent="0.2">
      <c r="A106" s="84">
        <f t="shared" si="7"/>
        <v>100</v>
      </c>
      <c r="B106" s="85">
        <f>+MATCH(D106,ARTICULOS!$F$10:$F$699,0)</f>
        <v>4</v>
      </c>
      <c r="C106" s="86" t="str">
        <f>+VLOOKUP(B106,ARTICULOS!$D$10:$I$699,6)</f>
        <v>4TVR</v>
      </c>
      <c r="D106" s="212" t="s">
        <v>10</v>
      </c>
      <c r="E106" s="75" t="str">
        <f t="shared" si="6"/>
        <v>4TVR56</v>
      </c>
      <c r="F106" s="80">
        <v>56</v>
      </c>
      <c r="G106" s="81" t="s">
        <v>340</v>
      </c>
      <c r="H106" s="78">
        <v>12.73</v>
      </c>
      <c r="I106" s="78">
        <v>3.2</v>
      </c>
      <c r="J106" s="218" t="s">
        <v>241</v>
      </c>
    </row>
    <row r="107" spans="1:10" x14ac:dyDescent="0.2">
      <c r="A107" s="84">
        <f t="shared" si="7"/>
        <v>101</v>
      </c>
      <c r="B107" s="85" t="e">
        <f>+MATCH(D107,ARTICULOS!$F$10:$F$699,0)</f>
        <v>#N/A</v>
      </c>
      <c r="C107" s="86" t="e">
        <f>+VLOOKUP(B107,ARTICULOS!$D$10:$I$699,6)</f>
        <v>#N/A</v>
      </c>
      <c r="D107" s="212" t="s">
        <v>341</v>
      </c>
      <c r="E107" s="75" t="e">
        <f t="shared" si="6"/>
        <v>#N/A</v>
      </c>
      <c r="F107" s="80">
        <v>1</v>
      </c>
      <c r="G107" s="81" t="s">
        <v>259</v>
      </c>
      <c r="H107" s="78">
        <v>9</v>
      </c>
      <c r="I107" s="78">
        <v>1.5</v>
      </c>
      <c r="J107" s="78"/>
    </row>
    <row r="108" spans="1:10" x14ac:dyDescent="0.2">
      <c r="A108" s="84">
        <f t="shared" si="7"/>
        <v>102</v>
      </c>
      <c r="B108" s="85">
        <f>+MATCH(D108,ARTICULOS!$F$10:$F$699,0)</f>
        <v>49</v>
      </c>
      <c r="C108" s="86" t="str">
        <f>+VLOOKUP(B108,ARTICULOS!$D$10:$I$699,6)</f>
        <v>49MRV</v>
      </c>
      <c r="D108" s="212" t="s">
        <v>343</v>
      </c>
      <c r="E108" s="75" t="str">
        <f t="shared" si="6"/>
        <v>49MRV1</v>
      </c>
      <c r="F108" s="80">
        <v>1</v>
      </c>
      <c r="G108" s="81" t="s">
        <v>272</v>
      </c>
      <c r="H108" s="78">
        <v>8.5500000000000007</v>
      </c>
      <c r="I108" s="78">
        <v>1.4</v>
      </c>
      <c r="J108" s="78"/>
    </row>
    <row r="109" spans="1:10" x14ac:dyDescent="0.2">
      <c r="A109" s="84">
        <f t="shared" si="7"/>
        <v>103</v>
      </c>
      <c r="B109" s="85" t="e">
        <f>+MATCH(D109,ARTICULOS!$F$10:$F$699,0)</f>
        <v>#N/A</v>
      </c>
      <c r="C109" s="86" t="e">
        <f>+VLOOKUP(B109,ARTICULOS!$D$10:$I$699,6)</f>
        <v>#N/A</v>
      </c>
      <c r="D109" s="212"/>
      <c r="E109" s="75" t="e">
        <f t="shared" si="6"/>
        <v>#N/A</v>
      </c>
      <c r="F109" s="80"/>
      <c r="G109" s="81"/>
      <c r="H109" s="78"/>
      <c r="I109" s="78"/>
      <c r="J109" s="78"/>
    </row>
    <row r="110" spans="1:10" x14ac:dyDescent="0.2">
      <c r="A110" s="84">
        <f t="shared" si="7"/>
        <v>104</v>
      </c>
      <c r="B110" s="85" t="e">
        <f>+MATCH(D110,ARTICULOS!$F$10:$F$699,0)</f>
        <v>#N/A</v>
      </c>
      <c r="C110" s="86" t="e">
        <f>+VLOOKUP(B110,ARTICULOS!$D$10:$I$699,6)</f>
        <v>#N/A</v>
      </c>
      <c r="D110" s="212"/>
      <c r="E110" s="75" t="e">
        <f t="shared" si="6"/>
        <v>#N/A</v>
      </c>
      <c r="F110" s="80"/>
      <c r="G110" s="81"/>
      <c r="H110" s="78"/>
      <c r="I110" s="78"/>
      <c r="J110" s="78"/>
    </row>
    <row r="111" spans="1:10" x14ac:dyDescent="0.2">
      <c r="A111" s="84">
        <f t="shared" si="7"/>
        <v>105</v>
      </c>
      <c r="B111" s="85" t="e">
        <f>+MATCH(D111,ARTICULOS!$F$10:$F$699,0)</f>
        <v>#N/A</v>
      </c>
      <c r="C111" s="86" t="e">
        <f>+VLOOKUP(B111,ARTICULOS!$D$10:$I$699,6)</f>
        <v>#N/A</v>
      </c>
      <c r="D111" s="212"/>
      <c r="E111" s="75" t="e">
        <f t="shared" si="6"/>
        <v>#N/A</v>
      </c>
      <c r="F111" s="80"/>
      <c r="G111" s="81"/>
      <c r="H111" s="78"/>
      <c r="I111" s="78"/>
      <c r="J111" s="78"/>
    </row>
    <row r="112" spans="1:10" x14ac:dyDescent="0.2">
      <c r="A112" s="84">
        <f t="shared" si="7"/>
        <v>106</v>
      </c>
      <c r="B112" s="85" t="e">
        <f>+MATCH(D112,ARTICULOS!$F$10:$F$699,0)</f>
        <v>#N/A</v>
      </c>
      <c r="C112" s="86" t="e">
        <f>+VLOOKUP(B112,ARTICULOS!$D$10:$I$699,6)</f>
        <v>#N/A</v>
      </c>
      <c r="D112" s="212"/>
      <c r="E112" s="75" t="e">
        <f t="shared" si="6"/>
        <v>#N/A</v>
      </c>
      <c r="F112" s="80"/>
      <c r="G112" s="81"/>
      <c r="H112" s="78"/>
      <c r="I112" s="78"/>
      <c r="J112" s="78"/>
    </row>
    <row r="113" spans="1:10" x14ac:dyDescent="0.2">
      <c r="A113" s="84">
        <f t="shared" si="7"/>
        <v>107</v>
      </c>
      <c r="B113" s="85" t="e">
        <f>+MATCH(D113,ARTICULOS!$F$10:$F$699,0)</f>
        <v>#N/A</v>
      </c>
      <c r="C113" s="86" t="e">
        <f>+VLOOKUP(B113,ARTICULOS!$D$10:$I$699,6)</f>
        <v>#N/A</v>
      </c>
      <c r="D113" s="212"/>
      <c r="E113" s="75" t="e">
        <f t="shared" si="6"/>
        <v>#N/A</v>
      </c>
      <c r="F113" s="80"/>
      <c r="G113" s="81"/>
      <c r="H113" s="78"/>
      <c r="I113" s="78"/>
      <c r="J113" s="78"/>
    </row>
    <row r="114" spans="1:10" x14ac:dyDescent="0.2">
      <c r="A114" s="84">
        <f t="shared" si="7"/>
        <v>108</v>
      </c>
      <c r="B114" s="85" t="e">
        <f>+MATCH(D114,ARTICULOS!$F$10:$F$699,0)</f>
        <v>#N/A</v>
      </c>
      <c r="C114" s="86" t="e">
        <f>+VLOOKUP(B114,ARTICULOS!$D$10:$I$699,6)</f>
        <v>#N/A</v>
      </c>
      <c r="D114" s="212"/>
      <c r="E114" s="75" t="e">
        <f t="shared" si="6"/>
        <v>#N/A</v>
      </c>
      <c r="F114" s="80"/>
      <c r="G114" s="81"/>
      <c r="H114" s="78"/>
      <c r="I114" s="78"/>
      <c r="J114" s="78"/>
    </row>
    <row r="115" spans="1:10" x14ac:dyDescent="0.2">
      <c r="A115" s="84">
        <f t="shared" si="7"/>
        <v>109</v>
      </c>
      <c r="B115" s="85" t="e">
        <f>+MATCH(D115,ARTICULOS!$F$10:$F$699,0)</f>
        <v>#N/A</v>
      </c>
      <c r="C115" s="86" t="e">
        <f>+VLOOKUP(B115,ARTICULOS!$D$10:$I$699,6)</f>
        <v>#N/A</v>
      </c>
      <c r="D115" s="212"/>
      <c r="E115" s="75" t="e">
        <f t="shared" si="6"/>
        <v>#N/A</v>
      </c>
      <c r="F115" s="80"/>
      <c r="G115" s="81"/>
      <c r="H115" s="78"/>
      <c r="I115" s="78"/>
      <c r="J115" s="78"/>
    </row>
    <row r="116" spans="1:10" x14ac:dyDescent="0.2">
      <c r="A116" s="84">
        <f t="shared" si="7"/>
        <v>110</v>
      </c>
      <c r="B116" s="85" t="e">
        <f>+MATCH(D116,ARTICULOS!$F$10:$F$699,0)</f>
        <v>#N/A</v>
      </c>
      <c r="C116" s="86" t="e">
        <f>+VLOOKUP(B116,ARTICULOS!$D$10:$I$699,6)</f>
        <v>#N/A</v>
      </c>
      <c r="D116" s="212"/>
      <c r="E116" s="75" t="e">
        <f t="shared" si="6"/>
        <v>#N/A</v>
      </c>
      <c r="F116" s="80"/>
      <c r="G116" s="81"/>
      <c r="H116" s="78"/>
      <c r="I116" s="78"/>
      <c r="J116" s="78"/>
    </row>
    <row r="117" spans="1:10" x14ac:dyDescent="0.2">
      <c r="A117" s="84">
        <f t="shared" si="7"/>
        <v>111</v>
      </c>
      <c r="B117" s="85" t="e">
        <f>+MATCH(D117,ARTICULOS!$F$10:$F$699,0)</f>
        <v>#N/A</v>
      </c>
      <c r="C117" s="86" t="e">
        <f>+VLOOKUP(B117,ARTICULOS!$D$10:$I$699,6)</f>
        <v>#N/A</v>
      </c>
      <c r="D117" s="212"/>
      <c r="E117" s="75" t="e">
        <f t="shared" si="6"/>
        <v>#N/A</v>
      </c>
      <c r="F117" s="80"/>
      <c r="G117" s="81"/>
      <c r="H117" s="78"/>
      <c r="I117" s="78"/>
      <c r="J117" s="78"/>
    </row>
    <row r="118" spans="1:10" x14ac:dyDescent="0.2">
      <c r="A118" s="84">
        <f t="shared" si="7"/>
        <v>112</v>
      </c>
      <c r="B118" s="85" t="e">
        <f>+MATCH(D118,ARTICULOS!$F$10:$F$699,0)</f>
        <v>#N/A</v>
      </c>
      <c r="C118" s="86" t="e">
        <f>+VLOOKUP(B118,ARTICULOS!$D$10:$I$699,6)</f>
        <v>#N/A</v>
      </c>
      <c r="D118" s="212"/>
      <c r="E118" s="75" t="e">
        <f t="shared" si="6"/>
        <v>#N/A</v>
      </c>
      <c r="F118" s="80"/>
      <c r="G118" s="81"/>
      <c r="H118" s="78"/>
      <c r="I118" s="78"/>
      <c r="J118" s="78"/>
    </row>
    <row r="119" spans="1:10" x14ac:dyDescent="0.2">
      <c r="A119" s="84">
        <f t="shared" si="7"/>
        <v>113</v>
      </c>
      <c r="B119" s="85" t="e">
        <f>+MATCH(D119,ARTICULOS!$F$10:$F$699,0)</f>
        <v>#N/A</v>
      </c>
      <c r="C119" s="86" t="e">
        <f>+VLOOKUP(B119,ARTICULOS!$D$10:$I$699,6)</f>
        <v>#N/A</v>
      </c>
      <c r="D119" s="212"/>
      <c r="E119" s="75" t="e">
        <f t="shared" si="6"/>
        <v>#N/A</v>
      </c>
      <c r="F119" s="80"/>
      <c r="G119" s="81"/>
      <c r="H119" s="78"/>
      <c r="I119" s="78"/>
      <c r="J119" s="78"/>
    </row>
    <row r="120" spans="1:10" x14ac:dyDescent="0.2">
      <c r="A120" s="84">
        <f t="shared" si="7"/>
        <v>114</v>
      </c>
      <c r="B120" s="85" t="e">
        <f>+MATCH(D120,ARTICULOS!$F$10:$F$699,0)</f>
        <v>#N/A</v>
      </c>
      <c r="C120" s="86" t="e">
        <f>+VLOOKUP(B120,ARTICULOS!$D$10:$I$699,6)</f>
        <v>#N/A</v>
      </c>
      <c r="D120" s="212"/>
      <c r="E120" s="75" t="e">
        <f t="shared" si="6"/>
        <v>#N/A</v>
      </c>
      <c r="F120" s="80"/>
      <c r="G120" s="81"/>
      <c r="H120" s="78"/>
      <c r="I120" s="78"/>
      <c r="J120" s="78"/>
    </row>
    <row r="121" spans="1:10" x14ac:dyDescent="0.2">
      <c r="A121" s="84">
        <f t="shared" si="7"/>
        <v>115</v>
      </c>
      <c r="B121" s="85" t="e">
        <f>+MATCH(D121,ARTICULOS!$F$10:$F$699,0)</f>
        <v>#N/A</v>
      </c>
      <c r="C121" s="86" t="e">
        <f>+VLOOKUP(B121,ARTICULOS!$D$10:$I$699,6)</f>
        <v>#N/A</v>
      </c>
      <c r="D121" s="212"/>
      <c r="E121" s="75" t="e">
        <f t="shared" si="6"/>
        <v>#N/A</v>
      </c>
      <c r="F121" s="80"/>
      <c r="G121" s="81"/>
      <c r="H121" s="78"/>
      <c r="I121" s="78"/>
      <c r="J121" s="78"/>
    </row>
    <row r="122" spans="1:10" x14ac:dyDescent="0.2">
      <c r="A122" s="84">
        <f t="shared" si="7"/>
        <v>116</v>
      </c>
      <c r="B122" s="85" t="e">
        <f>+MATCH(D122,ARTICULOS!$F$10:$F$699,0)</f>
        <v>#N/A</v>
      </c>
      <c r="C122" s="86" t="e">
        <f>+VLOOKUP(B122,ARTICULOS!$D$10:$I$699,6)</f>
        <v>#N/A</v>
      </c>
      <c r="D122" s="212"/>
      <c r="E122" s="75" t="e">
        <f t="shared" si="6"/>
        <v>#N/A</v>
      </c>
      <c r="F122" s="80"/>
      <c r="G122" s="81"/>
      <c r="H122" s="78"/>
      <c r="I122" s="78"/>
      <c r="J122" s="78"/>
    </row>
    <row r="123" spans="1:10" x14ac:dyDescent="0.2">
      <c r="A123" s="84">
        <f t="shared" si="7"/>
        <v>117</v>
      </c>
      <c r="B123" s="85" t="e">
        <f>+MATCH(D123,ARTICULOS!$F$10:$F$699,0)</f>
        <v>#N/A</v>
      </c>
      <c r="C123" s="86" t="e">
        <f>+VLOOKUP(B123,ARTICULOS!$D$10:$I$699,6)</f>
        <v>#N/A</v>
      </c>
      <c r="D123" s="212"/>
      <c r="E123" s="75" t="e">
        <f t="shared" si="6"/>
        <v>#N/A</v>
      </c>
      <c r="F123" s="80"/>
      <c r="G123" s="81"/>
      <c r="H123" s="78"/>
      <c r="I123" s="78"/>
      <c r="J123" s="78"/>
    </row>
    <row r="124" spans="1:10" x14ac:dyDescent="0.2">
      <c r="A124" s="84">
        <f t="shared" si="7"/>
        <v>118</v>
      </c>
      <c r="B124" s="85" t="e">
        <f>+MATCH(D124,ARTICULOS!$F$10:$F$699,0)</f>
        <v>#N/A</v>
      </c>
      <c r="C124" s="86" t="e">
        <f>+VLOOKUP(B124,ARTICULOS!$D$10:$I$699,6)</f>
        <v>#N/A</v>
      </c>
      <c r="D124" s="212"/>
      <c r="E124" s="75" t="e">
        <f t="shared" si="6"/>
        <v>#N/A</v>
      </c>
      <c r="F124" s="80"/>
      <c r="G124" s="81"/>
      <c r="H124" s="78"/>
      <c r="I124" s="78"/>
      <c r="J124" s="78"/>
    </row>
    <row r="125" spans="1:10" x14ac:dyDescent="0.2">
      <c r="A125" s="84">
        <f t="shared" si="7"/>
        <v>119</v>
      </c>
      <c r="B125" s="85" t="e">
        <f>+MATCH(D125,ARTICULOS!$F$10:$F$699,0)</f>
        <v>#N/A</v>
      </c>
      <c r="C125" s="86" t="e">
        <f>+VLOOKUP(B125,ARTICULOS!$D$10:$I$699,6)</f>
        <v>#N/A</v>
      </c>
      <c r="D125" s="212"/>
      <c r="E125" s="75" t="e">
        <f t="shared" si="6"/>
        <v>#N/A</v>
      </c>
      <c r="F125" s="80"/>
      <c r="G125" s="81"/>
      <c r="H125" s="78"/>
      <c r="I125" s="78"/>
      <c r="J125" s="78"/>
    </row>
    <row r="126" spans="1:10" x14ac:dyDescent="0.2">
      <c r="A126" s="84">
        <f t="shared" si="7"/>
        <v>120</v>
      </c>
      <c r="B126" s="85" t="e">
        <f>+MATCH(D126,ARTICULOS!$F$10:$F$699,0)</f>
        <v>#N/A</v>
      </c>
      <c r="C126" s="86" t="e">
        <f>+VLOOKUP(B126,ARTICULOS!$D$10:$I$699,6)</f>
        <v>#N/A</v>
      </c>
      <c r="D126" s="212"/>
      <c r="E126" s="75" t="e">
        <f t="shared" si="6"/>
        <v>#N/A</v>
      </c>
      <c r="F126" s="80"/>
      <c r="G126" s="81"/>
      <c r="H126" s="78"/>
      <c r="I126" s="78"/>
      <c r="J126" s="78"/>
    </row>
    <row r="127" spans="1:10" x14ac:dyDescent="0.2">
      <c r="A127" s="84">
        <f t="shared" si="7"/>
        <v>121</v>
      </c>
      <c r="B127" s="85" t="e">
        <f>+MATCH(D127,ARTICULOS!$F$10:$F$699,0)</f>
        <v>#N/A</v>
      </c>
      <c r="C127" s="86" t="e">
        <f>+VLOOKUP(B127,ARTICULOS!$D$10:$I$699,6)</f>
        <v>#N/A</v>
      </c>
      <c r="D127" s="212"/>
      <c r="E127" s="75" t="e">
        <f t="shared" si="6"/>
        <v>#N/A</v>
      </c>
      <c r="F127" s="80"/>
      <c r="G127" s="81"/>
      <c r="H127" s="78"/>
      <c r="I127" s="78"/>
      <c r="J127" s="78"/>
    </row>
    <row r="128" spans="1:10" x14ac:dyDescent="0.2">
      <c r="A128" s="84">
        <f t="shared" si="7"/>
        <v>122</v>
      </c>
      <c r="B128" s="85" t="e">
        <f>+MATCH(D128,ARTICULOS!$F$10:$F$699,0)</f>
        <v>#N/A</v>
      </c>
      <c r="C128" s="86" t="e">
        <f>+VLOOKUP(B128,ARTICULOS!$D$10:$I$699,6)</f>
        <v>#N/A</v>
      </c>
      <c r="D128" s="212"/>
      <c r="E128" s="75" t="e">
        <f t="shared" si="6"/>
        <v>#N/A</v>
      </c>
      <c r="F128" s="80"/>
      <c r="G128" s="81"/>
      <c r="H128" s="78"/>
      <c r="I128" s="78"/>
      <c r="J128" s="78"/>
    </row>
    <row r="129" spans="1:10" x14ac:dyDescent="0.2">
      <c r="A129" s="84">
        <f t="shared" si="7"/>
        <v>123</v>
      </c>
      <c r="B129" s="85" t="e">
        <f>+MATCH(D129,ARTICULOS!$F$10:$F$699,0)</f>
        <v>#N/A</v>
      </c>
      <c r="C129" s="86" t="e">
        <f>+VLOOKUP(B129,ARTICULOS!$D$10:$I$699,6)</f>
        <v>#N/A</v>
      </c>
      <c r="D129" s="212"/>
      <c r="E129" s="75" t="e">
        <f t="shared" si="6"/>
        <v>#N/A</v>
      </c>
      <c r="F129" s="80"/>
      <c r="G129" s="81"/>
      <c r="H129" s="78"/>
      <c r="I129" s="78"/>
      <c r="J129" s="78"/>
    </row>
    <row r="130" spans="1:10" x14ac:dyDescent="0.2">
      <c r="A130" s="84">
        <f t="shared" si="7"/>
        <v>124</v>
      </c>
      <c r="B130" s="85" t="e">
        <f>+MATCH(D130,ARTICULOS!$F$10:$F$699,0)</f>
        <v>#N/A</v>
      </c>
      <c r="C130" s="86" t="e">
        <f>+VLOOKUP(B130,ARTICULOS!$D$10:$I$699,6)</f>
        <v>#N/A</v>
      </c>
      <c r="D130" s="212"/>
      <c r="E130" s="75" t="e">
        <f t="shared" si="6"/>
        <v>#N/A</v>
      </c>
      <c r="F130" s="80"/>
      <c r="G130" s="81"/>
      <c r="H130" s="78"/>
      <c r="I130" s="78"/>
      <c r="J130" s="78"/>
    </row>
    <row r="131" spans="1:10" x14ac:dyDescent="0.2">
      <c r="A131" s="84">
        <f t="shared" si="7"/>
        <v>125</v>
      </c>
      <c r="B131" s="85" t="e">
        <f>+MATCH(D131,ARTICULOS!$F$10:$F$699,0)</f>
        <v>#N/A</v>
      </c>
      <c r="C131" s="86" t="e">
        <f>+VLOOKUP(B131,ARTICULOS!$D$10:$I$699,6)</f>
        <v>#N/A</v>
      </c>
      <c r="D131" s="212"/>
      <c r="E131" s="75" t="e">
        <f t="shared" si="6"/>
        <v>#N/A</v>
      </c>
      <c r="F131" s="80"/>
      <c r="G131" s="81"/>
      <c r="H131" s="78"/>
      <c r="I131" s="78"/>
      <c r="J131" s="78"/>
    </row>
    <row r="132" spans="1:10" x14ac:dyDescent="0.2">
      <c r="A132" s="84">
        <f t="shared" si="7"/>
        <v>126</v>
      </c>
      <c r="B132" s="85" t="e">
        <f>+MATCH(D132,ARTICULOS!$F$10:$F$699,0)</f>
        <v>#N/A</v>
      </c>
      <c r="C132" s="86" t="e">
        <f>+VLOOKUP(B132,ARTICULOS!$D$10:$I$699,6)</f>
        <v>#N/A</v>
      </c>
      <c r="D132" s="212"/>
      <c r="E132" s="75" t="e">
        <f t="shared" si="6"/>
        <v>#N/A</v>
      </c>
      <c r="F132" s="80"/>
      <c r="G132" s="81"/>
      <c r="H132" s="78"/>
      <c r="I132" s="78"/>
      <c r="J132" s="78"/>
    </row>
    <row r="133" spans="1:10" x14ac:dyDescent="0.2">
      <c r="A133" s="84">
        <f t="shared" si="7"/>
        <v>127</v>
      </c>
      <c r="B133" s="85" t="e">
        <f>+MATCH(D133,ARTICULOS!$F$10:$F$699,0)</f>
        <v>#N/A</v>
      </c>
      <c r="C133" s="86" t="e">
        <f>+VLOOKUP(B133,ARTICULOS!$D$10:$I$699,6)</f>
        <v>#N/A</v>
      </c>
      <c r="D133" s="212"/>
      <c r="E133" s="75" t="e">
        <f t="shared" si="6"/>
        <v>#N/A</v>
      </c>
      <c r="F133" s="80"/>
      <c r="G133" s="81"/>
      <c r="H133" s="78"/>
      <c r="I133" s="78"/>
      <c r="J133" s="78"/>
    </row>
    <row r="134" spans="1:10" x14ac:dyDescent="0.2">
      <c r="A134" s="84">
        <f t="shared" si="7"/>
        <v>128</v>
      </c>
      <c r="B134" s="85" t="e">
        <f>+MATCH(D134,ARTICULOS!$F$10:$F$699,0)</f>
        <v>#N/A</v>
      </c>
      <c r="C134" s="86" t="e">
        <f>+VLOOKUP(B134,ARTICULOS!$D$10:$I$699,6)</f>
        <v>#N/A</v>
      </c>
      <c r="D134" s="212"/>
      <c r="E134" s="75" t="e">
        <f t="shared" si="6"/>
        <v>#N/A</v>
      </c>
      <c r="F134" s="80"/>
      <c r="G134" s="81"/>
      <c r="H134" s="78"/>
      <c r="I134" s="78"/>
      <c r="J134" s="78"/>
    </row>
    <row r="135" spans="1:10" x14ac:dyDescent="0.2">
      <c r="A135" s="84">
        <f t="shared" si="7"/>
        <v>129</v>
      </c>
      <c r="B135" s="85" t="e">
        <f>+MATCH(D135,ARTICULOS!$F$10:$F$699,0)</f>
        <v>#N/A</v>
      </c>
      <c r="C135" s="86" t="e">
        <f>+VLOOKUP(B135,ARTICULOS!$D$10:$I$699,6)</f>
        <v>#N/A</v>
      </c>
      <c r="D135" s="212"/>
      <c r="E135" s="75" t="e">
        <f t="shared" si="6"/>
        <v>#N/A</v>
      </c>
      <c r="F135" s="80"/>
      <c r="G135" s="81"/>
      <c r="H135" s="78"/>
      <c r="I135" s="78"/>
      <c r="J135" s="78"/>
    </row>
    <row r="136" spans="1:10" x14ac:dyDescent="0.2">
      <c r="A136" s="84">
        <f t="shared" si="7"/>
        <v>130</v>
      </c>
      <c r="B136" s="85" t="e">
        <f>+MATCH(D136,ARTICULOS!$F$10:$F$699,0)</f>
        <v>#N/A</v>
      </c>
      <c r="C136" s="86" t="e">
        <f>+VLOOKUP(B136,ARTICULOS!$D$10:$I$699,6)</f>
        <v>#N/A</v>
      </c>
      <c r="D136" s="212"/>
      <c r="E136" s="75" t="e">
        <f t="shared" si="6"/>
        <v>#N/A</v>
      </c>
      <c r="F136" s="80"/>
      <c r="G136" s="81"/>
      <c r="H136" s="78"/>
      <c r="I136" s="78"/>
      <c r="J136" s="78"/>
    </row>
    <row r="137" spans="1:10" x14ac:dyDescent="0.2">
      <c r="A137" s="84">
        <f t="shared" si="7"/>
        <v>131</v>
      </c>
      <c r="B137" s="85" t="e">
        <f>+MATCH(D137,ARTICULOS!$F$10:$F$699,0)</f>
        <v>#N/A</v>
      </c>
      <c r="C137" s="86" t="e">
        <f>+VLOOKUP(B137,ARTICULOS!$D$10:$I$699,6)</f>
        <v>#N/A</v>
      </c>
      <c r="D137" s="212"/>
      <c r="E137" s="75" t="e">
        <f t="shared" si="6"/>
        <v>#N/A</v>
      </c>
      <c r="F137" s="80"/>
      <c r="G137" s="81"/>
      <c r="H137" s="78"/>
      <c r="I137" s="78"/>
      <c r="J137" s="78"/>
    </row>
    <row r="138" spans="1:10" x14ac:dyDescent="0.2">
      <c r="A138" s="84">
        <f t="shared" si="7"/>
        <v>132</v>
      </c>
      <c r="B138" s="85" t="e">
        <f>+MATCH(D138,ARTICULOS!$F$10:$F$699,0)</f>
        <v>#N/A</v>
      </c>
      <c r="C138" s="86" t="e">
        <f>+VLOOKUP(B138,ARTICULOS!$D$10:$I$699,6)</f>
        <v>#N/A</v>
      </c>
      <c r="D138" s="212"/>
      <c r="E138" s="75" t="e">
        <f t="shared" si="6"/>
        <v>#N/A</v>
      </c>
      <c r="F138" s="80"/>
      <c r="G138" s="81"/>
      <c r="H138" s="78"/>
      <c r="I138" s="78"/>
      <c r="J138" s="78"/>
    </row>
    <row r="139" spans="1:10" x14ac:dyDescent="0.2">
      <c r="A139" s="84">
        <f t="shared" si="7"/>
        <v>133</v>
      </c>
      <c r="B139" s="85" t="e">
        <f>+MATCH(D139,ARTICULOS!$F$10:$F$699,0)</f>
        <v>#N/A</v>
      </c>
      <c r="C139" s="86" t="e">
        <f>+VLOOKUP(B139,ARTICULOS!$D$10:$I$699,6)</f>
        <v>#N/A</v>
      </c>
      <c r="D139" s="212"/>
      <c r="E139" s="75" t="e">
        <f t="shared" ref="E139:E202" si="8">+C139&amp;F139</f>
        <v>#N/A</v>
      </c>
      <c r="F139" s="80"/>
      <c r="G139" s="81"/>
      <c r="H139" s="78"/>
      <c r="I139" s="78"/>
      <c r="J139" s="78"/>
    </row>
    <row r="140" spans="1:10" x14ac:dyDescent="0.2">
      <c r="A140" s="84">
        <f t="shared" si="7"/>
        <v>134</v>
      </c>
      <c r="B140" s="85" t="e">
        <f>+MATCH(D140,ARTICULOS!$F$10:$F$699,0)</f>
        <v>#N/A</v>
      </c>
      <c r="C140" s="86" t="e">
        <f>+VLOOKUP(B140,ARTICULOS!$D$10:$I$699,6)</f>
        <v>#N/A</v>
      </c>
      <c r="D140" s="212"/>
      <c r="E140" s="75" t="e">
        <f t="shared" si="8"/>
        <v>#N/A</v>
      </c>
      <c r="F140" s="80"/>
      <c r="G140" s="81"/>
      <c r="H140" s="78"/>
      <c r="I140" s="78"/>
      <c r="J140" s="78"/>
    </row>
    <row r="141" spans="1:10" x14ac:dyDescent="0.2">
      <c r="A141" s="84">
        <f t="shared" si="7"/>
        <v>135</v>
      </c>
      <c r="B141" s="85" t="e">
        <f>+MATCH(D141,ARTICULOS!$F$10:$F$699,0)</f>
        <v>#N/A</v>
      </c>
      <c r="C141" s="86" t="e">
        <f>+VLOOKUP(B141,ARTICULOS!$D$10:$I$699,6)</f>
        <v>#N/A</v>
      </c>
      <c r="D141" s="212"/>
      <c r="E141" s="75" t="e">
        <f t="shared" si="8"/>
        <v>#N/A</v>
      </c>
      <c r="F141" s="80"/>
      <c r="G141" s="81"/>
      <c r="H141" s="78"/>
      <c r="I141" s="78"/>
      <c r="J141" s="78"/>
    </row>
    <row r="142" spans="1:10" x14ac:dyDescent="0.2">
      <c r="A142" s="84">
        <f t="shared" si="7"/>
        <v>136</v>
      </c>
      <c r="B142" s="85" t="e">
        <f>+MATCH(D142,ARTICULOS!$F$10:$F$699,0)</f>
        <v>#N/A</v>
      </c>
      <c r="C142" s="86" t="e">
        <f>+VLOOKUP(B142,ARTICULOS!$D$10:$I$699,6)</f>
        <v>#N/A</v>
      </c>
      <c r="D142" s="212"/>
      <c r="E142" s="75" t="e">
        <f t="shared" si="8"/>
        <v>#N/A</v>
      </c>
      <c r="F142" s="80"/>
      <c r="G142" s="81"/>
      <c r="H142" s="78"/>
      <c r="I142" s="78"/>
      <c r="J142" s="78"/>
    </row>
    <row r="143" spans="1:10" x14ac:dyDescent="0.2">
      <c r="A143" s="84">
        <f t="shared" si="7"/>
        <v>137</v>
      </c>
      <c r="B143" s="85" t="e">
        <f>+MATCH(D143,ARTICULOS!$F$10:$F$699,0)</f>
        <v>#N/A</v>
      </c>
      <c r="C143" s="86" t="e">
        <f>+VLOOKUP(B143,ARTICULOS!$D$10:$I$699,6)</f>
        <v>#N/A</v>
      </c>
      <c r="D143" s="212"/>
      <c r="E143" s="75" t="e">
        <f t="shared" si="8"/>
        <v>#N/A</v>
      </c>
      <c r="F143" s="80"/>
      <c r="G143" s="81"/>
      <c r="H143" s="78"/>
      <c r="I143" s="78"/>
      <c r="J143" s="78"/>
    </row>
    <row r="144" spans="1:10" x14ac:dyDescent="0.2">
      <c r="A144" s="84">
        <f t="shared" si="7"/>
        <v>138</v>
      </c>
      <c r="B144" s="85" t="e">
        <f>+MATCH(D144,ARTICULOS!$F$10:$F$699,0)</f>
        <v>#N/A</v>
      </c>
      <c r="C144" s="86" t="e">
        <f>+VLOOKUP(B144,ARTICULOS!$D$10:$I$699,6)</f>
        <v>#N/A</v>
      </c>
      <c r="D144" s="212"/>
      <c r="E144" s="75" t="e">
        <f t="shared" si="8"/>
        <v>#N/A</v>
      </c>
      <c r="F144" s="80"/>
      <c r="G144" s="81"/>
      <c r="H144" s="78"/>
      <c r="I144" s="78"/>
      <c r="J144" s="78"/>
    </row>
    <row r="145" spans="1:10" x14ac:dyDescent="0.2">
      <c r="A145" s="84">
        <f t="shared" si="7"/>
        <v>139</v>
      </c>
      <c r="B145" s="85" t="e">
        <f>+MATCH(D145,ARTICULOS!$F$10:$F$699,0)</f>
        <v>#N/A</v>
      </c>
      <c r="C145" s="86" t="e">
        <f>+VLOOKUP(B145,ARTICULOS!$D$10:$I$699,6)</f>
        <v>#N/A</v>
      </c>
      <c r="D145" s="212"/>
      <c r="E145" s="75" t="e">
        <f t="shared" si="8"/>
        <v>#N/A</v>
      </c>
      <c r="F145" s="80"/>
      <c r="G145" s="81"/>
      <c r="H145" s="78"/>
      <c r="I145" s="78"/>
      <c r="J145" s="78"/>
    </row>
    <row r="146" spans="1:10" x14ac:dyDescent="0.2">
      <c r="A146" s="84">
        <f t="shared" si="7"/>
        <v>140</v>
      </c>
      <c r="B146" s="85" t="e">
        <f>+MATCH(D146,ARTICULOS!$F$10:$F$699,0)</f>
        <v>#N/A</v>
      </c>
      <c r="C146" s="86" t="e">
        <f>+VLOOKUP(B146,ARTICULOS!$D$10:$I$699,6)</f>
        <v>#N/A</v>
      </c>
      <c r="D146" s="212"/>
      <c r="E146" s="75" t="e">
        <f t="shared" si="8"/>
        <v>#N/A</v>
      </c>
      <c r="F146" s="80"/>
      <c r="G146" s="81"/>
      <c r="H146" s="78"/>
      <c r="I146" s="78"/>
      <c r="J146" s="78"/>
    </row>
    <row r="147" spans="1:10" x14ac:dyDescent="0.2">
      <c r="A147" s="84">
        <f t="shared" si="7"/>
        <v>141</v>
      </c>
      <c r="B147" s="85" t="e">
        <f>+MATCH(D147,ARTICULOS!$F$10:$F$699,0)</f>
        <v>#N/A</v>
      </c>
      <c r="C147" s="86" t="e">
        <f>+VLOOKUP(B147,ARTICULOS!$D$10:$I$699,6)</f>
        <v>#N/A</v>
      </c>
      <c r="D147" s="212"/>
      <c r="E147" s="75" t="e">
        <f t="shared" si="8"/>
        <v>#N/A</v>
      </c>
      <c r="F147" s="80"/>
      <c r="G147" s="81"/>
      <c r="H147" s="78"/>
      <c r="I147" s="78"/>
      <c r="J147" s="78"/>
    </row>
    <row r="148" spans="1:10" x14ac:dyDescent="0.2">
      <c r="A148" s="84">
        <f t="shared" si="7"/>
        <v>142</v>
      </c>
      <c r="B148" s="85" t="e">
        <f>+MATCH(D148,ARTICULOS!$F$10:$F$699,0)</f>
        <v>#N/A</v>
      </c>
      <c r="C148" s="86" t="e">
        <f>+VLOOKUP(B148,ARTICULOS!$D$10:$I$699,6)</f>
        <v>#N/A</v>
      </c>
      <c r="D148" s="212"/>
      <c r="E148" s="75" t="e">
        <f t="shared" si="8"/>
        <v>#N/A</v>
      </c>
      <c r="F148" s="80"/>
      <c r="G148" s="81"/>
      <c r="H148" s="78"/>
      <c r="I148" s="78"/>
      <c r="J148" s="78"/>
    </row>
    <row r="149" spans="1:10" x14ac:dyDescent="0.2">
      <c r="A149" s="84">
        <f t="shared" si="7"/>
        <v>143</v>
      </c>
      <c r="B149" s="85" t="e">
        <f>+MATCH(D149,ARTICULOS!$F$10:$F$699,0)</f>
        <v>#N/A</v>
      </c>
      <c r="C149" s="86" t="e">
        <f>+VLOOKUP(B149,ARTICULOS!$D$10:$I$699,6)</f>
        <v>#N/A</v>
      </c>
      <c r="D149" s="212"/>
      <c r="E149" s="75" t="e">
        <f t="shared" si="8"/>
        <v>#N/A</v>
      </c>
      <c r="F149" s="80"/>
      <c r="G149" s="81"/>
      <c r="H149" s="78"/>
      <c r="I149" s="78"/>
      <c r="J149" s="78"/>
    </row>
    <row r="150" spans="1:10" x14ac:dyDescent="0.2">
      <c r="A150" s="84">
        <f t="shared" si="7"/>
        <v>144</v>
      </c>
      <c r="B150" s="85" t="e">
        <f>+MATCH(D150,ARTICULOS!$F$10:$F$699,0)</f>
        <v>#N/A</v>
      </c>
      <c r="C150" s="86" t="e">
        <f>+VLOOKUP(B150,ARTICULOS!$D$10:$I$699,6)</f>
        <v>#N/A</v>
      </c>
      <c r="D150" s="212"/>
      <c r="E150" s="75" t="e">
        <f t="shared" si="8"/>
        <v>#N/A</v>
      </c>
      <c r="F150" s="80"/>
      <c r="G150" s="81"/>
      <c r="H150" s="78"/>
      <c r="I150" s="78"/>
      <c r="J150" s="78"/>
    </row>
    <row r="151" spans="1:10" x14ac:dyDescent="0.2">
      <c r="A151" s="84">
        <f t="shared" si="7"/>
        <v>145</v>
      </c>
      <c r="B151" s="85" t="e">
        <f>+MATCH(D151,ARTICULOS!$F$10:$F$699,0)</f>
        <v>#N/A</v>
      </c>
      <c r="C151" s="86" t="e">
        <f>+VLOOKUP(B151,ARTICULOS!$D$10:$I$699,6)</f>
        <v>#N/A</v>
      </c>
      <c r="D151" s="212"/>
      <c r="E151" s="75" t="e">
        <f t="shared" si="8"/>
        <v>#N/A</v>
      </c>
      <c r="F151" s="80"/>
      <c r="G151" s="81"/>
      <c r="H151" s="78"/>
      <c r="I151" s="78"/>
      <c r="J151" s="78"/>
    </row>
    <row r="152" spans="1:10" x14ac:dyDescent="0.2">
      <c r="A152" s="84">
        <f t="shared" si="7"/>
        <v>146</v>
      </c>
      <c r="B152" s="85" t="e">
        <f>+MATCH(D152,ARTICULOS!$F$10:$F$699,0)</f>
        <v>#N/A</v>
      </c>
      <c r="C152" s="86" t="e">
        <f>+VLOOKUP(B152,ARTICULOS!$D$10:$I$699,6)</f>
        <v>#N/A</v>
      </c>
      <c r="D152" s="212"/>
      <c r="E152" s="75" t="e">
        <f t="shared" si="8"/>
        <v>#N/A</v>
      </c>
      <c r="F152" s="80"/>
      <c r="G152" s="81"/>
      <c r="H152" s="78"/>
      <c r="I152" s="78"/>
      <c r="J152" s="78"/>
    </row>
    <row r="153" spans="1:10" x14ac:dyDescent="0.2">
      <c r="A153" s="84">
        <f t="shared" si="7"/>
        <v>147</v>
      </c>
      <c r="B153" s="85" t="e">
        <f>+MATCH(D153,ARTICULOS!$F$10:$F$699,0)</f>
        <v>#N/A</v>
      </c>
      <c r="C153" s="86" t="e">
        <f>+VLOOKUP(B153,ARTICULOS!$D$10:$I$699,6)</f>
        <v>#N/A</v>
      </c>
      <c r="D153" s="212"/>
      <c r="E153" s="75" t="e">
        <f t="shared" si="8"/>
        <v>#N/A</v>
      </c>
      <c r="F153" s="80"/>
      <c r="G153" s="81"/>
      <c r="H153" s="78"/>
      <c r="I153" s="78"/>
      <c r="J153" s="78"/>
    </row>
    <row r="154" spans="1:10" x14ac:dyDescent="0.2">
      <c r="A154" s="84">
        <f t="shared" si="7"/>
        <v>148</v>
      </c>
      <c r="B154" s="85" t="e">
        <f>+MATCH(D154,ARTICULOS!$F$10:$F$699,0)</f>
        <v>#N/A</v>
      </c>
      <c r="C154" s="86" t="e">
        <f>+VLOOKUP(B154,ARTICULOS!$D$10:$I$699,6)</f>
        <v>#N/A</v>
      </c>
      <c r="D154" s="212"/>
      <c r="E154" s="75" t="e">
        <f t="shared" si="8"/>
        <v>#N/A</v>
      </c>
      <c r="F154" s="80"/>
      <c r="G154" s="81"/>
      <c r="H154" s="78"/>
      <c r="I154" s="78"/>
      <c r="J154" s="78"/>
    </row>
    <row r="155" spans="1:10" x14ac:dyDescent="0.2">
      <c r="A155" s="84">
        <f t="shared" si="7"/>
        <v>149</v>
      </c>
      <c r="B155" s="85" t="e">
        <f>+MATCH(D155,ARTICULOS!$F$10:$F$699,0)</f>
        <v>#N/A</v>
      </c>
      <c r="C155" s="86" t="e">
        <f>+VLOOKUP(B155,ARTICULOS!$D$10:$I$699,6)</f>
        <v>#N/A</v>
      </c>
      <c r="D155" s="212"/>
      <c r="E155" s="75" t="e">
        <f t="shared" si="8"/>
        <v>#N/A</v>
      </c>
      <c r="F155" s="80"/>
      <c r="G155" s="81"/>
      <c r="H155" s="78"/>
      <c r="I155" s="78"/>
      <c r="J155" s="78"/>
    </row>
    <row r="156" spans="1:10" x14ac:dyDescent="0.2">
      <c r="A156" s="84">
        <f t="shared" si="7"/>
        <v>150</v>
      </c>
      <c r="B156" s="85" t="e">
        <f>+MATCH(D156,ARTICULOS!$F$10:$F$699,0)</f>
        <v>#N/A</v>
      </c>
      <c r="C156" s="86" t="e">
        <f>+VLOOKUP(B156,ARTICULOS!$D$10:$I$699,6)</f>
        <v>#N/A</v>
      </c>
      <c r="D156" s="212"/>
      <c r="E156" s="75" t="e">
        <f t="shared" si="8"/>
        <v>#N/A</v>
      </c>
      <c r="F156" s="80"/>
      <c r="G156" s="81"/>
      <c r="H156" s="78"/>
      <c r="I156" s="78"/>
      <c r="J156" s="78"/>
    </row>
    <row r="157" spans="1:10" x14ac:dyDescent="0.2">
      <c r="A157" s="84">
        <f t="shared" si="7"/>
        <v>151</v>
      </c>
      <c r="B157" s="85" t="e">
        <f>+MATCH(D157,ARTICULOS!$F$10:$F$699,0)</f>
        <v>#N/A</v>
      </c>
      <c r="C157" s="86" t="e">
        <f>+VLOOKUP(B157,ARTICULOS!$D$10:$I$699,6)</f>
        <v>#N/A</v>
      </c>
      <c r="D157" s="212"/>
      <c r="E157" s="75" t="e">
        <f t="shared" si="8"/>
        <v>#N/A</v>
      </c>
      <c r="F157" s="80"/>
      <c r="G157" s="81"/>
      <c r="H157" s="78"/>
      <c r="I157" s="78"/>
      <c r="J157" s="78"/>
    </row>
    <row r="158" spans="1:10" x14ac:dyDescent="0.2">
      <c r="A158" s="84">
        <f t="shared" si="7"/>
        <v>152</v>
      </c>
      <c r="B158" s="85" t="e">
        <f>+MATCH(D158,ARTICULOS!$F$10:$F$699,0)</f>
        <v>#N/A</v>
      </c>
      <c r="C158" s="86" t="e">
        <f>+VLOOKUP(B158,ARTICULOS!$D$10:$I$699,6)</f>
        <v>#N/A</v>
      </c>
      <c r="D158" s="212"/>
      <c r="E158" s="75" t="e">
        <f t="shared" si="8"/>
        <v>#N/A</v>
      </c>
      <c r="F158" s="80"/>
      <c r="G158" s="81"/>
      <c r="H158" s="78"/>
      <c r="I158" s="78"/>
      <c r="J158" s="78"/>
    </row>
    <row r="159" spans="1:10" x14ac:dyDescent="0.2">
      <c r="A159" s="84">
        <f t="shared" si="7"/>
        <v>153</v>
      </c>
      <c r="B159" s="85" t="e">
        <f>+MATCH(D159,ARTICULOS!$F$10:$F$699,0)</f>
        <v>#N/A</v>
      </c>
      <c r="C159" s="86" t="e">
        <f>+VLOOKUP(B159,ARTICULOS!$D$10:$I$699,6)</f>
        <v>#N/A</v>
      </c>
      <c r="D159" s="212"/>
      <c r="E159" s="75" t="e">
        <f t="shared" si="8"/>
        <v>#N/A</v>
      </c>
      <c r="F159" s="80"/>
      <c r="G159" s="81"/>
      <c r="H159" s="78"/>
      <c r="I159" s="78"/>
      <c r="J159" s="78"/>
    </row>
    <row r="160" spans="1:10" x14ac:dyDescent="0.2">
      <c r="A160" s="84">
        <f t="shared" si="7"/>
        <v>154</v>
      </c>
      <c r="B160" s="85" t="e">
        <f>+MATCH(D160,ARTICULOS!$F$10:$F$699,0)</f>
        <v>#N/A</v>
      </c>
      <c r="C160" s="86" t="e">
        <f>+VLOOKUP(B160,ARTICULOS!$D$10:$I$699,6)</f>
        <v>#N/A</v>
      </c>
      <c r="D160" s="212"/>
      <c r="E160" s="75" t="e">
        <f t="shared" si="8"/>
        <v>#N/A</v>
      </c>
      <c r="F160" s="80"/>
      <c r="G160" s="81"/>
      <c r="H160" s="78"/>
      <c r="I160" s="78"/>
      <c r="J160" s="78"/>
    </row>
    <row r="161" spans="1:10" x14ac:dyDescent="0.2">
      <c r="A161" s="84">
        <f t="shared" si="7"/>
        <v>155</v>
      </c>
      <c r="B161" s="85" t="e">
        <f>+MATCH(D161,ARTICULOS!$F$10:$F$699,0)</f>
        <v>#N/A</v>
      </c>
      <c r="C161" s="86" t="e">
        <f>+VLOOKUP(B161,ARTICULOS!$D$10:$I$699,6)</f>
        <v>#N/A</v>
      </c>
      <c r="D161" s="212"/>
      <c r="E161" s="75" t="e">
        <f t="shared" si="8"/>
        <v>#N/A</v>
      </c>
      <c r="F161" s="80"/>
      <c r="G161" s="81"/>
      <c r="H161" s="78"/>
      <c r="I161" s="78"/>
      <c r="J161" s="78"/>
    </row>
    <row r="162" spans="1:10" x14ac:dyDescent="0.2">
      <c r="A162" s="84">
        <f t="shared" si="7"/>
        <v>156</v>
      </c>
      <c r="B162" s="85" t="e">
        <f>+MATCH(D162,ARTICULOS!$F$10:$F$699,0)</f>
        <v>#N/A</v>
      </c>
      <c r="C162" s="86" t="e">
        <f>+VLOOKUP(B162,ARTICULOS!$D$10:$I$699,6)</f>
        <v>#N/A</v>
      </c>
      <c r="D162" s="212"/>
      <c r="E162" s="75" t="e">
        <f t="shared" si="8"/>
        <v>#N/A</v>
      </c>
      <c r="F162" s="80"/>
      <c r="G162" s="81"/>
      <c r="H162" s="78"/>
      <c r="I162" s="78"/>
      <c r="J162" s="78"/>
    </row>
    <row r="163" spans="1:10" x14ac:dyDescent="0.2">
      <c r="A163" s="84">
        <f t="shared" si="7"/>
        <v>157</v>
      </c>
      <c r="B163" s="85" t="e">
        <f>+MATCH(D163,ARTICULOS!$F$10:$F$699,0)</f>
        <v>#N/A</v>
      </c>
      <c r="C163" s="86" t="e">
        <f>+VLOOKUP(B163,ARTICULOS!$D$10:$I$699,6)</f>
        <v>#N/A</v>
      </c>
      <c r="D163" s="212"/>
      <c r="E163" s="75" t="e">
        <f t="shared" si="8"/>
        <v>#N/A</v>
      </c>
      <c r="F163" s="80"/>
      <c r="G163" s="81"/>
      <c r="H163" s="78"/>
      <c r="I163" s="78"/>
      <c r="J163" s="78"/>
    </row>
    <row r="164" spans="1:10" x14ac:dyDescent="0.2">
      <c r="A164" s="84">
        <f t="shared" si="7"/>
        <v>158</v>
      </c>
      <c r="B164" s="85" t="e">
        <f>+MATCH(D164,ARTICULOS!$F$10:$F$699,0)</f>
        <v>#N/A</v>
      </c>
      <c r="C164" s="86" t="e">
        <f>+VLOOKUP(B164,ARTICULOS!$D$10:$I$699,6)</f>
        <v>#N/A</v>
      </c>
      <c r="D164" s="212"/>
      <c r="E164" s="75" t="e">
        <f t="shared" si="8"/>
        <v>#N/A</v>
      </c>
      <c r="F164" s="80"/>
      <c r="G164" s="81"/>
      <c r="H164" s="78"/>
      <c r="I164" s="78"/>
      <c r="J164" s="78"/>
    </row>
    <row r="165" spans="1:10" x14ac:dyDescent="0.2">
      <c r="A165" s="84">
        <f t="shared" si="7"/>
        <v>159</v>
      </c>
      <c r="B165" s="85" t="e">
        <f>+MATCH(D165,ARTICULOS!$F$10:$F$699,0)</f>
        <v>#N/A</v>
      </c>
      <c r="C165" s="86" t="e">
        <f>+VLOOKUP(B165,ARTICULOS!$D$10:$I$699,6)</f>
        <v>#N/A</v>
      </c>
      <c r="D165" s="212"/>
      <c r="E165" s="75" t="e">
        <f t="shared" si="8"/>
        <v>#N/A</v>
      </c>
      <c r="F165" s="80"/>
      <c r="G165" s="81"/>
      <c r="H165" s="78"/>
      <c r="I165" s="78"/>
      <c r="J165" s="78"/>
    </row>
    <row r="166" spans="1:10" x14ac:dyDescent="0.2">
      <c r="A166" s="84">
        <f t="shared" si="7"/>
        <v>160</v>
      </c>
      <c r="B166" s="85" t="e">
        <f>+MATCH(D166,ARTICULOS!$F$10:$F$699,0)</f>
        <v>#N/A</v>
      </c>
      <c r="C166" s="86" t="e">
        <f>+VLOOKUP(B166,ARTICULOS!$D$10:$I$699,6)</f>
        <v>#N/A</v>
      </c>
      <c r="D166" s="212"/>
      <c r="E166" s="75" t="e">
        <f t="shared" si="8"/>
        <v>#N/A</v>
      </c>
      <c r="F166" s="80"/>
      <c r="G166" s="81"/>
      <c r="H166" s="78"/>
      <c r="I166" s="78"/>
      <c r="J166" s="78"/>
    </row>
    <row r="167" spans="1:10" x14ac:dyDescent="0.2">
      <c r="A167" s="84">
        <f t="shared" si="7"/>
        <v>161</v>
      </c>
      <c r="B167" s="85" t="e">
        <f>+MATCH(D167,ARTICULOS!$F$10:$F$699,0)</f>
        <v>#N/A</v>
      </c>
      <c r="C167" s="86" t="e">
        <f>+VLOOKUP(B167,ARTICULOS!$D$10:$I$699,6)</f>
        <v>#N/A</v>
      </c>
      <c r="D167" s="212"/>
      <c r="E167" s="75" t="e">
        <f t="shared" si="8"/>
        <v>#N/A</v>
      </c>
      <c r="F167" s="80"/>
      <c r="G167" s="81"/>
      <c r="H167" s="78"/>
      <c r="I167" s="78"/>
      <c r="J167" s="78"/>
    </row>
    <row r="168" spans="1:10" x14ac:dyDescent="0.2">
      <c r="A168" s="84">
        <f t="shared" si="7"/>
        <v>162</v>
      </c>
      <c r="B168" s="85" t="e">
        <f>+MATCH(D168,ARTICULOS!$F$10:$F$699,0)</f>
        <v>#N/A</v>
      </c>
      <c r="C168" s="86" t="e">
        <f>+VLOOKUP(B168,ARTICULOS!$D$10:$I$699,6)</f>
        <v>#N/A</v>
      </c>
      <c r="D168" s="212"/>
      <c r="E168" s="75" t="e">
        <f t="shared" si="8"/>
        <v>#N/A</v>
      </c>
      <c r="F168" s="80"/>
      <c r="G168" s="81"/>
      <c r="H168" s="78"/>
      <c r="I168" s="78"/>
      <c r="J168" s="78"/>
    </row>
    <row r="169" spans="1:10" x14ac:dyDescent="0.2">
      <c r="A169" s="84">
        <f t="shared" ref="A169:A232" si="9">ROW()-6</f>
        <v>163</v>
      </c>
      <c r="B169" s="85" t="e">
        <f>+MATCH(D169,ARTICULOS!$F$10:$F$699,0)</f>
        <v>#N/A</v>
      </c>
      <c r="C169" s="86" t="e">
        <f>+VLOOKUP(B169,ARTICULOS!$D$10:$I$699,6)</f>
        <v>#N/A</v>
      </c>
      <c r="D169" s="212"/>
      <c r="E169" s="75" t="e">
        <f t="shared" si="8"/>
        <v>#N/A</v>
      </c>
      <c r="F169" s="80"/>
      <c r="G169" s="81"/>
      <c r="H169" s="78"/>
      <c r="I169" s="78"/>
      <c r="J169" s="78"/>
    </row>
    <row r="170" spans="1:10" x14ac:dyDescent="0.2">
      <c r="A170" s="84">
        <f t="shared" si="9"/>
        <v>164</v>
      </c>
      <c r="B170" s="85" t="e">
        <f>+MATCH(D170,ARTICULOS!$F$10:$F$699,0)</f>
        <v>#N/A</v>
      </c>
      <c r="C170" s="86" t="e">
        <f>+VLOOKUP(B170,ARTICULOS!$D$10:$I$699,6)</f>
        <v>#N/A</v>
      </c>
      <c r="D170" s="212"/>
      <c r="E170" s="75" t="e">
        <f t="shared" si="8"/>
        <v>#N/A</v>
      </c>
      <c r="F170" s="80"/>
      <c r="G170" s="81"/>
      <c r="H170" s="78"/>
      <c r="I170" s="78"/>
      <c r="J170" s="78"/>
    </row>
    <row r="171" spans="1:10" x14ac:dyDescent="0.2">
      <c r="A171" s="84">
        <f t="shared" si="9"/>
        <v>165</v>
      </c>
      <c r="B171" s="85" t="e">
        <f>+MATCH(D171,ARTICULOS!$F$10:$F$699,0)</f>
        <v>#N/A</v>
      </c>
      <c r="C171" s="86" t="e">
        <f>+VLOOKUP(B171,ARTICULOS!$D$10:$I$699,6)</f>
        <v>#N/A</v>
      </c>
      <c r="D171" s="212"/>
      <c r="E171" s="75" t="e">
        <f t="shared" si="8"/>
        <v>#N/A</v>
      </c>
      <c r="F171" s="80"/>
      <c r="G171" s="81"/>
      <c r="H171" s="78"/>
      <c r="I171" s="78"/>
      <c r="J171" s="78"/>
    </row>
    <row r="172" spans="1:10" x14ac:dyDescent="0.2">
      <c r="A172" s="84">
        <f t="shared" si="9"/>
        <v>166</v>
      </c>
      <c r="B172" s="85" t="e">
        <f>+MATCH(D172,ARTICULOS!$F$10:$F$699,0)</f>
        <v>#N/A</v>
      </c>
      <c r="C172" s="86" t="e">
        <f>+VLOOKUP(B172,ARTICULOS!$D$10:$I$699,6)</f>
        <v>#N/A</v>
      </c>
      <c r="D172" s="212"/>
      <c r="E172" s="75" t="e">
        <f t="shared" si="8"/>
        <v>#N/A</v>
      </c>
      <c r="F172" s="80"/>
      <c r="G172" s="81"/>
      <c r="H172" s="78"/>
      <c r="I172" s="78"/>
      <c r="J172" s="78"/>
    </row>
    <row r="173" spans="1:10" x14ac:dyDescent="0.2">
      <c r="A173" s="84">
        <f t="shared" si="9"/>
        <v>167</v>
      </c>
      <c r="B173" s="85" t="e">
        <f>+MATCH(D173,ARTICULOS!$F$10:$F$699,0)</f>
        <v>#N/A</v>
      </c>
      <c r="C173" s="86" t="e">
        <f>+VLOOKUP(B173,ARTICULOS!$D$10:$I$699,6)</f>
        <v>#N/A</v>
      </c>
      <c r="D173" s="212"/>
      <c r="E173" s="75" t="e">
        <f t="shared" si="8"/>
        <v>#N/A</v>
      </c>
      <c r="F173" s="80"/>
      <c r="G173" s="81"/>
      <c r="H173" s="78"/>
      <c r="I173" s="78"/>
      <c r="J173" s="78"/>
    </row>
    <row r="174" spans="1:10" x14ac:dyDescent="0.2">
      <c r="A174" s="84">
        <f t="shared" si="9"/>
        <v>168</v>
      </c>
      <c r="B174" s="85" t="e">
        <f>+MATCH(D174,ARTICULOS!$F$10:$F$699,0)</f>
        <v>#N/A</v>
      </c>
      <c r="C174" s="86" t="e">
        <f>+VLOOKUP(B174,ARTICULOS!$D$10:$I$699,6)</f>
        <v>#N/A</v>
      </c>
      <c r="D174" s="212"/>
      <c r="E174" s="75" t="e">
        <f t="shared" si="8"/>
        <v>#N/A</v>
      </c>
      <c r="F174" s="80"/>
      <c r="G174" s="81"/>
      <c r="H174" s="78"/>
      <c r="I174" s="78"/>
      <c r="J174" s="78"/>
    </row>
    <row r="175" spans="1:10" x14ac:dyDescent="0.2">
      <c r="A175" s="84">
        <f t="shared" si="9"/>
        <v>169</v>
      </c>
      <c r="B175" s="85" t="e">
        <f>+MATCH(D175,ARTICULOS!$F$10:$F$699,0)</f>
        <v>#N/A</v>
      </c>
      <c r="C175" s="86" t="e">
        <f>+VLOOKUP(B175,ARTICULOS!$D$10:$I$699,6)</f>
        <v>#N/A</v>
      </c>
      <c r="D175" s="212"/>
      <c r="E175" s="75" t="e">
        <f t="shared" si="8"/>
        <v>#N/A</v>
      </c>
      <c r="F175" s="80"/>
      <c r="G175" s="81"/>
      <c r="H175" s="78"/>
      <c r="I175" s="78"/>
      <c r="J175" s="78"/>
    </row>
    <row r="176" spans="1:10" x14ac:dyDescent="0.2">
      <c r="A176" s="84">
        <f t="shared" si="9"/>
        <v>170</v>
      </c>
      <c r="B176" s="85" t="e">
        <f>+MATCH(D176,ARTICULOS!$F$10:$F$699,0)</f>
        <v>#N/A</v>
      </c>
      <c r="C176" s="86" t="e">
        <f>+VLOOKUP(B176,ARTICULOS!$D$10:$I$699,6)</f>
        <v>#N/A</v>
      </c>
      <c r="D176" s="212"/>
      <c r="E176" s="75" t="e">
        <f t="shared" si="8"/>
        <v>#N/A</v>
      </c>
      <c r="F176" s="80"/>
      <c r="G176" s="81"/>
      <c r="H176" s="78"/>
      <c r="I176" s="78"/>
      <c r="J176" s="78"/>
    </row>
    <row r="177" spans="1:10" x14ac:dyDescent="0.2">
      <c r="A177" s="84">
        <f t="shared" si="9"/>
        <v>171</v>
      </c>
      <c r="B177" s="85" t="e">
        <f>+MATCH(D177,ARTICULOS!$F$10:$F$699,0)</f>
        <v>#N/A</v>
      </c>
      <c r="C177" s="86" t="e">
        <f>+VLOOKUP(B177,ARTICULOS!$D$10:$I$699,6)</f>
        <v>#N/A</v>
      </c>
      <c r="D177" s="212"/>
      <c r="E177" s="75" t="e">
        <f t="shared" si="8"/>
        <v>#N/A</v>
      </c>
      <c r="F177" s="80"/>
      <c r="G177" s="81"/>
      <c r="H177" s="78"/>
      <c r="I177" s="78"/>
      <c r="J177" s="78"/>
    </row>
    <row r="178" spans="1:10" x14ac:dyDescent="0.2">
      <c r="A178" s="84">
        <f t="shared" si="9"/>
        <v>172</v>
      </c>
      <c r="B178" s="85" t="e">
        <f>+MATCH(D178,ARTICULOS!$F$10:$F$699,0)</f>
        <v>#N/A</v>
      </c>
      <c r="C178" s="86" t="e">
        <f>+VLOOKUP(B178,ARTICULOS!$D$10:$I$699,6)</f>
        <v>#N/A</v>
      </c>
      <c r="D178" s="212"/>
      <c r="E178" s="75" t="e">
        <f t="shared" si="8"/>
        <v>#N/A</v>
      </c>
      <c r="F178" s="80"/>
      <c r="G178" s="81"/>
      <c r="H178" s="78"/>
      <c r="I178" s="78"/>
      <c r="J178" s="78"/>
    </row>
    <row r="179" spans="1:10" x14ac:dyDescent="0.2">
      <c r="A179" s="84">
        <f t="shared" si="9"/>
        <v>173</v>
      </c>
      <c r="B179" s="85" t="e">
        <f>+MATCH(D179,ARTICULOS!$F$10:$F$699,0)</f>
        <v>#N/A</v>
      </c>
      <c r="C179" s="86" t="e">
        <f>+VLOOKUP(B179,ARTICULOS!$D$10:$I$699,6)</f>
        <v>#N/A</v>
      </c>
      <c r="D179" s="212"/>
      <c r="E179" s="75" t="e">
        <f t="shared" si="8"/>
        <v>#N/A</v>
      </c>
      <c r="F179" s="80"/>
      <c r="G179" s="81"/>
      <c r="H179" s="78"/>
      <c r="I179" s="78"/>
      <c r="J179" s="78"/>
    </row>
    <row r="180" spans="1:10" x14ac:dyDescent="0.2">
      <c r="A180" s="84">
        <f t="shared" si="9"/>
        <v>174</v>
      </c>
      <c r="B180" s="85" t="e">
        <f>+MATCH(D180,ARTICULOS!$F$10:$F$699,0)</f>
        <v>#N/A</v>
      </c>
      <c r="C180" s="86" t="e">
        <f>+VLOOKUP(B180,ARTICULOS!$D$10:$I$699,6)</f>
        <v>#N/A</v>
      </c>
      <c r="D180" s="212"/>
      <c r="E180" s="75" t="e">
        <f t="shared" si="8"/>
        <v>#N/A</v>
      </c>
      <c r="F180" s="80"/>
      <c r="G180" s="81"/>
      <c r="H180" s="78"/>
      <c r="I180" s="78"/>
      <c r="J180" s="78"/>
    </row>
    <row r="181" spans="1:10" x14ac:dyDescent="0.2">
      <c r="A181" s="84">
        <f t="shared" si="9"/>
        <v>175</v>
      </c>
      <c r="B181" s="85" t="e">
        <f>+MATCH(D181,ARTICULOS!$F$10:$F$699,0)</f>
        <v>#N/A</v>
      </c>
      <c r="C181" s="86" t="e">
        <f>+VLOOKUP(B181,ARTICULOS!$D$10:$I$699,6)</f>
        <v>#N/A</v>
      </c>
      <c r="D181" s="212"/>
      <c r="E181" s="75" t="e">
        <f t="shared" si="8"/>
        <v>#N/A</v>
      </c>
      <c r="F181" s="80"/>
      <c r="G181" s="81"/>
      <c r="H181" s="78"/>
      <c r="I181" s="78"/>
      <c r="J181" s="78"/>
    </row>
    <row r="182" spans="1:10" x14ac:dyDescent="0.2">
      <c r="A182" s="84">
        <f t="shared" si="9"/>
        <v>176</v>
      </c>
      <c r="B182" s="85" t="e">
        <f>+MATCH(D182,ARTICULOS!$F$10:$F$699,0)</f>
        <v>#N/A</v>
      </c>
      <c r="C182" s="86" t="e">
        <f>+VLOOKUP(B182,ARTICULOS!$D$10:$I$699,6)</f>
        <v>#N/A</v>
      </c>
      <c r="D182" s="212"/>
      <c r="E182" s="75" t="e">
        <f t="shared" si="8"/>
        <v>#N/A</v>
      </c>
      <c r="F182" s="80"/>
      <c r="G182" s="81"/>
      <c r="H182" s="78"/>
      <c r="I182" s="78"/>
      <c r="J182" s="78"/>
    </row>
    <row r="183" spans="1:10" x14ac:dyDescent="0.2">
      <c r="A183" s="84">
        <f t="shared" si="9"/>
        <v>177</v>
      </c>
      <c r="B183" s="85" t="e">
        <f>+MATCH(D183,ARTICULOS!$F$10:$F$699,0)</f>
        <v>#N/A</v>
      </c>
      <c r="C183" s="86" t="e">
        <f>+VLOOKUP(B183,ARTICULOS!$D$10:$I$699,6)</f>
        <v>#N/A</v>
      </c>
      <c r="D183" s="212"/>
      <c r="E183" s="75" t="e">
        <f t="shared" si="8"/>
        <v>#N/A</v>
      </c>
      <c r="F183" s="80"/>
      <c r="G183" s="81"/>
      <c r="H183" s="78"/>
      <c r="I183" s="78"/>
      <c r="J183" s="78"/>
    </row>
    <row r="184" spans="1:10" x14ac:dyDescent="0.2">
      <c r="A184" s="84">
        <f t="shared" si="9"/>
        <v>178</v>
      </c>
      <c r="B184" s="85" t="e">
        <f>+MATCH(D184,ARTICULOS!$F$10:$F$699,0)</f>
        <v>#N/A</v>
      </c>
      <c r="C184" s="86" t="e">
        <f>+VLOOKUP(B184,ARTICULOS!$D$10:$I$699,6)</f>
        <v>#N/A</v>
      </c>
      <c r="D184" s="212"/>
      <c r="E184" s="75" t="e">
        <f t="shared" si="8"/>
        <v>#N/A</v>
      </c>
      <c r="F184" s="80"/>
      <c r="G184" s="81"/>
      <c r="H184" s="78"/>
      <c r="I184" s="78"/>
      <c r="J184" s="78"/>
    </row>
    <row r="185" spans="1:10" x14ac:dyDescent="0.2">
      <c r="A185" s="84">
        <f t="shared" si="9"/>
        <v>179</v>
      </c>
      <c r="B185" s="85" t="e">
        <f>+MATCH(D185,ARTICULOS!$F$10:$F$699,0)</f>
        <v>#N/A</v>
      </c>
      <c r="C185" s="86" t="e">
        <f>+VLOOKUP(B185,ARTICULOS!$D$10:$I$699,6)</f>
        <v>#N/A</v>
      </c>
      <c r="D185" s="212"/>
      <c r="E185" s="75" t="e">
        <f t="shared" si="8"/>
        <v>#N/A</v>
      </c>
      <c r="F185" s="80"/>
      <c r="G185" s="81"/>
      <c r="H185" s="78"/>
      <c r="I185" s="78"/>
      <c r="J185" s="78"/>
    </row>
    <row r="186" spans="1:10" x14ac:dyDescent="0.2">
      <c r="A186" s="84">
        <f t="shared" si="9"/>
        <v>180</v>
      </c>
      <c r="B186" s="85" t="e">
        <f>+MATCH(D186,ARTICULOS!$F$10:$F$699,0)</f>
        <v>#N/A</v>
      </c>
      <c r="C186" s="86" t="e">
        <f>+VLOOKUP(B186,ARTICULOS!$D$10:$I$699,6)</f>
        <v>#N/A</v>
      </c>
      <c r="D186" s="212"/>
      <c r="E186" s="75" t="e">
        <f t="shared" si="8"/>
        <v>#N/A</v>
      </c>
      <c r="F186" s="80"/>
      <c r="G186" s="81"/>
      <c r="H186" s="78"/>
      <c r="I186" s="78"/>
      <c r="J186" s="78"/>
    </row>
    <row r="187" spans="1:10" x14ac:dyDescent="0.2">
      <c r="A187" s="84">
        <f t="shared" si="9"/>
        <v>181</v>
      </c>
      <c r="B187" s="85" t="e">
        <f>+MATCH(D187,ARTICULOS!$F$10:$F$699,0)</f>
        <v>#N/A</v>
      </c>
      <c r="C187" s="86" t="e">
        <f>+VLOOKUP(B187,ARTICULOS!$D$10:$I$699,6)</f>
        <v>#N/A</v>
      </c>
      <c r="D187" s="212"/>
      <c r="E187" s="75" t="e">
        <f t="shared" si="8"/>
        <v>#N/A</v>
      </c>
      <c r="F187" s="80"/>
      <c r="G187" s="81"/>
      <c r="H187" s="78"/>
      <c r="I187" s="78"/>
      <c r="J187" s="78"/>
    </row>
    <row r="188" spans="1:10" x14ac:dyDescent="0.2">
      <c r="A188" s="84">
        <f t="shared" si="9"/>
        <v>182</v>
      </c>
      <c r="B188" s="85" t="e">
        <f>+MATCH(D188,ARTICULOS!$F$10:$F$699,0)</f>
        <v>#N/A</v>
      </c>
      <c r="C188" s="86" t="e">
        <f>+VLOOKUP(B188,ARTICULOS!$D$10:$I$699,6)</f>
        <v>#N/A</v>
      </c>
      <c r="D188" s="212"/>
      <c r="E188" s="75" t="e">
        <f t="shared" si="8"/>
        <v>#N/A</v>
      </c>
      <c r="F188" s="80"/>
      <c r="G188" s="81"/>
      <c r="H188" s="78"/>
      <c r="I188" s="78"/>
      <c r="J188" s="78"/>
    </row>
    <row r="189" spans="1:10" x14ac:dyDescent="0.2">
      <c r="A189" s="84">
        <f t="shared" si="9"/>
        <v>183</v>
      </c>
      <c r="B189" s="85" t="e">
        <f>+MATCH(D189,ARTICULOS!$F$10:$F$699,0)</f>
        <v>#N/A</v>
      </c>
      <c r="C189" s="86" t="e">
        <f>+VLOOKUP(B189,ARTICULOS!$D$10:$I$699,6)</f>
        <v>#N/A</v>
      </c>
      <c r="D189" s="212"/>
      <c r="E189" s="75" t="e">
        <f t="shared" si="8"/>
        <v>#N/A</v>
      </c>
      <c r="F189" s="80"/>
      <c r="G189" s="81"/>
      <c r="H189" s="78"/>
      <c r="I189" s="78"/>
      <c r="J189" s="78"/>
    </row>
    <row r="190" spans="1:10" x14ac:dyDescent="0.2">
      <c r="A190" s="84">
        <f t="shared" si="9"/>
        <v>184</v>
      </c>
      <c r="B190" s="85" t="e">
        <f>+MATCH(D190,ARTICULOS!$F$10:$F$699,0)</f>
        <v>#N/A</v>
      </c>
      <c r="C190" s="86" t="e">
        <f>+VLOOKUP(B190,ARTICULOS!$D$10:$I$699,6)</f>
        <v>#N/A</v>
      </c>
      <c r="D190" s="212"/>
      <c r="E190" s="75" t="e">
        <f t="shared" si="8"/>
        <v>#N/A</v>
      </c>
      <c r="F190" s="80"/>
      <c r="G190" s="81"/>
      <c r="H190" s="78"/>
      <c r="I190" s="78"/>
      <c r="J190" s="78"/>
    </row>
    <row r="191" spans="1:10" x14ac:dyDescent="0.2">
      <c r="A191" s="84">
        <f t="shared" si="9"/>
        <v>185</v>
      </c>
      <c r="B191" s="85" t="e">
        <f>+MATCH(D191,ARTICULOS!$F$10:$F$699,0)</f>
        <v>#N/A</v>
      </c>
      <c r="C191" s="86" t="e">
        <f>+VLOOKUP(B191,ARTICULOS!$D$10:$I$699,6)</f>
        <v>#N/A</v>
      </c>
      <c r="D191" s="212"/>
      <c r="E191" s="75" t="e">
        <f t="shared" si="8"/>
        <v>#N/A</v>
      </c>
      <c r="F191" s="80"/>
      <c r="G191" s="81"/>
      <c r="H191" s="78"/>
      <c r="I191" s="78"/>
      <c r="J191" s="78"/>
    </row>
    <row r="192" spans="1:10" x14ac:dyDescent="0.2">
      <c r="A192" s="84">
        <f t="shared" si="9"/>
        <v>186</v>
      </c>
      <c r="B192" s="85" t="e">
        <f>+MATCH(D192,ARTICULOS!$F$10:$F$699,0)</f>
        <v>#N/A</v>
      </c>
      <c r="C192" s="86" t="e">
        <f>+VLOOKUP(B192,ARTICULOS!$D$10:$I$699,6)</f>
        <v>#N/A</v>
      </c>
      <c r="D192" s="212"/>
      <c r="E192" s="75" t="e">
        <f t="shared" si="8"/>
        <v>#N/A</v>
      </c>
      <c r="F192" s="80"/>
      <c r="G192" s="81"/>
      <c r="H192" s="78"/>
      <c r="I192" s="78"/>
      <c r="J192" s="78"/>
    </row>
    <row r="193" spans="1:10" x14ac:dyDescent="0.2">
      <c r="A193" s="84">
        <f t="shared" si="9"/>
        <v>187</v>
      </c>
      <c r="B193" s="85" t="e">
        <f>+MATCH(D193,ARTICULOS!$F$10:$F$699,0)</f>
        <v>#N/A</v>
      </c>
      <c r="C193" s="86" t="e">
        <f>+VLOOKUP(B193,ARTICULOS!$D$10:$I$699,6)</f>
        <v>#N/A</v>
      </c>
      <c r="D193" s="212"/>
      <c r="E193" s="75" t="e">
        <f t="shared" si="8"/>
        <v>#N/A</v>
      </c>
      <c r="F193" s="80"/>
      <c r="G193" s="81"/>
      <c r="H193" s="78"/>
      <c r="I193" s="78"/>
      <c r="J193" s="78"/>
    </row>
    <row r="194" spans="1:10" x14ac:dyDescent="0.2">
      <c r="A194" s="84">
        <f t="shared" si="9"/>
        <v>188</v>
      </c>
      <c r="B194" s="85" t="e">
        <f>+MATCH(D194,ARTICULOS!$F$10:$F$699,0)</f>
        <v>#N/A</v>
      </c>
      <c r="C194" s="86" t="e">
        <f>+VLOOKUP(B194,ARTICULOS!$D$10:$I$699,6)</f>
        <v>#N/A</v>
      </c>
      <c r="D194" s="212"/>
      <c r="E194" s="75" t="e">
        <f t="shared" si="8"/>
        <v>#N/A</v>
      </c>
      <c r="F194" s="80"/>
      <c r="G194" s="81"/>
      <c r="H194" s="78"/>
      <c r="I194" s="78"/>
      <c r="J194" s="78"/>
    </row>
    <row r="195" spans="1:10" x14ac:dyDescent="0.2">
      <c r="A195" s="84">
        <f t="shared" si="9"/>
        <v>189</v>
      </c>
      <c r="B195" s="85" t="e">
        <f>+MATCH(D195,ARTICULOS!$F$10:$F$699,0)</f>
        <v>#N/A</v>
      </c>
      <c r="C195" s="86" t="e">
        <f>+VLOOKUP(B195,ARTICULOS!$D$10:$I$699,6)</f>
        <v>#N/A</v>
      </c>
      <c r="D195" s="212"/>
      <c r="E195" s="75" t="e">
        <f t="shared" si="8"/>
        <v>#N/A</v>
      </c>
      <c r="F195" s="80"/>
      <c r="G195" s="81"/>
      <c r="H195" s="78"/>
      <c r="I195" s="78"/>
      <c r="J195" s="78"/>
    </row>
    <row r="196" spans="1:10" x14ac:dyDescent="0.2">
      <c r="A196" s="84">
        <f t="shared" si="9"/>
        <v>190</v>
      </c>
      <c r="B196" s="85" t="e">
        <f>+MATCH(D196,ARTICULOS!$F$10:$F$699,0)</f>
        <v>#N/A</v>
      </c>
      <c r="C196" s="86" t="e">
        <f>+VLOOKUP(B196,ARTICULOS!$D$10:$I$699,6)</f>
        <v>#N/A</v>
      </c>
      <c r="D196" s="212"/>
      <c r="E196" s="75" t="e">
        <f t="shared" si="8"/>
        <v>#N/A</v>
      </c>
      <c r="F196" s="80"/>
      <c r="G196" s="81"/>
      <c r="H196" s="78"/>
      <c r="I196" s="78"/>
      <c r="J196" s="78"/>
    </row>
    <row r="197" spans="1:10" x14ac:dyDescent="0.2">
      <c r="A197" s="84">
        <f t="shared" si="9"/>
        <v>191</v>
      </c>
      <c r="B197" s="85" t="e">
        <f>+MATCH(D197,ARTICULOS!$F$10:$F$699,0)</f>
        <v>#N/A</v>
      </c>
      <c r="C197" s="86" t="e">
        <f>+VLOOKUP(B197,ARTICULOS!$D$10:$I$699,6)</f>
        <v>#N/A</v>
      </c>
      <c r="D197" s="212"/>
      <c r="E197" s="75" t="e">
        <f t="shared" si="8"/>
        <v>#N/A</v>
      </c>
      <c r="F197" s="80"/>
      <c r="G197" s="81"/>
      <c r="H197" s="78"/>
      <c r="I197" s="78"/>
      <c r="J197" s="78"/>
    </row>
    <row r="198" spans="1:10" x14ac:dyDescent="0.2">
      <c r="A198" s="84">
        <f t="shared" si="9"/>
        <v>192</v>
      </c>
      <c r="B198" s="85" t="e">
        <f>+MATCH(D198,ARTICULOS!$F$10:$F$699,0)</f>
        <v>#N/A</v>
      </c>
      <c r="C198" s="86" t="e">
        <f>+VLOOKUP(B198,ARTICULOS!$D$10:$I$699,6)</f>
        <v>#N/A</v>
      </c>
      <c r="D198" s="212"/>
      <c r="E198" s="75" t="e">
        <f t="shared" si="8"/>
        <v>#N/A</v>
      </c>
      <c r="F198" s="80"/>
      <c r="G198" s="81"/>
      <c r="H198" s="78"/>
      <c r="I198" s="78"/>
      <c r="J198" s="78"/>
    </row>
    <row r="199" spans="1:10" x14ac:dyDescent="0.2">
      <c r="A199" s="84">
        <f t="shared" si="9"/>
        <v>193</v>
      </c>
      <c r="B199" s="85" t="e">
        <f>+MATCH(D199,ARTICULOS!$F$10:$F$699,0)</f>
        <v>#N/A</v>
      </c>
      <c r="C199" s="86" t="e">
        <f>+VLOOKUP(B199,ARTICULOS!$D$10:$I$699,6)</f>
        <v>#N/A</v>
      </c>
      <c r="D199" s="212"/>
      <c r="E199" s="75" t="e">
        <f t="shared" si="8"/>
        <v>#N/A</v>
      </c>
      <c r="F199" s="80"/>
      <c r="G199" s="81"/>
      <c r="H199" s="78"/>
      <c r="I199" s="78"/>
      <c r="J199" s="78"/>
    </row>
    <row r="200" spans="1:10" x14ac:dyDescent="0.2">
      <c r="A200" s="84">
        <f t="shared" si="9"/>
        <v>194</v>
      </c>
      <c r="B200" s="85" t="e">
        <f>+MATCH(D200,ARTICULOS!$F$10:$F$699,0)</f>
        <v>#N/A</v>
      </c>
      <c r="C200" s="86" t="e">
        <f>+VLOOKUP(B200,ARTICULOS!$D$10:$I$699,6)</f>
        <v>#N/A</v>
      </c>
      <c r="D200" s="212"/>
      <c r="E200" s="75" t="e">
        <f t="shared" si="8"/>
        <v>#N/A</v>
      </c>
      <c r="F200" s="80"/>
      <c r="G200" s="81"/>
      <c r="H200" s="78"/>
      <c r="I200" s="78"/>
      <c r="J200" s="78"/>
    </row>
    <row r="201" spans="1:10" x14ac:dyDescent="0.2">
      <c r="A201" s="84">
        <f t="shared" si="9"/>
        <v>195</v>
      </c>
      <c r="B201" s="85" t="e">
        <f>+MATCH(D201,ARTICULOS!$F$10:$F$699,0)</f>
        <v>#N/A</v>
      </c>
      <c r="C201" s="86" t="e">
        <f>+VLOOKUP(B201,ARTICULOS!$D$10:$I$699,6)</f>
        <v>#N/A</v>
      </c>
      <c r="D201" s="212"/>
      <c r="E201" s="75" t="e">
        <f t="shared" si="8"/>
        <v>#N/A</v>
      </c>
      <c r="F201" s="80"/>
      <c r="G201" s="81"/>
      <c r="H201" s="78"/>
      <c r="I201" s="78"/>
      <c r="J201" s="78"/>
    </row>
    <row r="202" spans="1:10" x14ac:dyDescent="0.2">
      <c r="A202" s="84">
        <f t="shared" si="9"/>
        <v>196</v>
      </c>
      <c r="B202" s="85" t="e">
        <f>+MATCH(D202,ARTICULOS!$F$10:$F$699,0)</f>
        <v>#N/A</v>
      </c>
      <c r="C202" s="86" t="e">
        <f>+VLOOKUP(B202,ARTICULOS!$D$10:$I$699,6)</f>
        <v>#N/A</v>
      </c>
      <c r="D202" s="212"/>
      <c r="E202" s="75" t="e">
        <f t="shared" si="8"/>
        <v>#N/A</v>
      </c>
      <c r="F202" s="80"/>
      <c r="G202" s="81"/>
      <c r="H202" s="78"/>
      <c r="I202" s="78"/>
      <c r="J202" s="78"/>
    </row>
    <row r="203" spans="1:10" x14ac:dyDescent="0.2">
      <c r="A203" s="84">
        <f t="shared" si="9"/>
        <v>197</v>
      </c>
      <c r="B203" s="85" t="e">
        <f>+MATCH(D203,ARTICULOS!$F$10:$F$699,0)</f>
        <v>#N/A</v>
      </c>
      <c r="C203" s="86" t="e">
        <f>+VLOOKUP(B203,ARTICULOS!$D$10:$I$699,6)</f>
        <v>#N/A</v>
      </c>
      <c r="D203" s="212"/>
      <c r="E203" s="75" t="e">
        <f t="shared" ref="E203:E266" si="10">+C203&amp;F203</f>
        <v>#N/A</v>
      </c>
      <c r="F203" s="80"/>
      <c r="G203" s="81"/>
      <c r="H203" s="78"/>
      <c r="I203" s="78"/>
      <c r="J203" s="78"/>
    </row>
    <row r="204" spans="1:10" x14ac:dyDescent="0.2">
      <c r="A204" s="84">
        <f t="shared" si="9"/>
        <v>198</v>
      </c>
      <c r="B204" s="85" t="e">
        <f>+MATCH(D204,ARTICULOS!$F$10:$F$699,0)</f>
        <v>#N/A</v>
      </c>
      <c r="C204" s="86" t="e">
        <f>+VLOOKUP(B204,ARTICULOS!$D$10:$I$699,6)</f>
        <v>#N/A</v>
      </c>
      <c r="D204" s="212"/>
      <c r="E204" s="75" t="e">
        <f t="shared" si="10"/>
        <v>#N/A</v>
      </c>
      <c r="F204" s="80"/>
      <c r="G204" s="81"/>
      <c r="H204" s="78"/>
      <c r="I204" s="78"/>
      <c r="J204" s="78"/>
    </row>
    <row r="205" spans="1:10" x14ac:dyDescent="0.2">
      <c r="A205" s="84">
        <f t="shared" si="9"/>
        <v>199</v>
      </c>
      <c r="B205" s="85" t="e">
        <f>+MATCH(D205,ARTICULOS!$F$10:$F$699,0)</f>
        <v>#N/A</v>
      </c>
      <c r="C205" s="86" t="e">
        <f>+VLOOKUP(B205,ARTICULOS!$D$10:$I$699,6)</f>
        <v>#N/A</v>
      </c>
      <c r="D205" s="212"/>
      <c r="E205" s="75" t="e">
        <f t="shared" si="10"/>
        <v>#N/A</v>
      </c>
      <c r="F205" s="80"/>
      <c r="G205" s="81"/>
      <c r="H205" s="78"/>
      <c r="I205" s="78"/>
      <c r="J205" s="78"/>
    </row>
    <row r="206" spans="1:10" x14ac:dyDescent="0.2">
      <c r="A206" s="84">
        <f t="shared" si="9"/>
        <v>200</v>
      </c>
      <c r="B206" s="85" t="e">
        <f>+MATCH(D206,ARTICULOS!$F$10:$F$699,0)</f>
        <v>#N/A</v>
      </c>
      <c r="C206" s="86" t="e">
        <f>+VLOOKUP(B206,ARTICULOS!$D$10:$I$699,6)</f>
        <v>#N/A</v>
      </c>
      <c r="D206" s="212"/>
      <c r="E206" s="75" t="e">
        <f t="shared" si="10"/>
        <v>#N/A</v>
      </c>
      <c r="F206" s="80"/>
      <c r="G206" s="81"/>
      <c r="H206" s="78"/>
      <c r="I206" s="78"/>
      <c r="J206" s="78"/>
    </row>
    <row r="207" spans="1:10" x14ac:dyDescent="0.2">
      <c r="A207" s="84">
        <f t="shared" si="9"/>
        <v>201</v>
      </c>
      <c r="B207" s="85" t="e">
        <f>+MATCH(D207,ARTICULOS!$F$10:$F$699,0)</f>
        <v>#N/A</v>
      </c>
      <c r="C207" s="86" t="e">
        <f>+VLOOKUP(B207,ARTICULOS!$D$10:$I$699,6)</f>
        <v>#N/A</v>
      </c>
      <c r="D207" s="212"/>
      <c r="E207" s="75" t="e">
        <f t="shared" si="10"/>
        <v>#N/A</v>
      </c>
      <c r="F207" s="80"/>
      <c r="G207" s="81"/>
      <c r="H207" s="78"/>
      <c r="I207" s="78"/>
      <c r="J207" s="78"/>
    </row>
    <row r="208" spans="1:10" x14ac:dyDescent="0.2">
      <c r="A208" s="84">
        <f t="shared" si="9"/>
        <v>202</v>
      </c>
      <c r="B208" s="85" t="e">
        <f>+MATCH(D208,ARTICULOS!$F$10:$F$699,0)</f>
        <v>#N/A</v>
      </c>
      <c r="C208" s="86" t="e">
        <f>+VLOOKUP(B208,ARTICULOS!$D$10:$I$699,6)</f>
        <v>#N/A</v>
      </c>
      <c r="D208" s="212"/>
      <c r="E208" s="75" t="e">
        <f t="shared" si="10"/>
        <v>#N/A</v>
      </c>
      <c r="F208" s="80"/>
      <c r="G208" s="81"/>
      <c r="H208" s="78"/>
      <c r="I208" s="78"/>
      <c r="J208" s="78"/>
    </row>
    <row r="209" spans="1:10" x14ac:dyDescent="0.2">
      <c r="A209" s="84">
        <f t="shared" si="9"/>
        <v>203</v>
      </c>
      <c r="B209" s="85" t="e">
        <f>+MATCH(D209,ARTICULOS!$F$10:$F$699,0)</f>
        <v>#N/A</v>
      </c>
      <c r="C209" s="86" t="e">
        <f>+VLOOKUP(B209,ARTICULOS!$D$10:$I$699,6)</f>
        <v>#N/A</v>
      </c>
      <c r="D209" s="212"/>
      <c r="E209" s="75" t="e">
        <f t="shared" si="10"/>
        <v>#N/A</v>
      </c>
      <c r="F209" s="80"/>
      <c r="G209" s="81"/>
      <c r="H209" s="78"/>
      <c r="I209" s="78"/>
      <c r="J209" s="78"/>
    </row>
    <row r="210" spans="1:10" x14ac:dyDescent="0.2">
      <c r="A210" s="84">
        <f t="shared" si="9"/>
        <v>204</v>
      </c>
      <c r="B210" s="85" t="e">
        <f>+MATCH(D210,ARTICULOS!$F$10:$F$699,0)</f>
        <v>#N/A</v>
      </c>
      <c r="C210" s="86" t="e">
        <f>+VLOOKUP(B210,ARTICULOS!$D$10:$I$699,6)</f>
        <v>#N/A</v>
      </c>
      <c r="D210" s="212"/>
      <c r="E210" s="75" t="e">
        <f t="shared" si="10"/>
        <v>#N/A</v>
      </c>
      <c r="F210" s="80"/>
      <c r="G210" s="81"/>
      <c r="H210" s="78"/>
      <c r="I210" s="78"/>
      <c r="J210" s="78"/>
    </row>
    <row r="211" spans="1:10" x14ac:dyDescent="0.2">
      <c r="A211" s="84">
        <f t="shared" si="9"/>
        <v>205</v>
      </c>
      <c r="B211" s="85" t="e">
        <f>+MATCH(D211,ARTICULOS!$F$10:$F$699,0)</f>
        <v>#N/A</v>
      </c>
      <c r="C211" s="86" t="e">
        <f>+VLOOKUP(B211,ARTICULOS!$D$10:$I$699,6)</f>
        <v>#N/A</v>
      </c>
      <c r="D211" s="212"/>
      <c r="E211" s="75" t="e">
        <f t="shared" si="10"/>
        <v>#N/A</v>
      </c>
      <c r="F211" s="80"/>
      <c r="G211" s="81"/>
      <c r="H211" s="78"/>
      <c r="I211" s="78"/>
      <c r="J211" s="78"/>
    </row>
    <row r="212" spans="1:10" x14ac:dyDescent="0.2">
      <c r="A212" s="84">
        <f t="shared" si="9"/>
        <v>206</v>
      </c>
      <c r="B212" s="85" t="e">
        <f>+MATCH(D212,ARTICULOS!$F$10:$F$699,0)</f>
        <v>#N/A</v>
      </c>
      <c r="C212" s="86" t="e">
        <f>+VLOOKUP(B212,ARTICULOS!$D$10:$I$699,6)</f>
        <v>#N/A</v>
      </c>
      <c r="D212" s="212"/>
      <c r="E212" s="75" t="e">
        <f t="shared" si="10"/>
        <v>#N/A</v>
      </c>
      <c r="F212" s="80"/>
      <c r="G212" s="81"/>
      <c r="H212" s="78"/>
      <c r="I212" s="78"/>
      <c r="J212" s="78"/>
    </row>
    <row r="213" spans="1:10" x14ac:dyDescent="0.2">
      <c r="A213" s="84">
        <f t="shared" si="9"/>
        <v>207</v>
      </c>
      <c r="B213" s="85" t="e">
        <f>+MATCH(D213,ARTICULOS!$F$10:$F$699,0)</f>
        <v>#N/A</v>
      </c>
      <c r="C213" s="86" t="e">
        <f>+VLOOKUP(B213,ARTICULOS!$D$10:$I$699,6)</f>
        <v>#N/A</v>
      </c>
      <c r="D213" s="212"/>
      <c r="E213" s="75" t="e">
        <f t="shared" si="10"/>
        <v>#N/A</v>
      </c>
      <c r="F213" s="80"/>
      <c r="G213" s="81"/>
      <c r="H213" s="78"/>
      <c r="I213" s="78"/>
      <c r="J213" s="78"/>
    </row>
    <row r="214" spans="1:10" x14ac:dyDescent="0.2">
      <c r="A214" s="84">
        <f t="shared" si="9"/>
        <v>208</v>
      </c>
      <c r="B214" s="85" t="e">
        <f>+MATCH(D214,ARTICULOS!$F$10:$F$699,0)</f>
        <v>#N/A</v>
      </c>
      <c r="C214" s="86" t="e">
        <f>+VLOOKUP(B214,ARTICULOS!$D$10:$I$699,6)</f>
        <v>#N/A</v>
      </c>
      <c r="D214" s="212"/>
      <c r="E214" s="75" t="e">
        <f t="shared" si="10"/>
        <v>#N/A</v>
      </c>
      <c r="F214" s="80"/>
      <c r="G214" s="81"/>
      <c r="H214" s="78"/>
      <c r="I214" s="78"/>
      <c r="J214" s="78"/>
    </row>
    <row r="215" spans="1:10" x14ac:dyDescent="0.2">
      <c r="A215" s="84">
        <f t="shared" si="9"/>
        <v>209</v>
      </c>
      <c r="B215" s="85" t="e">
        <f>+MATCH(D215,ARTICULOS!$F$10:$F$699,0)</f>
        <v>#N/A</v>
      </c>
      <c r="C215" s="86" t="e">
        <f>+VLOOKUP(B215,ARTICULOS!$D$10:$I$699,6)</f>
        <v>#N/A</v>
      </c>
      <c r="D215" s="212"/>
      <c r="E215" s="75" t="e">
        <f t="shared" si="10"/>
        <v>#N/A</v>
      </c>
      <c r="F215" s="80"/>
      <c r="G215" s="81"/>
      <c r="H215" s="78"/>
      <c r="I215" s="78"/>
      <c r="J215" s="78"/>
    </row>
    <row r="216" spans="1:10" x14ac:dyDescent="0.2">
      <c r="A216" s="84">
        <f t="shared" si="9"/>
        <v>210</v>
      </c>
      <c r="B216" s="85" t="e">
        <f>+MATCH(D216,ARTICULOS!$F$10:$F$699,0)</f>
        <v>#N/A</v>
      </c>
      <c r="C216" s="86" t="e">
        <f>+VLOOKUP(B216,ARTICULOS!$D$10:$I$699,6)</f>
        <v>#N/A</v>
      </c>
      <c r="D216" s="212"/>
      <c r="E216" s="75" t="e">
        <f t="shared" si="10"/>
        <v>#N/A</v>
      </c>
      <c r="F216" s="80"/>
      <c r="G216" s="81"/>
      <c r="H216" s="78"/>
      <c r="I216" s="78"/>
      <c r="J216" s="78"/>
    </row>
    <row r="217" spans="1:10" x14ac:dyDescent="0.2">
      <c r="A217" s="84">
        <f t="shared" si="9"/>
        <v>211</v>
      </c>
      <c r="B217" s="85" t="e">
        <f>+MATCH(D217,ARTICULOS!$F$10:$F$699,0)</f>
        <v>#N/A</v>
      </c>
      <c r="C217" s="86" t="e">
        <f>+VLOOKUP(B217,ARTICULOS!$D$10:$I$699,6)</f>
        <v>#N/A</v>
      </c>
      <c r="D217" s="212"/>
      <c r="E217" s="75" t="e">
        <f t="shared" si="10"/>
        <v>#N/A</v>
      </c>
      <c r="F217" s="80"/>
      <c r="G217" s="81"/>
      <c r="H217" s="78"/>
      <c r="I217" s="78"/>
      <c r="J217" s="78"/>
    </row>
    <row r="218" spans="1:10" x14ac:dyDescent="0.2">
      <c r="A218" s="84">
        <f t="shared" si="9"/>
        <v>212</v>
      </c>
      <c r="B218" s="85" t="e">
        <f>+MATCH(D218,ARTICULOS!$F$10:$F$699,0)</f>
        <v>#N/A</v>
      </c>
      <c r="C218" s="86" t="e">
        <f>+VLOOKUP(B218,ARTICULOS!$D$10:$I$699,6)</f>
        <v>#N/A</v>
      </c>
      <c r="D218" s="212"/>
      <c r="E218" s="75" t="e">
        <f t="shared" si="10"/>
        <v>#N/A</v>
      </c>
      <c r="F218" s="80"/>
      <c r="G218" s="81"/>
      <c r="H218" s="78"/>
      <c r="I218" s="78"/>
      <c r="J218" s="78"/>
    </row>
    <row r="219" spans="1:10" x14ac:dyDescent="0.2">
      <c r="A219" s="84">
        <f t="shared" si="9"/>
        <v>213</v>
      </c>
      <c r="B219" s="85" t="e">
        <f>+MATCH(D219,ARTICULOS!$F$10:$F$699,0)</f>
        <v>#N/A</v>
      </c>
      <c r="C219" s="86" t="e">
        <f>+VLOOKUP(B219,ARTICULOS!$D$10:$I$699,6)</f>
        <v>#N/A</v>
      </c>
      <c r="D219" s="212"/>
      <c r="E219" s="75" t="e">
        <f t="shared" si="10"/>
        <v>#N/A</v>
      </c>
      <c r="F219" s="80"/>
      <c r="G219" s="81"/>
      <c r="H219" s="78"/>
      <c r="I219" s="78"/>
      <c r="J219" s="78"/>
    </row>
    <row r="220" spans="1:10" x14ac:dyDescent="0.2">
      <c r="A220" s="84">
        <f t="shared" si="9"/>
        <v>214</v>
      </c>
      <c r="B220" s="85" t="e">
        <f>+MATCH(D220,ARTICULOS!$F$10:$F$699,0)</f>
        <v>#N/A</v>
      </c>
      <c r="C220" s="86" t="e">
        <f>+VLOOKUP(B220,ARTICULOS!$D$10:$I$699,6)</f>
        <v>#N/A</v>
      </c>
      <c r="D220" s="212"/>
      <c r="E220" s="75" t="e">
        <f t="shared" si="10"/>
        <v>#N/A</v>
      </c>
      <c r="F220" s="80"/>
      <c r="G220" s="81"/>
      <c r="H220" s="78"/>
      <c r="I220" s="78"/>
      <c r="J220" s="78"/>
    </row>
    <row r="221" spans="1:10" x14ac:dyDescent="0.2">
      <c r="A221" s="84">
        <f t="shared" si="9"/>
        <v>215</v>
      </c>
      <c r="B221" s="85" t="e">
        <f>+MATCH(D221,ARTICULOS!$F$10:$F$699,0)</f>
        <v>#N/A</v>
      </c>
      <c r="C221" s="86" t="e">
        <f>+VLOOKUP(B221,ARTICULOS!$D$10:$I$699,6)</f>
        <v>#N/A</v>
      </c>
      <c r="D221" s="212"/>
      <c r="E221" s="75" t="e">
        <f t="shared" si="10"/>
        <v>#N/A</v>
      </c>
      <c r="F221" s="80"/>
      <c r="G221" s="81"/>
      <c r="H221" s="78"/>
      <c r="I221" s="78"/>
      <c r="J221" s="78"/>
    </row>
    <row r="222" spans="1:10" x14ac:dyDescent="0.2">
      <c r="A222" s="84">
        <f t="shared" si="9"/>
        <v>216</v>
      </c>
      <c r="B222" s="85" t="e">
        <f>+MATCH(D222,ARTICULOS!$F$10:$F$699,0)</f>
        <v>#N/A</v>
      </c>
      <c r="C222" s="86" t="e">
        <f>+VLOOKUP(B222,ARTICULOS!$D$10:$I$699,6)</f>
        <v>#N/A</v>
      </c>
      <c r="D222" s="212"/>
      <c r="E222" s="75" t="e">
        <f t="shared" si="10"/>
        <v>#N/A</v>
      </c>
      <c r="F222" s="80"/>
      <c r="G222" s="81"/>
      <c r="H222" s="78"/>
      <c r="I222" s="78"/>
      <c r="J222" s="78"/>
    </row>
    <row r="223" spans="1:10" x14ac:dyDescent="0.2">
      <c r="A223" s="84">
        <f t="shared" si="9"/>
        <v>217</v>
      </c>
      <c r="B223" s="85" t="e">
        <f>+MATCH(D223,ARTICULOS!$F$10:$F$699,0)</f>
        <v>#N/A</v>
      </c>
      <c r="C223" s="86" t="e">
        <f>+VLOOKUP(B223,ARTICULOS!$D$10:$I$699,6)</f>
        <v>#N/A</v>
      </c>
      <c r="D223" s="212"/>
      <c r="E223" s="75" t="e">
        <f t="shared" si="10"/>
        <v>#N/A</v>
      </c>
      <c r="F223" s="80"/>
      <c r="G223" s="81"/>
      <c r="H223" s="78"/>
      <c r="I223" s="78"/>
      <c r="J223" s="78"/>
    </row>
    <row r="224" spans="1:10" x14ac:dyDescent="0.2">
      <c r="A224" s="84">
        <f t="shared" si="9"/>
        <v>218</v>
      </c>
      <c r="B224" s="85" t="e">
        <f>+MATCH(D224,ARTICULOS!$F$10:$F$699,0)</f>
        <v>#N/A</v>
      </c>
      <c r="C224" s="86" t="e">
        <f>+VLOOKUP(B224,ARTICULOS!$D$10:$I$699,6)</f>
        <v>#N/A</v>
      </c>
      <c r="D224" s="212"/>
      <c r="E224" s="75" t="e">
        <f t="shared" si="10"/>
        <v>#N/A</v>
      </c>
      <c r="F224" s="80"/>
      <c r="G224" s="81"/>
      <c r="H224" s="78"/>
      <c r="I224" s="78"/>
      <c r="J224" s="78"/>
    </row>
    <row r="225" spans="1:10" x14ac:dyDescent="0.2">
      <c r="A225" s="84">
        <f t="shared" si="9"/>
        <v>219</v>
      </c>
      <c r="B225" s="85" t="e">
        <f>+MATCH(D225,ARTICULOS!$F$10:$F$699,0)</f>
        <v>#N/A</v>
      </c>
      <c r="C225" s="86" t="e">
        <f>+VLOOKUP(B225,ARTICULOS!$D$10:$I$699,6)</f>
        <v>#N/A</v>
      </c>
      <c r="D225" s="212"/>
      <c r="E225" s="75" t="e">
        <f t="shared" si="10"/>
        <v>#N/A</v>
      </c>
      <c r="F225" s="80"/>
      <c r="G225" s="81"/>
      <c r="H225" s="78"/>
      <c r="I225" s="78"/>
      <c r="J225" s="78"/>
    </row>
    <row r="226" spans="1:10" x14ac:dyDescent="0.2">
      <c r="A226" s="84">
        <f t="shared" si="9"/>
        <v>220</v>
      </c>
      <c r="B226" s="85" t="e">
        <f>+MATCH(D226,ARTICULOS!$F$10:$F$699,0)</f>
        <v>#N/A</v>
      </c>
      <c r="C226" s="86" t="e">
        <f>+VLOOKUP(B226,ARTICULOS!$D$10:$I$699,6)</f>
        <v>#N/A</v>
      </c>
      <c r="D226" s="212"/>
      <c r="E226" s="75" t="e">
        <f t="shared" si="10"/>
        <v>#N/A</v>
      </c>
      <c r="F226" s="80"/>
      <c r="G226" s="81"/>
      <c r="H226" s="78"/>
      <c r="I226" s="78"/>
      <c r="J226" s="78"/>
    </row>
    <row r="227" spans="1:10" x14ac:dyDescent="0.2">
      <c r="A227" s="84">
        <f t="shared" si="9"/>
        <v>221</v>
      </c>
      <c r="B227" s="85" t="e">
        <f>+MATCH(D227,ARTICULOS!$F$10:$F$699,0)</f>
        <v>#N/A</v>
      </c>
      <c r="C227" s="86" t="e">
        <f>+VLOOKUP(B227,ARTICULOS!$D$10:$I$699,6)</f>
        <v>#N/A</v>
      </c>
      <c r="D227" s="212"/>
      <c r="E227" s="75" t="e">
        <f t="shared" si="10"/>
        <v>#N/A</v>
      </c>
      <c r="F227" s="80"/>
      <c r="G227" s="81"/>
      <c r="H227" s="78"/>
      <c r="I227" s="78"/>
      <c r="J227" s="78"/>
    </row>
    <row r="228" spans="1:10" x14ac:dyDescent="0.2">
      <c r="A228" s="84">
        <f t="shared" si="9"/>
        <v>222</v>
      </c>
      <c r="B228" s="85" t="e">
        <f>+MATCH(D228,ARTICULOS!$F$10:$F$699,0)</f>
        <v>#N/A</v>
      </c>
      <c r="C228" s="86" t="e">
        <f>+VLOOKUP(B228,ARTICULOS!$D$10:$I$699,6)</f>
        <v>#N/A</v>
      </c>
      <c r="D228" s="212"/>
      <c r="E228" s="75" t="e">
        <f t="shared" si="10"/>
        <v>#N/A</v>
      </c>
      <c r="F228" s="80"/>
      <c r="G228" s="81"/>
      <c r="H228" s="78"/>
      <c r="I228" s="78"/>
      <c r="J228" s="78"/>
    </row>
    <row r="229" spans="1:10" x14ac:dyDescent="0.2">
      <c r="A229" s="84">
        <f t="shared" si="9"/>
        <v>223</v>
      </c>
      <c r="B229" s="85" t="e">
        <f>+MATCH(D229,ARTICULOS!$F$10:$F$699,0)</f>
        <v>#N/A</v>
      </c>
      <c r="C229" s="86" t="e">
        <f>+VLOOKUP(B229,ARTICULOS!$D$10:$I$699,6)</f>
        <v>#N/A</v>
      </c>
      <c r="D229" s="212"/>
      <c r="E229" s="75" t="e">
        <f t="shared" si="10"/>
        <v>#N/A</v>
      </c>
      <c r="F229" s="80"/>
      <c r="G229" s="81"/>
      <c r="H229" s="78"/>
      <c r="I229" s="78"/>
      <c r="J229" s="78"/>
    </row>
    <row r="230" spans="1:10" x14ac:dyDescent="0.2">
      <c r="A230" s="84">
        <f t="shared" si="9"/>
        <v>224</v>
      </c>
      <c r="B230" s="85" t="e">
        <f>+MATCH(D230,ARTICULOS!$F$10:$F$699,0)</f>
        <v>#N/A</v>
      </c>
      <c r="C230" s="86" t="e">
        <f>+VLOOKUP(B230,ARTICULOS!$D$10:$I$699,6)</f>
        <v>#N/A</v>
      </c>
      <c r="D230" s="212"/>
      <c r="E230" s="75" t="e">
        <f t="shared" si="10"/>
        <v>#N/A</v>
      </c>
      <c r="F230" s="80"/>
      <c r="G230" s="81"/>
      <c r="H230" s="78"/>
      <c r="I230" s="78"/>
      <c r="J230" s="78"/>
    </row>
    <row r="231" spans="1:10" x14ac:dyDescent="0.2">
      <c r="A231" s="84">
        <f t="shared" si="9"/>
        <v>225</v>
      </c>
      <c r="B231" s="85" t="e">
        <f>+MATCH(D231,ARTICULOS!$F$10:$F$699,0)</f>
        <v>#N/A</v>
      </c>
      <c r="C231" s="86" t="e">
        <f>+VLOOKUP(B231,ARTICULOS!$D$10:$I$699,6)</f>
        <v>#N/A</v>
      </c>
      <c r="D231" s="212"/>
      <c r="E231" s="75" t="e">
        <f t="shared" si="10"/>
        <v>#N/A</v>
      </c>
      <c r="F231" s="80"/>
      <c r="G231" s="81"/>
      <c r="H231" s="78"/>
      <c r="I231" s="78"/>
      <c r="J231" s="78"/>
    </row>
    <row r="232" spans="1:10" x14ac:dyDescent="0.2">
      <c r="A232" s="84">
        <f t="shared" si="9"/>
        <v>226</v>
      </c>
      <c r="B232" s="85" t="e">
        <f>+MATCH(D232,ARTICULOS!$F$10:$F$699,0)</f>
        <v>#N/A</v>
      </c>
      <c r="C232" s="86" t="e">
        <f>+VLOOKUP(B232,ARTICULOS!$D$10:$I$699,6)</f>
        <v>#N/A</v>
      </c>
      <c r="D232" s="212"/>
      <c r="E232" s="75" t="e">
        <f t="shared" si="10"/>
        <v>#N/A</v>
      </c>
      <c r="F232" s="80"/>
      <c r="G232" s="81"/>
      <c r="H232" s="78"/>
      <c r="I232" s="78"/>
      <c r="J232" s="78"/>
    </row>
    <row r="233" spans="1:10" x14ac:dyDescent="0.2">
      <c r="A233" s="84">
        <f t="shared" ref="A233:A296" si="11">ROW()-6</f>
        <v>227</v>
      </c>
      <c r="B233" s="85" t="e">
        <f>+MATCH(D233,ARTICULOS!$F$10:$F$699,0)</f>
        <v>#N/A</v>
      </c>
      <c r="C233" s="86" t="e">
        <f>+VLOOKUP(B233,ARTICULOS!$D$10:$I$699,6)</f>
        <v>#N/A</v>
      </c>
      <c r="D233" s="212"/>
      <c r="E233" s="75" t="e">
        <f t="shared" si="10"/>
        <v>#N/A</v>
      </c>
      <c r="F233" s="80"/>
      <c r="G233" s="81"/>
      <c r="H233" s="78"/>
      <c r="I233" s="78"/>
      <c r="J233" s="78"/>
    </row>
    <row r="234" spans="1:10" x14ac:dyDescent="0.2">
      <c r="A234" s="84">
        <f t="shared" si="11"/>
        <v>228</v>
      </c>
      <c r="B234" s="85" t="e">
        <f>+MATCH(D234,ARTICULOS!$F$10:$F$699,0)</f>
        <v>#N/A</v>
      </c>
      <c r="C234" s="86" t="e">
        <f>+VLOOKUP(B234,ARTICULOS!$D$10:$I$699,6)</f>
        <v>#N/A</v>
      </c>
      <c r="D234" s="212"/>
      <c r="E234" s="75" t="e">
        <f t="shared" si="10"/>
        <v>#N/A</v>
      </c>
      <c r="F234" s="80"/>
      <c r="G234" s="81"/>
      <c r="H234" s="78"/>
      <c r="I234" s="78"/>
      <c r="J234" s="78"/>
    </row>
    <row r="235" spans="1:10" x14ac:dyDescent="0.2">
      <c r="A235" s="84">
        <f t="shared" si="11"/>
        <v>229</v>
      </c>
      <c r="B235" s="85" t="e">
        <f>+MATCH(D235,ARTICULOS!$F$10:$F$699,0)</f>
        <v>#N/A</v>
      </c>
      <c r="C235" s="86" t="e">
        <f>+VLOOKUP(B235,ARTICULOS!$D$10:$I$699,6)</f>
        <v>#N/A</v>
      </c>
      <c r="D235" s="212"/>
      <c r="E235" s="75" t="e">
        <f t="shared" si="10"/>
        <v>#N/A</v>
      </c>
      <c r="F235" s="80"/>
      <c r="G235" s="81"/>
      <c r="H235" s="78"/>
      <c r="I235" s="78"/>
      <c r="J235" s="78"/>
    </row>
    <row r="236" spans="1:10" x14ac:dyDescent="0.2">
      <c r="A236" s="84">
        <f t="shared" si="11"/>
        <v>230</v>
      </c>
      <c r="B236" s="85" t="e">
        <f>+MATCH(D236,ARTICULOS!$F$10:$F$699,0)</f>
        <v>#N/A</v>
      </c>
      <c r="C236" s="86" t="e">
        <f>+VLOOKUP(B236,ARTICULOS!$D$10:$I$699,6)</f>
        <v>#N/A</v>
      </c>
      <c r="D236" s="212"/>
      <c r="E236" s="75" t="e">
        <f t="shared" si="10"/>
        <v>#N/A</v>
      </c>
      <c r="F236" s="80"/>
      <c r="G236" s="81"/>
      <c r="H236" s="78"/>
      <c r="I236" s="78"/>
      <c r="J236" s="78"/>
    </row>
    <row r="237" spans="1:10" x14ac:dyDescent="0.2">
      <c r="A237" s="84">
        <f t="shared" si="11"/>
        <v>231</v>
      </c>
      <c r="B237" s="85" t="e">
        <f>+MATCH(D237,ARTICULOS!$F$10:$F$699,0)</f>
        <v>#N/A</v>
      </c>
      <c r="C237" s="86" t="e">
        <f>+VLOOKUP(B237,ARTICULOS!$D$10:$I$699,6)</f>
        <v>#N/A</v>
      </c>
      <c r="D237" s="212"/>
      <c r="E237" s="75" t="e">
        <f t="shared" si="10"/>
        <v>#N/A</v>
      </c>
      <c r="F237" s="80"/>
      <c r="G237" s="81"/>
      <c r="H237" s="78"/>
      <c r="I237" s="78"/>
      <c r="J237" s="78"/>
    </row>
    <row r="238" spans="1:10" x14ac:dyDescent="0.2">
      <c r="A238" s="84">
        <f t="shared" si="11"/>
        <v>232</v>
      </c>
      <c r="B238" s="85" t="e">
        <f>+MATCH(D238,ARTICULOS!$F$10:$F$699,0)</f>
        <v>#N/A</v>
      </c>
      <c r="C238" s="86" t="e">
        <f>+VLOOKUP(B238,ARTICULOS!$D$10:$I$699,6)</f>
        <v>#N/A</v>
      </c>
      <c r="D238" s="212"/>
      <c r="E238" s="75" t="e">
        <f t="shared" si="10"/>
        <v>#N/A</v>
      </c>
      <c r="F238" s="80"/>
      <c r="G238" s="81"/>
      <c r="H238" s="78"/>
      <c r="I238" s="78"/>
      <c r="J238" s="78"/>
    </row>
    <row r="239" spans="1:10" x14ac:dyDescent="0.2">
      <c r="A239" s="84">
        <f t="shared" si="11"/>
        <v>233</v>
      </c>
      <c r="B239" s="85" t="e">
        <f>+MATCH(D239,ARTICULOS!$F$10:$F$699,0)</f>
        <v>#N/A</v>
      </c>
      <c r="C239" s="86" t="e">
        <f>+VLOOKUP(B239,ARTICULOS!$D$10:$I$699,6)</f>
        <v>#N/A</v>
      </c>
      <c r="D239" s="212"/>
      <c r="E239" s="75" t="e">
        <f t="shared" si="10"/>
        <v>#N/A</v>
      </c>
      <c r="F239" s="80"/>
      <c r="G239" s="81"/>
      <c r="H239" s="78"/>
      <c r="I239" s="78"/>
      <c r="J239" s="78"/>
    </row>
    <row r="240" spans="1:10" x14ac:dyDescent="0.2">
      <c r="A240" s="84">
        <f t="shared" si="11"/>
        <v>234</v>
      </c>
      <c r="B240" s="85" t="e">
        <f>+MATCH(D240,ARTICULOS!$F$10:$F$699,0)</f>
        <v>#N/A</v>
      </c>
      <c r="C240" s="86" t="e">
        <f>+VLOOKUP(B240,ARTICULOS!$D$10:$I$699,6)</f>
        <v>#N/A</v>
      </c>
      <c r="D240" s="212"/>
      <c r="E240" s="75" t="e">
        <f t="shared" si="10"/>
        <v>#N/A</v>
      </c>
      <c r="F240" s="80"/>
      <c r="G240" s="81"/>
      <c r="H240" s="78"/>
      <c r="I240" s="78"/>
      <c r="J240" s="78"/>
    </row>
    <row r="241" spans="1:10" x14ac:dyDescent="0.2">
      <c r="A241" s="84">
        <f t="shared" si="11"/>
        <v>235</v>
      </c>
      <c r="B241" s="85" t="e">
        <f>+MATCH(D241,ARTICULOS!$F$10:$F$699,0)</f>
        <v>#N/A</v>
      </c>
      <c r="C241" s="86" t="e">
        <f>+VLOOKUP(B241,ARTICULOS!$D$10:$I$699,6)</f>
        <v>#N/A</v>
      </c>
      <c r="D241" s="212"/>
      <c r="E241" s="75" t="e">
        <f t="shared" si="10"/>
        <v>#N/A</v>
      </c>
      <c r="F241" s="80"/>
      <c r="G241" s="81"/>
      <c r="H241" s="78"/>
      <c r="I241" s="78"/>
      <c r="J241" s="78"/>
    </row>
    <row r="242" spans="1:10" x14ac:dyDescent="0.2">
      <c r="A242" s="84">
        <f t="shared" si="11"/>
        <v>236</v>
      </c>
      <c r="B242" s="85" t="e">
        <f>+MATCH(D242,ARTICULOS!$F$10:$F$699,0)</f>
        <v>#N/A</v>
      </c>
      <c r="C242" s="86" t="e">
        <f>+VLOOKUP(B242,ARTICULOS!$D$10:$I$699,6)</f>
        <v>#N/A</v>
      </c>
      <c r="D242" s="212"/>
      <c r="E242" s="75" t="e">
        <f t="shared" si="10"/>
        <v>#N/A</v>
      </c>
      <c r="F242" s="80"/>
      <c r="G242" s="81"/>
      <c r="H242" s="78"/>
      <c r="I242" s="78"/>
      <c r="J242" s="78"/>
    </row>
    <row r="243" spans="1:10" x14ac:dyDescent="0.2">
      <c r="A243" s="84">
        <f t="shared" si="11"/>
        <v>237</v>
      </c>
      <c r="B243" s="85" t="e">
        <f>+MATCH(D243,ARTICULOS!$F$10:$F$699,0)</f>
        <v>#N/A</v>
      </c>
      <c r="C243" s="86" t="e">
        <f>+VLOOKUP(B243,ARTICULOS!$D$10:$I$699,6)</f>
        <v>#N/A</v>
      </c>
      <c r="D243" s="212"/>
      <c r="E243" s="75" t="e">
        <f t="shared" si="10"/>
        <v>#N/A</v>
      </c>
      <c r="F243" s="80"/>
      <c r="G243" s="81"/>
      <c r="H243" s="78"/>
      <c r="I243" s="78"/>
      <c r="J243" s="78"/>
    </row>
    <row r="244" spans="1:10" x14ac:dyDescent="0.2">
      <c r="A244" s="84">
        <f t="shared" si="11"/>
        <v>238</v>
      </c>
      <c r="B244" s="85" t="e">
        <f>+MATCH(D244,ARTICULOS!$F$10:$F$699,0)</f>
        <v>#N/A</v>
      </c>
      <c r="C244" s="86" t="e">
        <f>+VLOOKUP(B244,ARTICULOS!$D$10:$I$699,6)</f>
        <v>#N/A</v>
      </c>
      <c r="D244" s="212"/>
      <c r="E244" s="75" t="e">
        <f t="shared" si="10"/>
        <v>#N/A</v>
      </c>
      <c r="F244" s="80"/>
      <c r="G244" s="81"/>
      <c r="H244" s="78"/>
      <c r="I244" s="78"/>
      <c r="J244" s="78"/>
    </row>
    <row r="245" spans="1:10" x14ac:dyDescent="0.2">
      <c r="A245" s="84">
        <f t="shared" si="11"/>
        <v>239</v>
      </c>
      <c r="B245" s="85" t="e">
        <f>+MATCH(D245,ARTICULOS!$F$10:$F$699,0)</f>
        <v>#N/A</v>
      </c>
      <c r="C245" s="86" t="e">
        <f>+VLOOKUP(B245,ARTICULOS!$D$10:$I$699,6)</f>
        <v>#N/A</v>
      </c>
      <c r="D245" s="212"/>
      <c r="E245" s="75" t="e">
        <f t="shared" si="10"/>
        <v>#N/A</v>
      </c>
      <c r="F245" s="80"/>
      <c r="G245" s="81"/>
      <c r="H245" s="78"/>
      <c r="I245" s="78"/>
      <c r="J245" s="78"/>
    </row>
    <row r="246" spans="1:10" x14ac:dyDescent="0.2">
      <c r="A246" s="84">
        <f t="shared" si="11"/>
        <v>240</v>
      </c>
      <c r="B246" s="85" t="e">
        <f>+MATCH(D246,ARTICULOS!$F$10:$F$699,0)</f>
        <v>#N/A</v>
      </c>
      <c r="C246" s="86" t="e">
        <f>+VLOOKUP(B246,ARTICULOS!$D$10:$I$699,6)</f>
        <v>#N/A</v>
      </c>
      <c r="D246" s="212"/>
      <c r="E246" s="75" t="e">
        <f t="shared" si="10"/>
        <v>#N/A</v>
      </c>
      <c r="F246" s="80"/>
      <c r="G246" s="81"/>
      <c r="H246" s="78"/>
      <c r="I246" s="78"/>
      <c r="J246" s="78"/>
    </row>
    <row r="247" spans="1:10" x14ac:dyDescent="0.2">
      <c r="A247" s="84">
        <f t="shared" si="11"/>
        <v>241</v>
      </c>
      <c r="B247" s="85" t="e">
        <f>+MATCH(D247,ARTICULOS!$F$10:$F$699,0)</f>
        <v>#N/A</v>
      </c>
      <c r="C247" s="86" t="e">
        <f>+VLOOKUP(B247,ARTICULOS!$D$10:$I$699,6)</f>
        <v>#N/A</v>
      </c>
      <c r="D247" s="212"/>
      <c r="E247" s="75" t="e">
        <f t="shared" si="10"/>
        <v>#N/A</v>
      </c>
      <c r="F247" s="80"/>
      <c r="G247" s="81"/>
      <c r="H247" s="78"/>
      <c r="I247" s="78"/>
      <c r="J247" s="78"/>
    </row>
    <row r="248" spans="1:10" x14ac:dyDescent="0.2">
      <c r="A248" s="84">
        <f t="shared" si="11"/>
        <v>242</v>
      </c>
      <c r="B248" s="85" t="e">
        <f>+MATCH(D248,ARTICULOS!$F$10:$F$699,0)</f>
        <v>#N/A</v>
      </c>
      <c r="C248" s="86" t="e">
        <f>+VLOOKUP(B248,ARTICULOS!$D$10:$I$699,6)</f>
        <v>#N/A</v>
      </c>
      <c r="D248" s="212"/>
      <c r="E248" s="75" t="e">
        <f t="shared" si="10"/>
        <v>#N/A</v>
      </c>
      <c r="F248" s="80"/>
      <c r="G248" s="81"/>
      <c r="H248" s="78"/>
      <c r="I248" s="78"/>
      <c r="J248" s="78"/>
    </row>
    <row r="249" spans="1:10" x14ac:dyDescent="0.2">
      <c r="A249" s="84">
        <f t="shared" si="11"/>
        <v>243</v>
      </c>
      <c r="B249" s="85" t="e">
        <f>+MATCH(D249,ARTICULOS!$F$10:$F$699,0)</f>
        <v>#N/A</v>
      </c>
      <c r="C249" s="86" t="e">
        <f>+VLOOKUP(B249,ARTICULOS!$D$10:$I$699,6)</f>
        <v>#N/A</v>
      </c>
      <c r="D249" s="212"/>
      <c r="E249" s="75" t="e">
        <f t="shared" si="10"/>
        <v>#N/A</v>
      </c>
      <c r="F249" s="80"/>
      <c r="G249" s="81"/>
      <c r="H249" s="78"/>
      <c r="I249" s="78"/>
      <c r="J249" s="78"/>
    </row>
    <row r="250" spans="1:10" x14ac:dyDescent="0.2">
      <c r="A250" s="84">
        <f t="shared" si="11"/>
        <v>244</v>
      </c>
      <c r="B250" s="85" t="e">
        <f>+MATCH(D250,ARTICULOS!$F$10:$F$699,0)</f>
        <v>#N/A</v>
      </c>
      <c r="C250" s="86" t="e">
        <f>+VLOOKUP(B250,ARTICULOS!$D$10:$I$699,6)</f>
        <v>#N/A</v>
      </c>
      <c r="D250" s="212"/>
      <c r="E250" s="75" t="e">
        <f t="shared" si="10"/>
        <v>#N/A</v>
      </c>
      <c r="F250" s="80"/>
      <c r="G250" s="81"/>
      <c r="H250" s="78"/>
      <c r="I250" s="78"/>
      <c r="J250" s="78"/>
    </row>
    <row r="251" spans="1:10" x14ac:dyDescent="0.2">
      <c r="A251" s="84">
        <f t="shared" si="11"/>
        <v>245</v>
      </c>
      <c r="B251" s="85" t="e">
        <f>+MATCH(D251,ARTICULOS!$F$10:$F$699,0)</f>
        <v>#N/A</v>
      </c>
      <c r="C251" s="86" t="e">
        <f>+VLOOKUP(B251,ARTICULOS!$D$10:$I$699,6)</f>
        <v>#N/A</v>
      </c>
      <c r="D251" s="212"/>
      <c r="E251" s="75" t="e">
        <f t="shared" si="10"/>
        <v>#N/A</v>
      </c>
      <c r="F251" s="80"/>
      <c r="G251" s="81"/>
      <c r="H251" s="78"/>
      <c r="I251" s="78"/>
      <c r="J251" s="78"/>
    </row>
    <row r="252" spans="1:10" x14ac:dyDescent="0.2">
      <c r="A252" s="84">
        <f t="shared" si="11"/>
        <v>246</v>
      </c>
      <c r="B252" s="85" t="e">
        <f>+MATCH(D252,ARTICULOS!$F$10:$F$699,0)</f>
        <v>#N/A</v>
      </c>
      <c r="C252" s="86" t="e">
        <f>+VLOOKUP(B252,ARTICULOS!$D$10:$I$699,6)</f>
        <v>#N/A</v>
      </c>
      <c r="D252" s="212"/>
      <c r="E252" s="75" t="e">
        <f t="shared" si="10"/>
        <v>#N/A</v>
      </c>
      <c r="F252" s="80"/>
      <c r="G252" s="81"/>
      <c r="H252" s="78"/>
      <c r="I252" s="78"/>
      <c r="J252" s="78"/>
    </row>
    <row r="253" spans="1:10" x14ac:dyDescent="0.2">
      <c r="A253" s="84">
        <f t="shared" si="11"/>
        <v>247</v>
      </c>
      <c r="B253" s="85" t="e">
        <f>+MATCH(D253,ARTICULOS!$F$10:$F$699,0)</f>
        <v>#N/A</v>
      </c>
      <c r="C253" s="86" t="e">
        <f>+VLOOKUP(B253,ARTICULOS!$D$10:$I$699,6)</f>
        <v>#N/A</v>
      </c>
      <c r="D253" s="212"/>
      <c r="E253" s="75" t="e">
        <f t="shared" si="10"/>
        <v>#N/A</v>
      </c>
      <c r="F253" s="80"/>
      <c r="G253" s="81"/>
      <c r="H253" s="78"/>
      <c r="I253" s="78"/>
      <c r="J253" s="78"/>
    </row>
    <row r="254" spans="1:10" x14ac:dyDescent="0.2">
      <c r="A254" s="84">
        <f t="shared" si="11"/>
        <v>248</v>
      </c>
      <c r="B254" s="85" t="e">
        <f>+MATCH(D254,ARTICULOS!$F$10:$F$699,0)</f>
        <v>#N/A</v>
      </c>
      <c r="C254" s="86" t="e">
        <f>+VLOOKUP(B254,ARTICULOS!$D$10:$I$699,6)</f>
        <v>#N/A</v>
      </c>
      <c r="D254" s="212"/>
      <c r="E254" s="75" t="e">
        <f t="shared" si="10"/>
        <v>#N/A</v>
      </c>
      <c r="F254" s="80"/>
      <c r="G254" s="81"/>
      <c r="H254" s="78"/>
      <c r="I254" s="78"/>
      <c r="J254" s="78"/>
    </row>
    <row r="255" spans="1:10" x14ac:dyDescent="0.2">
      <c r="A255" s="84">
        <f t="shared" si="11"/>
        <v>249</v>
      </c>
      <c r="B255" s="85" t="e">
        <f>+MATCH(D255,ARTICULOS!$F$10:$F$699,0)</f>
        <v>#N/A</v>
      </c>
      <c r="C255" s="86" t="e">
        <f>+VLOOKUP(B255,ARTICULOS!$D$10:$I$699,6)</f>
        <v>#N/A</v>
      </c>
      <c r="D255" s="212"/>
      <c r="E255" s="75" t="e">
        <f t="shared" si="10"/>
        <v>#N/A</v>
      </c>
      <c r="F255" s="80"/>
      <c r="G255" s="81"/>
      <c r="H255" s="78"/>
      <c r="I255" s="78"/>
      <c r="J255" s="78"/>
    </row>
    <row r="256" spans="1:10" x14ac:dyDescent="0.2">
      <c r="A256" s="84">
        <f t="shared" si="11"/>
        <v>250</v>
      </c>
      <c r="B256" s="85" t="e">
        <f>+MATCH(D256,ARTICULOS!$F$10:$F$699,0)</f>
        <v>#N/A</v>
      </c>
      <c r="C256" s="86" t="e">
        <f>+VLOOKUP(B256,ARTICULOS!$D$10:$I$699,6)</f>
        <v>#N/A</v>
      </c>
      <c r="D256" s="212"/>
      <c r="E256" s="75" t="e">
        <f t="shared" si="10"/>
        <v>#N/A</v>
      </c>
      <c r="F256" s="80"/>
      <c r="G256" s="81"/>
      <c r="H256" s="78"/>
      <c r="I256" s="78"/>
      <c r="J256" s="78"/>
    </row>
    <row r="257" spans="1:10" x14ac:dyDescent="0.2">
      <c r="A257" s="84">
        <f t="shared" si="11"/>
        <v>251</v>
      </c>
      <c r="B257" s="85" t="e">
        <f>+MATCH(D257,ARTICULOS!$F$10:$F$699,0)</f>
        <v>#N/A</v>
      </c>
      <c r="C257" s="86" t="e">
        <f>+VLOOKUP(B257,ARTICULOS!$D$10:$I$699,6)</f>
        <v>#N/A</v>
      </c>
      <c r="D257" s="212"/>
      <c r="E257" s="75" t="e">
        <f t="shared" si="10"/>
        <v>#N/A</v>
      </c>
      <c r="F257" s="80"/>
      <c r="G257" s="81"/>
      <c r="H257" s="78"/>
      <c r="I257" s="78"/>
      <c r="J257" s="78"/>
    </row>
    <row r="258" spans="1:10" x14ac:dyDescent="0.2">
      <c r="A258" s="84">
        <f t="shared" si="11"/>
        <v>252</v>
      </c>
      <c r="B258" s="85" t="e">
        <f>+MATCH(D258,ARTICULOS!$F$10:$F$699,0)</f>
        <v>#N/A</v>
      </c>
      <c r="C258" s="86" t="e">
        <f>+VLOOKUP(B258,ARTICULOS!$D$10:$I$699,6)</f>
        <v>#N/A</v>
      </c>
      <c r="D258" s="212"/>
      <c r="E258" s="75" t="e">
        <f t="shared" si="10"/>
        <v>#N/A</v>
      </c>
      <c r="F258" s="80"/>
      <c r="G258" s="81"/>
      <c r="H258" s="78"/>
      <c r="I258" s="78"/>
      <c r="J258" s="78"/>
    </row>
    <row r="259" spans="1:10" x14ac:dyDescent="0.2">
      <c r="A259" s="84">
        <f t="shared" si="11"/>
        <v>253</v>
      </c>
      <c r="B259" s="85" t="e">
        <f>+MATCH(D259,ARTICULOS!$F$10:$F$699,0)</f>
        <v>#N/A</v>
      </c>
      <c r="C259" s="86" t="e">
        <f>+VLOOKUP(B259,ARTICULOS!$D$10:$I$699,6)</f>
        <v>#N/A</v>
      </c>
      <c r="D259" s="212"/>
      <c r="E259" s="75" t="e">
        <f t="shared" si="10"/>
        <v>#N/A</v>
      </c>
      <c r="F259" s="80"/>
      <c r="G259" s="81"/>
      <c r="H259" s="78"/>
      <c r="I259" s="78"/>
      <c r="J259" s="78"/>
    </row>
    <row r="260" spans="1:10" x14ac:dyDescent="0.2">
      <c r="A260" s="84">
        <f t="shared" si="11"/>
        <v>254</v>
      </c>
      <c r="B260" s="85" t="e">
        <f>+MATCH(D260,ARTICULOS!$F$10:$F$699,0)</f>
        <v>#N/A</v>
      </c>
      <c r="C260" s="86" t="e">
        <f>+VLOOKUP(B260,ARTICULOS!$D$10:$I$699,6)</f>
        <v>#N/A</v>
      </c>
      <c r="D260" s="212"/>
      <c r="E260" s="75" t="e">
        <f t="shared" si="10"/>
        <v>#N/A</v>
      </c>
      <c r="F260" s="80"/>
      <c r="G260" s="81"/>
      <c r="H260" s="78"/>
      <c r="I260" s="78"/>
      <c r="J260" s="78"/>
    </row>
    <row r="261" spans="1:10" x14ac:dyDescent="0.2">
      <c r="A261" s="84">
        <f t="shared" si="11"/>
        <v>255</v>
      </c>
      <c r="B261" s="85" t="e">
        <f>+MATCH(D261,ARTICULOS!$F$10:$F$699,0)</f>
        <v>#N/A</v>
      </c>
      <c r="C261" s="86" t="e">
        <f>+VLOOKUP(B261,ARTICULOS!$D$10:$I$699,6)</f>
        <v>#N/A</v>
      </c>
      <c r="D261" s="212"/>
      <c r="E261" s="75" t="e">
        <f t="shared" si="10"/>
        <v>#N/A</v>
      </c>
      <c r="F261" s="80"/>
      <c r="G261" s="81"/>
      <c r="H261" s="78"/>
      <c r="I261" s="78"/>
      <c r="J261" s="78"/>
    </row>
    <row r="262" spans="1:10" x14ac:dyDescent="0.2">
      <c r="A262" s="84">
        <f t="shared" si="11"/>
        <v>256</v>
      </c>
      <c r="B262" s="85" t="e">
        <f>+MATCH(D262,ARTICULOS!$F$10:$F$699,0)</f>
        <v>#N/A</v>
      </c>
      <c r="C262" s="86" t="e">
        <f>+VLOOKUP(B262,ARTICULOS!$D$10:$I$699,6)</f>
        <v>#N/A</v>
      </c>
      <c r="D262" s="212"/>
      <c r="E262" s="75" t="e">
        <f t="shared" si="10"/>
        <v>#N/A</v>
      </c>
      <c r="F262" s="80"/>
      <c r="G262" s="81"/>
      <c r="H262" s="78"/>
      <c r="I262" s="78"/>
      <c r="J262" s="78"/>
    </row>
    <row r="263" spans="1:10" x14ac:dyDescent="0.2">
      <c r="A263" s="84">
        <f t="shared" si="11"/>
        <v>257</v>
      </c>
      <c r="B263" s="85" t="e">
        <f>+MATCH(D263,ARTICULOS!$F$10:$F$699,0)</f>
        <v>#N/A</v>
      </c>
      <c r="C263" s="86" t="e">
        <f>+VLOOKUP(B263,ARTICULOS!$D$10:$I$699,6)</f>
        <v>#N/A</v>
      </c>
      <c r="D263" s="212"/>
      <c r="E263" s="75" t="e">
        <f t="shared" si="10"/>
        <v>#N/A</v>
      </c>
      <c r="F263" s="80"/>
      <c r="G263" s="81"/>
      <c r="H263" s="78"/>
      <c r="I263" s="78"/>
      <c r="J263" s="78"/>
    </row>
    <row r="264" spans="1:10" x14ac:dyDescent="0.2">
      <c r="A264" s="84">
        <f t="shared" si="11"/>
        <v>258</v>
      </c>
      <c r="B264" s="85" t="e">
        <f>+MATCH(D264,ARTICULOS!$F$10:$F$699,0)</f>
        <v>#N/A</v>
      </c>
      <c r="C264" s="86" t="e">
        <f>+VLOOKUP(B264,ARTICULOS!$D$10:$I$699,6)</f>
        <v>#N/A</v>
      </c>
      <c r="D264" s="212"/>
      <c r="E264" s="75" t="e">
        <f t="shared" si="10"/>
        <v>#N/A</v>
      </c>
      <c r="F264" s="80"/>
      <c r="G264" s="81"/>
      <c r="H264" s="78"/>
      <c r="I264" s="78"/>
      <c r="J264" s="78"/>
    </row>
    <row r="265" spans="1:10" x14ac:dyDescent="0.2">
      <c r="A265" s="84">
        <f t="shared" si="11"/>
        <v>259</v>
      </c>
      <c r="B265" s="85" t="e">
        <f>+MATCH(D265,ARTICULOS!$F$10:$F$699,0)</f>
        <v>#N/A</v>
      </c>
      <c r="C265" s="86" t="e">
        <f>+VLOOKUP(B265,ARTICULOS!$D$10:$I$699,6)</f>
        <v>#N/A</v>
      </c>
      <c r="D265" s="212"/>
      <c r="E265" s="75" t="e">
        <f t="shared" si="10"/>
        <v>#N/A</v>
      </c>
      <c r="F265" s="80"/>
      <c r="G265" s="81"/>
      <c r="H265" s="78"/>
      <c r="I265" s="78"/>
      <c r="J265" s="78"/>
    </row>
    <row r="266" spans="1:10" x14ac:dyDescent="0.2">
      <c r="A266" s="84">
        <f t="shared" si="11"/>
        <v>260</v>
      </c>
      <c r="B266" s="85" t="e">
        <f>+MATCH(D266,ARTICULOS!$F$10:$F$699,0)</f>
        <v>#N/A</v>
      </c>
      <c r="C266" s="86" t="e">
        <f>+VLOOKUP(B266,ARTICULOS!$D$10:$I$699,6)</f>
        <v>#N/A</v>
      </c>
      <c r="D266" s="212"/>
      <c r="E266" s="75" t="e">
        <f t="shared" si="10"/>
        <v>#N/A</v>
      </c>
      <c r="F266" s="80"/>
      <c r="G266" s="81"/>
      <c r="H266" s="78"/>
      <c r="I266" s="78"/>
      <c r="J266" s="78"/>
    </row>
    <row r="267" spans="1:10" x14ac:dyDescent="0.2">
      <c r="A267" s="84">
        <f t="shared" si="11"/>
        <v>261</v>
      </c>
      <c r="B267" s="85" t="e">
        <f>+MATCH(D267,ARTICULOS!$F$10:$F$699,0)</f>
        <v>#N/A</v>
      </c>
      <c r="C267" s="86" t="e">
        <f>+VLOOKUP(B267,ARTICULOS!$D$10:$I$699,6)</f>
        <v>#N/A</v>
      </c>
      <c r="D267" s="212"/>
      <c r="E267" s="75" t="e">
        <f t="shared" ref="E267:E330" si="12">+C267&amp;F267</f>
        <v>#N/A</v>
      </c>
      <c r="F267" s="80"/>
      <c r="G267" s="81"/>
      <c r="H267" s="78"/>
      <c r="I267" s="78"/>
      <c r="J267" s="78"/>
    </row>
    <row r="268" spans="1:10" x14ac:dyDescent="0.2">
      <c r="A268" s="84">
        <f t="shared" si="11"/>
        <v>262</v>
      </c>
      <c r="B268" s="85" t="e">
        <f>+MATCH(D268,ARTICULOS!$F$10:$F$699,0)</f>
        <v>#N/A</v>
      </c>
      <c r="C268" s="86" t="e">
        <f>+VLOOKUP(B268,ARTICULOS!$D$10:$I$699,6)</f>
        <v>#N/A</v>
      </c>
      <c r="D268" s="212"/>
      <c r="E268" s="75" t="e">
        <f t="shared" si="12"/>
        <v>#N/A</v>
      </c>
      <c r="F268" s="80"/>
      <c r="G268" s="81"/>
      <c r="H268" s="78"/>
      <c r="I268" s="78"/>
      <c r="J268" s="78"/>
    </row>
    <row r="269" spans="1:10" x14ac:dyDescent="0.2">
      <c r="A269" s="84">
        <f t="shared" si="11"/>
        <v>263</v>
      </c>
      <c r="B269" s="85" t="e">
        <f>+MATCH(D269,ARTICULOS!$F$10:$F$699,0)</f>
        <v>#N/A</v>
      </c>
      <c r="C269" s="86" t="e">
        <f>+VLOOKUP(B269,ARTICULOS!$D$10:$I$699,6)</f>
        <v>#N/A</v>
      </c>
      <c r="D269" s="212"/>
      <c r="E269" s="75" t="e">
        <f t="shared" si="12"/>
        <v>#N/A</v>
      </c>
      <c r="F269" s="80"/>
      <c r="G269" s="81"/>
      <c r="H269" s="78"/>
      <c r="I269" s="78"/>
      <c r="J269" s="78"/>
    </row>
    <row r="270" spans="1:10" x14ac:dyDescent="0.2">
      <c r="A270" s="84">
        <f t="shared" si="11"/>
        <v>264</v>
      </c>
      <c r="B270" s="85" t="e">
        <f>+MATCH(D270,ARTICULOS!$F$10:$F$699,0)</f>
        <v>#N/A</v>
      </c>
      <c r="C270" s="86" t="e">
        <f>+VLOOKUP(B270,ARTICULOS!$D$10:$I$699,6)</f>
        <v>#N/A</v>
      </c>
      <c r="D270" s="212"/>
      <c r="E270" s="75" t="e">
        <f t="shared" si="12"/>
        <v>#N/A</v>
      </c>
      <c r="F270" s="80"/>
      <c r="G270" s="81"/>
      <c r="H270" s="78"/>
      <c r="I270" s="78"/>
      <c r="J270" s="78"/>
    </row>
    <row r="271" spans="1:10" x14ac:dyDescent="0.2">
      <c r="A271" s="84">
        <f t="shared" si="11"/>
        <v>265</v>
      </c>
      <c r="B271" s="85" t="e">
        <f>+MATCH(D271,ARTICULOS!$F$10:$F$699,0)</f>
        <v>#N/A</v>
      </c>
      <c r="C271" s="86" t="e">
        <f>+VLOOKUP(B271,ARTICULOS!$D$10:$I$699,6)</f>
        <v>#N/A</v>
      </c>
      <c r="D271" s="212"/>
      <c r="E271" s="75" t="e">
        <f t="shared" si="12"/>
        <v>#N/A</v>
      </c>
      <c r="F271" s="80"/>
      <c r="G271" s="81"/>
      <c r="H271" s="78"/>
      <c r="I271" s="78"/>
      <c r="J271" s="78"/>
    </row>
    <row r="272" spans="1:10" x14ac:dyDescent="0.2">
      <c r="A272" s="84">
        <f t="shared" si="11"/>
        <v>266</v>
      </c>
      <c r="B272" s="85" t="e">
        <f>+MATCH(D272,ARTICULOS!$F$10:$F$699,0)</f>
        <v>#N/A</v>
      </c>
      <c r="C272" s="86" t="e">
        <f>+VLOOKUP(B272,ARTICULOS!$D$10:$I$699,6)</f>
        <v>#N/A</v>
      </c>
      <c r="D272" s="212"/>
      <c r="E272" s="75" t="e">
        <f t="shared" si="12"/>
        <v>#N/A</v>
      </c>
      <c r="F272" s="80"/>
      <c r="G272" s="81"/>
      <c r="H272" s="78"/>
      <c r="I272" s="78"/>
      <c r="J272" s="78"/>
    </row>
    <row r="273" spans="1:10" x14ac:dyDescent="0.2">
      <c r="A273" s="84">
        <f t="shared" si="11"/>
        <v>267</v>
      </c>
      <c r="B273" s="85" t="e">
        <f>+MATCH(D273,ARTICULOS!$F$10:$F$699,0)</f>
        <v>#N/A</v>
      </c>
      <c r="C273" s="86" t="e">
        <f>+VLOOKUP(B273,ARTICULOS!$D$10:$I$699,6)</f>
        <v>#N/A</v>
      </c>
      <c r="D273" s="212"/>
      <c r="E273" s="75" t="e">
        <f t="shared" si="12"/>
        <v>#N/A</v>
      </c>
      <c r="F273" s="80"/>
      <c r="G273" s="81"/>
      <c r="H273" s="78"/>
      <c r="I273" s="78"/>
      <c r="J273" s="78"/>
    </row>
    <row r="274" spans="1:10" x14ac:dyDescent="0.2">
      <c r="A274" s="84">
        <f t="shared" si="11"/>
        <v>268</v>
      </c>
      <c r="B274" s="85" t="e">
        <f>+MATCH(D274,ARTICULOS!$F$10:$F$699,0)</f>
        <v>#N/A</v>
      </c>
      <c r="C274" s="86" t="e">
        <f>+VLOOKUP(B274,ARTICULOS!$D$10:$I$699,6)</f>
        <v>#N/A</v>
      </c>
      <c r="D274" s="212"/>
      <c r="E274" s="75" t="e">
        <f t="shared" si="12"/>
        <v>#N/A</v>
      </c>
      <c r="F274" s="80"/>
      <c r="G274" s="81"/>
      <c r="H274" s="78"/>
      <c r="I274" s="78"/>
      <c r="J274" s="78"/>
    </row>
    <row r="275" spans="1:10" x14ac:dyDescent="0.2">
      <c r="A275" s="84">
        <f t="shared" si="11"/>
        <v>269</v>
      </c>
      <c r="B275" s="85" t="e">
        <f>+MATCH(D275,ARTICULOS!$F$10:$F$699,0)</f>
        <v>#N/A</v>
      </c>
      <c r="C275" s="86" t="e">
        <f>+VLOOKUP(B275,ARTICULOS!$D$10:$I$699,6)</f>
        <v>#N/A</v>
      </c>
      <c r="D275" s="212"/>
      <c r="E275" s="75" t="e">
        <f t="shared" si="12"/>
        <v>#N/A</v>
      </c>
      <c r="F275" s="80"/>
      <c r="G275" s="81"/>
      <c r="H275" s="78"/>
      <c r="I275" s="78"/>
      <c r="J275" s="78"/>
    </row>
    <row r="276" spans="1:10" x14ac:dyDescent="0.2">
      <c r="A276" s="84">
        <f t="shared" si="11"/>
        <v>270</v>
      </c>
      <c r="B276" s="85" t="e">
        <f>+MATCH(D276,ARTICULOS!$F$10:$F$699,0)</f>
        <v>#N/A</v>
      </c>
      <c r="C276" s="86" t="e">
        <f>+VLOOKUP(B276,ARTICULOS!$D$10:$I$699,6)</f>
        <v>#N/A</v>
      </c>
      <c r="D276" s="212"/>
      <c r="E276" s="75" t="e">
        <f t="shared" si="12"/>
        <v>#N/A</v>
      </c>
      <c r="F276" s="80"/>
      <c r="G276" s="81"/>
      <c r="H276" s="78"/>
      <c r="I276" s="78"/>
      <c r="J276" s="78"/>
    </row>
    <row r="277" spans="1:10" x14ac:dyDescent="0.2">
      <c r="A277" s="84">
        <f t="shared" si="11"/>
        <v>271</v>
      </c>
      <c r="B277" s="85" t="e">
        <f>+MATCH(D277,ARTICULOS!$F$10:$F$699,0)</f>
        <v>#N/A</v>
      </c>
      <c r="C277" s="86" t="e">
        <f>+VLOOKUP(B277,ARTICULOS!$D$10:$I$699,6)</f>
        <v>#N/A</v>
      </c>
      <c r="D277" s="212"/>
      <c r="E277" s="75" t="e">
        <f t="shared" si="12"/>
        <v>#N/A</v>
      </c>
      <c r="F277" s="80"/>
      <c r="G277" s="81"/>
      <c r="H277" s="78"/>
      <c r="I277" s="78"/>
      <c r="J277" s="78"/>
    </row>
    <row r="278" spans="1:10" x14ac:dyDescent="0.2">
      <c r="A278" s="84">
        <f t="shared" si="11"/>
        <v>272</v>
      </c>
      <c r="B278" s="85" t="e">
        <f>+MATCH(D278,ARTICULOS!$F$10:$F$699,0)</f>
        <v>#N/A</v>
      </c>
      <c r="C278" s="86" t="e">
        <f>+VLOOKUP(B278,ARTICULOS!$D$10:$I$699,6)</f>
        <v>#N/A</v>
      </c>
      <c r="D278" s="212"/>
      <c r="E278" s="75" t="e">
        <f t="shared" si="12"/>
        <v>#N/A</v>
      </c>
      <c r="F278" s="80"/>
      <c r="G278" s="81"/>
      <c r="H278" s="78"/>
      <c r="I278" s="78"/>
      <c r="J278" s="78"/>
    </row>
    <row r="279" spans="1:10" x14ac:dyDescent="0.2">
      <c r="A279" s="84">
        <f t="shared" si="11"/>
        <v>273</v>
      </c>
      <c r="B279" s="85" t="e">
        <f>+MATCH(D279,ARTICULOS!$F$10:$F$699,0)</f>
        <v>#N/A</v>
      </c>
      <c r="C279" s="86" t="e">
        <f>+VLOOKUP(B279,ARTICULOS!$D$10:$I$699,6)</f>
        <v>#N/A</v>
      </c>
      <c r="D279" s="212"/>
      <c r="E279" s="75" t="e">
        <f t="shared" si="12"/>
        <v>#N/A</v>
      </c>
      <c r="F279" s="80"/>
      <c r="G279" s="81"/>
      <c r="H279" s="78"/>
      <c r="I279" s="78"/>
      <c r="J279" s="78"/>
    </row>
    <row r="280" spans="1:10" x14ac:dyDescent="0.2">
      <c r="A280" s="84">
        <f t="shared" si="11"/>
        <v>274</v>
      </c>
      <c r="B280" s="85" t="e">
        <f>+MATCH(D280,ARTICULOS!$F$10:$F$699,0)</f>
        <v>#N/A</v>
      </c>
      <c r="C280" s="86" t="e">
        <f>+VLOOKUP(B280,ARTICULOS!$D$10:$I$699,6)</f>
        <v>#N/A</v>
      </c>
      <c r="D280" s="212"/>
      <c r="E280" s="75" t="e">
        <f t="shared" si="12"/>
        <v>#N/A</v>
      </c>
      <c r="F280" s="80"/>
      <c r="G280" s="81"/>
      <c r="H280" s="78"/>
      <c r="I280" s="78"/>
      <c r="J280" s="78"/>
    </row>
    <row r="281" spans="1:10" x14ac:dyDescent="0.2">
      <c r="A281" s="84">
        <f t="shared" si="11"/>
        <v>275</v>
      </c>
      <c r="B281" s="85" t="e">
        <f>+MATCH(D281,ARTICULOS!$F$10:$F$699,0)</f>
        <v>#N/A</v>
      </c>
      <c r="C281" s="86" t="e">
        <f>+VLOOKUP(B281,ARTICULOS!$D$10:$I$699,6)</f>
        <v>#N/A</v>
      </c>
      <c r="D281" s="212"/>
      <c r="E281" s="75" t="e">
        <f t="shared" si="12"/>
        <v>#N/A</v>
      </c>
      <c r="F281" s="80"/>
      <c r="G281" s="81"/>
      <c r="H281" s="78"/>
      <c r="I281" s="78"/>
      <c r="J281" s="78"/>
    </row>
    <row r="282" spans="1:10" x14ac:dyDescent="0.2">
      <c r="A282" s="84">
        <f t="shared" si="11"/>
        <v>276</v>
      </c>
      <c r="B282" s="85" t="e">
        <f>+MATCH(D282,ARTICULOS!$F$10:$F$699,0)</f>
        <v>#N/A</v>
      </c>
      <c r="C282" s="86" t="e">
        <f>+VLOOKUP(B282,ARTICULOS!$D$10:$I$699,6)</f>
        <v>#N/A</v>
      </c>
      <c r="D282" s="212"/>
      <c r="E282" s="75" t="e">
        <f t="shared" si="12"/>
        <v>#N/A</v>
      </c>
      <c r="F282" s="80"/>
      <c r="G282" s="81"/>
      <c r="H282" s="78"/>
      <c r="I282" s="78"/>
      <c r="J282" s="78"/>
    </row>
    <row r="283" spans="1:10" x14ac:dyDescent="0.2">
      <c r="A283" s="84">
        <f t="shared" si="11"/>
        <v>277</v>
      </c>
      <c r="B283" s="85" t="e">
        <f>+MATCH(D283,ARTICULOS!$F$10:$F$699,0)</f>
        <v>#N/A</v>
      </c>
      <c r="C283" s="86" t="e">
        <f>+VLOOKUP(B283,ARTICULOS!$D$10:$I$699,6)</f>
        <v>#N/A</v>
      </c>
      <c r="D283" s="212"/>
      <c r="E283" s="75" t="e">
        <f t="shared" si="12"/>
        <v>#N/A</v>
      </c>
      <c r="F283" s="80"/>
      <c r="G283" s="81"/>
      <c r="H283" s="78"/>
      <c r="I283" s="78"/>
      <c r="J283" s="78"/>
    </row>
    <row r="284" spans="1:10" x14ac:dyDescent="0.2">
      <c r="A284" s="84">
        <f t="shared" si="11"/>
        <v>278</v>
      </c>
      <c r="B284" s="85" t="e">
        <f>+MATCH(D284,ARTICULOS!$F$10:$F$699,0)</f>
        <v>#N/A</v>
      </c>
      <c r="C284" s="86" t="e">
        <f>+VLOOKUP(B284,ARTICULOS!$D$10:$I$699,6)</f>
        <v>#N/A</v>
      </c>
      <c r="D284" s="212"/>
      <c r="E284" s="75" t="e">
        <f t="shared" si="12"/>
        <v>#N/A</v>
      </c>
      <c r="F284" s="80"/>
      <c r="G284" s="81"/>
      <c r="H284" s="78"/>
      <c r="I284" s="78"/>
      <c r="J284" s="78"/>
    </row>
    <row r="285" spans="1:10" x14ac:dyDescent="0.2">
      <c r="A285" s="84">
        <f t="shared" si="11"/>
        <v>279</v>
      </c>
      <c r="B285" s="85" t="e">
        <f>+MATCH(D285,ARTICULOS!$F$10:$F$699,0)</f>
        <v>#N/A</v>
      </c>
      <c r="C285" s="86" t="e">
        <f>+VLOOKUP(B285,ARTICULOS!$D$10:$I$699,6)</f>
        <v>#N/A</v>
      </c>
      <c r="D285" s="212"/>
      <c r="E285" s="75" t="e">
        <f t="shared" si="12"/>
        <v>#N/A</v>
      </c>
      <c r="F285" s="80"/>
      <c r="G285" s="81"/>
      <c r="H285" s="78"/>
      <c r="I285" s="78"/>
      <c r="J285" s="78"/>
    </row>
    <row r="286" spans="1:10" x14ac:dyDescent="0.2">
      <c r="A286" s="84">
        <f t="shared" si="11"/>
        <v>280</v>
      </c>
      <c r="B286" s="85" t="e">
        <f>+MATCH(D286,ARTICULOS!$F$10:$F$699,0)</f>
        <v>#N/A</v>
      </c>
      <c r="C286" s="86" t="e">
        <f>+VLOOKUP(B286,ARTICULOS!$D$10:$I$699,6)</f>
        <v>#N/A</v>
      </c>
      <c r="D286" s="212"/>
      <c r="E286" s="75" t="e">
        <f t="shared" si="12"/>
        <v>#N/A</v>
      </c>
      <c r="F286" s="80"/>
      <c r="G286" s="81"/>
      <c r="H286" s="78"/>
      <c r="I286" s="78"/>
      <c r="J286" s="78"/>
    </row>
    <row r="287" spans="1:10" x14ac:dyDescent="0.2">
      <c r="A287" s="84">
        <f t="shared" si="11"/>
        <v>281</v>
      </c>
      <c r="B287" s="85" t="e">
        <f>+MATCH(D287,ARTICULOS!$F$10:$F$699,0)</f>
        <v>#N/A</v>
      </c>
      <c r="C287" s="86" t="e">
        <f>+VLOOKUP(B287,ARTICULOS!$D$10:$I$699,6)</f>
        <v>#N/A</v>
      </c>
      <c r="D287" s="212"/>
      <c r="E287" s="75" t="e">
        <f t="shared" si="12"/>
        <v>#N/A</v>
      </c>
      <c r="F287" s="80"/>
      <c r="G287" s="81"/>
      <c r="H287" s="78"/>
      <c r="I287" s="78"/>
      <c r="J287" s="78"/>
    </row>
    <row r="288" spans="1:10" x14ac:dyDescent="0.2">
      <c r="A288" s="84">
        <f t="shared" si="11"/>
        <v>282</v>
      </c>
      <c r="B288" s="85" t="e">
        <f>+MATCH(D288,ARTICULOS!$F$10:$F$699,0)</f>
        <v>#N/A</v>
      </c>
      <c r="C288" s="86" t="e">
        <f>+VLOOKUP(B288,ARTICULOS!$D$10:$I$699,6)</f>
        <v>#N/A</v>
      </c>
      <c r="D288" s="212"/>
      <c r="E288" s="75" t="e">
        <f t="shared" si="12"/>
        <v>#N/A</v>
      </c>
      <c r="F288" s="80"/>
      <c r="G288" s="81"/>
      <c r="H288" s="78"/>
      <c r="I288" s="78"/>
      <c r="J288" s="78"/>
    </row>
    <row r="289" spans="1:10" x14ac:dyDescent="0.2">
      <c r="A289" s="84">
        <f t="shared" si="11"/>
        <v>283</v>
      </c>
      <c r="B289" s="85" t="e">
        <f>+MATCH(D289,ARTICULOS!$F$10:$F$699,0)</f>
        <v>#N/A</v>
      </c>
      <c r="C289" s="86" t="e">
        <f>+VLOOKUP(B289,ARTICULOS!$D$10:$I$699,6)</f>
        <v>#N/A</v>
      </c>
      <c r="D289" s="212"/>
      <c r="E289" s="75" t="e">
        <f t="shared" si="12"/>
        <v>#N/A</v>
      </c>
      <c r="F289" s="80"/>
      <c r="G289" s="81"/>
      <c r="H289" s="78"/>
      <c r="I289" s="78"/>
      <c r="J289" s="78"/>
    </row>
    <row r="290" spans="1:10" x14ac:dyDescent="0.2">
      <c r="A290" s="84">
        <f t="shared" si="11"/>
        <v>284</v>
      </c>
      <c r="B290" s="85" t="e">
        <f>+MATCH(D290,ARTICULOS!$F$10:$F$699,0)</f>
        <v>#N/A</v>
      </c>
      <c r="C290" s="86" t="e">
        <f>+VLOOKUP(B290,ARTICULOS!$D$10:$I$699,6)</f>
        <v>#N/A</v>
      </c>
      <c r="D290" s="212"/>
      <c r="E290" s="75" t="e">
        <f t="shared" si="12"/>
        <v>#N/A</v>
      </c>
      <c r="F290" s="80"/>
      <c r="G290" s="81"/>
      <c r="H290" s="78"/>
      <c r="I290" s="78"/>
      <c r="J290" s="78"/>
    </row>
    <row r="291" spans="1:10" x14ac:dyDescent="0.2">
      <c r="A291" s="84">
        <f t="shared" si="11"/>
        <v>285</v>
      </c>
      <c r="B291" s="85" t="e">
        <f>+MATCH(D291,ARTICULOS!$F$10:$F$699,0)</f>
        <v>#N/A</v>
      </c>
      <c r="C291" s="86" t="e">
        <f>+VLOOKUP(B291,ARTICULOS!$D$10:$I$699,6)</f>
        <v>#N/A</v>
      </c>
      <c r="D291" s="212"/>
      <c r="E291" s="75" t="e">
        <f t="shared" si="12"/>
        <v>#N/A</v>
      </c>
      <c r="F291" s="80"/>
      <c r="G291" s="81"/>
      <c r="H291" s="78"/>
      <c r="I291" s="78"/>
      <c r="J291" s="78"/>
    </row>
    <row r="292" spans="1:10" x14ac:dyDescent="0.2">
      <c r="A292" s="84">
        <f t="shared" si="11"/>
        <v>286</v>
      </c>
      <c r="B292" s="85" t="e">
        <f>+MATCH(D292,ARTICULOS!$F$10:$F$699,0)</f>
        <v>#N/A</v>
      </c>
      <c r="C292" s="86" t="e">
        <f>+VLOOKUP(B292,ARTICULOS!$D$10:$I$699,6)</f>
        <v>#N/A</v>
      </c>
      <c r="D292" s="212"/>
      <c r="E292" s="75" t="e">
        <f t="shared" si="12"/>
        <v>#N/A</v>
      </c>
      <c r="F292" s="80"/>
      <c r="G292" s="81"/>
      <c r="H292" s="78"/>
      <c r="I292" s="78"/>
      <c r="J292" s="78"/>
    </row>
    <row r="293" spans="1:10" x14ac:dyDescent="0.2">
      <c r="A293" s="84">
        <f t="shared" si="11"/>
        <v>287</v>
      </c>
      <c r="B293" s="85" t="e">
        <f>+MATCH(D293,ARTICULOS!$F$10:$F$699,0)</f>
        <v>#N/A</v>
      </c>
      <c r="C293" s="86" t="e">
        <f>+VLOOKUP(B293,ARTICULOS!$D$10:$I$699,6)</f>
        <v>#N/A</v>
      </c>
      <c r="D293" s="212"/>
      <c r="E293" s="75" t="e">
        <f t="shared" si="12"/>
        <v>#N/A</v>
      </c>
      <c r="F293" s="80"/>
      <c r="G293" s="81"/>
      <c r="H293" s="78"/>
      <c r="I293" s="78"/>
      <c r="J293" s="78"/>
    </row>
    <row r="294" spans="1:10" x14ac:dyDescent="0.2">
      <c r="A294" s="84">
        <f t="shared" si="11"/>
        <v>288</v>
      </c>
      <c r="B294" s="85" t="e">
        <f>+MATCH(D294,ARTICULOS!$F$10:$F$699,0)</f>
        <v>#N/A</v>
      </c>
      <c r="C294" s="86" t="e">
        <f>+VLOOKUP(B294,ARTICULOS!$D$10:$I$699,6)</f>
        <v>#N/A</v>
      </c>
      <c r="D294" s="212"/>
      <c r="E294" s="75" t="e">
        <f t="shared" si="12"/>
        <v>#N/A</v>
      </c>
      <c r="F294" s="80"/>
      <c r="G294" s="81"/>
      <c r="H294" s="78"/>
      <c r="I294" s="78"/>
      <c r="J294" s="78"/>
    </row>
    <row r="295" spans="1:10" x14ac:dyDescent="0.2">
      <c r="A295" s="84">
        <f t="shared" si="11"/>
        <v>289</v>
      </c>
      <c r="B295" s="85" t="e">
        <f>+MATCH(D295,ARTICULOS!$F$10:$F$699,0)</f>
        <v>#N/A</v>
      </c>
      <c r="C295" s="86" t="e">
        <f>+VLOOKUP(B295,ARTICULOS!$D$10:$I$699,6)</f>
        <v>#N/A</v>
      </c>
      <c r="D295" s="212"/>
      <c r="E295" s="75" t="e">
        <f t="shared" si="12"/>
        <v>#N/A</v>
      </c>
      <c r="F295" s="80"/>
      <c r="G295" s="81"/>
      <c r="H295" s="78"/>
      <c r="I295" s="78"/>
      <c r="J295" s="78"/>
    </row>
    <row r="296" spans="1:10" x14ac:dyDescent="0.2">
      <c r="A296" s="84">
        <f t="shared" si="11"/>
        <v>290</v>
      </c>
      <c r="B296" s="85" t="e">
        <f>+MATCH(D296,ARTICULOS!$F$10:$F$699,0)</f>
        <v>#N/A</v>
      </c>
      <c r="C296" s="86" t="e">
        <f>+VLOOKUP(B296,ARTICULOS!$D$10:$I$699,6)</f>
        <v>#N/A</v>
      </c>
      <c r="D296" s="212"/>
      <c r="E296" s="75" t="e">
        <f t="shared" si="12"/>
        <v>#N/A</v>
      </c>
      <c r="F296" s="80"/>
      <c r="G296" s="81"/>
      <c r="H296" s="78"/>
      <c r="I296" s="78"/>
      <c r="J296" s="78"/>
    </row>
    <row r="297" spans="1:10" x14ac:dyDescent="0.2">
      <c r="A297" s="84">
        <f t="shared" ref="A297:A360" si="13">ROW()-6</f>
        <v>291</v>
      </c>
      <c r="B297" s="85" t="e">
        <f>+MATCH(D297,ARTICULOS!$F$10:$F$699,0)</f>
        <v>#N/A</v>
      </c>
      <c r="C297" s="86" t="e">
        <f>+VLOOKUP(B297,ARTICULOS!$D$10:$I$699,6)</f>
        <v>#N/A</v>
      </c>
      <c r="D297" s="212"/>
      <c r="E297" s="75" t="e">
        <f t="shared" si="12"/>
        <v>#N/A</v>
      </c>
      <c r="F297" s="80"/>
      <c r="G297" s="81"/>
      <c r="H297" s="78"/>
      <c r="I297" s="78"/>
      <c r="J297" s="78"/>
    </row>
    <row r="298" spans="1:10" x14ac:dyDescent="0.2">
      <c r="A298" s="84">
        <f t="shared" si="13"/>
        <v>292</v>
      </c>
      <c r="B298" s="85" t="e">
        <f>+MATCH(D298,ARTICULOS!$F$10:$F$699,0)</f>
        <v>#N/A</v>
      </c>
      <c r="C298" s="86" t="e">
        <f>+VLOOKUP(B298,ARTICULOS!$D$10:$I$699,6)</f>
        <v>#N/A</v>
      </c>
      <c r="D298" s="212"/>
      <c r="E298" s="75" t="e">
        <f t="shared" si="12"/>
        <v>#N/A</v>
      </c>
      <c r="F298" s="80"/>
      <c r="G298" s="81"/>
      <c r="H298" s="78"/>
      <c r="I298" s="78"/>
      <c r="J298" s="78"/>
    </row>
    <row r="299" spans="1:10" x14ac:dyDescent="0.2">
      <c r="A299" s="84">
        <f t="shared" si="13"/>
        <v>293</v>
      </c>
      <c r="B299" s="85" t="e">
        <f>+MATCH(D299,ARTICULOS!$F$10:$F$699,0)</f>
        <v>#N/A</v>
      </c>
      <c r="C299" s="86" t="e">
        <f>+VLOOKUP(B299,ARTICULOS!$D$10:$I$699,6)</f>
        <v>#N/A</v>
      </c>
      <c r="D299" s="212"/>
      <c r="E299" s="75" t="e">
        <f t="shared" si="12"/>
        <v>#N/A</v>
      </c>
      <c r="F299" s="80"/>
      <c r="G299" s="81"/>
      <c r="H299" s="78"/>
      <c r="I299" s="78"/>
      <c r="J299" s="78"/>
    </row>
    <row r="300" spans="1:10" x14ac:dyDescent="0.2">
      <c r="A300" s="84">
        <f t="shared" si="13"/>
        <v>294</v>
      </c>
      <c r="B300" s="85" t="e">
        <f>+MATCH(D300,ARTICULOS!$F$10:$F$699,0)</f>
        <v>#N/A</v>
      </c>
      <c r="C300" s="86" t="e">
        <f>+VLOOKUP(B300,ARTICULOS!$D$10:$I$699,6)</f>
        <v>#N/A</v>
      </c>
      <c r="D300" s="212"/>
      <c r="E300" s="75" t="e">
        <f t="shared" si="12"/>
        <v>#N/A</v>
      </c>
      <c r="F300" s="80"/>
      <c r="G300" s="81"/>
      <c r="H300" s="78"/>
      <c r="I300" s="78"/>
      <c r="J300" s="78"/>
    </row>
    <row r="301" spans="1:10" x14ac:dyDescent="0.2">
      <c r="A301" s="84">
        <f t="shared" si="13"/>
        <v>295</v>
      </c>
      <c r="B301" s="85" t="e">
        <f>+MATCH(D301,ARTICULOS!$F$10:$F$699,0)</f>
        <v>#N/A</v>
      </c>
      <c r="C301" s="86" t="e">
        <f>+VLOOKUP(B301,ARTICULOS!$D$10:$I$699,6)</f>
        <v>#N/A</v>
      </c>
      <c r="D301" s="212"/>
      <c r="E301" s="75" t="e">
        <f t="shared" si="12"/>
        <v>#N/A</v>
      </c>
      <c r="F301" s="80"/>
      <c r="G301" s="81"/>
      <c r="H301" s="78"/>
      <c r="I301" s="78"/>
      <c r="J301" s="78"/>
    </row>
    <row r="302" spans="1:10" x14ac:dyDescent="0.2">
      <c r="A302" s="84">
        <f t="shared" si="13"/>
        <v>296</v>
      </c>
      <c r="B302" s="85" t="e">
        <f>+MATCH(D302,ARTICULOS!$F$10:$F$699,0)</f>
        <v>#N/A</v>
      </c>
      <c r="C302" s="86" t="e">
        <f>+VLOOKUP(B302,ARTICULOS!$D$10:$I$699,6)</f>
        <v>#N/A</v>
      </c>
      <c r="D302" s="212"/>
      <c r="E302" s="75" t="e">
        <f t="shared" si="12"/>
        <v>#N/A</v>
      </c>
      <c r="F302" s="80"/>
      <c r="G302" s="81"/>
      <c r="H302" s="78"/>
      <c r="I302" s="78"/>
      <c r="J302" s="78"/>
    </row>
    <row r="303" spans="1:10" x14ac:dyDescent="0.2">
      <c r="A303" s="84">
        <f t="shared" si="13"/>
        <v>297</v>
      </c>
      <c r="B303" s="85" t="e">
        <f>+MATCH(D303,ARTICULOS!$F$10:$F$699,0)</f>
        <v>#N/A</v>
      </c>
      <c r="C303" s="86" t="e">
        <f>+VLOOKUP(B303,ARTICULOS!$D$10:$I$699,6)</f>
        <v>#N/A</v>
      </c>
      <c r="D303" s="212"/>
      <c r="E303" s="75" t="e">
        <f t="shared" si="12"/>
        <v>#N/A</v>
      </c>
      <c r="F303" s="80"/>
      <c r="G303" s="81"/>
      <c r="H303" s="78"/>
      <c r="I303" s="78"/>
      <c r="J303" s="78"/>
    </row>
    <row r="304" spans="1:10" x14ac:dyDescent="0.2">
      <c r="A304" s="84">
        <f t="shared" si="13"/>
        <v>298</v>
      </c>
      <c r="B304" s="85" t="e">
        <f>+MATCH(D304,ARTICULOS!$F$10:$F$699,0)</f>
        <v>#N/A</v>
      </c>
      <c r="C304" s="86" t="e">
        <f>+VLOOKUP(B304,ARTICULOS!$D$10:$I$699,6)</f>
        <v>#N/A</v>
      </c>
      <c r="D304" s="212"/>
      <c r="E304" s="75" t="e">
        <f t="shared" si="12"/>
        <v>#N/A</v>
      </c>
      <c r="F304" s="80"/>
      <c r="G304" s="81"/>
      <c r="H304" s="78"/>
      <c r="I304" s="78"/>
      <c r="J304" s="78"/>
    </row>
    <row r="305" spans="1:10" x14ac:dyDescent="0.2">
      <c r="A305" s="84">
        <f t="shared" si="13"/>
        <v>299</v>
      </c>
      <c r="B305" s="85" t="e">
        <f>+MATCH(D305,ARTICULOS!$F$10:$F$699,0)</f>
        <v>#N/A</v>
      </c>
      <c r="C305" s="86" t="e">
        <f>+VLOOKUP(B305,ARTICULOS!$D$10:$I$699,6)</f>
        <v>#N/A</v>
      </c>
      <c r="D305" s="212"/>
      <c r="E305" s="75" t="e">
        <f t="shared" si="12"/>
        <v>#N/A</v>
      </c>
      <c r="F305" s="80"/>
      <c r="G305" s="81"/>
      <c r="H305" s="78"/>
      <c r="I305" s="78"/>
      <c r="J305" s="78"/>
    </row>
    <row r="306" spans="1:10" x14ac:dyDescent="0.2">
      <c r="A306" s="84">
        <f t="shared" si="13"/>
        <v>300</v>
      </c>
      <c r="B306" s="85" t="e">
        <f>+MATCH(D306,ARTICULOS!$F$10:$F$699,0)</f>
        <v>#N/A</v>
      </c>
      <c r="C306" s="86" t="e">
        <f>+VLOOKUP(B306,ARTICULOS!$D$10:$I$699,6)</f>
        <v>#N/A</v>
      </c>
      <c r="D306" s="212"/>
      <c r="E306" s="75" t="e">
        <f t="shared" si="12"/>
        <v>#N/A</v>
      </c>
      <c r="F306" s="80"/>
      <c r="G306" s="81"/>
      <c r="H306" s="78"/>
      <c r="I306" s="78"/>
      <c r="J306" s="78"/>
    </row>
    <row r="307" spans="1:10" x14ac:dyDescent="0.2">
      <c r="A307" s="84">
        <f t="shared" si="13"/>
        <v>301</v>
      </c>
      <c r="B307" s="85" t="e">
        <f>+MATCH(D307,ARTICULOS!$F$10:$F$699,0)</f>
        <v>#N/A</v>
      </c>
      <c r="C307" s="86" t="e">
        <f>+VLOOKUP(B307,ARTICULOS!$D$10:$I$699,6)</f>
        <v>#N/A</v>
      </c>
      <c r="D307" s="212"/>
      <c r="E307" s="75" t="e">
        <f t="shared" si="12"/>
        <v>#N/A</v>
      </c>
      <c r="F307" s="80"/>
      <c r="G307" s="81"/>
      <c r="H307" s="78"/>
      <c r="I307" s="78"/>
      <c r="J307" s="78"/>
    </row>
    <row r="308" spans="1:10" x14ac:dyDescent="0.2">
      <c r="A308" s="84">
        <f t="shared" si="13"/>
        <v>302</v>
      </c>
      <c r="B308" s="85" t="e">
        <f>+MATCH(D308,ARTICULOS!$F$10:$F$699,0)</f>
        <v>#N/A</v>
      </c>
      <c r="C308" s="86" t="e">
        <f>+VLOOKUP(B308,ARTICULOS!$D$10:$I$699,6)</f>
        <v>#N/A</v>
      </c>
      <c r="D308" s="212"/>
      <c r="E308" s="75" t="e">
        <f t="shared" si="12"/>
        <v>#N/A</v>
      </c>
      <c r="F308" s="80"/>
      <c r="G308" s="81"/>
      <c r="H308" s="78"/>
      <c r="I308" s="78"/>
      <c r="J308" s="78"/>
    </row>
    <row r="309" spans="1:10" x14ac:dyDescent="0.2">
      <c r="A309" s="84">
        <f t="shared" si="13"/>
        <v>303</v>
      </c>
      <c r="B309" s="85" t="e">
        <f>+MATCH(D309,ARTICULOS!$F$10:$F$699,0)</f>
        <v>#N/A</v>
      </c>
      <c r="C309" s="86" t="e">
        <f>+VLOOKUP(B309,ARTICULOS!$D$10:$I$699,6)</f>
        <v>#N/A</v>
      </c>
      <c r="D309" s="212"/>
      <c r="E309" s="75" t="e">
        <f t="shared" si="12"/>
        <v>#N/A</v>
      </c>
      <c r="F309" s="80"/>
      <c r="G309" s="81"/>
      <c r="H309" s="78"/>
      <c r="I309" s="78"/>
      <c r="J309" s="78"/>
    </row>
    <row r="310" spans="1:10" x14ac:dyDescent="0.2">
      <c r="A310" s="84">
        <f t="shared" si="13"/>
        <v>304</v>
      </c>
      <c r="B310" s="85" t="e">
        <f>+MATCH(D310,ARTICULOS!$F$10:$F$699,0)</f>
        <v>#N/A</v>
      </c>
      <c r="C310" s="86" t="e">
        <f>+VLOOKUP(B310,ARTICULOS!$D$10:$I$699,6)</f>
        <v>#N/A</v>
      </c>
      <c r="D310" s="212"/>
      <c r="E310" s="75" t="e">
        <f t="shared" si="12"/>
        <v>#N/A</v>
      </c>
      <c r="F310" s="80"/>
      <c r="G310" s="81"/>
      <c r="H310" s="78"/>
      <c r="I310" s="78"/>
      <c r="J310" s="78"/>
    </row>
    <row r="311" spans="1:10" x14ac:dyDescent="0.2">
      <c r="A311" s="84">
        <f t="shared" si="13"/>
        <v>305</v>
      </c>
      <c r="B311" s="85" t="e">
        <f>+MATCH(D311,ARTICULOS!$F$10:$F$699,0)</f>
        <v>#N/A</v>
      </c>
      <c r="C311" s="86" t="e">
        <f>+VLOOKUP(B311,ARTICULOS!$D$10:$I$699,6)</f>
        <v>#N/A</v>
      </c>
      <c r="D311" s="212"/>
      <c r="E311" s="75" t="e">
        <f t="shared" si="12"/>
        <v>#N/A</v>
      </c>
      <c r="F311" s="80"/>
      <c r="G311" s="81"/>
      <c r="H311" s="78"/>
      <c r="I311" s="78"/>
      <c r="J311" s="78"/>
    </row>
    <row r="312" spans="1:10" x14ac:dyDescent="0.2">
      <c r="A312" s="84">
        <f t="shared" si="13"/>
        <v>306</v>
      </c>
      <c r="B312" s="85" t="e">
        <f>+MATCH(D312,ARTICULOS!$F$10:$F$699,0)</f>
        <v>#N/A</v>
      </c>
      <c r="C312" s="86" t="e">
        <f>+VLOOKUP(B312,ARTICULOS!$D$10:$I$699,6)</f>
        <v>#N/A</v>
      </c>
      <c r="D312" s="212"/>
      <c r="E312" s="75" t="e">
        <f t="shared" si="12"/>
        <v>#N/A</v>
      </c>
      <c r="F312" s="80"/>
      <c r="G312" s="81"/>
      <c r="H312" s="78"/>
      <c r="I312" s="78"/>
      <c r="J312" s="78"/>
    </row>
    <row r="313" spans="1:10" x14ac:dyDescent="0.2">
      <c r="A313" s="84">
        <f t="shared" si="13"/>
        <v>307</v>
      </c>
      <c r="B313" s="85" t="e">
        <f>+MATCH(D313,ARTICULOS!$F$10:$F$699,0)</f>
        <v>#N/A</v>
      </c>
      <c r="C313" s="86" t="e">
        <f>+VLOOKUP(B313,ARTICULOS!$D$10:$I$699,6)</f>
        <v>#N/A</v>
      </c>
      <c r="D313" s="212"/>
      <c r="E313" s="75" t="e">
        <f t="shared" si="12"/>
        <v>#N/A</v>
      </c>
      <c r="F313" s="80"/>
      <c r="G313" s="81"/>
      <c r="H313" s="78"/>
      <c r="I313" s="78"/>
      <c r="J313" s="78"/>
    </row>
    <row r="314" spans="1:10" x14ac:dyDescent="0.2">
      <c r="A314" s="84">
        <f t="shared" si="13"/>
        <v>308</v>
      </c>
      <c r="B314" s="85" t="e">
        <f>+MATCH(D314,ARTICULOS!$F$10:$F$699,0)</f>
        <v>#N/A</v>
      </c>
      <c r="C314" s="86" t="e">
        <f>+VLOOKUP(B314,ARTICULOS!$D$10:$I$699,6)</f>
        <v>#N/A</v>
      </c>
      <c r="D314" s="212"/>
      <c r="E314" s="75" t="e">
        <f t="shared" si="12"/>
        <v>#N/A</v>
      </c>
      <c r="F314" s="80"/>
      <c r="G314" s="81"/>
      <c r="H314" s="78"/>
      <c r="I314" s="78"/>
      <c r="J314" s="78"/>
    </row>
    <row r="315" spans="1:10" x14ac:dyDescent="0.2">
      <c r="A315" s="84">
        <f t="shared" si="13"/>
        <v>309</v>
      </c>
      <c r="B315" s="85" t="e">
        <f>+MATCH(D315,ARTICULOS!$F$10:$F$699,0)</f>
        <v>#N/A</v>
      </c>
      <c r="C315" s="86" t="e">
        <f>+VLOOKUP(B315,ARTICULOS!$D$10:$I$699,6)</f>
        <v>#N/A</v>
      </c>
      <c r="D315" s="212"/>
      <c r="E315" s="75" t="e">
        <f t="shared" si="12"/>
        <v>#N/A</v>
      </c>
      <c r="F315" s="80"/>
      <c r="G315" s="81"/>
      <c r="H315" s="78"/>
      <c r="I315" s="78"/>
      <c r="J315" s="78"/>
    </row>
    <row r="316" spans="1:10" x14ac:dyDescent="0.2">
      <c r="A316" s="84">
        <f t="shared" si="13"/>
        <v>310</v>
      </c>
      <c r="B316" s="85" t="e">
        <f>+MATCH(D316,ARTICULOS!$F$10:$F$699,0)</f>
        <v>#N/A</v>
      </c>
      <c r="C316" s="86" t="e">
        <f>+VLOOKUP(B316,ARTICULOS!$D$10:$I$699,6)</f>
        <v>#N/A</v>
      </c>
      <c r="D316" s="212"/>
      <c r="E316" s="75" t="e">
        <f t="shared" si="12"/>
        <v>#N/A</v>
      </c>
      <c r="F316" s="80"/>
      <c r="G316" s="81"/>
      <c r="H316" s="78"/>
      <c r="I316" s="78"/>
      <c r="J316" s="78"/>
    </row>
    <row r="317" spans="1:10" x14ac:dyDescent="0.2">
      <c r="A317" s="84">
        <f t="shared" si="13"/>
        <v>311</v>
      </c>
      <c r="B317" s="85" t="e">
        <f>+MATCH(D317,ARTICULOS!$F$10:$F$699,0)</f>
        <v>#N/A</v>
      </c>
      <c r="C317" s="86" t="e">
        <f>+VLOOKUP(B317,ARTICULOS!$D$10:$I$699,6)</f>
        <v>#N/A</v>
      </c>
      <c r="D317" s="212"/>
      <c r="E317" s="75" t="e">
        <f t="shared" si="12"/>
        <v>#N/A</v>
      </c>
      <c r="F317" s="80"/>
      <c r="G317" s="81"/>
      <c r="H317" s="78"/>
      <c r="I317" s="78"/>
      <c r="J317" s="78"/>
    </row>
    <row r="318" spans="1:10" x14ac:dyDescent="0.2">
      <c r="A318" s="84">
        <f t="shared" si="13"/>
        <v>312</v>
      </c>
      <c r="B318" s="85" t="e">
        <f>+MATCH(D318,ARTICULOS!$F$10:$F$699,0)</f>
        <v>#N/A</v>
      </c>
      <c r="C318" s="86" t="e">
        <f>+VLOOKUP(B318,ARTICULOS!$D$10:$I$699,6)</f>
        <v>#N/A</v>
      </c>
      <c r="D318" s="212"/>
      <c r="E318" s="75" t="e">
        <f t="shared" si="12"/>
        <v>#N/A</v>
      </c>
      <c r="F318" s="80"/>
      <c r="G318" s="81"/>
      <c r="H318" s="78"/>
      <c r="I318" s="78"/>
      <c r="J318" s="78"/>
    </row>
    <row r="319" spans="1:10" x14ac:dyDescent="0.2">
      <c r="A319" s="84">
        <f t="shared" si="13"/>
        <v>313</v>
      </c>
      <c r="B319" s="85" t="e">
        <f>+MATCH(D319,ARTICULOS!$F$10:$F$699,0)</f>
        <v>#N/A</v>
      </c>
      <c r="C319" s="86" t="e">
        <f>+VLOOKUP(B319,ARTICULOS!$D$10:$I$699,6)</f>
        <v>#N/A</v>
      </c>
      <c r="D319" s="212"/>
      <c r="E319" s="75" t="e">
        <f t="shared" si="12"/>
        <v>#N/A</v>
      </c>
      <c r="F319" s="80"/>
      <c r="G319" s="81"/>
      <c r="H319" s="78"/>
      <c r="I319" s="78"/>
      <c r="J319" s="78"/>
    </row>
    <row r="320" spans="1:10" x14ac:dyDescent="0.2">
      <c r="A320" s="84">
        <f t="shared" si="13"/>
        <v>314</v>
      </c>
      <c r="B320" s="85" t="e">
        <f>+MATCH(D320,ARTICULOS!$F$10:$F$699,0)</f>
        <v>#N/A</v>
      </c>
      <c r="C320" s="86" t="e">
        <f>+VLOOKUP(B320,ARTICULOS!$D$10:$I$699,6)</f>
        <v>#N/A</v>
      </c>
      <c r="D320" s="212"/>
      <c r="E320" s="75" t="e">
        <f t="shared" si="12"/>
        <v>#N/A</v>
      </c>
      <c r="F320" s="80"/>
      <c r="G320" s="81"/>
      <c r="H320" s="78"/>
      <c r="I320" s="78"/>
      <c r="J320" s="78"/>
    </row>
    <row r="321" spans="1:10" x14ac:dyDescent="0.2">
      <c r="A321" s="84">
        <f t="shared" si="13"/>
        <v>315</v>
      </c>
      <c r="B321" s="85" t="e">
        <f>+MATCH(D321,ARTICULOS!$F$10:$F$699,0)</f>
        <v>#N/A</v>
      </c>
      <c r="C321" s="86" t="e">
        <f>+VLOOKUP(B321,ARTICULOS!$D$10:$I$699,6)</f>
        <v>#N/A</v>
      </c>
      <c r="D321" s="212"/>
      <c r="E321" s="75" t="e">
        <f t="shared" si="12"/>
        <v>#N/A</v>
      </c>
      <c r="F321" s="80"/>
      <c r="G321" s="81"/>
      <c r="H321" s="78"/>
      <c r="I321" s="78"/>
      <c r="J321" s="78"/>
    </row>
    <row r="322" spans="1:10" x14ac:dyDescent="0.2">
      <c r="A322" s="84">
        <f t="shared" si="13"/>
        <v>316</v>
      </c>
      <c r="B322" s="85" t="e">
        <f>+MATCH(D322,ARTICULOS!$F$10:$F$699,0)</f>
        <v>#N/A</v>
      </c>
      <c r="C322" s="86" t="e">
        <f>+VLOOKUP(B322,ARTICULOS!$D$10:$I$699,6)</f>
        <v>#N/A</v>
      </c>
      <c r="D322" s="212"/>
      <c r="E322" s="75" t="e">
        <f t="shared" si="12"/>
        <v>#N/A</v>
      </c>
      <c r="F322" s="80"/>
      <c r="G322" s="81"/>
      <c r="H322" s="78"/>
      <c r="I322" s="78"/>
      <c r="J322" s="78"/>
    </row>
    <row r="323" spans="1:10" x14ac:dyDescent="0.2">
      <c r="A323" s="84">
        <f t="shared" si="13"/>
        <v>317</v>
      </c>
      <c r="B323" s="85" t="e">
        <f>+MATCH(D323,ARTICULOS!$F$10:$F$699,0)</f>
        <v>#N/A</v>
      </c>
      <c r="C323" s="86" t="e">
        <f>+VLOOKUP(B323,ARTICULOS!$D$10:$I$699,6)</f>
        <v>#N/A</v>
      </c>
      <c r="D323" s="212"/>
      <c r="E323" s="75" t="e">
        <f t="shared" si="12"/>
        <v>#N/A</v>
      </c>
      <c r="F323" s="80"/>
      <c r="G323" s="81"/>
      <c r="H323" s="78"/>
      <c r="I323" s="78"/>
      <c r="J323" s="78"/>
    </row>
    <row r="324" spans="1:10" x14ac:dyDescent="0.2">
      <c r="A324" s="84">
        <f t="shared" si="13"/>
        <v>318</v>
      </c>
      <c r="B324" s="85" t="e">
        <f>+MATCH(D324,ARTICULOS!$F$10:$F$699,0)</f>
        <v>#N/A</v>
      </c>
      <c r="C324" s="86" t="e">
        <f>+VLOOKUP(B324,ARTICULOS!$D$10:$I$699,6)</f>
        <v>#N/A</v>
      </c>
      <c r="D324" s="212"/>
      <c r="E324" s="75" t="e">
        <f t="shared" si="12"/>
        <v>#N/A</v>
      </c>
      <c r="F324" s="80"/>
      <c r="G324" s="81"/>
      <c r="H324" s="78"/>
      <c r="I324" s="78"/>
      <c r="J324" s="78"/>
    </row>
    <row r="325" spans="1:10" x14ac:dyDescent="0.2">
      <c r="A325" s="84">
        <f t="shared" si="13"/>
        <v>319</v>
      </c>
      <c r="B325" s="85" t="e">
        <f>+MATCH(D325,ARTICULOS!$F$10:$F$699,0)</f>
        <v>#N/A</v>
      </c>
      <c r="C325" s="86" t="e">
        <f>+VLOOKUP(B325,ARTICULOS!$D$10:$I$699,6)</f>
        <v>#N/A</v>
      </c>
      <c r="D325" s="212"/>
      <c r="E325" s="75" t="e">
        <f t="shared" si="12"/>
        <v>#N/A</v>
      </c>
      <c r="F325" s="80"/>
      <c r="G325" s="81"/>
      <c r="H325" s="78"/>
      <c r="I325" s="78"/>
      <c r="J325" s="78"/>
    </row>
    <row r="326" spans="1:10" x14ac:dyDescent="0.2">
      <c r="A326" s="84">
        <f t="shared" si="13"/>
        <v>320</v>
      </c>
      <c r="B326" s="85" t="e">
        <f>+MATCH(D326,ARTICULOS!$F$10:$F$699,0)</f>
        <v>#N/A</v>
      </c>
      <c r="C326" s="86" t="e">
        <f>+VLOOKUP(B326,ARTICULOS!$D$10:$I$699,6)</f>
        <v>#N/A</v>
      </c>
      <c r="D326" s="212"/>
      <c r="E326" s="75" t="e">
        <f t="shared" si="12"/>
        <v>#N/A</v>
      </c>
      <c r="F326" s="80"/>
      <c r="G326" s="81"/>
      <c r="H326" s="78"/>
      <c r="I326" s="78"/>
      <c r="J326" s="78"/>
    </row>
    <row r="327" spans="1:10" x14ac:dyDescent="0.2">
      <c r="A327" s="84">
        <f t="shared" si="13"/>
        <v>321</v>
      </c>
      <c r="B327" s="85" t="e">
        <f>+MATCH(D327,ARTICULOS!$F$10:$F$699,0)</f>
        <v>#N/A</v>
      </c>
      <c r="C327" s="86" t="e">
        <f>+VLOOKUP(B327,ARTICULOS!$D$10:$I$699,6)</f>
        <v>#N/A</v>
      </c>
      <c r="D327" s="212"/>
      <c r="E327" s="75" t="e">
        <f t="shared" si="12"/>
        <v>#N/A</v>
      </c>
      <c r="F327" s="80"/>
      <c r="G327" s="81"/>
      <c r="H327" s="78"/>
      <c r="I327" s="78"/>
      <c r="J327" s="78"/>
    </row>
    <row r="328" spans="1:10" x14ac:dyDescent="0.2">
      <c r="A328" s="84">
        <f t="shared" si="13"/>
        <v>322</v>
      </c>
      <c r="B328" s="85" t="e">
        <f>+MATCH(D328,ARTICULOS!$F$10:$F$699,0)</f>
        <v>#N/A</v>
      </c>
      <c r="C328" s="86" t="e">
        <f>+VLOOKUP(B328,ARTICULOS!$D$10:$I$699,6)</f>
        <v>#N/A</v>
      </c>
      <c r="D328" s="212"/>
      <c r="E328" s="75" t="e">
        <f t="shared" si="12"/>
        <v>#N/A</v>
      </c>
      <c r="F328" s="80"/>
      <c r="G328" s="81"/>
      <c r="H328" s="78"/>
      <c r="I328" s="78"/>
      <c r="J328" s="78"/>
    </row>
    <row r="329" spans="1:10" x14ac:dyDescent="0.2">
      <c r="A329" s="84">
        <f t="shared" si="13"/>
        <v>323</v>
      </c>
      <c r="B329" s="85" t="e">
        <f>+MATCH(D329,ARTICULOS!$F$10:$F$699,0)</f>
        <v>#N/A</v>
      </c>
      <c r="C329" s="86" t="e">
        <f>+VLOOKUP(B329,ARTICULOS!$D$10:$I$699,6)</f>
        <v>#N/A</v>
      </c>
      <c r="D329" s="212"/>
      <c r="E329" s="75" t="e">
        <f t="shared" si="12"/>
        <v>#N/A</v>
      </c>
      <c r="F329" s="80"/>
      <c r="G329" s="81"/>
      <c r="H329" s="78"/>
      <c r="I329" s="78"/>
      <c r="J329" s="78"/>
    </row>
    <row r="330" spans="1:10" x14ac:dyDescent="0.2">
      <c r="A330" s="84">
        <f t="shared" si="13"/>
        <v>324</v>
      </c>
      <c r="B330" s="85" t="e">
        <f>+MATCH(D330,ARTICULOS!$F$10:$F$699,0)</f>
        <v>#N/A</v>
      </c>
      <c r="C330" s="86" t="e">
        <f>+VLOOKUP(B330,ARTICULOS!$D$10:$I$699,6)</f>
        <v>#N/A</v>
      </c>
      <c r="D330" s="212"/>
      <c r="E330" s="75" t="e">
        <f t="shared" si="12"/>
        <v>#N/A</v>
      </c>
      <c r="F330" s="80"/>
      <c r="G330" s="81"/>
      <c r="H330" s="78"/>
      <c r="I330" s="78"/>
      <c r="J330" s="78"/>
    </row>
    <row r="331" spans="1:10" x14ac:dyDescent="0.2">
      <c r="A331" s="84">
        <f t="shared" si="13"/>
        <v>325</v>
      </c>
      <c r="B331" s="85" t="e">
        <f>+MATCH(D331,ARTICULOS!$F$10:$F$699,0)</f>
        <v>#N/A</v>
      </c>
      <c r="C331" s="86" t="e">
        <f>+VLOOKUP(B331,ARTICULOS!$D$10:$I$699,6)</f>
        <v>#N/A</v>
      </c>
      <c r="D331" s="212"/>
      <c r="E331" s="75" t="e">
        <f t="shared" ref="E331:E394" si="14">+C331&amp;F331</f>
        <v>#N/A</v>
      </c>
      <c r="F331" s="80"/>
      <c r="G331" s="81"/>
      <c r="H331" s="78"/>
      <c r="I331" s="78"/>
      <c r="J331" s="78"/>
    </row>
    <row r="332" spans="1:10" x14ac:dyDescent="0.2">
      <c r="A332" s="84">
        <f t="shared" si="13"/>
        <v>326</v>
      </c>
      <c r="B332" s="85" t="e">
        <f>+MATCH(D332,ARTICULOS!$F$10:$F$699,0)</f>
        <v>#N/A</v>
      </c>
      <c r="C332" s="86" t="e">
        <f>+VLOOKUP(B332,ARTICULOS!$D$10:$I$699,6)</f>
        <v>#N/A</v>
      </c>
      <c r="D332" s="212"/>
      <c r="E332" s="75" t="e">
        <f t="shared" si="14"/>
        <v>#N/A</v>
      </c>
      <c r="F332" s="80"/>
      <c r="G332" s="81"/>
      <c r="H332" s="78"/>
      <c r="I332" s="78"/>
      <c r="J332" s="78"/>
    </row>
    <row r="333" spans="1:10" x14ac:dyDescent="0.2">
      <c r="A333" s="84">
        <f t="shared" si="13"/>
        <v>327</v>
      </c>
      <c r="B333" s="85" t="e">
        <f>+MATCH(D333,ARTICULOS!$F$10:$F$699,0)</f>
        <v>#N/A</v>
      </c>
      <c r="C333" s="86" t="e">
        <f>+VLOOKUP(B333,ARTICULOS!$D$10:$I$699,6)</f>
        <v>#N/A</v>
      </c>
      <c r="D333" s="212"/>
      <c r="E333" s="75" t="e">
        <f t="shared" si="14"/>
        <v>#N/A</v>
      </c>
      <c r="F333" s="80"/>
      <c r="G333" s="81"/>
      <c r="H333" s="78"/>
      <c r="I333" s="78"/>
      <c r="J333" s="78"/>
    </row>
    <row r="334" spans="1:10" x14ac:dyDescent="0.2">
      <c r="A334" s="84">
        <f t="shared" si="13"/>
        <v>328</v>
      </c>
      <c r="B334" s="85" t="e">
        <f>+MATCH(D334,ARTICULOS!$F$10:$F$699,0)</f>
        <v>#N/A</v>
      </c>
      <c r="C334" s="86" t="e">
        <f>+VLOOKUP(B334,ARTICULOS!$D$10:$I$699,6)</f>
        <v>#N/A</v>
      </c>
      <c r="D334" s="212"/>
      <c r="E334" s="75" t="e">
        <f t="shared" si="14"/>
        <v>#N/A</v>
      </c>
      <c r="F334" s="80"/>
      <c r="G334" s="81"/>
      <c r="H334" s="78"/>
      <c r="I334" s="78"/>
      <c r="J334" s="78"/>
    </row>
    <row r="335" spans="1:10" x14ac:dyDescent="0.2">
      <c r="A335" s="84">
        <f t="shared" si="13"/>
        <v>329</v>
      </c>
      <c r="B335" s="85" t="e">
        <f>+MATCH(D335,ARTICULOS!$F$10:$F$699,0)</f>
        <v>#N/A</v>
      </c>
      <c r="C335" s="86" t="e">
        <f>+VLOOKUP(B335,ARTICULOS!$D$10:$I$699,6)</f>
        <v>#N/A</v>
      </c>
      <c r="D335" s="212"/>
      <c r="E335" s="75" t="e">
        <f t="shared" si="14"/>
        <v>#N/A</v>
      </c>
      <c r="F335" s="80"/>
      <c r="G335" s="81"/>
      <c r="H335" s="78"/>
      <c r="I335" s="78"/>
      <c r="J335" s="78"/>
    </row>
    <row r="336" spans="1:10" x14ac:dyDescent="0.2">
      <c r="A336" s="84">
        <f t="shared" si="13"/>
        <v>330</v>
      </c>
      <c r="B336" s="85" t="e">
        <f>+MATCH(D336,ARTICULOS!$F$10:$F$699,0)</f>
        <v>#N/A</v>
      </c>
      <c r="C336" s="86" t="e">
        <f>+VLOOKUP(B336,ARTICULOS!$D$10:$I$699,6)</f>
        <v>#N/A</v>
      </c>
      <c r="D336" s="212"/>
      <c r="E336" s="75" t="e">
        <f t="shared" si="14"/>
        <v>#N/A</v>
      </c>
      <c r="F336" s="80"/>
      <c r="G336" s="81"/>
      <c r="H336" s="78"/>
      <c r="I336" s="78"/>
      <c r="J336" s="78"/>
    </row>
    <row r="337" spans="1:10" x14ac:dyDescent="0.2">
      <c r="A337" s="84">
        <f t="shared" si="13"/>
        <v>331</v>
      </c>
      <c r="B337" s="85" t="e">
        <f>+MATCH(D337,ARTICULOS!$F$10:$F$699,0)</f>
        <v>#N/A</v>
      </c>
      <c r="C337" s="86" t="e">
        <f>+VLOOKUP(B337,ARTICULOS!$D$10:$I$699,6)</f>
        <v>#N/A</v>
      </c>
      <c r="D337" s="212"/>
      <c r="E337" s="75" t="e">
        <f t="shared" si="14"/>
        <v>#N/A</v>
      </c>
      <c r="F337" s="80"/>
      <c r="G337" s="81"/>
      <c r="H337" s="78"/>
      <c r="I337" s="78"/>
      <c r="J337" s="78"/>
    </row>
    <row r="338" spans="1:10" x14ac:dyDescent="0.2">
      <c r="A338" s="84">
        <f t="shared" si="13"/>
        <v>332</v>
      </c>
      <c r="B338" s="85" t="e">
        <f>+MATCH(D338,ARTICULOS!$F$10:$F$699,0)</f>
        <v>#N/A</v>
      </c>
      <c r="C338" s="86" t="e">
        <f>+VLOOKUP(B338,ARTICULOS!$D$10:$I$699,6)</f>
        <v>#N/A</v>
      </c>
      <c r="D338" s="212"/>
      <c r="E338" s="75" t="e">
        <f t="shared" si="14"/>
        <v>#N/A</v>
      </c>
      <c r="F338" s="80"/>
      <c r="G338" s="81"/>
      <c r="H338" s="78"/>
      <c r="I338" s="78"/>
      <c r="J338" s="78"/>
    </row>
    <row r="339" spans="1:10" x14ac:dyDescent="0.2">
      <c r="A339" s="84">
        <f t="shared" si="13"/>
        <v>333</v>
      </c>
      <c r="B339" s="85" t="e">
        <f>+MATCH(D339,ARTICULOS!$F$10:$F$699,0)</f>
        <v>#N/A</v>
      </c>
      <c r="C339" s="86" t="e">
        <f>+VLOOKUP(B339,ARTICULOS!$D$10:$I$699,6)</f>
        <v>#N/A</v>
      </c>
      <c r="D339" s="212"/>
      <c r="E339" s="75" t="e">
        <f t="shared" si="14"/>
        <v>#N/A</v>
      </c>
      <c r="F339" s="80"/>
      <c r="G339" s="81"/>
      <c r="H339" s="78"/>
      <c r="I339" s="78"/>
      <c r="J339" s="78"/>
    </row>
    <row r="340" spans="1:10" x14ac:dyDescent="0.2">
      <c r="A340" s="84">
        <f t="shared" si="13"/>
        <v>334</v>
      </c>
      <c r="B340" s="85" t="e">
        <f>+MATCH(D340,ARTICULOS!$F$10:$F$699,0)</f>
        <v>#N/A</v>
      </c>
      <c r="C340" s="86" t="e">
        <f>+VLOOKUP(B340,ARTICULOS!$D$10:$I$699,6)</f>
        <v>#N/A</v>
      </c>
      <c r="D340" s="212"/>
      <c r="E340" s="75" t="e">
        <f t="shared" si="14"/>
        <v>#N/A</v>
      </c>
      <c r="F340" s="80"/>
      <c r="G340" s="81"/>
      <c r="H340" s="78"/>
      <c r="I340" s="78"/>
      <c r="J340" s="78"/>
    </row>
    <row r="341" spans="1:10" x14ac:dyDescent="0.2">
      <c r="A341" s="84">
        <f t="shared" si="13"/>
        <v>335</v>
      </c>
      <c r="B341" s="85" t="e">
        <f>+MATCH(D341,ARTICULOS!$F$10:$F$699,0)</f>
        <v>#N/A</v>
      </c>
      <c r="C341" s="86" t="e">
        <f>+VLOOKUP(B341,ARTICULOS!$D$10:$I$699,6)</f>
        <v>#N/A</v>
      </c>
      <c r="D341" s="212"/>
      <c r="E341" s="75" t="e">
        <f t="shared" si="14"/>
        <v>#N/A</v>
      </c>
      <c r="F341" s="80"/>
      <c r="G341" s="81"/>
      <c r="H341" s="78"/>
      <c r="I341" s="78"/>
      <c r="J341" s="78"/>
    </row>
    <row r="342" spans="1:10" x14ac:dyDescent="0.2">
      <c r="A342" s="84">
        <f t="shared" si="13"/>
        <v>336</v>
      </c>
      <c r="B342" s="85" t="e">
        <f>+MATCH(D342,ARTICULOS!$F$10:$F$699,0)</f>
        <v>#N/A</v>
      </c>
      <c r="C342" s="86" t="e">
        <f>+VLOOKUP(B342,ARTICULOS!$D$10:$I$699,6)</f>
        <v>#N/A</v>
      </c>
      <c r="D342" s="212"/>
      <c r="E342" s="75" t="e">
        <f t="shared" si="14"/>
        <v>#N/A</v>
      </c>
      <c r="F342" s="80"/>
      <c r="G342" s="81"/>
      <c r="H342" s="78"/>
      <c r="I342" s="78"/>
      <c r="J342" s="78"/>
    </row>
    <row r="343" spans="1:10" x14ac:dyDescent="0.2">
      <c r="A343" s="84">
        <f t="shared" si="13"/>
        <v>337</v>
      </c>
      <c r="B343" s="85" t="e">
        <f>+MATCH(D343,ARTICULOS!$F$10:$F$699,0)</f>
        <v>#N/A</v>
      </c>
      <c r="C343" s="86" t="e">
        <f>+VLOOKUP(B343,ARTICULOS!$D$10:$I$699,6)</f>
        <v>#N/A</v>
      </c>
      <c r="D343" s="212"/>
      <c r="E343" s="75" t="e">
        <f t="shared" si="14"/>
        <v>#N/A</v>
      </c>
      <c r="F343" s="80"/>
      <c r="G343" s="81"/>
      <c r="H343" s="78"/>
      <c r="I343" s="78"/>
      <c r="J343" s="78"/>
    </row>
    <row r="344" spans="1:10" x14ac:dyDescent="0.2">
      <c r="A344" s="84">
        <f t="shared" si="13"/>
        <v>338</v>
      </c>
      <c r="B344" s="85" t="e">
        <f>+MATCH(D344,ARTICULOS!$F$10:$F$699,0)</f>
        <v>#N/A</v>
      </c>
      <c r="C344" s="86" t="e">
        <f>+VLOOKUP(B344,ARTICULOS!$D$10:$I$699,6)</f>
        <v>#N/A</v>
      </c>
      <c r="D344" s="212"/>
      <c r="E344" s="75" t="e">
        <f t="shared" si="14"/>
        <v>#N/A</v>
      </c>
      <c r="F344" s="80"/>
      <c r="G344" s="81"/>
      <c r="H344" s="78"/>
      <c r="I344" s="78"/>
      <c r="J344" s="78"/>
    </row>
    <row r="345" spans="1:10" x14ac:dyDescent="0.2">
      <c r="A345" s="84">
        <f t="shared" si="13"/>
        <v>339</v>
      </c>
      <c r="B345" s="85" t="e">
        <f>+MATCH(D345,ARTICULOS!$F$10:$F$699,0)</f>
        <v>#N/A</v>
      </c>
      <c r="C345" s="86" t="e">
        <f>+VLOOKUP(B345,ARTICULOS!$D$10:$I$699,6)</f>
        <v>#N/A</v>
      </c>
      <c r="D345" s="212"/>
      <c r="E345" s="75" t="e">
        <f t="shared" si="14"/>
        <v>#N/A</v>
      </c>
      <c r="F345" s="80"/>
      <c r="G345" s="81"/>
      <c r="H345" s="78"/>
      <c r="I345" s="78"/>
      <c r="J345" s="78"/>
    </row>
    <row r="346" spans="1:10" x14ac:dyDescent="0.2">
      <c r="A346" s="84">
        <f t="shared" si="13"/>
        <v>340</v>
      </c>
      <c r="B346" s="85" t="e">
        <f>+MATCH(D346,ARTICULOS!$F$10:$F$699,0)</f>
        <v>#N/A</v>
      </c>
      <c r="C346" s="86" t="e">
        <f>+VLOOKUP(B346,ARTICULOS!$D$10:$I$699,6)</f>
        <v>#N/A</v>
      </c>
      <c r="D346" s="212"/>
      <c r="E346" s="75" t="e">
        <f t="shared" si="14"/>
        <v>#N/A</v>
      </c>
      <c r="F346" s="80"/>
      <c r="G346" s="81"/>
      <c r="H346" s="78"/>
      <c r="I346" s="78"/>
      <c r="J346" s="78"/>
    </row>
    <row r="347" spans="1:10" x14ac:dyDescent="0.2">
      <c r="A347" s="84">
        <f t="shared" si="13"/>
        <v>341</v>
      </c>
      <c r="B347" s="85" t="e">
        <f>+MATCH(D347,ARTICULOS!$F$10:$F$699,0)</f>
        <v>#N/A</v>
      </c>
      <c r="C347" s="86" t="e">
        <f>+VLOOKUP(B347,ARTICULOS!$D$10:$I$699,6)</f>
        <v>#N/A</v>
      </c>
      <c r="D347" s="212"/>
      <c r="E347" s="75" t="e">
        <f t="shared" si="14"/>
        <v>#N/A</v>
      </c>
      <c r="F347" s="80"/>
      <c r="G347" s="81"/>
      <c r="H347" s="78"/>
      <c r="I347" s="78"/>
      <c r="J347" s="78"/>
    </row>
    <row r="348" spans="1:10" x14ac:dyDescent="0.2">
      <c r="A348" s="84">
        <f t="shared" si="13"/>
        <v>342</v>
      </c>
      <c r="B348" s="85" t="e">
        <f>+MATCH(D348,ARTICULOS!$F$10:$F$699,0)</f>
        <v>#N/A</v>
      </c>
      <c r="C348" s="86" t="e">
        <f>+VLOOKUP(B348,ARTICULOS!$D$10:$I$699,6)</f>
        <v>#N/A</v>
      </c>
      <c r="D348" s="212"/>
      <c r="E348" s="75" t="e">
        <f t="shared" si="14"/>
        <v>#N/A</v>
      </c>
      <c r="F348" s="80"/>
      <c r="G348" s="81"/>
      <c r="H348" s="78"/>
      <c r="I348" s="78"/>
      <c r="J348" s="78"/>
    </row>
    <row r="349" spans="1:10" x14ac:dyDescent="0.2">
      <c r="A349" s="84">
        <f t="shared" si="13"/>
        <v>343</v>
      </c>
      <c r="B349" s="85" t="e">
        <f>+MATCH(D349,ARTICULOS!$F$10:$F$699,0)</f>
        <v>#N/A</v>
      </c>
      <c r="C349" s="86" t="e">
        <f>+VLOOKUP(B349,ARTICULOS!$D$10:$I$699,6)</f>
        <v>#N/A</v>
      </c>
      <c r="D349" s="212"/>
      <c r="E349" s="75" t="e">
        <f t="shared" si="14"/>
        <v>#N/A</v>
      </c>
      <c r="F349" s="80"/>
      <c r="G349" s="81"/>
      <c r="H349" s="78"/>
      <c r="I349" s="78"/>
      <c r="J349" s="78"/>
    </row>
    <row r="350" spans="1:10" x14ac:dyDescent="0.2">
      <c r="A350" s="84">
        <f t="shared" si="13"/>
        <v>344</v>
      </c>
      <c r="B350" s="85" t="e">
        <f>+MATCH(D350,ARTICULOS!$F$10:$F$699,0)</f>
        <v>#N/A</v>
      </c>
      <c r="C350" s="86" t="e">
        <f>+VLOOKUP(B350,ARTICULOS!$D$10:$I$699,6)</f>
        <v>#N/A</v>
      </c>
      <c r="D350" s="212"/>
      <c r="E350" s="75" t="e">
        <f t="shared" si="14"/>
        <v>#N/A</v>
      </c>
      <c r="F350" s="80"/>
      <c r="G350" s="81"/>
      <c r="H350" s="78"/>
      <c r="I350" s="78"/>
      <c r="J350" s="78"/>
    </row>
    <row r="351" spans="1:10" x14ac:dyDescent="0.2">
      <c r="A351" s="84">
        <f t="shared" si="13"/>
        <v>345</v>
      </c>
      <c r="B351" s="85" t="e">
        <f>+MATCH(D351,ARTICULOS!$F$10:$F$699,0)</f>
        <v>#N/A</v>
      </c>
      <c r="C351" s="86" t="e">
        <f>+VLOOKUP(B351,ARTICULOS!$D$10:$I$699,6)</f>
        <v>#N/A</v>
      </c>
      <c r="D351" s="212"/>
      <c r="E351" s="75" t="e">
        <f t="shared" si="14"/>
        <v>#N/A</v>
      </c>
      <c r="F351" s="80"/>
      <c r="G351" s="81"/>
      <c r="H351" s="78"/>
      <c r="I351" s="78"/>
      <c r="J351" s="78"/>
    </row>
    <row r="352" spans="1:10" x14ac:dyDescent="0.2">
      <c r="A352" s="84">
        <f t="shared" si="13"/>
        <v>346</v>
      </c>
      <c r="B352" s="85" t="e">
        <f>+MATCH(D352,ARTICULOS!$F$10:$F$699,0)</f>
        <v>#N/A</v>
      </c>
      <c r="C352" s="86" t="e">
        <f>+VLOOKUP(B352,ARTICULOS!$D$10:$I$699,6)</f>
        <v>#N/A</v>
      </c>
      <c r="D352" s="212"/>
      <c r="E352" s="75" t="e">
        <f t="shared" si="14"/>
        <v>#N/A</v>
      </c>
      <c r="F352" s="80"/>
      <c r="G352" s="81"/>
      <c r="H352" s="78"/>
      <c r="I352" s="78"/>
      <c r="J352" s="78"/>
    </row>
    <row r="353" spans="1:10" x14ac:dyDescent="0.2">
      <c r="A353" s="84">
        <f t="shared" si="13"/>
        <v>347</v>
      </c>
      <c r="B353" s="85" t="e">
        <f>+MATCH(D353,ARTICULOS!$F$10:$F$699,0)</f>
        <v>#N/A</v>
      </c>
      <c r="C353" s="86" t="e">
        <f>+VLOOKUP(B353,ARTICULOS!$D$10:$I$699,6)</f>
        <v>#N/A</v>
      </c>
      <c r="D353" s="212"/>
      <c r="E353" s="75" t="e">
        <f t="shared" si="14"/>
        <v>#N/A</v>
      </c>
      <c r="F353" s="80"/>
      <c r="G353" s="81"/>
      <c r="H353" s="78"/>
      <c r="I353" s="78"/>
      <c r="J353" s="78"/>
    </row>
    <row r="354" spans="1:10" x14ac:dyDescent="0.2">
      <c r="A354" s="84">
        <f t="shared" si="13"/>
        <v>348</v>
      </c>
      <c r="B354" s="85" t="e">
        <f>+MATCH(D354,ARTICULOS!$F$10:$F$699,0)</f>
        <v>#N/A</v>
      </c>
      <c r="C354" s="86" t="e">
        <f>+VLOOKUP(B354,ARTICULOS!$D$10:$I$699,6)</f>
        <v>#N/A</v>
      </c>
      <c r="D354" s="212"/>
      <c r="E354" s="75" t="e">
        <f t="shared" si="14"/>
        <v>#N/A</v>
      </c>
      <c r="F354" s="80"/>
      <c r="G354" s="81"/>
      <c r="H354" s="78"/>
      <c r="I354" s="78"/>
      <c r="J354" s="78"/>
    </row>
    <row r="355" spans="1:10" x14ac:dyDescent="0.2">
      <c r="A355" s="84">
        <f t="shared" si="13"/>
        <v>349</v>
      </c>
      <c r="B355" s="85" t="e">
        <f>+MATCH(D355,ARTICULOS!$F$10:$F$699,0)</f>
        <v>#N/A</v>
      </c>
      <c r="C355" s="86" t="e">
        <f>+VLOOKUP(B355,ARTICULOS!$D$10:$I$699,6)</f>
        <v>#N/A</v>
      </c>
      <c r="D355" s="212"/>
      <c r="E355" s="75" t="e">
        <f t="shared" si="14"/>
        <v>#N/A</v>
      </c>
      <c r="F355" s="80"/>
      <c r="G355" s="81"/>
      <c r="H355" s="78"/>
      <c r="I355" s="78"/>
      <c r="J355" s="78"/>
    </row>
    <row r="356" spans="1:10" x14ac:dyDescent="0.2">
      <c r="A356" s="84">
        <f t="shared" si="13"/>
        <v>350</v>
      </c>
      <c r="B356" s="85" t="e">
        <f>+MATCH(D356,ARTICULOS!$F$10:$F$699,0)</f>
        <v>#N/A</v>
      </c>
      <c r="C356" s="86" t="e">
        <f>+VLOOKUP(B356,ARTICULOS!$D$10:$I$699,6)</f>
        <v>#N/A</v>
      </c>
      <c r="D356" s="212"/>
      <c r="E356" s="75" t="e">
        <f t="shared" si="14"/>
        <v>#N/A</v>
      </c>
      <c r="F356" s="80"/>
      <c r="G356" s="81"/>
      <c r="H356" s="78"/>
      <c r="I356" s="78"/>
      <c r="J356" s="78"/>
    </row>
    <row r="357" spans="1:10" x14ac:dyDescent="0.2">
      <c r="A357" s="84">
        <f t="shared" si="13"/>
        <v>351</v>
      </c>
      <c r="B357" s="85" t="e">
        <f>+MATCH(D357,ARTICULOS!$F$10:$F$699,0)</f>
        <v>#N/A</v>
      </c>
      <c r="C357" s="86" t="e">
        <f>+VLOOKUP(B357,ARTICULOS!$D$10:$I$699,6)</f>
        <v>#N/A</v>
      </c>
      <c r="D357" s="212"/>
      <c r="E357" s="75" t="e">
        <f t="shared" si="14"/>
        <v>#N/A</v>
      </c>
      <c r="F357" s="80"/>
      <c r="G357" s="81"/>
      <c r="H357" s="78"/>
      <c r="I357" s="78"/>
      <c r="J357" s="78"/>
    </row>
    <row r="358" spans="1:10" x14ac:dyDescent="0.2">
      <c r="A358" s="84">
        <f t="shared" si="13"/>
        <v>352</v>
      </c>
      <c r="B358" s="85" t="e">
        <f>+MATCH(D358,ARTICULOS!$F$10:$F$699,0)</f>
        <v>#N/A</v>
      </c>
      <c r="C358" s="86" t="e">
        <f>+VLOOKUP(B358,ARTICULOS!$D$10:$I$699,6)</f>
        <v>#N/A</v>
      </c>
      <c r="D358" s="212"/>
      <c r="E358" s="75" t="e">
        <f t="shared" si="14"/>
        <v>#N/A</v>
      </c>
      <c r="F358" s="80"/>
      <c r="G358" s="81"/>
      <c r="H358" s="78"/>
      <c r="I358" s="78"/>
      <c r="J358" s="78"/>
    </row>
    <row r="359" spans="1:10" x14ac:dyDescent="0.2">
      <c r="A359" s="84">
        <f t="shared" si="13"/>
        <v>353</v>
      </c>
      <c r="B359" s="85" t="e">
        <f>+MATCH(D359,ARTICULOS!$F$10:$F$699,0)</f>
        <v>#N/A</v>
      </c>
      <c r="C359" s="86" t="e">
        <f>+VLOOKUP(B359,ARTICULOS!$D$10:$I$699,6)</f>
        <v>#N/A</v>
      </c>
      <c r="D359" s="212"/>
      <c r="E359" s="75" t="e">
        <f t="shared" si="14"/>
        <v>#N/A</v>
      </c>
      <c r="F359" s="80"/>
      <c r="G359" s="81"/>
      <c r="H359" s="78"/>
      <c r="I359" s="78"/>
      <c r="J359" s="78"/>
    </row>
    <row r="360" spans="1:10" x14ac:dyDescent="0.2">
      <c r="A360" s="84">
        <f t="shared" si="13"/>
        <v>354</v>
      </c>
      <c r="B360" s="85" t="e">
        <f>+MATCH(D360,ARTICULOS!$F$10:$F$699,0)</f>
        <v>#N/A</v>
      </c>
      <c r="C360" s="86" t="e">
        <f>+VLOOKUP(B360,ARTICULOS!$D$10:$I$699,6)</f>
        <v>#N/A</v>
      </c>
      <c r="D360" s="212"/>
      <c r="E360" s="75" t="e">
        <f t="shared" si="14"/>
        <v>#N/A</v>
      </c>
      <c r="F360" s="80"/>
      <c r="G360" s="81"/>
      <c r="H360" s="78"/>
      <c r="I360" s="78"/>
      <c r="J360" s="78"/>
    </row>
    <row r="361" spans="1:10" x14ac:dyDescent="0.2">
      <c r="A361" s="84">
        <f t="shared" ref="A361:A424" si="15">ROW()-6</f>
        <v>355</v>
      </c>
      <c r="B361" s="85" t="e">
        <f>+MATCH(D361,ARTICULOS!$F$10:$F$699,0)</f>
        <v>#N/A</v>
      </c>
      <c r="C361" s="86" t="e">
        <f>+VLOOKUP(B361,ARTICULOS!$D$10:$I$699,6)</f>
        <v>#N/A</v>
      </c>
      <c r="D361" s="212"/>
      <c r="E361" s="75" t="e">
        <f t="shared" si="14"/>
        <v>#N/A</v>
      </c>
      <c r="F361" s="80"/>
      <c r="G361" s="81"/>
      <c r="H361" s="78"/>
      <c r="I361" s="78"/>
      <c r="J361" s="78"/>
    </row>
    <row r="362" spans="1:10" x14ac:dyDescent="0.2">
      <c r="A362" s="84">
        <f t="shared" si="15"/>
        <v>356</v>
      </c>
      <c r="B362" s="85" t="e">
        <f>+MATCH(D362,ARTICULOS!$F$10:$F$699,0)</f>
        <v>#N/A</v>
      </c>
      <c r="C362" s="86" t="e">
        <f>+VLOOKUP(B362,ARTICULOS!$D$10:$I$699,6)</f>
        <v>#N/A</v>
      </c>
      <c r="D362" s="212"/>
      <c r="E362" s="75" t="e">
        <f t="shared" si="14"/>
        <v>#N/A</v>
      </c>
      <c r="F362" s="80"/>
      <c r="G362" s="81"/>
      <c r="H362" s="78"/>
      <c r="I362" s="78"/>
      <c r="J362" s="78"/>
    </row>
    <row r="363" spans="1:10" x14ac:dyDescent="0.2">
      <c r="A363" s="84">
        <f t="shared" si="15"/>
        <v>357</v>
      </c>
      <c r="B363" s="85" t="e">
        <f>+MATCH(D363,ARTICULOS!$F$10:$F$699,0)</f>
        <v>#N/A</v>
      </c>
      <c r="C363" s="86" t="e">
        <f>+VLOOKUP(B363,ARTICULOS!$D$10:$I$699,6)</f>
        <v>#N/A</v>
      </c>
      <c r="D363" s="212"/>
      <c r="E363" s="75" t="e">
        <f t="shared" si="14"/>
        <v>#N/A</v>
      </c>
      <c r="F363" s="80"/>
      <c r="G363" s="81"/>
      <c r="H363" s="78"/>
      <c r="I363" s="78"/>
      <c r="J363" s="78"/>
    </row>
    <row r="364" spans="1:10" x14ac:dyDescent="0.2">
      <c r="A364" s="84">
        <f t="shared" si="15"/>
        <v>358</v>
      </c>
      <c r="B364" s="85" t="e">
        <f>+MATCH(D364,ARTICULOS!$F$10:$F$699,0)</f>
        <v>#N/A</v>
      </c>
      <c r="C364" s="86" t="e">
        <f>+VLOOKUP(B364,ARTICULOS!$D$10:$I$699,6)</f>
        <v>#N/A</v>
      </c>
      <c r="D364" s="212"/>
      <c r="E364" s="75" t="e">
        <f t="shared" si="14"/>
        <v>#N/A</v>
      </c>
      <c r="F364" s="80"/>
      <c r="G364" s="81"/>
      <c r="H364" s="78"/>
      <c r="I364" s="78"/>
      <c r="J364" s="78"/>
    </row>
    <row r="365" spans="1:10" x14ac:dyDescent="0.2">
      <c r="A365" s="84">
        <f t="shared" si="15"/>
        <v>359</v>
      </c>
      <c r="B365" s="85" t="e">
        <f>+MATCH(D365,ARTICULOS!$F$10:$F$699,0)</f>
        <v>#N/A</v>
      </c>
      <c r="C365" s="86" t="e">
        <f>+VLOOKUP(B365,ARTICULOS!$D$10:$I$699,6)</f>
        <v>#N/A</v>
      </c>
      <c r="D365" s="212"/>
      <c r="E365" s="75" t="e">
        <f t="shared" si="14"/>
        <v>#N/A</v>
      </c>
      <c r="F365" s="80"/>
      <c r="G365" s="81"/>
      <c r="H365" s="78"/>
      <c r="I365" s="78"/>
      <c r="J365" s="78"/>
    </row>
    <row r="366" spans="1:10" x14ac:dyDescent="0.2">
      <c r="A366" s="84">
        <f t="shared" si="15"/>
        <v>360</v>
      </c>
      <c r="B366" s="85" t="e">
        <f>+MATCH(D366,ARTICULOS!$F$10:$F$699,0)</f>
        <v>#N/A</v>
      </c>
      <c r="C366" s="86" t="e">
        <f>+VLOOKUP(B366,ARTICULOS!$D$10:$I$699,6)</f>
        <v>#N/A</v>
      </c>
      <c r="D366" s="212"/>
      <c r="E366" s="75" t="e">
        <f t="shared" si="14"/>
        <v>#N/A</v>
      </c>
      <c r="F366" s="80"/>
      <c r="G366" s="81"/>
      <c r="H366" s="78"/>
      <c r="I366" s="78"/>
      <c r="J366" s="78"/>
    </row>
    <row r="367" spans="1:10" x14ac:dyDescent="0.2">
      <c r="A367" s="84">
        <f t="shared" si="15"/>
        <v>361</v>
      </c>
      <c r="B367" s="85" t="e">
        <f>+MATCH(D367,ARTICULOS!$F$10:$F$699,0)</f>
        <v>#N/A</v>
      </c>
      <c r="C367" s="86" t="e">
        <f>+VLOOKUP(B367,ARTICULOS!$D$10:$I$699,6)</f>
        <v>#N/A</v>
      </c>
      <c r="D367" s="212"/>
      <c r="E367" s="75" t="e">
        <f t="shared" si="14"/>
        <v>#N/A</v>
      </c>
      <c r="F367" s="80"/>
      <c r="G367" s="81"/>
      <c r="H367" s="78"/>
      <c r="I367" s="78"/>
      <c r="J367" s="78"/>
    </row>
    <row r="368" spans="1:10" x14ac:dyDescent="0.2">
      <c r="A368" s="84">
        <f t="shared" si="15"/>
        <v>362</v>
      </c>
      <c r="B368" s="85" t="e">
        <f>+MATCH(D368,ARTICULOS!$F$10:$F$699,0)</f>
        <v>#N/A</v>
      </c>
      <c r="C368" s="86" t="e">
        <f>+VLOOKUP(B368,ARTICULOS!$D$10:$I$699,6)</f>
        <v>#N/A</v>
      </c>
      <c r="D368" s="212"/>
      <c r="E368" s="75" t="e">
        <f t="shared" si="14"/>
        <v>#N/A</v>
      </c>
      <c r="F368" s="80"/>
      <c r="G368" s="81"/>
      <c r="H368" s="78"/>
      <c r="I368" s="78"/>
      <c r="J368" s="78"/>
    </row>
    <row r="369" spans="1:10" x14ac:dyDescent="0.2">
      <c r="A369" s="84">
        <f t="shared" si="15"/>
        <v>363</v>
      </c>
      <c r="B369" s="85" t="e">
        <f>+MATCH(D369,ARTICULOS!$F$10:$F$699,0)</f>
        <v>#N/A</v>
      </c>
      <c r="C369" s="86" t="e">
        <f>+VLOOKUP(B369,ARTICULOS!$D$10:$I$699,6)</f>
        <v>#N/A</v>
      </c>
      <c r="D369" s="212"/>
      <c r="E369" s="75" t="e">
        <f t="shared" si="14"/>
        <v>#N/A</v>
      </c>
      <c r="F369" s="80"/>
      <c r="G369" s="81"/>
      <c r="H369" s="78"/>
      <c r="I369" s="78"/>
      <c r="J369" s="78"/>
    </row>
    <row r="370" spans="1:10" x14ac:dyDescent="0.2">
      <c r="A370" s="84">
        <f t="shared" si="15"/>
        <v>364</v>
      </c>
      <c r="B370" s="85" t="e">
        <f>+MATCH(D370,ARTICULOS!$F$10:$F$699,0)</f>
        <v>#N/A</v>
      </c>
      <c r="C370" s="86" t="e">
        <f>+VLOOKUP(B370,ARTICULOS!$D$10:$I$699,6)</f>
        <v>#N/A</v>
      </c>
      <c r="D370" s="212"/>
      <c r="E370" s="75" t="e">
        <f t="shared" si="14"/>
        <v>#N/A</v>
      </c>
      <c r="F370" s="80"/>
      <c r="G370" s="81"/>
      <c r="H370" s="78"/>
      <c r="I370" s="78"/>
      <c r="J370" s="78"/>
    </row>
    <row r="371" spans="1:10" x14ac:dyDescent="0.2">
      <c r="A371" s="84">
        <f t="shared" si="15"/>
        <v>365</v>
      </c>
      <c r="B371" s="85" t="e">
        <f>+MATCH(D371,ARTICULOS!$F$10:$F$699,0)</f>
        <v>#N/A</v>
      </c>
      <c r="C371" s="86" t="e">
        <f>+VLOOKUP(B371,ARTICULOS!$D$10:$I$699,6)</f>
        <v>#N/A</v>
      </c>
      <c r="D371" s="212"/>
      <c r="E371" s="75" t="e">
        <f t="shared" si="14"/>
        <v>#N/A</v>
      </c>
      <c r="F371" s="80"/>
      <c r="G371" s="81"/>
      <c r="H371" s="78"/>
      <c r="I371" s="78"/>
      <c r="J371" s="78"/>
    </row>
    <row r="372" spans="1:10" x14ac:dyDescent="0.2">
      <c r="A372" s="84">
        <f t="shared" si="15"/>
        <v>366</v>
      </c>
      <c r="B372" s="85" t="e">
        <f>+MATCH(D372,ARTICULOS!$F$10:$F$699,0)</f>
        <v>#N/A</v>
      </c>
      <c r="C372" s="86" t="e">
        <f>+VLOOKUP(B372,ARTICULOS!$D$10:$I$699,6)</f>
        <v>#N/A</v>
      </c>
      <c r="D372" s="212"/>
      <c r="E372" s="75" t="e">
        <f t="shared" si="14"/>
        <v>#N/A</v>
      </c>
      <c r="F372" s="80"/>
      <c r="G372" s="81"/>
      <c r="H372" s="78"/>
      <c r="I372" s="78"/>
      <c r="J372" s="78"/>
    </row>
    <row r="373" spans="1:10" x14ac:dyDescent="0.2">
      <c r="A373" s="84">
        <f t="shared" si="15"/>
        <v>367</v>
      </c>
      <c r="B373" s="85" t="e">
        <f>+MATCH(D373,ARTICULOS!$F$10:$F$699,0)</f>
        <v>#N/A</v>
      </c>
      <c r="C373" s="86" t="e">
        <f>+VLOOKUP(B373,ARTICULOS!$D$10:$I$699,6)</f>
        <v>#N/A</v>
      </c>
      <c r="D373" s="212"/>
      <c r="E373" s="75" t="e">
        <f t="shared" si="14"/>
        <v>#N/A</v>
      </c>
      <c r="F373" s="80"/>
      <c r="G373" s="81"/>
      <c r="H373" s="78"/>
      <c r="I373" s="78"/>
      <c r="J373" s="78"/>
    </row>
    <row r="374" spans="1:10" x14ac:dyDescent="0.2">
      <c r="A374" s="84">
        <f t="shared" si="15"/>
        <v>368</v>
      </c>
      <c r="B374" s="85" t="e">
        <f>+MATCH(D374,ARTICULOS!$F$10:$F$699,0)</f>
        <v>#N/A</v>
      </c>
      <c r="C374" s="86" t="e">
        <f>+VLOOKUP(B374,ARTICULOS!$D$10:$I$699,6)</f>
        <v>#N/A</v>
      </c>
      <c r="D374" s="212"/>
      <c r="E374" s="75" t="e">
        <f t="shared" si="14"/>
        <v>#N/A</v>
      </c>
      <c r="F374" s="80"/>
      <c r="G374" s="81"/>
      <c r="H374" s="78"/>
      <c r="I374" s="78"/>
      <c r="J374" s="78"/>
    </row>
    <row r="375" spans="1:10" x14ac:dyDescent="0.2">
      <c r="A375" s="84">
        <f t="shared" si="15"/>
        <v>369</v>
      </c>
      <c r="B375" s="85" t="e">
        <f>+MATCH(D375,ARTICULOS!$F$10:$F$699,0)</f>
        <v>#N/A</v>
      </c>
      <c r="C375" s="86" t="e">
        <f>+VLOOKUP(B375,ARTICULOS!$D$10:$I$699,6)</f>
        <v>#N/A</v>
      </c>
      <c r="D375" s="212"/>
      <c r="E375" s="75" t="e">
        <f t="shared" si="14"/>
        <v>#N/A</v>
      </c>
      <c r="F375" s="80"/>
      <c r="G375" s="81"/>
      <c r="H375" s="78"/>
      <c r="I375" s="78"/>
      <c r="J375" s="78"/>
    </row>
    <row r="376" spans="1:10" x14ac:dyDescent="0.2">
      <c r="A376" s="84">
        <f t="shared" si="15"/>
        <v>370</v>
      </c>
      <c r="B376" s="85" t="e">
        <f>+MATCH(D376,ARTICULOS!$F$10:$F$699,0)</f>
        <v>#N/A</v>
      </c>
      <c r="C376" s="86" t="e">
        <f>+VLOOKUP(B376,ARTICULOS!$D$10:$I$699,6)</f>
        <v>#N/A</v>
      </c>
      <c r="D376" s="212"/>
      <c r="E376" s="75" t="e">
        <f t="shared" si="14"/>
        <v>#N/A</v>
      </c>
      <c r="F376" s="80"/>
      <c r="G376" s="81"/>
      <c r="H376" s="78"/>
      <c r="I376" s="78"/>
      <c r="J376" s="78"/>
    </row>
    <row r="377" spans="1:10" x14ac:dyDescent="0.2">
      <c r="A377" s="84">
        <f t="shared" si="15"/>
        <v>371</v>
      </c>
      <c r="B377" s="85" t="e">
        <f>+MATCH(D377,ARTICULOS!$F$10:$F$699,0)</f>
        <v>#N/A</v>
      </c>
      <c r="C377" s="86" t="e">
        <f>+VLOOKUP(B377,ARTICULOS!$D$10:$I$699,6)</f>
        <v>#N/A</v>
      </c>
      <c r="D377" s="212"/>
      <c r="E377" s="75" t="e">
        <f t="shared" si="14"/>
        <v>#N/A</v>
      </c>
      <c r="F377" s="80"/>
      <c r="G377" s="81"/>
      <c r="H377" s="78"/>
      <c r="I377" s="78"/>
      <c r="J377" s="78"/>
    </row>
    <row r="378" spans="1:10" x14ac:dyDescent="0.2">
      <c r="A378" s="84">
        <f t="shared" si="15"/>
        <v>372</v>
      </c>
      <c r="B378" s="85" t="e">
        <f>+MATCH(D378,ARTICULOS!$F$10:$F$699,0)</f>
        <v>#N/A</v>
      </c>
      <c r="C378" s="86" t="e">
        <f>+VLOOKUP(B378,ARTICULOS!$D$10:$I$699,6)</f>
        <v>#N/A</v>
      </c>
      <c r="D378" s="212"/>
      <c r="E378" s="75" t="e">
        <f t="shared" si="14"/>
        <v>#N/A</v>
      </c>
      <c r="F378" s="80"/>
      <c r="G378" s="81"/>
      <c r="H378" s="78"/>
      <c r="I378" s="78"/>
      <c r="J378" s="78"/>
    </row>
    <row r="379" spans="1:10" x14ac:dyDescent="0.2">
      <c r="A379" s="84">
        <f t="shared" si="15"/>
        <v>373</v>
      </c>
      <c r="B379" s="85" t="e">
        <f>+MATCH(D379,ARTICULOS!$F$10:$F$699,0)</f>
        <v>#N/A</v>
      </c>
      <c r="C379" s="86" t="e">
        <f>+VLOOKUP(B379,ARTICULOS!$D$10:$I$699,6)</f>
        <v>#N/A</v>
      </c>
      <c r="D379" s="212"/>
      <c r="E379" s="75" t="e">
        <f t="shared" si="14"/>
        <v>#N/A</v>
      </c>
      <c r="F379" s="80"/>
      <c r="G379" s="81"/>
      <c r="H379" s="78"/>
      <c r="I379" s="78"/>
      <c r="J379" s="78"/>
    </row>
    <row r="380" spans="1:10" x14ac:dyDescent="0.2">
      <c r="A380" s="84">
        <f t="shared" si="15"/>
        <v>374</v>
      </c>
      <c r="B380" s="85" t="e">
        <f>+MATCH(D380,ARTICULOS!$F$10:$F$699,0)</f>
        <v>#N/A</v>
      </c>
      <c r="C380" s="86" t="e">
        <f>+VLOOKUP(B380,ARTICULOS!$D$10:$I$699,6)</f>
        <v>#N/A</v>
      </c>
      <c r="D380" s="212"/>
      <c r="E380" s="75" t="e">
        <f t="shared" si="14"/>
        <v>#N/A</v>
      </c>
      <c r="F380" s="80"/>
      <c r="G380" s="81"/>
      <c r="H380" s="78"/>
      <c r="I380" s="78"/>
      <c r="J380" s="78"/>
    </row>
    <row r="381" spans="1:10" x14ac:dyDescent="0.2">
      <c r="A381" s="84">
        <f t="shared" si="15"/>
        <v>375</v>
      </c>
      <c r="B381" s="85" t="e">
        <f>+MATCH(D381,ARTICULOS!$F$10:$F$699,0)</f>
        <v>#N/A</v>
      </c>
      <c r="C381" s="86" t="e">
        <f>+VLOOKUP(B381,ARTICULOS!$D$10:$I$699,6)</f>
        <v>#N/A</v>
      </c>
      <c r="D381" s="212"/>
      <c r="E381" s="75" t="e">
        <f t="shared" si="14"/>
        <v>#N/A</v>
      </c>
      <c r="F381" s="80"/>
      <c r="G381" s="81"/>
      <c r="H381" s="78"/>
      <c r="I381" s="78"/>
      <c r="J381" s="78"/>
    </row>
    <row r="382" spans="1:10" x14ac:dyDescent="0.2">
      <c r="A382" s="84">
        <f t="shared" si="15"/>
        <v>376</v>
      </c>
      <c r="B382" s="85" t="e">
        <f>+MATCH(D382,ARTICULOS!$F$10:$F$699,0)</f>
        <v>#N/A</v>
      </c>
      <c r="C382" s="86" t="e">
        <f>+VLOOKUP(B382,ARTICULOS!$D$10:$I$699,6)</f>
        <v>#N/A</v>
      </c>
      <c r="D382" s="212"/>
      <c r="E382" s="75" t="e">
        <f t="shared" si="14"/>
        <v>#N/A</v>
      </c>
      <c r="F382" s="80"/>
      <c r="G382" s="81"/>
      <c r="H382" s="78"/>
      <c r="I382" s="78"/>
      <c r="J382" s="78"/>
    </row>
    <row r="383" spans="1:10" x14ac:dyDescent="0.2">
      <c r="A383" s="84">
        <f t="shared" si="15"/>
        <v>377</v>
      </c>
      <c r="B383" s="85" t="e">
        <f>+MATCH(D383,ARTICULOS!$F$10:$F$699,0)</f>
        <v>#N/A</v>
      </c>
      <c r="C383" s="86" t="e">
        <f>+VLOOKUP(B383,ARTICULOS!$D$10:$I$699,6)</f>
        <v>#N/A</v>
      </c>
      <c r="D383" s="212"/>
      <c r="E383" s="75" t="e">
        <f t="shared" si="14"/>
        <v>#N/A</v>
      </c>
      <c r="F383" s="80"/>
      <c r="G383" s="81"/>
      <c r="H383" s="78"/>
      <c r="I383" s="78"/>
      <c r="J383" s="78"/>
    </row>
    <row r="384" spans="1:10" x14ac:dyDescent="0.2">
      <c r="A384" s="84">
        <f t="shared" si="15"/>
        <v>378</v>
      </c>
      <c r="B384" s="85" t="e">
        <f>+MATCH(D384,ARTICULOS!$F$10:$F$699,0)</f>
        <v>#N/A</v>
      </c>
      <c r="C384" s="86" t="e">
        <f>+VLOOKUP(B384,ARTICULOS!$D$10:$I$699,6)</f>
        <v>#N/A</v>
      </c>
      <c r="D384" s="212"/>
      <c r="E384" s="75" t="e">
        <f t="shared" si="14"/>
        <v>#N/A</v>
      </c>
      <c r="F384" s="80"/>
      <c r="G384" s="81"/>
      <c r="H384" s="78"/>
      <c r="I384" s="78"/>
      <c r="J384" s="78"/>
    </row>
    <row r="385" spans="1:10" x14ac:dyDescent="0.2">
      <c r="A385" s="84">
        <f t="shared" si="15"/>
        <v>379</v>
      </c>
      <c r="B385" s="85" t="e">
        <f>+MATCH(D385,ARTICULOS!$F$10:$F$699,0)</f>
        <v>#N/A</v>
      </c>
      <c r="C385" s="86" t="e">
        <f>+VLOOKUP(B385,ARTICULOS!$D$10:$I$699,6)</f>
        <v>#N/A</v>
      </c>
      <c r="D385" s="212"/>
      <c r="E385" s="75" t="e">
        <f t="shared" si="14"/>
        <v>#N/A</v>
      </c>
      <c r="F385" s="80"/>
      <c r="G385" s="81"/>
      <c r="H385" s="78"/>
      <c r="I385" s="78"/>
      <c r="J385" s="78"/>
    </row>
    <row r="386" spans="1:10" x14ac:dyDescent="0.2">
      <c r="A386" s="84">
        <f t="shared" si="15"/>
        <v>380</v>
      </c>
      <c r="B386" s="85" t="e">
        <f>+MATCH(D386,ARTICULOS!$F$10:$F$699,0)</f>
        <v>#N/A</v>
      </c>
      <c r="C386" s="86" t="e">
        <f>+VLOOKUP(B386,ARTICULOS!$D$10:$I$699,6)</f>
        <v>#N/A</v>
      </c>
      <c r="D386" s="212"/>
      <c r="E386" s="75" t="e">
        <f t="shared" si="14"/>
        <v>#N/A</v>
      </c>
      <c r="F386" s="80"/>
      <c r="G386" s="81"/>
      <c r="H386" s="78"/>
      <c r="I386" s="78"/>
      <c r="J386" s="78"/>
    </row>
    <row r="387" spans="1:10" x14ac:dyDescent="0.2">
      <c r="A387" s="84">
        <f t="shared" si="15"/>
        <v>381</v>
      </c>
      <c r="B387" s="85" t="e">
        <f>+MATCH(D387,ARTICULOS!$F$10:$F$699,0)</f>
        <v>#N/A</v>
      </c>
      <c r="C387" s="86" t="e">
        <f>+VLOOKUP(B387,ARTICULOS!$D$10:$I$699,6)</f>
        <v>#N/A</v>
      </c>
      <c r="D387" s="212"/>
      <c r="E387" s="75" t="e">
        <f t="shared" si="14"/>
        <v>#N/A</v>
      </c>
      <c r="F387" s="80"/>
      <c r="G387" s="81"/>
      <c r="H387" s="78"/>
      <c r="I387" s="78"/>
      <c r="J387" s="78"/>
    </row>
    <row r="388" spans="1:10" x14ac:dyDescent="0.2">
      <c r="A388" s="84">
        <f t="shared" si="15"/>
        <v>382</v>
      </c>
      <c r="B388" s="85" t="e">
        <f>+MATCH(D388,ARTICULOS!$F$10:$F$699,0)</f>
        <v>#N/A</v>
      </c>
      <c r="C388" s="86" t="e">
        <f>+VLOOKUP(B388,ARTICULOS!$D$10:$I$699,6)</f>
        <v>#N/A</v>
      </c>
      <c r="D388" s="212"/>
      <c r="E388" s="75" t="e">
        <f t="shared" si="14"/>
        <v>#N/A</v>
      </c>
      <c r="F388" s="80"/>
      <c r="G388" s="81"/>
      <c r="H388" s="78"/>
      <c r="I388" s="78"/>
      <c r="J388" s="78"/>
    </row>
    <row r="389" spans="1:10" x14ac:dyDescent="0.2">
      <c r="A389" s="84">
        <f t="shared" si="15"/>
        <v>383</v>
      </c>
      <c r="B389" s="85" t="e">
        <f>+MATCH(D389,ARTICULOS!$F$10:$F$699,0)</f>
        <v>#N/A</v>
      </c>
      <c r="C389" s="86" t="e">
        <f>+VLOOKUP(B389,ARTICULOS!$D$10:$I$699,6)</f>
        <v>#N/A</v>
      </c>
      <c r="D389" s="212"/>
      <c r="E389" s="75" t="e">
        <f t="shared" si="14"/>
        <v>#N/A</v>
      </c>
      <c r="F389" s="80"/>
      <c r="G389" s="81"/>
      <c r="H389" s="78"/>
      <c r="I389" s="78"/>
      <c r="J389" s="78"/>
    </row>
    <row r="390" spans="1:10" x14ac:dyDescent="0.2">
      <c r="A390" s="84">
        <f t="shared" si="15"/>
        <v>384</v>
      </c>
      <c r="B390" s="85" t="e">
        <f>+MATCH(D390,ARTICULOS!$F$10:$F$699,0)</f>
        <v>#N/A</v>
      </c>
      <c r="C390" s="86" t="e">
        <f>+VLOOKUP(B390,ARTICULOS!$D$10:$I$699,6)</f>
        <v>#N/A</v>
      </c>
      <c r="D390" s="212"/>
      <c r="E390" s="75" t="e">
        <f t="shared" si="14"/>
        <v>#N/A</v>
      </c>
      <c r="F390" s="80"/>
      <c r="G390" s="81"/>
      <c r="H390" s="78"/>
      <c r="I390" s="78"/>
      <c r="J390" s="78"/>
    </row>
    <row r="391" spans="1:10" x14ac:dyDescent="0.2">
      <c r="A391" s="84">
        <f t="shared" si="15"/>
        <v>385</v>
      </c>
      <c r="B391" s="85" t="e">
        <f>+MATCH(D391,ARTICULOS!$F$10:$F$699,0)</f>
        <v>#N/A</v>
      </c>
      <c r="C391" s="86" t="e">
        <f>+VLOOKUP(B391,ARTICULOS!$D$10:$I$699,6)</f>
        <v>#N/A</v>
      </c>
      <c r="D391" s="212"/>
      <c r="E391" s="75" t="e">
        <f t="shared" si="14"/>
        <v>#N/A</v>
      </c>
      <c r="F391" s="80"/>
      <c r="G391" s="81"/>
      <c r="H391" s="78"/>
      <c r="I391" s="78"/>
      <c r="J391" s="78"/>
    </row>
    <row r="392" spans="1:10" x14ac:dyDescent="0.2">
      <c r="A392" s="84">
        <f t="shared" si="15"/>
        <v>386</v>
      </c>
      <c r="B392" s="85" t="e">
        <f>+MATCH(D392,ARTICULOS!$F$10:$F$699,0)</f>
        <v>#N/A</v>
      </c>
      <c r="C392" s="86" t="e">
        <f>+VLOOKUP(B392,ARTICULOS!$D$10:$I$699,6)</f>
        <v>#N/A</v>
      </c>
      <c r="D392" s="212"/>
      <c r="E392" s="75" t="e">
        <f t="shared" si="14"/>
        <v>#N/A</v>
      </c>
      <c r="F392" s="80"/>
      <c r="G392" s="81"/>
      <c r="H392" s="78"/>
      <c r="I392" s="78"/>
      <c r="J392" s="78"/>
    </row>
    <row r="393" spans="1:10" x14ac:dyDescent="0.2">
      <c r="A393" s="84">
        <f t="shared" si="15"/>
        <v>387</v>
      </c>
      <c r="B393" s="85" t="e">
        <f>+MATCH(D393,ARTICULOS!$F$10:$F$699,0)</f>
        <v>#N/A</v>
      </c>
      <c r="C393" s="86" t="e">
        <f>+VLOOKUP(B393,ARTICULOS!$D$10:$I$699,6)</f>
        <v>#N/A</v>
      </c>
      <c r="D393" s="212"/>
      <c r="E393" s="75" t="e">
        <f t="shared" si="14"/>
        <v>#N/A</v>
      </c>
      <c r="F393" s="80"/>
      <c r="G393" s="81"/>
      <c r="H393" s="78"/>
      <c r="I393" s="78"/>
      <c r="J393" s="78"/>
    </row>
    <row r="394" spans="1:10" x14ac:dyDescent="0.2">
      <c r="A394" s="84">
        <f t="shared" si="15"/>
        <v>388</v>
      </c>
      <c r="B394" s="85" t="e">
        <f>+MATCH(D394,ARTICULOS!$F$10:$F$699,0)</f>
        <v>#N/A</v>
      </c>
      <c r="C394" s="86" t="e">
        <f>+VLOOKUP(B394,ARTICULOS!$D$10:$I$699,6)</f>
        <v>#N/A</v>
      </c>
      <c r="D394" s="212"/>
      <c r="E394" s="75" t="e">
        <f t="shared" si="14"/>
        <v>#N/A</v>
      </c>
      <c r="F394" s="80"/>
      <c r="G394" s="81"/>
      <c r="H394" s="78"/>
      <c r="I394" s="78"/>
      <c r="J394" s="78"/>
    </row>
    <row r="395" spans="1:10" x14ac:dyDescent="0.2">
      <c r="A395" s="84">
        <f t="shared" si="15"/>
        <v>389</v>
      </c>
      <c r="B395" s="85" t="e">
        <f>+MATCH(D395,ARTICULOS!$F$10:$F$699,0)</f>
        <v>#N/A</v>
      </c>
      <c r="C395" s="86" t="e">
        <f>+VLOOKUP(B395,ARTICULOS!$D$10:$I$699,6)</f>
        <v>#N/A</v>
      </c>
      <c r="D395" s="212"/>
      <c r="E395" s="75" t="e">
        <f t="shared" ref="E395:E458" si="16">+C395&amp;F395</f>
        <v>#N/A</v>
      </c>
      <c r="F395" s="80"/>
      <c r="G395" s="81"/>
      <c r="H395" s="78"/>
      <c r="I395" s="78"/>
      <c r="J395" s="78"/>
    </row>
    <row r="396" spans="1:10" x14ac:dyDescent="0.2">
      <c r="A396" s="84">
        <f t="shared" si="15"/>
        <v>390</v>
      </c>
      <c r="B396" s="85" t="e">
        <f>+MATCH(D396,ARTICULOS!$F$10:$F$699,0)</f>
        <v>#N/A</v>
      </c>
      <c r="C396" s="86" t="e">
        <f>+VLOOKUP(B396,ARTICULOS!$D$10:$I$699,6)</f>
        <v>#N/A</v>
      </c>
      <c r="D396" s="212"/>
      <c r="E396" s="75" t="e">
        <f t="shared" si="16"/>
        <v>#N/A</v>
      </c>
      <c r="F396" s="80"/>
      <c r="G396" s="81"/>
      <c r="H396" s="78"/>
      <c r="I396" s="78"/>
      <c r="J396" s="78"/>
    </row>
    <row r="397" spans="1:10" x14ac:dyDescent="0.2">
      <c r="A397" s="84">
        <f t="shared" si="15"/>
        <v>391</v>
      </c>
      <c r="B397" s="85" t="e">
        <f>+MATCH(D397,ARTICULOS!$F$10:$F$699,0)</f>
        <v>#N/A</v>
      </c>
      <c r="C397" s="86" t="e">
        <f>+VLOOKUP(B397,ARTICULOS!$D$10:$I$699,6)</f>
        <v>#N/A</v>
      </c>
      <c r="D397" s="212"/>
      <c r="E397" s="75" t="e">
        <f t="shared" si="16"/>
        <v>#N/A</v>
      </c>
      <c r="F397" s="80"/>
      <c r="G397" s="81"/>
      <c r="H397" s="78"/>
      <c r="I397" s="78"/>
      <c r="J397" s="78"/>
    </row>
    <row r="398" spans="1:10" x14ac:dyDescent="0.2">
      <c r="A398" s="84">
        <f t="shared" si="15"/>
        <v>392</v>
      </c>
      <c r="B398" s="85" t="e">
        <f>+MATCH(D398,ARTICULOS!$F$10:$F$699,0)</f>
        <v>#N/A</v>
      </c>
      <c r="C398" s="86" t="e">
        <f>+VLOOKUP(B398,ARTICULOS!$D$10:$I$699,6)</f>
        <v>#N/A</v>
      </c>
      <c r="D398" s="212"/>
      <c r="E398" s="75" t="e">
        <f t="shared" si="16"/>
        <v>#N/A</v>
      </c>
      <c r="F398" s="80"/>
      <c r="G398" s="81"/>
      <c r="H398" s="78"/>
      <c r="I398" s="78"/>
      <c r="J398" s="78"/>
    </row>
    <row r="399" spans="1:10" x14ac:dyDescent="0.2">
      <c r="A399" s="84">
        <f t="shared" si="15"/>
        <v>393</v>
      </c>
      <c r="B399" s="85" t="e">
        <f>+MATCH(D399,ARTICULOS!$F$10:$F$699,0)</f>
        <v>#N/A</v>
      </c>
      <c r="C399" s="86" t="e">
        <f>+VLOOKUP(B399,ARTICULOS!$D$10:$I$699,6)</f>
        <v>#N/A</v>
      </c>
      <c r="D399" s="212"/>
      <c r="E399" s="75" t="e">
        <f t="shared" si="16"/>
        <v>#N/A</v>
      </c>
      <c r="F399" s="80"/>
      <c r="G399" s="81"/>
      <c r="H399" s="78"/>
      <c r="I399" s="78"/>
      <c r="J399" s="78"/>
    </row>
    <row r="400" spans="1:10" x14ac:dyDescent="0.2">
      <c r="A400" s="84">
        <f t="shared" si="15"/>
        <v>394</v>
      </c>
      <c r="B400" s="85" t="e">
        <f>+MATCH(D400,ARTICULOS!$F$10:$F$699,0)</f>
        <v>#N/A</v>
      </c>
      <c r="C400" s="86" t="e">
        <f>+VLOOKUP(B400,ARTICULOS!$D$10:$I$699,6)</f>
        <v>#N/A</v>
      </c>
      <c r="D400" s="212"/>
      <c r="E400" s="75" t="e">
        <f t="shared" si="16"/>
        <v>#N/A</v>
      </c>
      <c r="F400" s="80"/>
      <c r="G400" s="81"/>
      <c r="H400" s="78"/>
      <c r="I400" s="78"/>
      <c r="J400" s="78"/>
    </row>
    <row r="401" spans="1:10" x14ac:dyDescent="0.2">
      <c r="A401" s="84">
        <f t="shared" si="15"/>
        <v>395</v>
      </c>
      <c r="B401" s="85" t="e">
        <f>+MATCH(D401,ARTICULOS!$F$10:$F$699,0)</f>
        <v>#N/A</v>
      </c>
      <c r="C401" s="86" t="e">
        <f>+VLOOKUP(B401,ARTICULOS!$D$10:$I$699,6)</f>
        <v>#N/A</v>
      </c>
      <c r="D401" s="212"/>
      <c r="E401" s="75" t="e">
        <f t="shared" si="16"/>
        <v>#N/A</v>
      </c>
      <c r="F401" s="80"/>
      <c r="G401" s="81"/>
      <c r="H401" s="78"/>
      <c r="I401" s="78"/>
      <c r="J401" s="78"/>
    </row>
    <row r="402" spans="1:10" x14ac:dyDescent="0.2">
      <c r="A402" s="84">
        <f t="shared" si="15"/>
        <v>396</v>
      </c>
      <c r="B402" s="85" t="e">
        <f>+MATCH(D402,ARTICULOS!$F$10:$F$699,0)</f>
        <v>#N/A</v>
      </c>
      <c r="C402" s="86" t="e">
        <f>+VLOOKUP(B402,ARTICULOS!$D$10:$I$699,6)</f>
        <v>#N/A</v>
      </c>
      <c r="D402" s="212"/>
      <c r="E402" s="75" t="e">
        <f t="shared" si="16"/>
        <v>#N/A</v>
      </c>
      <c r="F402" s="80"/>
      <c r="G402" s="81"/>
      <c r="H402" s="78"/>
      <c r="I402" s="78"/>
      <c r="J402" s="78"/>
    </row>
    <row r="403" spans="1:10" x14ac:dyDescent="0.2">
      <c r="A403" s="84">
        <f t="shared" si="15"/>
        <v>397</v>
      </c>
      <c r="B403" s="85" t="e">
        <f>+MATCH(D403,ARTICULOS!$F$10:$F$699,0)</f>
        <v>#N/A</v>
      </c>
      <c r="C403" s="86" t="e">
        <f>+VLOOKUP(B403,ARTICULOS!$D$10:$I$699,6)</f>
        <v>#N/A</v>
      </c>
      <c r="D403" s="212"/>
      <c r="E403" s="75" t="e">
        <f t="shared" si="16"/>
        <v>#N/A</v>
      </c>
      <c r="F403" s="80"/>
      <c r="G403" s="81"/>
      <c r="H403" s="78"/>
      <c r="I403" s="78"/>
      <c r="J403" s="78"/>
    </row>
    <row r="404" spans="1:10" x14ac:dyDescent="0.2">
      <c r="A404" s="84">
        <f t="shared" si="15"/>
        <v>398</v>
      </c>
      <c r="B404" s="85" t="e">
        <f>+MATCH(D404,ARTICULOS!$F$10:$F$699,0)</f>
        <v>#N/A</v>
      </c>
      <c r="C404" s="86" t="e">
        <f>+VLOOKUP(B404,ARTICULOS!$D$10:$I$699,6)</f>
        <v>#N/A</v>
      </c>
      <c r="D404" s="212"/>
      <c r="E404" s="75" t="e">
        <f t="shared" si="16"/>
        <v>#N/A</v>
      </c>
      <c r="F404" s="80"/>
      <c r="G404" s="81"/>
      <c r="H404" s="78"/>
      <c r="I404" s="78"/>
      <c r="J404" s="78"/>
    </row>
    <row r="405" spans="1:10" x14ac:dyDescent="0.2">
      <c r="A405" s="84">
        <f t="shared" si="15"/>
        <v>399</v>
      </c>
      <c r="B405" s="85" t="e">
        <f>+MATCH(D405,ARTICULOS!$F$10:$F$699,0)</f>
        <v>#N/A</v>
      </c>
      <c r="C405" s="86" t="e">
        <f>+VLOOKUP(B405,ARTICULOS!$D$10:$I$699,6)</f>
        <v>#N/A</v>
      </c>
      <c r="D405" s="212"/>
      <c r="E405" s="75" t="e">
        <f t="shared" si="16"/>
        <v>#N/A</v>
      </c>
      <c r="F405" s="80"/>
      <c r="G405" s="81"/>
      <c r="H405" s="78"/>
      <c r="I405" s="78"/>
      <c r="J405" s="78"/>
    </row>
    <row r="406" spans="1:10" x14ac:dyDescent="0.2">
      <c r="A406" s="84">
        <f t="shared" si="15"/>
        <v>400</v>
      </c>
      <c r="B406" s="85" t="e">
        <f>+MATCH(D406,ARTICULOS!$F$10:$F$699,0)</f>
        <v>#N/A</v>
      </c>
      <c r="C406" s="86" t="e">
        <f>+VLOOKUP(B406,ARTICULOS!$D$10:$I$699,6)</f>
        <v>#N/A</v>
      </c>
      <c r="D406" s="212"/>
      <c r="E406" s="75" t="e">
        <f t="shared" si="16"/>
        <v>#N/A</v>
      </c>
      <c r="F406" s="80"/>
      <c r="G406" s="81"/>
      <c r="H406" s="78"/>
      <c r="I406" s="78"/>
      <c r="J406" s="78"/>
    </row>
    <row r="407" spans="1:10" x14ac:dyDescent="0.2">
      <c r="A407" s="84">
        <f t="shared" si="15"/>
        <v>401</v>
      </c>
      <c r="B407" s="85" t="e">
        <f>+MATCH(D407,ARTICULOS!$F$10:$F$699,0)</f>
        <v>#N/A</v>
      </c>
      <c r="C407" s="86" t="e">
        <f>+VLOOKUP(B407,ARTICULOS!$D$10:$I$699,6)</f>
        <v>#N/A</v>
      </c>
      <c r="D407" s="212"/>
      <c r="E407" s="75" t="e">
        <f t="shared" si="16"/>
        <v>#N/A</v>
      </c>
      <c r="F407" s="80"/>
      <c r="G407" s="81"/>
      <c r="H407" s="78"/>
      <c r="I407" s="78"/>
      <c r="J407" s="78"/>
    </row>
    <row r="408" spans="1:10" x14ac:dyDescent="0.2">
      <c r="A408" s="84">
        <f t="shared" si="15"/>
        <v>402</v>
      </c>
      <c r="B408" s="85" t="e">
        <f>+MATCH(D408,ARTICULOS!$F$10:$F$699,0)</f>
        <v>#N/A</v>
      </c>
      <c r="C408" s="86" t="e">
        <f>+VLOOKUP(B408,ARTICULOS!$D$10:$I$699,6)</f>
        <v>#N/A</v>
      </c>
      <c r="D408" s="212"/>
      <c r="E408" s="75" t="e">
        <f t="shared" si="16"/>
        <v>#N/A</v>
      </c>
      <c r="F408" s="80"/>
      <c r="G408" s="81"/>
      <c r="H408" s="78"/>
      <c r="I408" s="78"/>
      <c r="J408" s="78"/>
    </row>
    <row r="409" spans="1:10" x14ac:dyDescent="0.2">
      <c r="A409" s="84">
        <f t="shared" si="15"/>
        <v>403</v>
      </c>
      <c r="B409" s="85" t="e">
        <f>+MATCH(D409,ARTICULOS!$F$10:$F$699,0)</f>
        <v>#N/A</v>
      </c>
      <c r="C409" s="86" t="e">
        <f>+VLOOKUP(B409,ARTICULOS!$D$10:$I$699,6)</f>
        <v>#N/A</v>
      </c>
      <c r="D409" s="212"/>
      <c r="E409" s="75" t="e">
        <f t="shared" si="16"/>
        <v>#N/A</v>
      </c>
      <c r="F409" s="80"/>
      <c r="G409" s="81"/>
      <c r="H409" s="78"/>
      <c r="I409" s="78"/>
      <c r="J409" s="78"/>
    </row>
    <row r="410" spans="1:10" x14ac:dyDescent="0.2">
      <c r="A410" s="84">
        <f t="shared" si="15"/>
        <v>404</v>
      </c>
      <c r="B410" s="85" t="e">
        <f>+MATCH(D410,ARTICULOS!$F$10:$F$699,0)</f>
        <v>#N/A</v>
      </c>
      <c r="C410" s="86" t="e">
        <f>+VLOOKUP(B410,ARTICULOS!$D$10:$I$699,6)</f>
        <v>#N/A</v>
      </c>
      <c r="D410" s="212"/>
      <c r="E410" s="75" t="e">
        <f t="shared" si="16"/>
        <v>#N/A</v>
      </c>
      <c r="F410" s="80"/>
      <c r="G410" s="81"/>
      <c r="H410" s="78"/>
      <c r="I410" s="78"/>
      <c r="J410" s="78"/>
    </row>
    <row r="411" spans="1:10" x14ac:dyDescent="0.2">
      <c r="A411" s="84">
        <f t="shared" si="15"/>
        <v>405</v>
      </c>
      <c r="B411" s="85" t="e">
        <f>+MATCH(D411,ARTICULOS!$F$10:$F$699,0)</f>
        <v>#N/A</v>
      </c>
      <c r="C411" s="86" t="e">
        <f>+VLOOKUP(B411,ARTICULOS!$D$10:$I$699,6)</f>
        <v>#N/A</v>
      </c>
      <c r="D411" s="212"/>
      <c r="E411" s="75" t="e">
        <f t="shared" si="16"/>
        <v>#N/A</v>
      </c>
      <c r="F411" s="80"/>
      <c r="G411" s="81"/>
      <c r="H411" s="78"/>
      <c r="I411" s="78"/>
      <c r="J411" s="78"/>
    </row>
    <row r="412" spans="1:10" x14ac:dyDescent="0.2">
      <c r="A412" s="84">
        <f t="shared" si="15"/>
        <v>406</v>
      </c>
      <c r="B412" s="85" t="e">
        <f>+MATCH(D412,ARTICULOS!$F$10:$F$699,0)</f>
        <v>#N/A</v>
      </c>
      <c r="C412" s="86" t="e">
        <f>+VLOOKUP(B412,ARTICULOS!$D$10:$I$699,6)</f>
        <v>#N/A</v>
      </c>
      <c r="D412" s="212"/>
      <c r="E412" s="75" t="e">
        <f t="shared" si="16"/>
        <v>#N/A</v>
      </c>
      <c r="F412" s="80"/>
      <c r="G412" s="81"/>
      <c r="H412" s="78"/>
      <c r="I412" s="78"/>
      <c r="J412" s="78"/>
    </row>
    <row r="413" spans="1:10" x14ac:dyDescent="0.2">
      <c r="A413" s="84">
        <f t="shared" si="15"/>
        <v>407</v>
      </c>
      <c r="B413" s="85" t="e">
        <f>+MATCH(D413,ARTICULOS!$F$10:$F$699,0)</f>
        <v>#N/A</v>
      </c>
      <c r="C413" s="86" t="e">
        <f>+VLOOKUP(B413,ARTICULOS!$D$10:$I$699,6)</f>
        <v>#N/A</v>
      </c>
      <c r="D413" s="212"/>
      <c r="E413" s="75" t="e">
        <f t="shared" si="16"/>
        <v>#N/A</v>
      </c>
      <c r="F413" s="80"/>
      <c r="G413" s="81"/>
      <c r="H413" s="78"/>
      <c r="I413" s="78"/>
      <c r="J413" s="78"/>
    </row>
    <row r="414" spans="1:10" x14ac:dyDescent="0.2">
      <c r="A414" s="84">
        <f t="shared" si="15"/>
        <v>408</v>
      </c>
      <c r="B414" s="85" t="e">
        <f>+MATCH(D414,ARTICULOS!$F$10:$F$699,0)</f>
        <v>#N/A</v>
      </c>
      <c r="C414" s="86" t="e">
        <f>+VLOOKUP(B414,ARTICULOS!$D$10:$I$699,6)</f>
        <v>#N/A</v>
      </c>
      <c r="D414" s="212"/>
      <c r="E414" s="75" t="e">
        <f t="shared" si="16"/>
        <v>#N/A</v>
      </c>
      <c r="F414" s="80"/>
      <c r="G414" s="81"/>
      <c r="H414" s="78"/>
      <c r="I414" s="78"/>
      <c r="J414" s="78"/>
    </row>
    <row r="415" spans="1:10" x14ac:dyDescent="0.2">
      <c r="A415" s="84">
        <f t="shared" si="15"/>
        <v>409</v>
      </c>
      <c r="B415" s="85" t="e">
        <f>+MATCH(D415,ARTICULOS!$F$10:$F$699,0)</f>
        <v>#N/A</v>
      </c>
      <c r="C415" s="86" t="e">
        <f>+VLOOKUP(B415,ARTICULOS!$D$10:$I$699,6)</f>
        <v>#N/A</v>
      </c>
      <c r="D415" s="212"/>
      <c r="E415" s="75" t="e">
        <f t="shared" si="16"/>
        <v>#N/A</v>
      </c>
      <c r="F415" s="80"/>
      <c r="G415" s="81"/>
      <c r="H415" s="78"/>
      <c r="I415" s="78"/>
      <c r="J415" s="78"/>
    </row>
    <row r="416" spans="1:10" x14ac:dyDescent="0.2">
      <c r="A416" s="84">
        <f t="shared" si="15"/>
        <v>410</v>
      </c>
      <c r="B416" s="85" t="e">
        <f>+MATCH(D416,ARTICULOS!$F$10:$F$699,0)</f>
        <v>#N/A</v>
      </c>
      <c r="C416" s="86" t="e">
        <f>+VLOOKUP(B416,ARTICULOS!$D$10:$I$699,6)</f>
        <v>#N/A</v>
      </c>
      <c r="D416" s="212"/>
      <c r="E416" s="75" t="e">
        <f t="shared" si="16"/>
        <v>#N/A</v>
      </c>
      <c r="F416" s="80"/>
      <c r="G416" s="81"/>
      <c r="H416" s="78"/>
      <c r="I416" s="78"/>
      <c r="J416" s="78"/>
    </row>
    <row r="417" spans="1:10" x14ac:dyDescent="0.2">
      <c r="A417" s="84">
        <f t="shared" si="15"/>
        <v>411</v>
      </c>
      <c r="B417" s="85" t="e">
        <f>+MATCH(D417,ARTICULOS!$F$10:$F$699,0)</f>
        <v>#N/A</v>
      </c>
      <c r="C417" s="86" t="e">
        <f>+VLOOKUP(B417,ARTICULOS!$D$10:$I$699,6)</f>
        <v>#N/A</v>
      </c>
      <c r="D417" s="212"/>
      <c r="E417" s="75" t="e">
        <f t="shared" si="16"/>
        <v>#N/A</v>
      </c>
      <c r="F417" s="80"/>
      <c r="G417" s="81"/>
      <c r="H417" s="78"/>
      <c r="I417" s="78"/>
      <c r="J417" s="78"/>
    </row>
    <row r="418" spans="1:10" x14ac:dyDescent="0.2">
      <c r="A418" s="84">
        <f t="shared" si="15"/>
        <v>412</v>
      </c>
      <c r="B418" s="85" t="e">
        <f>+MATCH(D418,ARTICULOS!$F$10:$F$699,0)</f>
        <v>#N/A</v>
      </c>
      <c r="C418" s="86" t="e">
        <f>+VLOOKUP(B418,ARTICULOS!$D$10:$I$699,6)</f>
        <v>#N/A</v>
      </c>
      <c r="D418" s="212"/>
      <c r="E418" s="75" t="e">
        <f t="shared" si="16"/>
        <v>#N/A</v>
      </c>
      <c r="F418" s="80"/>
      <c r="G418" s="81"/>
      <c r="H418" s="78"/>
      <c r="I418" s="78"/>
      <c r="J418" s="78"/>
    </row>
    <row r="419" spans="1:10" x14ac:dyDescent="0.2">
      <c r="A419" s="84">
        <f t="shared" si="15"/>
        <v>413</v>
      </c>
      <c r="B419" s="85" t="e">
        <f>+MATCH(D419,ARTICULOS!$F$10:$F$699,0)</f>
        <v>#N/A</v>
      </c>
      <c r="C419" s="86" t="e">
        <f>+VLOOKUP(B419,ARTICULOS!$D$10:$I$699,6)</f>
        <v>#N/A</v>
      </c>
      <c r="D419" s="212"/>
      <c r="E419" s="75" t="e">
        <f t="shared" si="16"/>
        <v>#N/A</v>
      </c>
      <c r="F419" s="80"/>
      <c r="G419" s="81"/>
      <c r="H419" s="78"/>
      <c r="I419" s="78"/>
      <c r="J419" s="78"/>
    </row>
    <row r="420" spans="1:10" x14ac:dyDescent="0.2">
      <c r="A420" s="84">
        <f t="shared" si="15"/>
        <v>414</v>
      </c>
      <c r="B420" s="85" t="e">
        <f>+MATCH(D420,ARTICULOS!$F$10:$F$699,0)</f>
        <v>#N/A</v>
      </c>
      <c r="C420" s="86" t="e">
        <f>+VLOOKUP(B420,ARTICULOS!$D$10:$I$699,6)</f>
        <v>#N/A</v>
      </c>
      <c r="D420" s="212"/>
      <c r="E420" s="75" t="e">
        <f t="shared" si="16"/>
        <v>#N/A</v>
      </c>
      <c r="F420" s="80"/>
      <c r="G420" s="81"/>
      <c r="H420" s="78"/>
      <c r="I420" s="78"/>
      <c r="J420" s="78"/>
    </row>
    <row r="421" spans="1:10" x14ac:dyDescent="0.2">
      <c r="A421" s="84">
        <f t="shared" si="15"/>
        <v>415</v>
      </c>
      <c r="B421" s="85" t="e">
        <f>+MATCH(D421,ARTICULOS!$F$10:$F$699,0)</f>
        <v>#N/A</v>
      </c>
      <c r="C421" s="86" t="e">
        <f>+VLOOKUP(B421,ARTICULOS!$D$10:$I$699,6)</f>
        <v>#N/A</v>
      </c>
      <c r="D421" s="212"/>
      <c r="E421" s="75" t="e">
        <f t="shared" si="16"/>
        <v>#N/A</v>
      </c>
      <c r="F421" s="80"/>
      <c r="G421" s="81"/>
      <c r="H421" s="78"/>
      <c r="I421" s="78"/>
      <c r="J421" s="78"/>
    </row>
    <row r="422" spans="1:10" x14ac:dyDescent="0.2">
      <c r="A422" s="84">
        <f t="shared" si="15"/>
        <v>416</v>
      </c>
      <c r="B422" s="85" t="e">
        <f>+MATCH(D422,ARTICULOS!$F$10:$F$699,0)</f>
        <v>#N/A</v>
      </c>
      <c r="C422" s="86" t="e">
        <f>+VLOOKUP(B422,ARTICULOS!$D$10:$I$699,6)</f>
        <v>#N/A</v>
      </c>
      <c r="D422" s="212"/>
      <c r="E422" s="75" t="e">
        <f t="shared" si="16"/>
        <v>#N/A</v>
      </c>
      <c r="F422" s="80"/>
      <c r="G422" s="81"/>
      <c r="H422" s="78"/>
      <c r="I422" s="78"/>
      <c r="J422" s="78"/>
    </row>
    <row r="423" spans="1:10" x14ac:dyDescent="0.2">
      <c r="A423" s="84">
        <f t="shared" si="15"/>
        <v>417</v>
      </c>
      <c r="B423" s="85" t="e">
        <f>+MATCH(D423,ARTICULOS!$F$10:$F$699,0)</f>
        <v>#N/A</v>
      </c>
      <c r="C423" s="86" t="e">
        <f>+VLOOKUP(B423,ARTICULOS!$D$10:$I$699,6)</f>
        <v>#N/A</v>
      </c>
      <c r="D423" s="212"/>
      <c r="E423" s="75" t="e">
        <f t="shared" si="16"/>
        <v>#N/A</v>
      </c>
      <c r="F423" s="80"/>
      <c r="G423" s="81"/>
      <c r="H423" s="78"/>
      <c r="I423" s="78"/>
      <c r="J423" s="78"/>
    </row>
    <row r="424" spans="1:10" x14ac:dyDescent="0.2">
      <c r="A424" s="84">
        <f t="shared" si="15"/>
        <v>418</v>
      </c>
      <c r="B424" s="85" t="e">
        <f>+MATCH(D424,ARTICULOS!$F$10:$F$699,0)</f>
        <v>#N/A</v>
      </c>
      <c r="C424" s="86" t="e">
        <f>+VLOOKUP(B424,ARTICULOS!$D$10:$I$699,6)</f>
        <v>#N/A</v>
      </c>
      <c r="D424" s="212"/>
      <c r="E424" s="75" t="e">
        <f t="shared" si="16"/>
        <v>#N/A</v>
      </c>
      <c r="F424" s="80"/>
      <c r="G424" s="81"/>
      <c r="H424" s="78"/>
      <c r="I424" s="78"/>
      <c r="J424" s="78"/>
    </row>
    <row r="425" spans="1:10" x14ac:dyDescent="0.2">
      <c r="A425" s="84">
        <f t="shared" ref="A425:A488" si="17">ROW()-6</f>
        <v>419</v>
      </c>
      <c r="B425" s="85" t="e">
        <f>+MATCH(D425,ARTICULOS!$F$10:$F$699,0)</f>
        <v>#N/A</v>
      </c>
      <c r="C425" s="86" t="e">
        <f>+VLOOKUP(B425,ARTICULOS!$D$10:$I$699,6)</f>
        <v>#N/A</v>
      </c>
      <c r="D425" s="212"/>
      <c r="E425" s="75" t="e">
        <f t="shared" si="16"/>
        <v>#N/A</v>
      </c>
      <c r="F425" s="80"/>
      <c r="G425" s="81"/>
      <c r="H425" s="78"/>
      <c r="I425" s="78"/>
      <c r="J425" s="78"/>
    </row>
    <row r="426" spans="1:10" x14ac:dyDescent="0.2">
      <c r="A426" s="84">
        <f t="shared" si="17"/>
        <v>420</v>
      </c>
      <c r="B426" s="85" t="e">
        <f>+MATCH(D426,ARTICULOS!$F$10:$F$699,0)</f>
        <v>#N/A</v>
      </c>
      <c r="C426" s="86" t="e">
        <f>+VLOOKUP(B426,ARTICULOS!$D$10:$I$699,6)</f>
        <v>#N/A</v>
      </c>
      <c r="D426" s="212"/>
      <c r="E426" s="75" t="e">
        <f t="shared" si="16"/>
        <v>#N/A</v>
      </c>
      <c r="F426" s="80"/>
      <c r="G426" s="81"/>
      <c r="H426" s="78"/>
      <c r="I426" s="78"/>
      <c r="J426" s="78"/>
    </row>
    <row r="427" spans="1:10" x14ac:dyDescent="0.2">
      <c r="A427" s="84">
        <f t="shared" si="17"/>
        <v>421</v>
      </c>
      <c r="B427" s="85" t="e">
        <f>+MATCH(D427,ARTICULOS!$F$10:$F$699,0)</f>
        <v>#N/A</v>
      </c>
      <c r="C427" s="86" t="e">
        <f>+VLOOKUP(B427,ARTICULOS!$D$10:$I$699,6)</f>
        <v>#N/A</v>
      </c>
      <c r="D427" s="212"/>
      <c r="E427" s="75" t="e">
        <f t="shared" si="16"/>
        <v>#N/A</v>
      </c>
      <c r="F427" s="80"/>
      <c r="G427" s="81"/>
      <c r="H427" s="78"/>
      <c r="I427" s="78"/>
      <c r="J427" s="78"/>
    </row>
    <row r="428" spans="1:10" x14ac:dyDescent="0.2">
      <c r="A428" s="84">
        <f t="shared" si="17"/>
        <v>422</v>
      </c>
      <c r="B428" s="85" t="e">
        <f>+MATCH(D428,ARTICULOS!$F$10:$F$699,0)</f>
        <v>#N/A</v>
      </c>
      <c r="C428" s="86" t="e">
        <f>+VLOOKUP(B428,ARTICULOS!$D$10:$I$699,6)</f>
        <v>#N/A</v>
      </c>
      <c r="D428" s="212"/>
      <c r="E428" s="75" t="e">
        <f t="shared" si="16"/>
        <v>#N/A</v>
      </c>
      <c r="F428" s="80"/>
      <c r="G428" s="81"/>
      <c r="H428" s="78"/>
      <c r="I428" s="78"/>
      <c r="J428" s="78"/>
    </row>
    <row r="429" spans="1:10" x14ac:dyDescent="0.2">
      <c r="A429" s="84">
        <f t="shared" si="17"/>
        <v>423</v>
      </c>
      <c r="B429" s="85" t="e">
        <f>+MATCH(D429,ARTICULOS!$F$10:$F$699,0)</f>
        <v>#N/A</v>
      </c>
      <c r="C429" s="86" t="e">
        <f>+VLOOKUP(B429,ARTICULOS!$D$10:$I$699,6)</f>
        <v>#N/A</v>
      </c>
      <c r="D429" s="212"/>
      <c r="E429" s="75" t="e">
        <f t="shared" si="16"/>
        <v>#N/A</v>
      </c>
      <c r="F429" s="80"/>
      <c r="G429" s="81"/>
      <c r="H429" s="78"/>
      <c r="I429" s="78"/>
      <c r="J429" s="78"/>
    </row>
    <row r="430" spans="1:10" x14ac:dyDescent="0.2">
      <c r="A430" s="84">
        <f t="shared" si="17"/>
        <v>424</v>
      </c>
      <c r="B430" s="85" t="e">
        <f>+MATCH(D430,ARTICULOS!$F$10:$F$699,0)</f>
        <v>#N/A</v>
      </c>
      <c r="C430" s="86" t="e">
        <f>+VLOOKUP(B430,ARTICULOS!$D$10:$I$699,6)</f>
        <v>#N/A</v>
      </c>
      <c r="D430" s="212"/>
      <c r="E430" s="75" t="e">
        <f t="shared" si="16"/>
        <v>#N/A</v>
      </c>
      <c r="F430" s="80"/>
      <c r="G430" s="81"/>
      <c r="H430" s="78"/>
      <c r="I430" s="78"/>
      <c r="J430" s="78"/>
    </row>
    <row r="431" spans="1:10" x14ac:dyDescent="0.2">
      <c r="A431" s="84">
        <f t="shared" si="17"/>
        <v>425</v>
      </c>
      <c r="B431" s="85" t="e">
        <f>+MATCH(D431,ARTICULOS!$F$10:$F$699,0)</f>
        <v>#N/A</v>
      </c>
      <c r="C431" s="86" t="e">
        <f>+VLOOKUP(B431,ARTICULOS!$D$10:$I$699,6)</f>
        <v>#N/A</v>
      </c>
      <c r="D431" s="212"/>
      <c r="E431" s="75" t="e">
        <f t="shared" si="16"/>
        <v>#N/A</v>
      </c>
      <c r="F431" s="80"/>
      <c r="G431" s="81"/>
      <c r="H431" s="78"/>
      <c r="I431" s="78"/>
      <c r="J431" s="78"/>
    </row>
    <row r="432" spans="1:10" x14ac:dyDescent="0.2">
      <c r="A432" s="84">
        <f t="shared" si="17"/>
        <v>426</v>
      </c>
      <c r="B432" s="85" t="e">
        <f>+MATCH(D432,ARTICULOS!$F$10:$F$699,0)</f>
        <v>#N/A</v>
      </c>
      <c r="C432" s="86" t="e">
        <f>+VLOOKUP(B432,ARTICULOS!$D$10:$I$699,6)</f>
        <v>#N/A</v>
      </c>
      <c r="D432" s="212"/>
      <c r="E432" s="75" t="e">
        <f t="shared" si="16"/>
        <v>#N/A</v>
      </c>
      <c r="F432" s="80"/>
      <c r="G432" s="81"/>
      <c r="H432" s="78"/>
      <c r="I432" s="78"/>
      <c r="J432" s="78"/>
    </row>
    <row r="433" spans="1:10" x14ac:dyDescent="0.2">
      <c r="A433" s="84">
        <f t="shared" si="17"/>
        <v>427</v>
      </c>
      <c r="B433" s="85" t="e">
        <f>+MATCH(D433,ARTICULOS!$F$10:$F$699,0)</f>
        <v>#N/A</v>
      </c>
      <c r="C433" s="86" t="e">
        <f>+VLOOKUP(B433,ARTICULOS!$D$10:$I$699,6)</f>
        <v>#N/A</v>
      </c>
      <c r="D433" s="212"/>
      <c r="E433" s="75" t="e">
        <f t="shared" si="16"/>
        <v>#N/A</v>
      </c>
      <c r="F433" s="80"/>
      <c r="G433" s="81"/>
      <c r="H433" s="78"/>
      <c r="I433" s="78"/>
      <c r="J433" s="78"/>
    </row>
    <row r="434" spans="1:10" x14ac:dyDescent="0.2">
      <c r="A434" s="84">
        <f t="shared" si="17"/>
        <v>428</v>
      </c>
      <c r="B434" s="85" t="e">
        <f>+MATCH(D434,ARTICULOS!$F$10:$F$699,0)</f>
        <v>#N/A</v>
      </c>
      <c r="C434" s="86" t="e">
        <f>+VLOOKUP(B434,ARTICULOS!$D$10:$I$699,6)</f>
        <v>#N/A</v>
      </c>
      <c r="D434" s="212"/>
      <c r="E434" s="75" t="e">
        <f t="shared" si="16"/>
        <v>#N/A</v>
      </c>
      <c r="F434" s="80"/>
      <c r="G434" s="81"/>
      <c r="H434" s="78"/>
      <c r="I434" s="78"/>
      <c r="J434" s="78"/>
    </row>
    <row r="435" spans="1:10" x14ac:dyDescent="0.2">
      <c r="A435" s="84">
        <f t="shared" si="17"/>
        <v>429</v>
      </c>
      <c r="B435" s="85" t="e">
        <f>+MATCH(D435,ARTICULOS!$F$10:$F$699,0)</f>
        <v>#N/A</v>
      </c>
      <c r="C435" s="86" t="e">
        <f>+VLOOKUP(B435,ARTICULOS!$D$10:$I$699,6)</f>
        <v>#N/A</v>
      </c>
      <c r="D435" s="212"/>
      <c r="E435" s="75" t="e">
        <f t="shared" si="16"/>
        <v>#N/A</v>
      </c>
      <c r="F435" s="80"/>
      <c r="G435" s="81"/>
      <c r="H435" s="78"/>
      <c r="I435" s="78"/>
      <c r="J435" s="78"/>
    </row>
    <row r="436" spans="1:10" x14ac:dyDescent="0.2">
      <c r="A436" s="84">
        <f t="shared" si="17"/>
        <v>430</v>
      </c>
      <c r="B436" s="85" t="e">
        <f>+MATCH(D436,ARTICULOS!$F$10:$F$699,0)</f>
        <v>#N/A</v>
      </c>
      <c r="C436" s="86" t="e">
        <f>+VLOOKUP(B436,ARTICULOS!$D$10:$I$699,6)</f>
        <v>#N/A</v>
      </c>
      <c r="D436" s="212"/>
      <c r="E436" s="75" t="e">
        <f t="shared" si="16"/>
        <v>#N/A</v>
      </c>
      <c r="F436" s="80"/>
      <c r="G436" s="81"/>
      <c r="H436" s="78"/>
      <c r="I436" s="78"/>
      <c r="J436" s="78"/>
    </row>
    <row r="437" spans="1:10" x14ac:dyDescent="0.2">
      <c r="A437" s="84">
        <f t="shared" si="17"/>
        <v>431</v>
      </c>
      <c r="B437" s="85" t="e">
        <f>+MATCH(D437,ARTICULOS!$F$10:$F$699,0)</f>
        <v>#N/A</v>
      </c>
      <c r="C437" s="86" t="e">
        <f>+VLOOKUP(B437,ARTICULOS!$D$10:$I$699,6)</f>
        <v>#N/A</v>
      </c>
      <c r="D437" s="212"/>
      <c r="E437" s="75" t="e">
        <f t="shared" si="16"/>
        <v>#N/A</v>
      </c>
      <c r="F437" s="80"/>
      <c r="G437" s="81"/>
      <c r="H437" s="78"/>
      <c r="I437" s="78"/>
      <c r="J437" s="78"/>
    </row>
    <row r="438" spans="1:10" x14ac:dyDescent="0.2">
      <c r="A438" s="84">
        <f t="shared" si="17"/>
        <v>432</v>
      </c>
      <c r="B438" s="85" t="e">
        <f>+MATCH(D438,ARTICULOS!$F$10:$F$699,0)</f>
        <v>#N/A</v>
      </c>
      <c r="C438" s="86" t="e">
        <f>+VLOOKUP(B438,ARTICULOS!$D$10:$I$699,6)</f>
        <v>#N/A</v>
      </c>
      <c r="D438" s="212"/>
      <c r="E438" s="75" t="e">
        <f t="shared" si="16"/>
        <v>#N/A</v>
      </c>
      <c r="F438" s="80"/>
      <c r="G438" s="81"/>
      <c r="H438" s="78"/>
      <c r="I438" s="78"/>
      <c r="J438" s="78"/>
    </row>
    <row r="439" spans="1:10" x14ac:dyDescent="0.2">
      <c r="A439" s="84">
        <f t="shared" si="17"/>
        <v>433</v>
      </c>
      <c r="B439" s="85" t="e">
        <f>+MATCH(D439,ARTICULOS!$F$10:$F$699,0)</f>
        <v>#N/A</v>
      </c>
      <c r="C439" s="86" t="e">
        <f>+VLOOKUP(B439,ARTICULOS!$D$10:$I$699,6)</f>
        <v>#N/A</v>
      </c>
      <c r="D439" s="212"/>
      <c r="E439" s="75" t="e">
        <f t="shared" si="16"/>
        <v>#N/A</v>
      </c>
      <c r="F439" s="80"/>
      <c r="G439" s="81"/>
      <c r="H439" s="78"/>
      <c r="I439" s="78"/>
      <c r="J439" s="78"/>
    </row>
    <row r="440" spans="1:10" x14ac:dyDescent="0.2">
      <c r="A440" s="84">
        <f t="shared" si="17"/>
        <v>434</v>
      </c>
      <c r="B440" s="85" t="e">
        <f>+MATCH(D440,ARTICULOS!$F$10:$F$699,0)</f>
        <v>#N/A</v>
      </c>
      <c r="C440" s="86" t="e">
        <f>+VLOOKUP(B440,ARTICULOS!$D$10:$I$699,6)</f>
        <v>#N/A</v>
      </c>
      <c r="D440" s="212"/>
      <c r="E440" s="75" t="e">
        <f t="shared" si="16"/>
        <v>#N/A</v>
      </c>
      <c r="F440" s="80"/>
      <c r="G440" s="81"/>
      <c r="H440" s="78"/>
      <c r="I440" s="78"/>
      <c r="J440" s="78"/>
    </row>
    <row r="441" spans="1:10" x14ac:dyDescent="0.2">
      <c r="A441" s="84">
        <f t="shared" si="17"/>
        <v>435</v>
      </c>
      <c r="B441" s="85" t="e">
        <f>+MATCH(D441,ARTICULOS!$F$10:$F$699,0)</f>
        <v>#N/A</v>
      </c>
      <c r="C441" s="86" t="e">
        <f>+VLOOKUP(B441,ARTICULOS!$D$10:$I$699,6)</f>
        <v>#N/A</v>
      </c>
      <c r="D441" s="212"/>
      <c r="E441" s="75" t="e">
        <f t="shared" si="16"/>
        <v>#N/A</v>
      </c>
      <c r="F441" s="80"/>
      <c r="G441" s="81"/>
      <c r="H441" s="78"/>
      <c r="I441" s="78"/>
      <c r="J441" s="78"/>
    </row>
    <row r="442" spans="1:10" x14ac:dyDescent="0.2">
      <c r="A442" s="84">
        <f t="shared" si="17"/>
        <v>436</v>
      </c>
      <c r="B442" s="85" t="e">
        <f>+MATCH(D442,ARTICULOS!$F$10:$F$699,0)</f>
        <v>#N/A</v>
      </c>
      <c r="C442" s="86" t="e">
        <f>+VLOOKUP(B442,ARTICULOS!$D$10:$I$699,6)</f>
        <v>#N/A</v>
      </c>
      <c r="D442" s="212"/>
      <c r="E442" s="75" t="e">
        <f t="shared" si="16"/>
        <v>#N/A</v>
      </c>
      <c r="F442" s="80"/>
      <c r="G442" s="81"/>
      <c r="H442" s="78"/>
      <c r="I442" s="78"/>
      <c r="J442" s="78"/>
    </row>
    <row r="443" spans="1:10" x14ac:dyDescent="0.2">
      <c r="A443" s="84">
        <f t="shared" si="17"/>
        <v>437</v>
      </c>
      <c r="B443" s="85" t="e">
        <f>+MATCH(D443,ARTICULOS!$F$10:$F$699,0)</f>
        <v>#N/A</v>
      </c>
      <c r="C443" s="86" t="e">
        <f>+VLOOKUP(B443,ARTICULOS!$D$10:$I$699,6)</f>
        <v>#N/A</v>
      </c>
      <c r="D443" s="212"/>
      <c r="E443" s="75" t="e">
        <f t="shared" si="16"/>
        <v>#N/A</v>
      </c>
      <c r="F443" s="80"/>
      <c r="G443" s="81"/>
      <c r="H443" s="78"/>
      <c r="I443" s="78"/>
      <c r="J443" s="78"/>
    </row>
    <row r="444" spans="1:10" x14ac:dyDescent="0.2">
      <c r="A444" s="84">
        <f t="shared" si="17"/>
        <v>438</v>
      </c>
      <c r="B444" s="85" t="e">
        <f>+MATCH(D444,ARTICULOS!$F$10:$F$699,0)</f>
        <v>#N/A</v>
      </c>
      <c r="C444" s="86" t="e">
        <f>+VLOOKUP(B444,ARTICULOS!$D$10:$I$699,6)</f>
        <v>#N/A</v>
      </c>
      <c r="D444" s="212"/>
      <c r="E444" s="75" t="e">
        <f t="shared" si="16"/>
        <v>#N/A</v>
      </c>
      <c r="F444" s="80"/>
      <c r="G444" s="81"/>
      <c r="H444" s="78"/>
      <c r="I444" s="78"/>
      <c r="J444" s="78"/>
    </row>
    <row r="445" spans="1:10" x14ac:dyDescent="0.2">
      <c r="A445" s="84">
        <f t="shared" si="17"/>
        <v>439</v>
      </c>
      <c r="B445" s="85" t="e">
        <f>+MATCH(D445,ARTICULOS!$F$10:$F$699,0)</f>
        <v>#N/A</v>
      </c>
      <c r="C445" s="86" t="e">
        <f>+VLOOKUP(B445,ARTICULOS!$D$10:$I$699,6)</f>
        <v>#N/A</v>
      </c>
      <c r="D445" s="212"/>
      <c r="E445" s="75" t="e">
        <f t="shared" si="16"/>
        <v>#N/A</v>
      </c>
      <c r="F445" s="80"/>
      <c r="G445" s="81"/>
      <c r="H445" s="78"/>
      <c r="I445" s="78"/>
      <c r="J445" s="78"/>
    </row>
    <row r="446" spans="1:10" x14ac:dyDescent="0.2">
      <c r="A446" s="84">
        <f t="shared" si="17"/>
        <v>440</v>
      </c>
      <c r="B446" s="85" t="e">
        <f>+MATCH(D446,ARTICULOS!$F$10:$F$699,0)</f>
        <v>#N/A</v>
      </c>
      <c r="C446" s="86" t="e">
        <f>+VLOOKUP(B446,ARTICULOS!$D$10:$I$699,6)</f>
        <v>#N/A</v>
      </c>
      <c r="D446" s="212"/>
      <c r="E446" s="75" t="e">
        <f t="shared" si="16"/>
        <v>#N/A</v>
      </c>
      <c r="F446" s="80"/>
      <c r="G446" s="81"/>
      <c r="H446" s="78"/>
      <c r="I446" s="78"/>
      <c r="J446" s="78"/>
    </row>
    <row r="447" spans="1:10" x14ac:dyDescent="0.2">
      <c r="A447" s="84">
        <f t="shared" si="17"/>
        <v>441</v>
      </c>
      <c r="B447" s="85" t="e">
        <f>+MATCH(D447,ARTICULOS!$F$10:$F$699,0)</f>
        <v>#N/A</v>
      </c>
      <c r="C447" s="86" t="e">
        <f>+VLOOKUP(B447,ARTICULOS!$D$10:$I$699,6)</f>
        <v>#N/A</v>
      </c>
      <c r="D447" s="212"/>
      <c r="E447" s="75" t="e">
        <f t="shared" si="16"/>
        <v>#N/A</v>
      </c>
      <c r="F447" s="80"/>
      <c r="G447" s="81"/>
      <c r="H447" s="78"/>
      <c r="I447" s="78"/>
      <c r="J447" s="78"/>
    </row>
    <row r="448" spans="1:10" x14ac:dyDescent="0.2">
      <c r="A448" s="84">
        <f t="shared" si="17"/>
        <v>442</v>
      </c>
      <c r="B448" s="85" t="e">
        <f>+MATCH(D448,ARTICULOS!$F$10:$F$699,0)</f>
        <v>#N/A</v>
      </c>
      <c r="C448" s="86" t="e">
        <f>+VLOOKUP(B448,ARTICULOS!$D$10:$I$699,6)</f>
        <v>#N/A</v>
      </c>
      <c r="D448" s="212"/>
      <c r="E448" s="75" t="e">
        <f t="shared" si="16"/>
        <v>#N/A</v>
      </c>
      <c r="F448" s="80"/>
      <c r="G448" s="81"/>
      <c r="H448" s="78"/>
      <c r="I448" s="78"/>
      <c r="J448" s="78"/>
    </row>
    <row r="449" spans="1:10" x14ac:dyDescent="0.2">
      <c r="A449" s="84">
        <f t="shared" si="17"/>
        <v>443</v>
      </c>
      <c r="B449" s="85" t="e">
        <f>+MATCH(D449,ARTICULOS!$F$10:$F$699,0)</f>
        <v>#N/A</v>
      </c>
      <c r="C449" s="86" t="e">
        <f>+VLOOKUP(B449,ARTICULOS!$D$10:$I$699,6)</f>
        <v>#N/A</v>
      </c>
      <c r="D449" s="212"/>
      <c r="E449" s="75" t="e">
        <f t="shared" si="16"/>
        <v>#N/A</v>
      </c>
      <c r="F449" s="80"/>
      <c r="G449" s="81"/>
      <c r="H449" s="78"/>
      <c r="I449" s="78"/>
      <c r="J449" s="78"/>
    </row>
    <row r="450" spans="1:10" x14ac:dyDescent="0.2">
      <c r="A450" s="84">
        <f t="shared" si="17"/>
        <v>444</v>
      </c>
      <c r="B450" s="85" t="e">
        <f>+MATCH(D450,ARTICULOS!$F$10:$F$699,0)</f>
        <v>#N/A</v>
      </c>
      <c r="C450" s="86" t="e">
        <f>+VLOOKUP(B450,ARTICULOS!$D$10:$I$699,6)</f>
        <v>#N/A</v>
      </c>
      <c r="D450" s="212"/>
      <c r="E450" s="75" t="e">
        <f t="shared" si="16"/>
        <v>#N/A</v>
      </c>
      <c r="F450" s="80"/>
      <c r="G450" s="81"/>
      <c r="H450" s="78"/>
      <c r="I450" s="78"/>
      <c r="J450" s="78"/>
    </row>
    <row r="451" spans="1:10" x14ac:dyDescent="0.2">
      <c r="A451" s="84">
        <f t="shared" si="17"/>
        <v>445</v>
      </c>
      <c r="B451" s="85" t="e">
        <f>+MATCH(D451,ARTICULOS!$F$10:$F$699,0)</f>
        <v>#N/A</v>
      </c>
      <c r="C451" s="86" t="e">
        <f>+VLOOKUP(B451,ARTICULOS!$D$10:$I$699,6)</f>
        <v>#N/A</v>
      </c>
      <c r="D451" s="212"/>
      <c r="E451" s="75" t="e">
        <f t="shared" si="16"/>
        <v>#N/A</v>
      </c>
      <c r="F451" s="80"/>
      <c r="G451" s="81"/>
      <c r="H451" s="78"/>
      <c r="I451" s="78"/>
      <c r="J451" s="78"/>
    </row>
    <row r="452" spans="1:10" x14ac:dyDescent="0.2">
      <c r="A452" s="84">
        <f t="shared" si="17"/>
        <v>446</v>
      </c>
      <c r="B452" s="85" t="e">
        <f>+MATCH(D452,ARTICULOS!$F$10:$F$699,0)</f>
        <v>#N/A</v>
      </c>
      <c r="C452" s="86" t="e">
        <f>+VLOOKUP(B452,ARTICULOS!$D$10:$I$699,6)</f>
        <v>#N/A</v>
      </c>
      <c r="D452" s="212"/>
      <c r="E452" s="75" t="e">
        <f t="shared" si="16"/>
        <v>#N/A</v>
      </c>
      <c r="F452" s="80"/>
      <c r="G452" s="81"/>
      <c r="H452" s="78"/>
      <c r="I452" s="78"/>
      <c r="J452" s="78"/>
    </row>
    <row r="453" spans="1:10" x14ac:dyDescent="0.2">
      <c r="A453" s="84">
        <f t="shared" si="17"/>
        <v>447</v>
      </c>
      <c r="B453" s="85" t="e">
        <f>+MATCH(D453,ARTICULOS!$F$10:$F$699,0)</f>
        <v>#N/A</v>
      </c>
      <c r="C453" s="86" t="e">
        <f>+VLOOKUP(B453,ARTICULOS!$D$10:$I$699,6)</f>
        <v>#N/A</v>
      </c>
      <c r="D453" s="212"/>
      <c r="E453" s="75" t="e">
        <f t="shared" si="16"/>
        <v>#N/A</v>
      </c>
      <c r="F453" s="80"/>
      <c r="G453" s="81"/>
      <c r="H453" s="78"/>
      <c r="I453" s="78"/>
      <c r="J453" s="78"/>
    </row>
    <row r="454" spans="1:10" x14ac:dyDescent="0.2">
      <c r="A454" s="84">
        <f t="shared" si="17"/>
        <v>448</v>
      </c>
      <c r="B454" s="85" t="e">
        <f>+MATCH(D454,ARTICULOS!$F$10:$F$699,0)</f>
        <v>#N/A</v>
      </c>
      <c r="C454" s="86" t="e">
        <f>+VLOOKUP(B454,ARTICULOS!$D$10:$I$699,6)</f>
        <v>#N/A</v>
      </c>
      <c r="D454" s="212"/>
      <c r="E454" s="75" t="e">
        <f t="shared" si="16"/>
        <v>#N/A</v>
      </c>
      <c r="F454" s="80"/>
      <c r="G454" s="81"/>
      <c r="H454" s="78"/>
      <c r="I454" s="78"/>
      <c r="J454" s="78"/>
    </row>
    <row r="455" spans="1:10" x14ac:dyDescent="0.2">
      <c r="A455" s="84">
        <f t="shared" si="17"/>
        <v>449</v>
      </c>
      <c r="B455" s="85" t="e">
        <f>+MATCH(D455,ARTICULOS!$F$10:$F$699,0)</f>
        <v>#N/A</v>
      </c>
      <c r="C455" s="86" t="e">
        <f>+VLOOKUP(B455,ARTICULOS!$D$10:$I$699,6)</f>
        <v>#N/A</v>
      </c>
      <c r="D455" s="212"/>
      <c r="E455" s="75" t="e">
        <f t="shared" si="16"/>
        <v>#N/A</v>
      </c>
      <c r="F455" s="80"/>
      <c r="G455" s="81"/>
      <c r="H455" s="78"/>
      <c r="I455" s="78"/>
      <c r="J455" s="78"/>
    </row>
    <row r="456" spans="1:10" x14ac:dyDescent="0.2">
      <c r="A456" s="84">
        <f t="shared" si="17"/>
        <v>450</v>
      </c>
      <c r="B456" s="85" t="e">
        <f>+MATCH(D456,ARTICULOS!$F$10:$F$699,0)</f>
        <v>#N/A</v>
      </c>
      <c r="C456" s="86" t="e">
        <f>+VLOOKUP(B456,ARTICULOS!$D$10:$I$699,6)</f>
        <v>#N/A</v>
      </c>
      <c r="D456" s="212"/>
      <c r="E456" s="75" t="e">
        <f t="shared" si="16"/>
        <v>#N/A</v>
      </c>
      <c r="F456" s="80"/>
      <c r="G456" s="81"/>
      <c r="H456" s="78"/>
      <c r="I456" s="78"/>
      <c r="J456" s="78"/>
    </row>
    <row r="457" spans="1:10" x14ac:dyDescent="0.2">
      <c r="A457" s="84">
        <f t="shared" si="17"/>
        <v>451</v>
      </c>
      <c r="B457" s="85" t="e">
        <f>+MATCH(D457,ARTICULOS!$F$10:$F$699,0)</f>
        <v>#N/A</v>
      </c>
      <c r="C457" s="86" t="e">
        <f>+VLOOKUP(B457,ARTICULOS!$D$10:$I$699,6)</f>
        <v>#N/A</v>
      </c>
      <c r="D457" s="212"/>
      <c r="E457" s="75" t="e">
        <f t="shared" si="16"/>
        <v>#N/A</v>
      </c>
      <c r="F457" s="80"/>
      <c r="G457" s="81"/>
      <c r="H457" s="78"/>
      <c r="I457" s="78"/>
      <c r="J457" s="78"/>
    </row>
    <row r="458" spans="1:10" x14ac:dyDescent="0.2">
      <c r="A458" s="84">
        <f t="shared" si="17"/>
        <v>452</v>
      </c>
      <c r="B458" s="85" t="e">
        <f>+MATCH(D458,ARTICULOS!$F$10:$F$699,0)</f>
        <v>#N/A</v>
      </c>
      <c r="C458" s="86" t="e">
        <f>+VLOOKUP(B458,ARTICULOS!$D$10:$I$699,6)</f>
        <v>#N/A</v>
      </c>
      <c r="D458" s="212"/>
      <c r="E458" s="75" t="e">
        <f t="shared" si="16"/>
        <v>#N/A</v>
      </c>
      <c r="F458" s="80"/>
      <c r="G458" s="81"/>
      <c r="H458" s="78"/>
      <c r="I458" s="78"/>
      <c r="J458" s="78"/>
    </row>
    <row r="459" spans="1:10" x14ac:dyDescent="0.2">
      <c r="A459" s="84">
        <f t="shared" si="17"/>
        <v>453</v>
      </c>
      <c r="B459" s="85" t="e">
        <f>+MATCH(D459,ARTICULOS!$F$10:$F$699,0)</f>
        <v>#N/A</v>
      </c>
      <c r="C459" s="86" t="e">
        <f>+VLOOKUP(B459,ARTICULOS!$D$10:$I$699,6)</f>
        <v>#N/A</v>
      </c>
      <c r="D459" s="212"/>
      <c r="E459" s="75" t="e">
        <f t="shared" ref="E459:E522" si="18">+C459&amp;F459</f>
        <v>#N/A</v>
      </c>
      <c r="F459" s="80"/>
      <c r="G459" s="81"/>
      <c r="H459" s="78"/>
      <c r="I459" s="78"/>
      <c r="J459" s="78"/>
    </row>
    <row r="460" spans="1:10" x14ac:dyDescent="0.2">
      <c r="A460" s="84">
        <f t="shared" si="17"/>
        <v>454</v>
      </c>
      <c r="B460" s="85" t="e">
        <f>+MATCH(D460,ARTICULOS!$F$10:$F$699,0)</f>
        <v>#N/A</v>
      </c>
      <c r="C460" s="86" t="e">
        <f>+VLOOKUP(B460,ARTICULOS!$D$10:$I$699,6)</f>
        <v>#N/A</v>
      </c>
      <c r="D460" s="212"/>
      <c r="E460" s="75" t="e">
        <f t="shared" si="18"/>
        <v>#N/A</v>
      </c>
      <c r="F460" s="80"/>
      <c r="G460" s="81"/>
      <c r="H460" s="78"/>
      <c r="I460" s="78"/>
      <c r="J460" s="78"/>
    </row>
    <row r="461" spans="1:10" x14ac:dyDescent="0.2">
      <c r="A461" s="84">
        <f t="shared" si="17"/>
        <v>455</v>
      </c>
      <c r="B461" s="85" t="e">
        <f>+MATCH(D461,ARTICULOS!$F$10:$F$699,0)</f>
        <v>#N/A</v>
      </c>
      <c r="C461" s="86" t="e">
        <f>+VLOOKUP(B461,ARTICULOS!$D$10:$I$699,6)</f>
        <v>#N/A</v>
      </c>
      <c r="D461" s="212"/>
      <c r="E461" s="75" t="e">
        <f t="shared" si="18"/>
        <v>#N/A</v>
      </c>
      <c r="F461" s="80"/>
      <c r="G461" s="81"/>
      <c r="H461" s="78"/>
      <c r="I461" s="78"/>
      <c r="J461" s="78"/>
    </row>
    <row r="462" spans="1:10" x14ac:dyDescent="0.2">
      <c r="A462" s="84">
        <f t="shared" si="17"/>
        <v>456</v>
      </c>
      <c r="B462" s="85" t="e">
        <f>+MATCH(D462,ARTICULOS!$F$10:$F$699,0)</f>
        <v>#N/A</v>
      </c>
      <c r="C462" s="86" t="e">
        <f>+VLOOKUP(B462,ARTICULOS!$D$10:$I$699,6)</f>
        <v>#N/A</v>
      </c>
      <c r="D462" s="212"/>
      <c r="E462" s="75" t="e">
        <f t="shared" si="18"/>
        <v>#N/A</v>
      </c>
      <c r="F462" s="80"/>
      <c r="G462" s="81"/>
      <c r="H462" s="78"/>
      <c r="I462" s="78"/>
      <c r="J462" s="78"/>
    </row>
    <row r="463" spans="1:10" x14ac:dyDescent="0.2">
      <c r="A463" s="84">
        <f t="shared" si="17"/>
        <v>457</v>
      </c>
      <c r="B463" s="85" t="e">
        <f>+MATCH(D463,ARTICULOS!$F$10:$F$699,0)</f>
        <v>#N/A</v>
      </c>
      <c r="C463" s="86" t="e">
        <f>+VLOOKUP(B463,ARTICULOS!$D$10:$I$699,6)</f>
        <v>#N/A</v>
      </c>
      <c r="D463" s="212"/>
      <c r="E463" s="75" t="e">
        <f t="shared" si="18"/>
        <v>#N/A</v>
      </c>
      <c r="F463" s="80"/>
      <c r="G463" s="81"/>
      <c r="H463" s="78"/>
      <c r="I463" s="78"/>
      <c r="J463" s="78"/>
    </row>
    <row r="464" spans="1:10" x14ac:dyDescent="0.2">
      <c r="A464" s="84">
        <f t="shared" si="17"/>
        <v>458</v>
      </c>
      <c r="B464" s="85" t="e">
        <f>+MATCH(D464,ARTICULOS!$F$10:$F$699,0)</f>
        <v>#N/A</v>
      </c>
      <c r="C464" s="86" t="e">
        <f>+VLOOKUP(B464,ARTICULOS!$D$10:$I$699,6)</f>
        <v>#N/A</v>
      </c>
      <c r="D464" s="212"/>
      <c r="E464" s="75" t="e">
        <f t="shared" si="18"/>
        <v>#N/A</v>
      </c>
      <c r="F464" s="80"/>
      <c r="G464" s="81"/>
      <c r="H464" s="78"/>
      <c r="I464" s="78"/>
      <c r="J464" s="78"/>
    </row>
    <row r="465" spans="1:10" x14ac:dyDescent="0.2">
      <c r="A465" s="84">
        <f t="shared" si="17"/>
        <v>459</v>
      </c>
      <c r="B465" s="85" t="e">
        <f>+MATCH(D465,ARTICULOS!$F$10:$F$699,0)</f>
        <v>#N/A</v>
      </c>
      <c r="C465" s="86" t="e">
        <f>+VLOOKUP(B465,ARTICULOS!$D$10:$I$699,6)</f>
        <v>#N/A</v>
      </c>
      <c r="D465" s="212"/>
      <c r="E465" s="75" t="e">
        <f t="shared" si="18"/>
        <v>#N/A</v>
      </c>
      <c r="F465" s="80"/>
      <c r="G465" s="81"/>
      <c r="H465" s="78"/>
      <c r="I465" s="78"/>
      <c r="J465" s="78"/>
    </row>
    <row r="466" spans="1:10" x14ac:dyDescent="0.2">
      <c r="A466" s="84">
        <f t="shared" si="17"/>
        <v>460</v>
      </c>
      <c r="B466" s="85" t="e">
        <f>+MATCH(D466,ARTICULOS!$F$10:$F$699,0)</f>
        <v>#N/A</v>
      </c>
      <c r="C466" s="86" t="e">
        <f>+VLOOKUP(B466,ARTICULOS!$D$10:$I$699,6)</f>
        <v>#N/A</v>
      </c>
      <c r="D466" s="212"/>
      <c r="E466" s="75" t="e">
        <f t="shared" si="18"/>
        <v>#N/A</v>
      </c>
      <c r="F466" s="80"/>
      <c r="G466" s="81"/>
      <c r="H466" s="78"/>
      <c r="I466" s="78"/>
      <c r="J466" s="78"/>
    </row>
    <row r="467" spans="1:10" x14ac:dyDescent="0.2">
      <c r="A467" s="84">
        <f t="shared" si="17"/>
        <v>461</v>
      </c>
      <c r="B467" s="85" t="e">
        <f>+MATCH(D467,ARTICULOS!$F$10:$F$699,0)</f>
        <v>#N/A</v>
      </c>
      <c r="C467" s="86" t="e">
        <f>+VLOOKUP(B467,ARTICULOS!$D$10:$I$699,6)</f>
        <v>#N/A</v>
      </c>
      <c r="D467" s="212"/>
      <c r="E467" s="75" t="e">
        <f t="shared" si="18"/>
        <v>#N/A</v>
      </c>
      <c r="F467" s="80"/>
      <c r="G467" s="81"/>
      <c r="H467" s="78"/>
      <c r="I467" s="78"/>
      <c r="J467" s="78"/>
    </row>
    <row r="468" spans="1:10" x14ac:dyDescent="0.2">
      <c r="A468" s="84">
        <f t="shared" si="17"/>
        <v>462</v>
      </c>
      <c r="B468" s="85" t="e">
        <f>+MATCH(D468,ARTICULOS!$F$10:$F$699,0)</f>
        <v>#N/A</v>
      </c>
      <c r="C468" s="86" t="e">
        <f>+VLOOKUP(B468,ARTICULOS!$D$10:$I$699,6)</f>
        <v>#N/A</v>
      </c>
      <c r="D468" s="212"/>
      <c r="E468" s="75" t="e">
        <f t="shared" si="18"/>
        <v>#N/A</v>
      </c>
      <c r="F468" s="80"/>
      <c r="G468" s="81"/>
      <c r="H468" s="78"/>
      <c r="I468" s="78"/>
      <c r="J468" s="78"/>
    </row>
    <row r="469" spans="1:10" x14ac:dyDescent="0.2">
      <c r="A469" s="84">
        <f t="shared" si="17"/>
        <v>463</v>
      </c>
      <c r="B469" s="85" t="e">
        <f>+MATCH(D469,ARTICULOS!$F$10:$F$699,0)</f>
        <v>#N/A</v>
      </c>
      <c r="C469" s="86" t="e">
        <f>+VLOOKUP(B469,ARTICULOS!$D$10:$I$699,6)</f>
        <v>#N/A</v>
      </c>
      <c r="D469" s="212"/>
      <c r="E469" s="75" t="e">
        <f t="shared" si="18"/>
        <v>#N/A</v>
      </c>
      <c r="F469" s="80"/>
      <c r="G469" s="81"/>
      <c r="H469" s="78"/>
      <c r="I469" s="78"/>
      <c r="J469" s="78"/>
    </row>
    <row r="470" spans="1:10" x14ac:dyDescent="0.2">
      <c r="A470" s="84">
        <f t="shared" si="17"/>
        <v>464</v>
      </c>
      <c r="B470" s="85" t="e">
        <f>+MATCH(D470,ARTICULOS!$F$10:$F$699,0)</f>
        <v>#N/A</v>
      </c>
      <c r="C470" s="86" t="e">
        <f>+VLOOKUP(B470,ARTICULOS!$D$10:$I$699,6)</f>
        <v>#N/A</v>
      </c>
      <c r="D470" s="212"/>
      <c r="E470" s="75" t="e">
        <f t="shared" si="18"/>
        <v>#N/A</v>
      </c>
      <c r="F470" s="80"/>
      <c r="G470" s="81"/>
      <c r="H470" s="78"/>
      <c r="I470" s="78"/>
      <c r="J470" s="78"/>
    </row>
    <row r="471" spans="1:10" x14ac:dyDescent="0.2">
      <c r="A471" s="84">
        <f t="shared" si="17"/>
        <v>465</v>
      </c>
      <c r="B471" s="85" t="e">
        <f>+MATCH(D471,ARTICULOS!$F$10:$F$699,0)</f>
        <v>#N/A</v>
      </c>
      <c r="C471" s="86" t="e">
        <f>+VLOOKUP(B471,ARTICULOS!$D$10:$I$699,6)</f>
        <v>#N/A</v>
      </c>
      <c r="D471" s="212"/>
      <c r="E471" s="75" t="e">
        <f t="shared" si="18"/>
        <v>#N/A</v>
      </c>
      <c r="F471" s="80"/>
      <c r="G471" s="81"/>
      <c r="H471" s="78"/>
      <c r="I471" s="78"/>
      <c r="J471" s="78"/>
    </row>
    <row r="472" spans="1:10" x14ac:dyDescent="0.2">
      <c r="A472" s="84">
        <f t="shared" si="17"/>
        <v>466</v>
      </c>
      <c r="B472" s="85" t="e">
        <f>+MATCH(D472,ARTICULOS!$F$10:$F$699,0)</f>
        <v>#N/A</v>
      </c>
      <c r="C472" s="86" t="e">
        <f>+VLOOKUP(B472,ARTICULOS!$D$10:$I$699,6)</f>
        <v>#N/A</v>
      </c>
      <c r="D472" s="212"/>
      <c r="E472" s="75" t="e">
        <f t="shared" si="18"/>
        <v>#N/A</v>
      </c>
      <c r="F472" s="80"/>
      <c r="G472" s="81"/>
      <c r="H472" s="78"/>
      <c r="I472" s="78"/>
      <c r="J472" s="78"/>
    </row>
    <row r="473" spans="1:10" x14ac:dyDescent="0.2">
      <c r="A473" s="84">
        <f t="shared" si="17"/>
        <v>467</v>
      </c>
      <c r="B473" s="85" t="e">
        <f>+MATCH(D473,ARTICULOS!$F$10:$F$699,0)</f>
        <v>#N/A</v>
      </c>
      <c r="C473" s="86" t="e">
        <f>+VLOOKUP(B473,ARTICULOS!$D$10:$I$699,6)</f>
        <v>#N/A</v>
      </c>
      <c r="D473" s="212"/>
      <c r="E473" s="75" t="e">
        <f t="shared" si="18"/>
        <v>#N/A</v>
      </c>
      <c r="F473" s="80"/>
      <c r="G473" s="81"/>
      <c r="H473" s="78"/>
      <c r="I473" s="78"/>
      <c r="J473" s="78"/>
    </row>
    <row r="474" spans="1:10" x14ac:dyDescent="0.2">
      <c r="A474" s="84">
        <f t="shared" si="17"/>
        <v>468</v>
      </c>
      <c r="B474" s="85" t="e">
        <f>+MATCH(D474,ARTICULOS!$F$10:$F$699,0)</f>
        <v>#N/A</v>
      </c>
      <c r="C474" s="86" t="e">
        <f>+VLOOKUP(B474,ARTICULOS!$D$10:$I$699,6)</f>
        <v>#N/A</v>
      </c>
      <c r="D474" s="212"/>
      <c r="E474" s="75" t="e">
        <f t="shared" si="18"/>
        <v>#N/A</v>
      </c>
      <c r="F474" s="80"/>
      <c r="G474" s="81"/>
      <c r="H474" s="78"/>
      <c r="I474" s="78"/>
      <c r="J474" s="78"/>
    </row>
    <row r="475" spans="1:10" x14ac:dyDescent="0.2">
      <c r="A475" s="84">
        <f t="shared" si="17"/>
        <v>469</v>
      </c>
      <c r="B475" s="85" t="e">
        <f>+MATCH(D475,ARTICULOS!$F$10:$F$699,0)</f>
        <v>#N/A</v>
      </c>
      <c r="C475" s="86" t="e">
        <f>+VLOOKUP(B475,ARTICULOS!$D$10:$I$699,6)</f>
        <v>#N/A</v>
      </c>
      <c r="D475" s="212"/>
      <c r="E475" s="75" t="e">
        <f t="shared" si="18"/>
        <v>#N/A</v>
      </c>
      <c r="F475" s="80"/>
      <c r="G475" s="81"/>
      <c r="H475" s="78"/>
      <c r="I475" s="78"/>
      <c r="J475" s="78"/>
    </row>
    <row r="476" spans="1:10" x14ac:dyDescent="0.2">
      <c r="A476" s="84">
        <f t="shared" si="17"/>
        <v>470</v>
      </c>
      <c r="B476" s="85" t="e">
        <f>+MATCH(D476,ARTICULOS!$F$10:$F$699,0)</f>
        <v>#N/A</v>
      </c>
      <c r="C476" s="86" t="e">
        <f>+VLOOKUP(B476,ARTICULOS!$D$10:$I$699,6)</f>
        <v>#N/A</v>
      </c>
      <c r="D476" s="212"/>
      <c r="E476" s="75" t="e">
        <f t="shared" si="18"/>
        <v>#N/A</v>
      </c>
      <c r="F476" s="80"/>
      <c r="G476" s="81"/>
      <c r="H476" s="78"/>
      <c r="I476" s="78"/>
      <c r="J476" s="78"/>
    </row>
    <row r="477" spans="1:10" x14ac:dyDescent="0.2">
      <c r="A477" s="84">
        <f t="shared" si="17"/>
        <v>471</v>
      </c>
      <c r="B477" s="85" t="e">
        <f>+MATCH(D477,ARTICULOS!$F$10:$F$699,0)</f>
        <v>#N/A</v>
      </c>
      <c r="C477" s="86" t="e">
        <f>+VLOOKUP(B477,ARTICULOS!$D$10:$I$699,6)</f>
        <v>#N/A</v>
      </c>
      <c r="D477" s="212"/>
      <c r="E477" s="75" t="e">
        <f t="shared" si="18"/>
        <v>#N/A</v>
      </c>
      <c r="F477" s="80"/>
      <c r="G477" s="81"/>
      <c r="H477" s="78"/>
      <c r="I477" s="78"/>
      <c r="J477" s="78"/>
    </row>
    <row r="478" spans="1:10" x14ac:dyDescent="0.2">
      <c r="A478" s="84">
        <f t="shared" si="17"/>
        <v>472</v>
      </c>
      <c r="B478" s="85" t="e">
        <f>+MATCH(D478,ARTICULOS!$F$10:$F$699,0)</f>
        <v>#N/A</v>
      </c>
      <c r="C478" s="86" t="e">
        <f>+VLOOKUP(B478,ARTICULOS!$D$10:$I$699,6)</f>
        <v>#N/A</v>
      </c>
      <c r="D478" s="212"/>
      <c r="E478" s="75" t="e">
        <f t="shared" si="18"/>
        <v>#N/A</v>
      </c>
      <c r="F478" s="80"/>
      <c r="G478" s="81"/>
      <c r="H478" s="78"/>
      <c r="I478" s="78"/>
      <c r="J478" s="78"/>
    </row>
    <row r="479" spans="1:10" x14ac:dyDescent="0.2">
      <c r="A479" s="84">
        <f t="shared" si="17"/>
        <v>473</v>
      </c>
      <c r="B479" s="85" t="e">
        <f>+MATCH(D479,ARTICULOS!$F$10:$F$699,0)</f>
        <v>#N/A</v>
      </c>
      <c r="C479" s="86" t="e">
        <f>+VLOOKUP(B479,ARTICULOS!$D$10:$I$699,6)</f>
        <v>#N/A</v>
      </c>
      <c r="D479" s="212"/>
      <c r="E479" s="75" t="e">
        <f t="shared" si="18"/>
        <v>#N/A</v>
      </c>
      <c r="F479" s="80"/>
      <c r="G479" s="81"/>
      <c r="H479" s="78"/>
      <c r="I479" s="78"/>
      <c r="J479" s="78"/>
    </row>
    <row r="480" spans="1:10" x14ac:dyDescent="0.2">
      <c r="A480" s="84">
        <f t="shared" si="17"/>
        <v>474</v>
      </c>
      <c r="B480" s="85" t="e">
        <f>+MATCH(D480,ARTICULOS!$F$10:$F$699,0)</f>
        <v>#N/A</v>
      </c>
      <c r="C480" s="86" t="e">
        <f>+VLOOKUP(B480,ARTICULOS!$D$10:$I$699,6)</f>
        <v>#N/A</v>
      </c>
      <c r="D480" s="212"/>
      <c r="E480" s="75" t="e">
        <f t="shared" si="18"/>
        <v>#N/A</v>
      </c>
      <c r="F480" s="80"/>
      <c r="G480" s="81"/>
      <c r="H480" s="78"/>
      <c r="I480" s="78"/>
      <c r="J480" s="78"/>
    </row>
    <row r="481" spans="1:10" x14ac:dyDescent="0.2">
      <c r="A481" s="84">
        <f t="shared" si="17"/>
        <v>475</v>
      </c>
      <c r="B481" s="85" t="e">
        <f>+MATCH(D481,ARTICULOS!$F$10:$F$699,0)</f>
        <v>#N/A</v>
      </c>
      <c r="C481" s="86" t="e">
        <f>+VLOOKUP(B481,ARTICULOS!$D$10:$I$699,6)</f>
        <v>#N/A</v>
      </c>
      <c r="D481" s="212"/>
      <c r="E481" s="75" t="e">
        <f t="shared" si="18"/>
        <v>#N/A</v>
      </c>
      <c r="F481" s="80"/>
      <c r="G481" s="81"/>
      <c r="H481" s="78"/>
      <c r="I481" s="78"/>
      <c r="J481" s="78"/>
    </row>
    <row r="482" spans="1:10" x14ac:dyDescent="0.2">
      <c r="A482" s="84">
        <f t="shared" si="17"/>
        <v>476</v>
      </c>
      <c r="B482" s="85" t="e">
        <f>+MATCH(D482,ARTICULOS!$F$10:$F$699,0)</f>
        <v>#N/A</v>
      </c>
      <c r="C482" s="86" t="e">
        <f>+VLOOKUP(B482,ARTICULOS!$D$10:$I$699,6)</f>
        <v>#N/A</v>
      </c>
      <c r="D482" s="212"/>
      <c r="E482" s="75" t="e">
        <f t="shared" si="18"/>
        <v>#N/A</v>
      </c>
      <c r="F482" s="80"/>
      <c r="G482" s="81"/>
      <c r="H482" s="78"/>
      <c r="I482" s="78"/>
      <c r="J482" s="78"/>
    </row>
    <row r="483" spans="1:10" x14ac:dyDescent="0.2">
      <c r="A483" s="84">
        <f t="shared" si="17"/>
        <v>477</v>
      </c>
      <c r="B483" s="85" t="e">
        <f>+MATCH(D483,ARTICULOS!$F$10:$F$699,0)</f>
        <v>#N/A</v>
      </c>
      <c r="C483" s="86" t="e">
        <f>+VLOOKUP(B483,ARTICULOS!$D$10:$I$699,6)</f>
        <v>#N/A</v>
      </c>
      <c r="D483" s="212"/>
      <c r="E483" s="75" t="e">
        <f t="shared" si="18"/>
        <v>#N/A</v>
      </c>
      <c r="F483" s="80"/>
      <c r="G483" s="81"/>
      <c r="H483" s="78"/>
      <c r="I483" s="78"/>
      <c r="J483" s="78"/>
    </row>
    <row r="484" spans="1:10" x14ac:dyDescent="0.2">
      <c r="A484" s="84">
        <f t="shared" si="17"/>
        <v>478</v>
      </c>
      <c r="B484" s="85" t="e">
        <f>+MATCH(D484,ARTICULOS!$F$10:$F$699,0)</f>
        <v>#N/A</v>
      </c>
      <c r="C484" s="86" t="e">
        <f>+VLOOKUP(B484,ARTICULOS!$D$10:$I$699,6)</f>
        <v>#N/A</v>
      </c>
      <c r="D484" s="212"/>
      <c r="E484" s="75" t="e">
        <f t="shared" si="18"/>
        <v>#N/A</v>
      </c>
      <c r="F484" s="80"/>
      <c r="G484" s="81"/>
      <c r="H484" s="78"/>
      <c r="I484" s="78"/>
      <c r="J484" s="78"/>
    </row>
    <row r="485" spans="1:10" x14ac:dyDescent="0.2">
      <c r="A485" s="84">
        <f t="shared" si="17"/>
        <v>479</v>
      </c>
      <c r="B485" s="85" t="e">
        <f>+MATCH(D485,ARTICULOS!$F$10:$F$699,0)</f>
        <v>#N/A</v>
      </c>
      <c r="C485" s="86" t="e">
        <f>+VLOOKUP(B485,ARTICULOS!$D$10:$I$699,6)</f>
        <v>#N/A</v>
      </c>
      <c r="D485" s="212"/>
      <c r="E485" s="75" t="e">
        <f t="shared" si="18"/>
        <v>#N/A</v>
      </c>
      <c r="F485" s="80"/>
      <c r="G485" s="81"/>
      <c r="H485" s="78"/>
      <c r="I485" s="78"/>
      <c r="J485" s="78"/>
    </row>
    <row r="486" spans="1:10" x14ac:dyDescent="0.2">
      <c r="A486" s="84">
        <f t="shared" si="17"/>
        <v>480</v>
      </c>
      <c r="B486" s="85" t="e">
        <f>+MATCH(D486,ARTICULOS!$F$10:$F$699,0)</f>
        <v>#N/A</v>
      </c>
      <c r="C486" s="86" t="e">
        <f>+VLOOKUP(B486,ARTICULOS!$D$10:$I$699,6)</f>
        <v>#N/A</v>
      </c>
      <c r="D486" s="212"/>
      <c r="E486" s="75" t="e">
        <f t="shared" si="18"/>
        <v>#N/A</v>
      </c>
      <c r="F486" s="80"/>
      <c r="G486" s="81"/>
      <c r="H486" s="78"/>
      <c r="I486" s="78"/>
      <c r="J486" s="78"/>
    </row>
    <row r="487" spans="1:10" x14ac:dyDescent="0.2">
      <c r="A487" s="84">
        <f t="shared" si="17"/>
        <v>481</v>
      </c>
      <c r="B487" s="85" t="e">
        <f>+MATCH(D487,ARTICULOS!$F$10:$F$699,0)</f>
        <v>#N/A</v>
      </c>
      <c r="C487" s="86" t="e">
        <f>+VLOOKUP(B487,ARTICULOS!$D$10:$I$699,6)</f>
        <v>#N/A</v>
      </c>
      <c r="D487" s="212"/>
      <c r="E487" s="75" t="e">
        <f t="shared" si="18"/>
        <v>#N/A</v>
      </c>
      <c r="F487" s="80"/>
      <c r="G487" s="81"/>
      <c r="H487" s="78"/>
      <c r="I487" s="78"/>
      <c r="J487" s="78"/>
    </row>
    <row r="488" spans="1:10" x14ac:dyDescent="0.2">
      <c r="A488" s="84">
        <f t="shared" si="17"/>
        <v>482</v>
      </c>
      <c r="B488" s="85" t="e">
        <f>+MATCH(D488,ARTICULOS!$F$10:$F$699,0)</f>
        <v>#N/A</v>
      </c>
      <c r="C488" s="86" t="e">
        <f>+VLOOKUP(B488,ARTICULOS!$D$10:$I$699,6)</f>
        <v>#N/A</v>
      </c>
      <c r="D488" s="212"/>
      <c r="E488" s="75" t="e">
        <f t="shared" si="18"/>
        <v>#N/A</v>
      </c>
      <c r="F488" s="80"/>
      <c r="G488" s="81"/>
      <c r="H488" s="78"/>
      <c r="I488" s="78"/>
      <c r="J488" s="78"/>
    </row>
    <row r="489" spans="1:10" x14ac:dyDescent="0.2">
      <c r="A489" s="84">
        <f t="shared" ref="A489:A552" si="19">ROW()-6</f>
        <v>483</v>
      </c>
      <c r="B489" s="85" t="e">
        <f>+MATCH(D489,ARTICULOS!$F$10:$F$699,0)</f>
        <v>#N/A</v>
      </c>
      <c r="C489" s="86" t="e">
        <f>+VLOOKUP(B489,ARTICULOS!$D$10:$I$699,6)</f>
        <v>#N/A</v>
      </c>
      <c r="D489" s="212"/>
      <c r="E489" s="75" t="e">
        <f t="shared" si="18"/>
        <v>#N/A</v>
      </c>
      <c r="F489" s="80"/>
      <c r="G489" s="81"/>
      <c r="H489" s="78"/>
      <c r="I489" s="78"/>
      <c r="J489" s="78"/>
    </row>
    <row r="490" spans="1:10" x14ac:dyDescent="0.2">
      <c r="A490" s="84">
        <f t="shared" si="19"/>
        <v>484</v>
      </c>
      <c r="B490" s="85" t="e">
        <f>+MATCH(D490,ARTICULOS!$F$10:$F$699,0)</f>
        <v>#N/A</v>
      </c>
      <c r="C490" s="86" t="e">
        <f>+VLOOKUP(B490,ARTICULOS!$D$10:$I$699,6)</f>
        <v>#N/A</v>
      </c>
      <c r="D490" s="212"/>
      <c r="E490" s="75" t="e">
        <f t="shared" si="18"/>
        <v>#N/A</v>
      </c>
      <c r="F490" s="80"/>
      <c r="G490" s="81"/>
      <c r="H490" s="78"/>
      <c r="I490" s="78"/>
      <c r="J490" s="78"/>
    </row>
    <row r="491" spans="1:10" x14ac:dyDescent="0.2">
      <c r="A491" s="84">
        <f t="shared" si="19"/>
        <v>485</v>
      </c>
      <c r="B491" s="85" t="e">
        <f>+MATCH(D491,ARTICULOS!$F$10:$F$699,0)</f>
        <v>#N/A</v>
      </c>
      <c r="C491" s="86" t="e">
        <f>+VLOOKUP(B491,ARTICULOS!$D$10:$I$699,6)</f>
        <v>#N/A</v>
      </c>
      <c r="D491" s="212"/>
      <c r="E491" s="75" t="e">
        <f t="shared" si="18"/>
        <v>#N/A</v>
      </c>
      <c r="F491" s="80"/>
      <c r="G491" s="81"/>
      <c r="H491" s="78"/>
      <c r="I491" s="78"/>
      <c r="J491" s="78"/>
    </row>
    <row r="492" spans="1:10" x14ac:dyDescent="0.2">
      <c r="A492" s="84">
        <f t="shared" si="19"/>
        <v>486</v>
      </c>
      <c r="B492" s="85" t="e">
        <f>+MATCH(D492,ARTICULOS!$F$10:$F$699,0)</f>
        <v>#N/A</v>
      </c>
      <c r="C492" s="86" t="e">
        <f>+VLOOKUP(B492,ARTICULOS!$D$10:$I$699,6)</f>
        <v>#N/A</v>
      </c>
      <c r="D492" s="212"/>
      <c r="E492" s="75" t="e">
        <f t="shared" si="18"/>
        <v>#N/A</v>
      </c>
      <c r="F492" s="80"/>
      <c r="G492" s="81"/>
      <c r="H492" s="78"/>
      <c r="I492" s="78"/>
      <c r="J492" s="78"/>
    </row>
    <row r="493" spans="1:10" x14ac:dyDescent="0.2">
      <c r="A493" s="84">
        <f t="shared" si="19"/>
        <v>487</v>
      </c>
      <c r="B493" s="85" t="e">
        <f>+MATCH(D493,ARTICULOS!$F$10:$F$699,0)</f>
        <v>#N/A</v>
      </c>
      <c r="C493" s="86" t="e">
        <f>+VLOOKUP(B493,ARTICULOS!$D$10:$I$699,6)</f>
        <v>#N/A</v>
      </c>
      <c r="D493" s="212"/>
      <c r="E493" s="75" t="e">
        <f t="shared" si="18"/>
        <v>#N/A</v>
      </c>
      <c r="F493" s="80"/>
      <c r="G493" s="81"/>
      <c r="H493" s="78"/>
      <c r="I493" s="78"/>
      <c r="J493" s="78"/>
    </row>
    <row r="494" spans="1:10" x14ac:dyDescent="0.2">
      <c r="A494" s="84">
        <f t="shared" si="19"/>
        <v>488</v>
      </c>
      <c r="B494" s="85" t="e">
        <f>+MATCH(D494,ARTICULOS!$F$10:$F$699,0)</f>
        <v>#N/A</v>
      </c>
      <c r="C494" s="86" t="e">
        <f>+VLOOKUP(B494,ARTICULOS!$D$10:$I$699,6)</f>
        <v>#N/A</v>
      </c>
      <c r="D494" s="212"/>
      <c r="E494" s="75" t="e">
        <f t="shared" si="18"/>
        <v>#N/A</v>
      </c>
      <c r="F494" s="80"/>
      <c r="G494" s="81"/>
      <c r="H494" s="78"/>
      <c r="I494" s="78"/>
      <c r="J494" s="78"/>
    </row>
    <row r="495" spans="1:10" x14ac:dyDescent="0.2">
      <c r="A495" s="84">
        <f t="shared" si="19"/>
        <v>489</v>
      </c>
      <c r="B495" s="85" t="e">
        <f>+MATCH(D495,ARTICULOS!$F$10:$F$699,0)</f>
        <v>#N/A</v>
      </c>
      <c r="C495" s="86" t="e">
        <f>+VLOOKUP(B495,ARTICULOS!$D$10:$I$699,6)</f>
        <v>#N/A</v>
      </c>
      <c r="D495" s="212"/>
      <c r="E495" s="75" t="e">
        <f t="shared" si="18"/>
        <v>#N/A</v>
      </c>
      <c r="F495" s="80"/>
      <c r="G495" s="81"/>
      <c r="H495" s="78"/>
      <c r="I495" s="78"/>
      <c r="J495" s="78"/>
    </row>
    <row r="496" spans="1:10" x14ac:dyDescent="0.2">
      <c r="A496" s="84">
        <f t="shared" si="19"/>
        <v>490</v>
      </c>
      <c r="B496" s="85" t="e">
        <f>+MATCH(D496,ARTICULOS!$F$10:$F$699,0)</f>
        <v>#N/A</v>
      </c>
      <c r="C496" s="86" t="e">
        <f>+VLOOKUP(B496,ARTICULOS!$D$10:$I$699,6)</f>
        <v>#N/A</v>
      </c>
      <c r="D496" s="212"/>
      <c r="E496" s="75" t="e">
        <f t="shared" si="18"/>
        <v>#N/A</v>
      </c>
      <c r="F496" s="80"/>
      <c r="G496" s="81"/>
      <c r="H496" s="78"/>
      <c r="I496" s="78"/>
      <c r="J496" s="78"/>
    </row>
    <row r="497" spans="1:10" x14ac:dyDescent="0.2">
      <c r="A497" s="84">
        <f t="shared" si="19"/>
        <v>491</v>
      </c>
      <c r="B497" s="85" t="e">
        <f>+MATCH(D497,ARTICULOS!$F$10:$F$699,0)</f>
        <v>#N/A</v>
      </c>
      <c r="C497" s="86" t="e">
        <f>+VLOOKUP(B497,ARTICULOS!$D$10:$I$699,6)</f>
        <v>#N/A</v>
      </c>
      <c r="D497" s="212"/>
      <c r="E497" s="75" t="e">
        <f t="shared" si="18"/>
        <v>#N/A</v>
      </c>
      <c r="F497" s="80"/>
      <c r="G497" s="81"/>
      <c r="H497" s="78"/>
      <c r="I497" s="78"/>
      <c r="J497" s="78"/>
    </row>
    <row r="498" spans="1:10" x14ac:dyDescent="0.2">
      <c r="A498" s="84">
        <f t="shared" si="19"/>
        <v>492</v>
      </c>
      <c r="B498" s="85" t="e">
        <f>+MATCH(D498,ARTICULOS!$F$10:$F$699,0)</f>
        <v>#N/A</v>
      </c>
      <c r="C498" s="86" t="e">
        <f>+VLOOKUP(B498,ARTICULOS!$D$10:$I$699,6)</f>
        <v>#N/A</v>
      </c>
      <c r="D498" s="212"/>
      <c r="E498" s="75" t="e">
        <f t="shared" si="18"/>
        <v>#N/A</v>
      </c>
      <c r="F498" s="80"/>
      <c r="G498" s="81"/>
      <c r="H498" s="78"/>
      <c r="I498" s="78"/>
      <c r="J498" s="78"/>
    </row>
    <row r="499" spans="1:10" x14ac:dyDescent="0.2">
      <c r="A499" s="84">
        <f t="shared" si="19"/>
        <v>493</v>
      </c>
      <c r="B499" s="85" t="e">
        <f>+MATCH(D499,ARTICULOS!$F$10:$F$699,0)</f>
        <v>#N/A</v>
      </c>
      <c r="C499" s="86" t="e">
        <f>+VLOOKUP(B499,ARTICULOS!$D$10:$I$699,6)</f>
        <v>#N/A</v>
      </c>
      <c r="D499" s="212"/>
      <c r="E499" s="75" t="e">
        <f t="shared" si="18"/>
        <v>#N/A</v>
      </c>
      <c r="F499" s="80"/>
      <c r="G499" s="81"/>
      <c r="H499" s="78"/>
      <c r="I499" s="78"/>
      <c r="J499" s="78"/>
    </row>
    <row r="500" spans="1:10" x14ac:dyDescent="0.2">
      <c r="A500" s="84">
        <f t="shared" si="19"/>
        <v>494</v>
      </c>
      <c r="B500" s="85" t="e">
        <f>+MATCH(D500,ARTICULOS!$F$10:$F$699,0)</f>
        <v>#N/A</v>
      </c>
      <c r="C500" s="86" t="e">
        <f>+VLOOKUP(B500,ARTICULOS!$D$10:$I$699,6)</f>
        <v>#N/A</v>
      </c>
      <c r="D500" s="212"/>
      <c r="E500" s="75" t="e">
        <f t="shared" si="18"/>
        <v>#N/A</v>
      </c>
      <c r="F500" s="80"/>
      <c r="G500" s="81"/>
      <c r="H500" s="78"/>
      <c r="I500" s="78"/>
      <c r="J500" s="78"/>
    </row>
    <row r="501" spans="1:10" x14ac:dyDescent="0.2">
      <c r="A501" s="84">
        <f t="shared" si="19"/>
        <v>495</v>
      </c>
      <c r="B501" s="85" t="e">
        <f>+MATCH(D501,ARTICULOS!$F$10:$F$699,0)</f>
        <v>#N/A</v>
      </c>
      <c r="C501" s="86" t="e">
        <f>+VLOOKUP(B501,ARTICULOS!$D$10:$I$699,6)</f>
        <v>#N/A</v>
      </c>
      <c r="D501" s="212"/>
      <c r="E501" s="75" t="e">
        <f t="shared" si="18"/>
        <v>#N/A</v>
      </c>
      <c r="F501" s="80"/>
      <c r="G501" s="81"/>
      <c r="H501" s="78"/>
      <c r="I501" s="78"/>
      <c r="J501" s="78"/>
    </row>
    <row r="502" spans="1:10" x14ac:dyDescent="0.2">
      <c r="A502" s="84">
        <f t="shared" si="19"/>
        <v>496</v>
      </c>
      <c r="B502" s="85" t="e">
        <f>+MATCH(D502,ARTICULOS!$F$10:$F$699,0)</f>
        <v>#N/A</v>
      </c>
      <c r="C502" s="86" t="e">
        <f>+VLOOKUP(B502,ARTICULOS!$D$10:$I$699,6)</f>
        <v>#N/A</v>
      </c>
      <c r="D502" s="212"/>
      <c r="E502" s="75" t="e">
        <f t="shared" si="18"/>
        <v>#N/A</v>
      </c>
      <c r="F502" s="80"/>
      <c r="G502" s="81"/>
      <c r="H502" s="78"/>
      <c r="I502" s="78"/>
      <c r="J502" s="78"/>
    </row>
    <row r="503" spans="1:10" x14ac:dyDescent="0.2">
      <c r="A503" s="84">
        <f t="shared" si="19"/>
        <v>497</v>
      </c>
      <c r="B503" s="85" t="e">
        <f>+MATCH(D503,ARTICULOS!$F$10:$F$699,0)</f>
        <v>#N/A</v>
      </c>
      <c r="C503" s="86" t="e">
        <f>+VLOOKUP(B503,ARTICULOS!$D$10:$I$699,6)</f>
        <v>#N/A</v>
      </c>
      <c r="D503" s="212"/>
      <c r="E503" s="75" t="e">
        <f t="shared" si="18"/>
        <v>#N/A</v>
      </c>
      <c r="F503" s="80"/>
      <c r="G503" s="81"/>
      <c r="H503" s="78"/>
      <c r="I503" s="78"/>
      <c r="J503" s="78"/>
    </row>
    <row r="504" spans="1:10" x14ac:dyDescent="0.2">
      <c r="A504" s="84">
        <f t="shared" si="19"/>
        <v>498</v>
      </c>
      <c r="B504" s="85" t="e">
        <f>+MATCH(D504,ARTICULOS!$F$10:$F$699,0)</f>
        <v>#N/A</v>
      </c>
      <c r="C504" s="86" t="e">
        <f>+VLOOKUP(B504,ARTICULOS!$D$10:$I$699,6)</f>
        <v>#N/A</v>
      </c>
      <c r="D504" s="212"/>
      <c r="E504" s="75" t="e">
        <f t="shared" si="18"/>
        <v>#N/A</v>
      </c>
      <c r="F504" s="80"/>
      <c r="G504" s="81"/>
      <c r="H504" s="78"/>
      <c r="I504" s="78"/>
      <c r="J504" s="78"/>
    </row>
    <row r="505" spans="1:10" x14ac:dyDescent="0.2">
      <c r="A505" s="84">
        <f t="shared" si="19"/>
        <v>499</v>
      </c>
      <c r="B505" s="85" t="e">
        <f>+MATCH(D505,ARTICULOS!$F$10:$F$699,0)</f>
        <v>#N/A</v>
      </c>
      <c r="C505" s="86" t="e">
        <f>+VLOOKUP(B505,ARTICULOS!$D$10:$I$699,6)</f>
        <v>#N/A</v>
      </c>
      <c r="D505" s="212"/>
      <c r="E505" s="75" t="e">
        <f t="shared" si="18"/>
        <v>#N/A</v>
      </c>
      <c r="F505" s="80"/>
      <c r="G505" s="81"/>
      <c r="H505" s="78"/>
      <c r="I505" s="78"/>
      <c r="J505" s="78"/>
    </row>
    <row r="506" spans="1:10" x14ac:dyDescent="0.2">
      <c r="A506" s="84">
        <f t="shared" si="19"/>
        <v>500</v>
      </c>
      <c r="B506" s="85" t="e">
        <f>+MATCH(D506,ARTICULOS!$F$10:$F$699,0)</f>
        <v>#N/A</v>
      </c>
      <c r="C506" s="86" t="e">
        <f>+VLOOKUP(B506,ARTICULOS!$D$10:$I$699,6)</f>
        <v>#N/A</v>
      </c>
      <c r="D506" s="212"/>
      <c r="E506" s="75" t="e">
        <f t="shared" si="18"/>
        <v>#N/A</v>
      </c>
      <c r="F506" s="80"/>
      <c r="G506" s="81"/>
      <c r="H506" s="78"/>
      <c r="I506" s="78"/>
      <c r="J506" s="78"/>
    </row>
    <row r="507" spans="1:10" x14ac:dyDescent="0.2">
      <c r="A507" s="84">
        <f t="shared" si="19"/>
        <v>501</v>
      </c>
      <c r="B507" s="85" t="e">
        <f>+MATCH(D507,ARTICULOS!$F$10:$F$699,0)</f>
        <v>#N/A</v>
      </c>
      <c r="C507" s="86" t="e">
        <f>+VLOOKUP(B507,ARTICULOS!$D$10:$I$699,6)</f>
        <v>#N/A</v>
      </c>
      <c r="D507" s="212"/>
      <c r="E507" s="75" t="e">
        <f t="shared" si="18"/>
        <v>#N/A</v>
      </c>
      <c r="F507" s="80"/>
      <c r="G507" s="81"/>
      <c r="H507" s="78"/>
      <c r="I507" s="78"/>
      <c r="J507" s="78"/>
    </row>
    <row r="508" spans="1:10" x14ac:dyDescent="0.2">
      <c r="A508" s="84">
        <f t="shared" si="19"/>
        <v>502</v>
      </c>
      <c r="B508" s="85" t="e">
        <f>+MATCH(D508,ARTICULOS!$F$10:$F$699,0)</f>
        <v>#N/A</v>
      </c>
      <c r="C508" s="86" t="e">
        <f>+VLOOKUP(B508,ARTICULOS!$D$10:$I$699,6)</f>
        <v>#N/A</v>
      </c>
      <c r="D508" s="212"/>
      <c r="E508" s="75" t="e">
        <f t="shared" si="18"/>
        <v>#N/A</v>
      </c>
      <c r="F508" s="80"/>
      <c r="G508" s="81"/>
      <c r="H508" s="78"/>
      <c r="I508" s="78"/>
      <c r="J508" s="78"/>
    </row>
    <row r="509" spans="1:10" x14ac:dyDescent="0.2">
      <c r="A509" s="84">
        <f t="shared" si="19"/>
        <v>503</v>
      </c>
      <c r="B509" s="85" t="e">
        <f>+MATCH(D509,ARTICULOS!$F$10:$F$699,0)</f>
        <v>#N/A</v>
      </c>
      <c r="C509" s="86" t="e">
        <f>+VLOOKUP(B509,ARTICULOS!$D$10:$I$699,6)</f>
        <v>#N/A</v>
      </c>
      <c r="D509" s="212"/>
      <c r="E509" s="75" t="e">
        <f t="shared" si="18"/>
        <v>#N/A</v>
      </c>
      <c r="F509" s="80"/>
      <c r="G509" s="81"/>
      <c r="H509" s="78"/>
      <c r="I509" s="78"/>
      <c r="J509" s="78"/>
    </row>
    <row r="510" spans="1:10" x14ac:dyDescent="0.2">
      <c r="A510" s="84">
        <f t="shared" si="19"/>
        <v>504</v>
      </c>
      <c r="B510" s="85" t="e">
        <f>+MATCH(D510,ARTICULOS!$F$10:$F$699,0)</f>
        <v>#N/A</v>
      </c>
      <c r="C510" s="86" t="e">
        <f>+VLOOKUP(B510,ARTICULOS!$D$10:$I$699,6)</f>
        <v>#N/A</v>
      </c>
      <c r="D510" s="212"/>
      <c r="E510" s="75" t="e">
        <f t="shared" si="18"/>
        <v>#N/A</v>
      </c>
      <c r="F510" s="80"/>
      <c r="G510" s="81"/>
      <c r="H510" s="78"/>
      <c r="I510" s="78"/>
      <c r="J510" s="78"/>
    </row>
    <row r="511" spans="1:10" x14ac:dyDescent="0.2">
      <c r="A511" s="84">
        <f t="shared" si="19"/>
        <v>505</v>
      </c>
      <c r="B511" s="85" t="e">
        <f>+MATCH(D511,ARTICULOS!$F$10:$F$699,0)</f>
        <v>#N/A</v>
      </c>
      <c r="C511" s="86" t="e">
        <f>+VLOOKUP(B511,ARTICULOS!$D$10:$I$699,6)</f>
        <v>#N/A</v>
      </c>
      <c r="D511" s="212"/>
      <c r="E511" s="75" t="e">
        <f t="shared" si="18"/>
        <v>#N/A</v>
      </c>
      <c r="F511" s="80"/>
      <c r="G511" s="81"/>
      <c r="H511" s="78"/>
      <c r="I511" s="78"/>
      <c r="J511" s="78"/>
    </row>
    <row r="512" spans="1:10" x14ac:dyDescent="0.2">
      <c r="A512" s="84">
        <f t="shared" si="19"/>
        <v>506</v>
      </c>
      <c r="B512" s="85" t="e">
        <f>+MATCH(D512,ARTICULOS!$F$10:$F$699,0)</f>
        <v>#N/A</v>
      </c>
      <c r="C512" s="86" t="e">
        <f>+VLOOKUP(B512,ARTICULOS!$D$10:$I$699,6)</f>
        <v>#N/A</v>
      </c>
      <c r="D512" s="212"/>
      <c r="E512" s="75" t="e">
        <f t="shared" si="18"/>
        <v>#N/A</v>
      </c>
      <c r="F512" s="80"/>
      <c r="G512" s="81"/>
      <c r="H512" s="78"/>
      <c r="I512" s="78"/>
      <c r="J512" s="78"/>
    </row>
    <row r="513" spans="1:10" x14ac:dyDescent="0.2">
      <c r="A513" s="84">
        <f t="shared" si="19"/>
        <v>507</v>
      </c>
      <c r="B513" s="85" t="e">
        <f>+MATCH(D513,ARTICULOS!$F$10:$F$699,0)</f>
        <v>#N/A</v>
      </c>
      <c r="C513" s="86" t="e">
        <f>+VLOOKUP(B513,ARTICULOS!$D$10:$I$699,6)</f>
        <v>#N/A</v>
      </c>
      <c r="D513" s="212"/>
      <c r="E513" s="75" t="e">
        <f t="shared" si="18"/>
        <v>#N/A</v>
      </c>
      <c r="F513" s="80"/>
      <c r="G513" s="81"/>
      <c r="H513" s="78"/>
      <c r="I513" s="78"/>
      <c r="J513" s="78"/>
    </row>
    <row r="514" spans="1:10" x14ac:dyDescent="0.2">
      <c r="A514" s="84">
        <f t="shared" si="19"/>
        <v>508</v>
      </c>
      <c r="B514" s="85" t="e">
        <f>+MATCH(D514,ARTICULOS!$F$10:$F$699,0)</f>
        <v>#N/A</v>
      </c>
      <c r="C514" s="86" t="e">
        <f>+VLOOKUP(B514,ARTICULOS!$D$10:$I$699,6)</f>
        <v>#N/A</v>
      </c>
      <c r="D514" s="212"/>
      <c r="E514" s="75" t="e">
        <f t="shared" si="18"/>
        <v>#N/A</v>
      </c>
      <c r="F514" s="80"/>
      <c r="G514" s="81"/>
      <c r="H514" s="78"/>
      <c r="I514" s="78"/>
      <c r="J514" s="78"/>
    </row>
    <row r="515" spans="1:10" x14ac:dyDescent="0.2">
      <c r="A515" s="84">
        <f t="shared" si="19"/>
        <v>509</v>
      </c>
      <c r="B515" s="85" t="e">
        <f>+MATCH(D515,ARTICULOS!$F$10:$F$699,0)</f>
        <v>#N/A</v>
      </c>
      <c r="C515" s="86" t="e">
        <f>+VLOOKUP(B515,ARTICULOS!$D$10:$I$699,6)</f>
        <v>#N/A</v>
      </c>
      <c r="D515" s="212"/>
      <c r="E515" s="75" t="e">
        <f t="shared" si="18"/>
        <v>#N/A</v>
      </c>
      <c r="F515" s="80"/>
      <c r="G515" s="81"/>
      <c r="H515" s="78"/>
      <c r="I515" s="78"/>
      <c r="J515" s="78"/>
    </row>
    <row r="516" spans="1:10" x14ac:dyDescent="0.2">
      <c r="A516" s="84">
        <f t="shared" si="19"/>
        <v>510</v>
      </c>
      <c r="B516" s="85" t="e">
        <f>+MATCH(D516,ARTICULOS!$F$10:$F$699,0)</f>
        <v>#N/A</v>
      </c>
      <c r="C516" s="86" t="e">
        <f>+VLOOKUP(B516,ARTICULOS!$D$10:$I$699,6)</f>
        <v>#N/A</v>
      </c>
      <c r="D516" s="212"/>
      <c r="E516" s="75" t="e">
        <f t="shared" si="18"/>
        <v>#N/A</v>
      </c>
      <c r="F516" s="80"/>
      <c r="G516" s="81"/>
      <c r="H516" s="78"/>
      <c r="I516" s="78"/>
      <c r="J516" s="78"/>
    </row>
    <row r="517" spans="1:10" x14ac:dyDescent="0.2">
      <c r="A517" s="84">
        <f t="shared" si="19"/>
        <v>511</v>
      </c>
      <c r="B517" s="85" t="e">
        <f>+MATCH(D517,ARTICULOS!$F$10:$F$699,0)</f>
        <v>#N/A</v>
      </c>
      <c r="C517" s="86" t="e">
        <f>+VLOOKUP(B517,ARTICULOS!$D$10:$I$699,6)</f>
        <v>#N/A</v>
      </c>
      <c r="D517" s="212"/>
      <c r="E517" s="75" t="e">
        <f t="shared" si="18"/>
        <v>#N/A</v>
      </c>
      <c r="F517" s="80"/>
      <c r="G517" s="81"/>
      <c r="H517" s="78"/>
      <c r="I517" s="78"/>
      <c r="J517" s="78"/>
    </row>
    <row r="518" spans="1:10" x14ac:dyDescent="0.2">
      <c r="A518" s="84">
        <f t="shared" si="19"/>
        <v>512</v>
      </c>
      <c r="B518" s="85" t="e">
        <f>+MATCH(D518,ARTICULOS!$F$10:$F$699,0)</f>
        <v>#N/A</v>
      </c>
      <c r="C518" s="86" t="e">
        <f>+VLOOKUP(B518,ARTICULOS!$D$10:$I$699,6)</f>
        <v>#N/A</v>
      </c>
      <c r="D518" s="212"/>
      <c r="E518" s="75" t="e">
        <f t="shared" si="18"/>
        <v>#N/A</v>
      </c>
      <c r="F518" s="80"/>
      <c r="G518" s="81"/>
      <c r="H518" s="78"/>
      <c r="I518" s="78"/>
      <c r="J518" s="78"/>
    </row>
    <row r="519" spans="1:10" x14ac:dyDescent="0.2">
      <c r="A519" s="84">
        <f t="shared" si="19"/>
        <v>513</v>
      </c>
      <c r="B519" s="85" t="e">
        <f>+MATCH(D519,ARTICULOS!$F$10:$F$699,0)</f>
        <v>#N/A</v>
      </c>
      <c r="C519" s="86" t="e">
        <f>+VLOOKUP(B519,ARTICULOS!$D$10:$I$699,6)</f>
        <v>#N/A</v>
      </c>
      <c r="D519" s="212"/>
      <c r="E519" s="75" t="e">
        <f t="shared" si="18"/>
        <v>#N/A</v>
      </c>
      <c r="F519" s="80"/>
      <c r="G519" s="81"/>
      <c r="H519" s="78"/>
      <c r="I519" s="78"/>
      <c r="J519" s="78"/>
    </row>
    <row r="520" spans="1:10" x14ac:dyDescent="0.2">
      <c r="A520" s="84">
        <f t="shared" si="19"/>
        <v>514</v>
      </c>
      <c r="B520" s="85" t="e">
        <f>+MATCH(D520,ARTICULOS!$F$10:$F$699,0)</f>
        <v>#N/A</v>
      </c>
      <c r="C520" s="86" t="e">
        <f>+VLOOKUP(B520,ARTICULOS!$D$10:$I$699,6)</f>
        <v>#N/A</v>
      </c>
      <c r="D520" s="212"/>
      <c r="E520" s="75" t="e">
        <f t="shared" si="18"/>
        <v>#N/A</v>
      </c>
      <c r="F520" s="80"/>
      <c r="G520" s="81"/>
      <c r="H520" s="78"/>
      <c r="I520" s="78"/>
      <c r="J520" s="78"/>
    </row>
    <row r="521" spans="1:10" x14ac:dyDescent="0.2">
      <c r="A521" s="84">
        <f t="shared" si="19"/>
        <v>515</v>
      </c>
      <c r="B521" s="85" t="e">
        <f>+MATCH(D521,ARTICULOS!$F$10:$F$699,0)</f>
        <v>#N/A</v>
      </c>
      <c r="C521" s="86" t="e">
        <f>+VLOOKUP(B521,ARTICULOS!$D$10:$I$699,6)</f>
        <v>#N/A</v>
      </c>
      <c r="D521" s="212"/>
      <c r="E521" s="75" t="e">
        <f t="shared" si="18"/>
        <v>#N/A</v>
      </c>
      <c r="F521" s="80"/>
      <c r="G521" s="81"/>
      <c r="H521" s="78"/>
      <c r="I521" s="78"/>
      <c r="J521" s="78"/>
    </row>
    <row r="522" spans="1:10" x14ac:dyDescent="0.2">
      <c r="A522" s="84">
        <f t="shared" si="19"/>
        <v>516</v>
      </c>
      <c r="B522" s="85" t="e">
        <f>+MATCH(D522,ARTICULOS!$F$10:$F$699,0)</f>
        <v>#N/A</v>
      </c>
      <c r="C522" s="86" t="e">
        <f>+VLOOKUP(B522,ARTICULOS!$D$10:$I$699,6)</f>
        <v>#N/A</v>
      </c>
      <c r="D522" s="212"/>
      <c r="E522" s="75" t="e">
        <f t="shared" si="18"/>
        <v>#N/A</v>
      </c>
      <c r="F522" s="80"/>
      <c r="G522" s="81"/>
      <c r="H522" s="78"/>
      <c r="I522" s="78"/>
      <c r="J522" s="78"/>
    </row>
    <row r="523" spans="1:10" x14ac:dyDescent="0.2">
      <c r="A523" s="84">
        <f t="shared" si="19"/>
        <v>517</v>
      </c>
      <c r="B523" s="85" t="e">
        <f>+MATCH(D523,ARTICULOS!$F$10:$F$699,0)</f>
        <v>#N/A</v>
      </c>
      <c r="C523" s="86" t="e">
        <f>+VLOOKUP(B523,ARTICULOS!$D$10:$I$699,6)</f>
        <v>#N/A</v>
      </c>
      <c r="D523" s="212"/>
      <c r="E523" s="75" t="e">
        <f t="shared" ref="E523:E586" si="20">+C523&amp;F523</f>
        <v>#N/A</v>
      </c>
      <c r="F523" s="80"/>
      <c r="G523" s="81"/>
      <c r="H523" s="78"/>
      <c r="I523" s="78"/>
      <c r="J523" s="78"/>
    </row>
    <row r="524" spans="1:10" x14ac:dyDescent="0.2">
      <c r="A524" s="84">
        <f t="shared" si="19"/>
        <v>518</v>
      </c>
      <c r="B524" s="85" t="e">
        <f>+MATCH(D524,ARTICULOS!$F$10:$F$699,0)</f>
        <v>#N/A</v>
      </c>
      <c r="C524" s="86" t="e">
        <f>+VLOOKUP(B524,ARTICULOS!$D$10:$I$699,6)</f>
        <v>#N/A</v>
      </c>
      <c r="D524" s="212"/>
      <c r="E524" s="75" t="e">
        <f t="shared" si="20"/>
        <v>#N/A</v>
      </c>
      <c r="F524" s="80"/>
      <c r="G524" s="81"/>
      <c r="H524" s="78"/>
      <c r="I524" s="78"/>
      <c r="J524" s="78"/>
    </row>
    <row r="525" spans="1:10" x14ac:dyDescent="0.2">
      <c r="A525" s="84">
        <f t="shared" si="19"/>
        <v>519</v>
      </c>
      <c r="B525" s="85" t="e">
        <f>+MATCH(D525,ARTICULOS!$F$10:$F$699,0)</f>
        <v>#N/A</v>
      </c>
      <c r="C525" s="86" t="e">
        <f>+VLOOKUP(B525,ARTICULOS!$D$10:$I$699,6)</f>
        <v>#N/A</v>
      </c>
      <c r="D525" s="212"/>
      <c r="E525" s="75" t="e">
        <f t="shared" si="20"/>
        <v>#N/A</v>
      </c>
      <c r="F525" s="80"/>
      <c r="G525" s="81"/>
      <c r="H525" s="78"/>
      <c r="I525" s="78"/>
      <c r="J525" s="78"/>
    </row>
    <row r="526" spans="1:10" x14ac:dyDescent="0.2">
      <c r="A526" s="84">
        <f t="shared" si="19"/>
        <v>520</v>
      </c>
      <c r="B526" s="85" t="e">
        <f>+MATCH(D526,ARTICULOS!$F$10:$F$699,0)</f>
        <v>#N/A</v>
      </c>
      <c r="C526" s="86" t="e">
        <f>+VLOOKUP(B526,ARTICULOS!$D$10:$I$699,6)</f>
        <v>#N/A</v>
      </c>
      <c r="D526" s="212"/>
      <c r="E526" s="75" t="e">
        <f t="shared" si="20"/>
        <v>#N/A</v>
      </c>
      <c r="F526" s="80"/>
      <c r="G526" s="81"/>
      <c r="H526" s="78"/>
      <c r="I526" s="78"/>
      <c r="J526" s="78"/>
    </row>
    <row r="527" spans="1:10" x14ac:dyDescent="0.2">
      <c r="A527" s="84">
        <f t="shared" si="19"/>
        <v>521</v>
      </c>
      <c r="B527" s="85" t="e">
        <f>+MATCH(D527,ARTICULOS!$F$10:$F$699,0)</f>
        <v>#N/A</v>
      </c>
      <c r="C527" s="86" t="e">
        <f>+VLOOKUP(B527,ARTICULOS!$D$10:$I$699,6)</f>
        <v>#N/A</v>
      </c>
      <c r="D527" s="212"/>
      <c r="E527" s="75" t="e">
        <f t="shared" si="20"/>
        <v>#N/A</v>
      </c>
      <c r="F527" s="80"/>
      <c r="G527" s="81"/>
      <c r="H527" s="78"/>
      <c r="I527" s="78"/>
      <c r="J527" s="78"/>
    </row>
    <row r="528" spans="1:10" x14ac:dyDescent="0.2">
      <c r="A528" s="84">
        <f t="shared" si="19"/>
        <v>522</v>
      </c>
      <c r="B528" s="85" t="e">
        <f>+MATCH(D528,ARTICULOS!$F$10:$F$699,0)</f>
        <v>#N/A</v>
      </c>
      <c r="C528" s="86" t="e">
        <f>+VLOOKUP(B528,ARTICULOS!$D$10:$I$699,6)</f>
        <v>#N/A</v>
      </c>
      <c r="D528" s="212"/>
      <c r="E528" s="75" t="e">
        <f t="shared" si="20"/>
        <v>#N/A</v>
      </c>
      <c r="F528" s="80"/>
      <c r="G528" s="81"/>
      <c r="H528" s="78"/>
      <c r="I528" s="78"/>
      <c r="J528" s="78"/>
    </row>
    <row r="529" spans="1:10" x14ac:dyDescent="0.2">
      <c r="A529" s="84">
        <f t="shared" si="19"/>
        <v>523</v>
      </c>
      <c r="B529" s="85" t="e">
        <f>+MATCH(D529,ARTICULOS!$F$10:$F$699,0)</f>
        <v>#N/A</v>
      </c>
      <c r="C529" s="86" t="e">
        <f>+VLOOKUP(B529,ARTICULOS!$D$10:$I$699,6)</f>
        <v>#N/A</v>
      </c>
      <c r="D529" s="212"/>
      <c r="E529" s="75" t="e">
        <f t="shared" si="20"/>
        <v>#N/A</v>
      </c>
      <c r="F529" s="80"/>
      <c r="G529" s="81"/>
      <c r="H529" s="78"/>
      <c r="I529" s="78"/>
      <c r="J529" s="78"/>
    </row>
    <row r="530" spans="1:10" x14ac:dyDescent="0.2">
      <c r="A530" s="84">
        <f t="shared" si="19"/>
        <v>524</v>
      </c>
      <c r="B530" s="85" t="e">
        <f>+MATCH(D530,ARTICULOS!$F$10:$F$699,0)</f>
        <v>#N/A</v>
      </c>
      <c r="C530" s="86" t="e">
        <f>+VLOOKUP(B530,ARTICULOS!$D$10:$I$699,6)</f>
        <v>#N/A</v>
      </c>
      <c r="D530" s="212"/>
      <c r="E530" s="75" t="e">
        <f t="shared" si="20"/>
        <v>#N/A</v>
      </c>
      <c r="F530" s="80"/>
      <c r="G530" s="81"/>
      <c r="H530" s="78"/>
      <c r="I530" s="78"/>
      <c r="J530" s="78"/>
    </row>
    <row r="531" spans="1:10" x14ac:dyDescent="0.2">
      <c r="A531" s="84">
        <f t="shared" si="19"/>
        <v>525</v>
      </c>
      <c r="B531" s="85" t="e">
        <f>+MATCH(D531,ARTICULOS!$F$10:$F$699,0)</f>
        <v>#N/A</v>
      </c>
      <c r="C531" s="86" t="e">
        <f>+VLOOKUP(B531,ARTICULOS!$D$10:$I$699,6)</f>
        <v>#N/A</v>
      </c>
      <c r="D531" s="212"/>
      <c r="E531" s="75" t="e">
        <f t="shared" si="20"/>
        <v>#N/A</v>
      </c>
      <c r="F531" s="80"/>
      <c r="G531" s="81"/>
      <c r="H531" s="78"/>
      <c r="I531" s="78"/>
      <c r="J531" s="78"/>
    </row>
    <row r="532" spans="1:10" x14ac:dyDescent="0.2">
      <c r="A532" s="84">
        <f t="shared" si="19"/>
        <v>526</v>
      </c>
      <c r="B532" s="85" t="e">
        <f>+MATCH(D532,ARTICULOS!$F$10:$F$699,0)</f>
        <v>#N/A</v>
      </c>
      <c r="C532" s="86" t="e">
        <f>+VLOOKUP(B532,ARTICULOS!$D$10:$I$699,6)</f>
        <v>#N/A</v>
      </c>
      <c r="D532" s="212"/>
      <c r="E532" s="75" t="e">
        <f t="shared" si="20"/>
        <v>#N/A</v>
      </c>
      <c r="F532" s="80"/>
      <c r="G532" s="81"/>
      <c r="H532" s="78"/>
      <c r="I532" s="78"/>
      <c r="J532" s="78"/>
    </row>
    <row r="533" spans="1:10" x14ac:dyDescent="0.2">
      <c r="A533" s="84">
        <f t="shared" si="19"/>
        <v>527</v>
      </c>
      <c r="B533" s="85" t="e">
        <f>+MATCH(D533,ARTICULOS!$F$10:$F$699,0)</f>
        <v>#N/A</v>
      </c>
      <c r="C533" s="86" t="e">
        <f>+VLOOKUP(B533,ARTICULOS!$D$10:$I$699,6)</f>
        <v>#N/A</v>
      </c>
      <c r="D533" s="212"/>
      <c r="E533" s="75" t="e">
        <f t="shared" si="20"/>
        <v>#N/A</v>
      </c>
      <c r="F533" s="80"/>
      <c r="G533" s="81"/>
      <c r="H533" s="78"/>
      <c r="I533" s="78"/>
      <c r="J533" s="78"/>
    </row>
    <row r="534" spans="1:10" x14ac:dyDescent="0.2">
      <c r="A534" s="84">
        <f t="shared" si="19"/>
        <v>528</v>
      </c>
      <c r="B534" s="85" t="e">
        <f>+MATCH(D534,ARTICULOS!$F$10:$F$699,0)</f>
        <v>#N/A</v>
      </c>
      <c r="C534" s="86" t="e">
        <f>+VLOOKUP(B534,ARTICULOS!$D$10:$I$699,6)</f>
        <v>#N/A</v>
      </c>
      <c r="D534" s="212"/>
      <c r="E534" s="75" t="e">
        <f t="shared" si="20"/>
        <v>#N/A</v>
      </c>
      <c r="F534" s="80"/>
      <c r="G534" s="81"/>
      <c r="H534" s="78"/>
      <c r="I534" s="78"/>
      <c r="J534" s="78"/>
    </row>
    <row r="535" spans="1:10" x14ac:dyDescent="0.2">
      <c r="A535" s="84">
        <f t="shared" si="19"/>
        <v>529</v>
      </c>
      <c r="B535" s="85" t="e">
        <f>+MATCH(D535,ARTICULOS!$F$10:$F$699,0)</f>
        <v>#N/A</v>
      </c>
      <c r="C535" s="86" t="e">
        <f>+VLOOKUP(B535,ARTICULOS!$D$10:$I$699,6)</f>
        <v>#N/A</v>
      </c>
      <c r="D535" s="212"/>
      <c r="E535" s="75" t="e">
        <f t="shared" si="20"/>
        <v>#N/A</v>
      </c>
      <c r="F535" s="80"/>
      <c r="G535" s="81"/>
      <c r="H535" s="78"/>
      <c r="I535" s="78"/>
      <c r="J535" s="78"/>
    </row>
    <row r="536" spans="1:10" x14ac:dyDescent="0.2">
      <c r="A536" s="84">
        <f t="shared" si="19"/>
        <v>530</v>
      </c>
      <c r="B536" s="85" t="e">
        <f>+MATCH(D536,ARTICULOS!$F$10:$F$699,0)</f>
        <v>#N/A</v>
      </c>
      <c r="C536" s="86" t="e">
        <f>+VLOOKUP(B536,ARTICULOS!$D$10:$I$699,6)</f>
        <v>#N/A</v>
      </c>
      <c r="D536" s="212"/>
      <c r="E536" s="75" t="e">
        <f t="shared" si="20"/>
        <v>#N/A</v>
      </c>
      <c r="F536" s="80"/>
      <c r="G536" s="81"/>
      <c r="H536" s="78"/>
      <c r="I536" s="78"/>
      <c r="J536" s="78"/>
    </row>
    <row r="537" spans="1:10" x14ac:dyDescent="0.2">
      <c r="A537" s="84">
        <f t="shared" si="19"/>
        <v>531</v>
      </c>
      <c r="B537" s="85" t="e">
        <f>+MATCH(D537,ARTICULOS!$F$10:$F$699,0)</f>
        <v>#N/A</v>
      </c>
      <c r="C537" s="86" t="e">
        <f>+VLOOKUP(B537,ARTICULOS!$D$10:$I$699,6)</f>
        <v>#N/A</v>
      </c>
      <c r="D537" s="212"/>
      <c r="E537" s="75" t="e">
        <f t="shared" si="20"/>
        <v>#N/A</v>
      </c>
      <c r="F537" s="80"/>
      <c r="G537" s="81"/>
      <c r="H537" s="78"/>
      <c r="I537" s="78"/>
      <c r="J537" s="78"/>
    </row>
    <row r="538" spans="1:10" x14ac:dyDescent="0.2">
      <c r="A538" s="84">
        <f t="shared" si="19"/>
        <v>532</v>
      </c>
      <c r="B538" s="85" t="e">
        <f>+MATCH(D538,ARTICULOS!$F$10:$F$699,0)</f>
        <v>#N/A</v>
      </c>
      <c r="C538" s="86" t="e">
        <f>+VLOOKUP(B538,ARTICULOS!$D$10:$I$699,6)</f>
        <v>#N/A</v>
      </c>
      <c r="D538" s="212"/>
      <c r="E538" s="75" t="e">
        <f t="shared" si="20"/>
        <v>#N/A</v>
      </c>
      <c r="F538" s="80"/>
      <c r="G538" s="81"/>
      <c r="H538" s="78"/>
      <c r="I538" s="78"/>
      <c r="J538" s="78"/>
    </row>
    <row r="539" spans="1:10" x14ac:dyDescent="0.2">
      <c r="A539" s="84">
        <f t="shared" si="19"/>
        <v>533</v>
      </c>
      <c r="B539" s="85" t="e">
        <f>+MATCH(D539,ARTICULOS!$F$10:$F$699,0)</f>
        <v>#N/A</v>
      </c>
      <c r="C539" s="86" t="e">
        <f>+VLOOKUP(B539,ARTICULOS!$D$10:$I$699,6)</f>
        <v>#N/A</v>
      </c>
      <c r="D539" s="212"/>
      <c r="E539" s="75" t="e">
        <f t="shared" si="20"/>
        <v>#N/A</v>
      </c>
      <c r="F539" s="80"/>
      <c r="G539" s="81"/>
      <c r="H539" s="78"/>
      <c r="I539" s="78"/>
      <c r="J539" s="78"/>
    </row>
    <row r="540" spans="1:10" x14ac:dyDescent="0.2">
      <c r="A540" s="84">
        <f t="shared" si="19"/>
        <v>534</v>
      </c>
      <c r="B540" s="85" t="e">
        <f>+MATCH(D540,ARTICULOS!$F$10:$F$699,0)</f>
        <v>#N/A</v>
      </c>
      <c r="C540" s="86" t="e">
        <f>+VLOOKUP(B540,ARTICULOS!$D$10:$I$699,6)</f>
        <v>#N/A</v>
      </c>
      <c r="D540" s="212"/>
      <c r="E540" s="75" t="e">
        <f t="shared" si="20"/>
        <v>#N/A</v>
      </c>
      <c r="F540" s="80"/>
      <c r="G540" s="81"/>
      <c r="H540" s="78"/>
      <c r="I540" s="78"/>
      <c r="J540" s="78"/>
    </row>
    <row r="541" spans="1:10" x14ac:dyDescent="0.2">
      <c r="A541" s="84">
        <f t="shared" si="19"/>
        <v>535</v>
      </c>
      <c r="B541" s="85" t="e">
        <f>+MATCH(D541,ARTICULOS!$F$10:$F$699,0)</f>
        <v>#N/A</v>
      </c>
      <c r="C541" s="86" t="e">
        <f>+VLOOKUP(B541,ARTICULOS!$D$10:$I$699,6)</f>
        <v>#N/A</v>
      </c>
      <c r="D541" s="212"/>
      <c r="E541" s="75" t="e">
        <f t="shared" si="20"/>
        <v>#N/A</v>
      </c>
      <c r="F541" s="80"/>
      <c r="G541" s="81"/>
      <c r="H541" s="78"/>
      <c r="I541" s="78"/>
      <c r="J541" s="78"/>
    </row>
    <row r="542" spans="1:10" x14ac:dyDescent="0.2">
      <c r="A542" s="84">
        <f t="shared" si="19"/>
        <v>536</v>
      </c>
      <c r="B542" s="85" t="e">
        <f>+MATCH(D542,ARTICULOS!$F$10:$F$699,0)</f>
        <v>#N/A</v>
      </c>
      <c r="C542" s="86" t="e">
        <f>+VLOOKUP(B542,ARTICULOS!$D$10:$I$699,6)</f>
        <v>#N/A</v>
      </c>
      <c r="D542" s="212"/>
      <c r="E542" s="75" t="e">
        <f t="shared" si="20"/>
        <v>#N/A</v>
      </c>
      <c r="F542" s="80"/>
      <c r="G542" s="81"/>
      <c r="H542" s="78"/>
      <c r="I542" s="78"/>
      <c r="J542" s="78"/>
    </row>
    <row r="543" spans="1:10" x14ac:dyDescent="0.2">
      <c r="A543" s="84">
        <f t="shared" si="19"/>
        <v>537</v>
      </c>
      <c r="B543" s="85" t="e">
        <f>+MATCH(D543,ARTICULOS!$F$10:$F$699,0)</f>
        <v>#N/A</v>
      </c>
      <c r="C543" s="86" t="e">
        <f>+VLOOKUP(B543,ARTICULOS!$D$10:$I$699,6)</f>
        <v>#N/A</v>
      </c>
      <c r="D543" s="212"/>
      <c r="E543" s="75" t="e">
        <f t="shared" si="20"/>
        <v>#N/A</v>
      </c>
      <c r="F543" s="80"/>
      <c r="G543" s="81"/>
      <c r="H543" s="78"/>
      <c r="I543" s="78"/>
      <c r="J543" s="78"/>
    </row>
    <row r="544" spans="1:10" x14ac:dyDescent="0.2">
      <c r="A544" s="84">
        <f t="shared" si="19"/>
        <v>538</v>
      </c>
      <c r="B544" s="85" t="e">
        <f>+MATCH(D544,ARTICULOS!$F$10:$F$699,0)</f>
        <v>#N/A</v>
      </c>
      <c r="C544" s="86" t="e">
        <f>+VLOOKUP(B544,ARTICULOS!$D$10:$I$699,6)</f>
        <v>#N/A</v>
      </c>
      <c r="D544" s="212"/>
      <c r="E544" s="75" t="e">
        <f t="shared" si="20"/>
        <v>#N/A</v>
      </c>
      <c r="F544" s="80"/>
      <c r="G544" s="81"/>
      <c r="H544" s="78"/>
      <c r="I544" s="78"/>
      <c r="J544" s="78"/>
    </row>
    <row r="545" spans="1:10" x14ac:dyDescent="0.2">
      <c r="A545" s="84">
        <f t="shared" si="19"/>
        <v>539</v>
      </c>
      <c r="B545" s="85" t="e">
        <f>+MATCH(D545,ARTICULOS!$F$10:$F$699,0)</f>
        <v>#N/A</v>
      </c>
      <c r="C545" s="86" t="e">
        <f>+VLOOKUP(B545,ARTICULOS!$D$10:$I$699,6)</f>
        <v>#N/A</v>
      </c>
      <c r="D545" s="212"/>
      <c r="E545" s="75" t="e">
        <f t="shared" si="20"/>
        <v>#N/A</v>
      </c>
      <c r="F545" s="80"/>
      <c r="G545" s="81"/>
      <c r="H545" s="78"/>
      <c r="I545" s="78"/>
      <c r="J545" s="78"/>
    </row>
    <row r="546" spans="1:10" x14ac:dyDescent="0.2">
      <c r="A546" s="84">
        <f t="shared" si="19"/>
        <v>540</v>
      </c>
      <c r="B546" s="85" t="e">
        <f>+MATCH(D546,ARTICULOS!$F$10:$F$699,0)</f>
        <v>#N/A</v>
      </c>
      <c r="C546" s="86" t="e">
        <f>+VLOOKUP(B546,ARTICULOS!$D$10:$I$699,6)</f>
        <v>#N/A</v>
      </c>
      <c r="D546" s="212"/>
      <c r="E546" s="75" t="e">
        <f t="shared" si="20"/>
        <v>#N/A</v>
      </c>
      <c r="F546" s="80"/>
      <c r="G546" s="81"/>
      <c r="H546" s="78"/>
      <c r="I546" s="78"/>
      <c r="J546" s="78"/>
    </row>
    <row r="547" spans="1:10" x14ac:dyDescent="0.2">
      <c r="A547" s="84">
        <f t="shared" si="19"/>
        <v>541</v>
      </c>
      <c r="B547" s="85" t="e">
        <f>+MATCH(D547,ARTICULOS!$F$10:$F$699,0)</f>
        <v>#N/A</v>
      </c>
      <c r="C547" s="86" t="e">
        <f>+VLOOKUP(B547,ARTICULOS!$D$10:$I$699,6)</f>
        <v>#N/A</v>
      </c>
      <c r="D547" s="212"/>
      <c r="E547" s="75" t="e">
        <f t="shared" si="20"/>
        <v>#N/A</v>
      </c>
      <c r="F547" s="80"/>
      <c r="G547" s="81"/>
      <c r="H547" s="78"/>
      <c r="I547" s="78"/>
      <c r="J547" s="78"/>
    </row>
    <row r="548" spans="1:10" x14ac:dyDescent="0.2">
      <c r="A548" s="84">
        <f t="shared" si="19"/>
        <v>542</v>
      </c>
      <c r="B548" s="85" t="e">
        <f>+MATCH(D548,ARTICULOS!$F$10:$F$699,0)</f>
        <v>#N/A</v>
      </c>
      <c r="C548" s="86" t="e">
        <f>+VLOOKUP(B548,ARTICULOS!$D$10:$I$699,6)</f>
        <v>#N/A</v>
      </c>
      <c r="D548" s="212"/>
      <c r="E548" s="75" t="e">
        <f t="shared" si="20"/>
        <v>#N/A</v>
      </c>
      <c r="F548" s="80"/>
      <c r="G548" s="81"/>
      <c r="H548" s="78"/>
      <c r="I548" s="78"/>
      <c r="J548" s="78"/>
    </row>
    <row r="549" spans="1:10" x14ac:dyDescent="0.2">
      <c r="A549" s="84">
        <f t="shared" si="19"/>
        <v>543</v>
      </c>
      <c r="B549" s="85" t="e">
        <f>+MATCH(D549,ARTICULOS!$F$10:$F$699,0)</f>
        <v>#N/A</v>
      </c>
      <c r="C549" s="86" t="e">
        <f>+VLOOKUP(B549,ARTICULOS!$D$10:$I$699,6)</f>
        <v>#N/A</v>
      </c>
      <c r="D549" s="212"/>
      <c r="E549" s="75" t="e">
        <f t="shared" si="20"/>
        <v>#N/A</v>
      </c>
      <c r="F549" s="80"/>
      <c r="G549" s="81"/>
      <c r="H549" s="78"/>
      <c r="I549" s="78"/>
      <c r="J549" s="78"/>
    </row>
    <row r="550" spans="1:10" x14ac:dyDescent="0.2">
      <c r="A550" s="84">
        <f t="shared" si="19"/>
        <v>544</v>
      </c>
      <c r="B550" s="85" t="e">
        <f>+MATCH(D550,ARTICULOS!$F$10:$F$699,0)</f>
        <v>#N/A</v>
      </c>
      <c r="C550" s="86" t="e">
        <f>+VLOOKUP(B550,ARTICULOS!$D$10:$I$699,6)</f>
        <v>#N/A</v>
      </c>
      <c r="D550" s="212"/>
      <c r="E550" s="75" t="e">
        <f t="shared" si="20"/>
        <v>#N/A</v>
      </c>
      <c r="F550" s="80"/>
      <c r="G550" s="81"/>
      <c r="H550" s="78"/>
      <c r="I550" s="78"/>
      <c r="J550" s="78"/>
    </row>
    <row r="551" spans="1:10" x14ac:dyDescent="0.2">
      <c r="A551" s="84">
        <f t="shared" si="19"/>
        <v>545</v>
      </c>
      <c r="B551" s="85" t="e">
        <f>+MATCH(D551,ARTICULOS!$F$10:$F$699,0)</f>
        <v>#N/A</v>
      </c>
      <c r="C551" s="86" t="e">
        <f>+VLOOKUP(B551,ARTICULOS!$D$10:$I$699,6)</f>
        <v>#N/A</v>
      </c>
      <c r="D551" s="212"/>
      <c r="E551" s="75" t="e">
        <f t="shared" si="20"/>
        <v>#N/A</v>
      </c>
      <c r="F551" s="80"/>
      <c r="G551" s="81"/>
      <c r="H551" s="78"/>
      <c r="I551" s="78"/>
      <c r="J551" s="78"/>
    </row>
    <row r="552" spans="1:10" x14ac:dyDescent="0.2">
      <c r="A552" s="84">
        <f t="shared" si="19"/>
        <v>546</v>
      </c>
      <c r="B552" s="85" t="e">
        <f>+MATCH(D552,ARTICULOS!$F$10:$F$699,0)</f>
        <v>#N/A</v>
      </c>
      <c r="C552" s="86" t="e">
        <f>+VLOOKUP(B552,ARTICULOS!$D$10:$I$699,6)</f>
        <v>#N/A</v>
      </c>
      <c r="D552" s="212"/>
      <c r="E552" s="75" t="e">
        <f t="shared" si="20"/>
        <v>#N/A</v>
      </c>
      <c r="F552" s="80"/>
      <c r="G552" s="81"/>
      <c r="H552" s="78"/>
      <c r="I552" s="78"/>
      <c r="J552" s="78"/>
    </row>
    <row r="553" spans="1:10" x14ac:dyDescent="0.2">
      <c r="A553" s="84">
        <f t="shared" ref="A553:A616" si="21">ROW()-6</f>
        <v>547</v>
      </c>
      <c r="B553" s="85" t="e">
        <f>+MATCH(D553,ARTICULOS!$F$10:$F$699,0)</f>
        <v>#N/A</v>
      </c>
      <c r="C553" s="86" t="e">
        <f>+VLOOKUP(B553,ARTICULOS!$D$10:$I$699,6)</f>
        <v>#N/A</v>
      </c>
      <c r="D553" s="212"/>
      <c r="E553" s="75" t="e">
        <f t="shared" si="20"/>
        <v>#N/A</v>
      </c>
      <c r="F553" s="80"/>
      <c r="G553" s="81"/>
      <c r="H553" s="78"/>
      <c r="I553" s="78"/>
      <c r="J553" s="78"/>
    </row>
    <row r="554" spans="1:10" x14ac:dyDescent="0.2">
      <c r="A554" s="84">
        <f t="shared" si="21"/>
        <v>548</v>
      </c>
      <c r="B554" s="85" t="e">
        <f>+MATCH(D554,ARTICULOS!$F$10:$F$699,0)</f>
        <v>#N/A</v>
      </c>
      <c r="C554" s="86" t="e">
        <f>+VLOOKUP(B554,ARTICULOS!$D$10:$I$699,6)</f>
        <v>#N/A</v>
      </c>
      <c r="D554" s="212"/>
      <c r="E554" s="75" t="e">
        <f t="shared" si="20"/>
        <v>#N/A</v>
      </c>
      <c r="F554" s="80"/>
      <c r="G554" s="81"/>
      <c r="H554" s="78"/>
      <c r="I554" s="78"/>
      <c r="J554" s="78"/>
    </row>
    <row r="555" spans="1:10" x14ac:dyDescent="0.2">
      <c r="A555" s="84">
        <f t="shared" si="21"/>
        <v>549</v>
      </c>
      <c r="B555" s="85" t="e">
        <f>+MATCH(D555,ARTICULOS!$F$10:$F$699,0)</f>
        <v>#N/A</v>
      </c>
      <c r="C555" s="86" t="e">
        <f>+VLOOKUP(B555,ARTICULOS!$D$10:$I$699,6)</f>
        <v>#N/A</v>
      </c>
      <c r="D555" s="212"/>
      <c r="E555" s="75" t="e">
        <f t="shared" si="20"/>
        <v>#N/A</v>
      </c>
      <c r="F555" s="80"/>
      <c r="G555" s="81"/>
      <c r="H555" s="78"/>
      <c r="I555" s="78"/>
      <c r="J555" s="78"/>
    </row>
    <row r="556" spans="1:10" x14ac:dyDescent="0.2">
      <c r="A556" s="84">
        <f t="shared" si="21"/>
        <v>550</v>
      </c>
      <c r="B556" s="85" t="e">
        <f>+MATCH(D556,ARTICULOS!$F$10:$F$699,0)</f>
        <v>#N/A</v>
      </c>
      <c r="C556" s="86" t="e">
        <f>+VLOOKUP(B556,ARTICULOS!$D$10:$I$699,6)</f>
        <v>#N/A</v>
      </c>
      <c r="D556" s="212"/>
      <c r="E556" s="75" t="e">
        <f t="shared" si="20"/>
        <v>#N/A</v>
      </c>
      <c r="F556" s="80"/>
      <c r="G556" s="81"/>
      <c r="H556" s="78"/>
      <c r="I556" s="78"/>
      <c r="J556" s="78"/>
    </row>
    <row r="557" spans="1:10" x14ac:dyDescent="0.2">
      <c r="A557" s="84">
        <f t="shared" si="21"/>
        <v>551</v>
      </c>
      <c r="B557" s="85" t="e">
        <f>+MATCH(D557,ARTICULOS!$F$10:$F$699,0)</f>
        <v>#N/A</v>
      </c>
      <c r="C557" s="86" t="e">
        <f>+VLOOKUP(B557,ARTICULOS!$D$10:$I$699,6)</f>
        <v>#N/A</v>
      </c>
      <c r="D557" s="212"/>
      <c r="E557" s="75" t="e">
        <f t="shared" si="20"/>
        <v>#N/A</v>
      </c>
      <c r="F557" s="80"/>
      <c r="G557" s="81"/>
      <c r="H557" s="78"/>
      <c r="I557" s="78"/>
      <c r="J557" s="78"/>
    </row>
    <row r="558" spans="1:10" x14ac:dyDescent="0.2">
      <c r="A558" s="84">
        <f t="shared" si="21"/>
        <v>552</v>
      </c>
      <c r="B558" s="85" t="e">
        <f>+MATCH(D558,ARTICULOS!$F$10:$F$699,0)</f>
        <v>#N/A</v>
      </c>
      <c r="C558" s="86" t="e">
        <f>+VLOOKUP(B558,ARTICULOS!$D$10:$I$699,6)</f>
        <v>#N/A</v>
      </c>
      <c r="D558" s="212"/>
      <c r="E558" s="75" t="e">
        <f t="shared" si="20"/>
        <v>#N/A</v>
      </c>
      <c r="F558" s="80"/>
      <c r="G558" s="81"/>
      <c r="H558" s="78"/>
      <c r="I558" s="78"/>
      <c r="J558" s="78"/>
    </row>
    <row r="559" spans="1:10" x14ac:dyDescent="0.2">
      <c r="A559" s="84">
        <f t="shared" si="21"/>
        <v>553</v>
      </c>
      <c r="B559" s="85" t="e">
        <f>+MATCH(D559,ARTICULOS!$F$10:$F$699,0)</f>
        <v>#N/A</v>
      </c>
      <c r="C559" s="86" t="e">
        <f>+VLOOKUP(B559,ARTICULOS!$D$10:$I$699,6)</f>
        <v>#N/A</v>
      </c>
      <c r="D559" s="212"/>
      <c r="E559" s="75" t="e">
        <f t="shared" si="20"/>
        <v>#N/A</v>
      </c>
      <c r="F559" s="80"/>
      <c r="G559" s="81"/>
      <c r="H559" s="78"/>
      <c r="I559" s="78"/>
      <c r="J559" s="78"/>
    </row>
    <row r="560" spans="1:10" x14ac:dyDescent="0.2">
      <c r="A560" s="84">
        <f t="shared" si="21"/>
        <v>554</v>
      </c>
      <c r="B560" s="85" t="e">
        <f>+MATCH(D560,ARTICULOS!$F$10:$F$699,0)</f>
        <v>#N/A</v>
      </c>
      <c r="C560" s="86" t="e">
        <f>+VLOOKUP(B560,ARTICULOS!$D$10:$I$699,6)</f>
        <v>#N/A</v>
      </c>
      <c r="D560" s="212"/>
      <c r="E560" s="75" t="e">
        <f t="shared" si="20"/>
        <v>#N/A</v>
      </c>
      <c r="F560" s="80"/>
      <c r="G560" s="81"/>
      <c r="H560" s="78"/>
      <c r="I560" s="78"/>
      <c r="J560" s="78"/>
    </row>
    <row r="561" spans="1:10" x14ac:dyDescent="0.2">
      <c r="A561" s="84">
        <f t="shared" si="21"/>
        <v>555</v>
      </c>
      <c r="B561" s="85" t="e">
        <f>+MATCH(D561,ARTICULOS!$F$10:$F$699,0)</f>
        <v>#N/A</v>
      </c>
      <c r="C561" s="86" t="e">
        <f>+VLOOKUP(B561,ARTICULOS!$D$10:$I$699,6)</f>
        <v>#N/A</v>
      </c>
      <c r="D561" s="212"/>
      <c r="E561" s="75" t="e">
        <f t="shared" si="20"/>
        <v>#N/A</v>
      </c>
      <c r="F561" s="80"/>
      <c r="G561" s="81"/>
      <c r="H561" s="78"/>
      <c r="I561" s="78"/>
      <c r="J561" s="78"/>
    </row>
    <row r="562" spans="1:10" x14ac:dyDescent="0.2">
      <c r="A562" s="84">
        <f t="shared" si="21"/>
        <v>556</v>
      </c>
      <c r="B562" s="85" t="e">
        <f>+MATCH(D562,ARTICULOS!$F$10:$F$699,0)</f>
        <v>#N/A</v>
      </c>
      <c r="C562" s="86" t="e">
        <f>+VLOOKUP(B562,ARTICULOS!$D$10:$I$699,6)</f>
        <v>#N/A</v>
      </c>
      <c r="D562" s="212"/>
      <c r="E562" s="75" t="e">
        <f t="shared" si="20"/>
        <v>#N/A</v>
      </c>
      <c r="F562" s="80"/>
      <c r="G562" s="81"/>
      <c r="H562" s="78"/>
      <c r="I562" s="78"/>
      <c r="J562" s="78"/>
    </row>
    <row r="563" spans="1:10" x14ac:dyDescent="0.2">
      <c r="A563" s="84">
        <f t="shared" si="21"/>
        <v>557</v>
      </c>
      <c r="B563" s="85" t="e">
        <f>+MATCH(D563,ARTICULOS!$F$10:$F$699,0)</f>
        <v>#N/A</v>
      </c>
      <c r="C563" s="86" t="e">
        <f>+VLOOKUP(B563,ARTICULOS!$D$10:$I$699,6)</f>
        <v>#N/A</v>
      </c>
      <c r="D563" s="212"/>
      <c r="E563" s="75" t="e">
        <f t="shared" si="20"/>
        <v>#N/A</v>
      </c>
      <c r="F563" s="80"/>
      <c r="G563" s="81"/>
      <c r="H563" s="78"/>
      <c r="I563" s="78"/>
      <c r="J563" s="78"/>
    </row>
    <row r="564" spans="1:10" x14ac:dyDescent="0.2">
      <c r="A564" s="84">
        <f t="shared" si="21"/>
        <v>558</v>
      </c>
      <c r="B564" s="85" t="e">
        <f>+MATCH(D564,ARTICULOS!$F$10:$F$699,0)</f>
        <v>#N/A</v>
      </c>
      <c r="C564" s="86" t="e">
        <f>+VLOOKUP(B564,ARTICULOS!$D$10:$I$699,6)</f>
        <v>#N/A</v>
      </c>
      <c r="D564" s="212"/>
      <c r="E564" s="75" t="e">
        <f t="shared" si="20"/>
        <v>#N/A</v>
      </c>
      <c r="F564" s="80"/>
      <c r="G564" s="81"/>
      <c r="H564" s="78"/>
      <c r="I564" s="78"/>
      <c r="J564" s="78"/>
    </row>
    <row r="565" spans="1:10" x14ac:dyDescent="0.2">
      <c r="A565" s="84">
        <f t="shared" si="21"/>
        <v>559</v>
      </c>
      <c r="B565" s="85" t="e">
        <f>+MATCH(D565,ARTICULOS!$F$10:$F$699,0)</f>
        <v>#N/A</v>
      </c>
      <c r="C565" s="86" t="e">
        <f>+VLOOKUP(B565,ARTICULOS!$D$10:$I$699,6)</f>
        <v>#N/A</v>
      </c>
      <c r="D565" s="212"/>
      <c r="E565" s="75" t="e">
        <f t="shared" si="20"/>
        <v>#N/A</v>
      </c>
      <c r="F565" s="80"/>
      <c r="G565" s="81"/>
      <c r="H565" s="78"/>
      <c r="I565" s="78"/>
      <c r="J565" s="78"/>
    </row>
    <row r="566" spans="1:10" x14ac:dyDescent="0.2">
      <c r="A566" s="84">
        <f t="shared" si="21"/>
        <v>560</v>
      </c>
      <c r="B566" s="85" t="e">
        <f>+MATCH(D566,ARTICULOS!$F$10:$F$699,0)</f>
        <v>#N/A</v>
      </c>
      <c r="C566" s="86" t="e">
        <f>+VLOOKUP(B566,ARTICULOS!$D$10:$I$699,6)</f>
        <v>#N/A</v>
      </c>
      <c r="D566" s="212"/>
      <c r="E566" s="75" t="e">
        <f t="shared" si="20"/>
        <v>#N/A</v>
      </c>
      <c r="F566" s="80"/>
      <c r="G566" s="81"/>
      <c r="H566" s="78"/>
      <c r="I566" s="78"/>
      <c r="J566" s="78"/>
    </row>
    <row r="567" spans="1:10" x14ac:dyDescent="0.2">
      <c r="A567" s="84">
        <f t="shared" si="21"/>
        <v>561</v>
      </c>
      <c r="B567" s="85" t="e">
        <f>+MATCH(D567,ARTICULOS!$F$10:$F$699,0)</f>
        <v>#N/A</v>
      </c>
      <c r="C567" s="86" t="e">
        <f>+VLOOKUP(B567,ARTICULOS!$D$10:$I$699,6)</f>
        <v>#N/A</v>
      </c>
      <c r="D567" s="212"/>
      <c r="E567" s="75" t="e">
        <f t="shared" si="20"/>
        <v>#N/A</v>
      </c>
      <c r="F567" s="80"/>
      <c r="G567" s="81"/>
      <c r="H567" s="78"/>
      <c r="I567" s="78"/>
      <c r="J567" s="78"/>
    </row>
    <row r="568" spans="1:10" x14ac:dyDescent="0.2">
      <c r="A568" s="84">
        <f t="shared" si="21"/>
        <v>562</v>
      </c>
      <c r="B568" s="85" t="e">
        <f>+MATCH(D568,ARTICULOS!$F$10:$F$699,0)</f>
        <v>#N/A</v>
      </c>
      <c r="C568" s="86" t="e">
        <f>+VLOOKUP(B568,ARTICULOS!$D$10:$I$699,6)</f>
        <v>#N/A</v>
      </c>
      <c r="D568" s="212"/>
      <c r="E568" s="75" t="e">
        <f t="shared" si="20"/>
        <v>#N/A</v>
      </c>
      <c r="F568" s="80"/>
      <c r="G568" s="81"/>
      <c r="H568" s="78"/>
      <c r="I568" s="78"/>
      <c r="J568" s="78"/>
    </row>
    <row r="569" spans="1:10" x14ac:dyDescent="0.2">
      <c r="A569" s="84">
        <f t="shared" si="21"/>
        <v>563</v>
      </c>
      <c r="B569" s="85" t="e">
        <f>+MATCH(D569,ARTICULOS!$F$10:$F$699,0)</f>
        <v>#N/A</v>
      </c>
      <c r="C569" s="86" t="e">
        <f>+VLOOKUP(B569,ARTICULOS!$D$10:$I$699,6)</f>
        <v>#N/A</v>
      </c>
      <c r="D569" s="212"/>
      <c r="E569" s="75" t="e">
        <f t="shared" si="20"/>
        <v>#N/A</v>
      </c>
      <c r="F569" s="80"/>
      <c r="G569" s="81"/>
      <c r="H569" s="78"/>
      <c r="I569" s="78"/>
      <c r="J569" s="78"/>
    </row>
    <row r="570" spans="1:10" x14ac:dyDescent="0.2">
      <c r="A570" s="84">
        <f t="shared" si="21"/>
        <v>564</v>
      </c>
      <c r="B570" s="85" t="e">
        <f>+MATCH(D570,ARTICULOS!$F$10:$F$699,0)</f>
        <v>#N/A</v>
      </c>
      <c r="C570" s="86" t="e">
        <f>+VLOOKUP(B570,ARTICULOS!$D$10:$I$699,6)</f>
        <v>#N/A</v>
      </c>
      <c r="D570" s="212"/>
      <c r="E570" s="75" t="e">
        <f t="shared" si="20"/>
        <v>#N/A</v>
      </c>
      <c r="F570" s="80"/>
      <c r="G570" s="81"/>
      <c r="H570" s="78"/>
      <c r="I570" s="78"/>
      <c r="J570" s="78"/>
    </row>
    <row r="571" spans="1:10" x14ac:dyDescent="0.2">
      <c r="A571" s="84">
        <f t="shared" si="21"/>
        <v>565</v>
      </c>
      <c r="B571" s="85" t="e">
        <f>+MATCH(D571,ARTICULOS!$F$10:$F$699,0)</f>
        <v>#N/A</v>
      </c>
      <c r="C571" s="86" t="e">
        <f>+VLOOKUP(B571,ARTICULOS!$D$10:$I$699,6)</f>
        <v>#N/A</v>
      </c>
      <c r="D571" s="212"/>
      <c r="E571" s="75" t="e">
        <f t="shared" si="20"/>
        <v>#N/A</v>
      </c>
      <c r="F571" s="80"/>
      <c r="G571" s="81"/>
      <c r="H571" s="78"/>
      <c r="I571" s="78"/>
      <c r="J571" s="78"/>
    </row>
    <row r="572" spans="1:10" x14ac:dyDescent="0.2">
      <c r="A572" s="84">
        <f t="shared" si="21"/>
        <v>566</v>
      </c>
      <c r="B572" s="85" t="e">
        <f>+MATCH(D572,ARTICULOS!$F$10:$F$699,0)</f>
        <v>#N/A</v>
      </c>
      <c r="C572" s="86" t="e">
        <f>+VLOOKUP(B572,ARTICULOS!$D$10:$I$699,6)</f>
        <v>#N/A</v>
      </c>
      <c r="D572" s="212"/>
      <c r="E572" s="75" t="e">
        <f t="shared" si="20"/>
        <v>#N/A</v>
      </c>
      <c r="F572" s="80"/>
      <c r="G572" s="81"/>
      <c r="H572" s="78"/>
      <c r="I572" s="78"/>
      <c r="J572" s="78"/>
    </row>
    <row r="573" spans="1:10" x14ac:dyDescent="0.2">
      <c r="A573" s="84">
        <f t="shared" si="21"/>
        <v>567</v>
      </c>
      <c r="B573" s="85" t="e">
        <f>+MATCH(D573,ARTICULOS!$F$10:$F$699,0)</f>
        <v>#N/A</v>
      </c>
      <c r="C573" s="86" t="e">
        <f>+VLOOKUP(B573,ARTICULOS!$D$10:$I$699,6)</f>
        <v>#N/A</v>
      </c>
      <c r="D573" s="212"/>
      <c r="E573" s="75" t="e">
        <f t="shared" si="20"/>
        <v>#N/A</v>
      </c>
      <c r="F573" s="80"/>
      <c r="G573" s="81"/>
      <c r="H573" s="78"/>
      <c r="I573" s="78"/>
      <c r="J573" s="78"/>
    </row>
    <row r="574" spans="1:10" x14ac:dyDescent="0.2">
      <c r="A574" s="84">
        <f t="shared" si="21"/>
        <v>568</v>
      </c>
      <c r="B574" s="85" t="e">
        <f>+MATCH(D574,ARTICULOS!$F$10:$F$699,0)</f>
        <v>#N/A</v>
      </c>
      <c r="C574" s="86" t="e">
        <f>+VLOOKUP(B574,ARTICULOS!$D$10:$I$699,6)</f>
        <v>#N/A</v>
      </c>
      <c r="D574" s="212"/>
      <c r="E574" s="75" t="e">
        <f t="shared" si="20"/>
        <v>#N/A</v>
      </c>
      <c r="F574" s="80"/>
      <c r="G574" s="81"/>
      <c r="H574" s="78"/>
      <c r="I574" s="78"/>
      <c r="J574" s="78"/>
    </row>
    <row r="575" spans="1:10" x14ac:dyDescent="0.2">
      <c r="A575" s="84">
        <f t="shared" si="21"/>
        <v>569</v>
      </c>
      <c r="B575" s="85" t="e">
        <f>+MATCH(D575,ARTICULOS!$F$10:$F$699,0)</f>
        <v>#N/A</v>
      </c>
      <c r="C575" s="86" t="e">
        <f>+VLOOKUP(B575,ARTICULOS!$D$10:$I$699,6)</f>
        <v>#N/A</v>
      </c>
      <c r="D575" s="212"/>
      <c r="E575" s="75" t="e">
        <f t="shared" si="20"/>
        <v>#N/A</v>
      </c>
      <c r="F575" s="80"/>
      <c r="G575" s="81"/>
      <c r="H575" s="78"/>
      <c r="I575" s="78"/>
      <c r="J575" s="78"/>
    </row>
    <row r="576" spans="1:10" x14ac:dyDescent="0.2">
      <c r="A576" s="84">
        <f t="shared" si="21"/>
        <v>570</v>
      </c>
      <c r="B576" s="85" t="e">
        <f>+MATCH(D576,ARTICULOS!$F$10:$F$699,0)</f>
        <v>#N/A</v>
      </c>
      <c r="C576" s="86" t="e">
        <f>+VLOOKUP(B576,ARTICULOS!$D$10:$I$699,6)</f>
        <v>#N/A</v>
      </c>
      <c r="D576" s="212"/>
      <c r="E576" s="75" t="e">
        <f t="shared" si="20"/>
        <v>#N/A</v>
      </c>
      <c r="F576" s="80"/>
      <c r="G576" s="81"/>
      <c r="H576" s="78"/>
      <c r="I576" s="78"/>
      <c r="J576" s="78"/>
    </row>
    <row r="577" spans="1:10" x14ac:dyDescent="0.2">
      <c r="A577" s="84">
        <f t="shared" si="21"/>
        <v>571</v>
      </c>
      <c r="B577" s="85" t="e">
        <f>+MATCH(D577,ARTICULOS!$F$10:$F$699,0)</f>
        <v>#N/A</v>
      </c>
      <c r="C577" s="86" t="e">
        <f>+VLOOKUP(B577,ARTICULOS!$D$10:$I$699,6)</f>
        <v>#N/A</v>
      </c>
      <c r="D577" s="212"/>
      <c r="E577" s="75" t="e">
        <f t="shared" si="20"/>
        <v>#N/A</v>
      </c>
      <c r="F577" s="80"/>
      <c r="G577" s="81"/>
      <c r="H577" s="78"/>
      <c r="I577" s="78"/>
      <c r="J577" s="78"/>
    </row>
    <row r="578" spans="1:10" x14ac:dyDescent="0.2">
      <c r="A578" s="84">
        <f t="shared" si="21"/>
        <v>572</v>
      </c>
      <c r="B578" s="85" t="e">
        <f>+MATCH(D578,ARTICULOS!$F$10:$F$699,0)</f>
        <v>#N/A</v>
      </c>
      <c r="C578" s="86" t="e">
        <f>+VLOOKUP(B578,ARTICULOS!$D$10:$I$699,6)</f>
        <v>#N/A</v>
      </c>
      <c r="D578" s="212"/>
      <c r="E578" s="75" t="e">
        <f t="shared" si="20"/>
        <v>#N/A</v>
      </c>
      <c r="F578" s="80"/>
      <c r="G578" s="81"/>
      <c r="H578" s="78"/>
      <c r="I578" s="78"/>
      <c r="J578" s="78"/>
    </row>
    <row r="579" spans="1:10" x14ac:dyDescent="0.2">
      <c r="A579" s="84">
        <f t="shared" si="21"/>
        <v>573</v>
      </c>
      <c r="B579" s="85" t="e">
        <f>+MATCH(D579,ARTICULOS!$F$10:$F$699,0)</f>
        <v>#N/A</v>
      </c>
      <c r="C579" s="86" t="e">
        <f>+VLOOKUP(B579,ARTICULOS!$D$10:$I$699,6)</f>
        <v>#N/A</v>
      </c>
      <c r="D579" s="212"/>
      <c r="E579" s="75" t="e">
        <f t="shared" si="20"/>
        <v>#N/A</v>
      </c>
      <c r="F579" s="80"/>
      <c r="G579" s="81"/>
      <c r="H579" s="78"/>
      <c r="I579" s="78"/>
      <c r="J579" s="78"/>
    </row>
    <row r="580" spans="1:10" x14ac:dyDescent="0.2">
      <c r="A580" s="84">
        <f t="shared" si="21"/>
        <v>574</v>
      </c>
      <c r="B580" s="85" t="e">
        <f>+MATCH(D580,ARTICULOS!$F$10:$F$699,0)</f>
        <v>#N/A</v>
      </c>
      <c r="C580" s="86" t="e">
        <f>+VLOOKUP(B580,ARTICULOS!$D$10:$I$699,6)</f>
        <v>#N/A</v>
      </c>
      <c r="D580" s="212"/>
      <c r="E580" s="75" t="e">
        <f t="shared" si="20"/>
        <v>#N/A</v>
      </c>
      <c r="F580" s="80"/>
      <c r="G580" s="81"/>
      <c r="H580" s="78"/>
      <c r="I580" s="78"/>
      <c r="J580" s="78"/>
    </row>
    <row r="581" spans="1:10" x14ac:dyDescent="0.2">
      <c r="A581" s="84">
        <f t="shared" si="21"/>
        <v>575</v>
      </c>
      <c r="B581" s="85" t="e">
        <f>+MATCH(D581,ARTICULOS!$F$10:$F$699,0)</f>
        <v>#N/A</v>
      </c>
      <c r="C581" s="86" t="e">
        <f>+VLOOKUP(B581,ARTICULOS!$D$10:$I$699,6)</f>
        <v>#N/A</v>
      </c>
      <c r="D581" s="212"/>
      <c r="E581" s="75" t="e">
        <f t="shared" si="20"/>
        <v>#N/A</v>
      </c>
      <c r="F581" s="80"/>
      <c r="G581" s="81"/>
      <c r="H581" s="78"/>
      <c r="I581" s="78"/>
      <c r="J581" s="78"/>
    </row>
    <row r="582" spans="1:10" x14ac:dyDescent="0.2">
      <c r="A582" s="84">
        <f t="shared" si="21"/>
        <v>576</v>
      </c>
      <c r="B582" s="85" t="e">
        <f>+MATCH(D582,ARTICULOS!$F$10:$F$699,0)</f>
        <v>#N/A</v>
      </c>
      <c r="C582" s="86" t="e">
        <f>+VLOOKUP(B582,ARTICULOS!$D$10:$I$699,6)</f>
        <v>#N/A</v>
      </c>
      <c r="D582" s="212"/>
      <c r="E582" s="75" t="e">
        <f t="shared" si="20"/>
        <v>#N/A</v>
      </c>
      <c r="F582" s="80"/>
      <c r="G582" s="81"/>
      <c r="H582" s="78"/>
      <c r="I582" s="78"/>
      <c r="J582" s="78"/>
    </row>
    <row r="583" spans="1:10" x14ac:dyDescent="0.2">
      <c r="A583" s="84">
        <f t="shared" si="21"/>
        <v>577</v>
      </c>
      <c r="B583" s="85" t="e">
        <f>+MATCH(D583,ARTICULOS!$F$10:$F$699,0)</f>
        <v>#N/A</v>
      </c>
      <c r="C583" s="86" t="e">
        <f>+VLOOKUP(B583,ARTICULOS!$D$10:$I$699,6)</f>
        <v>#N/A</v>
      </c>
      <c r="D583" s="212"/>
      <c r="E583" s="75" t="e">
        <f t="shared" si="20"/>
        <v>#N/A</v>
      </c>
      <c r="F583" s="80"/>
      <c r="G583" s="81"/>
      <c r="H583" s="78"/>
      <c r="I583" s="78"/>
      <c r="J583" s="78"/>
    </row>
    <row r="584" spans="1:10" x14ac:dyDescent="0.2">
      <c r="A584" s="84">
        <f t="shared" si="21"/>
        <v>578</v>
      </c>
      <c r="B584" s="85" t="e">
        <f>+MATCH(D584,ARTICULOS!$F$10:$F$699,0)</f>
        <v>#N/A</v>
      </c>
      <c r="C584" s="86" t="e">
        <f>+VLOOKUP(B584,ARTICULOS!$D$10:$I$699,6)</f>
        <v>#N/A</v>
      </c>
      <c r="D584" s="212"/>
      <c r="E584" s="75" t="e">
        <f t="shared" si="20"/>
        <v>#N/A</v>
      </c>
      <c r="F584" s="80"/>
      <c r="G584" s="81"/>
      <c r="H584" s="78"/>
      <c r="I584" s="78"/>
      <c r="J584" s="78"/>
    </row>
    <row r="585" spans="1:10" x14ac:dyDescent="0.2">
      <c r="A585" s="84">
        <f t="shared" si="21"/>
        <v>579</v>
      </c>
      <c r="B585" s="85" t="e">
        <f>+MATCH(D585,ARTICULOS!$F$10:$F$699,0)</f>
        <v>#N/A</v>
      </c>
      <c r="C585" s="86" t="e">
        <f>+VLOOKUP(B585,ARTICULOS!$D$10:$I$699,6)</f>
        <v>#N/A</v>
      </c>
      <c r="D585" s="212"/>
      <c r="E585" s="75" t="e">
        <f t="shared" si="20"/>
        <v>#N/A</v>
      </c>
      <c r="F585" s="80"/>
      <c r="G585" s="81"/>
      <c r="H585" s="78"/>
      <c r="I585" s="78"/>
      <c r="J585" s="78"/>
    </row>
    <row r="586" spans="1:10" x14ac:dyDescent="0.2">
      <c r="A586" s="84">
        <f t="shared" si="21"/>
        <v>580</v>
      </c>
      <c r="B586" s="85" t="e">
        <f>+MATCH(D586,ARTICULOS!$F$10:$F$699,0)</f>
        <v>#N/A</v>
      </c>
      <c r="C586" s="86" t="e">
        <f>+VLOOKUP(B586,ARTICULOS!$D$10:$I$699,6)</f>
        <v>#N/A</v>
      </c>
      <c r="D586" s="212"/>
      <c r="E586" s="75" t="e">
        <f t="shared" si="20"/>
        <v>#N/A</v>
      </c>
      <c r="F586" s="80"/>
      <c r="G586" s="81"/>
      <c r="H586" s="78"/>
      <c r="I586" s="78"/>
      <c r="J586" s="78"/>
    </row>
    <row r="587" spans="1:10" x14ac:dyDescent="0.2">
      <c r="A587" s="84">
        <f t="shared" si="21"/>
        <v>581</v>
      </c>
      <c r="B587" s="85" t="e">
        <f>+MATCH(D587,ARTICULOS!$F$10:$F$699,0)</f>
        <v>#N/A</v>
      </c>
      <c r="C587" s="86" t="e">
        <f>+VLOOKUP(B587,ARTICULOS!$D$10:$I$699,6)</f>
        <v>#N/A</v>
      </c>
      <c r="D587" s="212"/>
      <c r="E587" s="75" t="e">
        <f t="shared" ref="E587:E650" si="22">+C587&amp;F587</f>
        <v>#N/A</v>
      </c>
      <c r="F587" s="80"/>
      <c r="G587" s="81"/>
      <c r="H587" s="78"/>
      <c r="I587" s="78"/>
      <c r="J587" s="78"/>
    </row>
    <row r="588" spans="1:10" x14ac:dyDescent="0.2">
      <c r="A588" s="84">
        <f t="shared" si="21"/>
        <v>582</v>
      </c>
      <c r="B588" s="85" t="e">
        <f>+MATCH(D588,ARTICULOS!$F$10:$F$699,0)</f>
        <v>#N/A</v>
      </c>
      <c r="C588" s="86" t="e">
        <f>+VLOOKUP(B588,ARTICULOS!$D$10:$I$699,6)</f>
        <v>#N/A</v>
      </c>
      <c r="D588" s="212"/>
      <c r="E588" s="75" t="e">
        <f t="shared" si="22"/>
        <v>#N/A</v>
      </c>
      <c r="F588" s="80"/>
      <c r="G588" s="81"/>
      <c r="H588" s="78"/>
      <c r="I588" s="78"/>
      <c r="J588" s="78"/>
    </row>
    <row r="589" spans="1:10" x14ac:dyDescent="0.2">
      <c r="A589" s="84">
        <f t="shared" si="21"/>
        <v>583</v>
      </c>
      <c r="B589" s="85" t="e">
        <f>+MATCH(D589,ARTICULOS!$F$10:$F$699,0)</f>
        <v>#N/A</v>
      </c>
      <c r="C589" s="86" t="e">
        <f>+VLOOKUP(B589,ARTICULOS!$D$10:$I$699,6)</f>
        <v>#N/A</v>
      </c>
      <c r="D589" s="212"/>
      <c r="E589" s="75" t="e">
        <f t="shared" si="22"/>
        <v>#N/A</v>
      </c>
      <c r="F589" s="80"/>
      <c r="G589" s="81"/>
      <c r="H589" s="78"/>
      <c r="I589" s="78"/>
      <c r="J589" s="78"/>
    </row>
    <row r="590" spans="1:10" x14ac:dyDescent="0.2">
      <c r="A590" s="84">
        <f t="shared" si="21"/>
        <v>584</v>
      </c>
      <c r="B590" s="85" t="e">
        <f>+MATCH(D590,ARTICULOS!$F$10:$F$699,0)</f>
        <v>#N/A</v>
      </c>
      <c r="C590" s="86" t="e">
        <f>+VLOOKUP(B590,ARTICULOS!$D$10:$I$699,6)</f>
        <v>#N/A</v>
      </c>
      <c r="D590" s="212"/>
      <c r="E590" s="75" t="e">
        <f t="shared" si="22"/>
        <v>#N/A</v>
      </c>
      <c r="F590" s="80"/>
      <c r="G590" s="81"/>
      <c r="H590" s="78"/>
      <c r="I590" s="78"/>
      <c r="J590" s="78"/>
    </row>
    <row r="591" spans="1:10" x14ac:dyDescent="0.2">
      <c r="A591" s="84">
        <f t="shared" si="21"/>
        <v>585</v>
      </c>
      <c r="B591" s="85" t="e">
        <f>+MATCH(D591,ARTICULOS!$F$10:$F$699,0)</f>
        <v>#N/A</v>
      </c>
      <c r="C591" s="86" t="e">
        <f>+VLOOKUP(B591,ARTICULOS!$D$10:$I$699,6)</f>
        <v>#N/A</v>
      </c>
      <c r="D591" s="212"/>
      <c r="E591" s="75" t="e">
        <f t="shared" si="22"/>
        <v>#N/A</v>
      </c>
      <c r="F591" s="80"/>
      <c r="G591" s="81"/>
      <c r="H591" s="78"/>
      <c r="I591" s="78"/>
      <c r="J591" s="78"/>
    </row>
    <row r="592" spans="1:10" x14ac:dyDescent="0.2">
      <c r="A592" s="84">
        <f t="shared" si="21"/>
        <v>586</v>
      </c>
      <c r="B592" s="85" t="e">
        <f>+MATCH(D592,ARTICULOS!$F$10:$F$699,0)</f>
        <v>#N/A</v>
      </c>
      <c r="C592" s="86" t="e">
        <f>+VLOOKUP(B592,ARTICULOS!$D$10:$I$699,6)</f>
        <v>#N/A</v>
      </c>
      <c r="D592" s="212"/>
      <c r="E592" s="75" t="e">
        <f t="shared" si="22"/>
        <v>#N/A</v>
      </c>
      <c r="F592" s="80"/>
      <c r="G592" s="81"/>
      <c r="H592" s="78"/>
      <c r="I592" s="78"/>
      <c r="J592" s="78"/>
    </row>
    <row r="593" spans="1:10" x14ac:dyDescent="0.2">
      <c r="A593" s="84">
        <f t="shared" si="21"/>
        <v>587</v>
      </c>
      <c r="B593" s="85" t="e">
        <f>+MATCH(D593,ARTICULOS!$F$10:$F$699,0)</f>
        <v>#N/A</v>
      </c>
      <c r="C593" s="86" t="e">
        <f>+VLOOKUP(B593,ARTICULOS!$D$10:$I$699,6)</f>
        <v>#N/A</v>
      </c>
      <c r="D593" s="212"/>
      <c r="E593" s="75" t="e">
        <f t="shared" si="22"/>
        <v>#N/A</v>
      </c>
      <c r="F593" s="80"/>
      <c r="G593" s="81"/>
      <c r="H593" s="78"/>
      <c r="I593" s="78"/>
      <c r="J593" s="78"/>
    </row>
    <row r="594" spans="1:10" x14ac:dyDescent="0.2">
      <c r="A594" s="84">
        <f t="shared" si="21"/>
        <v>588</v>
      </c>
      <c r="B594" s="85" t="e">
        <f>+MATCH(D594,ARTICULOS!$F$10:$F$699,0)</f>
        <v>#N/A</v>
      </c>
      <c r="C594" s="86" t="e">
        <f>+VLOOKUP(B594,ARTICULOS!$D$10:$I$699,6)</f>
        <v>#N/A</v>
      </c>
      <c r="D594" s="212"/>
      <c r="E594" s="75" t="e">
        <f t="shared" si="22"/>
        <v>#N/A</v>
      </c>
      <c r="F594" s="80"/>
      <c r="G594" s="81"/>
      <c r="H594" s="78"/>
      <c r="I594" s="78"/>
      <c r="J594" s="78"/>
    </row>
    <row r="595" spans="1:10" x14ac:dyDescent="0.2">
      <c r="A595" s="84">
        <f t="shared" si="21"/>
        <v>589</v>
      </c>
      <c r="B595" s="85" t="e">
        <f>+MATCH(D595,ARTICULOS!$F$10:$F$699,0)</f>
        <v>#N/A</v>
      </c>
      <c r="C595" s="86" t="e">
        <f>+VLOOKUP(B595,ARTICULOS!$D$10:$I$699,6)</f>
        <v>#N/A</v>
      </c>
      <c r="D595" s="212"/>
      <c r="E595" s="75" t="e">
        <f t="shared" si="22"/>
        <v>#N/A</v>
      </c>
      <c r="F595" s="80"/>
      <c r="G595" s="81"/>
      <c r="H595" s="78"/>
      <c r="I595" s="78"/>
      <c r="J595" s="78"/>
    </row>
    <row r="596" spans="1:10" x14ac:dyDescent="0.2">
      <c r="A596" s="84">
        <f t="shared" si="21"/>
        <v>590</v>
      </c>
      <c r="B596" s="85" t="e">
        <f>+MATCH(D596,ARTICULOS!$F$10:$F$699,0)</f>
        <v>#N/A</v>
      </c>
      <c r="C596" s="86" t="e">
        <f>+VLOOKUP(B596,ARTICULOS!$D$10:$I$699,6)</f>
        <v>#N/A</v>
      </c>
      <c r="D596" s="212"/>
      <c r="E596" s="75" t="e">
        <f t="shared" si="22"/>
        <v>#N/A</v>
      </c>
      <c r="F596" s="80"/>
      <c r="G596" s="81"/>
      <c r="H596" s="78"/>
      <c r="I596" s="78"/>
      <c r="J596" s="78"/>
    </row>
    <row r="597" spans="1:10" x14ac:dyDescent="0.2">
      <c r="A597" s="84">
        <f t="shared" si="21"/>
        <v>591</v>
      </c>
      <c r="B597" s="85" t="e">
        <f>+MATCH(D597,ARTICULOS!$F$10:$F$699,0)</f>
        <v>#N/A</v>
      </c>
      <c r="C597" s="86" t="e">
        <f>+VLOOKUP(B597,ARTICULOS!$D$10:$I$699,6)</f>
        <v>#N/A</v>
      </c>
      <c r="D597" s="212"/>
      <c r="E597" s="75" t="e">
        <f t="shared" si="22"/>
        <v>#N/A</v>
      </c>
      <c r="F597" s="80"/>
      <c r="G597" s="81"/>
      <c r="H597" s="78"/>
      <c r="I597" s="78"/>
      <c r="J597" s="78"/>
    </row>
    <row r="598" spans="1:10" x14ac:dyDescent="0.2">
      <c r="A598" s="84">
        <f t="shared" si="21"/>
        <v>592</v>
      </c>
      <c r="B598" s="85" t="e">
        <f>+MATCH(D598,ARTICULOS!$F$10:$F$699,0)</f>
        <v>#N/A</v>
      </c>
      <c r="C598" s="86" t="e">
        <f>+VLOOKUP(B598,ARTICULOS!$D$10:$I$699,6)</f>
        <v>#N/A</v>
      </c>
      <c r="D598" s="212"/>
      <c r="E598" s="75" t="e">
        <f t="shared" si="22"/>
        <v>#N/A</v>
      </c>
      <c r="F598" s="80"/>
      <c r="G598" s="81"/>
      <c r="H598" s="78"/>
      <c r="I598" s="78"/>
      <c r="J598" s="78"/>
    </row>
    <row r="599" spans="1:10" x14ac:dyDescent="0.2">
      <c r="A599" s="84">
        <f t="shared" si="21"/>
        <v>593</v>
      </c>
      <c r="B599" s="85" t="e">
        <f>+MATCH(D599,ARTICULOS!$F$10:$F$699,0)</f>
        <v>#N/A</v>
      </c>
      <c r="C599" s="86" t="e">
        <f>+VLOOKUP(B599,ARTICULOS!$D$10:$I$699,6)</f>
        <v>#N/A</v>
      </c>
      <c r="D599" s="212"/>
      <c r="E599" s="75" t="e">
        <f t="shared" si="22"/>
        <v>#N/A</v>
      </c>
      <c r="F599" s="80"/>
      <c r="G599" s="81"/>
      <c r="H599" s="78"/>
      <c r="I599" s="78"/>
      <c r="J599" s="78"/>
    </row>
    <row r="600" spans="1:10" x14ac:dyDescent="0.2">
      <c r="A600" s="84">
        <f t="shared" si="21"/>
        <v>594</v>
      </c>
      <c r="B600" s="85" t="e">
        <f>+MATCH(D600,ARTICULOS!$F$10:$F$699,0)</f>
        <v>#N/A</v>
      </c>
      <c r="C600" s="86" t="e">
        <f>+VLOOKUP(B600,ARTICULOS!$D$10:$I$699,6)</f>
        <v>#N/A</v>
      </c>
      <c r="D600" s="212"/>
      <c r="E600" s="75" t="e">
        <f t="shared" si="22"/>
        <v>#N/A</v>
      </c>
      <c r="F600" s="80"/>
      <c r="G600" s="81"/>
      <c r="H600" s="78"/>
      <c r="I600" s="78"/>
      <c r="J600" s="78"/>
    </row>
    <row r="601" spans="1:10" x14ac:dyDescent="0.2">
      <c r="A601" s="84">
        <f t="shared" si="21"/>
        <v>595</v>
      </c>
      <c r="B601" s="85" t="e">
        <f>+MATCH(D601,ARTICULOS!$F$10:$F$699,0)</f>
        <v>#N/A</v>
      </c>
      <c r="C601" s="86" t="e">
        <f>+VLOOKUP(B601,ARTICULOS!$D$10:$I$699,6)</f>
        <v>#N/A</v>
      </c>
      <c r="D601" s="212"/>
      <c r="E601" s="75" t="e">
        <f t="shared" si="22"/>
        <v>#N/A</v>
      </c>
      <c r="F601" s="80"/>
      <c r="G601" s="81"/>
      <c r="H601" s="78"/>
      <c r="I601" s="78"/>
      <c r="J601" s="78"/>
    </row>
    <row r="602" spans="1:10" x14ac:dyDescent="0.2">
      <c r="A602" s="84">
        <f t="shared" si="21"/>
        <v>596</v>
      </c>
      <c r="B602" s="85" t="e">
        <f>+MATCH(D602,ARTICULOS!$F$10:$F$699,0)</f>
        <v>#N/A</v>
      </c>
      <c r="C602" s="86" t="e">
        <f>+VLOOKUP(B602,ARTICULOS!$D$10:$I$699,6)</f>
        <v>#N/A</v>
      </c>
      <c r="D602" s="212"/>
      <c r="E602" s="75" t="e">
        <f t="shared" si="22"/>
        <v>#N/A</v>
      </c>
      <c r="F602" s="80"/>
      <c r="G602" s="81"/>
      <c r="H602" s="78"/>
      <c r="I602" s="78"/>
      <c r="J602" s="78"/>
    </row>
    <row r="603" spans="1:10" x14ac:dyDescent="0.2">
      <c r="A603" s="84">
        <f t="shared" si="21"/>
        <v>597</v>
      </c>
      <c r="B603" s="85" t="e">
        <f>+MATCH(D603,ARTICULOS!$F$10:$F$699,0)</f>
        <v>#N/A</v>
      </c>
      <c r="C603" s="86" t="e">
        <f>+VLOOKUP(B603,ARTICULOS!$D$10:$I$699,6)</f>
        <v>#N/A</v>
      </c>
      <c r="D603" s="212"/>
      <c r="E603" s="75" t="e">
        <f t="shared" si="22"/>
        <v>#N/A</v>
      </c>
      <c r="F603" s="80"/>
      <c r="G603" s="81"/>
      <c r="H603" s="78"/>
      <c r="I603" s="78"/>
      <c r="J603" s="78"/>
    </row>
    <row r="604" spans="1:10" x14ac:dyDescent="0.2">
      <c r="A604" s="84">
        <f t="shared" si="21"/>
        <v>598</v>
      </c>
      <c r="B604" s="85" t="e">
        <f>+MATCH(D604,ARTICULOS!$F$10:$F$699,0)</f>
        <v>#N/A</v>
      </c>
      <c r="C604" s="86" t="e">
        <f>+VLOOKUP(B604,ARTICULOS!$D$10:$I$699,6)</f>
        <v>#N/A</v>
      </c>
      <c r="D604" s="212"/>
      <c r="E604" s="75" t="e">
        <f t="shared" si="22"/>
        <v>#N/A</v>
      </c>
      <c r="F604" s="80"/>
      <c r="G604" s="81"/>
      <c r="H604" s="78"/>
      <c r="I604" s="78"/>
      <c r="J604" s="78"/>
    </row>
    <row r="605" spans="1:10" x14ac:dyDescent="0.2">
      <c r="A605" s="84">
        <f t="shared" si="21"/>
        <v>599</v>
      </c>
      <c r="B605" s="85" t="e">
        <f>+MATCH(D605,ARTICULOS!$F$10:$F$699,0)</f>
        <v>#N/A</v>
      </c>
      <c r="C605" s="86" t="e">
        <f>+VLOOKUP(B605,ARTICULOS!$D$10:$I$699,6)</f>
        <v>#N/A</v>
      </c>
      <c r="D605" s="212"/>
      <c r="E605" s="75" t="e">
        <f t="shared" si="22"/>
        <v>#N/A</v>
      </c>
      <c r="F605" s="80"/>
      <c r="G605" s="81"/>
      <c r="H605" s="78"/>
      <c r="I605" s="78"/>
      <c r="J605" s="78"/>
    </row>
    <row r="606" spans="1:10" x14ac:dyDescent="0.2">
      <c r="A606" s="84">
        <f t="shared" si="21"/>
        <v>600</v>
      </c>
      <c r="B606" s="85" t="e">
        <f>+MATCH(D606,ARTICULOS!$F$10:$F$699,0)</f>
        <v>#N/A</v>
      </c>
      <c r="C606" s="86" t="e">
        <f>+VLOOKUP(B606,ARTICULOS!$D$10:$I$699,6)</f>
        <v>#N/A</v>
      </c>
      <c r="D606" s="212"/>
      <c r="E606" s="75" t="e">
        <f t="shared" si="22"/>
        <v>#N/A</v>
      </c>
      <c r="F606" s="80"/>
      <c r="G606" s="81"/>
      <c r="H606" s="78"/>
      <c r="I606" s="78"/>
      <c r="J606" s="78"/>
    </row>
    <row r="607" spans="1:10" x14ac:dyDescent="0.2">
      <c r="A607" s="84">
        <f t="shared" si="21"/>
        <v>601</v>
      </c>
      <c r="B607" s="85" t="e">
        <f>+MATCH(D607,ARTICULOS!$F$10:$F$699,0)</f>
        <v>#N/A</v>
      </c>
      <c r="C607" s="86" t="e">
        <f>+VLOOKUP(B607,ARTICULOS!$D$10:$I$699,6)</f>
        <v>#N/A</v>
      </c>
      <c r="D607" s="212"/>
      <c r="E607" s="75" t="e">
        <f t="shared" si="22"/>
        <v>#N/A</v>
      </c>
      <c r="F607" s="80"/>
      <c r="G607" s="81"/>
      <c r="H607" s="78"/>
      <c r="I607" s="78"/>
      <c r="J607" s="78"/>
    </row>
    <row r="608" spans="1:10" x14ac:dyDescent="0.2">
      <c r="A608" s="84">
        <f t="shared" si="21"/>
        <v>602</v>
      </c>
      <c r="B608" s="85" t="e">
        <f>+MATCH(D608,ARTICULOS!$F$10:$F$699,0)</f>
        <v>#N/A</v>
      </c>
      <c r="C608" s="86" t="e">
        <f>+VLOOKUP(B608,ARTICULOS!$D$10:$I$699,6)</f>
        <v>#N/A</v>
      </c>
      <c r="D608" s="212"/>
      <c r="E608" s="75" t="e">
        <f t="shared" si="22"/>
        <v>#N/A</v>
      </c>
      <c r="F608" s="80"/>
      <c r="G608" s="81"/>
      <c r="H608" s="78"/>
      <c r="I608" s="78"/>
      <c r="J608" s="78"/>
    </row>
    <row r="609" spans="1:10" x14ac:dyDescent="0.2">
      <c r="A609" s="84">
        <f t="shared" si="21"/>
        <v>603</v>
      </c>
      <c r="B609" s="85" t="e">
        <f>+MATCH(D609,ARTICULOS!$F$10:$F$699,0)</f>
        <v>#N/A</v>
      </c>
      <c r="C609" s="86" t="e">
        <f>+VLOOKUP(B609,ARTICULOS!$D$10:$I$699,6)</f>
        <v>#N/A</v>
      </c>
      <c r="D609" s="212"/>
      <c r="E609" s="75" t="e">
        <f t="shared" si="22"/>
        <v>#N/A</v>
      </c>
      <c r="F609" s="80"/>
      <c r="G609" s="81"/>
      <c r="H609" s="78"/>
      <c r="I609" s="78"/>
      <c r="J609" s="78"/>
    </row>
    <row r="610" spans="1:10" x14ac:dyDescent="0.2">
      <c r="A610" s="84">
        <f t="shared" si="21"/>
        <v>604</v>
      </c>
      <c r="B610" s="85" t="e">
        <f>+MATCH(D610,ARTICULOS!$F$10:$F$699,0)</f>
        <v>#N/A</v>
      </c>
      <c r="C610" s="86" t="e">
        <f>+VLOOKUP(B610,ARTICULOS!$D$10:$I$699,6)</f>
        <v>#N/A</v>
      </c>
      <c r="D610" s="212"/>
      <c r="E610" s="75" t="e">
        <f t="shared" si="22"/>
        <v>#N/A</v>
      </c>
      <c r="F610" s="80"/>
      <c r="G610" s="81"/>
      <c r="H610" s="78"/>
      <c r="I610" s="78"/>
      <c r="J610" s="78"/>
    </row>
    <row r="611" spans="1:10" x14ac:dyDescent="0.2">
      <c r="A611" s="84">
        <f t="shared" si="21"/>
        <v>605</v>
      </c>
      <c r="B611" s="85" t="e">
        <f>+MATCH(D611,ARTICULOS!$F$10:$F$699,0)</f>
        <v>#N/A</v>
      </c>
      <c r="C611" s="86" t="e">
        <f>+VLOOKUP(B611,ARTICULOS!$D$10:$I$699,6)</f>
        <v>#N/A</v>
      </c>
      <c r="D611" s="212"/>
      <c r="E611" s="75" t="e">
        <f t="shared" si="22"/>
        <v>#N/A</v>
      </c>
      <c r="F611" s="80"/>
      <c r="G611" s="81"/>
      <c r="H611" s="78"/>
      <c r="I611" s="78"/>
      <c r="J611" s="78"/>
    </row>
    <row r="612" spans="1:10" x14ac:dyDescent="0.2">
      <c r="A612" s="84">
        <f t="shared" si="21"/>
        <v>606</v>
      </c>
      <c r="B612" s="85" t="e">
        <f>+MATCH(D612,ARTICULOS!$F$10:$F$699,0)</f>
        <v>#N/A</v>
      </c>
      <c r="C612" s="86" t="e">
        <f>+VLOOKUP(B612,ARTICULOS!$D$10:$I$699,6)</f>
        <v>#N/A</v>
      </c>
      <c r="D612" s="212"/>
      <c r="E612" s="75" t="e">
        <f t="shared" si="22"/>
        <v>#N/A</v>
      </c>
      <c r="F612" s="80"/>
      <c r="G612" s="81"/>
      <c r="H612" s="78"/>
      <c r="I612" s="78"/>
      <c r="J612" s="78"/>
    </row>
    <row r="613" spans="1:10" x14ac:dyDescent="0.2">
      <c r="A613" s="84">
        <f t="shared" si="21"/>
        <v>607</v>
      </c>
      <c r="B613" s="85" t="e">
        <f>+MATCH(D613,ARTICULOS!$F$10:$F$699,0)</f>
        <v>#N/A</v>
      </c>
      <c r="C613" s="86" t="e">
        <f>+VLOOKUP(B613,ARTICULOS!$D$10:$I$699,6)</f>
        <v>#N/A</v>
      </c>
      <c r="D613" s="212"/>
      <c r="E613" s="75" t="e">
        <f t="shared" si="22"/>
        <v>#N/A</v>
      </c>
      <c r="F613" s="80"/>
      <c r="G613" s="81"/>
      <c r="H613" s="78"/>
      <c r="I613" s="78"/>
      <c r="J613" s="78"/>
    </row>
    <row r="614" spans="1:10" x14ac:dyDescent="0.2">
      <c r="A614" s="84">
        <f t="shared" si="21"/>
        <v>608</v>
      </c>
      <c r="B614" s="85" t="e">
        <f>+MATCH(D614,ARTICULOS!$F$10:$F$699,0)</f>
        <v>#N/A</v>
      </c>
      <c r="C614" s="86" t="e">
        <f>+VLOOKUP(B614,ARTICULOS!$D$10:$I$699,6)</f>
        <v>#N/A</v>
      </c>
      <c r="D614" s="212"/>
      <c r="E614" s="75" t="e">
        <f t="shared" si="22"/>
        <v>#N/A</v>
      </c>
      <c r="F614" s="80"/>
      <c r="G614" s="81"/>
      <c r="H614" s="78"/>
      <c r="I614" s="78"/>
      <c r="J614" s="78"/>
    </row>
    <row r="615" spans="1:10" x14ac:dyDescent="0.2">
      <c r="A615" s="84">
        <f t="shared" si="21"/>
        <v>609</v>
      </c>
      <c r="B615" s="85" t="e">
        <f>+MATCH(D615,ARTICULOS!$F$10:$F$699,0)</f>
        <v>#N/A</v>
      </c>
      <c r="C615" s="86" t="e">
        <f>+VLOOKUP(B615,ARTICULOS!$D$10:$I$699,6)</f>
        <v>#N/A</v>
      </c>
      <c r="D615" s="212"/>
      <c r="E615" s="75" t="e">
        <f t="shared" si="22"/>
        <v>#N/A</v>
      </c>
      <c r="F615" s="80"/>
      <c r="G615" s="81"/>
      <c r="H615" s="78"/>
      <c r="I615" s="78"/>
      <c r="J615" s="78"/>
    </row>
    <row r="616" spans="1:10" x14ac:dyDescent="0.2">
      <c r="A616" s="84">
        <f t="shared" si="21"/>
        <v>610</v>
      </c>
      <c r="B616" s="85" t="e">
        <f>+MATCH(D616,ARTICULOS!$F$10:$F$699,0)</f>
        <v>#N/A</v>
      </c>
      <c r="C616" s="86" t="e">
        <f>+VLOOKUP(B616,ARTICULOS!$D$10:$I$699,6)</f>
        <v>#N/A</v>
      </c>
      <c r="D616" s="212"/>
      <c r="E616" s="75" t="e">
        <f t="shared" si="22"/>
        <v>#N/A</v>
      </c>
      <c r="F616" s="80"/>
      <c r="G616" s="81"/>
      <c r="H616" s="78"/>
      <c r="I616" s="78"/>
      <c r="J616" s="78"/>
    </row>
    <row r="617" spans="1:10" x14ac:dyDescent="0.2">
      <c r="A617" s="84">
        <f t="shared" ref="A617:A680" si="23">ROW()-6</f>
        <v>611</v>
      </c>
      <c r="B617" s="85" t="e">
        <f>+MATCH(D617,ARTICULOS!$F$10:$F$699,0)</f>
        <v>#N/A</v>
      </c>
      <c r="C617" s="86" t="e">
        <f>+VLOOKUP(B617,ARTICULOS!$D$10:$I$699,6)</f>
        <v>#N/A</v>
      </c>
      <c r="D617" s="212"/>
      <c r="E617" s="75" t="e">
        <f t="shared" si="22"/>
        <v>#N/A</v>
      </c>
      <c r="F617" s="80"/>
      <c r="G617" s="81"/>
      <c r="H617" s="78"/>
      <c r="I617" s="78"/>
      <c r="J617" s="78"/>
    </row>
    <row r="618" spans="1:10" x14ac:dyDescent="0.2">
      <c r="A618" s="84">
        <f t="shared" si="23"/>
        <v>612</v>
      </c>
      <c r="B618" s="85" t="e">
        <f>+MATCH(D618,ARTICULOS!$F$10:$F$699,0)</f>
        <v>#N/A</v>
      </c>
      <c r="C618" s="86" t="e">
        <f>+VLOOKUP(B618,ARTICULOS!$D$10:$I$699,6)</f>
        <v>#N/A</v>
      </c>
      <c r="D618" s="212"/>
      <c r="E618" s="75" t="e">
        <f t="shared" si="22"/>
        <v>#N/A</v>
      </c>
      <c r="F618" s="80"/>
      <c r="G618" s="81"/>
      <c r="H618" s="78"/>
      <c r="I618" s="78"/>
      <c r="J618" s="78"/>
    </row>
    <row r="619" spans="1:10" x14ac:dyDescent="0.2">
      <c r="A619" s="84">
        <f t="shared" si="23"/>
        <v>613</v>
      </c>
      <c r="B619" s="85" t="e">
        <f>+MATCH(D619,ARTICULOS!$F$10:$F$699,0)</f>
        <v>#N/A</v>
      </c>
      <c r="C619" s="86" t="e">
        <f>+VLOOKUP(B619,ARTICULOS!$D$10:$I$699,6)</f>
        <v>#N/A</v>
      </c>
      <c r="D619" s="212"/>
      <c r="E619" s="75" t="e">
        <f t="shared" si="22"/>
        <v>#N/A</v>
      </c>
      <c r="F619" s="80"/>
      <c r="G619" s="81"/>
      <c r="H619" s="78"/>
      <c r="I619" s="78"/>
      <c r="J619" s="78"/>
    </row>
    <row r="620" spans="1:10" x14ac:dyDescent="0.2">
      <c r="A620" s="84">
        <f t="shared" si="23"/>
        <v>614</v>
      </c>
      <c r="B620" s="85" t="e">
        <f>+MATCH(D620,ARTICULOS!$F$10:$F$699,0)</f>
        <v>#N/A</v>
      </c>
      <c r="C620" s="86" t="e">
        <f>+VLOOKUP(B620,ARTICULOS!$D$10:$I$699,6)</f>
        <v>#N/A</v>
      </c>
      <c r="D620" s="212"/>
      <c r="E620" s="75" t="e">
        <f t="shared" si="22"/>
        <v>#N/A</v>
      </c>
      <c r="F620" s="80"/>
      <c r="G620" s="81"/>
      <c r="H620" s="78"/>
      <c r="I620" s="78"/>
      <c r="J620" s="78"/>
    </row>
    <row r="621" spans="1:10" x14ac:dyDescent="0.2">
      <c r="A621" s="84">
        <f t="shared" si="23"/>
        <v>615</v>
      </c>
      <c r="B621" s="85" t="e">
        <f>+MATCH(D621,ARTICULOS!$F$10:$F$699,0)</f>
        <v>#N/A</v>
      </c>
      <c r="C621" s="86" t="e">
        <f>+VLOOKUP(B621,ARTICULOS!$D$10:$I$699,6)</f>
        <v>#N/A</v>
      </c>
      <c r="D621" s="212"/>
      <c r="E621" s="75" t="e">
        <f t="shared" si="22"/>
        <v>#N/A</v>
      </c>
      <c r="F621" s="80"/>
      <c r="G621" s="81"/>
      <c r="H621" s="78"/>
      <c r="I621" s="78"/>
      <c r="J621" s="78"/>
    </row>
    <row r="622" spans="1:10" x14ac:dyDescent="0.2">
      <c r="A622" s="84">
        <f t="shared" si="23"/>
        <v>616</v>
      </c>
      <c r="B622" s="85" t="e">
        <f>+MATCH(D622,ARTICULOS!$F$10:$F$699,0)</f>
        <v>#N/A</v>
      </c>
      <c r="C622" s="86" t="e">
        <f>+VLOOKUP(B622,ARTICULOS!$D$10:$I$699,6)</f>
        <v>#N/A</v>
      </c>
      <c r="D622" s="212"/>
      <c r="E622" s="75" t="e">
        <f t="shared" si="22"/>
        <v>#N/A</v>
      </c>
      <c r="F622" s="80"/>
      <c r="G622" s="81"/>
      <c r="H622" s="78"/>
      <c r="I622" s="78"/>
      <c r="J622" s="78"/>
    </row>
    <row r="623" spans="1:10" x14ac:dyDescent="0.2">
      <c r="A623" s="84">
        <f t="shared" si="23"/>
        <v>617</v>
      </c>
      <c r="B623" s="85" t="e">
        <f>+MATCH(D623,ARTICULOS!$F$10:$F$699,0)</f>
        <v>#N/A</v>
      </c>
      <c r="C623" s="86" t="e">
        <f>+VLOOKUP(B623,ARTICULOS!$D$10:$I$699,6)</f>
        <v>#N/A</v>
      </c>
      <c r="D623" s="212"/>
      <c r="E623" s="75" t="e">
        <f t="shared" si="22"/>
        <v>#N/A</v>
      </c>
      <c r="F623" s="80"/>
      <c r="G623" s="81"/>
      <c r="H623" s="78"/>
      <c r="I623" s="78"/>
      <c r="J623" s="78"/>
    </row>
    <row r="624" spans="1:10" x14ac:dyDescent="0.2">
      <c r="A624" s="84">
        <f t="shared" si="23"/>
        <v>618</v>
      </c>
      <c r="B624" s="85" t="e">
        <f>+MATCH(D624,ARTICULOS!$F$10:$F$699,0)</f>
        <v>#N/A</v>
      </c>
      <c r="C624" s="86" t="e">
        <f>+VLOOKUP(B624,ARTICULOS!$D$10:$I$699,6)</f>
        <v>#N/A</v>
      </c>
      <c r="D624" s="212"/>
      <c r="E624" s="75" t="e">
        <f t="shared" si="22"/>
        <v>#N/A</v>
      </c>
      <c r="F624" s="80"/>
      <c r="G624" s="81"/>
      <c r="H624" s="78"/>
      <c r="I624" s="78"/>
      <c r="J624" s="78"/>
    </row>
    <row r="625" spans="1:10" x14ac:dyDescent="0.2">
      <c r="A625" s="84">
        <f t="shared" si="23"/>
        <v>619</v>
      </c>
      <c r="B625" s="85" t="e">
        <f>+MATCH(D625,ARTICULOS!$F$10:$F$699,0)</f>
        <v>#N/A</v>
      </c>
      <c r="C625" s="86" t="e">
        <f>+VLOOKUP(B625,ARTICULOS!$D$10:$I$699,6)</f>
        <v>#N/A</v>
      </c>
      <c r="D625" s="212"/>
      <c r="E625" s="75" t="e">
        <f t="shared" si="22"/>
        <v>#N/A</v>
      </c>
      <c r="F625" s="80"/>
      <c r="G625" s="81"/>
      <c r="H625" s="78"/>
      <c r="I625" s="78"/>
      <c r="J625" s="78"/>
    </row>
    <row r="626" spans="1:10" x14ac:dyDescent="0.2">
      <c r="A626" s="84">
        <f t="shared" si="23"/>
        <v>620</v>
      </c>
      <c r="B626" s="85" t="e">
        <f>+MATCH(D626,ARTICULOS!$F$10:$F$699,0)</f>
        <v>#N/A</v>
      </c>
      <c r="C626" s="86" t="e">
        <f>+VLOOKUP(B626,ARTICULOS!$D$10:$I$699,6)</f>
        <v>#N/A</v>
      </c>
      <c r="D626" s="212"/>
      <c r="E626" s="75" t="e">
        <f t="shared" si="22"/>
        <v>#N/A</v>
      </c>
      <c r="F626" s="80"/>
      <c r="G626" s="81"/>
      <c r="H626" s="78"/>
      <c r="I626" s="78"/>
      <c r="J626" s="78"/>
    </row>
    <row r="627" spans="1:10" x14ac:dyDescent="0.2">
      <c r="A627" s="84">
        <f t="shared" si="23"/>
        <v>621</v>
      </c>
      <c r="B627" s="85" t="e">
        <f>+MATCH(D627,ARTICULOS!$F$10:$F$699,0)</f>
        <v>#N/A</v>
      </c>
      <c r="C627" s="86" t="e">
        <f>+VLOOKUP(B627,ARTICULOS!$D$10:$I$699,6)</f>
        <v>#N/A</v>
      </c>
      <c r="D627" s="212"/>
      <c r="E627" s="75" t="e">
        <f t="shared" si="22"/>
        <v>#N/A</v>
      </c>
      <c r="F627" s="80"/>
      <c r="G627" s="81"/>
      <c r="H627" s="78"/>
      <c r="I627" s="78"/>
      <c r="J627" s="78"/>
    </row>
    <row r="628" spans="1:10" x14ac:dyDescent="0.2">
      <c r="A628" s="84">
        <f t="shared" si="23"/>
        <v>622</v>
      </c>
      <c r="B628" s="85" t="e">
        <f>+MATCH(D628,ARTICULOS!$F$10:$F$699,0)</f>
        <v>#N/A</v>
      </c>
      <c r="C628" s="86" t="e">
        <f>+VLOOKUP(B628,ARTICULOS!$D$10:$I$699,6)</f>
        <v>#N/A</v>
      </c>
      <c r="D628" s="212"/>
      <c r="E628" s="75" t="e">
        <f t="shared" si="22"/>
        <v>#N/A</v>
      </c>
      <c r="F628" s="80"/>
      <c r="G628" s="81"/>
      <c r="H628" s="78"/>
      <c r="I628" s="78"/>
      <c r="J628" s="78"/>
    </row>
    <row r="629" spans="1:10" x14ac:dyDescent="0.2">
      <c r="A629" s="84">
        <f t="shared" si="23"/>
        <v>623</v>
      </c>
      <c r="B629" s="85" t="e">
        <f>+MATCH(D629,ARTICULOS!$F$10:$F$699,0)</f>
        <v>#N/A</v>
      </c>
      <c r="C629" s="86" t="e">
        <f>+VLOOKUP(B629,ARTICULOS!$D$10:$I$699,6)</f>
        <v>#N/A</v>
      </c>
      <c r="D629" s="212"/>
      <c r="E629" s="75" t="e">
        <f t="shared" si="22"/>
        <v>#N/A</v>
      </c>
      <c r="F629" s="80"/>
      <c r="G629" s="81"/>
      <c r="H629" s="78"/>
      <c r="I629" s="78"/>
      <c r="J629" s="78"/>
    </row>
    <row r="630" spans="1:10" x14ac:dyDescent="0.2">
      <c r="A630" s="84">
        <f t="shared" si="23"/>
        <v>624</v>
      </c>
      <c r="B630" s="85" t="e">
        <f>+MATCH(D630,ARTICULOS!$F$10:$F$699,0)</f>
        <v>#N/A</v>
      </c>
      <c r="C630" s="86" t="e">
        <f>+VLOOKUP(B630,ARTICULOS!$D$10:$I$699,6)</f>
        <v>#N/A</v>
      </c>
      <c r="D630" s="212"/>
      <c r="E630" s="75" t="e">
        <f t="shared" si="22"/>
        <v>#N/A</v>
      </c>
      <c r="F630" s="80"/>
      <c r="G630" s="81"/>
      <c r="H630" s="78"/>
      <c r="I630" s="78"/>
      <c r="J630" s="78"/>
    </row>
    <row r="631" spans="1:10" x14ac:dyDescent="0.2">
      <c r="A631" s="84">
        <f t="shared" si="23"/>
        <v>625</v>
      </c>
      <c r="B631" s="85" t="e">
        <f>+MATCH(D631,ARTICULOS!$F$10:$F$699,0)</f>
        <v>#N/A</v>
      </c>
      <c r="C631" s="86" t="e">
        <f>+VLOOKUP(B631,ARTICULOS!$D$10:$I$699,6)</f>
        <v>#N/A</v>
      </c>
      <c r="D631" s="212"/>
      <c r="E631" s="75" t="e">
        <f t="shared" si="22"/>
        <v>#N/A</v>
      </c>
      <c r="F631" s="80"/>
      <c r="G631" s="81"/>
      <c r="H631" s="78"/>
      <c r="I631" s="78"/>
      <c r="J631" s="78"/>
    </row>
    <row r="632" spans="1:10" x14ac:dyDescent="0.2">
      <c r="A632" s="84">
        <f t="shared" si="23"/>
        <v>626</v>
      </c>
      <c r="B632" s="85" t="e">
        <f>+MATCH(D632,ARTICULOS!$F$10:$F$699,0)</f>
        <v>#N/A</v>
      </c>
      <c r="C632" s="86" t="e">
        <f>+VLOOKUP(B632,ARTICULOS!$D$10:$I$699,6)</f>
        <v>#N/A</v>
      </c>
      <c r="D632" s="212"/>
      <c r="E632" s="75" t="e">
        <f t="shared" si="22"/>
        <v>#N/A</v>
      </c>
      <c r="F632" s="80"/>
      <c r="G632" s="81"/>
      <c r="H632" s="78"/>
      <c r="I632" s="78"/>
      <c r="J632" s="78"/>
    </row>
    <row r="633" spans="1:10" x14ac:dyDescent="0.2">
      <c r="A633" s="84">
        <f t="shared" si="23"/>
        <v>627</v>
      </c>
      <c r="B633" s="85" t="e">
        <f>+MATCH(D633,ARTICULOS!$F$10:$F$699,0)</f>
        <v>#N/A</v>
      </c>
      <c r="C633" s="86" t="e">
        <f>+VLOOKUP(B633,ARTICULOS!$D$10:$I$699,6)</f>
        <v>#N/A</v>
      </c>
      <c r="D633" s="212"/>
      <c r="E633" s="75" t="e">
        <f t="shared" si="22"/>
        <v>#N/A</v>
      </c>
      <c r="F633" s="80"/>
      <c r="G633" s="81"/>
      <c r="H633" s="78"/>
      <c r="I633" s="78"/>
      <c r="J633" s="78"/>
    </row>
    <row r="634" spans="1:10" x14ac:dyDescent="0.2">
      <c r="A634" s="84">
        <f t="shared" si="23"/>
        <v>628</v>
      </c>
      <c r="B634" s="85" t="e">
        <f>+MATCH(D634,ARTICULOS!$F$10:$F$699,0)</f>
        <v>#N/A</v>
      </c>
      <c r="C634" s="86" t="e">
        <f>+VLOOKUP(B634,ARTICULOS!$D$10:$I$699,6)</f>
        <v>#N/A</v>
      </c>
      <c r="D634" s="212"/>
      <c r="E634" s="75" t="e">
        <f t="shared" si="22"/>
        <v>#N/A</v>
      </c>
      <c r="F634" s="80"/>
      <c r="G634" s="81"/>
      <c r="H634" s="78"/>
      <c r="I634" s="78"/>
      <c r="J634" s="78"/>
    </row>
    <row r="635" spans="1:10" x14ac:dyDescent="0.2">
      <c r="A635" s="84">
        <f t="shared" si="23"/>
        <v>629</v>
      </c>
      <c r="B635" s="85" t="e">
        <f>+MATCH(D635,ARTICULOS!$F$10:$F$699,0)</f>
        <v>#N/A</v>
      </c>
      <c r="C635" s="86" t="e">
        <f>+VLOOKUP(B635,ARTICULOS!$D$10:$I$699,6)</f>
        <v>#N/A</v>
      </c>
      <c r="D635" s="212"/>
      <c r="E635" s="75" t="e">
        <f t="shared" si="22"/>
        <v>#N/A</v>
      </c>
      <c r="F635" s="80"/>
      <c r="G635" s="81"/>
      <c r="H635" s="78"/>
      <c r="I635" s="78"/>
      <c r="J635" s="78"/>
    </row>
    <row r="636" spans="1:10" x14ac:dyDescent="0.2">
      <c r="A636" s="84">
        <f t="shared" si="23"/>
        <v>630</v>
      </c>
      <c r="B636" s="85" t="e">
        <f>+MATCH(D636,ARTICULOS!$F$10:$F$699,0)</f>
        <v>#N/A</v>
      </c>
      <c r="C636" s="86" t="e">
        <f>+VLOOKUP(B636,ARTICULOS!$D$10:$I$699,6)</f>
        <v>#N/A</v>
      </c>
      <c r="D636" s="212"/>
      <c r="E636" s="75" t="e">
        <f t="shared" si="22"/>
        <v>#N/A</v>
      </c>
      <c r="F636" s="80"/>
      <c r="G636" s="81"/>
      <c r="H636" s="78"/>
      <c r="I636" s="78"/>
      <c r="J636" s="78"/>
    </row>
    <row r="637" spans="1:10" x14ac:dyDescent="0.2">
      <c r="A637" s="84">
        <f t="shared" si="23"/>
        <v>631</v>
      </c>
      <c r="B637" s="85" t="e">
        <f>+MATCH(D637,ARTICULOS!$F$10:$F$699,0)</f>
        <v>#N/A</v>
      </c>
      <c r="C637" s="86" t="e">
        <f>+VLOOKUP(B637,ARTICULOS!$D$10:$I$699,6)</f>
        <v>#N/A</v>
      </c>
      <c r="D637" s="212"/>
      <c r="E637" s="75" t="e">
        <f t="shared" si="22"/>
        <v>#N/A</v>
      </c>
      <c r="F637" s="80"/>
      <c r="G637" s="81"/>
      <c r="H637" s="78"/>
      <c r="I637" s="78"/>
      <c r="J637" s="78"/>
    </row>
    <row r="638" spans="1:10" x14ac:dyDescent="0.2">
      <c r="A638" s="84">
        <f t="shared" si="23"/>
        <v>632</v>
      </c>
      <c r="B638" s="85" t="e">
        <f>+MATCH(D638,ARTICULOS!$F$10:$F$699,0)</f>
        <v>#N/A</v>
      </c>
      <c r="C638" s="86" t="e">
        <f>+VLOOKUP(B638,ARTICULOS!$D$10:$I$699,6)</f>
        <v>#N/A</v>
      </c>
      <c r="D638" s="212"/>
      <c r="E638" s="75" t="e">
        <f t="shared" si="22"/>
        <v>#N/A</v>
      </c>
      <c r="F638" s="80"/>
      <c r="G638" s="81"/>
      <c r="H638" s="78"/>
      <c r="I638" s="78"/>
      <c r="J638" s="78"/>
    </row>
    <row r="639" spans="1:10" x14ac:dyDescent="0.2">
      <c r="A639" s="84">
        <f t="shared" si="23"/>
        <v>633</v>
      </c>
      <c r="B639" s="85" t="e">
        <f>+MATCH(D639,ARTICULOS!$F$10:$F$699,0)</f>
        <v>#N/A</v>
      </c>
      <c r="C639" s="86" t="e">
        <f>+VLOOKUP(B639,ARTICULOS!$D$10:$I$699,6)</f>
        <v>#N/A</v>
      </c>
      <c r="D639" s="212"/>
      <c r="E639" s="75" t="e">
        <f t="shared" si="22"/>
        <v>#N/A</v>
      </c>
      <c r="F639" s="80"/>
      <c r="G639" s="81"/>
      <c r="H639" s="78"/>
      <c r="I639" s="78"/>
      <c r="J639" s="78"/>
    </row>
    <row r="640" spans="1:10" x14ac:dyDescent="0.2">
      <c r="A640" s="84">
        <f t="shared" si="23"/>
        <v>634</v>
      </c>
      <c r="B640" s="85" t="e">
        <f>+MATCH(D640,ARTICULOS!$F$10:$F$699,0)</f>
        <v>#N/A</v>
      </c>
      <c r="C640" s="86" t="e">
        <f>+VLOOKUP(B640,ARTICULOS!$D$10:$I$699,6)</f>
        <v>#N/A</v>
      </c>
      <c r="D640" s="212"/>
      <c r="E640" s="75" t="e">
        <f t="shared" si="22"/>
        <v>#N/A</v>
      </c>
      <c r="F640" s="80"/>
      <c r="G640" s="81"/>
      <c r="H640" s="78"/>
      <c r="I640" s="78"/>
      <c r="J640" s="78"/>
    </row>
    <row r="641" spans="1:10" x14ac:dyDescent="0.2">
      <c r="A641" s="84">
        <f t="shared" si="23"/>
        <v>635</v>
      </c>
      <c r="B641" s="85" t="e">
        <f>+MATCH(D641,ARTICULOS!$F$10:$F$699,0)</f>
        <v>#N/A</v>
      </c>
      <c r="C641" s="86" t="e">
        <f>+VLOOKUP(B641,ARTICULOS!$D$10:$I$699,6)</f>
        <v>#N/A</v>
      </c>
      <c r="D641" s="212"/>
      <c r="E641" s="75" t="e">
        <f t="shared" si="22"/>
        <v>#N/A</v>
      </c>
      <c r="F641" s="80"/>
      <c r="G641" s="81"/>
      <c r="H641" s="78"/>
      <c r="I641" s="78"/>
      <c r="J641" s="78"/>
    </row>
    <row r="642" spans="1:10" x14ac:dyDescent="0.2">
      <c r="A642" s="84">
        <f t="shared" si="23"/>
        <v>636</v>
      </c>
      <c r="B642" s="85" t="e">
        <f>+MATCH(D642,ARTICULOS!$F$10:$F$699,0)</f>
        <v>#N/A</v>
      </c>
      <c r="C642" s="86" t="e">
        <f>+VLOOKUP(B642,ARTICULOS!$D$10:$I$699,6)</f>
        <v>#N/A</v>
      </c>
      <c r="D642" s="212"/>
      <c r="E642" s="75" t="e">
        <f t="shared" si="22"/>
        <v>#N/A</v>
      </c>
      <c r="F642" s="80"/>
      <c r="G642" s="81"/>
      <c r="H642" s="78"/>
      <c r="I642" s="78"/>
      <c r="J642" s="78"/>
    </row>
    <row r="643" spans="1:10" x14ac:dyDescent="0.2">
      <c r="A643" s="84">
        <f t="shared" si="23"/>
        <v>637</v>
      </c>
      <c r="B643" s="85" t="e">
        <f>+MATCH(D643,ARTICULOS!$F$10:$F$699,0)</f>
        <v>#N/A</v>
      </c>
      <c r="C643" s="86" t="e">
        <f>+VLOOKUP(B643,ARTICULOS!$D$10:$I$699,6)</f>
        <v>#N/A</v>
      </c>
      <c r="D643" s="212"/>
      <c r="E643" s="75" t="e">
        <f t="shared" si="22"/>
        <v>#N/A</v>
      </c>
      <c r="F643" s="80"/>
      <c r="G643" s="81"/>
      <c r="H643" s="78"/>
      <c r="I643" s="78"/>
      <c r="J643" s="78"/>
    </row>
    <row r="644" spans="1:10" x14ac:dyDescent="0.2">
      <c r="A644" s="84">
        <f t="shared" si="23"/>
        <v>638</v>
      </c>
      <c r="B644" s="85" t="e">
        <f>+MATCH(D644,ARTICULOS!$F$10:$F$699,0)</f>
        <v>#N/A</v>
      </c>
      <c r="C644" s="86" t="e">
        <f>+VLOOKUP(B644,ARTICULOS!$D$10:$I$699,6)</f>
        <v>#N/A</v>
      </c>
      <c r="D644" s="212"/>
      <c r="E644" s="75" t="e">
        <f t="shared" si="22"/>
        <v>#N/A</v>
      </c>
      <c r="F644" s="80"/>
      <c r="G644" s="81"/>
      <c r="H644" s="78"/>
      <c r="I644" s="78"/>
      <c r="J644" s="78"/>
    </row>
    <row r="645" spans="1:10" x14ac:dyDescent="0.2">
      <c r="A645" s="84">
        <f t="shared" si="23"/>
        <v>639</v>
      </c>
      <c r="B645" s="85" t="e">
        <f>+MATCH(D645,ARTICULOS!$F$10:$F$699,0)</f>
        <v>#N/A</v>
      </c>
      <c r="C645" s="86" t="e">
        <f>+VLOOKUP(B645,ARTICULOS!$D$10:$I$699,6)</f>
        <v>#N/A</v>
      </c>
      <c r="D645" s="212"/>
      <c r="E645" s="75" t="e">
        <f t="shared" si="22"/>
        <v>#N/A</v>
      </c>
      <c r="F645" s="80"/>
      <c r="G645" s="81"/>
      <c r="H645" s="78"/>
      <c r="I645" s="78"/>
      <c r="J645" s="78"/>
    </row>
    <row r="646" spans="1:10" x14ac:dyDescent="0.2">
      <c r="A646" s="84">
        <f t="shared" si="23"/>
        <v>640</v>
      </c>
      <c r="B646" s="85" t="e">
        <f>+MATCH(D646,ARTICULOS!$F$10:$F$699,0)</f>
        <v>#N/A</v>
      </c>
      <c r="C646" s="86" t="e">
        <f>+VLOOKUP(B646,ARTICULOS!$D$10:$I$699,6)</f>
        <v>#N/A</v>
      </c>
      <c r="D646" s="212"/>
      <c r="E646" s="75" t="e">
        <f t="shared" si="22"/>
        <v>#N/A</v>
      </c>
      <c r="F646" s="80"/>
      <c r="G646" s="81"/>
      <c r="H646" s="78"/>
      <c r="I646" s="78"/>
      <c r="J646" s="78"/>
    </row>
    <row r="647" spans="1:10" x14ac:dyDescent="0.2">
      <c r="A647" s="84">
        <f t="shared" si="23"/>
        <v>641</v>
      </c>
      <c r="B647" s="85" t="e">
        <f>+MATCH(D647,ARTICULOS!$F$10:$F$699,0)</f>
        <v>#N/A</v>
      </c>
      <c r="C647" s="86" t="e">
        <f>+VLOOKUP(B647,ARTICULOS!$D$10:$I$699,6)</f>
        <v>#N/A</v>
      </c>
      <c r="D647" s="212"/>
      <c r="E647" s="75" t="e">
        <f t="shared" si="22"/>
        <v>#N/A</v>
      </c>
      <c r="F647" s="80"/>
      <c r="G647" s="81"/>
      <c r="H647" s="78"/>
      <c r="I647" s="78"/>
      <c r="J647" s="78"/>
    </row>
    <row r="648" spans="1:10" x14ac:dyDescent="0.2">
      <c r="A648" s="84">
        <f t="shared" si="23"/>
        <v>642</v>
      </c>
      <c r="B648" s="85" t="e">
        <f>+MATCH(D648,ARTICULOS!$F$10:$F$699,0)</f>
        <v>#N/A</v>
      </c>
      <c r="C648" s="86" t="e">
        <f>+VLOOKUP(B648,ARTICULOS!$D$10:$I$699,6)</f>
        <v>#N/A</v>
      </c>
      <c r="D648" s="212"/>
      <c r="E648" s="75" t="e">
        <f t="shared" si="22"/>
        <v>#N/A</v>
      </c>
      <c r="F648" s="80"/>
      <c r="G648" s="81"/>
      <c r="H648" s="78"/>
      <c r="I648" s="78"/>
      <c r="J648" s="78"/>
    </row>
    <row r="649" spans="1:10" x14ac:dyDescent="0.2">
      <c r="A649" s="84">
        <f t="shared" si="23"/>
        <v>643</v>
      </c>
      <c r="B649" s="85" t="e">
        <f>+MATCH(D649,ARTICULOS!$F$10:$F$699,0)</f>
        <v>#N/A</v>
      </c>
      <c r="C649" s="86" t="e">
        <f>+VLOOKUP(B649,ARTICULOS!$D$10:$I$699,6)</f>
        <v>#N/A</v>
      </c>
      <c r="D649" s="212"/>
      <c r="E649" s="75" t="e">
        <f t="shared" si="22"/>
        <v>#N/A</v>
      </c>
      <c r="F649" s="80"/>
      <c r="G649" s="81"/>
      <c r="H649" s="78"/>
      <c r="I649" s="78"/>
      <c r="J649" s="78"/>
    </row>
    <row r="650" spans="1:10" x14ac:dyDescent="0.2">
      <c r="A650" s="84">
        <f t="shared" si="23"/>
        <v>644</v>
      </c>
      <c r="B650" s="85" t="e">
        <f>+MATCH(D650,ARTICULOS!$F$10:$F$699,0)</f>
        <v>#N/A</v>
      </c>
      <c r="C650" s="86" t="e">
        <f>+VLOOKUP(B650,ARTICULOS!$D$10:$I$699,6)</f>
        <v>#N/A</v>
      </c>
      <c r="D650" s="212"/>
      <c r="E650" s="75" t="e">
        <f t="shared" si="22"/>
        <v>#N/A</v>
      </c>
      <c r="F650" s="80"/>
      <c r="G650" s="81"/>
      <c r="H650" s="78"/>
      <c r="I650" s="78"/>
      <c r="J650" s="78"/>
    </row>
    <row r="651" spans="1:10" x14ac:dyDescent="0.2">
      <c r="A651" s="84">
        <f t="shared" si="23"/>
        <v>645</v>
      </c>
      <c r="B651" s="85" t="e">
        <f>+MATCH(D651,ARTICULOS!$F$10:$F$699,0)</f>
        <v>#N/A</v>
      </c>
      <c r="C651" s="86" t="e">
        <f>+VLOOKUP(B651,ARTICULOS!$D$10:$I$699,6)</f>
        <v>#N/A</v>
      </c>
      <c r="D651" s="212"/>
      <c r="E651" s="75" t="e">
        <f t="shared" ref="E651:E714" si="24">+C651&amp;F651</f>
        <v>#N/A</v>
      </c>
      <c r="F651" s="80"/>
      <c r="G651" s="81"/>
      <c r="H651" s="78"/>
      <c r="I651" s="78"/>
      <c r="J651" s="78"/>
    </row>
    <row r="652" spans="1:10" x14ac:dyDescent="0.2">
      <c r="A652" s="84">
        <f t="shared" si="23"/>
        <v>646</v>
      </c>
      <c r="B652" s="85" t="e">
        <f>+MATCH(D652,ARTICULOS!$F$10:$F$699,0)</f>
        <v>#N/A</v>
      </c>
      <c r="C652" s="86" t="e">
        <f>+VLOOKUP(B652,ARTICULOS!$D$10:$I$699,6)</f>
        <v>#N/A</v>
      </c>
      <c r="D652" s="212"/>
      <c r="E652" s="75" t="e">
        <f t="shared" si="24"/>
        <v>#N/A</v>
      </c>
      <c r="F652" s="80"/>
      <c r="G652" s="81"/>
      <c r="H652" s="78"/>
      <c r="I652" s="78"/>
      <c r="J652" s="78"/>
    </row>
    <row r="653" spans="1:10" x14ac:dyDescent="0.2">
      <c r="A653" s="84">
        <f t="shared" si="23"/>
        <v>647</v>
      </c>
      <c r="B653" s="85" t="e">
        <f>+MATCH(D653,ARTICULOS!$F$10:$F$699,0)</f>
        <v>#N/A</v>
      </c>
      <c r="C653" s="86" t="e">
        <f>+VLOOKUP(B653,ARTICULOS!$D$10:$I$699,6)</f>
        <v>#N/A</v>
      </c>
      <c r="D653" s="212"/>
      <c r="E653" s="75" t="e">
        <f t="shared" si="24"/>
        <v>#N/A</v>
      </c>
      <c r="F653" s="80"/>
      <c r="G653" s="81"/>
      <c r="H653" s="78"/>
      <c r="I653" s="78"/>
      <c r="J653" s="78"/>
    </row>
    <row r="654" spans="1:10" x14ac:dyDescent="0.2">
      <c r="A654" s="84">
        <f t="shared" si="23"/>
        <v>648</v>
      </c>
      <c r="B654" s="85" t="e">
        <f>+MATCH(D654,ARTICULOS!$F$10:$F$699,0)</f>
        <v>#N/A</v>
      </c>
      <c r="C654" s="86" t="e">
        <f>+VLOOKUP(B654,ARTICULOS!$D$10:$I$699,6)</f>
        <v>#N/A</v>
      </c>
      <c r="D654" s="212"/>
      <c r="E654" s="75" t="e">
        <f t="shared" si="24"/>
        <v>#N/A</v>
      </c>
      <c r="F654" s="80"/>
      <c r="G654" s="81"/>
      <c r="H654" s="78"/>
      <c r="I654" s="78"/>
      <c r="J654" s="78"/>
    </row>
    <row r="655" spans="1:10" x14ac:dyDescent="0.2">
      <c r="A655" s="84">
        <f t="shared" si="23"/>
        <v>649</v>
      </c>
      <c r="B655" s="85" t="e">
        <f>+MATCH(D655,ARTICULOS!$F$10:$F$699,0)</f>
        <v>#N/A</v>
      </c>
      <c r="C655" s="86" t="e">
        <f>+VLOOKUP(B655,ARTICULOS!$D$10:$I$699,6)</f>
        <v>#N/A</v>
      </c>
      <c r="D655" s="212"/>
      <c r="E655" s="75" t="e">
        <f t="shared" si="24"/>
        <v>#N/A</v>
      </c>
      <c r="F655" s="80"/>
      <c r="G655" s="81"/>
      <c r="H655" s="78"/>
      <c r="I655" s="78"/>
      <c r="J655" s="78"/>
    </row>
    <row r="656" spans="1:10" x14ac:dyDescent="0.2">
      <c r="A656" s="84">
        <f t="shared" si="23"/>
        <v>650</v>
      </c>
      <c r="B656" s="85" t="e">
        <f>+MATCH(D656,ARTICULOS!$F$10:$F$699,0)</f>
        <v>#N/A</v>
      </c>
      <c r="C656" s="86" t="e">
        <f>+VLOOKUP(B656,ARTICULOS!$D$10:$I$699,6)</f>
        <v>#N/A</v>
      </c>
      <c r="D656" s="212"/>
      <c r="E656" s="75" t="e">
        <f t="shared" si="24"/>
        <v>#N/A</v>
      </c>
      <c r="F656" s="80"/>
      <c r="G656" s="81"/>
      <c r="H656" s="78"/>
      <c r="I656" s="78"/>
      <c r="J656" s="78"/>
    </row>
    <row r="657" spans="1:10" x14ac:dyDescent="0.2">
      <c r="A657" s="84">
        <f t="shared" si="23"/>
        <v>651</v>
      </c>
      <c r="B657" s="85" t="e">
        <f>+MATCH(D657,ARTICULOS!$F$10:$F$699,0)</f>
        <v>#N/A</v>
      </c>
      <c r="C657" s="86" t="e">
        <f>+VLOOKUP(B657,ARTICULOS!$D$10:$I$699,6)</f>
        <v>#N/A</v>
      </c>
      <c r="D657" s="212"/>
      <c r="E657" s="75" t="e">
        <f t="shared" si="24"/>
        <v>#N/A</v>
      </c>
      <c r="F657" s="80"/>
      <c r="G657" s="81"/>
      <c r="H657" s="78"/>
      <c r="I657" s="78"/>
      <c r="J657" s="78"/>
    </row>
    <row r="658" spans="1:10" x14ac:dyDescent="0.2">
      <c r="A658" s="84">
        <f t="shared" si="23"/>
        <v>652</v>
      </c>
      <c r="B658" s="85" t="e">
        <f>+MATCH(D658,ARTICULOS!$F$10:$F$699,0)</f>
        <v>#N/A</v>
      </c>
      <c r="C658" s="86" t="e">
        <f>+VLOOKUP(B658,ARTICULOS!$D$10:$I$699,6)</f>
        <v>#N/A</v>
      </c>
      <c r="D658" s="212"/>
      <c r="E658" s="75" t="e">
        <f t="shared" si="24"/>
        <v>#N/A</v>
      </c>
      <c r="F658" s="80"/>
      <c r="G658" s="81"/>
      <c r="H658" s="78"/>
      <c r="I658" s="78"/>
      <c r="J658" s="78"/>
    </row>
    <row r="659" spans="1:10" x14ac:dyDescent="0.2">
      <c r="A659" s="84">
        <f t="shared" si="23"/>
        <v>653</v>
      </c>
      <c r="B659" s="85" t="e">
        <f>+MATCH(D659,ARTICULOS!$F$10:$F$699,0)</f>
        <v>#N/A</v>
      </c>
      <c r="C659" s="86" t="e">
        <f>+VLOOKUP(B659,ARTICULOS!$D$10:$I$699,6)</f>
        <v>#N/A</v>
      </c>
      <c r="D659" s="212"/>
      <c r="E659" s="75" t="e">
        <f t="shared" si="24"/>
        <v>#N/A</v>
      </c>
      <c r="F659" s="80"/>
      <c r="G659" s="81"/>
      <c r="H659" s="78"/>
      <c r="I659" s="78"/>
      <c r="J659" s="78"/>
    </row>
    <row r="660" spans="1:10" x14ac:dyDescent="0.2">
      <c r="A660" s="84">
        <f t="shared" si="23"/>
        <v>654</v>
      </c>
      <c r="B660" s="85" t="e">
        <f>+MATCH(D660,ARTICULOS!$F$10:$F$699,0)</f>
        <v>#N/A</v>
      </c>
      <c r="C660" s="86" t="e">
        <f>+VLOOKUP(B660,ARTICULOS!$D$10:$I$699,6)</f>
        <v>#N/A</v>
      </c>
      <c r="D660" s="212"/>
      <c r="E660" s="75" t="e">
        <f t="shared" si="24"/>
        <v>#N/A</v>
      </c>
      <c r="F660" s="80"/>
      <c r="G660" s="81"/>
      <c r="H660" s="78"/>
      <c r="I660" s="78"/>
      <c r="J660" s="78"/>
    </row>
    <row r="661" spans="1:10" x14ac:dyDescent="0.2">
      <c r="A661" s="84">
        <f t="shared" si="23"/>
        <v>655</v>
      </c>
      <c r="B661" s="85" t="e">
        <f>+MATCH(D661,ARTICULOS!$F$10:$F$699,0)</f>
        <v>#N/A</v>
      </c>
      <c r="C661" s="86" t="e">
        <f>+VLOOKUP(B661,ARTICULOS!$D$10:$I$699,6)</f>
        <v>#N/A</v>
      </c>
      <c r="D661" s="212"/>
      <c r="E661" s="75" t="e">
        <f t="shared" si="24"/>
        <v>#N/A</v>
      </c>
      <c r="F661" s="80"/>
      <c r="G661" s="81"/>
      <c r="H661" s="78"/>
      <c r="I661" s="78"/>
      <c r="J661" s="78"/>
    </row>
    <row r="662" spans="1:10" x14ac:dyDescent="0.2">
      <c r="A662" s="84">
        <f t="shared" si="23"/>
        <v>656</v>
      </c>
      <c r="B662" s="85" t="e">
        <f>+MATCH(D662,ARTICULOS!$F$10:$F$699,0)</f>
        <v>#N/A</v>
      </c>
      <c r="C662" s="86" t="e">
        <f>+VLOOKUP(B662,ARTICULOS!$D$10:$I$699,6)</f>
        <v>#N/A</v>
      </c>
      <c r="D662" s="212"/>
      <c r="E662" s="75" t="e">
        <f t="shared" si="24"/>
        <v>#N/A</v>
      </c>
      <c r="F662" s="80"/>
      <c r="G662" s="81"/>
      <c r="H662" s="78"/>
      <c r="I662" s="78"/>
      <c r="J662" s="78"/>
    </row>
    <row r="663" spans="1:10" x14ac:dyDescent="0.2">
      <c r="A663" s="84">
        <f t="shared" si="23"/>
        <v>657</v>
      </c>
      <c r="B663" s="85" t="e">
        <f>+MATCH(D663,ARTICULOS!$F$10:$F$699,0)</f>
        <v>#N/A</v>
      </c>
      <c r="C663" s="86" t="e">
        <f>+VLOOKUP(B663,ARTICULOS!$D$10:$I$699,6)</f>
        <v>#N/A</v>
      </c>
      <c r="D663" s="212"/>
      <c r="E663" s="75" t="e">
        <f t="shared" si="24"/>
        <v>#N/A</v>
      </c>
      <c r="F663" s="80"/>
      <c r="G663" s="81"/>
      <c r="H663" s="78"/>
      <c r="I663" s="78"/>
      <c r="J663" s="78"/>
    </row>
    <row r="664" spans="1:10" x14ac:dyDescent="0.2">
      <c r="A664" s="84">
        <f t="shared" si="23"/>
        <v>658</v>
      </c>
      <c r="B664" s="85" t="e">
        <f>+MATCH(D664,ARTICULOS!$F$10:$F$699,0)</f>
        <v>#N/A</v>
      </c>
      <c r="C664" s="86" t="e">
        <f>+VLOOKUP(B664,ARTICULOS!$D$10:$I$699,6)</f>
        <v>#N/A</v>
      </c>
      <c r="D664" s="212"/>
      <c r="E664" s="75" t="e">
        <f t="shared" si="24"/>
        <v>#N/A</v>
      </c>
      <c r="F664" s="80"/>
      <c r="G664" s="81"/>
      <c r="H664" s="78"/>
      <c r="I664" s="78"/>
      <c r="J664" s="78"/>
    </row>
    <row r="665" spans="1:10" x14ac:dyDescent="0.2">
      <c r="A665" s="84">
        <f t="shared" si="23"/>
        <v>659</v>
      </c>
      <c r="B665" s="85" t="e">
        <f>+MATCH(D665,ARTICULOS!$F$10:$F$699,0)</f>
        <v>#N/A</v>
      </c>
      <c r="C665" s="86" t="e">
        <f>+VLOOKUP(B665,ARTICULOS!$D$10:$I$699,6)</f>
        <v>#N/A</v>
      </c>
      <c r="D665" s="212"/>
      <c r="E665" s="75" t="e">
        <f t="shared" si="24"/>
        <v>#N/A</v>
      </c>
      <c r="F665" s="80"/>
      <c r="G665" s="81"/>
      <c r="H665" s="78"/>
      <c r="I665" s="78"/>
      <c r="J665" s="78"/>
    </row>
    <row r="666" spans="1:10" x14ac:dyDescent="0.2">
      <c r="A666" s="84">
        <f t="shared" si="23"/>
        <v>660</v>
      </c>
      <c r="B666" s="85" t="e">
        <f>+MATCH(D666,ARTICULOS!$F$10:$F$699,0)</f>
        <v>#N/A</v>
      </c>
      <c r="C666" s="86" t="e">
        <f>+VLOOKUP(B666,ARTICULOS!$D$10:$I$699,6)</f>
        <v>#N/A</v>
      </c>
      <c r="D666" s="212"/>
      <c r="E666" s="75" t="e">
        <f t="shared" si="24"/>
        <v>#N/A</v>
      </c>
      <c r="F666" s="80"/>
      <c r="G666" s="81"/>
      <c r="H666" s="78"/>
      <c r="I666" s="78"/>
      <c r="J666" s="78"/>
    </row>
    <row r="667" spans="1:10" x14ac:dyDescent="0.2">
      <c r="A667" s="84">
        <f t="shared" si="23"/>
        <v>661</v>
      </c>
      <c r="B667" s="85" t="e">
        <f>+MATCH(D667,ARTICULOS!$F$10:$F$699,0)</f>
        <v>#N/A</v>
      </c>
      <c r="C667" s="86" t="e">
        <f>+VLOOKUP(B667,ARTICULOS!$D$10:$I$699,6)</f>
        <v>#N/A</v>
      </c>
      <c r="D667" s="212"/>
      <c r="E667" s="75" t="e">
        <f t="shared" si="24"/>
        <v>#N/A</v>
      </c>
      <c r="F667" s="80"/>
      <c r="G667" s="81"/>
      <c r="H667" s="78"/>
      <c r="I667" s="78"/>
      <c r="J667" s="78"/>
    </row>
    <row r="668" spans="1:10" x14ac:dyDescent="0.2">
      <c r="A668" s="84">
        <f t="shared" si="23"/>
        <v>662</v>
      </c>
      <c r="B668" s="85" t="e">
        <f>+MATCH(D668,ARTICULOS!$F$10:$F$699,0)</f>
        <v>#N/A</v>
      </c>
      <c r="C668" s="86" t="e">
        <f>+VLOOKUP(B668,ARTICULOS!$D$10:$I$699,6)</f>
        <v>#N/A</v>
      </c>
      <c r="D668" s="212"/>
      <c r="E668" s="75" t="e">
        <f t="shared" si="24"/>
        <v>#N/A</v>
      </c>
      <c r="F668" s="80"/>
      <c r="G668" s="81"/>
      <c r="H668" s="78"/>
      <c r="I668" s="78"/>
      <c r="J668" s="78"/>
    </row>
    <row r="669" spans="1:10" x14ac:dyDescent="0.2">
      <c r="A669" s="84">
        <f t="shared" si="23"/>
        <v>663</v>
      </c>
      <c r="B669" s="85" t="e">
        <f>+MATCH(D669,ARTICULOS!$F$10:$F$699,0)</f>
        <v>#N/A</v>
      </c>
      <c r="C669" s="86" t="e">
        <f>+VLOOKUP(B669,ARTICULOS!$D$10:$I$699,6)</f>
        <v>#N/A</v>
      </c>
      <c r="D669" s="212"/>
      <c r="E669" s="75" t="e">
        <f t="shared" si="24"/>
        <v>#N/A</v>
      </c>
      <c r="F669" s="80"/>
      <c r="G669" s="81"/>
      <c r="H669" s="78"/>
      <c r="I669" s="78"/>
      <c r="J669" s="78"/>
    </row>
    <row r="670" spans="1:10" x14ac:dyDescent="0.2">
      <c r="A670" s="84">
        <f t="shared" si="23"/>
        <v>664</v>
      </c>
      <c r="B670" s="85" t="e">
        <f>+MATCH(D670,ARTICULOS!$F$10:$F$699,0)</f>
        <v>#N/A</v>
      </c>
      <c r="C670" s="86" t="e">
        <f>+VLOOKUP(B670,ARTICULOS!$D$10:$I$699,6)</f>
        <v>#N/A</v>
      </c>
      <c r="D670" s="212"/>
      <c r="E670" s="75" t="e">
        <f t="shared" si="24"/>
        <v>#N/A</v>
      </c>
      <c r="F670" s="80"/>
      <c r="G670" s="81"/>
      <c r="H670" s="78"/>
      <c r="I670" s="78"/>
      <c r="J670" s="78"/>
    </row>
    <row r="671" spans="1:10" x14ac:dyDescent="0.2">
      <c r="A671" s="84">
        <f t="shared" si="23"/>
        <v>665</v>
      </c>
      <c r="B671" s="85" t="e">
        <f>+MATCH(D671,ARTICULOS!$F$10:$F$699,0)</f>
        <v>#N/A</v>
      </c>
      <c r="C671" s="86" t="e">
        <f>+VLOOKUP(B671,ARTICULOS!$D$10:$I$699,6)</f>
        <v>#N/A</v>
      </c>
      <c r="D671" s="212"/>
      <c r="E671" s="75" t="e">
        <f t="shared" si="24"/>
        <v>#N/A</v>
      </c>
      <c r="F671" s="80"/>
      <c r="G671" s="81"/>
      <c r="H671" s="78"/>
      <c r="I671" s="78"/>
      <c r="J671" s="78"/>
    </row>
    <row r="672" spans="1:10" x14ac:dyDescent="0.2">
      <c r="A672" s="84">
        <f t="shared" si="23"/>
        <v>666</v>
      </c>
      <c r="B672" s="85" t="e">
        <f>+MATCH(D672,ARTICULOS!$F$10:$F$699,0)</f>
        <v>#N/A</v>
      </c>
      <c r="C672" s="86" t="e">
        <f>+VLOOKUP(B672,ARTICULOS!$D$10:$I$699,6)</f>
        <v>#N/A</v>
      </c>
      <c r="D672" s="212"/>
      <c r="E672" s="75" t="e">
        <f t="shared" si="24"/>
        <v>#N/A</v>
      </c>
      <c r="F672" s="80"/>
      <c r="G672" s="81"/>
      <c r="H672" s="78"/>
      <c r="I672" s="78"/>
      <c r="J672" s="78"/>
    </row>
    <row r="673" spans="1:10" x14ac:dyDescent="0.2">
      <c r="A673" s="84">
        <f t="shared" si="23"/>
        <v>667</v>
      </c>
      <c r="B673" s="85" t="e">
        <f>+MATCH(D673,ARTICULOS!$F$10:$F$699,0)</f>
        <v>#N/A</v>
      </c>
      <c r="C673" s="86" t="e">
        <f>+VLOOKUP(B673,ARTICULOS!$D$10:$I$699,6)</f>
        <v>#N/A</v>
      </c>
      <c r="D673" s="212"/>
      <c r="E673" s="75" t="e">
        <f t="shared" si="24"/>
        <v>#N/A</v>
      </c>
      <c r="F673" s="80"/>
      <c r="G673" s="81"/>
      <c r="H673" s="78"/>
      <c r="I673" s="78"/>
      <c r="J673" s="78"/>
    </row>
    <row r="674" spans="1:10" x14ac:dyDescent="0.2">
      <c r="A674" s="84">
        <f t="shared" si="23"/>
        <v>668</v>
      </c>
      <c r="B674" s="85" t="e">
        <f>+MATCH(D674,ARTICULOS!$F$10:$F$699,0)</f>
        <v>#N/A</v>
      </c>
      <c r="C674" s="86" t="e">
        <f>+VLOOKUP(B674,ARTICULOS!$D$10:$I$699,6)</f>
        <v>#N/A</v>
      </c>
      <c r="D674" s="212"/>
      <c r="E674" s="75" t="e">
        <f t="shared" si="24"/>
        <v>#N/A</v>
      </c>
      <c r="F674" s="80"/>
      <c r="G674" s="81"/>
      <c r="H674" s="78"/>
      <c r="I674" s="78"/>
      <c r="J674" s="78"/>
    </row>
    <row r="675" spans="1:10" x14ac:dyDescent="0.2">
      <c r="A675" s="84">
        <f t="shared" si="23"/>
        <v>669</v>
      </c>
      <c r="B675" s="85" t="e">
        <f>+MATCH(D675,ARTICULOS!$F$10:$F$699,0)</f>
        <v>#N/A</v>
      </c>
      <c r="C675" s="86" t="e">
        <f>+VLOOKUP(B675,ARTICULOS!$D$10:$I$699,6)</f>
        <v>#N/A</v>
      </c>
      <c r="D675" s="212"/>
      <c r="E675" s="75" t="e">
        <f t="shared" si="24"/>
        <v>#N/A</v>
      </c>
      <c r="F675" s="80"/>
      <c r="G675" s="81"/>
      <c r="H675" s="78"/>
      <c r="I675" s="78"/>
      <c r="J675" s="78"/>
    </row>
    <row r="676" spans="1:10" x14ac:dyDescent="0.2">
      <c r="A676" s="84">
        <f t="shared" si="23"/>
        <v>670</v>
      </c>
      <c r="B676" s="85" t="e">
        <f>+MATCH(D676,ARTICULOS!$F$10:$F$699,0)</f>
        <v>#N/A</v>
      </c>
      <c r="C676" s="86" t="e">
        <f>+VLOOKUP(B676,ARTICULOS!$D$10:$I$699,6)</f>
        <v>#N/A</v>
      </c>
      <c r="D676" s="212"/>
      <c r="E676" s="75" t="e">
        <f t="shared" si="24"/>
        <v>#N/A</v>
      </c>
      <c r="F676" s="80"/>
      <c r="G676" s="81"/>
      <c r="H676" s="78"/>
      <c r="I676" s="78"/>
      <c r="J676" s="78"/>
    </row>
    <row r="677" spans="1:10" x14ac:dyDescent="0.2">
      <c r="A677" s="84">
        <f t="shared" si="23"/>
        <v>671</v>
      </c>
      <c r="B677" s="85" t="e">
        <f>+MATCH(D677,ARTICULOS!$F$10:$F$699,0)</f>
        <v>#N/A</v>
      </c>
      <c r="C677" s="86" t="e">
        <f>+VLOOKUP(B677,ARTICULOS!$D$10:$I$699,6)</f>
        <v>#N/A</v>
      </c>
      <c r="D677" s="212"/>
      <c r="E677" s="75" t="e">
        <f t="shared" si="24"/>
        <v>#N/A</v>
      </c>
      <c r="F677" s="80"/>
      <c r="G677" s="81"/>
      <c r="H677" s="78"/>
      <c r="I677" s="78"/>
      <c r="J677" s="78"/>
    </row>
    <row r="678" spans="1:10" x14ac:dyDescent="0.2">
      <c r="A678" s="84">
        <f t="shared" si="23"/>
        <v>672</v>
      </c>
      <c r="B678" s="85" t="e">
        <f>+MATCH(D678,ARTICULOS!$F$10:$F$699,0)</f>
        <v>#N/A</v>
      </c>
      <c r="C678" s="86" t="e">
        <f>+VLOOKUP(B678,ARTICULOS!$D$10:$I$699,6)</f>
        <v>#N/A</v>
      </c>
      <c r="D678" s="212"/>
      <c r="E678" s="75" t="e">
        <f t="shared" si="24"/>
        <v>#N/A</v>
      </c>
      <c r="F678" s="80"/>
      <c r="G678" s="81"/>
      <c r="H678" s="78"/>
      <c r="I678" s="78"/>
      <c r="J678" s="78"/>
    </row>
    <row r="679" spans="1:10" x14ac:dyDescent="0.2">
      <c r="A679" s="84">
        <f t="shared" si="23"/>
        <v>673</v>
      </c>
      <c r="B679" s="85" t="e">
        <f>+MATCH(D679,ARTICULOS!$F$10:$F$699,0)</f>
        <v>#N/A</v>
      </c>
      <c r="C679" s="86" t="e">
        <f>+VLOOKUP(B679,ARTICULOS!$D$10:$I$699,6)</f>
        <v>#N/A</v>
      </c>
      <c r="D679" s="212"/>
      <c r="E679" s="75" t="e">
        <f t="shared" si="24"/>
        <v>#N/A</v>
      </c>
      <c r="F679" s="80"/>
      <c r="G679" s="81"/>
      <c r="H679" s="78"/>
      <c r="I679" s="78"/>
      <c r="J679" s="78"/>
    </row>
    <row r="680" spans="1:10" x14ac:dyDescent="0.2">
      <c r="A680" s="84">
        <f t="shared" si="23"/>
        <v>674</v>
      </c>
      <c r="B680" s="85" t="e">
        <f>+MATCH(D680,ARTICULOS!$F$10:$F$699,0)</f>
        <v>#N/A</v>
      </c>
      <c r="C680" s="86" t="e">
        <f>+VLOOKUP(B680,ARTICULOS!$D$10:$I$699,6)</f>
        <v>#N/A</v>
      </c>
      <c r="D680" s="212"/>
      <c r="E680" s="75" t="e">
        <f t="shared" si="24"/>
        <v>#N/A</v>
      </c>
      <c r="F680" s="80"/>
      <c r="G680" s="81"/>
      <c r="H680" s="78"/>
      <c r="I680" s="78"/>
      <c r="J680" s="78"/>
    </row>
    <row r="681" spans="1:10" x14ac:dyDescent="0.2">
      <c r="A681" s="84">
        <f t="shared" ref="A681:A744" si="25">ROW()-6</f>
        <v>675</v>
      </c>
      <c r="B681" s="85" t="e">
        <f>+MATCH(D681,ARTICULOS!$F$10:$F$699,0)</f>
        <v>#N/A</v>
      </c>
      <c r="C681" s="86" t="e">
        <f>+VLOOKUP(B681,ARTICULOS!$D$10:$I$699,6)</f>
        <v>#N/A</v>
      </c>
      <c r="D681" s="212"/>
      <c r="E681" s="75" t="e">
        <f t="shared" si="24"/>
        <v>#N/A</v>
      </c>
      <c r="F681" s="80"/>
      <c r="G681" s="81"/>
      <c r="H681" s="78"/>
      <c r="I681" s="78"/>
      <c r="J681" s="78"/>
    </row>
    <row r="682" spans="1:10" x14ac:dyDescent="0.2">
      <c r="A682" s="84">
        <f t="shared" si="25"/>
        <v>676</v>
      </c>
      <c r="B682" s="85" t="e">
        <f>+MATCH(D682,ARTICULOS!$F$10:$F$699,0)</f>
        <v>#N/A</v>
      </c>
      <c r="C682" s="86" t="e">
        <f>+VLOOKUP(B682,ARTICULOS!$D$10:$I$699,6)</f>
        <v>#N/A</v>
      </c>
      <c r="D682" s="212"/>
      <c r="E682" s="75" t="e">
        <f t="shared" si="24"/>
        <v>#N/A</v>
      </c>
      <c r="F682" s="80"/>
      <c r="G682" s="81"/>
      <c r="H682" s="78"/>
      <c r="I682" s="78"/>
      <c r="J682" s="78"/>
    </row>
    <row r="683" spans="1:10" x14ac:dyDescent="0.2">
      <c r="A683" s="84">
        <f t="shared" si="25"/>
        <v>677</v>
      </c>
      <c r="B683" s="85" t="e">
        <f>+MATCH(D683,ARTICULOS!$F$10:$F$699,0)</f>
        <v>#N/A</v>
      </c>
      <c r="C683" s="86" t="e">
        <f>+VLOOKUP(B683,ARTICULOS!$D$10:$I$699,6)</f>
        <v>#N/A</v>
      </c>
      <c r="D683" s="212"/>
      <c r="E683" s="75" t="e">
        <f t="shared" si="24"/>
        <v>#N/A</v>
      </c>
      <c r="F683" s="80"/>
      <c r="G683" s="81"/>
      <c r="H683" s="78"/>
      <c r="I683" s="78"/>
      <c r="J683" s="78"/>
    </row>
    <row r="684" spans="1:10" x14ac:dyDescent="0.2">
      <c r="A684" s="84">
        <f t="shared" si="25"/>
        <v>678</v>
      </c>
      <c r="B684" s="85" t="e">
        <f>+MATCH(D684,ARTICULOS!$F$10:$F$699,0)</f>
        <v>#N/A</v>
      </c>
      <c r="C684" s="86" t="e">
        <f>+VLOOKUP(B684,ARTICULOS!$D$10:$I$699,6)</f>
        <v>#N/A</v>
      </c>
      <c r="D684" s="212"/>
      <c r="E684" s="75" t="e">
        <f t="shared" si="24"/>
        <v>#N/A</v>
      </c>
      <c r="F684" s="80"/>
      <c r="G684" s="81"/>
      <c r="H684" s="78"/>
      <c r="I684" s="78"/>
      <c r="J684" s="78"/>
    </row>
    <row r="685" spans="1:10" x14ac:dyDescent="0.2">
      <c r="A685" s="84">
        <f t="shared" si="25"/>
        <v>679</v>
      </c>
      <c r="B685" s="85" t="e">
        <f>+MATCH(D685,ARTICULOS!$F$10:$F$699,0)</f>
        <v>#N/A</v>
      </c>
      <c r="C685" s="86" t="e">
        <f>+VLOOKUP(B685,ARTICULOS!$D$10:$I$699,6)</f>
        <v>#N/A</v>
      </c>
      <c r="D685" s="212"/>
      <c r="E685" s="75" t="e">
        <f t="shared" si="24"/>
        <v>#N/A</v>
      </c>
      <c r="F685" s="80"/>
      <c r="G685" s="81"/>
      <c r="H685" s="78"/>
      <c r="I685" s="78"/>
      <c r="J685" s="78"/>
    </row>
    <row r="686" spans="1:10" x14ac:dyDescent="0.2">
      <c r="A686" s="84">
        <f t="shared" si="25"/>
        <v>680</v>
      </c>
      <c r="B686" s="85" t="e">
        <f>+MATCH(D686,ARTICULOS!$F$10:$F$699,0)</f>
        <v>#N/A</v>
      </c>
      <c r="C686" s="86" t="e">
        <f>+VLOOKUP(B686,ARTICULOS!$D$10:$I$699,6)</f>
        <v>#N/A</v>
      </c>
      <c r="D686" s="212"/>
      <c r="E686" s="75" t="e">
        <f t="shared" si="24"/>
        <v>#N/A</v>
      </c>
      <c r="F686" s="80"/>
      <c r="G686" s="81"/>
      <c r="H686" s="78"/>
      <c r="I686" s="78"/>
      <c r="J686" s="78"/>
    </row>
    <row r="687" spans="1:10" x14ac:dyDescent="0.2">
      <c r="A687" s="84">
        <f t="shared" si="25"/>
        <v>681</v>
      </c>
      <c r="B687" s="85" t="e">
        <f>+MATCH(D687,ARTICULOS!$F$10:$F$699,0)</f>
        <v>#N/A</v>
      </c>
      <c r="C687" s="86" t="e">
        <f>+VLOOKUP(B687,ARTICULOS!$D$10:$I$699,6)</f>
        <v>#N/A</v>
      </c>
      <c r="D687" s="212"/>
      <c r="E687" s="75" t="e">
        <f t="shared" si="24"/>
        <v>#N/A</v>
      </c>
      <c r="F687" s="80"/>
      <c r="G687" s="81"/>
      <c r="H687" s="78"/>
      <c r="I687" s="78"/>
      <c r="J687" s="78"/>
    </row>
    <row r="688" spans="1:10" x14ac:dyDescent="0.2">
      <c r="A688" s="84">
        <f t="shared" si="25"/>
        <v>682</v>
      </c>
      <c r="B688" s="85" t="e">
        <f>+MATCH(D688,ARTICULOS!$F$10:$F$699,0)</f>
        <v>#N/A</v>
      </c>
      <c r="C688" s="86" t="e">
        <f>+VLOOKUP(B688,ARTICULOS!$D$10:$I$699,6)</f>
        <v>#N/A</v>
      </c>
      <c r="D688" s="212"/>
      <c r="E688" s="75" t="e">
        <f t="shared" si="24"/>
        <v>#N/A</v>
      </c>
      <c r="F688" s="80"/>
      <c r="G688" s="81"/>
      <c r="H688" s="78"/>
      <c r="I688" s="78"/>
      <c r="J688" s="78"/>
    </row>
    <row r="689" spans="1:10" x14ac:dyDescent="0.2">
      <c r="A689" s="84">
        <f t="shared" si="25"/>
        <v>683</v>
      </c>
      <c r="B689" s="85" t="e">
        <f>+MATCH(D689,ARTICULOS!$F$10:$F$699,0)</f>
        <v>#N/A</v>
      </c>
      <c r="C689" s="86" t="e">
        <f>+VLOOKUP(B689,ARTICULOS!$D$10:$I$699,6)</f>
        <v>#N/A</v>
      </c>
      <c r="D689" s="212"/>
      <c r="E689" s="75" t="e">
        <f t="shared" si="24"/>
        <v>#N/A</v>
      </c>
      <c r="F689" s="80"/>
      <c r="G689" s="81"/>
      <c r="H689" s="78"/>
      <c r="I689" s="78"/>
      <c r="J689" s="78"/>
    </row>
    <row r="690" spans="1:10" x14ac:dyDescent="0.2">
      <c r="A690" s="84">
        <f t="shared" si="25"/>
        <v>684</v>
      </c>
      <c r="B690" s="85" t="e">
        <f>+MATCH(D690,ARTICULOS!$F$10:$F$699,0)</f>
        <v>#N/A</v>
      </c>
      <c r="C690" s="86" t="e">
        <f>+VLOOKUP(B690,ARTICULOS!$D$10:$I$699,6)</f>
        <v>#N/A</v>
      </c>
      <c r="D690" s="212"/>
      <c r="E690" s="75" t="e">
        <f t="shared" si="24"/>
        <v>#N/A</v>
      </c>
      <c r="F690" s="80"/>
      <c r="G690" s="81"/>
      <c r="H690" s="78"/>
      <c r="I690" s="78"/>
      <c r="J690" s="78"/>
    </row>
    <row r="691" spans="1:10" x14ac:dyDescent="0.2">
      <c r="A691" s="84">
        <f t="shared" si="25"/>
        <v>685</v>
      </c>
      <c r="B691" s="85" t="e">
        <f>+MATCH(D691,ARTICULOS!$F$10:$F$699,0)</f>
        <v>#N/A</v>
      </c>
      <c r="C691" s="86" t="e">
        <f>+VLOOKUP(B691,ARTICULOS!$D$10:$I$699,6)</f>
        <v>#N/A</v>
      </c>
      <c r="D691" s="212"/>
      <c r="E691" s="75" t="e">
        <f t="shared" si="24"/>
        <v>#N/A</v>
      </c>
      <c r="F691" s="80"/>
      <c r="G691" s="81"/>
      <c r="H691" s="78"/>
      <c r="I691" s="78"/>
      <c r="J691" s="78"/>
    </row>
    <row r="692" spans="1:10" x14ac:dyDescent="0.2">
      <c r="A692" s="84">
        <f t="shared" si="25"/>
        <v>686</v>
      </c>
      <c r="B692" s="85" t="e">
        <f>+MATCH(D692,ARTICULOS!$F$10:$F$699,0)</f>
        <v>#N/A</v>
      </c>
      <c r="C692" s="86" t="e">
        <f>+VLOOKUP(B692,ARTICULOS!$D$10:$I$699,6)</f>
        <v>#N/A</v>
      </c>
      <c r="D692" s="212"/>
      <c r="E692" s="75" t="e">
        <f t="shared" si="24"/>
        <v>#N/A</v>
      </c>
      <c r="F692" s="80"/>
      <c r="G692" s="81"/>
      <c r="H692" s="78"/>
      <c r="I692" s="78"/>
      <c r="J692" s="78"/>
    </row>
    <row r="693" spans="1:10" x14ac:dyDescent="0.2">
      <c r="A693" s="84">
        <f t="shared" si="25"/>
        <v>687</v>
      </c>
      <c r="B693" s="85" t="e">
        <f>+MATCH(D693,ARTICULOS!$F$10:$F$699,0)</f>
        <v>#N/A</v>
      </c>
      <c r="C693" s="86" t="e">
        <f>+VLOOKUP(B693,ARTICULOS!$D$10:$I$699,6)</f>
        <v>#N/A</v>
      </c>
      <c r="D693" s="212"/>
      <c r="E693" s="75" t="e">
        <f t="shared" si="24"/>
        <v>#N/A</v>
      </c>
      <c r="F693" s="80"/>
      <c r="G693" s="81"/>
      <c r="H693" s="78"/>
      <c r="I693" s="78"/>
      <c r="J693" s="78"/>
    </row>
    <row r="694" spans="1:10" x14ac:dyDescent="0.2">
      <c r="A694" s="84">
        <f t="shared" si="25"/>
        <v>688</v>
      </c>
      <c r="B694" s="85" t="e">
        <f>+MATCH(D694,ARTICULOS!$F$10:$F$699,0)</f>
        <v>#N/A</v>
      </c>
      <c r="C694" s="86" t="e">
        <f>+VLOOKUP(B694,ARTICULOS!$D$10:$I$699,6)</f>
        <v>#N/A</v>
      </c>
      <c r="D694" s="212"/>
      <c r="E694" s="75" t="e">
        <f t="shared" si="24"/>
        <v>#N/A</v>
      </c>
      <c r="F694" s="80"/>
      <c r="G694" s="81"/>
      <c r="H694" s="78"/>
      <c r="I694" s="78"/>
      <c r="J694" s="78"/>
    </row>
    <row r="695" spans="1:10" x14ac:dyDescent="0.2">
      <c r="A695" s="84">
        <f t="shared" si="25"/>
        <v>689</v>
      </c>
      <c r="B695" s="85" t="e">
        <f>+MATCH(D695,ARTICULOS!$F$10:$F$699,0)</f>
        <v>#N/A</v>
      </c>
      <c r="C695" s="86" t="e">
        <f>+VLOOKUP(B695,ARTICULOS!$D$10:$I$699,6)</f>
        <v>#N/A</v>
      </c>
      <c r="D695" s="212"/>
      <c r="E695" s="75" t="e">
        <f t="shared" si="24"/>
        <v>#N/A</v>
      </c>
      <c r="F695" s="80"/>
      <c r="G695" s="81"/>
      <c r="H695" s="78"/>
      <c r="I695" s="78"/>
      <c r="J695" s="78"/>
    </row>
    <row r="696" spans="1:10" x14ac:dyDescent="0.2">
      <c r="A696" s="84">
        <f t="shared" si="25"/>
        <v>690</v>
      </c>
      <c r="B696" s="85" t="e">
        <f>+MATCH(D696,ARTICULOS!$F$10:$F$699,0)</f>
        <v>#N/A</v>
      </c>
      <c r="C696" s="86" t="e">
        <f>+VLOOKUP(B696,ARTICULOS!$D$10:$I$699,6)</f>
        <v>#N/A</v>
      </c>
      <c r="D696" s="212"/>
      <c r="E696" s="75" t="e">
        <f t="shared" si="24"/>
        <v>#N/A</v>
      </c>
      <c r="F696" s="80"/>
      <c r="G696" s="81"/>
      <c r="H696" s="78"/>
      <c r="I696" s="78"/>
      <c r="J696" s="78"/>
    </row>
    <row r="697" spans="1:10" x14ac:dyDescent="0.2">
      <c r="A697" s="84">
        <f t="shared" si="25"/>
        <v>691</v>
      </c>
      <c r="B697" s="85" t="e">
        <f>+MATCH(D697,ARTICULOS!$F$10:$F$699,0)</f>
        <v>#N/A</v>
      </c>
      <c r="C697" s="86" t="e">
        <f>+VLOOKUP(B697,ARTICULOS!$D$10:$I$699,6)</f>
        <v>#N/A</v>
      </c>
      <c r="D697" s="212"/>
      <c r="E697" s="75" t="e">
        <f t="shared" si="24"/>
        <v>#N/A</v>
      </c>
      <c r="F697" s="80"/>
      <c r="G697" s="81"/>
      <c r="H697" s="78"/>
      <c r="I697" s="78"/>
      <c r="J697" s="78"/>
    </row>
    <row r="698" spans="1:10" x14ac:dyDescent="0.2">
      <c r="A698" s="84">
        <f t="shared" si="25"/>
        <v>692</v>
      </c>
      <c r="B698" s="85" t="e">
        <f>+MATCH(D698,ARTICULOS!$F$10:$F$699,0)</f>
        <v>#N/A</v>
      </c>
      <c r="C698" s="86" t="e">
        <f>+VLOOKUP(B698,ARTICULOS!$D$10:$I$699,6)</f>
        <v>#N/A</v>
      </c>
      <c r="D698" s="212"/>
      <c r="E698" s="75" t="e">
        <f t="shared" si="24"/>
        <v>#N/A</v>
      </c>
      <c r="F698" s="80"/>
      <c r="G698" s="81"/>
      <c r="H698" s="78"/>
      <c r="I698" s="78"/>
      <c r="J698" s="78"/>
    </row>
    <row r="699" spans="1:10" x14ac:dyDescent="0.2">
      <c r="A699" s="84">
        <f t="shared" si="25"/>
        <v>693</v>
      </c>
      <c r="B699" s="85" t="e">
        <f>+MATCH(D699,ARTICULOS!$F$10:$F$699,0)</f>
        <v>#N/A</v>
      </c>
      <c r="C699" s="86" t="e">
        <f>+VLOOKUP(B699,ARTICULOS!$D$10:$I$699,6)</f>
        <v>#N/A</v>
      </c>
      <c r="D699" s="212"/>
      <c r="E699" s="75" t="e">
        <f t="shared" si="24"/>
        <v>#N/A</v>
      </c>
      <c r="F699" s="80"/>
      <c r="G699" s="81"/>
      <c r="H699" s="78"/>
      <c r="I699" s="78"/>
      <c r="J699" s="78"/>
    </row>
    <row r="700" spans="1:10" x14ac:dyDescent="0.2">
      <c r="A700" s="84">
        <f t="shared" si="25"/>
        <v>694</v>
      </c>
      <c r="B700" s="85" t="e">
        <f>+MATCH(D700,ARTICULOS!$F$10:$F$699,0)</f>
        <v>#N/A</v>
      </c>
      <c r="C700" s="86" t="e">
        <f>+VLOOKUP(B700,ARTICULOS!$D$10:$I$699,6)</f>
        <v>#N/A</v>
      </c>
      <c r="D700" s="212"/>
      <c r="E700" s="75" t="e">
        <f t="shared" si="24"/>
        <v>#N/A</v>
      </c>
      <c r="F700" s="80"/>
      <c r="G700" s="81"/>
      <c r="H700" s="78"/>
      <c r="I700" s="78"/>
      <c r="J700" s="78"/>
    </row>
    <row r="701" spans="1:10" x14ac:dyDescent="0.2">
      <c r="A701" s="84">
        <f t="shared" si="25"/>
        <v>695</v>
      </c>
      <c r="B701" s="85" t="e">
        <f>+MATCH(D701,ARTICULOS!$F$10:$F$699,0)</f>
        <v>#N/A</v>
      </c>
      <c r="C701" s="86" t="e">
        <f>+VLOOKUP(B701,ARTICULOS!$D$10:$I$699,6)</f>
        <v>#N/A</v>
      </c>
      <c r="D701" s="212"/>
      <c r="E701" s="75" t="e">
        <f t="shared" si="24"/>
        <v>#N/A</v>
      </c>
      <c r="F701" s="80"/>
      <c r="G701" s="81"/>
      <c r="H701" s="78"/>
      <c r="I701" s="78"/>
      <c r="J701" s="78"/>
    </row>
    <row r="702" spans="1:10" x14ac:dyDescent="0.2">
      <c r="A702" s="84">
        <f t="shared" si="25"/>
        <v>696</v>
      </c>
      <c r="B702" s="85" t="e">
        <f>+MATCH(D702,ARTICULOS!$F$10:$F$699,0)</f>
        <v>#N/A</v>
      </c>
      <c r="C702" s="86" t="e">
        <f>+VLOOKUP(B702,ARTICULOS!$D$10:$I$699,6)</f>
        <v>#N/A</v>
      </c>
      <c r="D702" s="212"/>
      <c r="E702" s="75" t="e">
        <f t="shared" si="24"/>
        <v>#N/A</v>
      </c>
      <c r="F702" s="80"/>
      <c r="G702" s="81"/>
      <c r="H702" s="78"/>
      <c r="I702" s="78"/>
      <c r="J702" s="78"/>
    </row>
    <row r="703" spans="1:10" x14ac:dyDescent="0.2">
      <c r="A703" s="84">
        <f t="shared" si="25"/>
        <v>697</v>
      </c>
      <c r="B703" s="85" t="e">
        <f>+MATCH(D703,ARTICULOS!$F$10:$F$699,0)</f>
        <v>#N/A</v>
      </c>
      <c r="C703" s="86" t="e">
        <f>+VLOOKUP(B703,ARTICULOS!$D$10:$I$699,6)</f>
        <v>#N/A</v>
      </c>
      <c r="D703" s="212"/>
      <c r="E703" s="75" t="e">
        <f t="shared" si="24"/>
        <v>#N/A</v>
      </c>
      <c r="F703" s="80"/>
      <c r="G703" s="81"/>
      <c r="H703" s="78"/>
      <c r="I703" s="78"/>
      <c r="J703" s="78"/>
    </row>
    <row r="704" spans="1:10" x14ac:dyDescent="0.2">
      <c r="A704" s="84">
        <f t="shared" si="25"/>
        <v>698</v>
      </c>
      <c r="B704" s="85" t="e">
        <f>+MATCH(D704,ARTICULOS!$F$10:$F$699,0)</f>
        <v>#N/A</v>
      </c>
      <c r="C704" s="86" t="e">
        <f>+VLOOKUP(B704,ARTICULOS!$D$10:$I$699,6)</f>
        <v>#N/A</v>
      </c>
      <c r="D704" s="212"/>
      <c r="E704" s="75" t="e">
        <f t="shared" si="24"/>
        <v>#N/A</v>
      </c>
      <c r="F704" s="80"/>
      <c r="G704" s="81"/>
      <c r="H704" s="78"/>
      <c r="I704" s="78"/>
      <c r="J704" s="78"/>
    </row>
    <row r="705" spans="1:10" x14ac:dyDescent="0.2">
      <c r="A705" s="84">
        <f t="shared" si="25"/>
        <v>699</v>
      </c>
      <c r="B705" s="85" t="e">
        <f>+MATCH(D705,ARTICULOS!$F$10:$F$699,0)</f>
        <v>#N/A</v>
      </c>
      <c r="C705" s="86" t="e">
        <f>+VLOOKUP(B705,ARTICULOS!$D$10:$I$699,6)</f>
        <v>#N/A</v>
      </c>
      <c r="D705" s="212"/>
      <c r="E705" s="75" t="e">
        <f t="shared" si="24"/>
        <v>#N/A</v>
      </c>
      <c r="F705" s="80"/>
      <c r="G705" s="81"/>
      <c r="H705" s="78"/>
      <c r="I705" s="78"/>
      <c r="J705" s="78"/>
    </row>
    <row r="706" spans="1:10" x14ac:dyDescent="0.2">
      <c r="A706" s="84">
        <f t="shared" si="25"/>
        <v>700</v>
      </c>
      <c r="B706" s="85" t="e">
        <f>+MATCH(D706,ARTICULOS!$F$10:$F$699,0)</f>
        <v>#N/A</v>
      </c>
      <c r="C706" s="86" t="e">
        <f>+VLOOKUP(B706,ARTICULOS!$D$10:$I$699,6)</f>
        <v>#N/A</v>
      </c>
      <c r="D706" s="212"/>
      <c r="E706" s="75" t="e">
        <f t="shared" si="24"/>
        <v>#N/A</v>
      </c>
      <c r="F706" s="80"/>
      <c r="G706" s="81"/>
      <c r="H706" s="78"/>
      <c r="I706" s="78"/>
      <c r="J706" s="78"/>
    </row>
    <row r="707" spans="1:10" x14ac:dyDescent="0.2">
      <c r="A707" s="84">
        <f t="shared" si="25"/>
        <v>701</v>
      </c>
      <c r="B707" s="85" t="e">
        <f>+MATCH(D707,ARTICULOS!$F$10:$F$699,0)</f>
        <v>#N/A</v>
      </c>
      <c r="C707" s="86" t="e">
        <f>+VLOOKUP(B707,ARTICULOS!$D$10:$I$699,6)</f>
        <v>#N/A</v>
      </c>
      <c r="D707" s="212"/>
      <c r="E707" s="75" t="e">
        <f t="shared" si="24"/>
        <v>#N/A</v>
      </c>
      <c r="F707" s="80"/>
      <c r="G707" s="81"/>
      <c r="H707" s="78"/>
      <c r="I707" s="78"/>
      <c r="J707" s="78"/>
    </row>
    <row r="708" spans="1:10" x14ac:dyDescent="0.2">
      <c r="A708" s="84">
        <f t="shared" si="25"/>
        <v>702</v>
      </c>
      <c r="B708" s="85" t="e">
        <f>+MATCH(D708,ARTICULOS!$F$10:$F$699,0)</f>
        <v>#N/A</v>
      </c>
      <c r="C708" s="86" t="e">
        <f>+VLOOKUP(B708,ARTICULOS!$D$10:$I$699,6)</f>
        <v>#N/A</v>
      </c>
      <c r="D708" s="212"/>
      <c r="E708" s="75" t="e">
        <f t="shared" si="24"/>
        <v>#N/A</v>
      </c>
      <c r="F708" s="80"/>
      <c r="G708" s="81"/>
      <c r="H708" s="78"/>
      <c r="I708" s="78"/>
      <c r="J708" s="78"/>
    </row>
    <row r="709" spans="1:10" x14ac:dyDescent="0.2">
      <c r="A709" s="84">
        <f t="shared" si="25"/>
        <v>703</v>
      </c>
      <c r="B709" s="85" t="e">
        <f>+MATCH(D709,ARTICULOS!$F$10:$F$699,0)</f>
        <v>#N/A</v>
      </c>
      <c r="C709" s="86" t="e">
        <f>+VLOOKUP(B709,ARTICULOS!$D$10:$I$699,6)</f>
        <v>#N/A</v>
      </c>
      <c r="D709" s="212"/>
      <c r="E709" s="75" t="e">
        <f t="shared" si="24"/>
        <v>#N/A</v>
      </c>
      <c r="F709" s="80"/>
      <c r="G709" s="81"/>
      <c r="H709" s="78"/>
      <c r="I709" s="78"/>
      <c r="J709" s="78"/>
    </row>
    <row r="710" spans="1:10" x14ac:dyDescent="0.2">
      <c r="A710" s="84">
        <f t="shared" si="25"/>
        <v>704</v>
      </c>
      <c r="B710" s="85" t="e">
        <f>+MATCH(D710,ARTICULOS!$F$10:$F$699,0)</f>
        <v>#N/A</v>
      </c>
      <c r="C710" s="86" t="e">
        <f>+VLOOKUP(B710,ARTICULOS!$D$10:$I$699,6)</f>
        <v>#N/A</v>
      </c>
      <c r="D710" s="212"/>
      <c r="E710" s="75" t="e">
        <f t="shared" si="24"/>
        <v>#N/A</v>
      </c>
      <c r="F710" s="80"/>
      <c r="G710" s="81"/>
      <c r="H710" s="78"/>
      <c r="I710" s="78"/>
      <c r="J710" s="78"/>
    </row>
    <row r="711" spans="1:10" x14ac:dyDescent="0.2">
      <c r="A711" s="84">
        <f t="shared" si="25"/>
        <v>705</v>
      </c>
      <c r="B711" s="85" t="e">
        <f>+MATCH(D711,ARTICULOS!$F$10:$F$699,0)</f>
        <v>#N/A</v>
      </c>
      <c r="C711" s="86" t="e">
        <f>+VLOOKUP(B711,ARTICULOS!$D$10:$I$699,6)</f>
        <v>#N/A</v>
      </c>
      <c r="D711" s="212"/>
      <c r="E711" s="75" t="e">
        <f t="shared" si="24"/>
        <v>#N/A</v>
      </c>
      <c r="F711" s="80"/>
      <c r="G711" s="81"/>
      <c r="H711" s="78"/>
      <c r="I711" s="78"/>
      <c r="J711" s="78"/>
    </row>
    <row r="712" spans="1:10" x14ac:dyDescent="0.2">
      <c r="A712" s="84">
        <f t="shared" si="25"/>
        <v>706</v>
      </c>
      <c r="B712" s="85" t="e">
        <f>+MATCH(D712,ARTICULOS!$F$10:$F$699,0)</f>
        <v>#N/A</v>
      </c>
      <c r="C712" s="86" t="e">
        <f>+VLOOKUP(B712,ARTICULOS!$D$10:$I$699,6)</f>
        <v>#N/A</v>
      </c>
      <c r="D712" s="212"/>
      <c r="E712" s="75" t="e">
        <f t="shared" si="24"/>
        <v>#N/A</v>
      </c>
      <c r="F712" s="80"/>
      <c r="G712" s="81"/>
      <c r="H712" s="78"/>
      <c r="I712" s="78"/>
      <c r="J712" s="78"/>
    </row>
    <row r="713" spans="1:10" x14ac:dyDescent="0.2">
      <c r="A713" s="84">
        <f t="shared" si="25"/>
        <v>707</v>
      </c>
      <c r="B713" s="85" t="e">
        <f>+MATCH(D713,ARTICULOS!$F$10:$F$699,0)</f>
        <v>#N/A</v>
      </c>
      <c r="C713" s="86" t="e">
        <f>+VLOOKUP(B713,ARTICULOS!$D$10:$I$699,6)</f>
        <v>#N/A</v>
      </c>
      <c r="D713" s="212"/>
      <c r="E713" s="75" t="e">
        <f t="shared" si="24"/>
        <v>#N/A</v>
      </c>
      <c r="F713" s="80"/>
      <c r="G713" s="81"/>
      <c r="H713" s="78"/>
      <c r="I713" s="78"/>
      <c r="J713" s="78"/>
    </row>
    <row r="714" spans="1:10" x14ac:dyDescent="0.2">
      <c r="A714" s="84">
        <f t="shared" si="25"/>
        <v>708</v>
      </c>
      <c r="B714" s="85" t="e">
        <f>+MATCH(D714,ARTICULOS!$F$10:$F$699,0)</f>
        <v>#N/A</v>
      </c>
      <c r="C714" s="86" t="e">
        <f>+VLOOKUP(B714,ARTICULOS!$D$10:$I$699,6)</f>
        <v>#N/A</v>
      </c>
      <c r="D714" s="212"/>
      <c r="E714" s="75" t="e">
        <f t="shared" si="24"/>
        <v>#N/A</v>
      </c>
      <c r="F714" s="80"/>
      <c r="G714" s="81"/>
      <c r="H714" s="78"/>
      <c r="I714" s="78"/>
      <c r="J714" s="78"/>
    </row>
    <row r="715" spans="1:10" x14ac:dyDescent="0.2">
      <c r="A715" s="84">
        <f t="shared" si="25"/>
        <v>709</v>
      </c>
      <c r="B715" s="85" t="e">
        <f>+MATCH(D715,ARTICULOS!$F$10:$F$699,0)</f>
        <v>#N/A</v>
      </c>
      <c r="C715" s="86" t="e">
        <f>+VLOOKUP(B715,ARTICULOS!$D$10:$I$699,6)</f>
        <v>#N/A</v>
      </c>
      <c r="D715" s="212"/>
      <c r="E715" s="75" t="e">
        <f t="shared" ref="E715:E778" si="26">+C715&amp;F715</f>
        <v>#N/A</v>
      </c>
      <c r="F715" s="80"/>
      <c r="G715" s="81"/>
      <c r="H715" s="78"/>
      <c r="I715" s="78"/>
      <c r="J715" s="78"/>
    </row>
    <row r="716" spans="1:10" x14ac:dyDescent="0.2">
      <c r="A716" s="84">
        <f t="shared" si="25"/>
        <v>710</v>
      </c>
      <c r="B716" s="85" t="e">
        <f>+MATCH(D716,ARTICULOS!$F$10:$F$699,0)</f>
        <v>#N/A</v>
      </c>
      <c r="C716" s="86" t="e">
        <f>+VLOOKUP(B716,ARTICULOS!$D$10:$I$699,6)</f>
        <v>#N/A</v>
      </c>
      <c r="D716" s="212"/>
      <c r="E716" s="75" t="e">
        <f t="shared" si="26"/>
        <v>#N/A</v>
      </c>
      <c r="F716" s="80"/>
      <c r="G716" s="81"/>
      <c r="H716" s="78"/>
      <c r="I716" s="78"/>
      <c r="J716" s="78"/>
    </row>
    <row r="717" spans="1:10" x14ac:dyDescent="0.2">
      <c r="A717" s="84">
        <f t="shared" si="25"/>
        <v>711</v>
      </c>
      <c r="B717" s="85" t="e">
        <f>+MATCH(D717,ARTICULOS!$F$10:$F$699,0)</f>
        <v>#N/A</v>
      </c>
      <c r="C717" s="86" t="e">
        <f>+VLOOKUP(B717,ARTICULOS!$D$10:$I$699,6)</f>
        <v>#N/A</v>
      </c>
      <c r="D717" s="212"/>
      <c r="E717" s="75" t="e">
        <f t="shared" si="26"/>
        <v>#N/A</v>
      </c>
      <c r="F717" s="80"/>
      <c r="G717" s="81"/>
      <c r="H717" s="78"/>
      <c r="I717" s="78"/>
      <c r="J717" s="78"/>
    </row>
    <row r="718" spans="1:10" x14ac:dyDescent="0.2">
      <c r="A718" s="84">
        <f t="shared" si="25"/>
        <v>712</v>
      </c>
      <c r="B718" s="85" t="e">
        <f>+MATCH(D718,ARTICULOS!$F$10:$F$699,0)</f>
        <v>#N/A</v>
      </c>
      <c r="C718" s="86" t="e">
        <f>+VLOOKUP(B718,ARTICULOS!$D$10:$I$699,6)</f>
        <v>#N/A</v>
      </c>
      <c r="D718" s="212"/>
      <c r="E718" s="75" t="e">
        <f t="shared" si="26"/>
        <v>#N/A</v>
      </c>
      <c r="F718" s="80"/>
      <c r="G718" s="81"/>
      <c r="H718" s="78"/>
      <c r="I718" s="78"/>
      <c r="J718" s="78"/>
    </row>
    <row r="719" spans="1:10" x14ac:dyDescent="0.2">
      <c r="A719" s="84">
        <f t="shared" si="25"/>
        <v>713</v>
      </c>
      <c r="B719" s="85" t="e">
        <f>+MATCH(D719,ARTICULOS!$F$10:$F$699,0)</f>
        <v>#N/A</v>
      </c>
      <c r="C719" s="86" t="e">
        <f>+VLOOKUP(B719,ARTICULOS!$D$10:$I$699,6)</f>
        <v>#N/A</v>
      </c>
      <c r="D719" s="212"/>
      <c r="E719" s="75" t="e">
        <f t="shared" si="26"/>
        <v>#N/A</v>
      </c>
      <c r="F719" s="80"/>
      <c r="G719" s="81"/>
      <c r="H719" s="78"/>
      <c r="I719" s="78"/>
      <c r="J719" s="78"/>
    </row>
    <row r="720" spans="1:10" x14ac:dyDescent="0.2">
      <c r="A720" s="84">
        <f t="shared" si="25"/>
        <v>714</v>
      </c>
      <c r="B720" s="85" t="e">
        <f>+MATCH(D720,ARTICULOS!$F$10:$F$699,0)</f>
        <v>#N/A</v>
      </c>
      <c r="C720" s="86" t="e">
        <f>+VLOOKUP(B720,ARTICULOS!$D$10:$I$699,6)</f>
        <v>#N/A</v>
      </c>
      <c r="D720" s="212"/>
      <c r="E720" s="75" t="e">
        <f t="shared" si="26"/>
        <v>#N/A</v>
      </c>
      <c r="F720" s="80"/>
      <c r="G720" s="81"/>
      <c r="H720" s="78"/>
      <c r="I720" s="78"/>
      <c r="J720" s="78"/>
    </row>
    <row r="721" spans="1:10" x14ac:dyDescent="0.2">
      <c r="A721" s="84">
        <f t="shared" si="25"/>
        <v>715</v>
      </c>
      <c r="B721" s="85" t="e">
        <f>+MATCH(D721,ARTICULOS!$F$10:$F$699,0)</f>
        <v>#N/A</v>
      </c>
      <c r="C721" s="86" t="e">
        <f>+VLOOKUP(B721,ARTICULOS!$D$10:$I$699,6)</f>
        <v>#N/A</v>
      </c>
      <c r="D721" s="212"/>
      <c r="E721" s="75" t="e">
        <f t="shared" si="26"/>
        <v>#N/A</v>
      </c>
      <c r="F721" s="80"/>
      <c r="G721" s="81"/>
      <c r="H721" s="78"/>
      <c r="I721" s="78"/>
      <c r="J721" s="78"/>
    </row>
    <row r="722" spans="1:10" x14ac:dyDescent="0.2">
      <c r="A722" s="84">
        <f t="shared" si="25"/>
        <v>716</v>
      </c>
      <c r="B722" s="85" t="e">
        <f>+MATCH(D722,ARTICULOS!$F$10:$F$699,0)</f>
        <v>#N/A</v>
      </c>
      <c r="C722" s="86" t="e">
        <f>+VLOOKUP(B722,ARTICULOS!$D$10:$I$699,6)</f>
        <v>#N/A</v>
      </c>
      <c r="D722" s="212"/>
      <c r="E722" s="75" t="e">
        <f t="shared" si="26"/>
        <v>#N/A</v>
      </c>
      <c r="F722" s="80"/>
      <c r="G722" s="81"/>
      <c r="H722" s="78"/>
      <c r="I722" s="78"/>
      <c r="J722" s="78"/>
    </row>
    <row r="723" spans="1:10" x14ac:dyDescent="0.2">
      <c r="A723" s="84">
        <f t="shared" si="25"/>
        <v>717</v>
      </c>
      <c r="B723" s="85" t="e">
        <f>+MATCH(D723,ARTICULOS!$F$10:$F$699,0)</f>
        <v>#N/A</v>
      </c>
      <c r="C723" s="86" t="e">
        <f>+VLOOKUP(B723,ARTICULOS!$D$10:$I$699,6)</f>
        <v>#N/A</v>
      </c>
      <c r="D723" s="212"/>
      <c r="E723" s="75" t="e">
        <f t="shared" si="26"/>
        <v>#N/A</v>
      </c>
      <c r="F723" s="80"/>
      <c r="G723" s="81"/>
      <c r="H723" s="78"/>
      <c r="I723" s="78"/>
      <c r="J723" s="78"/>
    </row>
    <row r="724" spans="1:10" x14ac:dyDescent="0.2">
      <c r="A724" s="84">
        <f t="shared" si="25"/>
        <v>718</v>
      </c>
      <c r="B724" s="85" t="e">
        <f>+MATCH(D724,ARTICULOS!$F$10:$F$699,0)</f>
        <v>#N/A</v>
      </c>
      <c r="C724" s="86" t="e">
        <f>+VLOOKUP(B724,ARTICULOS!$D$10:$I$699,6)</f>
        <v>#N/A</v>
      </c>
      <c r="D724" s="212"/>
      <c r="E724" s="75" t="e">
        <f t="shared" si="26"/>
        <v>#N/A</v>
      </c>
      <c r="F724" s="80"/>
      <c r="G724" s="81"/>
      <c r="H724" s="78"/>
      <c r="I724" s="78"/>
      <c r="J724" s="78"/>
    </row>
    <row r="725" spans="1:10" x14ac:dyDescent="0.2">
      <c r="A725" s="84">
        <f t="shared" si="25"/>
        <v>719</v>
      </c>
      <c r="B725" s="85" t="e">
        <f>+MATCH(D725,ARTICULOS!$F$10:$F$699,0)</f>
        <v>#N/A</v>
      </c>
      <c r="C725" s="86" t="e">
        <f>+VLOOKUP(B725,ARTICULOS!$D$10:$I$699,6)</f>
        <v>#N/A</v>
      </c>
      <c r="D725" s="212"/>
      <c r="E725" s="75" t="e">
        <f t="shared" si="26"/>
        <v>#N/A</v>
      </c>
      <c r="F725" s="80"/>
      <c r="G725" s="81"/>
      <c r="H725" s="78"/>
      <c r="I725" s="78"/>
      <c r="J725" s="78"/>
    </row>
    <row r="726" spans="1:10" x14ac:dyDescent="0.2">
      <c r="A726" s="84">
        <f t="shared" si="25"/>
        <v>720</v>
      </c>
      <c r="B726" s="85" t="e">
        <f>+MATCH(D726,ARTICULOS!$F$10:$F$699,0)</f>
        <v>#N/A</v>
      </c>
      <c r="C726" s="86" t="e">
        <f>+VLOOKUP(B726,ARTICULOS!$D$10:$I$699,6)</f>
        <v>#N/A</v>
      </c>
      <c r="D726" s="212"/>
      <c r="E726" s="75" t="e">
        <f t="shared" si="26"/>
        <v>#N/A</v>
      </c>
      <c r="F726" s="80"/>
      <c r="G726" s="81"/>
      <c r="H726" s="78"/>
      <c r="I726" s="78"/>
      <c r="J726" s="78"/>
    </row>
    <row r="727" spans="1:10" x14ac:dyDescent="0.2">
      <c r="A727" s="84">
        <f t="shared" si="25"/>
        <v>721</v>
      </c>
      <c r="B727" s="85" t="e">
        <f>+MATCH(D727,ARTICULOS!$F$10:$F$699,0)</f>
        <v>#N/A</v>
      </c>
      <c r="C727" s="86" t="e">
        <f>+VLOOKUP(B727,ARTICULOS!$D$10:$I$699,6)</f>
        <v>#N/A</v>
      </c>
      <c r="D727" s="212"/>
      <c r="E727" s="75" t="e">
        <f t="shared" si="26"/>
        <v>#N/A</v>
      </c>
      <c r="F727" s="80"/>
      <c r="G727" s="81"/>
      <c r="H727" s="78"/>
      <c r="I727" s="78"/>
      <c r="J727" s="78"/>
    </row>
    <row r="728" spans="1:10" x14ac:dyDescent="0.2">
      <c r="A728" s="84">
        <f t="shared" si="25"/>
        <v>722</v>
      </c>
      <c r="B728" s="85" t="e">
        <f>+MATCH(D728,ARTICULOS!$F$10:$F$699,0)</f>
        <v>#N/A</v>
      </c>
      <c r="C728" s="86" t="e">
        <f>+VLOOKUP(B728,ARTICULOS!$D$10:$I$699,6)</f>
        <v>#N/A</v>
      </c>
      <c r="D728" s="212"/>
      <c r="E728" s="75" t="e">
        <f t="shared" si="26"/>
        <v>#N/A</v>
      </c>
      <c r="F728" s="80"/>
      <c r="G728" s="81"/>
      <c r="H728" s="78"/>
      <c r="I728" s="78"/>
      <c r="J728" s="78"/>
    </row>
    <row r="729" spans="1:10" x14ac:dyDescent="0.2">
      <c r="A729" s="84">
        <f t="shared" si="25"/>
        <v>723</v>
      </c>
      <c r="B729" s="85" t="e">
        <f>+MATCH(D729,ARTICULOS!$F$10:$F$699,0)</f>
        <v>#N/A</v>
      </c>
      <c r="C729" s="86" t="e">
        <f>+VLOOKUP(B729,ARTICULOS!$D$10:$I$699,6)</f>
        <v>#N/A</v>
      </c>
      <c r="D729" s="212"/>
      <c r="E729" s="75" t="e">
        <f t="shared" si="26"/>
        <v>#N/A</v>
      </c>
      <c r="F729" s="80"/>
      <c r="G729" s="81"/>
      <c r="H729" s="78"/>
      <c r="I729" s="78"/>
      <c r="J729" s="78"/>
    </row>
    <row r="730" spans="1:10" x14ac:dyDescent="0.2">
      <c r="A730" s="84">
        <f t="shared" si="25"/>
        <v>724</v>
      </c>
      <c r="B730" s="85" t="e">
        <f>+MATCH(D730,ARTICULOS!$F$10:$F$699,0)</f>
        <v>#N/A</v>
      </c>
      <c r="C730" s="86" t="e">
        <f>+VLOOKUP(B730,ARTICULOS!$D$10:$I$699,6)</f>
        <v>#N/A</v>
      </c>
      <c r="D730" s="212"/>
      <c r="E730" s="75" t="e">
        <f t="shared" si="26"/>
        <v>#N/A</v>
      </c>
      <c r="F730" s="80"/>
      <c r="G730" s="81"/>
      <c r="H730" s="78"/>
      <c r="I730" s="78"/>
      <c r="J730" s="78"/>
    </row>
    <row r="731" spans="1:10" x14ac:dyDescent="0.2">
      <c r="A731" s="84">
        <f t="shared" si="25"/>
        <v>725</v>
      </c>
      <c r="B731" s="85" t="e">
        <f>+MATCH(D731,ARTICULOS!$F$10:$F$699,0)</f>
        <v>#N/A</v>
      </c>
      <c r="C731" s="86" t="e">
        <f>+VLOOKUP(B731,ARTICULOS!$D$10:$I$699,6)</f>
        <v>#N/A</v>
      </c>
      <c r="D731" s="212"/>
      <c r="E731" s="75" t="e">
        <f t="shared" si="26"/>
        <v>#N/A</v>
      </c>
      <c r="F731" s="80"/>
      <c r="G731" s="81"/>
      <c r="H731" s="78"/>
      <c r="I731" s="78"/>
      <c r="J731" s="78"/>
    </row>
    <row r="732" spans="1:10" x14ac:dyDescent="0.2">
      <c r="A732" s="84">
        <f t="shared" si="25"/>
        <v>726</v>
      </c>
      <c r="B732" s="85" t="e">
        <f>+MATCH(D732,ARTICULOS!$F$10:$F$699,0)</f>
        <v>#N/A</v>
      </c>
      <c r="C732" s="86" t="e">
        <f>+VLOOKUP(B732,ARTICULOS!$D$10:$I$699,6)</f>
        <v>#N/A</v>
      </c>
      <c r="D732" s="212"/>
      <c r="E732" s="75" t="e">
        <f t="shared" si="26"/>
        <v>#N/A</v>
      </c>
      <c r="F732" s="80"/>
      <c r="G732" s="81"/>
      <c r="H732" s="78"/>
      <c r="I732" s="78"/>
      <c r="J732" s="78"/>
    </row>
    <row r="733" spans="1:10" x14ac:dyDescent="0.2">
      <c r="A733" s="84">
        <f t="shared" si="25"/>
        <v>727</v>
      </c>
      <c r="B733" s="85" t="e">
        <f>+MATCH(D733,ARTICULOS!$F$10:$F$699,0)</f>
        <v>#N/A</v>
      </c>
      <c r="C733" s="86" t="e">
        <f>+VLOOKUP(B733,ARTICULOS!$D$10:$I$699,6)</f>
        <v>#N/A</v>
      </c>
      <c r="D733" s="212"/>
      <c r="E733" s="75" t="e">
        <f t="shared" si="26"/>
        <v>#N/A</v>
      </c>
      <c r="F733" s="80"/>
      <c r="G733" s="81"/>
      <c r="H733" s="78"/>
      <c r="I733" s="78"/>
      <c r="J733" s="78"/>
    </row>
    <row r="734" spans="1:10" x14ac:dyDescent="0.2">
      <c r="A734" s="84">
        <f t="shared" si="25"/>
        <v>728</v>
      </c>
      <c r="B734" s="85" t="e">
        <f>+MATCH(D734,ARTICULOS!$F$10:$F$699,0)</f>
        <v>#N/A</v>
      </c>
      <c r="C734" s="86" t="e">
        <f>+VLOOKUP(B734,ARTICULOS!$D$10:$I$699,6)</f>
        <v>#N/A</v>
      </c>
      <c r="D734" s="212"/>
      <c r="E734" s="75" t="e">
        <f t="shared" si="26"/>
        <v>#N/A</v>
      </c>
      <c r="F734" s="80"/>
      <c r="G734" s="81"/>
      <c r="H734" s="78"/>
      <c r="I734" s="78"/>
      <c r="J734" s="78"/>
    </row>
    <row r="735" spans="1:10" x14ac:dyDescent="0.2">
      <c r="A735" s="84">
        <f t="shared" si="25"/>
        <v>729</v>
      </c>
      <c r="B735" s="85" t="e">
        <f>+MATCH(D735,ARTICULOS!$F$10:$F$699,0)</f>
        <v>#N/A</v>
      </c>
      <c r="C735" s="86" t="e">
        <f>+VLOOKUP(B735,ARTICULOS!$D$10:$I$699,6)</f>
        <v>#N/A</v>
      </c>
      <c r="D735" s="212"/>
      <c r="E735" s="75" t="e">
        <f t="shared" si="26"/>
        <v>#N/A</v>
      </c>
      <c r="F735" s="80"/>
      <c r="G735" s="81"/>
      <c r="H735" s="78"/>
      <c r="I735" s="78"/>
      <c r="J735" s="78"/>
    </row>
    <row r="736" spans="1:10" x14ac:dyDescent="0.2">
      <c r="A736" s="84">
        <f t="shared" si="25"/>
        <v>730</v>
      </c>
      <c r="B736" s="85" t="e">
        <f>+MATCH(D736,ARTICULOS!$F$10:$F$699,0)</f>
        <v>#N/A</v>
      </c>
      <c r="C736" s="86" t="e">
        <f>+VLOOKUP(B736,ARTICULOS!$D$10:$I$699,6)</f>
        <v>#N/A</v>
      </c>
      <c r="D736" s="212"/>
      <c r="E736" s="75" t="e">
        <f t="shared" si="26"/>
        <v>#N/A</v>
      </c>
      <c r="F736" s="80"/>
      <c r="G736" s="81"/>
      <c r="H736" s="78"/>
      <c r="I736" s="78"/>
      <c r="J736" s="78"/>
    </row>
    <row r="737" spans="1:10" x14ac:dyDescent="0.2">
      <c r="A737" s="84">
        <f t="shared" si="25"/>
        <v>731</v>
      </c>
      <c r="B737" s="85" t="e">
        <f>+MATCH(D737,ARTICULOS!$F$10:$F$699,0)</f>
        <v>#N/A</v>
      </c>
      <c r="C737" s="86" t="e">
        <f>+VLOOKUP(B737,ARTICULOS!$D$10:$I$699,6)</f>
        <v>#N/A</v>
      </c>
      <c r="D737" s="212"/>
      <c r="E737" s="75" t="e">
        <f t="shared" si="26"/>
        <v>#N/A</v>
      </c>
      <c r="F737" s="80"/>
      <c r="G737" s="81"/>
      <c r="H737" s="78"/>
      <c r="I737" s="78"/>
      <c r="J737" s="78"/>
    </row>
    <row r="738" spans="1:10" x14ac:dyDescent="0.2">
      <c r="A738" s="84">
        <f t="shared" si="25"/>
        <v>732</v>
      </c>
      <c r="B738" s="85" t="e">
        <f>+MATCH(D738,ARTICULOS!$F$10:$F$699,0)</f>
        <v>#N/A</v>
      </c>
      <c r="C738" s="86" t="e">
        <f>+VLOOKUP(B738,ARTICULOS!$D$10:$I$699,6)</f>
        <v>#N/A</v>
      </c>
      <c r="D738" s="212"/>
      <c r="E738" s="75" t="e">
        <f t="shared" si="26"/>
        <v>#N/A</v>
      </c>
      <c r="F738" s="80"/>
      <c r="G738" s="81"/>
      <c r="H738" s="78"/>
      <c r="I738" s="78"/>
      <c r="J738" s="78"/>
    </row>
    <row r="739" spans="1:10" x14ac:dyDescent="0.2">
      <c r="A739" s="84">
        <f t="shared" si="25"/>
        <v>733</v>
      </c>
      <c r="B739" s="85" t="e">
        <f>+MATCH(D739,ARTICULOS!$F$10:$F$699,0)</f>
        <v>#N/A</v>
      </c>
      <c r="C739" s="86" t="e">
        <f>+VLOOKUP(B739,ARTICULOS!$D$10:$I$699,6)</f>
        <v>#N/A</v>
      </c>
      <c r="D739" s="212"/>
      <c r="E739" s="75" t="e">
        <f t="shared" si="26"/>
        <v>#N/A</v>
      </c>
      <c r="F739" s="80"/>
      <c r="G739" s="81"/>
      <c r="H739" s="78"/>
      <c r="I739" s="78"/>
      <c r="J739" s="78"/>
    </row>
    <row r="740" spans="1:10" x14ac:dyDescent="0.2">
      <c r="A740" s="84">
        <f t="shared" si="25"/>
        <v>734</v>
      </c>
      <c r="B740" s="85" t="e">
        <f>+MATCH(D740,ARTICULOS!$F$10:$F$699,0)</f>
        <v>#N/A</v>
      </c>
      <c r="C740" s="86" t="e">
        <f>+VLOOKUP(B740,ARTICULOS!$D$10:$I$699,6)</f>
        <v>#N/A</v>
      </c>
      <c r="D740" s="212"/>
      <c r="E740" s="75" t="e">
        <f t="shared" si="26"/>
        <v>#N/A</v>
      </c>
      <c r="F740" s="80"/>
      <c r="G740" s="81"/>
      <c r="H740" s="78"/>
      <c r="I740" s="78"/>
      <c r="J740" s="78"/>
    </row>
    <row r="741" spans="1:10" x14ac:dyDescent="0.2">
      <c r="A741" s="84">
        <f t="shared" si="25"/>
        <v>735</v>
      </c>
      <c r="B741" s="85" t="e">
        <f>+MATCH(D741,ARTICULOS!$F$10:$F$699,0)</f>
        <v>#N/A</v>
      </c>
      <c r="C741" s="86" t="e">
        <f>+VLOOKUP(B741,ARTICULOS!$D$10:$I$699,6)</f>
        <v>#N/A</v>
      </c>
      <c r="D741" s="212"/>
      <c r="E741" s="75" t="e">
        <f t="shared" si="26"/>
        <v>#N/A</v>
      </c>
      <c r="F741" s="80"/>
      <c r="G741" s="81"/>
      <c r="H741" s="78"/>
      <c r="I741" s="78"/>
      <c r="J741" s="78"/>
    </row>
    <row r="742" spans="1:10" x14ac:dyDescent="0.2">
      <c r="A742" s="84">
        <f t="shared" si="25"/>
        <v>736</v>
      </c>
      <c r="B742" s="85" t="e">
        <f>+MATCH(D742,ARTICULOS!$F$10:$F$699,0)</f>
        <v>#N/A</v>
      </c>
      <c r="C742" s="86" t="e">
        <f>+VLOOKUP(B742,ARTICULOS!$D$10:$I$699,6)</f>
        <v>#N/A</v>
      </c>
      <c r="D742" s="212"/>
      <c r="E742" s="75" t="e">
        <f t="shared" si="26"/>
        <v>#N/A</v>
      </c>
      <c r="F742" s="80"/>
      <c r="G742" s="81"/>
      <c r="H742" s="78"/>
      <c r="I742" s="78"/>
      <c r="J742" s="78"/>
    </row>
    <row r="743" spans="1:10" x14ac:dyDescent="0.2">
      <c r="A743" s="84">
        <f t="shared" si="25"/>
        <v>737</v>
      </c>
      <c r="B743" s="85" t="e">
        <f>+MATCH(D743,ARTICULOS!$F$10:$F$699,0)</f>
        <v>#N/A</v>
      </c>
      <c r="C743" s="86" t="e">
        <f>+VLOOKUP(B743,ARTICULOS!$D$10:$I$699,6)</f>
        <v>#N/A</v>
      </c>
      <c r="D743" s="212"/>
      <c r="E743" s="75" t="e">
        <f t="shared" si="26"/>
        <v>#N/A</v>
      </c>
      <c r="F743" s="80"/>
      <c r="G743" s="81"/>
      <c r="H743" s="78"/>
      <c r="I743" s="78"/>
      <c r="J743" s="78"/>
    </row>
    <row r="744" spans="1:10" x14ac:dyDescent="0.2">
      <c r="A744" s="84">
        <f t="shared" si="25"/>
        <v>738</v>
      </c>
      <c r="B744" s="85" t="e">
        <f>+MATCH(D744,ARTICULOS!$F$10:$F$699,0)</f>
        <v>#N/A</v>
      </c>
      <c r="C744" s="86" t="e">
        <f>+VLOOKUP(B744,ARTICULOS!$D$10:$I$699,6)</f>
        <v>#N/A</v>
      </c>
      <c r="D744" s="212"/>
      <c r="E744" s="75" t="e">
        <f t="shared" si="26"/>
        <v>#N/A</v>
      </c>
      <c r="F744" s="80"/>
      <c r="G744" s="81"/>
      <c r="H744" s="78"/>
      <c r="I744" s="78"/>
      <c r="J744" s="78"/>
    </row>
    <row r="745" spans="1:10" x14ac:dyDescent="0.2">
      <c r="A745" s="84">
        <f t="shared" ref="A745:A808" si="27">ROW()-6</f>
        <v>739</v>
      </c>
      <c r="B745" s="85" t="e">
        <f>+MATCH(D745,ARTICULOS!$F$10:$F$699,0)</f>
        <v>#N/A</v>
      </c>
      <c r="C745" s="86" t="e">
        <f>+VLOOKUP(B745,ARTICULOS!$D$10:$I$699,6)</f>
        <v>#N/A</v>
      </c>
      <c r="D745" s="212"/>
      <c r="E745" s="75" t="e">
        <f t="shared" si="26"/>
        <v>#N/A</v>
      </c>
      <c r="F745" s="80"/>
      <c r="G745" s="81"/>
      <c r="H745" s="78"/>
      <c r="I745" s="78"/>
      <c r="J745" s="78"/>
    </row>
    <row r="746" spans="1:10" x14ac:dyDescent="0.2">
      <c r="A746" s="84">
        <f t="shared" si="27"/>
        <v>740</v>
      </c>
      <c r="B746" s="85" t="e">
        <f>+MATCH(D746,ARTICULOS!$F$10:$F$699,0)</f>
        <v>#N/A</v>
      </c>
      <c r="C746" s="86" t="e">
        <f>+VLOOKUP(B746,ARTICULOS!$D$10:$I$699,6)</f>
        <v>#N/A</v>
      </c>
      <c r="D746" s="212"/>
      <c r="E746" s="75" t="e">
        <f t="shared" si="26"/>
        <v>#N/A</v>
      </c>
      <c r="F746" s="80"/>
      <c r="G746" s="81"/>
      <c r="H746" s="78"/>
      <c r="I746" s="78"/>
      <c r="J746" s="78"/>
    </row>
    <row r="747" spans="1:10" x14ac:dyDescent="0.2">
      <c r="A747" s="84">
        <f t="shared" si="27"/>
        <v>741</v>
      </c>
      <c r="B747" s="85" t="e">
        <f>+MATCH(D747,ARTICULOS!$F$10:$F$699,0)</f>
        <v>#N/A</v>
      </c>
      <c r="C747" s="86" t="e">
        <f>+VLOOKUP(B747,ARTICULOS!$D$10:$I$699,6)</f>
        <v>#N/A</v>
      </c>
      <c r="D747" s="212"/>
      <c r="E747" s="75" t="e">
        <f t="shared" si="26"/>
        <v>#N/A</v>
      </c>
      <c r="F747" s="80"/>
      <c r="G747" s="81"/>
      <c r="H747" s="78"/>
      <c r="I747" s="78"/>
      <c r="J747" s="78"/>
    </row>
    <row r="748" spans="1:10" x14ac:dyDescent="0.2">
      <c r="A748" s="84">
        <f t="shared" si="27"/>
        <v>742</v>
      </c>
      <c r="B748" s="85" t="e">
        <f>+MATCH(D748,ARTICULOS!$F$10:$F$699,0)</f>
        <v>#N/A</v>
      </c>
      <c r="C748" s="86" t="e">
        <f>+VLOOKUP(B748,ARTICULOS!$D$10:$I$699,6)</f>
        <v>#N/A</v>
      </c>
      <c r="D748" s="212"/>
      <c r="E748" s="75" t="e">
        <f t="shared" si="26"/>
        <v>#N/A</v>
      </c>
      <c r="F748" s="80"/>
      <c r="G748" s="81"/>
      <c r="H748" s="78"/>
      <c r="I748" s="78"/>
      <c r="J748" s="78"/>
    </row>
    <row r="749" spans="1:10" x14ac:dyDescent="0.2">
      <c r="A749" s="84">
        <f t="shared" si="27"/>
        <v>743</v>
      </c>
      <c r="B749" s="85" t="e">
        <f>+MATCH(D749,ARTICULOS!$F$10:$F$699,0)</f>
        <v>#N/A</v>
      </c>
      <c r="C749" s="86" t="e">
        <f>+VLOOKUP(B749,ARTICULOS!$D$10:$I$699,6)</f>
        <v>#N/A</v>
      </c>
      <c r="D749" s="212"/>
      <c r="E749" s="75" t="e">
        <f t="shared" si="26"/>
        <v>#N/A</v>
      </c>
      <c r="F749" s="80"/>
      <c r="G749" s="81"/>
      <c r="H749" s="78"/>
      <c r="I749" s="78"/>
      <c r="J749" s="78"/>
    </row>
    <row r="750" spans="1:10" x14ac:dyDescent="0.2">
      <c r="A750" s="84">
        <f t="shared" si="27"/>
        <v>744</v>
      </c>
      <c r="B750" s="85" t="e">
        <f>+MATCH(D750,ARTICULOS!$F$10:$F$699,0)</f>
        <v>#N/A</v>
      </c>
      <c r="C750" s="86" t="e">
        <f>+VLOOKUP(B750,ARTICULOS!$D$10:$I$699,6)</f>
        <v>#N/A</v>
      </c>
      <c r="D750" s="212"/>
      <c r="E750" s="75" t="e">
        <f t="shared" si="26"/>
        <v>#N/A</v>
      </c>
      <c r="F750" s="80"/>
      <c r="G750" s="81"/>
      <c r="H750" s="78"/>
      <c r="I750" s="78"/>
      <c r="J750" s="78"/>
    </row>
    <row r="751" spans="1:10" x14ac:dyDescent="0.2">
      <c r="A751" s="84">
        <f t="shared" si="27"/>
        <v>745</v>
      </c>
      <c r="B751" s="85" t="e">
        <f>+MATCH(D751,ARTICULOS!$F$10:$F$699,0)</f>
        <v>#N/A</v>
      </c>
      <c r="C751" s="86" t="e">
        <f>+VLOOKUP(B751,ARTICULOS!$D$10:$I$699,6)</f>
        <v>#N/A</v>
      </c>
      <c r="D751" s="212"/>
      <c r="E751" s="75" t="e">
        <f t="shared" si="26"/>
        <v>#N/A</v>
      </c>
      <c r="F751" s="80"/>
      <c r="G751" s="81"/>
      <c r="H751" s="78"/>
      <c r="I751" s="78"/>
      <c r="J751" s="78"/>
    </row>
    <row r="752" spans="1:10" x14ac:dyDescent="0.2">
      <c r="A752" s="84">
        <f t="shared" si="27"/>
        <v>746</v>
      </c>
      <c r="B752" s="85" t="e">
        <f>+MATCH(D752,ARTICULOS!$F$10:$F$699,0)</f>
        <v>#N/A</v>
      </c>
      <c r="C752" s="86" t="e">
        <f>+VLOOKUP(B752,ARTICULOS!$D$10:$I$699,6)</f>
        <v>#N/A</v>
      </c>
      <c r="D752" s="212"/>
      <c r="E752" s="75" t="e">
        <f t="shared" si="26"/>
        <v>#N/A</v>
      </c>
      <c r="F752" s="80"/>
      <c r="G752" s="81"/>
      <c r="H752" s="78"/>
      <c r="I752" s="78"/>
      <c r="J752" s="78"/>
    </row>
    <row r="753" spans="1:10" x14ac:dyDescent="0.2">
      <c r="A753" s="84">
        <f t="shared" si="27"/>
        <v>747</v>
      </c>
      <c r="B753" s="85" t="e">
        <f>+MATCH(D753,ARTICULOS!$F$10:$F$699,0)</f>
        <v>#N/A</v>
      </c>
      <c r="C753" s="86" t="e">
        <f>+VLOOKUP(B753,ARTICULOS!$D$10:$I$699,6)</f>
        <v>#N/A</v>
      </c>
      <c r="D753" s="212"/>
      <c r="E753" s="75" t="e">
        <f t="shared" si="26"/>
        <v>#N/A</v>
      </c>
      <c r="F753" s="80"/>
      <c r="G753" s="81"/>
      <c r="H753" s="78"/>
      <c r="I753" s="78"/>
      <c r="J753" s="78"/>
    </row>
    <row r="754" spans="1:10" x14ac:dyDescent="0.2">
      <c r="A754" s="84">
        <f t="shared" si="27"/>
        <v>748</v>
      </c>
      <c r="B754" s="85" t="e">
        <f>+MATCH(D754,ARTICULOS!$F$10:$F$699,0)</f>
        <v>#N/A</v>
      </c>
      <c r="C754" s="86" t="e">
        <f>+VLOOKUP(B754,ARTICULOS!$D$10:$I$699,6)</f>
        <v>#N/A</v>
      </c>
      <c r="D754" s="212"/>
      <c r="E754" s="75" t="e">
        <f t="shared" si="26"/>
        <v>#N/A</v>
      </c>
      <c r="F754" s="80"/>
      <c r="G754" s="81"/>
      <c r="H754" s="78"/>
      <c r="I754" s="78"/>
      <c r="J754" s="78"/>
    </row>
    <row r="755" spans="1:10" x14ac:dyDescent="0.2">
      <c r="A755" s="84">
        <f t="shared" si="27"/>
        <v>749</v>
      </c>
      <c r="B755" s="85" t="e">
        <f>+MATCH(D755,ARTICULOS!$F$10:$F$699,0)</f>
        <v>#N/A</v>
      </c>
      <c r="C755" s="86" t="e">
        <f>+VLOOKUP(B755,ARTICULOS!$D$10:$I$699,6)</f>
        <v>#N/A</v>
      </c>
      <c r="D755" s="212"/>
      <c r="E755" s="75" t="e">
        <f t="shared" si="26"/>
        <v>#N/A</v>
      </c>
      <c r="F755" s="80"/>
      <c r="G755" s="81"/>
      <c r="H755" s="78"/>
      <c r="I755" s="78"/>
      <c r="J755" s="78"/>
    </row>
    <row r="756" spans="1:10" x14ac:dyDescent="0.2">
      <c r="A756" s="84">
        <f t="shared" si="27"/>
        <v>750</v>
      </c>
      <c r="B756" s="85" t="e">
        <f>+MATCH(D756,ARTICULOS!$F$10:$F$699,0)</f>
        <v>#N/A</v>
      </c>
      <c r="C756" s="86" t="e">
        <f>+VLOOKUP(B756,ARTICULOS!$D$10:$I$699,6)</f>
        <v>#N/A</v>
      </c>
      <c r="D756" s="212"/>
      <c r="E756" s="75" t="e">
        <f t="shared" si="26"/>
        <v>#N/A</v>
      </c>
      <c r="F756" s="80"/>
      <c r="G756" s="81"/>
      <c r="H756" s="78"/>
      <c r="I756" s="78"/>
      <c r="J756" s="78"/>
    </row>
    <row r="757" spans="1:10" x14ac:dyDescent="0.2">
      <c r="A757" s="84">
        <f t="shared" si="27"/>
        <v>751</v>
      </c>
      <c r="B757" s="85" t="e">
        <f>+MATCH(D757,ARTICULOS!$F$10:$F$699,0)</f>
        <v>#N/A</v>
      </c>
      <c r="C757" s="86" t="e">
        <f>+VLOOKUP(B757,ARTICULOS!$D$10:$I$699,6)</f>
        <v>#N/A</v>
      </c>
      <c r="D757" s="212"/>
      <c r="E757" s="75" t="e">
        <f t="shared" si="26"/>
        <v>#N/A</v>
      </c>
      <c r="F757" s="80"/>
      <c r="G757" s="81"/>
      <c r="H757" s="78"/>
      <c r="I757" s="78"/>
      <c r="J757" s="78"/>
    </row>
    <row r="758" spans="1:10" x14ac:dyDescent="0.2">
      <c r="A758" s="84">
        <f t="shared" si="27"/>
        <v>752</v>
      </c>
      <c r="B758" s="85" t="e">
        <f>+MATCH(D758,ARTICULOS!$F$10:$F$699,0)</f>
        <v>#N/A</v>
      </c>
      <c r="C758" s="86" t="e">
        <f>+VLOOKUP(B758,ARTICULOS!$D$10:$I$699,6)</f>
        <v>#N/A</v>
      </c>
      <c r="D758" s="212"/>
      <c r="E758" s="75" t="e">
        <f t="shared" si="26"/>
        <v>#N/A</v>
      </c>
      <c r="F758" s="80"/>
      <c r="G758" s="81"/>
      <c r="H758" s="78"/>
      <c r="I758" s="78"/>
      <c r="J758" s="78"/>
    </row>
    <row r="759" spans="1:10" x14ac:dyDescent="0.2">
      <c r="A759" s="84">
        <f t="shared" si="27"/>
        <v>753</v>
      </c>
      <c r="B759" s="85" t="e">
        <f>+MATCH(D759,ARTICULOS!$F$10:$F$699,0)</f>
        <v>#N/A</v>
      </c>
      <c r="C759" s="86" t="e">
        <f>+VLOOKUP(B759,ARTICULOS!$D$10:$I$699,6)</f>
        <v>#N/A</v>
      </c>
      <c r="D759" s="212"/>
      <c r="E759" s="75" t="e">
        <f t="shared" si="26"/>
        <v>#N/A</v>
      </c>
      <c r="F759" s="80"/>
      <c r="G759" s="81"/>
      <c r="H759" s="78"/>
      <c r="I759" s="78"/>
      <c r="J759" s="78"/>
    </row>
    <row r="760" spans="1:10" x14ac:dyDescent="0.2">
      <c r="A760" s="84">
        <f t="shared" si="27"/>
        <v>754</v>
      </c>
      <c r="B760" s="85" t="e">
        <f>+MATCH(D760,ARTICULOS!$F$10:$F$699,0)</f>
        <v>#N/A</v>
      </c>
      <c r="C760" s="86" t="e">
        <f>+VLOOKUP(B760,ARTICULOS!$D$10:$I$699,6)</f>
        <v>#N/A</v>
      </c>
      <c r="D760" s="212"/>
      <c r="E760" s="75" t="e">
        <f t="shared" si="26"/>
        <v>#N/A</v>
      </c>
      <c r="F760" s="80"/>
      <c r="G760" s="81"/>
      <c r="H760" s="78"/>
      <c r="I760" s="78"/>
      <c r="J760" s="78"/>
    </row>
    <row r="761" spans="1:10" x14ac:dyDescent="0.2">
      <c r="A761" s="84">
        <f t="shared" si="27"/>
        <v>755</v>
      </c>
      <c r="B761" s="85" t="e">
        <f>+MATCH(D761,ARTICULOS!$F$10:$F$699,0)</f>
        <v>#N/A</v>
      </c>
      <c r="C761" s="86" t="e">
        <f>+VLOOKUP(B761,ARTICULOS!$D$10:$I$699,6)</f>
        <v>#N/A</v>
      </c>
      <c r="D761" s="212"/>
      <c r="E761" s="75" t="e">
        <f t="shared" si="26"/>
        <v>#N/A</v>
      </c>
      <c r="F761" s="80"/>
      <c r="G761" s="81"/>
      <c r="H761" s="78"/>
      <c r="I761" s="78"/>
      <c r="J761" s="78"/>
    </row>
    <row r="762" spans="1:10" x14ac:dyDescent="0.2">
      <c r="A762" s="84">
        <f t="shared" si="27"/>
        <v>756</v>
      </c>
      <c r="B762" s="85" t="e">
        <f>+MATCH(D762,ARTICULOS!$F$10:$F$699,0)</f>
        <v>#N/A</v>
      </c>
      <c r="C762" s="86" t="e">
        <f>+VLOOKUP(B762,ARTICULOS!$D$10:$I$699,6)</f>
        <v>#N/A</v>
      </c>
      <c r="D762" s="212"/>
      <c r="E762" s="75" t="e">
        <f t="shared" si="26"/>
        <v>#N/A</v>
      </c>
      <c r="F762" s="80"/>
      <c r="G762" s="81"/>
      <c r="H762" s="78"/>
      <c r="I762" s="78"/>
      <c r="J762" s="78"/>
    </row>
    <row r="763" spans="1:10" x14ac:dyDescent="0.2">
      <c r="A763" s="84">
        <f t="shared" si="27"/>
        <v>757</v>
      </c>
      <c r="B763" s="85" t="e">
        <f>+MATCH(D763,ARTICULOS!$F$10:$F$699,0)</f>
        <v>#N/A</v>
      </c>
      <c r="C763" s="86" t="e">
        <f>+VLOOKUP(B763,ARTICULOS!$D$10:$I$699,6)</f>
        <v>#N/A</v>
      </c>
      <c r="D763" s="212"/>
      <c r="E763" s="75" t="e">
        <f t="shared" si="26"/>
        <v>#N/A</v>
      </c>
      <c r="F763" s="80"/>
      <c r="G763" s="81"/>
      <c r="H763" s="78"/>
      <c r="I763" s="78"/>
      <c r="J763" s="78"/>
    </row>
    <row r="764" spans="1:10" x14ac:dyDescent="0.2">
      <c r="A764" s="84">
        <f t="shared" si="27"/>
        <v>758</v>
      </c>
      <c r="B764" s="85" t="e">
        <f>+MATCH(D764,ARTICULOS!$F$10:$F$699,0)</f>
        <v>#N/A</v>
      </c>
      <c r="C764" s="86" t="e">
        <f>+VLOOKUP(B764,ARTICULOS!$D$10:$I$699,6)</f>
        <v>#N/A</v>
      </c>
      <c r="D764" s="212"/>
      <c r="E764" s="75" t="e">
        <f t="shared" si="26"/>
        <v>#N/A</v>
      </c>
      <c r="F764" s="80"/>
      <c r="G764" s="81"/>
      <c r="H764" s="78"/>
      <c r="I764" s="78"/>
      <c r="J764" s="78"/>
    </row>
    <row r="765" spans="1:10" x14ac:dyDescent="0.2">
      <c r="A765" s="84">
        <f t="shared" si="27"/>
        <v>759</v>
      </c>
      <c r="B765" s="85" t="e">
        <f>+MATCH(D765,ARTICULOS!$F$10:$F$699,0)</f>
        <v>#N/A</v>
      </c>
      <c r="C765" s="86" t="e">
        <f>+VLOOKUP(B765,ARTICULOS!$D$10:$I$699,6)</f>
        <v>#N/A</v>
      </c>
      <c r="D765" s="212"/>
      <c r="E765" s="75" t="e">
        <f t="shared" si="26"/>
        <v>#N/A</v>
      </c>
      <c r="F765" s="80"/>
      <c r="G765" s="81"/>
      <c r="H765" s="78"/>
      <c r="I765" s="78"/>
      <c r="J765" s="78"/>
    </row>
    <row r="766" spans="1:10" x14ac:dyDescent="0.2">
      <c r="A766" s="84">
        <f t="shared" si="27"/>
        <v>760</v>
      </c>
      <c r="B766" s="85" t="e">
        <f>+MATCH(D766,ARTICULOS!$F$10:$F$699,0)</f>
        <v>#N/A</v>
      </c>
      <c r="C766" s="86" t="e">
        <f>+VLOOKUP(B766,ARTICULOS!$D$10:$I$699,6)</f>
        <v>#N/A</v>
      </c>
      <c r="D766" s="212"/>
      <c r="E766" s="75" t="e">
        <f t="shared" si="26"/>
        <v>#N/A</v>
      </c>
      <c r="F766" s="80"/>
      <c r="G766" s="81"/>
      <c r="H766" s="78"/>
      <c r="I766" s="78"/>
      <c r="J766" s="78"/>
    </row>
    <row r="767" spans="1:10" x14ac:dyDescent="0.2">
      <c r="A767" s="84">
        <f t="shared" si="27"/>
        <v>761</v>
      </c>
      <c r="B767" s="85" t="e">
        <f>+MATCH(D767,ARTICULOS!$F$10:$F$699,0)</f>
        <v>#N/A</v>
      </c>
      <c r="C767" s="86" t="e">
        <f>+VLOOKUP(B767,ARTICULOS!$D$10:$I$699,6)</f>
        <v>#N/A</v>
      </c>
      <c r="D767" s="212"/>
      <c r="E767" s="75" t="e">
        <f t="shared" si="26"/>
        <v>#N/A</v>
      </c>
      <c r="F767" s="80"/>
      <c r="G767" s="81"/>
      <c r="H767" s="78"/>
      <c r="I767" s="78"/>
      <c r="J767" s="78"/>
    </row>
    <row r="768" spans="1:10" x14ac:dyDescent="0.2">
      <c r="A768" s="84">
        <f t="shared" si="27"/>
        <v>762</v>
      </c>
      <c r="B768" s="85" t="e">
        <f>+MATCH(D768,ARTICULOS!$F$10:$F$699,0)</f>
        <v>#N/A</v>
      </c>
      <c r="C768" s="86" t="e">
        <f>+VLOOKUP(B768,ARTICULOS!$D$10:$I$699,6)</f>
        <v>#N/A</v>
      </c>
      <c r="D768" s="212"/>
      <c r="E768" s="75" t="e">
        <f t="shared" si="26"/>
        <v>#N/A</v>
      </c>
      <c r="F768" s="80"/>
      <c r="G768" s="81"/>
      <c r="H768" s="78"/>
      <c r="I768" s="78"/>
      <c r="J768" s="78"/>
    </row>
    <row r="769" spans="1:10" x14ac:dyDescent="0.2">
      <c r="A769" s="84">
        <f t="shared" si="27"/>
        <v>763</v>
      </c>
      <c r="B769" s="85" t="e">
        <f>+MATCH(D769,ARTICULOS!$F$10:$F$699,0)</f>
        <v>#N/A</v>
      </c>
      <c r="C769" s="86" t="e">
        <f>+VLOOKUP(B769,ARTICULOS!$D$10:$I$699,6)</f>
        <v>#N/A</v>
      </c>
      <c r="D769" s="212"/>
      <c r="E769" s="75" t="e">
        <f t="shared" si="26"/>
        <v>#N/A</v>
      </c>
      <c r="F769" s="80"/>
      <c r="G769" s="81"/>
      <c r="H769" s="78"/>
      <c r="I769" s="78"/>
      <c r="J769" s="78"/>
    </row>
    <row r="770" spans="1:10" x14ac:dyDescent="0.2">
      <c r="A770" s="84">
        <f t="shared" si="27"/>
        <v>764</v>
      </c>
      <c r="B770" s="85" t="e">
        <f>+MATCH(D770,ARTICULOS!$F$10:$F$699,0)</f>
        <v>#N/A</v>
      </c>
      <c r="C770" s="86" t="e">
        <f>+VLOOKUP(B770,ARTICULOS!$D$10:$I$699,6)</f>
        <v>#N/A</v>
      </c>
      <c r="D770" s="212"/>
      <c r="E770" s="75" t="e">
        <f t="shared" si="26"/>
        <v>#N/A</v>
      </c>
      <c r="F770" s="80"/>
      <c r="G770" s="81"/>
      <c r="H770" s="78"/>
      <c r="I770" s="78"/>
      <c r="J770" s="78"/>
    </row>
    <row r="771" spans="1:10" x14ac:dyDescent="0.2">
      <c r="A771" s="84">
        <f t="shared" si="27"/>
        <v>765</v>
      </c>
      <c r="B771" s="85" t="e">
        <f>+MATCH(D771,ARTICULOS!$F$10:$F$699,0)</f>
        <v>#N/A</v>
      </c>
      <c r="C771" s="86" t="e">
        <f>+VLOOKUP(B771,ARTICULOS!$D$10:$I$699,6)</f>
        <v>#N/A</v>
      </c>
      <c r="D771" s="212"/>
      <c r="E771" s="75" t="e">
        <f t="shared" si="26"/>
        <v>#N/A</v>
      </c>
      <c r="F771" s="80"/>
      <c r="G771" s="81"/>
      <c r="H771" s="78"/>
      <c r="I771" s="78"/>
      <c r="J771" s="78"/>
    </row>
    <row r="772" spans="1:10" x14ac:dyDescent="0.2">
      <c r="A772" s="84">
        <f t="shared" si="27"/>
        <v>766</v>
      </c>
      <c r="B772" s="85" t="e">
        <f>+MATCH(D772,ARTICULOS!$F$10:$F$699,0)</f>
        <v>#N/A</v>
      </c>
      <c r="C772" s="86" t="e">
        <f>+VLOOKUP(B772,ARTICULOS!$D$10:$I$699,6)</f>
        <v>#N/A</v>
      </c>
      <c r="D772" s="212"/>
      <c r="E772" s="75" t="e">
        <f t="shared" si="26"/>
        <v>#N/A</v>
      </c>
      <c r="F772" s="80"/>
      <c r="G772" s="81"/>
      <c r="H772" s="78"/>
      <c r="I772" s="78"/>
      <c r="J772" s="78"/>
    </row>
    <row r="773" spans="1:10" x14ac:dyDescent="0.2">
      <c r="A773" s="84">
        <f t="shared" si="27"/>
        <v>767</v>
      </c>
      <c r="B773" s="85" t="e">
        <f>+MATCH(D773,ARTICULOS!$F$10:$F$699,0)</f>
        <v>#N/A</v>
      </c>
      <c r="C773" s="86" t="e">
        <f>+VLOOKUP(B773,ARTICULOS!$D$10:$I$699,6)</f>
        <v>#N/A</v>
      </c>
      <c r="D773" s="212"/>
      <c r="E773" s="75" t="e">
        <f t="shared" si="26"/>
        <v>#N/A</v>
      </c>
      <c r="F773" s="80"/>
      <c r="G773" s="81"/>
      <c r="H773" s="78"/>
      <c r="I773" s="78"/>
      <c r="J773" s="78"/>
    </row>
    <row r="774" spans="1:10" x14ac:dyDescent="0.2">
      <c r="A774" s="84">
        <f t="shared" si="27"/>
        <v>768</v>
      </c>
      <c r="B774" s="85" t="e">
        <f>+MATCH(D774,ARTICULOS!$F$10:$F$699,0)</f>
        <v>#N/A</v>
      </c>
      <c r="C774" s="86" t="e">
        <f>+VLOOKUP(B774,ARTICULOS!$D$10:$I$699,6)</f>
        <v>#N/A</v>
      </c>
      <c r="D774" s="212"/>
      <c r="E774" s="75" t="e">
        <f t="shared" si="26"/>
        <v>#N/A</v>
      </c>
      <c r="F774" s="80"/>
      <c r="G774" s="81"/>
      <c r="H774" s="78"/>
      <c r="I774" s="78"/>
      <c r="J774" s="78"/>
    </row>
    <row r="775" spans="1:10" x14ac:dyDescent="0.2">
      <c r="A775" s="84">
        <f t="shared" si="27"/>
        <v>769</v>
      </c>
      <c r="B775" s="85" t="e">
        <f>+MATCH(D775,ARTICULOS!$F$10:$F$699,0)</f>
        <v>#N/A</v>
      </c>
      <c r="C775" s="86" t="e">
        <f>+VLOOKUP(B775,ARTICULOS!$D$10:$I$699,6)</f>
        <v>#N/A</v>
      </c>
      <c r="D775" s="212"/>
      <c r="E775" s="75" t="e">
        <f t="shared" si="26"/>
        <v>#N/A</v>
      </c>
      <c r="F775" s="80"/>
      <c r="G775" s="81"/>
      <c r="H775" s="78"/>
      <c r="I775" s="78"/>
      <c r="J775" s="78"/>
    </row>
    <row r="776" spans="1:10" x14ac:dyDescent="0.2">
      <c r="A776" s="84">
        <f t="shared" si="27"/>
        <v>770</v>
      </c>
      <c r="B776" s="85" t="e">
        <f>+MATCH(D776,ARTICULOS!$F$10:$F$699,0)</f>
        <v>#N/A</v>
      </c>
      <c r="C776" s="86" t="e">
        <f>+VLOOKUP(B776,ARTICULOS!$D$10:$I$699,6)</f>
        <v>#N/A</v>
      </c>
      <c r="D776" s="212"/>
      <c r="E776" s="75" t="e">
        <f t="shared" si="26"/>
        <v>#N/A</v>
      </c>
      <c r="F776" s="80"/>
      <c r="G776" s="81"/>
      <c r="H776" s="78"/>
      <c r="I776" s="78"/>
      <c r="J776" s="78"/>
    </row>
    <row r="777" spans="1:10" x14ac:dyDescent="0.2">
      <c r="A777" s="84">
        <f t="shared" si="27"/>
        <v>771</v>
      </c>
      <c r="B777" s="85" t="e">
        <f>+MATCH(D777,ARTICULOS!$F$10:$F$699,0)</f>
        <v>#N/A</v>
      </c>
      <c r="C777" s="86" t="e">
        <f>+VLOOKUP(B777,ARTICULOS!$D$10:$I$699,6)</f>
        <v>#N/A</v>
      </c>
      <c r="D777" s="212"/>
      <c r="E777" s="75" t="e">
        <f t="shared" si="26"/>
        <v>#N/A</v>
      </c>
      <c r="F777" s="80"/>
      <c r="G777" s="81"/>
      <c r="H777" s="78"/>
      <c r="I777" s="78"/>
      <c r="J777" s="78"/>
    </row>
    <row r="778" spans="1:10" x14ac:dyDescent="0.2">
      <c r="A778" s="84">
        <f t="shared" si="27"/>
        <v>772</v>
      </c>
      <c r="B778" s="85" t="e">
        <f>+MATCH(D778,ARTICULOS!$F$10:$F$699,0)</f>
        <v>#N/A</v>
      </c>
      <c r="C778" s="86" t="e">
        <f>+VLOOKUP(B778,ARTICULOS!$D$10:$I$699,6)</f>
        <v>#N/A</v>
      </c>
      <c r="D778" s="212"/>
      <c r="E778" s="75" t="e">
        <f t="shared" si="26"/>
        <v>#N/A</v>
      </c>
      <c r="F778" s="80"/>
      <c r="G778" s="81"/>
      <c r="H778" s="78"/>
      <c r="I778" s="78"/>
      <c r="J778" s="78"/>
    </row>
    <row r="779" spans="1:10" x14ac:dyDescent="0.2">
      <c r="A779" s="84">
        <f t="shared" si="27"/>
        <v>773</v>
      </c>
      <c r="B779" s="85" t="e">
        <f>+MATCH(D779,ARTICULOS!$F$10:$F$699,0)</f>
        <v>#N/A</v>
      </c>
      <c r="C779" s="86" t="e">
        <f>+VLOOKUP(B779,ARTICULOS!$D$10:$I$699,6)</f>
        <v>#N/A</v>
      </c>
      <c r="D779" s="212"/>
      <c r="E779" s="75" t="e">
        <f t="shared" ref="E779:E842" si="28">+C779&amp;F779</f>
        <v>#N/A</v>
      </c>
      <c r="F779" s="80"/>
      <c r="G779" s="81"/>
      <c r="H779" s="78"/>
      <c r="I779" s="78"/>
      <c r="J779" s="78"/>
    </row>
    <row r="780" spans="1:10" x14ac:dyDescent="0.2">
      <c r="A780" s="84">
        <f t="shared" si="27"/>
        <v>774</v>
      </c>
      <c r="B780" s="85" t="e">
        <f>+MATCH(D780,ARTICULOS!$F$10:$F$699,0)</f>
        <v>#N/A</v>
      </c>
      <c r="C780" s="86" t="e">
        <f>+VLOOKUP(B780,ARTICULOS!$D$10:$I$699,6)</f>
        <v>#N/A</v>
      </c>
      <c r="D780" s="212"/>
      <c r="E780" s="75" t="e">
        <f t="shared" si="28"/>
        <v>#N/A</v>
      </c>
      <c r="F780" s="80"/>
      <c r="G780" s="81"/>
      <c r="H780" s="78"/>
      <c r="I780" s="78"/>
      <c r="J780" s="78"/>
    </row>
    <row r="781" spans="1:10" x14ac:dyDescent="0.2">
      <c r="A781" s="84">
        <f t="shared" si="27"/>
        <v>775</v>
      </c>
      <c r="B781" s="85" t="e">
        <f>+MATCH(D781,ARTICULOS!$F$10:$F$699,0)</f>
        <v>#N/A</v>
      </c>
      <c r="C781" s="86" t="e">
        <f>+VLOOKUP(B781,ARTICULOS!$D$10:$I$699,6)</f>
        <v>#N/A</v>
      </c>
      <c r="D781" s="212"/>
      <c r="E781" s="75" t="e">
        <f t="shared" si="28"/>
        <v>#N/A</v>
      </c>
      <c r="F781" s="80"/>
      <c r="G781" s="81"/>
      <c r="H781" s="78"/>
      <c r="I781" s="78"/>
      <c r="J781" s="78"/>
    </row>
    <row r="782" spans="1:10" x14ac:dyDescent="0.2">
      <c r="A782" s="84">
        <f t="shared" si="27"/>
        <v>776</v>
      </c>
      <c r="B782" s="85" t="e">
        <f>+MATCH(D782,ARTICULOS!$F$10:$F$699,0)</f>
        <v>#N/A</v>
      </c>
      <c r="C782" s="86" t="e">
        <f>+VLOOKUP(B782,ARTICULOS!$D$10:$I$699,6)</f>
        <v>#N/A</v>
      </c>
      <c r="D782" s="212"/>
      <c r="E782" s="75" t="e">
        <f t="shared" si="28"/>
        <v>#N/A</v>
      </c>
      <c r="F782" s="80"/>
      <c r="G782" s="81"/>
      <c r="H782" s="78"/>
      <c r="I782" s="78"/>
      <c r="J782" s="78"/>
    </row>
    <row r="783" spans="1:10" x14ac:dyDescent="0.2">
      <c r="A783" s="84">
        <f t="shared" si="27"/>
        <v>777</v>
      </c>
      <c r="B783" s="85" t="e">
        <f>+MATCH(D783,ARTICULOS!$F$10:$F$699,0)</f>
        <v>#N/A</v>
      </c>
      <c r="C783" s="86" t="e">
        <f>+VLOOKUP(B783,ARTICULOS!$D$10:$I$699,6)</f>
        <v>#N/A</v>
      </c>
      <c r="D783" s="212"/>
      <c r="E783" s="75" t="e">
        <f t="shared" si="28"/>
        <v>#N/A</v>
      </c>
      <c r="F783" s="80"/>
      <c r="G783" s="81"/>
      <c r="H783" s="78"/>
      <c r="I783" s="78"/>
      <c r="J783" s="78"/>
    </row>
    <row r="784" spans="1:10" x14ac:dyDescent="0.2">
      <c r="A784" s="84">
        <f t="shared" si="27"/>
        <v>778</v>
      </c>
      <c r="B784" s="85" t="e">
        <f>+MATCH(D784,ARTICULOS!$F$10:$F$699,0)</f>
        <v>#N/A</v>
      </c>
      <c r="C784" s="86" t="e">
        <f>+VLOOKUP(B784,ARTICULOS!$D$10:$I$699,6)</f>
        <v>#N/A</v>
      </c>
      <c r="D784" s="212"/>
      <c r="E784" s="75" t="e">
        <f t="shared" si="28"/>
        <v>#N/A</v>
      </c>
      <c r="F784" s="80"/>
      <c r="G784" s="81"/>
      <c r="H784" s="78"/>
      <c r="I784" s="78"/>
      <c r="J784" s="78"/>
    </row>
    <row r="785" spans="1:10" x14ac:dyDescent="0.2">
      <c r="A785" s="84">
        <f t="shared" si="27"/>
        <v>779</v>
      </c>
      <c r="B785" s="85" t="e">
        <f>+MATCH(D785,ARTICULOS!$F$10:$F$699,0)</f>
        <v>#N/A</v>
      </c>
      <c r="C785" s="86" t="e">
        <f>+VLOOKUP(B785,ARTICULOS!$D$10:$I$699,6)</f>
        <v>#N/A</v>
      </c>
      <c r="D785" s="212"/>
      <c r="E785" s="75" t="e">
        <f t="shared" si="28"/>
        <v>#N/A</v>
      </c>
      <c r="F785" s="80"/>
      <c r="G785" s="81"/>
      <c r="H785" s="78"/>
      <c r="I785" s="78"/>
      <c r="J785" s="78"/>
    </row>
    <row r="786" spans="1:10" x14ac:dyDescent="0.2">
      <c r="A786" s="84">
        <f t="shared" si="27"/>
        <v>780</v>
      </c>
      <c r="B786" s="85" t="e">
        <f>+MATCH(D786,ARTICULOS!$F$10:$F$699,0)</f>
        <v>#N/A</v>
      </c>
      <c r="C786" s="86" t="e">
        <f>+VLOOKUP(B786,ARTICULOS!$D$10:$I$699,6)</f>
        <v>#N/A</v>
      </c>
      <c r="D786" s="212"/>
      <c r="E786" s="75" t="e">
        <f t="shared" si="28"/>
        <v>#N/A</v>
      </c>
      <c r="F786" s="80"/>
      <c r="G786" s="81"/>
      <c r="H786" s="78"/>
      <c r="I786" s="78"/>
      <c r="J786" s="78"/>
    </row>
    <row r="787" spans="1:10" x14ac:dyDescent="0.2">
      <c r="A787" s="84">
        <f t="shared" si="27"/>
        <v>781</v>
      </c>
      <c r="B787" s="85" t="e">
        <f>+MATCH(D787,ARTICULOS!$F$10:$F$699,0)</f>
        <v>#N/A</v>
      </c>
      <c r="C787" s="86" t="e">
        <f>+VLOOKUP(B787,ARTICULOS!$D$10:$I$699,6)</f>
        <v>#N/A</v>
      </c>
      <c r="D787" s="212"/>
      <c r="E787" s="75" t="e">
        <f t="shared" si="28"/>
        <v>#N/A</v>
      </c>
      <c r="F787" s="80"/>
      <c r="G787" s="81"/>
      <c r="H787" s="78"/>
      <c r="I787" s="78"/>
      <c r="J787" s="78"/>
    </row>
    <row r="788" spans="1:10" x14ac:dyDescent="0.2">
      <c r="A788" s="84">
        <f t="shared" si="27"/>
        <v>782</v>
      </c>
      <c r="B788" s="85" t="e">
        <f>+MATCH(D788,ARTICULOS!$F$10:$F$699,0)</f>
        <v>#N/A</v>
      </c>
      <c r="C788" s="86" t="e">
        <f>+VLOOKUP(B788,ARTICULOS!$D$10:$I$699,6)</f>
        <v>#N/A</v>
      </c>
      <c r="D788" s="212"/>
      <c r="E788" s="75" t="e">
        <f t="shared" si="28"/>
        <v>#N/A</v>
      </c>
      <c r="F788" s="80"/>
      <c r="G788" s="81"/>
      <c r="H788" s="78"/>
      <c r="I788" s="78"/>
      <c r="J788" s="78"/>
    </row>
    <row r="789" spans="1:10" x14ac:dyDescent="0.2">
      <c r="A789" s="84">
        <f t="shared" si="27"/>
        <v>783</v>
      </c>
      <c r="B789" s="85" t="e">
        <f>+MATCH(D789,ARTICULOS!$F$10:$F$699,0)</f>
        <v>#N/A</v>
      </c>
      <c r="C789" s="86" t="e">
        <f>+VLOOKUP(B789,ARTICULOS!$D$10:$I$699,6)</f>
        <v>#N/A</v>
      </c>
      <c r="D789" s="212"/>
      <c r="E789" s="75" t="e">
        <f t="shared" si="28"/>
        <v>#N/A</v>
      </c>
      <c r="F789" s="80"/>
      <c r="G789" s="81"/>
      <c r="H789" s="78"/>
      <c r="I789" s="78"/>
      <c r="J789" s="78"/>
    </row>
    <row r="790" spans="1:10" x14ac:dyDescent="0.2">
      <c r="A790" s="84">
        <f t="shared" si="27"/>
        <v>784</v>
      </c>
      <c r="B790" s="85" t="e">
        <f>+MATCH(D790,ARTICULOS!$F$10:$F$699,0)</f>
        <v>#N/A</v>
      </c>
      <c r="C790" s="86" t="e">
        <f>+VLOOKUP(B790,ARTICULOS!$D$10:$I$699,6)</f>
        <v>#N/A</v>
      </c>
      <c r="D790" s="212"/>
      <c r="E790" s="75" t="e">
        <f t="shared" si="28"/>
        <v>#N/A</v>
      </c>
      <c r="F790" s="80"/>
      <c r="G790" s="81"/>
      <c r="H790" s="78"/>
      <c r="I790" s="78"/>
      <c r="J790" s="78"/>
    </row>
    <row r="791" spans="1:10" x14ac:dyDescent="0.2">
      <c r="A791" s="84">
        <f t="shared" si="27"/>
        <v>785</v>
      </c>
      <c r="B791" s="85" t="e">
        <f>+MATCH(D791,ARTICULOS!$F$10:$F$699,0)</f>
        <v>#N/A</v>
      </c>
      <c r="C791" s="86" t="e">
        <f>+VLOOKUP(B791,ARTICULOS!$D$10:$I$699,6)</f>
        <v>#N/A</v>
      </c>
      <c r="D791" s="212"/>
      <c r="E791" s="75" t="e">
        <f t="shared" si="28"/>
        <v>#N/A</v>
      </c>
      <c r="F791" s="80"/>
      <c r="G791" s="81"/>
      <c r="H791" s="78"/>
      <c r="I791" s="78"/>
      <c r="J791" s="78"/>
    </row>
    <row r="792" spans="1:10" x14ac:dyDescent="0.2">
      <c r="A792" s="84">
        <f t="shared" si="27"/>
        <v>786</v>
      </c>
      <c r="B792" s="85" t="e">
        <f>+MATCH(D792,ARTICULOS!$F$10:$F$699,0)</f>
        <v>#N/A</v>
      </c>
      <c r="C792" s="86" t="e">
        <f>+VLOOKUP(B792,ARTICULOS!$D$10:$I$699,6)</f>
        <v>#N/A</v>
      </c>
      <c r="D792" s="212"/>
      <c r="E792" s="75" t="e">
        <f t="shared" si="28"/>
        <v>#N/A</v>
      </c>
      <c r="F792" s="80"/>
      <c r="G792" s="81"/>
      <c r="H792" s="78"/>
      <c r="I792" s="78"/>
      <c r="J792" s="78"/>
    </row>
    <row r="793" spans="1:10" x14ac:dyDescent="0.2">
      <c r="A793" s="84">
        <f t="shared" si="27"/>
        <v>787</v>
      </c>
      <c r="B793" s="85" t="e">
        <f>+MATCH(D793,ARTICULOS!$F$10:$F$699,0)</f>
        <v>#N/A</v>
      </c>
      <c r="C793" s="86" t="e">
        <f>+VLOOKUP(B793,ARTICULOS!$D$10:$I$699,6)</f>
        <v>#N/A</v>
      </c>
      <c r="D793" s="212"/>
      <c r="E793" s="75" t="e">
        <f t="shared" si="28"/>
        <v>#N/A</v>
      </c>
      <c r="F793" s="80"/>
      <c r="G793" s="81"/>
      <c r="H793" s="78"/>
      <c r="I793" s="78"/>
      <c r="J793" s="78"/>
    </row>
    <row r="794" spans="1:10" x14ac:dyDescent="0.2">
      <c r="A794" s="84">
        <f t="shared" si="27"/>
        <v>788</v>
      </c>
      <c r="B794" s="85" t="e">
        <f>+MATCH(D794,ARTICULOS!$F$10:$F$699,0)</f>
        <v>#N/A</v>
      </c>
      <c r="C794" s="86" t="e">
        <f>+VLOOKUP(B794,ARTICULOS!$D$10:$I$699,6)</f>
        <v>#N/A</v>
      </c>
      <c r="D794" s="212"/>
      <c r="E794" s="75" t="e">
        <f t="shared" si="28"/>
        <v>#N/A</v>
      </c>
      <c r="F794" s="80"/>
      <c r="G794" s="81"/>
      <c r="H794" s="78"/>
      <c r="I794" s="78"/>
      <c r="J794" s="78"/>
    </row>
    <row r="795" spans="1:10" x14ac:dyDescent="0.2">
      <c r="A795" s="84">
        <f t="shared" si="27"/>
        <v>789</v>
      </c>
      <c r="B795" s="85" t="e">
        <f>+MATCH(D795,ARTICULOS!$F$10:$F$699,0)</f>
        <v>#N/A</v>
      </c>
      <c r="C795" s="86" t="e">
        <f>+VLOOKUP(B795,ARTICULOS!$D$10:$I$699,6)</f>
        <v>#N/A</v>
      </c>
      <c r="D795" s="212"/>
      <c r="E795" s="75" t="e">
        <f t="shared" si="28"/>
        <v>#N/A</v>
      </c>
      <c r="F795" s="80"/>
      <c r="G795" s="81"/>
      <c r="H795" s="78"/>
      <c r="I795" s="78"/>
      <c r="J795" s="78"/>
    </row>
    <row r="796" spans="1:10" x14ac:dyDescent="0.2">
      <c r="A796" s="84">
        <f t="shared" si="27"/>
        <v>790</v>
      </c>
      <c r="B796" s="85" t="e">
        <f>+MATCH(D796,ARTICULOS!$F$10:$F$699,0)</f>
        <v>#N/A</v>
      </c>
      <c r="C796" s="86" t="e">
        <f>+VLOOKUP(B796,ARTICULOS!$D$10:$I$699,6)</f>
        <v>#N/A</v>
      </c>
      <c r="D796" s="212"/>
      <c r="E796" s="75" t="e">
        <f t="shared" si="28"/>
        <v>#N/A</v>
      </c>
      <c r="F796" s="80"/>
      <c r="G796" s="81"/>
      <c r="H796" s="78"/>
      <c r="I796" s="78"/>
      <c r="J796" s="78"/>
    </row>
    <row r="797" spans="1:10" x14ac:dyDescent="0.2">
      <c r="A797" s="84">
        <f t="shared" si="27"/>
        <v>791</v>
      </c>
      <c r="B797" s="85" t="e">
        <f>+MATCH(D797,ARTICULOS!$F$10:$F$699,0)</f>
        <v>#N/A</v>
      </c>
      <c r="C797" s="86" t="e">
        <f>+VLOOKUP(B797,ARTICULOS!$D$10:$I$699,6)</f>
        <v>#N/A</v>
      </c>
      <c r="D797" s="212"/>
      <c r="E797" s="75" t="e">
        <f t="shared" si="28"/>
        <v>#N/A</v>
      </c>
      <c r="F797" s="80"/>
      <c r="G797" s="81"/>
      <c r="H797" s="78"/>
      <c r="I797" s="78"/>
      <c r="J797" s="78"/>
    </row>
    <row r="798" spans="1:10" x14ac:dyDescent="0.2">
      <c r="A798" s="84">
        <f t="shared" si="27"/>
        <v>792</v>
      </c>
      <c r="B798" s="85" t="e">
        <f>+MATCH(D798,ARTICULOS!$F$10:$F$699,0)</f>
        <v>#N/A</v>
      </c>
      <c r="C798" s="86" t="e">
        <f>+VLOOKUP(B798,ARTICULOS!$D$10:$I$699,6)</f>
        <v>#N/A</v>
      </c>
      <c r="D798" s="212"/>
      <c r="E798" s="75" t="e">
        <f t="shared" si="28"/>
        <v>#N/A</v>
      </c>
      <c r="F798" s="80"/>
      <c r="G798" s="81"/>
      <c r="H798" s="78"/>
      <c r="I798" s="78"/>
      <c r="J798" s="78"/>
    </row>
    <row r="799" spans="1:10" x14ac:dyDescent="0.2">
      <c r="A799" s="84">
        <f t="shared" si="27"/>
        <v>793</v>
      </c>
      <c r="B799" s="85" t="e">
        <f>+MATCH(D799,ARTICULOS!$F$10:$F$699,0)</f>
        <v>#N/A</v>
      </c>
      <c r="C799" s="86" t="e">
        <f>+VLOOKUP(B799,ARTICULOS!$D$10:$I$699,6)</f>
        <v>#N/A</v>
      </c>
      <c r="D799" s="212"/>
      <c r="E799" s="75" t="e">
        <f t="shared" si="28"/>
        <v>#N/A</v>
      </c>
      <c r="F799" s="80"/>
      <c r="G799" s="81"/>
      <c r="H799" s="78"/>
      <c r="I799" s="78"/>
      <c r="J799" s="78"/>
    </row>
    <row r="800" spans="1:10" x14ac:dyDescent="0.2">
      <c r="A800" s="84">
        <f t="shared" si="27"/>
        <v>794</v>
      </c>
      <c r="B800" s="85" t="e">
        <f>+MATCH(D800,ARTICULOS!$F$10:$F$699,0)</f>
        <v>#N/A</v>
      </c>
      <c r="C800" s="86" t="e">
        <f>+VLOOKUP(B800,ARTICULOS!$D$10:$I$699,6)</f>
        <v>#N/A</v>
      </c>
      <c r="D800" s="212"/>
      <c r="E800" s="75" t="e">
        <f t="shared" si="28"/>
        <v>#N/A</v>
      </c>
      <c r="F800" s="80"/>
      <c r="G800" s="81"/>
      <c r="H800" s="78"/>
      <c r="I800" s="78"/>
      <c r="J800" s="78"/>
    </row>
    <row r="801" spans="1:10" x14ac:dyDescent="0.2">
      <c r="A801" s="84">
        <f t="shared" si="27"/>
        <v>795</v>
      </c>
      <c r="B801" s="85" t="e">
        <f>+MATCH(D801,ARTICULOS!$F$10:$F$699,0)</f>
        <v>#N/A</v>
      </c>
      <c r="C801" s="86" t="e">
        <f>+VLOOKUP(B801,ARTICULOS!$D$10:$I$699,6)</f>
        <v>#N/A</v>
      </c>
      <c r="D801" s="212"/>
      <c r="E801" s="75" t="e">
        <f t="shared" si="28"/>
        <v>#N/A</v>
      </c>
      <c r="F801" s="80"/>
      <c r="G801" s="81"/>
      <c r="H801" s="78"/>
      <c r="I801" s="78"/>
      <c r="J801" s="78"/>
    </row>
    <row r="802" spans="1:10" x14ac:dyDescent="0.2">
      <c r="A802" s="84">
        <f t="shared" si="27"/>
        <v>796</v>
      </c>
      <c r="B802" s="85" t="e">
        <f>+MATCH(D802,ARTICULOS!$F$10:$F$699,0)</f>
        <v>#N/A</v>
      </c>
      <c r="C802" s="86" t="e">
        <f>+VLOOKUP(B802,ARTICULOS!$D$10:$I$699,6)</f>
        <v>#N/A</v>
      </c>
      <c r="D802" s="212"/>
      <c r="E802" s="75" t="e">
        <f t="shared" si="28"/>
        <v>#N/A</v>
      </c>
      <c r="F802" s="80"/>
      <c r="G802" s="81"/>
      <c r="H802" s="78"/>
      <c r="I802" s="78"/>
      <c r="J802" s="78"/>
    </row>
    <row r="803" spans="1:10" x14ac:dyDescent="0.2">
      <c r="A803" s="84">
        <f t="shared" si="27"/>
        <v>797</v>
      </c>
      <c r="B803" s="85" t="e">
        <f>+MATCH(D803,ARTICULOS!$F$10:$F$699,0)</f>
        <v>#N/A</v>
      </c>
      <c r="C803" s="86" t="e">
        <f>+VLOOKUP(B803,ARTICULOS!$D$10:$I$699,6)</f>
        <v>#N/A</v>
      </c>
      <c r="D803" s="212"/>
      <c r="E803" s="75" t="e">
        <f t="shared" si="28"/>
        <v>#N/A</v>
      </c>
      <c r="F803" s="80"/>
      <c r="G803" s="81"/>
      <c r="H803" s="78"/>
      <c r="I803" s="78"/>
      <c r="J803" s="78"/>
    </row>
    <row r="804" spans="1:10" x14ac:dyDescent="0.2">
      <c r="A804" s="84">
        <f t="shared" si="27"/>
        <v>798</v>
      </c>
      <c r="B804" s="85" t="e">
        <f>+MATCH(D804,ARTICULOS!$F$10:$F$699,0)</f>
        <v>#N/A</v>
      </c>
      <c r="C804" s="86" t="e">
        <f>+VLOOKUP(B804,ARTICULOS!$D$10:$I$699,6)</f>
        <v>#N/A</v>
      </c>
      <c r="D804" s="212"/>
      <c r="E804" s="75" t="e">
        <f t="shared" si="28"/>
        <v>#N/A</v>
      </c>
      <c r="F804" s="80"/>
      <c r="G804" s="81"/>
      <c r="H804" s="78"/>
      <c r="I804" s="78"/>
      <c r="J804" s="78"/>
    </row>
    <row r="805" spans="1:10" x14ac:dyDescent="0.2">
      <c r="A805" s="84">
        <f t="shared" si="27"/>
        <v>799</v>
      </c>
      <c r="B805" s="85" t="e">
        <f>+MATCH(D805,ARTICULOS!$F$10:$F$699,0)</f>
        <v>#N/A</v>
      </c>
      <c r="C805" s="86" t="e">
        <f>+VLOOKUP(B805,ARTICULOS!$D$10:$I$699,6)</f>
        <v>#N/A</v>
      </c>
      <c r="D805" s="212"/>
      <c r="E805" s="75" t="e">
        <f t="shared" si="28"/>
        <v>#N/A</v>
      </c>
      <c r="F805" s="80"/>
      <c r="G805" s="81"/>
      <c r="H805" s="78"/>
      <c r="I805" s="78"/>
      <c r="J805" s="78"/>
    </row>
    <row r="806" spans="1:10" x14ac:dyDescent="0.2">
      <c r="A806" s="84">
        <f t="shared" si="27"/>
        <v>800</v>
      </c>
      <c r="B806" s="85" t="e">
        <f>+MATCH(D806,ARTICULOS!$F$10:$F$699,0)</f>
        <v>#N/A</v>
      </c>
      <c r="C806" s="86" t="e">
        <f>+VLOOKUP(B806,ARTICULOS!$D$10:$I$699,6)</f>
        <v>#N/A</v>
      </c>
      <c r="D806" s="212"/>
      <c r="E806" s="75" t="e">
        <f t="shared" si="28"/>
        <v>#N/A</v>
      </c>
      <c r="F806" s="80"/>
      <c r="G806" s="81"/>
      <c r="H806" s="78"/>
      <c r="I806" s="78"/>
      <c r="J806" s="78"/>
    </row>
    <row r="807" spans="1:10" x14ac:dyDescent="0.2">
      <c r="A807" s="84">
        <f t="shared" si="27"/>
        <v>801</v>
      </c>
      <c r="B807" s="85" t="e">
        <f>+MATCH(D807,ARTICULOS!$F$10:$F$699,0)</f>
        <v>#N/A</v>
      </c>
      <c r="C807" s="86" t="e">
        <f>+VLOOKUP(B807,ARTICULOS!$D$10:$I$699,6)</f>
        <v>#N/A</v>
      </c>
      <c r="D807" s="212"/>
      <c r="E807" s="75" t="e">
        <f t="shared" si="28"/>
        <v>#N/A</v>
      </c>
      <c r="F807" s="80"/>
      <c r="G807" s="81"/>
      <c r="H807" s="78"/>
      <c r="I807" s="78"/>
      <c r="J807" s="78"/>
    </row>
    <row r="808" spans="1:10" x14ac:dyDescent="0.2">
      <c r="A808" s="84">
        <f t="shared" si="27"/>
        <v>802</v>
      </c>
      <c r="B808" s="85" t="e">
        <f>+MATCH(D808,ARTICULOS!$F$10:$F$699,0)</f>
        <v>#N/A</v>
      </c>
      <c r="C808" s="86" t="e">
        <f>+VLOOKUP(B808,ARTICULOS!$D$10:$I$699,6)</f>
        <v>#N/A</v>
      </c>
      <c r="D808" s="212"/>
      <c r="E808" s="75" t="e">
        <f t="shared" si="28"/>
        <v>#N/A</v>
      </c>
      <c r="F808" s="80"/>
      <c r="G808" s="81"/>
      <c r="H808" s="78"/>
      <c r="I808" s="78"/>
      <c r="J808" s="78"/>
    </row>
    <row r="809" spans="1:10" x14ac:dyDescent="0.2">
      <c r="A809" s="84">
        <f t="shared" ref="A809:A872" si="29">ROW()-6</f>
        <v>803</v>
      </c>
      <c r="B809" s="85" t="e">
        <f>+MATCH(D809,ARTICULOS!$F$10:$F$699,0)</f>
        <v>#N/A</v>
      </c>
      <c r="C809" s="86" t="e">
        <f>+VLOOKUP(B809,ARTICULOS!$D$10:$I$699,6)</f>
        <v>#N/A</v>
      </c>
      <c r="D809" s="212"/>
      <c r="E809" s="75" t="e">
        <f t="shared" si="28"/>
        <v>#N/A</v>
      </c>
      <c r="F809" s="80"/>
      <c r="G809" s="81"/>
      <c r="H809" s="78"/>
      <c r="I809" s="78"/>
      <c r="J809" s="78"/>
    </row>
    <row r="810" spans="1:10" x14ac:dyDescent="0.2">
      <c r="A810" s="84">
        <f t="shared" si="29"/>
        <v>804</v>
      </c>
      <c r="B810" s="85" t="e">
        <f>+MATCH(D810,ARTICULOS!$F$10:$F$699,0)</f>
        <v>#N/A</v>
      </c>
      <c r="C810" s="86" t="e">
        <f>+VLOOKUP(B810,ARTICULOS!$D$10:$I$699,6)</f>
        <v>#N/A</v>
      </c>
      <c r="D810" s="212"/>
      <c r="E810" s="75" t="e">
        <f t="shared" si="28"/>
        <v>#N/A</v>
      </c>
      <c r="F810" s="80"/>
      <c r="G810" s="81"/>
      <c r="H810" s="78"/>
      <c r="I810" s="78"/>
      <c r="J810" s="78"/>
    </row>
    <row r="811" spans="1:10" x14ac:dyDescent="0.2">
      <c r="A811" s="84">
        <f t="shared" si="29"/>
        <v>805</v>
      </c>
      <c r="B811" s="85" t="e">
        <f>+MATCH(D811,ARTICULOS!$F$10:$F$699,0)</f>
        <v>#N/A</v>
      </c>
      <c r="C811" s="86" t="e">
        <f>+VLOOKUP(B811,ARTICULOS!$D$10:$I$699,6)</f>
        <v>#N/A</v>
      </c>
      <c r="D811" s="212"/>
      <c r="E811" s="75" t="e">
        <f t="shared" si="28"/>
        <v>#N/A</v>
      </c>
      <c r="F811" s="80"/>
      <c r="G811" s="81"/>
      <c r="H811" s="78"/>
      <c r="I811" s="78"/>
      <c r="J811" s="78"/>
    </row>
    <row r="812" spans="1:10" x14ac:dyDescent="0.2">
      <c r="A812" s="84">
        <f t="shared" si="29"/>
        <v>806</v>
      </c>
      <c r="B812" s="85" t="e">
        <f>+MATCH(D812,ARTICULOS!$F$10:$F$699,0)</f>
        <v>#N/A</v>
      </c>
      <c r="C812" s="86" t="e">
        <f>+VLOOKUP(B812,ARTICULOS!$D$10:$I$699,6)</f>
        <v>#N/A</v>
      </c>
      <c r="D812" s="212"/>
      <c r="E812" s="75" t="e">
        <f t="shared" si="28"/>
        <v>#N/A</v>
      </c>
      <c r="F812" s="80"/>
      <c r="G812" s="81"/>
      <c r="H812" s="78"/>
      <c r="I812" s="78"/>
      <c r="J812" s="78"/>
    </row>
    <row r="813" spans="1:10" x14ac:dyDescent="0.2">
      <c r="A813" s="84">
        <f t="shared" si="29"/>
        <v>807</v>
      </c>
      <c r="B813" s="85" t="e">
        <f>+MATCH(D813,ARTICULOS!$F$10:$F$699,0)</f>
        <v>#N/A</v>
      </c>
      <c r="C813" s="86" t="e">
        <f>+VLOOKUP(B813,ARTICULOS!$D$10:$I$699,6)</f>
        <v>#N/A</v>
      </c>
      <c r="D813" s="212"/>
      <c r="E813" s="75" t="e">
        <f t="shared" si="28"/>
        <v>#N/A</v>
      </c>
      <c r="F813" s="80"/>
      <c r="G813" s="81"/>
      <c r="H813" s="78"/>
      <c r="I813" s="78"/>
      <c r="J813" s="78"/>
    </row>
    <row r="814" spans="1:10" x14ac:dyDescent="0.2">
      <c r="A814" s="84">
        <f t="shared" si="29"/>
        <v>808</v>
      </c>
      <c r="B814" s="85" t="e">
        <f>+MATCH(D814,ARTICULOS!$F$10:$F$699,0)</f>
        <v>#N/A</v>
      </c>
      <c r="C814" s="86" t="e">
        <f>+VLOOKUP(B814,ARTICULOS!$D$10:$I$699,6)</f>
        <v>#N/A</v>
      </c>
      <c r="D814" s="212"/>
      <c r="E814" s="75" t="e">
        <f t="shared" si="28"/>
        <v>#N/A</v>
      </c>
      <c r="F814" s="80"/>
      <c r="G814" s="81"/>
      <c r="H814" s="78"/>
      <c r="I814" s="78"/>
      <c r="J814" s="78"/>
    </row>
    <row r="815" spans="1:10" x14ac:dyDescent="0.2">
      <c r="A815" s="84">
        <f t="shared" si="29"/>
        <v>809</v>
      </c>
      <c r="B815" s="85" t="e">
        <f>+MATCH(D815,ARTICULOS!$F$10:$F$699,0)</f>
        <v>#N/A</v>
      </c>
      <c r="C815" s="86" t="e">
        <f>+VLOOKUP(B815,ARTICULOS!$D$10:$I$699,6)</f>
        <v>#N/A</v>
      </c>
      <c r="D815" s="212"/>
      <c r="E815" s="75" t="e">
        <f t="shared" si="28"/>
        <v>#N/A</v>
      </c>
      <c r="F815" s="80"/>
      <c r="G815" s="81"/>
      <c r="H815" s="78"/>
      <c r="I815" s="78"/>
      <c r="J815" s="78"/>
    </row>
    <row r="816" spans="1:10" x14ac:dyDescent="0.2">
      <c r="A816" s="84">
        <f t="shared" si="29"/>
        <v>810</v>
      </c>
      <c r="B816" s="85" t="e">
        <f>+MATCH(D816,ARTICULOS!$F$10:$F$699,0)</f>
        <v>#N/A</v>
      </c>
      <c r="C816" s="86" t="e">
        <f>+VLOOKUP(B816,ARTICULOS!$D$10:$I$699,6)</f>
        <v>#N/A</v>
      </c>
      <c r="D816" s="212"/>
      <c r="E816" s="75" t="e">
        <f t="shared" si="28"/>
        <v>#N/A</v>
      </c>
      <c r="F816" s="80"/>
      <c r="G816" s="81"/>
      <c r="H816" s="78"/>
      <c r="I816" s="78"/>
      <c r="J816" s="78"/>
    </row>
    <row r="817" spans="1:10" x14ac:dyDescent="0.2">
      <c r="A817" s="84">
        <f t="shared" si="29"/>
        <v>811</v>
      </c>
      <c r="B817" s="85" t="e">
        <f>+MATCH(D817,ARTICULOS!$F$10:$F$699,0)</f>
        <v>#N/A</v>
      </c>
      <c r="C817" s="86" t="e">
        <f>+VLOOKUP(B817,ARTICULOS!$D$10:$I$699,6)</f>
        <v>#N/A</v>
      </c>
      <c r="D817" s="212"/>
      <c r="E817" s="75" t="e">
        <f t="shared" si="28"/>
        <v>#N/A</v>
      </c>
      <c r="F817" s="80"/>
      <c r="G817" s="81"/>
      <c r="H817" s="78"/>
      <c r="I817" s="78"/>
      <c r="J817" s="78"/>
    </row>
    <row r="818" spans="1:10" x14ac:dyDescent="0.2">
      <c r="A818" s="84">
        <f t="shared" si="29"/>
        <v>812</v>
      </c>
      <c r="B818" s="85" t="e">
        <f>+MATCH(D818,ARTICULOS!$F$10:$F$699,0)</f>
        <v>#N/A</v>
      </c>
      <c r="C818" s="86" t="e">
        <f>+VLOOKUP(B818,ARTICULOS!$D$10:$I$699,6)</f>
        <v>#N/A</v>
      </c>
      <c r="D818" s="212"/>
      <c r="E818" s="75" t="e">
        <f t="shared" si="28"/>
        <v>#N/A</v>
      </c>
      <c r="F818" s="80"/>
      <c r="G818" s="81"/>
      <c r="H818" s="78"/>
      <c r="I818" s="78"/>
      <c r="J818" s="78"/>
    </row>
    <row r="819" spans="1:10" x14ac:dyDescent="0.2">
      <c r="A819" s="84">
        <f t="shared" si="29"/>
        <v>813</v>
      </c>
      <c r="B819" s="85" t="e">
        <f>+MATCH(D819,ARTICULOS!$F$10:$F$699,0)</f>
        <v>#N/A</v>
      </c>
      <c r="C819" s="86" t="e">
        <f>+VLOOKUP(B819,ARTICULOS!$D$10:$I$699,6)</f>
        <v>#N/A</v>
      </c>
      <c r="D819" s="212"/>
      <c r="E819" s="75" t="e">
        <f t="shared" si="28"/>
        <v>#N/A</v>
      </c>
      <c r="F819" s="80"/>
      <c r="G819" s="81"/>
      <c r="H819" s="78"/>
      <c r="I819" s="78"/>
      <c r="J819" s="78"/>
    </row>
    <row r="820" spans="1:10" x14ac:dyDescent="0.2">
      <c r="A820" s="84">
        <f t="shared" si="29"/>
        <v>814</v>
      </c>
      <c r="B820" s="85" t="e">
        <f>+MATCH(D820,ARTICULOS!$F$10:$F$699,0)</f>
        <v>#N/A</v>
      </c>
      <c r="C820" s="86" t="e">
        <f>+VLOOKUP(B820,ARTICULOS!$D$10:$I$699,6)</f>
        <v>#N/A</v>
      </c>
      <c r="D820" s="212"/>
      <c r="E820" s="75" t="e">
        <f t="shared" si="28"/>
        <v>#N/A</v>
      </c>
      <c r="F820" s="80"/>
      <c r="G820" s="81"/>
      <c r="H820" s="78"/>
      <c r="I820" s="78"/>
      <c r="J820" s="78"/>
    </row>
    <row r="821" spans="1:10" x14ac:dyDescent="0.2">
      <c r="A821" s="84">
        <f t="shared" si="29"/>
        <v>815</v>
      </c>
      <c r="B821" s="85" t="e">
        <f>+MATCH(D821,ARTICULOS!$F$10:$F$699,0)</f>
        <v>#N/A</v>
      </c>
      <c r="C821" s="86" t="e">
        <f>+VLOOKUP(B821,ARTICULOS!$D$10:$I$699,6)</f>
        <v>#N/A</v>
      </c>
      <c r="D821" s="212"/>
      <c r="E821" s="75" t="e">
        <f t="shared" si="28"/>
        <v>#N/A</v>
      </c>
      <c r="F821" s="80"/>
      <c r="G821" s="81"/>
      <c r="H821" s="78"/>
      <c r="I821" s="78"/>
      <c r="J821" s="78"/>
    </row>
    <row r="822" spans="1:10" x14ac:dyDescent="0.2">
      <c r="A822" s="84">
        <f t="shared" si="29"/>
        <v>816</v>
      </c>
      <c r="B822" s="85" t="e">
        <f>+MATCH(D822,ARTICULOS!$F$10:$F$699,0)</f>
        <v>#N/A</v>
      </c>
      <c r="C822" s="86" t="e">
        <f>+VLOOKUP(B822,ARTICULOS!$D$10:$I$699,6)</f>
        <v>#N/A</v>
      </c>
      <c r="D822" s="212"/>
      <c r="E822" s="75" t="e">
        <f t="shared" si="28"/>
        <v>#N/A</v>
      </c>
      <c r="F822" s="80"/>
      <c r="G822" s="81"/>
      <c r="H822" s="78"/>
      <c r="I822" s="78"/>
      <c r="J822" s="78"/>
    </row>
    <row r="823" spans="1:10" x14ac:dyDescent="0.2">
      <c r="A823" s="84">
        <f t="shared" si="29"/>
        <v>817</v>
      </c>
      <c r="B823" s="85" t="e">
        <f>+MATCH(D823,ARTICULOS!$F$10:$F$699,0)</f>
        <v>#N/A</v>
      </c>
      <c r="C823" s="86" t="e">
        <f>+VLOOKUP(B823,ARTICULOS!$D$10:$I$699,6)</f>
        <v>#N/A</v>
      </c>
      <c r="D823" s="212"/>
      <c r="E823" s="75" t="e">
        <f t="shared" si="28"/>
        <v>#N/A</v>
      </c>
      <c r="F823" s="80"/>
      <c r="G823" s="81"/>
      <c r="H823" s="78"/>
      <c r="I823" s="78"/>
      <c r="J823" s="78"/>
    </row>
    <row r="824" spans="1:10" x14ac:dyDescent="0.2">
      <c r="A824" s="84">
        <f t="shared" si="29"/>
        <v>818</v>
      </c>
      <c r="B824" s="85" t="e">
        <f>+MATCH(D824,ARTICULOS!$F$10:$F$699,0)</f>
        <v>#N/A</v>
      </c>
      <c r="C824" s="86" t="e">
        <f>+VLOOKUP(B824,ARTICULOS!$D$10:$I$699,6)</f>
        <v>#N/A</v>
      </c>
      <c r="D824" s="212"/>
      <c r="E824" s="75" t="e">
        <f t="shared" si="28"/>
        <v>#N/A</v>
      </c>
      <c r="F824" s="80"/>
      <c r="G824" s="81"/>
      <c r="H824" s="78"/>
      <c r="I824" s="78"/>
      <c r="J824" s="78"/>
    </row>
    <row r="825" spans="1:10" x14ac:dyDescent="0.2">
      <c r="A825" s="84">
        <f t="shared" si="29"/>
        <v>819</v>
      </c>
      <c r="B825" s="85" t="e">
        <f>+MATCH(D825,ARTICULOS!$F$10:$F$699,0)</f>
        <v>#N/A</v>
      </c>
      <c r="C825" s="86" t="e">
        <f>+VLOOKUP(B825,ARTICULOS!$D$10:$I$699,6)</f>
        <v>#N/A</v>
      </c>
      <c r="D825" s="212"/>
      <c r="E825" s="75" t="e">
        <f t="shared" si="28"/>
        <v>#N/A</v>
      </c>
      <c r="F825" s="80"/>
      <c r="G825" s="81"/>
      <c r="H825" s="78"/>
      <c r="I825" s="78"/>
      <c r="J825" s="78"/>
    </row>
    <row r="826" spans="1:10" x14ac:dyDescent="0.2">
      <c r="A826" s="84">
        <f t="shared" si="29"/>
        <v>820</v>
      </c>
      <c r="B826" s="85" t="e">
        <f>+MATCH(D826,ARTICULOS!$F$10:$F$699,0)</f>
        <v>#N/A</v>
      </c>
      <c r="C826" s="86" t="e">
        <f>+VLOOKUP(B826,ARTICULOS!$D$10:$I$699,6)</f>
        <v>#N/A</v>
      </c>
      <c r="D826" s="212"/>
      <c r="E826" s="75" t="e">
        <f t="shared" si="28"/>
        <v>#N/A</v>
      </c>
      <c r="F826" s="80"/>
      <c r="G826" s="81"/>
      <c r="H826" s="78"/>
      <c r="I826" s="78"/>
      <c r="J826" s="78"/>
    </row>
    <row r="827" spans="1:10" x14ac:dyDescent="0.2">
      <c r="A827" s="84">
        <f t="shared" si="29"/>
        <v>821</v>
      </c>
      <c r="B827" s="85" t="e">
        <f>+MATCH(D827,ARTICULOS!$F$10:$F$699,0)</f>
        <v>#N/A</v>
      </c>
      <c r="C827" s="86" t="e">
        <f>+VLOOKUP(B827,ARTICULOS!$D$10:$I$699,6)</f>
        <v>#N/A</v>
      </c>
      <c r="D827" s="212"/>
      <c r="E827" s="75" t="e">
        <f t="shared" si="28"/>
        <v>#N/A</v>
      </c>
      <c r="F827" s="80"/>
      <c r="G827" s="81"/>
      <c r="H827" s="78"/>
      <c r="I827" s="78"/>
      <c r="J827" s="78"/>
    </row>
    <row r="828" spans="1:10" x14ac:dyDescent="0.2">
      <c r="A828" s="84">
        <f t="shared" si="29"/>
        <v>822</v>
      </c>
      <c r="B828" s="85" t="e">
        <f>+MATCH(D828,ARTICULOS!$F$10:$F$699,0)</f>
        <v>#N/A</v>
      </c>
      <c r="C828" s="86" t="e">
        <f>+VLOOKUP(B828,ARTICULOS!$D$10:$I$699,6)</f>
        <v>#N/A</v>
      </c>
      <c r="D828" s="212"/>
      <c r="E828" s="75" t="e">
        <f t="shared" si="28"/>
        <v>#N/A</v>
      </c>
      <c r="F828" s="80"/>
      <c r="G828" s="81"/>
      <c r="H828" s="78"/>
      <c r="I828" s="78"/>
      <c r="J828" s="78"/>
    </row>
    <row r="829" spans="1:10" x14ac:dyDescent="0.2">
      <c r="A829" s="84">
        <f t="shared" si="29"/>
        <v>823</v>
      </c>
      <c r="B829" s="85" t="e">
        <f>+MATCH(D829,ARTICULOS!$F$10:$F$699,0)</f>
        <v>#N/A</v>
      </c>
      <c r="C829" s="86" t="e">
        <f>+VLOOKUP(B829,ARTICULOS!$D$10:$I$699,6)</f>
        <v>#N/A</v>
      </c>
      <c r="D829" s="212"/>
      <c r="E829" s="75" t="e">
        <f t="shared" si="28"/>
        <v>#N/A</v>
      </c>
      <c r="F829" s="80"/>
      <c r="G829" s="81"/>
      <c r="H829" s="78"/>
      <c r="I829" s="78"/>
      <c r="J829" s="78"/>
    </row>
    <row r="830" spans="1:10" x14ac:dyDescent="0.2">
      <c r="A830" s="84">
        <f t="shared" si="29"/>
        <v>824</v>
      </c>
      <c r="B830" s="85" t="e">
        <f>+MATCH(D830,ARTICULOS!$F$10:$F$699,0)</f>
        <v>#N/A</v>
      </c>
      <c r="C830" s="86" t="e">
        <f>+VLOOKUP(B830,ARTICULOS!$D$10:$I$699,6)</f>
        <v>#N/A</v>
      </c>
      <c r="D830" s="212"/>
      <c r="E830" s="75" t="e">
        <f t="shared" si="28"/>
        <v>#N/A</v>
      </c>
      <c r="F830" s="80"/>
      <c r="G830" s="81"/>
      <c r="H830" s="78"/>
      <c r="I830" s="78"/>
      <c r="J830" s="78"/>
    </row>
    <row r="831" spans="1:10" x14ac:dyDescent="0.2">
      <c r="A831" s="84">
        <f t="shared" si="29"/>
        <v>825</v>
      </c>
      <c r="B831" s="85" t="e">
        <f>+MATCH(D831,ARTICULOS!$F$10:$F$699,0)</f>
        <v>#N/A</v>
      </c>
      <c r="C831" s="86" t="e">
        <f>+VLOOKUP(B831,ARTICULOS!$D$10:$I$699,6)</f>
        <v>#N/A</v>
      </c>
      <c r="D831" s="212"/>
      <c r="E831" s="75" t="e">
        <f t="shared" si="28"/>
        <v>#N/A</v>
      </c>
      <c r="F831" s="80"/>
      <c r="G831" s="81"/>
      <c r="H831" s="78"/>
      <c r="I831" s="78"/>
      <c r="J831" s="78"/>
    </row>
    <row r="832" spans="1:10" x14ac:dyDescent="0.2">
      <c r="A832" s="84">
        <f t="shared" si="29"/>
        <v>826</v>
      </c>
      <c r="B832" s="85" t="e">
        <f>+MATCH(D832,ARTICULOS!$F$10:$F$699,0)</f>
        <v>#N/A</v>
      </c>
      <c r="C832" s="86" t="e">
        <f>+VLOOKUP(B832,ARTICULOS!$D$10:$I$699,6)</f>
        <v>#N/A</v>
      </c>
      <c r="D832" s="212"/>
      <c r="E832" s="75" t="e">
        <f t="shared" si="28"/>
        <v>#N/A</v>
      </c>
      <c r="F832" s="80"/>
      <c r="G832" s="81"/>
      <c r="H832" s="78"/>
      <c r="I832" s="78"/>
      <c r="J832" s="78"/>
    </row>
    <row r="833" spans="1:10" x14ac:dyDescent="0.2">
      <c r="A833" s="84">
        <f t="shared" si="29"/>
        <v>827</v>
      </c>
      <c r="B833" s="85" t="e">
        <f>+MATCH(D833,ARTICULOS!$F$10:$F$699,0)</f>
        <v>#N/A</v>
      </c>
      <c r="C833" s="86" t="e">
        <f>+VLOOKUP(B833,ARTICULOS!$D$10:$I$699,6)</f>
        <v>#N/A</v>
      </c>
      <c r="D833" s="212"/>
      <c r="E833" s="75" t="e">
        <f t="shared" si="28"/>
        <v>#N/A</v>
      </c>
      <c r="F833" s="80"/>
      <c r="G833" s="81"/>
      <c r="H833" s="78"/>
      <c r="I833" s="78"/>
      <c r="J833" s="78"/>
    </row>
    <row r="834" spans="1:10" x14ac:dyDescent="0.2">
      <c r="A834" s="84">
        <f t="shared" si="29"/>
        <v>828</v>
      </c>
      <c r="B834" s="85" t="e">
        <f>+MATCH(D834,ARTICULOS!$F$10:$F$699,0)</f>
        <v>#N/A</v>
      </c>
      <c r="C834" s="86" t="e">
        <f>+VLOOKUP(B834,ARTICULOS!$D$10:$I$699,6)</f>
        <v>#N/A</v>
      </c>
      <c r="D834" s="212"/>
      <c r="E834" s="75" t="e">
        <f t="shared" si="28"/>
        <v>#N/A</v>
      </c>
      <c r="F834" s="80"/>
      <c r="G834" s="81"/>
      <c r="H834" s="78"/>
      <c r="I834" s="78"/>
      <c r="J834" s="78"/>
    </row>
    <row r="835" spans="1:10" x14ac:dyDescent="0.2">
      <c r="A835" s="84">
        <f t="shared" si="29"/>
        <v>829</v>
      </c>
      <c r="B835" s="85" t="e">
        <f>+MATCH(D835,ARTICULOS!$F$10:$F$699,0)</f>
        <v>#N/A</v>
      </c>
      <c r="C835" s="86" t="e">
        <f>+VLOOKUP(B835,ARTICULOS!$D$10:$I$699,6)</f>
        <v>#N/A</v>
      </c>
      <c r="D835" s="212"/>
      <c r="E835" s="75" t="e">
        <f t="shared" si="28"/>
        <v>#N/A</v>
      </c>
      <c r="F835" s="80"/>
      <c r="G835" s="81"/>
      <c r="H835" s="78"/>
      <c r="I835" s="78"/>
      <c r="J835" s="78"/>
    </row>
    <row r="836" spans="1:10" x14ac:dyDescent="0.2">
      <c r="A836" s="84">
        <f t="shared" si="29"/>
        <v>830</v>
      </c>
      <c r="B836" s="85" t="e">
        <f>+MATCH(D836,ARTICULOS!$F$10:$F$699,0)</f>
        <v>#N/A</v>
      </c>
      <c r="C836" s="86" t="e">
        <f>+VLOOKUP(B836,ARTICULOS!$D$10:$I$699,6)</f>
        <v>#N/A</v>
      </c>
      <c r="D836" s="212"/>
      <c r="E836" s="75" t="e">
        <f t="shared" si="28"/>
        <v>#N/A</v>
      </c>
      <c r="F836" s="80"/>
      <c r="G836" s="81"/>
      <c r="H836" s="78"/>
      <c r="I836" s="78"/>
      <c r="J836" s="78"/>
    </row>
    <row r="837" spans="1:10" x14ac:dyDescent="0.2">
      <c r="A837" s="84">
        <f t="shared" si="29"/>
        <v>831</v>
      </c>
      <c r="B837" s="85" t="e">
        <f>+MATCH(D837,ARTICULOS!$F$10:$F$699,0)</f>
        <v>#N/A</v>
      </c>
      <c r="C837" s="86" t="e">
        <f>+VLOOKUP(B837,ARTICULOS!$D$10:$I$699,6)</f>
        <v>#N/A</v>
      </c>
      <c r="D837" s="212"/>
      <c r="E837" s="75" t="e">
        <f t="shared" si="28"/>
        <v>#N/A</v>
      </c>
      <c r="F837" s="80"/>
      <c r="G837" s="81"/>
      <c r="H837" s="78"/>
      <c r="I837" s="78"/>
      <c r="J837" s="78"/>
    </row>
    <row r="838" spans="1:10" x14ac:dyDescent="0.2">
      <c r="A838" s="84">
        <f t="shared" si="29"/>
        <v>832</v>
      </c>
      <c r="B838" s="85" t="e">
        <f>+MATCH(D838,ARTICULOS!$F$10:$F$699,0)</f>
        <v>#N/A</v>
      </c>
      <c r="C838" s="86" t="e">
        <f>+VLOOKUP(B838,ARTICULOS!$D$10:$I$699,6)</f>
        <v>#N/A</v>
      </c>
      <c r="D838" s="212"/>
      <c r="E838" s="75" t="e">
        <f t="shared" si="28"/>
        <v>#N/A</v>
      </c>
      <c r="F838" s="80"/>
      <c r="G838" s="81"/>
      <c r="H838" s="78"/>
      <c r="I838" s="78"/>
      <c r="J838" s="78"/>
    </row>
    <row r="839" spans="1:10" x14ac:dyDescent="0.2">
      <c r="A839" s="84">
        <f t="shared" si="29"/>
        <v>833</v>
      </c>
      <c r="B839" s="85" t="e">
        <f>+MATCH(D839,ARTICULOS!$F$10:$F$699,0)</f>
        <v>#N/A</v>
      </c>
      <c r="C839" s="86" t="e">
        <f>+VLOOKUP(B839,ARTICULOS!$D$10:$I$699,6)</f>
        <v>#N/A</v>
      </c>
      <c r="D839" s="212"/>
      <c r="E839" s="75" t="e">
        <f t="shared" si="28"/>
        <v>#N/A</v>
      </c>
      <c r="F839" s="80"/>
      <c r="G839" s="81"/>
      <c r="H839" s="78"/>
      <c r="I839" s="78"/>
      <c r="J839" s="78"/>
    </row>
    <row r="840" spans="1:10" x14ac:dyDescent="0.2">
      <c r="A840" s="84">
        <f t="shared" si="29"/>
        <v>834</v>
      </c>
      <c r="B840" s="85" t="e">
        <f>+MATCH(D840,ARTICULOS!$F$10:$F$699,0)</f>
        <v>#N/A</v>
      </c>
      <c r="C840" s="86" t="e">
        <f>+VLOOKUP(B840,ARTICULOS!$D$10:$I$699,6)</f>
        <v>#N/A</v>
      </c>
      <c r="D840" s="212"/>
      <c r="E840" s="75" t="e">
        <f t="shared" si="28"/>
        <v>#N/A</v>
      </c>
      <c r="F840" s="80"/>
      <c r="G840" s="81"/>
      <c r="H840" s="78"/>
      <c r="I840" s="78"/>
      <c r="J840" s="78"/>
    </row>
    <row r="841" spans="1:10" x14ac:dyDescent="0.2">
      <c r="A841" s="84">
        <f t="shared" si="29"/>
        <v>835</v>
      </c>
      <c r="B841" s="85" t="e">
        <f>+MATCH(D841,ARTICULOS!$F$10:$F$699,0)</f>
        <v>#N/A</v>
      </c>
      <c r="C841" s="86" t="e">
        <f>+VLOOKUP(B841,ARTICULOS!$D$10:$I$699,6)</f>
        <v>#N/A</v>
      </c>
      <c r="D841" s="212"/>
      <c r="E841" s="75" t="e">
        <f t="shared" si="28"/>
        <v>#N/A</v>
      </c>
      <c r="F841" s="80"/>
      <c r="G841" s="81"/>
      <c r="H841" s="78"/>
      <c r="I841" s="78"/>
      <c r="J841" s="78"/>
    </row>
    <row r="842" spans="1:10" x14ac:dyDescent="0.2">
      <c r="A842" s="84">
        <f t="shared" si="29"/>
        <v>836</v>
      </c>
      <c r="B842" s="85" t="e">
        <f>+MATCH(D842,ARTICULOS!$F$10:$F$699,0)</f>
        <v>#N/A</v>
      </c>
      <c r="C842" s="86" t="e">
        <f>+VLOOKUP(B842,ARTICULOS!$D$10:$I$699,6)</f>
        <v>#N/A</v>
      </c>
      <c r="D842" s="212"/>
      <c r="E842" s="75" t="e">
        <f t="shared" si="28"/>
        <v>#N/A</v>
      </c>
      <c r="F842" s="80"/>
      <c r="G842" s="81"/>
      <c r="H842" s="78"/>
      <c r="I842" s="78"/>
      <c r="J842" s="78"/>
    </row>
    <row r="843" spans="1:10" x14ac:dyDescent="0.2">
      <c r="A843" s="84">
        <f t="shared" si="29"/>
        <v>837</v>
      </c>
      <c r="B843" s="85" t="e">
        <f>+MATCH(D843,ARTICULOS!$F$10:$F$699,0)</f>
        <v>#N/A</v>
      </c>
      <c r="C843" s="86" t="e">
        <f>+VLOOKUP(B843,ARTICULOS!$D$10:$I$699,6)</f>
        <v>#N/A</v>
      </c>
      <c r="D843" s="212"/>
      <c r="E843" s="75" t="e">
        <f t="shared" ref="E843:E906" si="30">+C843&amp;F843</f>
        <v>#N/A</v>
      </c>
      <c r="F843" s="80"/>
      <c r="G843" s="81"/>
      <c r="H843" s="78"/>
      <c r="I843" s="78"/>
      <c r="J843" s="78"/>
    </row>
    <row r="844" spans="1:10" x14ac:dyDescent="0.2">
      <c r="A844" s="84">
        <f t="shared" si="29"/>
        <v>838</v>
      </c>
      <c r="B844" s="85" t="e">
        <f>+MATCH(D844,ARTICULOS!$F$10:$F$699,0)</f>
        <v>#N/A</v>
      </c>
      <c r="C844" s="86" t="e">
        <f>+VLOOKUP(B844,ARTICULOS!$D$10:$I$699,6)</f>
        <v>#N/A</v>
      </c>
      <c r="D844" s="212"/>
      <c r="E844" s="75" t="e">
        <f t="shared" si="30"/>
        <v>#N/A</v>
      </c>
      <c r="F844" s="80"/>
      <c r="G844" s="81"/>
      <c r="H844" s="78"/>
      <c r="I844" s="78"/>
      <c r="J844" s="78"/>
    </row>
    <row r="845" spans="1:10" x14ac:dyDescent="0.2">
      <c r="A845" s="84">
        <f t="shared" si="29"/>
        <v>839</v>
      </c>
      <c r="B845" s="85" t="e">
        <f>+MATCH(D845,ARTICULOS!$F$10:$F$699,0)</f>
        <v>#N/A</v>
      </c>
      <c r="C845" s="86" t="e">
        <f>+VLOOKUP(B845,ARTICULOS!$D$10:$I$699,6)</f>
        <v>#N/A</v>
      </c>
      <c r="D845" s="212"/>
      <c r="E845" s="75" t="e">
        <f t="shared" si="30"/>
        <v>#N/A</v>
      </c>
      <c r="F845" s="80"/>
      <c r="G845" s="81"/>
      <c r="H845" s="78"/>
      <c r="I845" s="78"/>
      <c r="J845" s="78"/>
    </row>
    <row r="846" spans="1:10" x14ac:dyDescent="0.2">
      <c r="A846" s="84">
        <f t="shared" si="29"/>
        <v>840</v>
      </c>
      <c r="B846" s="85" t="e">
        <f>+MATCH(D846,ARTICULOS!$F$10:$F$699,0)</f>
        <v>#N/A</v>
      </c>
      <c r="C846" s="86" t="e">
        <f>+VLOOKUP(B846,ARTICULOS!$D$10:$I$699,6)</f>
        <v>#N/A</v>
      </c>
      <c r="D846" s="212"/>
      <c r="E846" s="75" t="e">
        <f t="shared" si="30"/>
        <v>#N/A</v>
      </c>
      <c r="F846" s="80"/>
      <c r="G846" s="81"/>
      <c r="H846" s="78"/>
      <c r="I846" s="78"/>
      <c r="J846" s="78"/>
    </row>
    <row r="847" spans="1:10" x14ac:dyDescent="0.2">
      <c r="A847" s="84">
        <f t="shared" si="29"/>
        <v>841</v>
      </c>
      <c r="B847" s="85" t="e">
        <f>+MATCH(D847,ARTICULOS!$F$10:$F$699,0)</f>
        <v>#N/A</v>
      </c>
      <c r="C847" s="86" t="e">
        <f>+VLOOKUP(B847,ARTICULOS!$D$10:$I$699,6)</f>
        <v>#N/A</v>
      </c>
      <c r="D847" s="212"/>
      <c r="E847" s="75" t="e">
        <f t="shared" si="30"/>
        <v>#N/A</v>
      </c>
      <c r="F847" s="80"/>
      <c r="G847" s="81"/>
      <c r="H847" s="78"/>
      <c r="I847" s="78"/>
      <c r="J847" s="78"/>
    </row>
    <row r="848" spans="1:10" x14ac:dyDescent="0.2">
      <c r="A848" s="84">
        <f t="shared" si="29"/>
        <v>842</v>
      </c>
      <c r="B848" s="85" t="e">
        <f>+MATCH(D848,ARTICULOS!$F$10:$F$699,0)</f>
        <v>#N/A</v>
      </c>
      <c r="C848" s="86" t="e">
        <f>+VLOOKUP(B848,ARTICULOS!$D$10:$I$699,6)</f>
        <v>#N/A</v>
      </c>
      <c r="D848" s="212"/>
      <c r="E848" s="75" t="e">
        <f t="shared" si="30"/>
        <v>#N/A</v>
      </c>
      <c r="F848" s="80"/>
      <c r="G848" s="81"/>
      <c r="H848" s="78"/>
      <c r="I848" s="78"/>
      <c r="J848" s="78"/>
    </row>
    <row r="849" spans="1:10" x14ac:dyDescent="0.2">
      <c r="A849" s="84">
        <f t="shared" si="29"/>
        <v>843</v>
      </c>
      <c r="B849" s="85" t="e">
        <f>+MATCH(D849,ARTICULOS!$F$10:$F$699,0)</f>
        <v>#N/A</v>
      </c>
      <c r="C849" s="86" t="e">
        <f>+VLOOKUP(B849,ARTICULOS!$D$10:$I$699,6)</f>
        <v>#N/A</v>
      </c>
      <c r="D849" s="212"/>
      <c r="E849" s="75" t="e">
        <f t="shared" si="30"/>
        <v>#N/A</v>
      </c>
      <c r="F849" s="80"/>
      <c r="G849" s="81"/>
      <c r="H849" s="78"/>
      <c r="I849" s="78"/>
      <c r="J849" s="78"/>
    </row>
    <row r="850" spans="1:10" x14ac:dyDescent="0.2">
      <c r="A850" s="84">
        <f t="shared" si="29"/>
        <v>844</v>
      </c>
      <c r="B850" s="85" t="e">
        <f>+MATCH(D850,ARTICULOS!$F$10:$F$699,0)</f>
        <v>#N/A</v>
      </c>
      <c r="C850" s="86" t="e">
        <f>+VLOOKUP(B850,ARTICULOS!$D$10:$I$699,6)</f>
        <v>#N/A</v>
      </c>
      <c r="D850" s="212"/>
      <c r="E850" s="75" t="e">
        <f t="shared" si="30"/>
        <v>#N/A</v>
      </c>
      <c r="F850" s="80"/>
      <c r="G850" s="81"/>
      <c r="H850" s="78"/>
      <c r="I850" s="78"/>
      <c r="J850" s="78"/>
    </row>
    <row r="851" spans="1:10" x14ac:dyDescent="0.2">
      <c r="A851" s="84">
        <f t="shared" si="29"/>
        <v>845</v>
      </c>
      <c r="B851" s="85" t="e">
        <f>+MATCH(D851,ARTICULOS!$F$10:$F$699,0)</f>
        <v>#N/A</v>
      </c>
      <c r="C851" s="86" t="e">
        <f>+VLOOKUP(B851,ARTICULOS!$D$10:$I$699,6)</f>
        <v>#N/A</v>
      </c>
      <c r="D851" s="212"/>
      <c r="E851" s="75" t="e">
        <f t="shared" si="30"/>
        <v>#N/A</v>
      </c>
      <c r="F851" s="80"/>
      <c r="G851" s="81"/>
      <c r="H851" s="78"/>
      <c r="I851" s="78"/>
      <c r="J851" s="78"/>
    </row>
    <row r="852" spans="1:10" x14ac:dyDescent="0.2">
      <c r="A852" s="84">
        <f t="shared" si="29"/>
        <v>846</v>
      </c>
      <c r="B852" s="85" t="e">
        <f>+MATCH(D852,ARTICULOS!$F$10:$F$699,0)</f>
        <v>#N/A</v>
      </c>
      <c r="C852" s="86" t="e">
        <f>+VLOOKUP(B852,ARTICULOS!$D$10:$I$699,6)</f>
        <v>#N/A</v>
      </c>
      <c r="D852" s="212"/>
      <c r="E852" s="75" t="e">
        <f t="shared" si="30"/>
        <v>#N/A</v>
      </c>
      <c r="F852" s="80"/>
      <c r="G852" s="81"/>
      <c r="H852" s="78"/>
      <c r="I852" s="78"/>
      <c r="J852" s="78"/>
    </row>
    <row r="853" spans="1:10" x14ac:dyDescent="0.2">
      <c r="A853" s="84">
        <f t="shared" si="29"/>
        <v>847</v>
      </c>
      <c r="B853" s="85" t="e">
        <f>+MATCH(D853,ARTICULOS!$F$10:$F$699,0)</f>
        <v>#N/A</v>
      </c>
      <c r="C853" s="86" t="e">
        <f>+VLOOKUP(B853,ARTICULOS!$D$10:$I$699,6)</f>
        <v>#N/A</v>
      </c>
      <c r="D853" s="212"/>
      <c r="E853" s="75" t="e">
        <f t="shared" si="30"/>
        <v>#N/A</v>
      </c>
      <c r="F853" s="80"/>
      <c r="G853" s="81"/>
      <c r="H853" s="78"/>
      <c r="I853" s="78"/>
      <c r="J853" s="78"/>
    </row>
    <row r="854" spans="1:10" x14ac:dyDescent="0.2">
      <c r="A854" s="84">
        <f t="shared" si="29"/>
        <v>848</v>
      </c>
      <c r="B854" s="85" t="e">
        <f>+MATCH(D854,ARTICULOS!$F$10:$F$699,0)</f>
        <v>#N/A</v>
      </c>
      <c r="C854" s="86" t="e">
        <f>+VLOOKUP(B854,ARTICULOS!$D$10:$I$699,6)</f>
        <v>#N/A</v>
      </c>
      <c r="D854" s="212"/>
      <c r="E854" s="75" t="e">
        <f t="shared" si="30"/>
        <v>#N/A</v>
      </c>
      <c r="F854" s="80"/>
      <c r="G854" s="81"/>
      <c r="H854" s="78"/>
      <c r="I854" s="78"/>
      <c r="J854" s="78"/>
    </row>
    <row r="855" spans="1:10" x14ac:dyDescent="0.2">
      <c r="A855" s="84">
        <f t="shared" si="29"/>
        <v>849</v>
      </c>
      <c r="B855" s="85" t="e">
        <f>+MATCH(D855,ARTICULOS!$F$10:$F$699,0)</f>
        <v>#N/A</v>
      </c>
      <c r="C855" s="86" t="e">
        <f>+VLOOKUP(B855,ARTICULOS!$D$10:$I$699,6)</f>
        <v>#N/A</v>
      </c>
      <c r="D855" s="212"/>
      <c r="E855" s="75" t="e">
        <f t="shared" si="30"/>
        <v>#N/A</v>
      </c>
      <c r="F855" s="80"/>
      <c r="G855" s="81"/>
      <c r="H855" s="78"/>
      <c r="I855" s="78"/>
      <c r="J855" s="78"/>
    </row>
    <row r="856" spans="1:10" x14ac:dyDescent="0.2">
      <c r="A856" s="84">
        <f t="shared" si="29"/>
        <v>850</v>
      </c>
      <c r="B856" s="85" t="e">
        <f>+MATCH(D856,ARTICULOS!$F$10:$F$699,0)</f>
        <v>#N/A</v>
      </c>
      <c r="C856" s="86" t="e">
        <f>+VLOOKUP(B856,ARTICULOS!$D$10:$I$699,6)</f>
        <v>#N/A</v>
      </c>
      <c r="D856" s="212"/>
      <c r="E856" s="75" t="e">
        <f t="shared" si="30"/>
        <v>#N/A</v>
      </c>
      <c r="F856" s="80"/>
      <c r="G856" s="81"/>
      <c r="H856" s="78"/>
      <c r="I856" s="78"/>
      <c r="J856" s="78"/>
    </row>
    <row r="857" spans="1:10" x14ac:dyDescent="0.2">
      <c r="A857" s="84">
        <f t="shared" si="29"/>
        <v>851</v>
      </c>
      <c r="B857" s="85" t="e">
        <f>+MATCH(D857,ARTICULOS!$F$10:$F$699,0)</f>
        <v>#N/A</v>
      </c>
      <c r="C857" s="86" t="e">
        <f>+VLOOKUP(B857,ARTICULOS!$D$10:$I$699,6)</f>
        <v>#N/A</v>
      </c>
      <c r="D857" s="212"/>
      <c r="E857" s="75" t="e">
        <f t="shared" si="30"/>
        <v>#N/A</v>
      </c>
      <c r="F857" s="80"/>
      <c r="G857" s="81"/>
      <c r="H857" s="78"/>
      <c r="I857" s="78"/>
      <c r="J857" s="78"/>
    </row>
    <row r="858" spans="1:10" x14ac:dyDescent="0.2">
      <c r="A858" s="84">
        <f t="shared" si="29"/>
        <v>852</v>
      </c>
      <c r="B858" s="85" t="e">
        <f>+MATCH(D858,ARTICULOS!$F$10:$F$699,0)</f>
        <v>#N/A</v>
      </c>
      <c r="C858" s="86" t="e">
        <f>+VLOOKUP(B858,ARTICULOS!$D$10:$I$699,6)</f>
        <v>#N/A</v>
      </c>
      <c r="D858" s="212"/>
      <c r="E858" s="75" t="e">
        <f t="shared" si="30"/>
        <v>#N/A</v>
      </c>
      <c r="F858" s="80"/>
      <c r="G858" s="81"/>
      <c r="H858" s="78"/>
      <c r="I858" s="78"/>
      <c r="J858" s="78"/>
    </row>
    <row r="859" spans="1:10" x14ac:dyDescent="0.2">
      <c r="A859" s="84">
        <f t="shared" si="29"/>
        <v>853</v>
      </c>
      <c r="B859" s="85" t="e">
        <f>+MATCH(D859,ARTICULOS!$F$10:$F$699,0)</f>
        <v>#N/A</v>
      </c>
      <c r="C859" s="86" t="e">
        <f>+VLOOKUP(B859,ARTICULOS!$D$10:$I$699,6)</f>
        <v>#N/A</v>
      </c>
      <c r="D859" s="212"/>
      <c r="E859" s="75" t="e">
        <f t="shared" si="30"/>
        <v>#N/A</v>
      </c>
      <c r="F859" s="80"/>
      <c r="G859" s="81"/>
      <c r="H859" s="78"/>
      <c r="I859" s="78"/>
      <c r="J859" s="78"/>
    </row>
    <row r="860" spans="1:10" x14ac:dyDescent="0.2">
      <c r="A860" s="84">
        <f t="shared" si="29"/>
        <v>854</v>
      </c>
      <c r="B860" s="85" t="e">
        <f>+MATCH(D860,ARTICULOS!$F$10:$F$699,0)</f>
        <v>#N/A</v>
      </c>
      <c r="C860" s="86" t="e">
        <f>+VLOOKUP(B860,ARTICULOS!$D$10:$I$699,6)</f>
        <v>#N/A</v>
      </c>
      <c r="D860" s="212"/>
      <c r="E860" s="75" t="e">
        <f t="shared" si="30"/>
        <v>#N/A</v>
      </c>
      <c r="F860" s="80"/>
      <c r="G860" s="81"/>
      <c r="H860" s="78"/>
      <c r="I860" s="78"/>
      <c r="J860" s="78"/>
    </row>
    <row r="861" spans="1:10" x14ac:dyDescent="0.2">
      <c r="A861" s="84">
        <f t="shared" si="29"/>
        <v>855</v>
      </c>
      <c r="B861" s="85" t="e">
        <f>+MATCH(D861,ARTICULOS!$F$10:$F$699,0)</f>
        <v>#N/A</v>
      </c>
      <c r="C861" s="86" t="e">
        <f>+VLOOKUP(B861,ARTICULOS!$D$10:$I$699,6)</f>
        <v>#N/A</v>
      </c>
      <c r="D861" s="212"/>
      <c r="E861" s="75" t="e">
        <f t="shared" si="30"/>
        <v>#N/A</v>
      </c>
      <c r="F861" s="80"/>
      <c r="G861" s="81"/>
      <c r="H861" s="78"/>
      <c r="I861" s="78"/>
      <c r="J861" s="78"/>
    </row>
    <row r="862" spans="1:10" x14ac:dyDescent="0.2">
      <c r="A862" s="84">
        <f t="shared" si="29"/>
        <v>856</v>
      </c>
      <c r="B862" s="85" t="e">
        <f>+MATCH(D862,ARTICULOS!$F$10:$F$699,0)</f>
        <v>#N/A</v>
      </c>
      <c r="C862" s="86" t="e">
        <f>+VLOOKUP(B862,ARTICULOS!$D$10:$I$699,6)</f>
        <v>#N/A</v>
      </c>
      <c r="D862" s="212"/>
      <c r="E862" s="75" t="e">
        <f t="shared" si="30"/>
        <v>#N/A</v>
      </c>
      <c r="F862" s="80"/>
      <c r="G862" s="81"/>
      <c r="H862" s="78"/>
      <c r="I862" s="78"/>
      <c r="J862" s="78"/>
    </row>
    <row r="863" spans="1:10" x14ac:dyDescent="0.2">
      <c r="A863" s="84">
        <f t="shared" si="29"/>
        <v>857</v>
      </c>
      <c r="B863" s="85" t="e">
        <f>+MATCH(D863,ARTICULOS!$F$10:$F$699,0)</f>
        <v>#N/A</v>
      </c>
      <c r="C863" s="86" t="e">
        <f>+VLOOKUP(B863,ARTICULOS!$D$10:$I$699,6)</f>
        <v>#N/A</v>
      </c>
      <c r="D863" s="212"/>
      <c r="E863" s="75" t="e">
        <f t="shared" si="30"/>
        <v>#N/A</v>
      </c>
      <c r="F863" s="80"/>
      <c r="G863" s="81"/>
      <c r="H863" s="78"/>
      <c r="I863" s="78"/>
      <c r="J863" s="78"/>
    </row>
    <row r="864" spans="1:10" x14ac:dyDescent="0.2">
      <c r="A864" s="84">
        <f t="shared" si="29"/>
        <v>858</v>
      </c>
      <c r="B864" s="85" t="e">
        <f>+MATCH(D864,ARTICULOS!$F$10:$F$699,0)</f>
        <v>#N/A</v>
      </c>
      <c r="C864" s="86" t="e">
        <f>+VLOOKUP(B864,ARTICULOS!$D$10:$I$699,6)</f>
        <v>#N/A</v>
      </c>
      <c r="D864" s="212"/>
      <c r="E864" s="75" t="e">
        <f t="shared" si="30"/>
        <v>#N/A</v>
      </c>
      <c r="F864" s="80"/>
      <c r="G864" s="81"/>
      <c r="H864" s="78"/>
      <c r="I864" s="78"/>
      <c r="J864" s="78"/>
    </row>
    <row r="865" spans="1:10" x14ac:dyDescent="0.2">
      <c r="A865" s="84">
        <f t="shared" si="29"/>
        <v>859</v>
      </c>
      <c r="B865" s="85" t="e">
        <f>+MATCH(D865,ARTICULOS!$F$10:$F$699,0)</f>
        <v>#N/A</v>
      </c>
      <c r="C865" s="86" t="e">
        <f>+VLOOKUP(B865,ARTICULOS!$D$10:$I$699,6)</f>
        <v>#N/A</v>
      </c>
      <c r="D865" s="212"/>
      <c r="E865" s="75" t="e">
        <f t="shared" si="30"/>
        <v>#N/A</v>
      </c>
      <c r="F865" s="80"/>
      <c r="G865" s="81"/>
      <c r="H865" s="78"/>
      <c r="I865" s="78"/>
      <c r="J865" s="78"/>
    </row>
    <row r="866" spans="1:10" x14ac:dyDescent="0.2">
      <c r="A866" s="84">
        <f t="shared" si="29"/>
        <v>860</v>
      </c>
      <c r="B866" s="85" t="e">
        <f>+MATCH(D866,ARTICULOS!$F$10:$F$699,0)</f>
        <v>#N/A</v>
      </c>
      <c r="C866" s="86" t="e">
        <f>+VLOOKUP(B866,ARTICULOS!$D$10:$I$699,6)</f>
        <v>#N/A</v>
      </c>
      <c r="D866" s="212"/>
      <c r="E866" s="75" t="e">
        <f t="shared" si="30"/>
        <v>#N/A</v>
      </c>
      <c r="F866" s="80"/>
      <c r="G866" s="81"/>
      <c r="H866" s="78"/>
      <c r="I866" s="78"/>
      <c r="J866" s="78"/>
    </row>
    <row r="867" spans="1:10" x14ac:dyDescent="0.2">
      <c r="A867" s="84">
        <f t="shared" si="29"/>
        <v>861</v>
      </c>
      <c r="B867" s="85" t="e">
        <f>+MATCH(D867,ARTICULOS!$F$10:$F$699,0)</f>
        <v>#N/A</v>
      </c>
      <c r="C867" s="86" t="e">
        <f>+VLOOKUP(B867,ARTICULOS!$D$10:$I$699,6)</f>
        <v>#N/A</v>
      </c>
      <c r="D867" s="212"/>
      <c r="E867" s="75" t="e">
        <f t="shared" si="30"/>
        <v>#N/A</v>
      </c>
      <c r="F867" s="80"/>
      <c r="G867" s="81"/>
      <c r="H867" s="78"/>
      <c r="I867" s="78"/>
      <c r="J867" s="78"/>
    </row>
    <row r="868" spans="1:10" x14ac:dyDescent="0.2">
      <c r="A868" s="84">
        <f t="shared" si="29"/>
        <v>862</v>
      </c>
      <c r="B868" s="85" t="e">
        <f>+MATCH(D868,ARTICULOS!$F$10:$F$699,0)</f>
        <v>#N/A</v>
      </c>
      <c r="C868" s="86" t="e">
        <f>+VLOOKUP(B868,ARTICULOS!$D$10:$I$699,6)</f>
        <v>#N/A</v>
      </c>
      <c r="D868" s="212"/>
      <c r="E868" s="75" t="e">
        <f t="shared" si="30"/>
        <v>#N/A</v>
      </c>
      <c r="F868" s="80"/>
      <c r="G868" s="81"/>
      <c r="H868" s="78"/>
      <c r="I868" s="78"/>
      <c r="J868" s="78"/>
    </row>
    <row r="869" spans="1:10" x14ac:dyDescent="0.2">
      <c r="A869" s="84">
        <f t="shared" si="29"/>
        <v>863</v>
      </c>
      <c r="B869" s="85" t="e">
        <f>+MATCH(D869,ARTICULOS!$F$10:$F$699,0)</f>
        <v>#N/A</v>
      </c>
      <c r="C869" s="86" t="e">
        <f>+VLOOKUP(B869,ARTICULOS!$D$10:$I$699,6)</f>
        <v>#N/A</v>
      </c>
      <c r="D869" s="212"/>
      <c r="E869" s="75" t="e">
        <f t="shared" si="30"/>
        <v>#N/A</v>
      </c>
      <c r="F869" s="80"/>
      <c r="G869" s="81"/>
      <c r="H869" s="78"/>
      <c r="I869" s="78"/>
      <c r="J869" s="78"/>
    </row>
    <row r="870" spans="1:10" x14ac:dyDescent="0.2">
      <c r="A870" s="84">
        <f t="shared" si="29"/>
        <v>864</v>
      </c>
      <c r="B870" s="85" t="e">
        <f>+MATCH(D870,ARTICULOS!$F$10:$F$699,0)</f>
        <v>#N/A</v>
      </c>
      <c r="C870" s="86" t="e">
        <f>+VLOOKUP(B870,ARTICULOS!$D$10:$I$699,6)</f>
        <v>#N/A</v>
      </c>
      <c r="D870" s="212"/>
      <c r="E870" s="75" t="e">
        <f t="shared" si="30"/>
        <v>#N/A</v>
      </c>
      <c r="F870" s="80"/>
      <c r="G870" s="81"/>
      <c r="H870" s="78"/>
      <c r="I870" s="78"/>
      <c r="J870" s="78"/>
    </row>
    <row r="871" spans="1:10" x14ac:dyDescent="0.2">
      <c r="A871" s="84">
        <f t="shared" si="29"/>
        <v>865</v>
      </c>
      <c r="B871" s="85" t="e">
        <f>+MATCH(D871,ARTICULOS!$F$10:$F$699,0)</f>
        <v>#N/A</v>
      </c>
      <c r="C871" s="86" t="e">
        <f>+VLOOKUP(B871,ARTICULOS!$D$10:$I$699,6)</f>
        <v>#N/A</v>
      </c>
      <c r="D871" s="212"/>
      <c r="E871" s="75" t="e">
        <f t="shared" si="30"/>
        <v>#N/A</v>
      </c>
      <c r="F871" s="80"/>
      <c r="G871" s="81"/>
      <c r="H871" s="78"/>
      <c r="I871" s="78"/>
      <c r="J871" s="78"/>
    </row>
    <row r="872" spans="1:10" x14ac:dyDescent="0.2">
      <c r="A872" s="84">
        <f t="shared" si="29"/>
        <v>866</v>
      </c>
      <c r="B872" s="85" t="e">
        <f>+MATCH(D872,ARTICULOS!$F$10:$F$699,0)</f>
        <v>#N/A</v>
      </c>
      <c r="C872" s="86" t="e">
        <f>+VLOOKUP(B872,ARTICULOS!$D$10:$I$699,6)</f>
        <v>#N/A</v>
      </c>
      <c r="D872" s="212"/>
      <c r="E872" s="75" t="e">
        <f t="shared" si="30"/>
        <v>#N/A</v>
      </c>
      <c r="F872" s="80"/>
      <c r="G872" s="81"/>
      <c r="H872" s="78"/>
      <c r="I872" s="78"/>
      <c r="J872" s="78"/>
    </row>
    <row r="873" spans="1:10" x14ac:dyDescent="0.2">
      <c r="A873" s="84">
        <f t="shared" ref="A873:A936" si="31">ROW()-6</f>
        <v>867</v>
      </c>
      <c r="B873" s="85" t="e">
        <f>+MATCH(D873,ARTICULOS!$F$10:$F$699,0)</f>
        <v>#N/A</v>
      </c>
      <c r="C873" s="86" t="e">
        <f>+VLOOKUP(B873,ARTICULOS!$D$10:$I$699,6)</f>
        <v>#N/A</v>
      </c>
      <c r="D873" s="212"/>
      <c r="E873" s="75" t="e">
        <f t="shared" si="30"/>
        <v>#N/A</v>
      </c>
      <c r="F873" s="80"/>
      <c r="G873" s="81"/>
      <c r="H873" s="78"/>
      <c r="I873" s="78"/>
      <c r="J873" s="78"/>
    </row>
    <row r="874" spans="1:10" x14ac:dyDescent="0.2">
      <c r="A874" s="84">
        <f t="shared" si="31"/>
        <v>868</v>
      </c>
      <c r="B874" s="85" t="e">
        <f>+MATCH(D874,ARTICULOS!$F$10:$F$699,0)</f>
        <v>#N/A</v>
      </c>
      <c r="C874" s="86" t="e">
        <f>+VLOOKUP(B874,ARTICULOS!$D$10:$I$699,6)</f>
        <v>#N/A</v>
      </c>
      <c r="D874" s="212"/>
      <c r="E874" s="75" t="e">
        <f t="shared" si="30"/>
        <v>#N/A</v>
      </c>
      <c r="F874" s="80"/>
      <c r="G874" s="81"/>
      <c r="H874" s="78"/>
      <c r="I874" s="78"/>
      <c r="J874" s="78"/>
    </row>
    <row r="875" spans="1:10" x14ac:dyDescent="0.2">
      <c r="A875" s="84">
        <f t="shared" si="31"/>
        <v>869</v>
      </c>
      <c r="B875" s="85" t="e">
        <f>+MATCH(D875,ARTICULOS!$F$10:$F$699,0)</f>
        <v>#N/A</v>
      </c>
      <c r="C875" s="86" t="e">
        <f>+VLOOKUP(B875,ARTICULOS!$D$10:$I$699,6)</f>
        <v>#N/A</v>
      </c>
      <c r="D875" s="212"/>
      <c r="E875" s="75" t="e">
        <f t="shared" si="30"/>
        <v>#N/A</v>
      </c>
      <c r="F875" s="80"/>
      <c r="G875" s="81"/>
      <c r="H875" s="78"/>
      <c r="I875" s="78"/>
      <c r="J875" s="78"/>
    </row>
    <row r="876" spans="1:10" x14ac:dyDescent="0.2">
      <c r="A876" s="84">
        <f t="shared" si="31"/>
        <v>870</v>
      </c>
      <c r="B876" s="85" t="e">
        <f>+MATCH(D876,ARTICULOS!$F$10:$F$699,0)</f>
        <v>#N/A</v>
      </c>
      <c r="C876" s="86" t="e">
        <f>+VLOOKUP(B876,ARTICULOS!$D$10:$I$699,6)</f>
        <v>#N/A</v>
      </c>
      <c r="D876" s="212"/>
      <c r="E876" s="75" t="e">
        <f t="shared" si="30"/>
        <v>#N/A</v>
      </c>
      <c r="F876" s="80"/>
      <c r="G876" s="81"/>
      <c r="H876" s="78"/>
      <c r="I876" s="78"/>
      <c r="J876" s="78"/>
    </row>
    <row r="877" spans="1:10" x14ac:dyDescent="0.2">
      <c r="A877" s="84">
        <f t="shared" si="31"/>
        <v>871</v>
      </c>
      <c r="B877" s="85" t="e">
        <f>+MATCH(D877,ARTICULOS!$F$10:$F$699,0)</f>
        <v>#N/A</v>
      </c>
      <c r="C877" s="86" t="e">
        <f>+VLOOKUP(B877,ARTICULOS!$D$10:$I$699,6)</f>
        <v>#N/A</v>
      </c>
      <c r="D877" s="212"/>
      <c r="E877" s="75" t="e">
        <f t="shared" si="30"/>
        <v>#N/A</v>
      </c>
      <c r="F877" s="80"/>
      <c r="G877" s="81"/>
      <c r="H877" s="78"/>
      <c r="I877" s="78"/>
      <c r="J877" s="78"/>
    </row>
    <row r="878" spans="1:10" x14ac:dyDescent="0.2">
      <c r="A878" s="84">
        <f t="shared" si="31"/>
        <v>872</v>
      </c>
      <c r="B878" s="85" t="e">
        <f>+MATCH(D878,ARTICULOS!$F$10:$F$699,0)</f>
        <v>#N/A</v>
      </c>
      <c r="C878" s="86" t="e">
        <f>+VLOOKUP(B878,ARTICULOS!$D$10:$I$699,6)</f>
        <v>#N/A</v>
      </c>
      <c r="D878" s="212"/>
      <c r="E878" s="75" t="e">
        <f t="shared" si="30"/>
        <v>#N/A</v>
      </c>
      <c r="F878" s="80"/>
      <c r="G878" s="81"/>
      <c r="H878" s="78"/>
      <c r="I878" s="78"/>
      <c r="J878" s="78"/>
    </row>
    <row r="879" spans="1:10" x14ac:dyDescent="0.2">
      <c r="A879" s="84">
        <f t="shared" si="31"/>
        <v>873</v>
      </c>
      <c r="B879" s="85" t="e">
        <f>+MATCH(D879,ARTICULOS!$F$10:$F$699,0)</f>
        <v>#N/A</v>
      </c>
      <c r="C879" s="86" t="e">
        <f>+VLOOKUP(B879,ARTICULOS!$D$10:$I$699,6)</f>
        <v>#N/A</v>
      </c>
      <c r="D879" s="212"/>
      <c r="E879" s="75" t="e">
        <f t="shared" si="30"/>
        <v>#N/A</v>
      </c>
      <c r="F879" s="80"/>
      <c r="G879" s="81"/>
      <c r="H879" s="78"/>
      <c r="I879" s="78"/>
      <c r="J879" s="78"/>
    </row>
    <row r="880" spans="1:10" x14ac:dyDescent="0.2">
      <c r="A880" s="84">
        <f t="shared" si="31"/>
        <v>874</v>
      </c>
      <c r="B880" s="85" t="e">
        <f>+MATCH(D880,ARTICULOS!$F$10:$F$699,0)</f>
        <v>#N/A</v>
      </c>
      <c r="C880" s="86" t="e">
        <f>+VLOOKUP(B880,ARTICULOS!$D$10:$I$699,6)</f>
        <v>#N/A</v>
      </c>
      <c r="D880" s="212"/>
      <c r="E880" s="75" t="e">
        <f t="shared" si="30"/>
        <v>#N/A</v>
      </c>
      <c r="F880" s="80"/>
      <c r="G880" s="81"/>
      <c r="H880" s="78"/>
      <c r="I880" s="78"/>
      <c r="J880" s="78"/>
    </row>
    <row r="881" spans="1:10" x14ac:dyDescent="0.2">
      <c r="A881" s="84">
        <f t="shared" si="31"/>
        <v>875</v>
      </c>
      <c r="B881" s="85" t="e">
        <f>+MATCH(D881,ARTICULOS!$F$10:$F$699,0)</f>
        <v>#N/A</v>
      </c>
      <c r="C881" s="86" t="e">
        <f>+VLOOKUP(B881,ARTICULOS!$D$10:$I$699,6)</f>
        <v>#N/A</v>
      </c>
      <c r="D881" s="212"/>
      <c r="E881" s="75" t="e">
        <f t="shared" si="30"/>
        <v>#N/A</v>
      </c>
      <c r="F881" s="80"/>
      <c r="G881" s="81"/>
      <c r="H881" s="78"/>
      <c r="I881" s="78"/>
      <c r="J881" s="78"/>
    </row>
    <row r="882" spans="1:10" x14ac:dyDescent="0.2">
      <c r="A882" s="84">
        <f t="shared" si="31"/>
        <v>876</v>
      </c>
      <c r="B882" s="85" t="e">
        <f>+MATCH(D882,ARTICULOS!$F$10:$F$699,0)</f>
        <v>#N/A</v>
      </c>
      <c r="C882" s="86" t="e">
        <f>+VLOOKUP(B882,ARTICULOS!$D$10:$I$699,6)</f>
        <v>#N/A</v>
      </c>
      <c r="D882" s="212"/>
      <c r="E882" s="75" t="e">
        <f t="shared" si="30"/>
        <v>#N/A</v>
      </c>
      <c r="F882" s="80"/>
      <c r="G882" s="81"/>
      <c r="H882" s="78"/>
      <c r="I882" s="78"/>
      <c r="J882" s="78"/>
    </row>
    <row r="883" spans="1:10" x14ac:dyDescent="0.2">
      <c r="A883" s="84">
        <f t="shared" si="31"/>
        <v>877</v>
      </c>
      <c r="B883" s="85" t="e">
        <f>+MATCH(D883,ARTICULOS!$F$10:$F$699,0)</f>
        <v>#N/A</v>
      </c>
      <c r="C883" s="86" t="e">
        <f>+VLOOKUP(B883,ARTICULOS!$D$10:$I$699,6)</f>
        <v>#N/A</v>
      </c>
      <c r="D883" s="212"/>
      <c r="E883" s="75" t="e">
        <f t="shared" si="30"/>
        <v>#N/A</v>
      </c>
      <c r="F883" s="80"/>
      <c r="G883" s="81"/>
      <c r="H883" s="78"/>
      <c r="I883" s="78"/>
      <c r="J883" s="78"/>
    </row>
    <row r="884" spans="1:10" x14ac:dyDescent="0.2">
      <c r="A884" s="84">
        <f t="shared" si="31"/>
        <v>878</v>
      </c>
      <c r="B884" s="85" t="e">
        <f>+MATCH(D884,ARTICULOS!$F$10:$F$699,0)</f>
        <v>#N/A</v>
      </c>
      <c r="C884" s="86" t="e">
        <f>+VLOOKUP(B884,ARTICULOS!$D$10:$I$699,6)</f>
        <v>#N/A</v>
      </c>
      <c r="D884" s="212"/>
      <c r="E884" s="75" t="e">
        <f t="shared" si="30"/>
        <v>#N/A</v>
      </c>
      <c r="F884" s="80"/>
      <c r="G884" s="81"/>
      <c r="H884" s="78"/>
      <c r="I884" s="78"/>
      <c r="J884" s="78"/>
    </row>
    <row r="885" spans="1:10" x14ac:dyDescent="0.2">
      <c r="A885" s="84">
        <f t="shared" si="31"/>
        <v>879</v>
      </c>
      <c r="B885" s="85" t="e">
        <f>+MATCH(D885,ARTICULOS!$F$10:$F$699,0)</f>
        <v>#N/A</v>
      </c>
      <c r="C885" s="86" t="e">
        <f>+VLOOKUP(B885,ARTICULOS!$D$10:$I$699,6)</f>
        <v>#N/A</v>
      </c>
      <c r="D885" s="212"/>
      <c r="E885" s="75" t="e">
        <f t="shared" si="30"/>
        <v>#N/A</v>
      </c>
      <c r="F885" s="80"/>
      <c r="G885" s="81"/>
      <c r="H885" s="78"/>
      <c r="I885" s="78"/>
      <c r="J885" s="78"/>
    </row>
    <row r="886" spans="1:10" x14ac:dyDescent="0.2">
      <c r="A886" s="84">
        <f t="shared" si="31"/>
        <v>880</v>
      </c>
      <c r="B886" s="85" t="e">
        <f>+MATCH(D886,ARTICULOS!$F$10:$F$699,0)</f>
        <v>#N/A</v>
      </c>
      <c r="C886" s="86" t="e">
        <f>+VLOOKUP(B886,ARTICULOS!$D$10:$I$699,6)</f>
        <v>#N/A</v>
      </c>
      <c r="D886" s="212"/>
      <c r="E886" s="75" t="e">
        <f t="shared" si="30"/>
        <v>#N/A</v>
      </c>
      <c r="F886" s="80"/>
      <c r="G886" s="81"/>
      <c r="H886" s="78"/>
      <c r="I886" s="78"/>
      <c r="J886" s="78"/>
    </row>
    <row r="887" spans="1:10" x14ac:dyDescent="0.2">
      <c r="A887" s="84">
        <f t="shared" si="31"/>
        <v>881</v>
      </c>
      <c r="B887" s="85" t="e">
        <f>+MATCH(D887,ARTICULOS!$F$10:$F$699,0)</f>
        <v>#N/A</v>
      </c>
      <c r="C887" s="86" t="e">
        <f>+VLOOKUP(B887,ARTICULOS!$D$10:$I$699,6)</f>
        <v>#N/A</v>
      </c>
      <c r="D887" s="212"/>
      <c r="E887" s="75" t="e">
        <f t="shared" si="30"/>
        <v>#N/A</v>
      </c>
      <c r="F887" s="80"/>
      <c r="G887" s="81"/>
      <c r="H887" s="78"/>
      <c r="I887" s="78"/>
      <c r="J887" s="78"/>
    </row>
    <row r="888" spans="1:10" x14ac:dyDescent="0.2">
      <c r="A888" s="84">
        <f t="shared" si="31"/>
        <v>882</v>
      </c>
      <c r="B888" s="85" t="e">
        <f>+MATCH(D888,ARTICULOS!$F$10:$F$699,0)</f>
        <v>#N/A</v>
      </c>
      <c r="C888" s="86" t="e">
        <f>+VLOOKUP(B888,ARTICULOS!$D$10:$I$699,6)</f>
        <v>#N/A</v>
      </c>
      <c r="D888" s="212"/>
      <c r="E888" s="75" t="e">
        <f t="shared" si="30"/>
        <v>#N/A</v>
      </c>
      <c r="F888" s="80"/>
      <c r="G888" s="81"/>
      <c r="H888" s="78"/>
      <c r="I888" s="78"/>
      <c r="J888" s="78"/>
    </row>
    <row r="889" spans="1:10" x14ac:dyDescent="0.2">
      <c r="A889" s="84">
        <f t="shared" si="31"/>
        <v>883</v>
      </c>
      <c r="B889" s="85" t="e">
        <f>+MATCH(D889,ARTICULOS!$F$10:$F$699,0)</f>
        <v>#N/A</v>
      </c>
      <c r="C889" s="86" t="e">
        <f>+VLOOKUP(B889,ARTICULOS!$D$10:$I$699,6)</f>
        <v>#N/A</v>
      </c>
      <c r="D889" s="212"/>
      <c r="E889" s="75" t="e">
        <f t="shared" si="30"/>
        <v>#N/A</v>
      </c>
      <c r="F889" s="80"/>
      <c r="G889" s="81"/>
      <c r="H889" s="78"/>
      <c r="I889" s="78"/>
      <c r="J889" s="78"/>
    </row>
    <row r="890" spans="1:10" x14ac:dyDescent="0.2">
      <c r="A890" s="84">
        <f t="shared" si="31"/>
        <v>884</v>
      </c>
      <c r="B890" s="85" t="e">
        <f>+MATCH(D890,ARTICULOS!$F$10:$F$699,0)</f>
        <v>#N/A</v>
      </c>
      <c r="C890" s="86" t="e">
        <f>+VLOOKUP(B890,ARTICULOS!$D$10:$I$699,6)</f>
        <v>#N/A</v>
      </c>
      <c r="D890" s="212"/>
      <c r="E890" s="75" t="e">
        <f t="shared" si="30"/>
        <v>#N/A</v>
      </c>
      <c r="F890" s="80"/>
      <c r="G890" s="81"/>
      <c r="H890" s="78"/>
      <c r="I890" s="78"/>
      <c r="J890" s="78"/>
    </row>
    <row r="891" spans="1:10" x14ac:dyDescent="0.2">
      <c r="A891" s="84">
        <f t="shared" si="31"/>
        <v>885</v>
      </c>
      <c r="B891" s="85" t="e">
        <f>+MATCH(D891,ARTICULOS!$F$10:$F$699,0)</f>
        <v>#N/A</v>
      </c>
      <c r="C891" s="86" t="e">
        <f>+VLOOKUP(B891,ARTICULOS!$D$10:$I$699,6)</f>
        <v>#N/A</v>
      </c>
      <c r="D891" s="212"/>
      <c r="E891" s="75" t="e">
        <f t="shared" si="30"/>
        <v>#N/A</v>
      </c>
      <c r="F891" s="80"/>
      <c r="G891" s="81"/>
      <c r="H891" s="78"/>
      <c r="I891" s="78"/>
      <c r="J891" s="78"/>
    </row>
    <row r="892" spans="1:10" x14ac:dyDescent="0.2">
      <c r="A892" s="84">
        <f t="shared" si="31"/>
        <v>886</v>
      </c>
      <c r="B892" s="85" t="e">
        <f>+MATCH(D892,ARTICULOS!$F$10:$F$699,0)</f>
        <v>#N/A</v>
      </c>
      <c r="C892" s="86" t="e">
        <f>+VLOOKUP(B892,ARTICULOS!$D$10:$I$699,6)</f>
        <v>#N/A</v>
      </c>
      <c r="D892" s="212"/>
      <c r="E892" s="75" t="e">
        <f t="shared" si="30"/>
        <v>#N/A</v>
      </c>
      <c r="F892" s="80"/>
      <c r="G892" s="81"/>
      <c r="H892" s="78"/>
      <c r="I892" s="78"/>
      <c r="J892" s="78"/>
    </row>
    <row r="893" spans="1:10" x14ac:dyDescent="0.2">
      <c r="A893" s="84">
        <f t="shared" si="31"/>
        <v>887</v>
      </c>
      <c r="B893" s="85" t="e">
        <f>+MATCH(D893,ARTICULOS!$F$10:$F$699,0)</f>
        <v>#N/A</v>
      </c>
      <c r="C893" s="86" t="e">
        <f>+VLOOKUP(B893,ARTICULOS!$D$10:$I$699,6)</f>
        <v>#N/A</v>
      </c>
      <c r="D893" s="212"/>
      <c r="E893" s="75" t="e">
        <f t="shared" si="30"/>
        <v>#N/A</v>
      </c>
      <c r="F893" s="80"/>
      <c r="G893" s="81"/>
      <c r="H893" s="78"/>
      <c r="I893" s="78"/>
      <c r="J893" s="78"/>
    </row>
    <row r="894" spans="1:10" x14ac:dyDescent="0.2">
      <c r="A894" s="84">
        <f t="shared" si="31"/>
        <v>888</v>
      </c>
      <c r="B894" s="85" t="e">
        <f>+MATCH(D894,ARTICULOS!$F$10:$F$699,0)</f>
        <v>#N/A</v>
      </c>
      <c r="C894" s="86" t="e">
        <f>+VLOOKUP(B894,ARTICULOS!$D$10:$I$699,6)</f>
        <v>#N/A</v>
      </c>
      <c r="D894" s="212"/>
      <c r="E894" s="75" t="e">
        <f t="shared" si="30"/>
        <v>#N/A</v>
      </c>
      <c r="F894" s="80"/>
      <c r="G894" s="81"/>
      <c r="H894" s="78"/>
      <c r="I894" s="78"/>
      <c r="J894" s="78"/>
    </row>
    <row r="895" spans="1:10" x14ac:dyDescent="0.2">
      <c r="A895" s="84">
        <f t="shared" si="31"/>
        <v>889</v>
      </c>
      <c r="B895" s="85" t="e">
        <f>+MATCH(D895,ARTICULOS!$F$10:$F$699,0)</f>
        <v>#N/A</v>
      </c>
      <c r="C895" s="86" t="e">
        <f>+VLOOKUP(B895,ARTICULOS!$D$10:$I$699,6)</f>
        <v>#N/A</v>
      </c>
      <c r="D895" s="212"/>
      <c r="E895" s="75" t="e">
        <f t="shared" si="30"/>
        <v>#N/A</v>
      </c>
      <c r="F895" s="80"/>
      <c r="G895" s="81"/>
      <c r="H895" s="78"/>
      <c r="I895" s="78"/>
      <c r="J895" s="78"/>
    </row>
    <row r="896" spans="1:10" x14ac:dyDescent="0.2">
      <c r="A896" s="84">
        <f t="shared" si="31"/>
        <v>890</v>
      </c>
      <c r="B896" s="85" t="e">
        <f>+MATCH(D896,ARTICULOS!$F$10:$F$699,0)</f>
        <v>#N/A</v>
      </c>
      <c r="C896" s="86" t="e">
        <f>+VLOOKUP(B896,ARTICULOS!$D$10:$I$699,6)</f>
        <v>#N/A</v>
      </c>
      <c r="D896" s="212"/>
      <c r="E896" s="75" t="e">
        <f t="shared" si="30"/>
        <v>#N/A</v>
      </c>
      <c r="F896" s="80"/>
      <c r="G896" s="81"/>
      <c r="H896" s="78"/>
      <c r="I896" s="78"/>
      <c r="J896" s="78"/>
    </row>
    <row r="897" spans="1:10" x14ac:dyDescent="0.2">
      <c r="A897" s="84">
        <f t="shared" si="31"/>
        <v>891</v>
      </c>
      <c r="B897" s="85" t="e">
        <f>+MATCH(D897,ARTICULOS!$F$10:$F$699,0)</f>
        <v>#N/A</v>
      </c>
      <c r="C897" s="86" t="e">
        <f>+VLOOKUP(B897,ARTICULOS!$D$10:$I$699,6)</f>
        <v>#N/A</v>
      </c>
      <c r="D897" s="212"/>
      <c r="E897" s="75" t="e">
        <f t="shared" si="30"/>
        <v>#N/A</v>
      </c>
      <c r="F897" s="80"/>
      <c r="G897" s="81"/>
      <c r="H897" s="78"/>
      <c r="I897" s="78"/>
      <c r="J897" s="78"/>
    </row>
    <row r="898" spans="1:10" x14ac:dyDescent="0.2">
      <c r="A898" s="84">
        <f t="shared" si="31"/>
        <v>892</v>
      </c>
      <c r="B898" s="85" t="e">
        <f>+MATCH(D898,ARTICULOS!$F$10:$F$699,0)</f>
        <v>#N/A</v>
      </c>
      <c r="C898" s="86" t="e">
        <f>+VLOOKUP(B898,ARTICULOS!$D$10:$I$699,6)</f>
        <v>#N/A</v>
      </c>
      <c r="D898" s="212"/>
      <c r="E898" s="75" t="e">
        <f t="shared" si="30"/>
        <v>#N/A</v>
      </c>
      <c r="F898" s="80"/>
      <c r="G898" s="81"/>
      <c r="H898" s="78"/>
      <c r="I898" s="78"/>
      <c r="J898" s="78"/>
    </row>
    <row r="899" spans="1:10" x14ac:dyDescent="0.2">
      <c r="A899" s="84">
        <f t="shared" si="31"/>
        <v>893</v>
      </c>
      <c r="B899" s="85" t="e">
        <f>+MATCH(D899,ARTICULOS!$F$10:$F$699,0)</f>
        <v>#N/A</v>
      </c>
      <c r="C899" s="86" t="e">
        <f>+VLOOKUP(B899,ARTICULOS!$D$10:$I$699,6)</f>
        <v>#N/A</v>
      </c>
      <c r="D899" s="212"/>
      <c r="E899" s="75" t="e">
        <f t="shared" si="30"/>
        <v>#N/A</v>
      </c>
      <c r="F899" s="80"/>
      <c r="G899" s="81"/>
      <c r="H899" s="78"/>
      <c r="I899" s="78"/>
      <c r="J899" s="78"/>
    </row>
    <row r="900" spans="1:10" x14ac:dyDescent="0.2">
      <c r="A900" s="84">
        <f t="shared" si="31"/>
        <v>894</v>
      </c>
      <c r="B900" s="85" t="e">
        <f>+MATCH(D900,ARTICULOS!$F$10:$F$699,0)</f>
        <v>#N/A</v>
      </c>
      <c r="C900" s="86" t="e">
        <f>+VLOOKUP(B900,ARTICULOS!$D$10:$I$699,6)</f>
        <v>#N/A</v>
      </c>
      <c r="D900" s="212"/>
      <c r="E900" s="75" t="e">
        <f t="shared" si="30"/>
        <v>#N/A</v>
      </c>
      <c r="F900" s="80"/>
      <c r="G900" s="81"/>
      <c r="H900" s="78"/>
      <c r="I900" s="78"/>
      <c r="J900" s="78"/>
    </row>
    <row r="901" spans="1:10" x14ac:dyDescent="0.2">
      <c r="A901" s="84">
        <f t="shared" si="31"/>
        <v>895</v>
      </c>
      <c r="B901" s="85" t="e">
        <f>+MATCH(D901,ARTICULOS!$F$10:$F$699,0)</f>
        <v>#N/A</v>
      </c>
      <c r="C901" s="86" t="e">
        <f>+VLOOKUP(B901,ARTICULOS!$D$10:$I$699,6)</f>
        <v>#N/A</v>
      </c>
      <c r="D901" s="212"/>
      <c r="E901" s="75" t="e">
        <f t="shared" si="30"/>
        <v>#N/A</v>
      </c>
      <c r="F901" s="80"/>
      <c r="G901" s="81"/>
      <c r="H901" s="78"/>
      <c r="I901" s="78"/>
      <c r="J901" s="78"/>
    </row>
    <row r="902" spans="1:10" x14ac:dyDescent="0.2">
      <c r="A902" s="84">
        <f t="shared" si="31"/>
        <v>896</v>
      </c>
      <c r="B902" s="85" t="e">
        <f>+MATCH(D902,ARTICULOS!$F$10:$F$699,0)</f>
        <v>#N/A</v>
      </c>
      <c r="C902" s="86" t="e">
        <f>+VLOOKUP(B902,ARTICULOS!$D$10:$I$699,6)</f>
        <v>#N/A</v>
      </c>
      <c r="D902" s="212"/>
      <c r="E902" s="75" t="e">
        <f t="shared" si="30"/>
        <v>#N/A</v>
      </c>
      <c r="F902" s="80"/>
      <c r="G902" s="81"/>
      <c r="H902" s="78"/>
      <c r="I902" s="78"/>
      <c r="J902" s="78"/>
    </row>
    <row r="903" spans="1:10" x14ac:dyDescent="0.2">
      <c r="A903" s="84">
        <f t="shared" si="31"/>
        <v>897</v>
      </c>
      <c r="B903" s="85" t="e">
        <f>+MATCH(D903,ARTICULOS!$F$10:$F$699,0)</f>
        <v>#N/A</v>
      </c>
      <c r="C903" s="86" t="e">
        <f>+VLOOKUP(B903,ARTICULOS!$D$10:$I$699,6)</f>
        <v>#N/A</v>
      </c>
      <c r="D903" s="212"/>
      <c r="E903" s="75" t="e">
        <f t="shared" si="30"/>
        <v>#N/A</v>
      </c>
      <c r="F903" s="80"/>
      <c r="G903" s="81"/>
      <c r="H903" s="78"/>
      <c r="I903" s="78"/>
      <c r="J903" s="78"/>
    </row>
    <row r="904" spans="1:10" x14ac:dyDescent="0.2">
      <c r="A904" s="84">
        <f t="shared" si="31"/>
        <v>898</v>
      </c>
      <c r="B904" s="85" t="e">
        <f>+MATCH(D904,ARTICULOS!$F$10:$F$699,0)</f>
        <v>#N/A</v>
      </c>
      <c r="C904" s="86" t="e">
        <f>+VLOOKUP(B904,ARTICULOS!$D$10:$I$699,6)</f>
        <v>#N/A</v>
      </c>
      <c r="D904" s="212"/>
      <c r="E904" s="75" t="e">
        <f t="shared" si="30"/>
        <v>#N/A</v>
      </c>
      <c r="F904" s="80"/>
      <c r="G904" s="81"/>
      <c r="H904" s="78"/>
      <c r="I904" s="78"/>
      <c r="J904" s="78"/>
    </row>
    <row r="905" spans="1:10" x14ac:dyDescent="0.2">
      <c r="A905" s="84">
        <f t="shared" si="31"/>
        <v>899</v>
      </c>
      <c r="B905" s="85" t="e">
        <f>+MATCH(D905,ARTICULOS!$F$10:$F$699,0)</f>
        <v>#N/A</v>
      </c>
      <c r="C905" s="86" t="e">
        <f>+VLOOKUP(B905,ARTICULOS!$D$10:$I$699,6)</f>
        <v>#N/A</v>
      </c>
      <c r="D905" s="212"/>
      <c r="E905" s="75" t="e">
        <f t="shared" si="30"/>
        <v>#N/A</v>
      </c>
      <c r="F905" s="80"/>
      <c r="G905" s="81"/>
      <c r="H905" s="78"/>
      <c r="I905" s="78"/>
      <c r="J905" s="78"/>
    </row>
    <row r="906" spans="1:10" x14ac:dyDescent="0.2">
      <c r="A906" s="84">
        <f t="shared" si="31"/>
        <v>900</v>
      </c>
      <c r="B906" s="85" t="e">
        <f>+MATCH(D906,ARTICULOS!$F$10:$F$699,0)</f>
        <v>#N/A</v>
      </c>
      <c r="C906" s="86" t="e">
        <f>+VLOOKUP(B906,ARTICULOS!$D$10:$I$699,6)</f>
        <v>#N/A</v>
      </c>
      <c r="D906" s="212"/>
      <c r="E906" s="75" t="e">
        <f t="shared" si="30"/>
        <v>#N/A</v>
      </c>
      <c r="F906" s="80"/>
      <c r="G906" s="81"/>
      <c r="H906" s="78"/>
      <c r="I906" s="78"/>
      <c r="J906" s="78"/>
    </row>
    <row r="907" spans="1:10" x14ac:dyDescent="0.2">
      <c r="A907" s="84">
        <f t="shared" si="31"/>
        <v>901</v>
      </c>
      <c r="B907" s="85" t="e">
        <f>+MATCH(D907,ARTICULOS!$F$10:$F$699,0)</f>
        <v>#N/A</v>
      </c>
      <c r="C907" s="86" t="e">
        <f>+VLOOKUP(B907,ARTICULOS!$D$10:$I$699,6)</f>
        <v>#N/A</v>
      </c>
      <c r="D907" s="212"/>
      <c r="E907" s="75" t="e">
        <f t="shared" ref="E907:E970" si="32">+C907&amp;F907</f>
        <v>#N/A</v>
      </c>
      <c r="F907" s="80"/>
      <c r="G907" s="81"/>
      <c r="H907" s="78"/>
      <c r="I907" s="78"/>
      <c r="J907" s="78"/>
    </row>
    <row r="908" spans="1:10" x14ac:dyDescent="0.2">
      <c r="A908" s="84">
        <f t="shared" si="31"/>
        <v>902</v>
      </c>
      <c r="B908" s="85" t="e">
        <f>+MATCH(D908,ARTICULOS!$F$10:$F$699,0)</f>
        <v>#N/A</v>
      </c>
      <c r="C908" s="86" t="e">
        <f>+VLOOKUP(B908,ARTICULOS!$D$10:$I$699,6)</f>
        <v>#N/A</v>
      </c>
      <c r="D908" s="212"/>
      <c r="E908" s="75" t="e">
        <f t="shared" si="32"/>
        <v>#N/A</v>
      </c>
      <c r="F908" s="80"/>
      <c r="G908" s="81"/>
      <c r="H908" s="78"/>
      <c r="I908" s="78"/>
      <c r="J908" s="78"/>
    </row>
    <row r="909" spans="1:10" x14ac:dyDescent="0.2">
      <c r="A909" s="84">
        <f t="shared" si="31"/>
        <v>903</v>
      </c>
      <c r="B909" s="85" t="e">
        <f>+MATCH(D909,ARTICULOS!$F$10:$F$699,0)</f>
        <v>#N/A</v>
      </c>
      <c r="C909" s="86" t="e">
        <f>+VLOOKUP(B909,ARTICULOS!$D$10:$I$699,6)</f>
        <v>#N/A</v>
      </c>
      <c r="D909" s="212"/>
      <c r="E909" s="75" t="e">
        <f t="shared" si="32"/>
        <v>#N/A</v>
      </c>
      <c r="F909" s="80"/>
      <c r="G909" s="81"/>
      <c r="H909" s="78"/>
      <c r="I909" s="78"/>
      <c r="J909" s="78"/>
    </row>
    <row r="910" spans="1:10" x14ac:dyDescent="0.2">
      <c r="A910" s="84">
        <f t="shared" si="31"/>
        <v>904</v>
      </c>
      <c r="B910" s="85" t="e">
        <f>+MATCH(D910,ARTICULOS!$F$10:$F$699,0)</f>
        <v>#N/A</v>
      </c>
      <c r="C910" s="86" t="e">
        <f>+VLOOKUP(B910,ARTICULOS!$D$10:$I$699,6)</f>
        <v>#N/A</v>
      </c>
      <c r="D910" s="212"/>
      <c r="E910" s="75" t="e">
        <f t="shared" si="32"/>
        <v>#N/A</v>
      </c>
      <c r="F910" s="80"/>
      <c r="G910" s="81"/>
      <c r="H910" s="78"/>
      <c r="I910" s="78"/>
      <c r="J910" s="78"/>
    </row>
    <row r="911" spans="1:10" x14ac:dyDescent="0.2">
      <c r="A911" s="84">
        <f t="shared" si="31"/>
        <v>905</v>
      </c>
      <c r="B911" s="85" t="e">
        <f>+MATCH(D911,ARTICULOS!$F$10:$F$699,0)</f>
        <v>#N/A</v>
      </c>
      <c r="C911" s="86" t="e">
        <f>+VLOOKUP(B911,ARTICULOS!$D$10:$I$699,6)</f>
        <v>#N/A</v>
      </c>
      <c r="D911" s="212"/>
      <c r="E911" s="75" t="e">
        <f t="shared" si="32"/>
        <v>#N/A</v>
      </c>
      <c r="F911" s="80"/>
      <c r="G911" s="81"/>
      <c r="H911" s="78"/>
      <c r="I911" s="78"/>
      <c r="J911" s="78"/>
    </row>
    <row r="912" spans="1:10" x14ac:dyDescent="0.2">
      <c r="A912" s="84">
        <f t="shared" si="31"/>
        <v>906</v>
      </c>
      <c r="B912" s="85" t="e">
        <f>+MATCH(D912,ARTICULOS!$F$10:$F$699,0)</f>
        <v>#N/A</v>
      </c>
      <c r="C912" s="86" t="e">
        <f>+VLOOKUP(B912,ARTICULOS!$D$10:$I$699,6)</f>
        <v>#N/A</v>
      </c>
      <c r="D912" s="212"/>
      <c r="E912" s="75" t="e">
        <f t="shared" si="32"/>
        <v>#N/A</v>
      </c>
      <c r="F912" s="80"/>
      <c r="G912" s="81"/>
      <c r="H912" s="78"/>
      <c r="I912" s="78"/>
      <c r="J912" s="78"/>
    </row>
    <row r="913" spans="1:10" x14ac:dyDescent="0.2">
      <c r="A913" s="84">
        <f t="shared" si="31"/>
        <v>907</v>
      </c>
      <c r="B913" s="85" t="e">
        <f>+MATCH(D913,ARTICULOS!$F$10:$F$699,0)</f>
        <v>#N/A</v>
      </c>
      <c r="C913" s="86" t="e">
        <f>+VLOOKUP(B913,ARTICULOS!$D$10:$I$699,6)</f>
        <v>#N/A</v>
      </c>
      <c r="D913" s="212"/>
      <c r="E913" s="75" t="e">
        <f t="shared" si="32"/>
        <v>#N/A</v>
      </c>
      <c r="F913" s="80"/>
      <c r="G913" s="81"/>
      <c r="H913" s="78"/>
      <c r="I913" s="78"/>
      <c r="J913" s="78"/>
    </row>
    <row r="914" spans="1:10" x14ac:dyDescent="0.2">
      <c r="A914" s="84">
        <f t="shared" si="31"/>
        <v>908</v>
      </c>
      <c r="B914" s="85" t="e">
        <f>+MATCH(D914,ARTICULOS!$F$10:$F$699,0)</f>
        <v>#N/A</v>
      </c>
      <c r="C914" s="86" t="e">
        <f>+VLOOKUP(B914,ARTICULOS!$D$10:$I$699,6)</f>
        <v>#N/A</v>
      </c>
      <c r="D914" s="212"/>
      <c r="E914" s="75" t="e">
        <f t="shared" si="32"/>
        <v>#N/A</v>
      </c>
      <c r="F914" s="80"/>
      <c r="G914" s="81"/>
      <c r="H914" s="78"/>
      <c r="I914" s="78"/>
      <c r="J914" s="78"/>
    </row>
    <row r="915" spans="1:10" x14ac:dyDescent="0.2">
      <c r="A915" s="84">
        <f t="shared" si="31"/>
        <v>909</v>
      </c>
      <c r="B915" s="85" t="e">
        <f>+MATCH(D915,ARTICULOS!$F$10:$F$699,0)</f>
        <v>#N/A</v>
      </c>
      <c r="C915" s="86" t="e">
        <f>+VLOOKUP(B915,ARTICULOS!$D$10:$I$699,6)</f>
        <v>#N/A</v>
      </c>
      <c r="D915" s="212"/>
      <c r="E915" s="75" t="e">
        <f t="shared" si="32"/>
        <v>#N/A</v>
      </c>
      <c r="F915" s="80"/>
      <c r="G915" s="81"/>
      <c r="H915" s="78"/>
      <c r="I915" s="78"/>
      <c r="J915" s="78"/>
    </row>
    <row r="916" spans="1:10" x14ac:dyDescent="0.2">
      <c r="A916" s="84">
        <f t="shared" si="31"/>
        <v>910</v>
      </c>
      <c r="B916" s="85" t="e">
        <f>+MATCH(D916,ARTICULOS!$F$10:$F$699,0)</f>
        <v>#N/A</v>
      </c>
      <c r="C916" s="86" t="e">
        <f>+VLOOKUP(B916,ARTICULOS!$D$10:$I$699,6)</f>
        <v>#N/A</v>
      </c>
      <c r="D916" s="212"/>
      <c r="E916" s="75" t="e">
        <f t="shared" si="32"/>
        <v>#N/A</v>
      </c>
      <c r="F916" s="80"/>
      <c r="G916" s="81"/>
      <c r="H916" s="78"/>
      <c r="I916" s="78"/>
      <c r="J916" s="78"/>
    </row>
    <row r="917" spans="1:10" x14ac:dyDescent="0.2">
      <c r="A917" s="84">
        <f t="shared" si="31"/>
        <v>911</v>
      </c>
      <c r="B917" s="85" t="e">
        <f>+MATCH(D917,ARTICULOS!$F$10:$F$699,0)</f>
        <v>#N/A</v>
      </c>
      <c r="C917" s="86" t="e">
        <f>+VLOOKUP(B917,ARTICULOS!$D$10:$I$699,6)</f>
        <v>#N/A</v>
      </c>
      <c r="D917" s="212"/>
      <c r="E917" s="75" t="e">
        <f t="shared" si="32"/>
        <v>#N/A</v>
      </c>
      <c r="F917" s="80"/>
      <c r="G917" s="81"/>
      <c r="H917" s="78"/>
      <c r="I917" s="78"/>
      <c r="J917" s="78"/>
    </row>
    <row r="918" spans="1:10" x14ac:dyDescent="0.2">
      <c r="A918" s="84">
        <f t="shared" si="31"/>
        <v>912</v>
      </c>
      <c r="B918" s="85" t="e">
        <f>+MATCH(D918,ARTICULOS!$F$10:$F$699,0)</f>
        <v>#N/A</v>
      </c>
      <c r="C918" s="86" t="e">
        <f>+VLOOKUP(B918,ARTICULOS!$D$10:$I$699,6)</f>
        <v>#N/A</v>
      </c>
      <c r="D918" s="212"/>
      <c r="E918" s="75" t="e">
        <f t="shared" si="32"/>
        <v>#N/A</v>
      </c>
      <c r="F918" s="80"/>
      <c r="G918" s="81"/>
      <c r="H918" s="78"/>
      <c r="I918" s="78"/>
      <c r="J918" s="78"/>
    </row>
    <row r="919" spans="1:10" x14ac:dyDescent="0.2">
      <c r="A919" s="84">
        <f t="shared" si="31"/>
        <v>913</v>
      </c>
      <c r="B919" s="85" t="e">
        <f>+MATCH(D919,ARTICULOS!$F$10:$F$699,0)</f>
        <v>#N/A</v>
      </c>
      <c r="C919" s="86" t="e">
        <f>+VLOOKUP(B919,ARTICULOS!$D$10:$I$699,6)</f>
        <v>#N/A</v>
      </c>
      <c r="D919" s="212"/>
      <c r="E919" s="75" t="e">
        <f t="shared" si="32"/>
        <v>#N/A</v>
      </c>
      <c r="F919" s="80"/>
      <c r="G919" s="81"/>
      <c r="H919" s="78"/>
      <c r="I919" s="78"/>
      <c r="J919" s="78"/>
    </row>
    <row r="920" spans="1:10" x14ac:dyDescent="0.2">
      <c r="A920" s="84">
        <f t="shared" si="31"/>
        <v>914</v>
      </c>
      <c r="B920" s="85" t="e">
        <f>+MATCH(D920,ARTICULOS!$F$10:$F$699,0)</f>
        <v>#N/A</v>
      </c>
      <c r="C920" s="86" t="e">
        <f>+VLOOKUP(B920,ARTICULOS!$D$10:$I$699,6)</f>
        <v>#N/A</v>
      </c>
      <c r="D920" s="212"/>
      <c r="E920" s="75" t="e">
        <f t="shared" si="32"/>
        <v>#N/A</v>
      </c>
      <c r="F920" s="80"/>
      <c r="G920" s="81"/>
      <c r="H920" s="78"/>
      <c r="I920" s="78"/>
      <c r="J920" s="78"/>
    </row>
    <row r="921" spans="1:10" x14ac:dyDescent="0.2">
      <c r="A921" s="84">
        <f t="shared" si="31"/>
        <v>915</v>
      </c>
      <c r="B921" s="85" t="e">
        <f>+MATCH(D921,ARTICULOS!$F$10:$F$699,0)</f>
        <v>#N/A</v>
      </c>
      <c r="C921" s="86" t="e">
        <f>+VLOOKUP(B921,ARTICULOS!$D$10:$I$699,6)</f>
        <v>#N/A</v>
      </c>
      <c r="D921" s="212"/>
      <c r="E921" s="75" t="e">
        <f t="shared" si="32"/>
        <v>#N/A</v>
      </c>
      <c r="F921" s="80"/>
      <c r="G921" s="81"/>
      <c r="H921" s="78"/>
      <c r="I921" s="78"/>
      <c r="J921" s="78"/>
    </row>
    <row r="922" spans="1:10" x14ac:dyDescent="0.2">
      <c r="A922" s="84">
        <f t="shared" si="31"/>
        <v>916</v>
      </c>
      <c r="B922" s="85" t="e">
        <f>+MATCH(D922,ARTICULOS!$F$10:$F$699,0)</f>
        <v>#N/A</v>
      </c>
      <c r="C922" s="86" t="e">
        <f>+VLOOKUP(B922,ARTICULOS!$D$10:$I$699,6)</f>
        <v>#N/A</v>
      </c>
      <c r="D922" s="212"/>
      <c r="E922" s="75" t="e">
        <f t="shared" si="32"/>
        <v>#N/A</v>
      </c>
      <c r="F922" s="80"/>
      <c r="G922" s="81"/>
      <c r="H922" s="78"/>
      <c r="I922" s="78"/>
      <c r="J922" s="78"/>
    </row>
    <row r="923" spans="1:10" x14ac:dyDescent="0.2">
      <c r="A923" s="84">
        <f t="shared" si="31"/>
        <v>917</v>
      </c>
      <c r="B923" s="85" t="e">
        <f>+MATCH(D923,ARTICULOS!$F$10:$F$699,0)</f>
        <v>#N/A</v>
      </c>
      <c r="C923" s="86" t="e">
        <f>+VLOOKUP(B923,ARTICULOS!$D$10:$I$699,6)</f>
        <v>#N/A</v>
      </c>
      <c r="D923" s="212"/>
      <c r="E923" s="75" t="e">
        <f t="shared" si="32"/>
        <v>#N/A</v>
      </c>
      <c r="F923" s="80"/>
      <c r="G923" s="81"/>
      <c r="H923" s="78"/>
      <c r="I923" s="78"/>
      <c r="J923" s="78"/>
    </row>
    <row r="924" spans="1:10" x14ac:dyDescent="0.2">
      <c r="A924" s="84">
        <f t="shared" si="31"/>
        <v>918</v>
      </c>
      <c r="B924" s="85" t="e">
        <f>+MATCH(D924,ARTICULOS!$F$10:$F$699,0)</f>
        <v>#N/A</v>
      </c>
      <c r="C924" s="86" t="e">
        <f>+VLOOKUP(B924,ARTICULOS!$D$10:$I$699,6)</f>
        <v>#N/A</v>
      </c>
      <c r="D924" s="212"/>
      <c r="E924" s="75" t="e">
        <f t="shared" si="32"/>
        <v>#N/A</v>
      </c>
      <c r="F924" s="80"/>
      <c r="G924" s="81"/>
      <c r="H924" s="78"/>
      <c r="I924" s="78"/>
      <c r="J924" s="78"/>
    </row>
    <row r="925" spans="1:10" x14ac:dyDescent="0.2">
      <c r="A925" s="84">
        <f t="shared" si="31"/>
        <v>919</v>
      </c>
      <c r="B925" s="85" t="e">
        <f>+MATCH(D925,ARTICULOS!$F$10:$F$699,0)</f>
        <v>#N/A</v>
      </c>
      <c r="C925" s="86" t="e">
        <f>+VLOOKUP(B925,ARTICULOS!$D$10:$I$699,6)</f>
        <v>#N/A</v>
      </c>
      <c r="D925" s="212"/>
      <c r="E925" s="75" t="e">
        <f t="shared" si="32"/>
        <v>#N/A</v>
      </c>
      <c r="F925" s="80"/>
      <c r="G925" s="81"/>
      <c r="H925" s="78"/>
      <c r="I925" s="78"/>
      <c r="J925" s="78"/>
    </row>
    <row r="926" spans="1:10" x14ac:dyDescent="0.2">
      <c r="A926" s="84">
        <f t="shared" si="31"/>
        <v>920</v>
      </c>
      <c r="B926" s="85" t="e">
        <f>+MATCH(D926,ARTICULOS!$F$10:$F$699,0)</f>
        <v>#N/A</v>
      </c>
      <c r="C926" s="86" t="e">
        <f>+VLOOKUP(B926,ARTICULOS!$D$10:$I$699,6)</f>
        <v>#N/A</v>
      </c>
      <c r="D926" s="212"/>
      <c r="E926" s="75" t="e">
        <f t="shared" si="32"/>
        <v>#N/A</v>
      </c>
      <c r="F926" s="80"/>
      <c r="G926" s="81"/>
      <c r="H926" s="78"/>
      <c r="I926" s="78"/>
      <c r="J926" s="78"/>
    </row>
    <row r="927" spans="1:10" x14ac:dyDescent="0.2">
      <c r="A927" s="84">
        <f t="shared" si="31"/>
        <v>921</v>
      </c>
      <c r="B927" s="85" t="e">
        <f>+MATCH(D927,ARTICULOS!$F$10:$F$699,0)</f>
        <v>#N/A</v>
      </c>
      <c r="C927" s="86" t="e">
        <f>+VLOOKUP(B927,ARTICULOS!$D$10:$I$699,6)</f>
        <v>#N/A</v>
      </c>
      <c r="D927" s="212"/>
      <c r="E927" s="75" t="e">
        <f t="shared" si="32"/>
        <v>#N/A</v>
      </c>
      <c r="F927" s="80"/>
      <c r="G927" s="81"/>
      <c r="H927" s="78"/>
      <c r="I927" s="78"/>
      <c r="J927" s="78"/>
    </row>
    <row r="928" spans="1:10" x14ac:dyDescent="0.2">
      <c r="A928" s="84">
        <f t="shared" si="31"/>
        <v>922</v>
      </c>
      <c r="B928" s="85" t="e">
        <f>+MATCH(D928,ARTICULOS!$F$10:$F$699,0)</f>
        <v>#N/A</v>
      </c>
      <c r="C928" s="86" t="e">
        <f>+VLOOKUP(B928,ARTICULOS!$D$10:$I$699,6)</f>
        <v>#N/A</v>
      </c>
      <c r="D928" s="212"/>
      <c r="E928" s="75" t="e">
        <f t="shared" si="32"/>
        <v>#N/A</v>
      </c>
      <c r="F928" s="80"/>
      <c r="G928" s="81"/>
      <c r="H928" s="78"/>
      <c r="I928" s="78"/>
      <c r="J928" s="78"/>
    </row>
    <row r="929" spans="1:10" x14ac:dyDescent="0.2">
      <c r="A929" s="84">
        <f t="shared" si="31"/>
        <v>923</v>
      </c>
      <c r="B929" s="85" t="e">
        <f>+MATCH(D929,ARTICULOS!$F$10:$F$699,0)</f>
        <v>#N/A</v>
      </c>
      <c r="C929" s="86" t="e">
        <f>+VLOOKUP(B929,ARTICULOS!$D$10:$I$699,6)</f>
        <v>#N/A</v>
      </c>
      <c r="D929" s="212"/>
      <c r="E929" s="75" t="e">
        <f t="shared" si="32"/>
        <v>#N/A</v>
      </c>
      <c r="F929" s="80"/>
      <c r="G929" s="81"/>
      <c r="H929" s="78"/>
      <c r="I929" s="78"/>
      <c r="J929" s="78"/>
    </row>
    <row r="930" spans="1:10" x14ac:dyDescent="0.2">
      <c r="A930" s="84">
        <f t="shared" si="31"/>
        <v>924</v>
      </c>
      <c r="B930" s="85" t="e">
        <f>+MATCH(D930,ARTICULOS!$F$10:$F$699,0)</f>
        <v>#N/A</v>
      </c>
      <c r="C930" s="86" t="e">
        <f>+VLOOKUP(B930,ARTICULOS!$D$10:$I$699,6)</f>
        <v>#N/A</v>
      </c>
      <c r="D930" s="212"/>
      <c r="E930" s="75" t="e">
        <f t="shared" si="32"/>
        <v>#N/A</v>
      </c>
      <c r="F930" s="80"/>
      <c r="G930" s="81"/>
      <c r="H930" s="78"/>
      <c r="I930" s="78"/>
      <c r="J930" s="78"/>
    </row>
    <row r="931" spans="1:10" x14ac:dyDescent="0.2">
      <c r="A931" s="84">
        <f t="shared" si="31"/>
        <v>925</v>
      </c>
      <c r="B931" s="85" t="e">
        <f>+MATCH(D931,ARTICULOS!$F$10:$F$699,0)</f>
        <v>#N/A</v>
      </c>
      <c r="C931" s="86" t="e">
        <f>+VLOOKUP(B931,ARTICULOS!$D$10:$I$699,6)</f>
        <v>#N/A</v>
      </c>
      <c r="D931" s="212"/>
      <c r="E931" s="75" t="e">
        <f t="shared" si="32"/>
        <v>#N/A</v>
      </c>
      <c r="F931" s="80"/>
      <c r="G931" s="81"/>
      <c r="H931" s="78"/>
      <c r="I931" s="78"/>
      <c r="J931" s="78"/>
    </row>
    <row r="932" spans="1:10" x14ac:dyDescent="0.2">
      <c r="A932" s="84">
        <f t="shared" si="31"/>
        <v>926</v>
      </c>
      <c r="B932" s="85" t="e">
        <f>+MATCH(D932,ARTICULOS!$F$10:$F$699,0)</f>
        <v>#N/A</v>
      </c>
      <c r="C932" s="86" t="e">
        <f>+VLOOKUP(B932,ARTICULOS!$D$10:$I$699,6)</f>
        <v>#N/A</v>
      </c>
      <c r="D932" s="212"/>
      <c r="E932" s="75" t="e">
        <f t="shared" si="32"/>
        <v>#N/A</v>
      </c>
      <c r="F932" s="80"/>
      <c r="G932" s="81"/>
      <c r="H932" s="78"/>
      <c r="I932" s="78"/>
      <c r="J932" s="78"/>
    </row>
    <row r="933" spans="1:10" x14ac:dyDescent="0.2">
      <c r="A933" s="84">
        <f t="shared" si="31"/>
        <v>927</v>
      </c>
      <c r="B933" s="85" t="e">
        <f>+MATCH(D933,ARTICULOS!$F$10:$F$699,0)</f>
        <v>#N/A</v>
      </c>
      <c r="C933" s="86" t="e">
        <f>+VLOOKUP(B933,ARTICULOS!$D$10:$I$699,6)</f>
        <v>#N/A</v>
      </c>
      <c r="D933" s="212"/>
      <c r="E933" s="75" t="e">
        <f t="shared" si="32"/>
        <v>#N/A</v>
      </c>
      <c r="F933" s="80"/>
      <c r="G933" s="81"/>
      <c r="H933" s="78"/>
      <c r="I933" s="78"/>
      <c r="J933" s="78"/>
    </row>
    <row r="934" spans="1:10" x14ac:dyDescent="0.2">
      <c r="A934" s="84">
        <f t="shared" si="31"/>
        <v>928</v>
      </c>
      <c r="B934" s="85" t="e">
        <f>+MATCH(D934,ARTICULOS!$F$10:$F$699,0)</f>
        <v>#N/A</v>
      </c>
      <c r="C934" s="86" t="e">
        <f>+VLOOKUP(B934,ARTICULOS!$D$10:$I$699,6)</f>
        <v>#N/A</v>
      </c>
      <c r="D934" s="212"/>
      <c r="E934" s="75" t="e">
        <f t="shared" si="32"/>
        <v>#N/A</v>
      </c>
      <c r="F934" s="80"/>
      <c r="G934" s="81"/>
      <c r="H934" s="78"/>
      <c r="I934" s="78"/>
      <c r="J934" s="78"/>
    </row>
    <row r="935" spans="1:10" x14ac:dyDescent="0.2">
      <c r="A935" s="84">
        <f t="shared" si="31"/>
        <v>929</v>
      </c>
      <c r="B935" s="85" t="e">
        <f>+MATCH(D935,ARTICULOS!$F$10:$F$699,0)</f>
        <v>#N/A</v>
      </c>
      <c r="C935" s="86" t="e">
        <f>+VLOOKUP(B935,ARTICULOS!$D$10:$I$699,6)</f>
        <v>#N/A</v>
      </c>
      <c r="D935" s="212"/>
      <c r="E935" s="75" t="e">
        <f t="shared" si="32"/>
        <v>#N/A</v>
      </c>
      <c r="F935" s="80"/>
      <c r="G935" s="81"/>
      <c r="H935" s="78"/>
      <c r="I935" s="78"/>
      <c r="J935" s="78"/>
    </row>
    <row r="936" spans="1:10" x14ac:dyDescent="0.2">
      <c r="A936" s="84">
        <f t="shared" si="31"/>
        <v>930</v>
      </c>
      <c r="B936" s="85" t="e">
        <f>+MATCH(D936,ARTICULOS!$F$10:$F$699,0)</f>
        <v>#N/A</v>
      </c>
      <c r="C936" s="86" t="e">
        <f>+VLOOKUP(B936,ARTICULOS!$D$10:$I$699,6)</f>
        <v>#N/A</v>
      </c>
      <c r="D936" s="212"/>
      <c r="E936" s="75" t="e">
        <f t="shared" si="32"/>
        <v>#N/A</v>
      </c>
      <c r="F936" s="80"/>
      <c r="G936" s="81"/>
      <c r="H936" s="78"/>
      <c r="I936" s="78"/>
      <c r="J936" s="78"/>
    </row>
    <row r="937" spans="1:10" x14ac:dyDescent="0.2">
      <c r="A937" s="84">
        <f t="shared" ref="A937:A1000" si="33">ROW()-6</f>
        <v>931</v>
      </c>
      <c r="B937" s="85" t="e">
        <f>+MATCH(D937,ARTICULOS!$F$10:$F$699,0)</f>
        <v>#N/A</v>
      </c>
      <c r="C937" s="86" t="e">
        <f>+VLOOKUP(B937,ARTICULOS!$D$10:$I$699,6)</f>
        <v>#N/A</v>
      </c>
      <c r="D937" s="212"/>
      <c r="E937" s="75" t="e">
        <f t="shared" si="32"/>
        <v>#N/A</v>
      </c>
      <c r="F937" s="80"/>
      <c r="G937" s="81"/>
      <c r="H937" s="78"/>
      <c r="I937" s="78"/>
      <c r="J937" s="78"/>
    </row>
    <row r="938" spans="1:10" x14ac:dyDescent="0.2">
      <c r="A938" s="84">
        <f t="shared" si="33"/>
        <v>932</v>
      </c>
      <c r="B938" s="85" t="e">
        <f>+MATCH(D938,ARTICULOS!$F$10:$F$699,0)</f>
        <v>#N/A</v>
      </c>
      <c r="C938" s="86" t="e">
        <f>+VLOOKUP(B938,ARTICULOS!$D$10:$I$699,6)</f>
        <v>#N/A</v>
      </c>
      <c r="D938" s="212"/>
      <c r="E938" s="75" t="e">
        <f t="shared" si="32"/>
        <v>#N/A</v>
      </c>
      <c r="F938" s="80"/>
      <c r="G938" s="81"/>
      <c r="H938" s="78"/>
      <c r="I938" s="78"/>
      <c r="J938" s="78"/>
    </row>
    <row r="939" spans="1:10" x14ac:dyDescent="0.2">
      <c r="A939" s="84">
        <f t="shared" si="33"/>
        <v>933</v>
      </c>
      <c r="B939" s="85" t="e">
        <f>+MATCH(D939,ARTICULOS!$F$10:$F$699,0)</f>
        <v>#N/A</v>
      </c>
      <c r="C939" s="86" t="e">
        <f>+VLOOKUP(B939,ARTICULOS!$D$10:$I$699,6)</f>
        <v>#N/A</v>
      </c>
      <c r="D939" s="212"/>
      <c r="E939" s="75" t="e">
        <f t="shared" si="32"/>
        <v>#N/A</v>
      </c>
      <c r="F939" s="80"/>
      <c r="G939" s="81"/>
      <c r="H939" s="78"/>
      <c r="I939" s="78"/>
      <c r="J939" s="78"/>
    </row>
    <row r="940" spans="1:10" x14ac:dyDescent="0.2">
      <c r="A940" s="84">
        <f t="shared" si="33"/>
        <v>934</v>
      </c>
      <c r="B940" s="85" t="e">
        <f>+MATCH(D940,ARTICULOS!$F$10:$F$699,0)</f>
        <v>#N/A</v>
      </c>
      <c r="C940" s="86" t="e">
        <f>+VLOOKUP(B940,ARTICULOS!$D$10:$I$699,6)</f>
        <v>#N/A</v>
      </c>
      <c r="D940" s="212"/>
      <c r="E940" s="75" t="e">
        <f t="shared" si="32"/>
        <v>#N/A</v>
      </c>
      <c r="F940" s="80"/>
      <c r="G940" s="81"/>
      <c r="H940" s="78"/>
      <c r="I940" s="78"/>
      <c r="J940" s="78"/>
    </row>
    <row r="941" spans="1:10" x14ac:dyDescent="0.2">
      <c r="A941" s="84">
        <f t="shared" si="33"/>
        <v>935</v>
      </c>
      <c r="B941" s="85" t="e">
        <f>+MATCH(D941,ARTICULOS!$F$10:$F$699,0)</f>
        <v>#N/A</v>
      </c>
      <c r="C941" s="86" t="e">
        <f>+VLOOKUP(B941,ARTICULOS!$D$10:$I$699,6)</f>
        <v>#N/A</v>
      </c>
      <c r="D941" s="212"/>
      <c r="E941" s="75" t="e">
        <f t="shared" si="32"/>
        <v>#N/A</v>
      </c>
      <c r="F941" s="80"/>
      <c r="G941" s="81"/>
      <c r="H941" s="78"/>
      <c r="I941" s="78"/>
      <c r="J941" s="78"/>
    </row>
    <row r="942" spans="1:10" x14ac:dyDescent="0.2">
      <c r="A942" s="84">
        <f t="shared" si="33"/>
        <v>936</v>
      </c>
      <c r="B942" s="85" t="e">
        <f>+MATCH(D942,ARTICULOS!$F$10:$F$699,0)</f>
        <v>#N/A</v>
      </c>
      <c r="C942" s="86" t="e">
        <f>+VLOOKUP(B942,ARTICULOS!$D$10:$I$699,6)</f>
        <v>#N/A</v>
      </c>
      <c r="D942" s="212"/>
      <c r="E942" s="75" t="e">
        <f t="shared" si="32"/>
        <v>#N/A</v>
      </c>
      <c r="F942" s="80"/>
      <c r="G942" s="81"/>
      <c r="H942" s="78"/>
      <c r="I942" s="78"/>
      <c r="J942" s="78"/>
    </row>
    <row r="943" spans="1:10" x14ac:dyDescent="0.2">
      <c r="A943" s="84">
        <f t="shared" si="33"/>
        <v>937</v>
      </c>
      <c r="B943" s="85" t="e">
        <f>+MATCH(D943,ARTICULOS!$F$10:$F$699,0)</f>
        <v>#N/A</v>
      </c>
      <c r="C943" s="86" t="e">
        <f>+VLOOKUP(B943,ARTICULOS!$D$10:$I$699,6)</f>
        <v>#N/A</v>
      </c>
      <c r="D943" s="212"/>
      <c r="E943" s="75" t="e">
        <f t="shared" si="32"/>
        <v>#N/A</v>
      </c>
      <c r="F943" s="80"/>
      <c r="G943" s="81"/>
      <c r="H943" s="78"/>
      <c r="I943" s="78"/>
      <c r="J943" s="78"/>
    </row>
    <row r="944" spans="1:10" x14ac:dyDescent="0.2">
      <c r="A944" s="84">
        <f t="shared" si="33"/>
        <v>938</v>
      </c>
      <c r="B944" s="85" t="e">
        <f>+MATCH(D944,ARTICULOS!$F$10:$F$699,0)</f>
        <v>#N/A</v>
      </c>
      <c r="C944" s="86" t="e">
        <f>+VLOOKUP(B944,ARTICULOS!$D$10:$I$699,6)</f>
        <v>#N/A</v>
      </c>
      <c r="D944" s="212"/>
      <c r="E944" s="75" t="e">
        <f t="shared" si="32"/>
        <v>#N/A</v>
      </c>
      <c r="F944" s="80"/>
      <c r="G944" s="81"/>
      <c r="H944" s="78"/>
      <c r="I944" s="78"/>
      <c r="J944" s="78"/>
    </row>
    <row r="945" spans="1:10" x14ac:dyDescent="0.2">
      <c r="A945" s="84">
        <f t="shared" si="33"/>
        <v>939</v>
      </c>
      <c r="B945" s="85" t="e">
        <f>+MATCH(D945,ARTICULOS!$F$10:$F$699,0)</f>
        <v>#N/A</v>
      </c>
      <c r="C945" s="86" t="e">
        <f>+VLOOKUP(B945,ARTICULOS!$D$10:$I$699,6)</f>
        <v>#N/A</v>
      </c>
      <c r="D945" s="212"/>
      <c r="E945" s="75" t="e">
        <f t="shared" si="32"/>
        <v>#N/A</v>
      </c>
      <c r="F945" s="80"/>
      <c r="G945" s="81"/>
      <c r="H945" s="78"/>
      <c r="I945" s="78"/>
      <c r="J945" s="78"/>
    </row>
    <row r="946" spans="1:10" x14ac:dyDescent="0.2">
      <c r="A946" s="84">
        <f t="shared" si="33"/>
        <v>940</v>
      </c>
      <c r="B946" s="85" t="e">
        <f>+MATCH(D946,ARTICULOS!$F$10:$F$699,0)</f>
        <v>#N/A</v>
      </c>
      <c r="C946" s="86" t="e">
        <f>+VLOOKUP(B946,ARTICULOS!$D$10:$I$699,6)</f>
        <v>#N/A</v>
      </c>
      <c r="D946" s="212"/>
      <c r="E946" s="75" t="e">
        <f t="shared" si="32"/>
        <v>#N/A</v>
      </c>
      <c r="F946" s="80"/>
      <c r="G946" s="81"/>
      <c r="H946" s="78"/>
      <c r="I946" s="78"/>
      <c r="J946" s="78"/>
    </row>
    <row r="947" spans="1:10" x14ac:dyDescent="0.2">
      <c r="A947" s="84">
        <f t="shared" si="33"/>
        <v>941</v>
      </c>
      <c r="B947" s="85" t="e">
        <f>+MATCH(D947,ARTICULOS!$F$10:$F$699,0)</f>
        <v>#N/A</v>
      </c>
      <c r="C947" s="86" t="e">
        <f>+VLOOKUP(B947,ARTICULOS!$D$10:$I$699,6)</f>
        <v>#N/A</v>
      </c>
      <c r="D947" s="212"/>
      <c r="E947" s="75" t="e">
        <f t="shared" si="32"/>
        <v>#N/A</v>
      </c>
      <c r="F947" s="80"/>
      <c r="G947" s="81"/>
      <c r="H947" s="78"/>
      <c r="I947" s="78"/>
      <c r="J947" s="78"/>
    </row>
    <row r="948" spans="1:10" x14ac:dyDescent="0.2">
      <c r="A948" s="84">
        <f t="shared" si="33"/>
        <v>942</v>
      </c>
      <c r="B948" s="85" t="e">
        <f>+MATCH(D948,ARTICULOS!$F$10:$F$699,0)</f>
        <v>#N/A</v>
      </c>
      <c r="C948" s="86" t="e">
        <f>+VLOOKUP(B948,ARTICULOS!$D$10:$I$699,6)</f>
        <v>#N/A</v>
      </c>
      <c r="D948" s="212"/>
      <c r="E948" s="75" t="e">
        <f t="shared" si="32"/>
        <v>#N/A</v>
      </c>
      <c r="F948" s="80"/>
      <c r="G948" s="81"/>
      <c r="H948" s="78"/>
      <c r="I948" s="78"/>
      <c r="J948" s="78"/>
    </row>
    <row r="949" spans="1:10" x14ac:dyDescent="0.2">
      <c r="A949" s="84">
        <f t="shared" si="33"/>
        <v>943</v>
      </c>
      <c r="B949" s="85" t="e">
        <f>+MATCH(D949,ARTICULOS!$F$10:$F$699,0)</f>
        <v>#N/A</v>
      </c>
      <c r="C949" s="86" t="e">
        <f>+VLOOKUP(B949,ARTICULOS!$D$10:$I$699,6)</f>
        <v>#N/A</v>
      </c>
      <c r="D949" s="212"/>
      <c r="E949" s="75" t="e">
        <f t="shared" si="32"/>
        <v>#N/A</v>
      </c>
      <c r="F949" s="80"/>
      <c r="G949" s="81"/>
      <c r="H949" s="78"/>
      <c r="I949" s="78"/>
      <c r="J949" s="78"/>
    </row>
    <row r="950" spans="1:10" x14ac:dyDescent="0.2">
      <c r="A950" s="84">
        <f t="shared" si="33"/>
        <v>944</v>
      </c>
      <c r="B950" s="85" t="e">
        <f>+MATCH(D950,ARTICULOS!$F$10:$F$699,0)</f>
        <v>#N/A</v>
      </c>
      <c r="C950" s="86" t="e">
        <f>+VLOOKUP(B950,ARTICULOS!$D$10:$I$699,6)</f>
        <v>#N/A</v>
      </c>
      <c r="D950" s="212"/>
      <c r="E950" s="75" t="e">
        <f t="shared" si="32"/>
        <v>#N/A</v>
      </c>
      <c r="F950" s="80"/>
      <c r="G950" s="81"/>
      <c r="H950" s="78"/>
      <c r="I950" s="78"/>
      <c r="J950" s="78"/>
    </row>
    <row r="951" spans="1:10" x14ac:dyDescent="0.2">
      <c r="A951" s="84">
        <f t="shared" si="33"/>
        <v>945</v>
      </c>
      <c r="B951" s="85" t="e">
        <f>+MATCH(D951,ARTICULOS!$F$10:$F$699,0)</f>
        <v>#N/A</v>
      </c>
      <c r="C951" s="86" t="e">
        <f>+VLOOKUP(B951,ARTICULOS!$D$10:$I$699,6)</f>
        <v>#N/A</v>
      </c>
      <c r="D951" s="212"/>
      <c r="E951" s="75" t="e">
        <f t="shared" si="32"/>
        <v>#N/A</v>
      </c>
      <c r="F951" s="80"/>
      <c r="G951" s="81"/>
      <c r="H951" s="78"/>
      <c r="I951" s="78"/>
      <c r="J951" s="78"/>
    </row>
    <row r="952" spans="1:10" x14ac:dyDescent="0.2">
      <c r="A952" s="84">
        <f t="shared" si="33"/>
        <v>946</v>
      </c>
      <c r="B952" s="85" t="e">
        <f>+MATCH(D952,ARTICULOS!$F$10:$F$699,0)</f>
        <v>#N/A</v>
      </c>
      <c r="C952" s="86" t="e">
        <f>+VLOOKUP(B952,ARTICULOS!$D$10:$I$699,6)</f>
        <v>#N/A</v>
      </c>
      <c r="D952" s="212"/>
      <c r="E952" s="75" t="e">
        <f t="shared" si="32"/>
        <v>#N/A</v>
      </c>
      <c r="F952" s="80"/>
      <c r="G952" s="81"/>
      <c r="H952" s="78"/>
      <c r="I952" s="78"/>
      <c r="J952" s="78"/>
    </row>
    <row r="953" spans="1:10" x14ac:dyDescent="0.2">
      <c r="A953" s="84">
        <f t="shared" si="33"/>
        <v>947</v>
      </c>
      <c r="B953" s="85" t="e">
        <f>+MATCH(D953,ARTICULOS!$F$10:$F$699,0)</f>
        <v>#N/A</v>
      </c>
      <c r="C953" s="86" t="e">
        <f>+VLOOKUP(B953,ARTICULOS!$D$10:$I$699,6)</f>
        <v>#N/A</v>
      </c>
      <c r="D953" s="212"/>
      <c r="E953" s="75" t="e">
        <f t="shared" si="32"/>
        <v>#N/A</v>
      </c>
      <c r="F953" s="80"/>
      <c r="G953" s="81"/>
      <c r="H953" s="78"/>
      <c r="I953" s="78"/>
      <c r="J953" s="78"/>
    </row>
    <row r="954" spans="1:10" x14ac:dyDescent="0.2">
      <c r="A954" s="84">
        <f t="shared" si="33"/>
        <v>948</v>
      </c>
      <c r="B954" s="85" t="e">
        <f>+MATCH(D954,ARTICULOS!$F$10:$F$699,0)</f>
        <v>#N/A</v>
      </c>
      <c r="C954" s="86" t="e">
        <f>+VLOOKUP(B954,ARTICULOS!$D$10:$I$699,6)</f>
        <v>#N/A</v>
      </c>
      <c r="D954" s="212"/>
      <c r="E954" s="75" t="e">
        <f t="shared" si="32"/>
        <v>#N/A</v>
      </c>
      <c r="F954" s="80"/>
      <c r="G954" s="81"/>
      <c r="H954" s="78"/>
      <c r="I954" s="78"/>
      <c r="J954" s="78"/>
    </row>
    <row r="955" spans="1:10" x14ac:dyDescent="0.2">
      <c r="A955" s="84">
        <f t="shared" si="33"/>
        <v>949</v>
      </c>
      <c r="B955" s="85" t="e">
        <f>+MATCH(D955,ARTICULOS!$F$10:$F$699,0)</f>
        <v>#N/A</v>
      </c>
      <c r="C955" s="86" t="e">
        <f>+VLOOKUP(B955,ARTICULOS!$D$10:$I$699,6)</f>
        <v>#N/A</v>
      </c>
      <c r="D955" s="212"/>
      <c r="E955" s="75" t="e">
        <f t="shared" si="32"/>
        <v>#N/A</v>
      </c>
      <c r="F955" s="80"/>
      <c r="G955" s="81"/>
      <c r="H955" s="78"/>
      <c r="I955" s="78"/>
      <c r="J955" s="78"/>
    </row>
    <row r="956" spans="1:10" x14ac:dyDescent="0.2">
      <c r="A956" s="84">
        <f t="shared" si="33"/>
        <v>950</v>
      </c>
      <c r="B956" s="85" t="e">
        <f>+MATCH(D956,ARTICULOS!$F$10:$F$699,0)</f>
        <v>#N/A</v>
      </c>
      <c r="C956" s="86" t="e">
        <f>+VLOOKUP(B956,ARTICULOS!$D$10:$I$699,6)</f>
        <v>#N/A</v>
      </c>
      <c r="D956" s="212"/>
      <c r="E956" s="75" t="e">
        <f t="shared" si="32"/>
        <v>#N/A</v>
      </c>
      <c r="F956" s="80"/>
      <c r="G956" s="81"/>
      <c r="H956" s="78"/>
      <c r="I956" s="78"/>
      <c r="J956" s="78"/>
    </row>
    <row r="957" spans="1:10" x14ac:dyDescent="0.2">
      <c r="A957" s="84">
        <f t="shared" si="33"/>
        <v>951</v>
      </c>
      <c r="B957" s="85" t="e">
        <f>+MATCH(D957,ARTICULOS!$F$10:$F$699,0)</f>
        <v>#N/A</v>
      </c>
      <c r="C957" s="86" t="e">
        <f>+VLOOKUP(B957,ARTICULOS!$D$10:$I$699,6)</f>
        <v>#N/A</v>
      </c>
      <c r="D957" s="212"/>
      <c r="E957" s="75" t="e">
        <f t="shared" si="32"/>
        <v>#N/A</v>
      </c>
      <c r="F957" s="80"/>
      <c r="G957" s="81"/>
      <c r="H957" s="78"/>
      <c r="I957" s="78"/>
      <c r="J957" s="78"/>
    </row>
    <row r="958" spans="1:10" x14ac:dyDescent="0.2">
      <c r="A958" s="84">
        <f t="shared" si="33"/>
        <v>952</v>
      </c>
      <c r="B958" s="85" t="e">
        <f>+MATCH(D958,ARTICULOS!$F$10:$F$699,0)</f>
        <v>#N/A</v>
      </c>
      <c r="C958" s="86" t="e">
        <f>+VLOOKUP(B958,ARTICULOS!$D$10:$I$699,6)</f>
        <v>#N/A</v>
      </c>
      <c r="D958" s="212"/>
      <c r="E958" s="75" t="e">
        <f t="shared" si="32"/>
        <v>#N/A</v>
      </c>
      <c r="F958" s="80"/>
      <c r="G958" s="81"/>
      <c r="H958" s="78"/>
      <c r="I958" s="78"/>
      <c r="J958" s="78"/>
    </row>
    <row r="959" spans="1:10" x14ac:dyDescent="0.2">
      <c r="A959" s="84">
        <f t="shared" si="33"/>
        <v>953</v>
      </c>
      <c r="B959" s="85" t="e">
        <f>+MATCH(D959,ARTICULOS!$F$10:$F$699,0)</f>
        <v>#N/A</v>
      </c>
      <c r="C959" s="86" t="e">
        <f>+VLOOKUP(B959,ARTICULOS!$D$10:$I$699,6)</f>
        <v>#N/A</v>
      </c>
      <c r="D959" s="212"/>
      <c r="E959" s="75" t="e">
        <f t="shared" si="32"/>
        <v>#N/A</v>
      </c>
      <c r="F959" s="80"/>
      <c r="G959" s="81"/>
      <c r="H959" s="78"/>
      <c r="I959" s="78"/>
      <c r="J959" s="78"/>
    </row>
    <row r="960" spans="1:10" x14ac:dyDescent="0.2">
      <c r="A960" s="84">
        <f t="shared" si="33"/>
        <v>954</v>
      </c>
      <c r="B960" s="85" t="e">
        <f>+MATCH(D960,ARTICULOS!$F$10:$F$699,0)</f>
        <v>#N/A</v>
      </c>
      <c r="C960" s="86" t="e">
        <f>+VLOOKUP(B960,ARTICULOS!$D$10:$I$699,6)</f>
        <v>#N/A</v>
      </c>
      <c r="D960" s="212"/>
      <c r="E960" s="75" t="e">
        <f t="shared" si="32"/>
        <v>#N/A</v>
      </c>
      <c r="F960" s="80"/>
      <c r="G960" s="81"/>
      <c r="H960" s="78"/>
      <c r="I960" s="78"/>
      <c r="J960" s="78"/>
    </row>
    <row r="961" spans="1:10" x14ac:dyDescent="0.2">
      <c r="A961" s="84">
        <f t="shared" si="33"/>
        <v>955</v>
      </c>
      <c r="B961" s="85" t="e">
        <f>+MATCH(D961,ARTICULOS!$F$10:$F$699,0)</f>
        <v>#N/A</v>
      </c>
      <c r="C961" s="86" t="e">
        <f>+VLOOKUP(B961,ARTICULOS!$D$10:$I$699,6)</f>
        <v>#N/A</v>
      </c>
      <c r="D961" s="212"/>
      <c r="E961" s="75" t="e">
        <f t="shared" si="32"/>
        <v>#N/A</v>
      </c>
      <c r="F961" s="80"/>
      <c r="G961" s="81"/>
      <c r="H961" s="78"/>
      <c r="I961" s="78"/>
      <c r="J961" s="78"/>
    </row>
    <row r="962" spans="1:10" x14ac:dyDescent="0.2">
      <c r="A962" s="84">
        <f t="shared" si="33"/>
        <v>956</v>
      </c>
      <c r="B962" s="85" t="e">
        <f>+MATCH(D962,ARTICULOS!$F$10:$F$699,0)</f>
        <v>#N/A</v>
      </c>
      <c r="C962" s="86" t="e">
        <f>+VLOOKUP(B962,ARTICULOS!$D$10:$I$699,6)</f>
        <v>#N/A</v>
      </c>
      <c r="D962" s="212"/>
      <c r="E962" s="75" t="e">
        <f t="shared" si="32"/>
        <v>#N/A</v>
      </c>
      <c r="F962" s="80"/>
      <c r="G962" s="81"/>
      <c r="H962" s="78"/>
      <c r="I962" s="78"/>
      <c r="J962" s="78"/>
    </row>
    <row r="963" spans="1:10" x14ac:dyDescent="0.2">
      <c r="A963" s="84">
        <f t="shared" si="33"/>
        <v>957</v>
      </c>
      <c r="B963" s="85" t="e">
        <f>+MATCH(D963,ARTICULOS!$F$10:$F$699,0)</f>
        <v>#N/A</v>
      </c>
      <c r="C963" s="86" t="e">
        <f>+VLOOKUP(B963,ARTICULOS!$D$10:$I$699,6)</f>
        <v>#N/A</v>
      </c>
      <c r="D963" s="212"/>
      <c r="E963" s="75" t="e">
        <f t="shared" si="32"/>
        <v>#N/A</v>
      </c>
      <c r="F963" s="80"/>
      <c r="G963" s="81"/>
      <c r="H963" s="78"/>
      <c r="I963" s="78"/>
      <c r="J963" s="78"/>
    </row>
    <row r="964" spans="1:10" x14ac:dyDescent="0.2">
      <c r="A964" s="84">
        <f t="shared" si="33"/>
        <v>958</v>
      </c>
      <c r="B964" s="85" t="e">
        <f>+MATCH(D964,ARTICULOS!$F$10:$F$699,0)</f>
        <v>#N/A</v>
      </c>
      <c r="C964" s="86" t="e">
        <f>+VLOOKUP(B964,ARTICULOS!$D$10:$I$699,6)</f>
        <v>#N/A</v>
      </c>
      <c r="D964" s="212"/>
      <c r="E964" s="75" t="e">
        <f t="shared" si="32"/>
        <v>#N/A</v>
      </c>
      <c r="F964" s="80"/>
      <c r="G964" s="81"/>
      <c r="H964" s="78"/>
      <c r="I964" s="78"/>
      <c r="J964" s="78"/>
    </row>
    <row r="965" spans="1:10" x14ac:dyDescent="0.2">
      <c r="A965" s="84">
        <f t="shared" si="33"/>
        <v>959</v>
      </c>
      <c r="B965" s="85" t="e">
        <f>+MATCH(D965,ARTICULOS!$F$10:$F$699,0)</f>
        <v>#N/A</v>
      </c>
      <c r="C965" s="86" t="e">
        <f>+VLOOKUP(B965,ARTICULOS!$D$10:$I$699,6)</f>
        <v>#N/A</v>
      </c>
      <c r="D965" s="212"/>
      <c r="E965" s="75" t="e">
        <f t="shared" si="32"/>
        <v>#N/A</v>
      </c>
      <c r="F965" s="80"/>
      <c r="G965" s="81"/>
      <c r="H965" s="78"/>
      <c r="I965" s="78"/>
      <c r="J965" s="78"/>
    </row>
    <row r="966" spans="1:10" x14ac:dyDescent="0.2">
      <c r="A966" s="84">
        <f t="shared" si="33"/>
        <v>960</v>
      </c>
      <c r="B966" s="85" t="e">
        <f>+MATCH(D966,ARTICULOS!$F$10:$F$699,0)</f>
        <v>#N/A</v>
      </c>
      <c r="C966" s="86" t="e">
        <f>+VLOOKUP(B966,ARTICULOS!$D$10:$I$699,6)</f>
        <v>#N/A</v>
      </c>
      <c r="D966" s="212"/>
      <c r="E966" s="75" t="e">
        <f t="shared" si="32"/>
        <v>#N/A</v>
      </c>
      <c r="F966" s="80"/>
      <c r="G966" s="81"/>
      <c r="H966" s="78"/>
      <c r="I966" s="78"/>
      <c r="J966" s="78"/>
    </row>
    <row r="967" spans="1:10" x14ac:dyDescent="0.2">
      <c r="A967" s="84">
        <f t="shared" si="33"/>
        <v>961</v>
      </c>
      <c r="B967" s="85" t="e">
        <f>+MATCH(D967,ARTICULOS!$F$10:$F$699,0)</f>
        <v>#N/A</v>
      </c>
      <c r="C967" s="86" t="e">
        <f>+VLOOKUP(B967,ARTICULOS!$D$10:$I$699,6)</f>
        <v>#N/A</v>
      </c>
      <c r="D967" s="212"/>
      <c r="E967" s="75" t="e">
        <f t="shared" si="32"/>
        <v>#N/A</v>
      </c>
      <c r="F967" s="80"/>
      <c r="G967" s="81"/>
      <c r="H967" s="78"/>
      <c r="I967" s="78"/>
      <c r="J967" s="78"/>
    </row>
    <row r="968" spans="1:10" x14ac:dyDescent="0.2">
      <c r="A968" s="84">
        <f t="shared" si="33"/>
        <v>962</v>
      </c>
      <c r="B968" s="85" t="e">
        <f>+MATCH(D968,ARTICULOS!$F$10:$F$699,0)</f>
        <v>#N/A</v>
      </c>
      <c r="C968" s="86" t="e">
        <f>+VLOOKUP(B968,ARTICULOS!$D$10:$I$699,6)</f>
        <v>#N/A</v>
      </c>
      <c r="D968" s="212"/>
      <c r="E968" s="75" t="e">
        <f t="shared" si="32"/>
        <v>#N/A</v>
      </c>
      <c r="F968" s="80"/>
      <c r="G968" s="81"/>
      <c r="H968" s="78"/>
      <c r="I968" s="78"/>
      <c r="J968" s="78"/>
    </row>
    <row r="969" spans="1:10" x14ac:dyDescent="0.2">
      <c r="A969" s="84">
        <f t="shared" si="33"/>
        <v>963</v>
      </c>
      <c r="B969" s="85" t="e">
        <f>+MATCH(D969,ARTICULOS!$F$10:$F$699,0)</f>
        <v>#N/A</v>
      </c>
      <c r="C969" s="86" t="e">
        <f>+VLOOKUP(B969,ARTICULOS!$D$10:$I$699,6)</f>
        <v>#N/A</v>
      </c>
      <c r="D969" s="212"/>
      <c r="E969" s="75" t="e">
        <f t="shared" si="32"/>
        <v>#N/A</v>
      </c>
      <c r="F969" s="80"/>
      <c r="G969" s="81"/>
      <c r="H969" s="78"/>
      <c r="I969" s="78"/>
      <c r="J969" s="78"/>
    </row>
    <row r="970" spans="1:10" x14ac:dyDescent="0.2">
      <c r="A970" s="84">
        <f t="shared" si="33"/>
        <v>964</v>
      </c>
      <c r="B970" s="85" t="e">
        <f>+MATCH(D970,ARTICULOS!$F$10:$F$699,0)</f>
        <v>#N/A</v>
      </c>
      <c r="C970" s="86" t="e">
        <f>+VLOOKUP(B970,ARTICULOS!$D$10:$I$699,6)</f>
        <v>#N/A</v>
      </c>
      <c r="D970" s="212"/>
      <c r="E970" s="75" t="e">
        <f t="shared" si="32"/>
        <v>#N/A</v>
      </c>
      <c r="F970" s="80"/>
      <c r="G970" s="81"/>
      <c r="H970" s="78"/>
      <c r="I970" s="78"/>
      <c r="J970" s="78"/>
    </row>
    <row r="971" spans="1:10" x14ac:dyDescent="0.2">
      <c r="A971" s="84">
        <f t="shared" si="33"/>
        <v>965</v>
      </c>
      <c r="B971" s="85" t="e">
        <f>+MATCH(D971,ARTICULOS!$F$10:$F$699,0)</f>
        <v>#N/A</v>
      </c>
      <c r="C971" s="86" t="e">
        <f>+VLOOKUP(B971,ARTICULOS!$D$10:$I$699,6)</f>
        <v>#N/A</v>
      </c>
      <c r="D971" s="212"/>
      <c r="E971" s="75" t="e">
        <f t="shared" ref="E971:E1034" si="34">+C971&amp;F971</f>
        <v>#N/A</v>
      </c>
      <c r="F971" s="80"/>
      <c r="G971" s="81"/>
      <c r="H971" s="78"/>
      <c r="I971" s="78"/>
      <c r="J971" s="78"/>
    </row>
    <row r="972" spans="1:10" x14ac:dyDescent="0.2">
      <c r="A972" s="84">
        <f t="shared" si="33"/>
        <v>966</v>
      </c>
      <c r="B972" s="85" t="e">
        <f>+MATCH(D972,ARTICULOS!$F$10:$F$699,0)</f>
        <v>#N/A</v>
      </c>
      <c r="C972" s="86" t="e">
        <f>+VLOOKUP(B972,ARTICULOS!$D$10:$I$699,6)</f>
        <v>#N/A</v>
      </c>
      <c r="D972" s="212"/>
      <c r="E972" s="75" t="e">
        <f t="shared" si="34"/>
        <v>#N/A</v>
      </c>
      <c r="F972" s="80"/>
      <c r="G972" s="81"/>
      <c r="H972" s="78"/>
      <c r="I972" s="78"/>
      <c r="J972" s="78"/>
    </row>
    <row r="973" spans="1:10" x14ac:dyDescent="0.2">
      <c r="A973" s="84">
        <f t="shared" si="33"/>
        <v>967</v>
      </c>
      <c r="B973" s="85" t="e">
        <f>+MATCH(D973,ARTICULOS!$F$10:$F$699,0)</f>
        <v>#N/A</v>
      </c>
      <c r="C973" s="86" t="e">
        <f>+VLOOKUP(B973,ARTICULOS!$D$10:$I$699,6)</f>
        <v>#N/A</v>
      </c>
      <c r="D973" s="212"/>
      <c r="E973" s="75" t="e">
        <f t="shared" si="34"/>
        <v>#N/A</v>
      </c>
      <c r="F973" s="80"/>
      <c r="G973" s="81"/>
      <c r="H973" s="78"/>
      <c r="I973" s="78"/>
      <c r="J973" s="78"/>
    </row>
    <row r="974" spans="1:10" x14ac:dyDescent="0.2">
      <c r="A974" s="84">
        <f t="shared" si="33"/>
        <v>968</v>
      </c>
      <c r="B974" s="85" t="e">
        <f>+MATCH(D974,ARTICULOS!$F$10:$F$699,0)</f>
        <v>#N/A</v>
      </c>
      <c r="C974" s="86" t="e">
        <f>+VLOOKUP(B974,ARTICULOS!$D$10:$I$699,6)</f>
        <v>#N/A</v>
      </c>
      <c r="D974" s="212"/>
      <c r="E974" s="75" t="e">
        <f t="shared" si="34"/>
        <v>#N/A</v>
      </c>
      <c r="F974" s="80"/>
      <c r="G974" s="81"/>
      <c r="H974" s="78"/>
      <c r="I974" s="78"/>
      <c r="J974" s="78"/>
    </row>
    <row r="975" spans="1:10" x14ac:dyDescent="0.2">
      <c r="A975" s="84">
        <f t="shared" si="33"/>
        <v>969</v>
      </c>
      <c r="B975" s="85" t="e">
        <f>+MATCH(D975,ARTICULOS!$F$10:$F$699,0)</f>
        <v>#N/A</v>
      </c>
      <c r="C975" s="86" t="e">
        <f>+VLOOKUP(B975,ARTICULOS!$D$10:$I$699,6)</f>
        <v>#N/A</v>
      </c>
      <c r="D975" s="212"/>
      <c r="E975" s="75" t="e">
        <f t="shared" si="34"/>
        <v>#N/A</v>
      </c>
      <c r="F975" s="80"/>
      <c r="G975" s="81"/>
      <c r="H975" s="78"/>
      <c r="I975" s="78"/>
      <c r="J975" s="78"/>
    </row>
    <row r="976" spans="1:10" x14ac:dyDescent="0.2">
      <c r="A976" s="84">
        <f t="shared" si="33"/>
        <v>970</v>
      </c>
      <c r="B976" s="85" t="e">
        <f>+MATCH(D976,ARTICULOS!$F$10:$F$699,0)</f>
        <v>#N/A</v>
      </c>
      <c r="C976" s="86" t="e">
        <f>+VLOOKUP(B976,ARTICULOS!$D$10:$I$699,6)</f>
        <v>#N/A</v>
      </c>
      <c r="D976" s="212"/>
      <c r="E976" s="75" t="e">
        <f t="shared" si="34"/>
        <v>#N/A</v>
      </c>
      <c r="F976" s="80"/>
      <c r="G976" s="81"/>
      <c r="H976" s="78"/>
      <c r="I976" s="78"/>
      <c r="J976" s="78"/>
    </row>
    <row r="977" spans="1:10" x14ac:dyDescent="0.2">
      <c r="A977" s="84">
        <f t="shared" si="33"/>
        <v>971</v>
      </c>
      <c r="B977" s="85" t="e">
        <f>+MATCH(D977,ARTICULOS!$F$10:$F$699,0)</f>
        <v>#N/A</v>
      </c>
      <c r="C977" s="86" t="e">
        <f>+VLOOKUP(B977,ARTICULOS!$D$10:$I$699,6)</f>
        <v>#N/A</v>
      </c>
      <c r="D977" s="212"/>
      <c r="E977" s="75" t="e">
        <f t="shared" si="34"/>
        <v>#N/A</v>
      </c>
      <c r="F977" s="80"/>
      <c r="G977" s="81"/>
      <c r="H977" s="78"/>
      <c r="I977" s="78"/>
      <c r="J977" s="78"/>
    </row>
    <row r="978" spans="1:10" x14ac:dyDescent="0.2">
      <c r="A978" s="84">
        <f t="shared" si="33"/>
        <v>972</v>
      </c>
      <c r="B978" s="85" t="e">
        <f>+MATCH(D978,ARTICULOS!$F$10:$F$699,0)</f>
        <v>#N/A</v>
      </c>
      <c r="C978" s="86" t="e">
        <f>+VLOOKUP(B978,ARTICULOS!$D$10:$I$699,6)</f>
        <v>#N/A</v>
      </c>
      <c r="D978" s="212"/>
      <c r="E978" s="75" t="e">
        <f t="shared" si="34"/>
        <v>#N/A</v>
      </c>
      <c r="F978" s="80"/>
      <c r="G978" s="81"/>
      <c r="H978" s="78"/>
      <c r="I978" s="78"/>
      <c r="J978" s="78"/>
    </row>
    <row r="979" spans="1:10" x14ac:dyDescent="0.2">
      <c r="A979" s="84">
        <f t="shared" si="33"/>
        <v>973</v>
      </c>
      <c r="B979" s="85" t="e">
        <f>+MATCH(D979,ARTICULOS!$F$10:$F$699,0)</f>
        <v>#N/A</v>
      </c>
      <c r="C979" s="86" t="e">
        <f>+VLOOKUP(B979,ARTICULOS!$D$10:$I$699,6)</f>
        <v>#N/A</v>
      </c>
      <c r="D979" s="212"/>
      <c r="E979" s="75" t="e">
        <f t="shared" si="34"/>
        <v>#N/A</v>
      </c>
      <c r="F979" s="80"/>
      <c r="G979" s="81"/>
      <c r="H979" s="78"/>
      <c r="I979" s="78"/>
      <c r="J979" s="78"/>
    </row>
    <row r="980" spans="1:10" x14ac:dyDescent="0.2">
      <c r="A980" s="84">
        <f t="shared" si="33"/>
        <v>974</v>
      </c>
      <c r="B980" s="85" t="e">
        <f>+MATCH(D980,ARTICULOS!$F$10:$F$699,0)</f>
        <v>#N/A</v>
      </c>
      <c r="C980" s="86" t="e">
        <f>+VLOOKUP(B980,ARTICULOS!$D$10:$I$699,6)</f>
        <v>#N/A</v>
      </c>
      <c r="D980" s="212"/>
      <c r="E980" s="75" t="e">
        <f t="shared" si="34"/>
        <v>#N/A</v>
      </c>
      <c r="F980" s="80"/>
      <c r="G980" s="81"/>
      <c r="H980" s="78"/>
      <c r="I980" s="78"/>
      <c r="J980" s="78"/>
    </row>
    <row r="981" spans="1:10" x14ac:dyDescent="0.2">
      <c r="A981" s="84">
        <f t="shared" si="33"/>
        <v>975</v>
      </c>
      <c r="B981" s="85" t="e">
        <f>+MATCH(D981,ARTICULOS!$F$10:$F$699,0)</f>
        <v>#N/A</v>
      </c>
      <c r="C981" s="86" t="e">
        <f>+VLOOKUP(B981,ARTICULOS!$D$10:$I$699,6)</f>
        <v>#N/A</v>
      </c>
      <c r="D981" s="212"/>
      <c r="E981" s="75" t="e">
        <f t="shared" si="34"/>
        <v>#N/A</v>
      </c>
      <c r="F981" s="80"/>
      <c r="G981" s="81"/>
      <c r="H981" s="78"/>
      <c r="I981" s="78"/>
      <c r="J981" s="78"/>
    </row>
    <row r="982" spans="1:10" x14ac:dyDescent="0.2">
      <c r="A982" s="84">
        <f t="shared" si="33"/>
        <v>976</v>
      </c>
      <c r="B982" s="85" t="e">
        <f>+MATCH(D982,ARTICULOS!$F$10:$F$699,0)</f>
        <v>#N/A</v>
      </c>
      <c r="C982" s="86" t="e">
        <f>+VLOOKUP(B982,ARTICULOS!$D$10:$I$699,6)</f>
        <v>#N/A</v>
      </c>
      <c r="D982" s="212"/>
      <c r="E982" s="75" t="e">
        <f t="shared" si="34"/>
        <v>#N/A</v>
      </c>
      <c r="F982" s="80"/>
      <c r="G982" s="81"/>
      <c r="H982" s="78"/>
      <c r="I982" s="78"/>
      <c r="J982" s="78"/>
    </row>
    <row r="983" spans="1:10" x14ac:dyDescent="0.2">
      <c r="A983" s="84">
        <f t="shared" si="33"/>
        <v>977</v>
      </c>
      <c r="B983" s="85" t="e">
        <f>+MATCH(D983,ARTICULOS!$F$10:$F$699,0)</f>
        <v>#N/A</v>
      </c>
      <c r="C983" s="86" t="e">
        <f>+VLOOKUP(B983,ARTICULOS!$D$10:$I$699,6)</f>
        <v>#N/A</v>
      </c>
      <c r="D983" s="212"/>
      <c r="E983" s="75" t="e">
        <f t="shared" si="34"/>
        <v>#N/A</v>
      </c>
      <c r="F983" s="80"/>
      <c r="G983" s="81"/>
      <c r="H983" s="78"/>
      <c r="I983" s="78"/>
      <c r="J983" s="78"/>
    </row>
    <row r="984" spans="1:10" x14ac:dyDescent="0.2">
      <c r="A984" s="84">
        <f t="shared" si="33"/>
        <v>978</v>
      </c>
      <c r="B984" s="85" t="e">
        <f>+MATCH(D984,ARTICULOS!$F$10:$F$699,0)</f>
        <v>#N/A</v>
      </c>
      <c r="C984" s="86" t="e">
        <f>+VLOOKUP(B984,ARTICULOS!$D$10:$I$699,6)</f>
        <v>#N/A</v>
      </c>
      <c r="D984" s="212"/>
      <c r="E984" s="75" t="e">
        <f t="shared" si="34"/>
        <v>#N/A</v>
      </c>
      <c r="F984" s="80"/>
      <c r="G984" s="81"/>
      <c r="H984" s="78"/>
      <c r="I984" s="78"/>
      <c r="J984" s="78"/>
    </row>
    <row r="985" spans="1:10" x14ac:dyDescent="0.2">
      <c r="A985" s="84">
        <f t="shared" si="33"/>
        <v>979</v>
      </c>
      <c r="B985" s="85" t="e">
        <f>+MATCH(D985,ARTICULOS!$F$10:$F$699,0)</f>
        <v>#N/A</v>
      </c>
      <c r="C985" s="86" t="e">
        <f>+VLOOKUP(B985,ARTICULOS!$D$10:$I$699,6)</f>
        <v>#N/A</v>
      </c>
      <c r="D985" s="212"/>
      <c r="E985" s="75" t="e">
        <f t="shared" si="34"/>
        <v>#N/A</v>
      </c>
      <c r="F985" s="80"/>
      <c r="G985" s="81"/>
      <c r="H985" s="78"/>
      <c r="I985" s="78"/>
      <c r="J985" s="78"/>
    </row>
    <row r="986" spans="1:10" x14ac:dyDescent="0.2">
      <c r="A986" s="84">
        <f t="shared" si="33"/>
        <v>980</v>
      </c>
      <c r="B986" s="85" t="e">
        <f>+MATCH(D986,ARTICULOS!$F$10:$F$699,0)</f>
        <v>#N/A</v>
      </c>
      <c r="C986" s="86" t="e">
        <f>+VLOOKUP(B986,ARTICULOS!$D$10:$I$699,6)</f>
        <v>#N/A</v>
      </c>
      <c r="D986" s="212"/>
      <c r="E986" s="75" t="e">
        <f t="shared" si="34"/>
        <v>#N/A</v>
      </c>
      <c r="F986" s="80"/>
      <c r="G986" s="81"/>
      <c r="H986" s="78"/>
      <c r="I986" s="78"/>
      <c r="J986" s="78"/>
    </row>
    <row r="987" spans="1:10" x14ac:dyDescent="0.2">
      <c r="A987" s="84">
        <f t="shared" si="33"/>
        <v>981</v>
      </c>
      <c r="B987" s="85" t="e">
        <f>+MATCH(D987,ARTICULOS!$F$10:$F$699,0)</f>
        <v>#N/A</v>
      </c>
      <c r="C987" s="86" t="e">
        <f>+VLOOKUP(B987,ARTICULOS!$D$10:$I$699,6)</f>
        <v>#N/A</v>
      </c>
      <c r="D987" s="212"/>
      <c r="E987" s="75" t="e">
        <f t="shared" si="34"/>
        <v>#N/A</v>
      </c>
      <c r="F987" s="80"/>
      <c r="G987" s="81"/>
      <c r="H987" s="78"/>
      <c r="I987" s="78"/>
      <c r="J987" s="78"/>
    </row>
    <row r="988" spans="1:10" x14ac:dyDescent="0.2">
      <c r="A988" s="84">
        <f t="shared" si="33"/>
        <v>982</v>
      </c>
      <c r="B988" s="85" t="e">
        <f>+MATCH(D988,ARTICULOS!$F$10:$F$699,0)</f>
        <v>#N/A</v>
      </c>
      <c r="C988" s="86" t="e">
        <f>+VLOOKUP(B988,ARTICULOS!$D$10:$I$699,6)</f>
        <v>#N/A</v>
      </c>
      <c r="D988" s="212"/>
      <c r="E988" s="75" t="e">
        <f t="shared" si="34"/>
        <v>#N/A</v>
      </c>
      <c r="F988" s="80"/>
      <c r="G988" s="81"/>
      <c r="H988" s="78"/>
      <c r="I988" s="78"/>
      <c r="J988" s="78"/>
    </row>
    <row r="989" spans="1:10" x14ac:dyDescent="0.2">
      <c r="A989" s="84">
        <f t="shared" si="33"/>
        <v>983</v>
      </c>
      <c r="B989" s="85" t="e">
        <f>+MATCH(D989,ARTICULOS!$F$10:$F$699,0)</f>
        <v>#N/A</v>
      </c>
      <c r="C989" s="86" t="e">
        <f>+VLOOKUP(B989,ARTICULOS!$D$10:$I$699,6)</f>
        <v>#N/A</v>
      </c>
      <c r="D989" s="212"/>
      <c r="E989" s="75" t="e">
        <f t="shared" si="34"/>
        <v>#N/A</v>
      </c>
      <c r="F989" s="80"/>
      <c r="G989" s="81"/>
      <c r="H989" s="78"/>
      <c r="I989" s="78"/>
      <c r="J989" s="78"/>
    </row>
    <row r="990" spans="1:10" x14ac:dyDescent="0.2">
      <c r="A990" s="84">
        <f t="shared" si="33"/>
        <v>984</v>
      </c>
      <c r="B990" s="85" t="e">
        <f>+MATCH(D990,ARTICULOS!$F$10:$F$699,0)</f>
        <v>#N/A</v>
      </c>
      <c r="C990" s="86" t="e">
        <f>+VLOOKUP(B990,ARTICULOS!$D$10:$I$699,6)</f>
        <v>#N/A</v>
      </c>
      <c r="D990" s="212"/>
      <c r="E990" s="75" t="e">
        <f t="shared" si="34"/>
        <v>#N/A</v>
      </c>
      <c r="F990" s="80"/>
      <c r="G990" s="81"/>
      <c r="H990" s="78"/>
      <c r="I990" s="78"/>
      <c r="J990" s="78"/>
    </row>
    <row r="991" spans="1:10" x14ac:dyDescent="0.2">
      <c r="A991" s="84">
        <f t="shared" si="33"/>
        <v>985</v>
      </c>
      <c r="B991" s="85" t="e">
        <f>+MATCH(D991,ARTICULOS!$F$10:$F$699,0)</f>
        <v>#N/A</v>
      </c>
      <c r="C991" s="86" t="e">
        <f>+VLOOKUP(B991,ARTICULOS!$D$10:$I$699,6)</f>
        <v>#N/A</v>
      </c>
      <c r="D991" s="212"/>
      <c r="E991" s="75" t="e">
        <f t="shared" si="34"/>
        <v>#N/A</v>
      </c>
      <c r="F991" s="80"/>
      <c r="G991" s="81"/>
      <c r="H991" s="78"/>
      <c r="I991" s="78"/>
      <c r="J991" s="78"/>
    </row>
    <row r="992" spans="1:10" x14ac:dyDescent="0.2">
      <c r="A992" s="84">
        <f t="shared" si="33"/>
        <v>986</v>
      </c>
      <c r="B992" s="85" t="e">
        <f>+MATCH(D992,ARTICULOS!$F$10:$F$699,0)</f>
        <v>#N/A</v>
      </c>
      <c r="C992" s="86" t="e">
        <f>+VLOOKUP(B992,ARTICULOS!$D$10:$I$699,6)</f>
        <v>#N/A</v>
      </c>
      <c r="D992" s="212"/>
      <c r="E992" s="75" t="e">
        <f t="shared" si="34"/>
        <v>#N/A</v>
      </c>
      <c r="F992" s="80"/>
      <c r="G992" s="81"/>
      <c r="H992" s="78"/>
      <c r="I992" s="78"/>
      <c r="J992" s="78"/>
    </row>
    <row r="993" spans="1:10" x14ac:dyDescent="0.2">
      <c r="A993" s="84">
        <f t="shared" si="33"/>
        <v>987</v>
      </c>
      <c r="B993" s="85" t="e">
        <f>+MATCH(D993,ARTICULOS!$F$10:$F$699,0)</f>
        <v>#N/A</v>
      </c>
      <c r="C993" s="86" t="e">
        <f>+VLOOKUP(B993,ARTICULOS!$D$10:$I$699,6)</f>
        <v>#N/A</v>
      </c>
      <c r="D993" s="212"/>
      <c r="E993" s="75" t="e">
        <f t="shared" si="34"/>
        <v>#N/A</v>
      </c>
      <c r="F993" s="80"/>
      <c r="G993" s="81"/>
      <c r="H993" s="78"/>
      <c r="I993" s="78"/>
      <c r="J993" s="78"/>
    </row>
    <row r="994" spans="1:10" x14ac:dyDescent="0.2">
      <c r="A994" s="84">
        <f t="shared" si="33"/>
        <v>988</v>
      </c>
      <c r="B994" s="85" t="e">
        <f>+MATCH(D994,ARTICULOS!$F$10:$F$699,0)</f>
        <v>#N/A</v>
      </c>
      <c r="C994" s="86" t="e">
        <f>+VLOOKUP(B994,ARTICULOS!$D$10:$I$699,6)</f>
        <v>#N/A</v>
      </c>
      <c r="D994" s="212"/>
      <c r="E994" s="75" t="e">
        <f t="shared" si="34"/>
        <v>#N/A</v>
      </c>
      <c r="F994" s="80"/>
      <c r="G994" s="81"/>
      <c r="H994" s="78"/>
      <c r="I994" s="78"/>
      <c r="J994" s="78"/>
    </row>
    <row r="995" spans="1:10" x14ac:dyDescent="0.2">
      <c r="A995" s="84">
        <f t="shared" si="33"/>
        <v>989</v>
      </c>
      <c r="B995" s="85" t="e">
        <f>+MATCH(D995,ARTICULOS!$F$10:$F$699,0)</f>
        <v>#N/A</v>
      </c>
      <c r="C995" s="86" t="e">
        <f>+VLOOKUP(B995,ARTICULOS!$D$10:$I$699,6)</f>
        <v>#N/A</v>
      </c>
      <c r="D995" s="212"/>
      <c r="E995" s="75" t="e">
        <f t="shared" si="34"/>
        <v>#N/A</v>
      </c>
      <c r="F995" s="80"/>
      <c r="G995" s="81"/>
      <c r="H995" s="78"/>
      <c r="I995" s="78"/>
      <c r="J995" s="78"/>
    </row>
    <row r="996" spans="1:10" x14ac:dyDescent="0.2">
      <c r="A996" s="84">
        <f t="shared" si="33"/>
        <v>990</v>
      </c>
      <c r="B996" s="85" t="e">
        <f>+MATCH(D996,ARTICULOS!$F$10:$F$699,0)</f>
        <v>#N/A</v>
      </c>
      <c r="C996" s="86" t="e">
        <f>+VLOOKUP(B996,ARTICULOS!$D$10:$I$699,6)</f>
        <v>#N/A</v>
      </c>
      <c r="D996" s="212"/>
      <c r="E996" s="75" t="e">
        <f t="shared" si="34"/>
        <v>#N/A</v>
      </c>
      <c r="F996" s="80"/>
      <c r="G996" s="81"/>
      <c r="H996" s="78"/>
      <c r="I996" s="78"/>
      <c r="J996" s="78"/>
    </row>
    <row r="997" spans="1:10" x14ac:dyDescent="0.2">
      <c r="A997" s="84">
        <f t="shared" si="33"/>
        <v>991</v>
      </c>
      <c r="B997" s="85" t="e">
        <f>+MATCH(D997,ARTICULOS!$F$10:$F$699,0)</f>
        <v>#N/A</v>
      </c>
      <c r="C997" s="86" t="e">
        <f>+VLOOKUP(B997,ARTICULOS!$D$10:$I$699,6)</f>
        <v>#N/A</v>
      </c>
      <c r="D997" s="212"/>
      <c r="E997" s="75" t="e">
        <f t="shared" si="34"/>
        <v>#N/A</v>
      </c>
      <c r="F997" s="80"/>
      <c r="G997" s="81"/>
      <c r="H997" s="78"/>
      <c r="I997" s="78"/>
      <c r="J997" s="78"/>
    </row>
    <row r="998" spans="1:10" x14ac:dyDescent="0.2">
      <c r="A998" s="84">
        <f t="shared" si="33"/>
        <v>992</v>
      </c>
      <c r="B998" s="85" t="e">
        <f>+MATCH(D998,ARTICULOS!$F$10:$F$699,0)</f>
        <v>#N/A</v>
      </c>
      <c r="C998" s="86" t="e">
        <f>+VLOOKUP(B998,ARTICULOS!$D$10:$I$699,6)</f>
        <v>#N/A</v>
      </c>
      <c r="D998" s="212"/>
      <c r="E998" s="75" t="e">
        <f t="shared" si="34"/>
        <v>#N/A</v>
      </c>
      <c r="F998" s="80"/>
      <c r="G998" s="81"/>
      <c r="H998" s="78"/>
      <c r="I998" s="78"/>
      <c r="J998" s="78"/>
    </row>
    <row r="999" spans="1:10" x14ac:dyDescent="0.2">
      <c r="A999" s="84">
        <f t="shared" si="33"/>
        <v>993</v>
      </c>
      <c r="B999" s="85" t="e">
        <f>+MATCH(D999,ARTICULOS!$F$10:$F$699,0)</f>
        <v>#N/A</v>
      </c>
      <c r="C999" s="86" t="e">
        <f>+VLOOKUP(B999,ARTICULOS!$D$10:$I$699,6)</f>
        <v>#N/A</v>
      </c>
      <c r="D999" s="212"/>
      <c r="E999" s="75" t="e">
        <f t="shared" si="34"/>
        <v>#N/A</v>
      </c>
      <c r="F999" s="80"/>
      <c r="G999" s="81"/>
      <c r="H999" s="78"/>
      <c r="I999" s="78"/>
      <c r="J999" s="78"/>
    </row>
    <row r="1000" spans="1:10" x14ac:dyDescent="0.2">
      <c r="A1000" s="84">
        <f t="shared" si="33"/>
        <v>994</v>
      </c>
      <c r="B1000" s="85" t="e">
        <f>+MATCH(D1000,ARTICULOS!$F$10:$F$699,0)</f>
        <v>#N/A</v>
      </c>
      <c r="C1000" s="86" t="e">
        <f>+VLOOKUP(B1000,ARTICULOS!$D$10:$I$699,6)</f>
        <v>#N/A</v>
      </c>
      <c r="D1000" s="212"/>
      <c r="E1000" s="75" t="e">
        <f t="shared" si="34"/>
        <v>#N/A</v>
      </c>
      <c r="F1000" s="80"/>
      <c r="G1000" s="81"/>
      <c r="H1000" s="78"/>
      <c r="I1000" s="78"/>
      <c r="J1000" s="78"/>
    </row>
    <row r="1001" spans="1:10" x14ac:dyDescent="0.2">
      <c r="A1001" s="84">
        <f t="shared" ref="A1001:A1064" si="35">ROW()-6</f>
        <v>995</v>
      </c>
      <c r="B1001" s="85" t="e">
        <f>+MATCH(D1001,ARTICULOS!$F$10:$F$699,0)</f>
        <v>#N/A</v>
      </c>
      <c r="C1001" s="86" t="e">
        <f>+VLOOKUP(B1001,ARTICULOS!$D$10:$I$699,6)</f>
        <v>#N/A</v>
      </c>
      <c r="D1001" s="212"/>
      <c r="E1001" s="75" t="e">
        <f t="shared" si="34"/>
        <v>#N/A</v>
      </c>
      <c r="F1001" s="80"/>
      <c r="G1001" s="81"/>
      <c r="H1001" s="78"/>
      <c r="I1001" s="78"/>
      <c r="J1001" s="78"/>
    </row>
    <row r="1002" spans="1:10" x14ac:dyDescent="0.2">
      <c r="A1002" s="84">
        <f t="shared" si="35"/>
        <v>996</v>
      </c>
      <c r="B1002" s="85" t="e">
        <f>+MATCH(D1002,ARTICULOS!$F$10:$F$699,0)</f>
        <v>#N/A</v>
      </c>
      <c r="C1002" s="86" t="e">
        <f>+VLOOKUP(B1002,ARTICULOS!$D$10:$I$699,6)</f>
        <v>#N/A</v>
      </c>
      <c r="D1002" s="212"/>
      <c r="E1002" s="75" t="e">
        <f t="shared" si="34"/>
        <v>#N/A</v>
      </c>
      <c r="F1002" s="80"/>
      <c r="G1002" s="81"/>
      <c r="H1002" s="78"/>
      <c r="I1002" s="78"/>
      <c r="J1002" s="78"/>
    </row>
    <row r="1003" spans="1:10" x14ac:dyDescent="0.2">
      <c r="A1003" s="84">
        <f t="shared" si="35"/>
        <v>997</v>
      </c>
      <c r="B1003" s="85" t="e">
        <f>+MATCH(D1003,ARTICULOS!$F$10:$F$699,0)</f>
        <v>#N/A</v>
      </c>
      <c r="C1003" s="86" t="e">
        <f>+VLOOKUP(B1003,ARTICULOS!$D$10:$I$699,6)</f>
        <v>#N/A</v>
      </c>
      <c r="D1003" s="212"/>
      <c r="E1003" s="75" t="e">
        <f t="shared" si="34"/>
        <v>#N/A</v>
      </c>
      <c r="F1003" s="80"/>
      <c r="G1003" s="81"/>
      <c r="H1003" s="78"/>
      <c r="I1003" s="78"/>
      <c r="J1003" s="78"/>
    </row>
    <row r="1004" spans="1:10" x14ac:dyDescent="0.2">
      <c r="A1004" s="84">
        <f t="shared" si="35"/>
        <v>998</v>
      </c>
      <c r="B1004" s="85" t="e">
        <f>+MATCH(D1004,ARTICULOS!$F$10:$F$699,0)</f>
        <v>#N/A</v>
      </c>
      <c r="C1004" s="86" t="e">
        <f>+VLOOKUP(B1004,ARTICULOS!$D$10:$I$699,6)</f>
        <v>#N/A</v>
      </c>
      <c r="D1004" s="212"/>
      <c r="E1004" s="75" t="e">
        <f t="shared" si="34"/>
        <v>#N/A</v>
      </c>
      <c r="F1004" s="80"/>
      <c r="G1004" s="81"/>
      <c r="H1004" s="78"/>
      <c r="I1004" s="78"/>
      <c r="J1004" s="78"/>
    </row>
    <row r="1005" spans="1:10" x14ac:dyDescent="0.2">
      <c r="A1005" s="84">
        <f t="shared" si="35"/>
        <v>999</v>
      </c>
      <c r="B1005" s="85" t="e">
        <f>+MATCH(D1005,ARTICULOS!$F$10:$F$699,0)</f>
        <v>#N/A</v>
      </c>
      <c r="C1005" s="86" t="e">
        <f>+VLOOKUP(B1005,ARTICULOS!$D$10:$I$699,6)</f>
        <v>#N/A</v>
      </c>
      <c r="D1005" s="212"/>
      <c r="E1005" s="75" t="e">
        <f t="shared" si="34"/>
        <v>#N/A</v>
      </c>
      <c r="F1005" s="80"/>
      <c r="G1005" s="81"/>
      <c r="H1005" s="78"/>
      <c r="I1005" s="78"/>
      <c r="J1005" s="78"/>
    </row>
    <row r="1006" spans="1:10" x14ac:dyDescent="0.2">
      <c r="A1006" s="84">
        <f t="shared" si="35"/>
        <v>1000</v>
      </c>
      <c r="B1006" s="85" t="e">
        <f>+MATCH(D1006,ARTICULOS!$F$10:$F$699,0)</f>
        <v>#N/A</v>
      </c>
      <c r="C1006" s="86" t="e">
        <f>+VLOOKUP(B1006,ARTICULOS!$D$10:$I$699,6)</f>
        <v>#N/A</v>
      </c>
      <c r="D1006" s="212"/>
      <c r="E1006" s="75" t="e">
        <f t="shared" si="34"/>
        <v>#N/A</v>
      </c>
      <c r="F1006" s="80"/>
      <c r="G1006" s="81"/>
      <c r="H1006" s="78"/>
      <c r="I1006" s="78"/>
      <c r="J1006" s="78"/>
    </row>
    <row r="1007" spans="1:10" x14ac:dyDescent="0.2">
      <c r="A1007" s="84">
        <f t="shared" si="35"/>
        <v>1001</v>
      </c>
      <c r="B1007" s="85" t="e">
        <f>+MATCH(D1007,ARTICULOS!$F$10:$F$699,0)</f>
        <v>#N/A</v>
      </c>
      <c r="C1007" s="86" t="e">
        <f>+VLOOKUP(B1007,ARTICULOS!$D$10:$I$699,6)</f>
        <v>#N/A</v>
      </c>
      <c r="D1007" s="212"/>
      <c r="E1007" s="75" t="e">
        <f t="shared" si="34"/>
        <v>#N/A</v>
      </c>
      <c r="F1007" s="80"/>
      <c r="G1007" s="81"/>
      <c r="H1007" s="78"/>
      <c r="I1007" s="78"/>
      <c r="J1007" s="78"/>
    </row>
    <row r="1008" spans="1:10" x14ac:dyDescent="0.2">
      <c r="A1008" s="84">
        <f t="shared" si="35"/>
        <v>1002</v>
      </c>
      <c r="B1008" s="85" t="e">
        <f>+MATCH(D1008,ARTICULOS!$F$10:$F$699,0)</f>
        <v>#N/A</v>
      </c>
      <c r="C1008" s="86" t="e">
        <f>+VLOOKUP(B1008,ARTICULOS!$D$10:$I$699,6)</f>
        <v>#N/A</v>
      </c>
      <c r="D1008" s="212"/>
      <c r="E1008" s="75" t="e">
        <f t="shared" si="34"/>
        <v>#N/A</v>
      </c>
      <c r="F1008" s="80"/>
      <c r="G1008" s="81"/>
      <c r="H1008" s="78"/>
      <c r="I1008" s="78"/>
      <c r="J1008" s="78"/>
    </row>
    <row r="1009" spans="1:10" x14ac:dyDescent="0.2">
      <c r="A1009" s="84">
        <f t="shared" si="35"/>
        <v>1003</v>
      </c>
      <c r="B1009" s="85" t="e">
        <f>+MATCH(D1009,ARTICULOS!$F$10:$F$699,0)</f>
        <v>#N/A</v>
      </c>
      <c r="C1009" s="86" t="e">
        <f>+VLOOKUP(B1009,ARTICULOS!$D$10:$I$699,6)</f>
        <v>#N/A</v>
      </c>
      <c r="D1009" s="212"/>
      <c r="E1009" s="75" t="e">
        <f t="shared" si="34"/>
        <v>#N/A</v>
      </c>
      <c r="F1009" s="80"/>
      <c r="G1009" s="81"/>
      <c r="H1009" s="78"/>
      <c r="I1009" s="78"/>
      <c r="J1009" s="78"/>
    </row>
    <row r="1010" spans="1:10" x14ac:dyDescent="0.2">
      <c r="A1010" s="84">
        <f t="shared" si="35"/>
        <v>1004</v>
      </c>
      <c r="B1010" s="85" t="e">
        <f>+MATCH(D1010,ARTICULOS!$F$10:$F$699,0)</f>
        <v>#N/A</v>
      </c>
      <c r="C1010" s="86" t="e">
        <f>+VLOOKUP(B1010,ARTICULOS!$D$10:$I$699,6)</f>
        <v>#N/A</v>
      </c>
      <c r="D1010" s="212"/>
      <c r="E1010" s="75" t="e">
        <f t="shared" si="34"/>
        <v>#N/A</v>
      </c>
      <c r="F1010" s="80"/>
      <c r="G1010" s="81"/>
      <c r="H1010" s="78"/>
      <c r="I1010" s="78"/>
      <c r="J1010" s="78"/>
    </row>
    <row r="1011" spans="1:10" x14ac:dyDescent="0.2">
      <c r="A1011" s="84">
        <f t="shared" si="35"/>
        <v>1005</v>
      </c>
      <c r="B1011" s="85" t="e">
        <f>+MATCH(D1011,ARTICULOS!$F$10:$F$699,0)</f>
        <v>#N/A</v>
      </c>
      <c r="C1011" s="86" t="e">
        <f>+VLOOKUP(B1011,ARTICULOS!$D$10:$I$699,6)</f>
        <v>#N/A</v>
      </c>
      <c r="D1011" s="212"/>
      <c r="E1011" s="75" t="e">
        <f t="shared" si="34"/>
        <v>#N/A</v>
      </c>
      <c r="F1011" s="80"/>
      <c r="G1011" s="81"/>
      <c r="H1011" s="78"/>
      <c r="I1011" s="78"/>
      <c r="J1011" s="78"/>
    </row>
    <row r="1012" spans="1:10" x14ac:dyDescent="0.2">
      <c r="A1012" s="84">
        <f t="shared" si="35"/>
        <v>1006</v>
      </c>
      <c r="B1012" s="85" t="e">
        <f>+MATCH(D1012,ARTICULOS!$F$10:$F$699,0)</f>
        <v>#N/A</v>
      </c>
      <c r="C1012" s="86" t="e">
        <f>+VLOOKUP(B1012,ARTICULOS!$D$10:$I$699,6)</f>
        <v>#N/A</v>
      </c>
      <c r="D1012" s="212"/>
      <c r="E1012" s="75" t="e">
        <f t="shared" si="34"/>
        <v>#N/A</v>
      </c>
      <c r="F1012" s="80"/>
      <c r="G1012" s="81"/>
      <c r="H1012" s="78"/>
      <c r="I1012" s="78"/>
      <c r="J1012" s="78"/>
    </row>
    <row r="1013" spans="1:10" x14ac:dyDescent="0.2">
      <c r="A1013" s="84">
        <f t="shared" si="35"/>
        <v>1007</v>
      </c>
      <c r="B1013" s="85" t="e">
        <f>+MATCH(D1013,ARTICULOS!$F$10:$F$699,0)</f>
        <v>#N/A</v>
      </c>
      <c r="C1013" s="86" t="e">
        <f>+VLOOKUP(B1013,ARTICULOS!$D$10:$I$699,6)</f>
        <v>#N/A</v>
      </c>
      <c r="D1013" s="212"/>
      <c r="E1013" s="75" t="e">
        <f t="shared" si="34"/>
        <v>#N/A</v>
      </c>
      <c r="F1013" s="80"/>
      <c r="G1013" s="81"/>
      <c r="H1013" s="78"/>
      <c r="I1013" s="78"/>
      <c r="J1013" s="78"/>
    </row>
    <row r="1014" spans="1:10" x14ac:dyDescent="0.2">
      <c r="A1014" s="84">
        <f t="shared" si="35"/>
        <v>1008</v>
      </c>
      <c r="B1014" s="85" t="e">
        <f>+MATCH(D1014,ARTICULOS!$F$10:$F$699,0)</f>
        <v>#N/A</v>
      </c>
      <c r="C1014" s="86" t="e">
        <f>+VLOOKUP(B1014,ARTICULOS!$D$10:$I$699,6)</f>
        <v>#N/A</v>
      </c>
      <c r="D1014" s="212"/>
      <c r="E1014" s="75" t="e">
        <f t="shared" si="34"/>
        <v>#N/A</v>
      </c>
      <c r="F1014" s="80"/>
      <c r="G1014" s="81"/>
      <c r="H1014" s="78"/>
      <c r="I1014" s="78"/>
      <c r="J1014" s="78"/>
    </row>
    <row r="1015" spans="1:10" x14ac:dyDescent="0.2">
      <c r="A1015" s="84">
        <f t="shared" si="35"/>
        <v>1009</v>
      </c>
      <c r="B1015" s="85" t="e">
        <f>+MATCH(D1015,ARTICULOS!$F$10:$F$699,0)</f>
        <v>#N/A</v>
      </c>
      <c r="C1015" s="86" t="e">
        <f>+VLOOKUP(B1015,ARTICULOS!$D$10:$I$699,6)</f>
        <v>#N/A</v>
      </c>
      <c r="D1015" s="212"/>
      <c r="E1015" s="75" t="e">
        <f t="shared" si="34"/>
        <v>#N/A</v>
      </c>
      <c r="F1015" s="80"/>
      <c r="G1015" s="81"/>
      <c r="H1015" s="78"/>
      <c r="I1015" s="78"/>
      <c r="J1015" s="78"/>
    </row>
    <row r="1016" spans="1:10" x14ac:dyDescent="0.2">
      <c r="A1016" s="84">
        <f t="shared" si="35"/>
        <v>1010</v>
      </c>
      <c r="B1016" s="85" t="e">
        <f>+MATCH(D1016,ARTICULOS!$F$10:$F$699,0)</f>
        <v>#N/A</v>
      </c>
      <c r="C1016" s="86" t="e">
        <f>+VLOOKUP(B1016,ARTICULOS!$D$10:$I$699,6)</f>
        <v>#N/A</v>
      </c>
      <c r="D1016" s="212"/>
      <c r="E1016" s="75" t="e">
        <f t="shared" si="34"/>
        <v>#N/A</v>
      </c>
      <c r="F1016" s="80"/>
      <c r="G1016" s="81"/>
      <c r="H1016" s="78"/>
      <c r="I1016" s="78"/>
      <c r="J1016" s="78"/>
    </row>
    <row r="1017" spans="1:10" x14ac:dyDescent="0.2">
      <c r="A1017" s="84">
        <f t="shared" si="35"/>
        <v>1011</v>
      </c>
      <c r="B1017" s="85" t="e">
        <f>+MATCH(D1017,ARTICULOS!$F$10:$F$699,0)</f>
        <v>#N/A</v>
      </c>
      <c r="C1017" s="86" t="e">
        <f>+VLOOKUP(B1017,ARTICULOS!$D$10:$I$699,6)</f>
        <v>#N/A</v>
      </c>
      <c r="D1017" s="212"/>
      <c r="E1017" s="75" t="e">
        <f t="shared" si="34"/>
        <v>#N/A</v>
      </c>
      <c r="F1017" s="80"/>
      <c r="G1017" s="81"/>
      <c r="H1017" s="78"/>
      <c r="I1017" s="78"/>
      <c r="J1017" s="78"/>
    </row>
    <row r="1018" spans="1:10" x14ac:dyDescent="0.2">
      <c r="A1018" s="84">
        <f t="shared" si="35"/>
        <v>1012</v>
      </c>
      <c r="B1018" s="85" t="e">
        <f>+MATCH(D1018,ARTICULOS!$F$10:$F$699,0)</f>
        <v>#N/A</v>
      </c>
      <c r="C1018" s="86" t="e">
        <f>+VLOOKUP(B1018,ARTICULOS!$D$10:$I$699,6)</f>
        <v>#N/A</v>
      </c>
      <c r="D1018" s="212"/>
      <c r="E1018" s="75" t="e">
        <f t="shared" si="34"/>
        <v>#N/A</v>
      </c>
      <c r="F1018" s="80"/>
      <c r="G1018" s="81"/>
      <c r="H1018" s="78"/>
      <c r="I1018" s="78"/>
      <c r="J1018" s="78"/>
    </row>
    <row r="1019" spans="1:10" x14ac:dyDescent="0.2">
      <c r="A1019" s="84">
        <f t="shared" si="35"/>
        <v>1013</v>
      </c>
      <c r="B1019" s="85" t="e">
        <f>+MATCH(D1019,ARTICULOS!$F$10:$F$699,0)</f>
        <v>#N/A</v>
      </c>
      <c r="C1019" s="86" t="e">
        <f>+VLOOKUP(B1019,ARTICULOS!$D$10:$I$699,6)</f>
        <v>#N/A</v>
      </c>
      <c r="D1019" s="212"/>
      <c r="E1019" s="75" t="e">
        <f t="shared" si="34"/>
        <v>#N/A</v>
      </c>
      <c r="F1019" s="80"/>
      <c r="G1019" s="81"/>
      <c r="H1019" s="78"/>
      <c r="I1019" s="78"/>
      <c r="J1019" s="78"/>
    </row>
    <row r="1020" spans="1:10" x14ac:dyDescent="0.2">
      <c r="A1020" s="84">
        <f t="shared" si="35"/>
        <v>1014</v>
      </c>
      <c r="B1020" s="85" t="e">
        <f>+MATCH(D1020,ARTICULOS!$F$10:$F$699,0)</f>
        <v>#N/A</v>
      </c>
      <c r="C1020" s="86" t="e">
        <f>+VLOOKUP(B1020,ARTICULOS!$D$10:$I$699,6)</f>
        <v>#N/A</v>
      </c>
      <c r="D1020" s="212"/>
      <c r="E1020" s="75" t="e">
        <f t="shared" si="34"/>
        <v>#N/A</v>
      </c>
      <c r="F1020" s="80"/>
      <c r="G1020" s="81"/>
      <c r="H1020" s="78"/>
      <c r="I1020" s="78"/>
      <c r="J1020" s="78"/>
    </row>
    <row r="1021" spans="1:10" x14ac:dyDescent="0.2">
      <c r="A1021" s="84">
        <f t="shared" si="35"/>
        <v>1015</v>
      </c>
      <c r="B1021" s="85" t="e">
        <f>+MATCH(D1021,ARTICULOS!$F$10:$F$699,0)</f>
        <v>#N/A</v>
      </c>
      <c r="C1021" s="86" t="e">
        <f>+VLOOKUP(B1021,ARTICULOS!$D$10:$I$699,6)</f>
        <v>#N/A</v>
      </c>
      <c r="D1021" s="212"/>
      <c r="E1021" s="75" t="e">
        <f t="shared" si="34"/>
        <v>#N/A</v>
      </c>
      <c r="F1021" s="80"/>
      <c r="G1021" s="81"/>
      <c r="H1021" s="78"/>
      <c r="I1021" s="78"/>
      <c r="J1021" s="78"/>
    </row>
    <row r="1022" spans="1:10" x14ac:dyDescent="0.2">
      <c r="A1022" s="84">
        <f t="shared" si="35"/>
        <v>1016</v>
      </c>
      <c r="B1022" s="85" t="e">
        <f>+MATCH(D1022,ARTICULOS!$F$10:$F$699,0)</f>
        <v>#N/A</v>
      </c>
      <c r="C1022" s="86" t="e">
        <f>+VLOOKUP(B1022,ARTICULOS!$D$10:$I$699,6)</f>
        <v>#N/A</v>
      </c>
      <c r="D1022" s="212"/>
      <c r="E1022" s="75" t="e">
        <f t="shared" si="34"/>
        <v>#N/A</v>
      </c>
      <c r="F1022" s="80"/>
      <c r="G1022" s="81"/>
      <c r="H1022" s="78"/>
      <c r="I1022" s="78"/>
      <c r="J1022" s="78"/>
    </row>
    <row r="1023" spans="1:10" x14ac:dyDescent="0.2">
      <c r="A1023" s="84">
        <f t="shared" si="35"/>
        <v>1017</v>
      </c>
      <c r="B1023" s="85" t="e">
        <f>+MATCH(D1023,ARTICULOS!$F$10:$F$699,0)</f>
        <v>#N/A</v>
      </c>
      <c r="C1023" s="86" t="e">
        <f>+VLOOKUP(B1023,ARTICULOS!$D$10:$I$699,6)</f>
        <v>#N/A</v>
      </c>
      <c r="D1023" s="212"/>
      <c r="E1023" s="75" t="e">
        <f t="shared" si="34"/>
        <v>#N/A</v>
      </c>
      <c r="F1023" s="80"/>
      <c r="G1023" s="81"/>
      <c r="H1023" s="78"/>
      <c r="I1023" s="78"/>
      <c r="J1023" s="78"/>
    </row>
    <row r="1024" spans="1:10" x14ac:dyDescent="0.2">
      <c r="A1024" s="84">
        <f t="shared" si="35"/>
        <v>1018</v>
      </c>
      <c r="B1024" s="85" t="e">
        <f>+MATCH(D1024,ARTICULOS!$F$10:$F$699,0)</f>
        <v>#N/A</v>
      </c>
      <c r="C1024" s="86" t="e">
        <f>+VLOOKUP(B1024,ARTICULOS!$D$10:$I$699,6)</f>
        <v>#N/A</v>
      </c>
      <c r="D1024" s="212"/>
      <c r="E1024" s="75" t="e">
        <f t="shared" si="34"/>
        <v>#N/A</v>
      </c>
      <c r="F1024" s="80"/>
      <c r="G1024" s="81"/>
      <c r="H1024" s="78"/>
      <c r="I1024" s="78"/>
      <c r="J1024" s="78"/>
    </row>
    <row r="1025" spans="1:10" x14ac:dyDescent="0.2">
      <c r="A1025" s="84">
        <f t="shared" si="35"/>
        <v>1019</v>
      </c>
      <c r="B1025" s="85" t="e">
        <f>+MATCH(D1025,ARTICULOS!$F$10:$F$699,0)</f>
        <v>#N/A</v>
      </c>
      <c r="C1025" s="86" t="e">
        <f>+VLOOKUP(B1025,ARTICULOS!$D$10:$I$699,6)</f>
        <v>#N/A</v>
      </c>
      <c r="D1025" s="212"/>
      <c r="E1025" s="75" t="e">
        <f t="shared" si="34"/>
        <v>#N/A</v>
      </c>
      <c r="F1025" s="80"/>
      <c r="G1025" s="81"/>
      <c r="H1025" s="78"/>
      <c r="I1025" s="78"/>
      <c r="J1025" s="78"/>
    </row>
    <row r="1026" spans="1:10" x14ac:dyDescent="0.2">
      <c r="A1026" s="84">
        <f t="shared" si="35"/>
        <v>1020</v>
      </c>
      <c r="B1026" s="85" t="e">
        <f>+MATCH(D1026,ARTICULOS!$F$10:$F$699,0)</f>
        <v>#N/A</v>
      </c>
      <c r="C1026" s="86" t="e">
        <f>+VLOOKUP(B1026,ARTICULOS!$D$10:$I$699,6)</f>
        <v>#N/A</v>
      </c>
      <c r="D1026" s="212"/>
      <c r="E1026" s="75" t="e">
        <f t="shared" si="34"/>
        <v>#N/A</v>
      </c>
      <c r="F1026" s="80"/>
      <c r="G1026" s="81"/>
      <c r="H1026" s="78"/>
      <c r="I1026" s="78"/>
      <c r="J1026" s="78"/>
    </row>
    <row r="1027" spans="1:10" x14ac:dyDescent="0.2">
      <c r="A1027" s="84">
        <f t="shared" si="35"/>
        <v>1021</v>
      </c>
      <c r="B1027" s="85" t="e">
        <f>+MATCH(D1027,ARTICULOS!$F$10:$F$699,0)</f>
        <v>#N/A</v>
      </c>
      <c r="C1027" s="86" t="e">
        <f>+VLOOKUP(B1027,ARTICULOS!$D$10:$I$699,6)</f>
        <v>#N/A</v>
      </c>
      <c r="D1027" s="212"/>
      <c r="E1027" s="75" t="e">
        <f t="shared" si="34"/>
        <v>#N/A</v>
      </c>
      <c r="F1027" s="80"/>
      <c r="G1027" s="81"/>
      <c r="H1027" s="78"/>
      <c r="I1027" s="78"/>
      <c r="J1027" s="78"/>
    </row>
    <row r="1028" spans="1:10" x14ac:dyDescent="0.2">
      <c r="A1028" s="84">
        <f t="shared" si="35"/>
        <v>1022</v>
      </c>
      <c r="B1028" s="85" t="e">
        <f>+MATCH(D1028,ARTICULOS!$F$10:$F$699,0)</f>
        <v>#N/A</v>
      </c>
      <c r="C1028" s="86" t="e">
        <f>+VLOOKUP(B1028,ARTICULOS!$D$10:$I$699,6)</f>
        <v>#N/A</v>
      </c>
      <c r="D1028" s="212"/>
      <c r="E1028" s="75" t="e">
        <f t="shared" si="34"/>
        <v>#N/A</v>
      </c>
      <c r="F1028" s="80"/>
      <c r="G1028" s="81"/>
      <c r="H1028" s="78"/>
      <c r="I1028" s="78"/>
      <c r="J1028" s="78"/>
    </row>
    <row r="1029" spans="1:10" x14ac:dyDescent="0.2">
      <c r="A1029" s="84">
        <f t="shared" si="35"/>
        <v>1023</v>
      </c>
      <c r="B1029" s="85" t="e">
        <f>+MATCH(D1029,ARTICULOS!$F$10:$F$699,0)</f>
        <v>#N/A</v>
      </c>
      <c r="C1029" s="86" t="e">
        <f>+VLOOKUP(B1029,ARTICULOS!$D$10:$I$699,6)</f>
        <v>#N/A</v>
      </c>
      <c r="D1029" s="212"/>
      <c r="E1029" s="75" t="e">
        <f t="shared" si="34"/>
        <v>#N/A</v>
      </c>
      <c r="F1029" s="80"/>
      <c r="G1029" s="81"/>
      <c r="H1029" s="78"/>
      <c r="I1029" s="78"/>
      <c r="J1029" s="78"/>
    </row>
    <row r="1030" spans="1:10" x14ac:dyDescent="0.2">
      <c r="A1030" s="84">
        <f t="shared" si="35"/>
        <v>1024</v>
      </c>
      <c r="B1030" s="85" t="e">
        <f>+MATCH(D1030,ARTICULOS!$F$10:$F$699,0)</f>
        <v>#N/A</v>
      </c>
      <c r="C1030" s="86" t="e">
        <f>+VLOOKUP(B1030,ARTICULOS!$D$10:$I$699,6)</f>
        <v>#N/A</v>
      </c>
      <c r="D1030" s="212"/>
      <c r="E1030" s="75" t="e">
        <f t="shared" si="34"/>
        <v>#N/A</v>
      </c>
      <c r="F1030" s="80"/>
      <c r="G1030" s="81"/>
      <c r="H1030" s="78"/>
      <c r="I1030" s="78"/>
      <c r="J1030" s="78"/>
    </row>
    <row r="1031" spans="1:10" x14ac:dyDescent="0.2">
      <c r="A1031" s="84">
        <f t="shared" si="35"/>
        <v>1025</v>
      </c>
      <c r="B1031" s="85" t="e">
        <f>+MATCH(D1031,ARTICULOS!$F$10:$F$699,0)</f>
        <v>#N/A</v>
      </c>
      <c r="C1031" s="86" t="e">
        <f>+VLOOKUP(B1031,ARTICULOS!$D$10:$I$699,6)</f>
        <v>#N/A</v>
      </c>
      <c r="D1031" s="212"/>
      <c r="E1031" s="75" t="e">
        <f t="shared" si="34"/>
        <v>#N/A</v>
      </c>
      <c r="F1031" s="80"/>
      <c r="G1031" s="81"/>
      <c r="H1031" s="78"/>
      <c r="I1031" s="78"/>
      <c r="J1031" s="78"/>
    </row>
    <row r="1032" spans="1:10" x14ac:dyDescent="0.2">
      <c r="A1032" s="84">
        <f t="shared" si="35"/>
        <v>1026</v>
      </c>
      <c r="B1032" s="85" t="e">
        <f>+MATCH(D1032,ARTICULOS!$F$10:$F$699,0)</f>
        <v>#N/A</v>
      </c>
      <c r="C1032" s="86" t="e">
        <f>+VLOOKUP(B1032,ARTICULOS!$D$10:$I$699,6)</f>
        <v>#N/A</v>
      </c>
      <c r="D1032" s="212"/>
      <c r="E1032" s="75" t="e">
        <f t="shared" si="34"/>
        <v>#N/A</v>
      </c>
      <c r="F1032" s="80"/>
      <c r="G1032" s="81"/>
      <c r="H1032" s="78"/>
      <c r="I1032" s="78"/>
      <c r="J1032" s="78"/>
    </row>
    <row r="1033" spans="1:10" x14ac:dyDescent="0.2">
      <c r="A1033" s="84">
        <f t="shared" si="35"/>
        <v>1027</v>
      </c>
      <c r="B1033" s="85" t="e">
        <f>+MATCH(D1033,ARTICULOS!$F$10:$F$699,0)</f>
        <v>#N/A</v>
      </c>
      <c r="C1033" s="86" t="e">
        <f>+VLOOKUP(B1033,ARTICULOS!$D$10:$I$699,6)</f>
        <v>#N/A</v>
      </c>
      <c r="D1033" s="212"/>
      <c r="E1033" s="75" t="e">
        <f t="shared" si="34"/>
        <v>#N/A</v>
      </c>
      <c r="F1033" s="80"/>
      <c r="G1033" s="81"/>
      <c r="H1033" s="78"/>
      <c r="I1033" s="78"/>
      <c r="J1033" s="78"/>
    </row>
    <row r="1034" spans="1:10" x14ac:dyDescent="0.2">
      <c r="A1034" s="84">
        <f t="shared" si="35"/>
        <v>1028</v>
      </c>
      <c r="B1034" s="85" t="e">
        <f>+MATCH(D1034,ARTICULOS!$F$10:$F$699,0)</f>
        <v>#N/A</v>
      </c>
      <c r="C1034" s="86" t="e">
        <f>+VLOOKUP(B1034,ARTICULOS!$D$10:$I$699,6)</f>
        <v>#N/A</v>
      </c>
      <c r="D1034" s="212"/>
      <c r="E1034" s="75" t="e">
        <f t="shared" si="34"/>
        <v>#N/A</v>
      </c>
      <c r="F1034" s="80"/>
      <c r="G1034" s="81"/>
      <c r="H1034" s="78"/>
      <c r="I1034" s="78"/>
      <c r="J1034" s="78"/>
    </row>
    <row r="1035" spans="1:10" x14ac:dyDescent="0.2">
      <c r="A1035" s="84">
        <f t="shared" si="35"/>
        <v>1029</v>
      </c>
      <c r="B1035" s="85" t="e">
        <f>+MATCH(D1035,ARTICULOS!$F$10:$F$699,0)</f>
        <v>#N/A</v>
      </c>
      <c r="C1035" s="86" t="e">
        <f>+VLOOKUP(B1035,ARTICULOS!$D$10:$I$699,6)</f>
        <v>#N/A</v>
      </c>
      <c r="D1035" s="212"/>
      <c r="E1035" s="75" t="e">
        <f t="shared" ref="E1035:E1098" si="36">+C1035&amp;F1035</f>
        <v>#N/A</v>
      </c>
      <c r="F1035" s="80"/>
      <c r="G1035" s="81"/>
      <c r="H1035" s="78"/>
      <c r="I1035" s="78"/>
      <c r="J1035" s="78"/>
    </row>
    <row r="1036" spans="1:10" x14ac:dyDescent="0.2">
      <c r="A1036" s="84">
        <f t="shared" si="35"/>
        <v>1030</v>
      </c>
      <c r="B1036" s="85" t="e">
        <f>+MATCH(D1036,ARTICULOS!$F$10:$F$699,0)</f>
        <v>#N/A</v>
      </c>
      <c r="C1036" s="86" t="e">
        <f>+VLOOKUP(B1036,ARTICULOS!$D$10:$I$699,6)</f>
        <v>#N/A</v>
      </c>
      <c r="D1036" s="212"/>
      <c r="E1036" s="75" t="e">
        <f t="shared" si="36"/>
        <v>#N/A</v>
      </c>
      <c r="F1036" s="80"/>
      <c r="G1036" s="81"/>
      <c r="H1036" s="78"/>
      <c r="I1036" s="78"/>
      <c r="J1036" s="78"/>
    </row>
    <row r="1037" spans="1:10" x14ac:dyDescent="0.2">
      <c r="A1037" s="84">
        <f t="shared" si="35"/>
        <v>1031</v>
      </c>
      <c r="B1037" s="85" t="e">
        <f>+MATCH(D1037,ARTICULOS!$F$10:$F$699,0)</f>
        <v>#N/A</v>
      </c>
      <c r="C1037" s="86" t="e">
        <f>+VLOOKUP(B1037,ARTICULOS!$D$10:$I$699,6)</f>
        <v>#N/A</v>
      </c>
      <c r="D1037" s="212"/>
      <c r="E1037" s="75" t="e">
        <f t="shared" si="36"/>
        <v>#N/A</v>
      </c>
      <c r="F1037" s="80"/>
      <c r="G1037" s="81"/>
      <c r="H1037" s="78"/>
      <c r="I1037" s="78"/>
      <c r="J1037" s="78"/>
    </row>
    <row r="1038" spans="1:10" x14ac:dyDescent="0.2">
      <c r="A1038" s="84">
        <f t="shared" si="35"/>
        <v>1032</v>
      </c>
      <c r="B1038" s="85" t="e">
        <f>+MATCH(D1038,ARTICULOS!$F$10:$F$699,0)</f>
        <v>#N/A</v>
      </c>
      <c r="C1038" s="86" t="e">
        <f>+VLOOKUP(B1038,ARTICULOS!$D$10:$I$699,6)</f>
        <v>#N/A</v>
      </c>
      <c r="D1038" s="212"/>
      <c r="E1038" s="75" t="e">
        <f t="shared" si="36"/>
        <v>#N/A</v>
      </c>
      <c r="F1038" s="80"/>
      <c r="G1038" s="81"/>
      <c r="H1038" s="78"/>
      <c r="I1038" s="78"/>
      <c r="J1038" s="78"/>
    </row>
    <row r="1039" spans="1:10" x14ac:dyDescent="0.2">
      <c r="A1039" s="84">
        <f t="shared" si="35"/>
        <v>1033</v>
      </c>
      <c r="B1039" s="85" t="e">
        <f>+MATCH(D1039,ARTICULOS!$F$10:$F$699,0)</f>
        <v>#N/A</v>
      </c>
      <c r="C1039" s="86" t="e">
        <f>+VLOOKUP(B1039,ARTICULOS!$D$10:$I$699,6)</f>
        <v>#N/A</v>
      </c>
      <c r="D1039" s="212"/>
      <c r="E1039" s="75" t="e">
        <f t="shared" si="36"/>
        <v>#N/A</v>
      </c>
      <c r="F1039" s="80"/>
      <c r="G1039" s="81"/>
      <c r="H1039" s="78"/>
      <c r="I1039" s="78"/>
      <c r="J1039" s="78"/>
    </row>
    <row r="1040" spans="1:10" x14ac:dyDescent="0.2">
      <c r="A1040" s="84">
        <f t="shared" si="35"/>
        <v>1034</v>
      </c>
      <c r="B1040" s="85" t="e">
        <f>+MATCH(D1040,ARTICULOS!$F$10:$F$699,0)</f>
        <v>#N/A</v>
      </c>
      <c r="C1040" s="86" t="e">
        <f>+VLOOKUP(B1040,ARTICULOS!$D$10:$I$699,6)</f>
        <v>#N/A</v>
      </c>
      <c r="D1040" s="212"/>
      <c r="E1040" s="75" t="e">
        <f t="shared" si="36"/>
        <v>#N/A</v>
      </c>
      <c r="F1040" s="80"/>
      <c r="G1040" s="81"/>
      <c r="H1040" s="78"/>
      <c r="I1040" s="78"/>
      <c r="J1040" s="78"/>
    </row>
    <row r="1041" spans="1:10" x14ac:dyDescent="0.2">
      <c r="A1041" s="84">
        <f t="shared" si="35"/>
        <v>1035</v>
      </c>
      <c r="B1041" s="85" t="e">
        <f>+MATCH(D1041,ARTICULOS!$F$10:$F$699,0)</f>
        <v>#N/A</v>
      </c>
      <c r="C1041" s="86" t="e">
        <f>+VLOOKUP(B1041,ARTICULOS!$D$10:$I$699,6)</f>
        <v>#N/A</v>
      </c>
      <c r="D1041" s="212"/>
      <c r="E1041" s="75" t="e">
        <f t="shared" si="36"/>
        <v>#N/A</v>
      </c>
      <c r="F1041" s="80"/>
      <c r="G1041" s="81"/>
      <c r="H1041" s="78"/>
      <c r="I1041" s="78"/>
      <c r="J1041" s="78"/>
    </row>
    <row r="1042" spans="1:10" x14ac:dyDescent="0.2">
      <c r="A1042" s="84">
        <f t="shared" si="35"/>
        <v>1036</v>
      </c>
      <c r="B1042" s="85" t="e">
        <f>+MATCH(D1042,ARTICULOS!$F$10:$F$699,0)</f>
        <v>#N/A</v>
      </c>
      <c r="C1042" s="86" t="e">
        <f>+VLOOKUP(B1042,ARTICULOS!$D$10:$I$699,6)</f>
        <v>#N/A</v>
      </c>
      <c r="D1042" s="212"/>
      <c r="E1042" s="75" t="e">
        <f t="shared" si="36"/>
        <v>#N/A</v>
      </c>
      <c r="F1042" s="80"/>
      <c r="G1042" s="81"/>
      <c r="H1042" s="78"/>
      <c r="I1042" s="78"/>
      <c r="J1042" s="78"/>
    </row>
    <row r="1043" spans="1:10" x14ac:dyDescent="0.2">
      <c r="A1043" s="84">
        <f t="shared" si="35"/>
        <v>1037</v>
      </c>
      <c r="B1043" s="85" t="e">
        <f>+MATCH(D1043,ARTICULOS!$F$10:$F$699,0)</f>
        <v>#N/A</v>
      </c>
      <c r="C1043" s="86" t="e">
        <f>+VLOOKUP(B1043,ARTICULOS!$D$10:$I$699,6)</f>
        <v>#N/A</v>
      </c>
      <c r="D1043" s="212"/>
      <c r="E1043" s="75" t="e">
        <f t="shared" si="36"/>
        <v>#N/A</v>
      </c>
      <c r="F1043" s="80"/>
      <c r="G1043" s="81"/>
      <c r="H1043" s="78"/>
      <c r="I1043" s="78"/>
      <c r="J1043" s="78"/>
    </row>
    <row r="1044" spans="1:10" x14ac:dyDescent="0.2">
      <c r="A1044" s="84">
        <f t="shared" si="35"/>
        <v>1038</v>
      </c>
      <c r="B1044" s="85" t="e">
        <f>+MATCH(D1044,ARTICULOS!$F$10:$F$699,0)</f>
        <v>#N/A</v>
      </c>
      <c r="C1044" s="86" t="e">
        <f>+VLOOKUP(B1044,ARTICULOS!$D$10:$I$699,6)</f>
        <v>#N/A</v>
      </c>
      <c r="D1044" s="212"/>
      <c r="E1044" s="75" t="e">
        <f t="shared" si="36"/>
        <v>#N/A</v>
      </c>
      <c r="F1044" s="80"/>
      <c r="G1044" s="81"/>
      <c r="H1044" s="78"/>
      <c r="I1044" s="78"/>
      <c r="J1044" s="78"/>
    </row>
    <row r="1045" spans="1:10" x14ac:dyDescent="0.2">
      <c r="A1045" s="84">
        <f t="shared" si="35"/>
        <v>1039</v>
      </c>
      <c r="B1045" s="85" t="e">
        <f>+MATCH(D1045,ARTICULOS!$F$10:$F$699,0)</f>
        <v>#N/A</v>
      </c>
      <c r="C1045" s="86" t="e">
        <f>+VLOOKUP(B1045,ARTICULOS!$D$10:$I$699,6)</f>
        <v>#N/A</v>
      </c>
      <c r="D1045" s="212"/>
      <c r="E1045" s="75" t="e">
        <f t="shared" si="36"/>
        <v>#N/A</v>
      </c>
      <c r="F1045" s="80"/>
      <c r="G1045" s="81"/>
      <c r="H1045" s="78"/>
      <c r="I1045" s="78"/>
      <c r="J1045" s="78"/>
    </row>
    <row r="1046" spans="1:10" x14ac:dyDescent="0.2">
      <c r="A1046" s="84">
        <f t="shared" si="35"/>
        <v>1040</v>
      </c>
      <c r="B1046" s="85" t="e">
        <f>+MATCH(D1046,ARTICULOS!$F$10:$F$699,0)</f>
        <v>#N/A</v>
      </c>
      <c r="C1046" s="86" t="e">
        <f>+VLOOKUP(B1046,ARTICULOS!$D$10:$I$699,6)</f>
        <v>#N/A</v>
      </c>
      <c r="D1046" s="212"/>
      <c r="E1046" s="75" t="e">
        <f t="shared" si="36"/>
        <v>#N/A</v>
      </c>
      <c r="F1046" s="80"/>
      <c r="G1046" s="81"/>
      <c r="H1046" s="78"/>
      <c r="I1046" s="78"/>
      <c r="J1046" s="78"/>
    </row>
    <row r="1047" spans="1:10" x14ac:dyDescent="0.2">
      <c r="A1047" s="84">
        <f t="shared" si="35"/>
        <v>1041</v>
      </c>
      <c r="B1047" s="85" t="e">
        <f>+MATCH(D1047,ARTICULOS!$F$10:$F$699,0)</f>
        <v>#N/A</v>
      </c>
      <c r="C1047" s="86" t="e">
        <f>+VLOOKUP(B1047,ARTICULOS!$D$10:$I$699,6)</f>
        <v>#N/A</v>
      </c>
      <c r="D1047" s="212"/>
      <c r="E1047" s="75" t="e">
        <f t="shared" si="36"/>
        <v>#N/A</v>
      </c>
      <c r="F1047" s="80"/>
      <c r="G1047" s="81"/>
      <c r="H1047" s="78"/>
      <c r="I1047" s="78"/>
      <c r="J1047" s="78"/>
    </row>
    <row r="1048" spans="1:10" x14ac:dyDescent="0.2">
      <c r="A1048" s="84">
        <f t="shared" si="35"/>
        <v>1042</v>
      </c>
      <c r="B1048" s="85" t="e">
        <f>+MATCH(D1048,ARTICULOS!$F$10:$F$699,0)</f>
        <v>#N/A</v>
      </c>
      <c r="C1048" s="86" t="e">
        <f>+VLOOKUP(B1048,ARTICULOS!$D$10:$I$699,6)</f>
        <v>#N/A</v>
      </c>
      <c r="D1048" s="212"/>
      <c r="E1048" s="75" t="e">
        <f t="shared" si="36"/>
        <v>#N/A</v>
      </c>
      <c r="F1048" s="80"/>
      <c r="G1048" s="81"/>
      <c r="H1048" s="78"/>
      <c r="I1048" s="78"/>
      <c r="J1048" s="78"/>
    </row>
    <row r="1049" spans="1:10" x14ac:dyDescent="0.2">
      <c r="A1049" s="84">
        <f t="shared" si="35"/>
        <v>1043</v>
      </c>
      <c r="B1049" s="85" t="e">
        <f>+MATCH(D1049,ARTICULOS!$F$10:$F$699,0)</f>
        <v>#N/A</v>
      </c>
      <c r="C1049" s="86" t="e">
        <f>+VLOOKUP(B1049,ARTICULOS!$D$10:$I$699,6)</f>
        <v>#N/A</v>
      </c>
      <c r="D1049" s="212"/>
      <c r="E1049" s="75" t="e">
        <f t="shared" si="36"/>
        <v>#N/A</v>
      </c>
      <c r="F1049" s="80"/>
      <c r="G1049" s="81"/>
      <c r="H1049" s="78"/>
      <c r="I1049" s="78"/>
      <c r="J1049" s="78"/>
    </row>
    <row r="1050" spans="1:10" x14ac:dyDescent="0.2">
      <c r="A1050" s="84">
        <f t="shared" si="35"/>
        <v>1044</v>
      </c>
      <c r="B1050" s="85" t="e">
        <f>+MATCH(D1050,ARTICULOS!$F$10:$F$699,0)</f>
        <v>#N/A</v>
      </c>
      <c r="C1050" s="86" t="e">
        <f>+VLOOKUP(B1050,ARTICULOS!$D$10:$I$699,6)</f>
        <v>#N/A</v>
      </c>
      <c r="D1050" s="212"/>
      <c r="E1050" s="75" t="e">
        <f t="shared" si="36"/>
        <v>#N/A</v>
      </c>
      <c r="F1050" s="80"/>
      <c r="G1050" s="81"/>
      <c r="H1050" s="78"/>
      <c r="I1050" s="78"/>
      <c r="J1050" s="78"/>
    </row>
    <row r="1051" spans="1:10" x14ac:dyDescent="0.2">
      <c r="A1051" s="84">
        <f t="shared" si="35"/>
        <v>1045</v>
      </c>
      <c r="B1051" s="85" t="e">
        <f>+MATCH(D1051,ARTICULOS!$F$10:$F$699,0)</f>
        <v>#N/A</v>
      </c>
      <c r="C1051" s="86" t="e">
        <f>+VLOOKUP(B1051,ARTICULOS!$D$10:$I$699,6)</f>
        <v>#N/A</v>
      </c>
      <c r="D1051" s="212"/>
      <c r="E1051" s="75" t="e">
        <f t="shared" si="36"/>
        <v>#N/A</v>
      </c>
      <c r="F1051" s="80"/>
      <c r="G1051" s="81"/>
      <c r="H1051" s="78"/>
      <c r="I1051" s="78"/>
      <c r="J1051" s="78"/>
    </row>
    <row r="1052" spans="1:10" x14ac:dyDescent="0.2">
      <c r="A1052" s="84">
        <f t="shared" si="35"/>
        <v>1046</v>
      </c>
      <c r="B1052" s="85" t="e">
        <f>+MATCH(D1052,ARTICULOS!$F$10:$F$699,0)</f>
        <v>#N/A</v>
      </c>
      <c r="C1052" s="86" t="e">
        <f>+VLOOKUP(B1052,ARTICULOS!$D$10:$I$699,6)</f>
        <v>#N/A</v>
      </c>
      <c r="D1052" s="212"/>
      <c r="E1052" s="75" t="e">
        <f t="shared" si="36"/>
        <v>#N/A</v>
      </c>
      <c r="F1052" s="80"/>
      <c r="G1052" s="81"/>
      <c r="H1052" s="78"/>
      <c r="I1052" s="78"/>
      <c r="J1052" s="78"/>
    </row>
    <row r="1053" spans="1:10" x14ac:dyDescent="0.2">
      <c r="A1053" s="84">
        <f t="shared" si="35"/>
        <v>1047</v>
      </c>
      <c r="B1053" s="85" t="e">
        <f>+MATCH(D1053,ARTICULOS!$F$10:$F$699,0)</f>
        <v>#N/A</v>
      </c>
      <c r="C1053" s="86" t="e">
        <f>+VLOOKUP(B1053,ARTICULOS!$D$10:$I$699,6)</f>
        <v>#N/A</v>
      </c>
      <c r="D1053" s="212"/>
      <c r="E1053" s="75" t="e">
        <f t="shared" si="36"/>
        <v>#N/A</v>
      </c>
      <c r="F1053" s="80"/>
      <c r="G1053" s="81"/>
      <c r="H1053" s="78"/>
      <c r="I1053" s="78"/>
      <c r="J1053" s="78"/>
    </row>
    <row r="1054" spans="1:10" x14ac:dyDescent="0.2">
      <c r="A1054" s="84">
        <f t="shared" si="35"/>
        <v>1048</v>
      </c>
      <c r="B1054" s="85" t="e">
        <f>+MATCH(D1054,ARTICULOS!$F$10:$F$699,0)</f>
        <v>#N/A</v>
      </c>
      <c r="C1054" s="86" t="e">
        <f>+VLOOKUP(B1054,ARTICULOS!$D$10:$I$699,6)</f>
        <v>#N/A</v>
      </c>
      <c r="D1054" s="212"/>
      <c r="E1054" s="75" t="e">
        <f t="shared" si="36"/>
        <v>#N/A</v>
      </c>
      <c r="F1054" s="80"/>
      <c r="G1054" s="81"/>
      <c r="H1054" s="78"/>
      <c r="I1054" s="78"/>
      <c r="J1054" s="78"/>
    </row>
    <row r="1055" spans="1:10" x14ac:dyDescent="0.2">
      <c r="A1055" s="84">
        <f t="shared" si="35"/>
        <v>1049</v>
      </c>
      <c r="B1055" s="85" t="e">
        <f>+MATCH(D1055,ARTICULOS!$F$10:$F$699,0)</f>
        <v>#N/A</v>
      </c>
      <c r="C1055" s="86" t="e">
        <f>+VLOOKUP(B1055,ARTICULOS!$D$10:$I$699,6)</f>
        <v>#N/A</v>
      </c>
      <c r="D1055" s="212"/>
      <c r="E1055" s="75" t="e">
        <f t="shared" si="36"/>
        <v>#N/A</v>
      </c>
      <c r="F1055" s="80"/>
      <c r="G1055" s="81"/>
      <c r="H1055" s="78"/>
      <c r="I1055" s="78"/>
      <c r="J1055" s="78"/>
    </row>
    <row r="1056" spans="1:10" x14ac:dyDescent="0.2">
      <c r="A1056" s="84">
        <f t="shared" si="35"/>
        <v>1050</v>
      </c>
      <c r="B1056" s="85" t="e">
        <f>+MATCH(D1056,ARTICULOS!$F$10:$F$699,0)</f>
        <v>#N/A</v>
      </c>
      <c r="C1056" s="86" t="e">
        <f>+VLOOKUP(B1056,ARTICULOS!$D$10:$I$699,6)</f>
        <v>#N/A</v>
      </c>
      <c r="D1056" s="212"/>
      <c r="E1056" s="75" t="e">
        <f t="shared" si="36"/>
        <v>#N/A</v>
      </c>
      <c r="F1056" s="80"/>
      <c r="G1056" s="81"/>
      <c r="H1056" s="78"/>
      <c r="I1056" s="78"/>
      <c r="J1056" s="78"/>
    </row>
    <row r="1057" spans="1:10" x14ac:dyDescent="0.2">
      <c r="A1057" s="84">
        <f t="shared" si="35"/>
        <v>1051</v>
      </c>
      <c r="B1057" s="85" t="e">
        <f>+MATCH(D1057,ARTICULOS!$F$10:$F$699,0)</f>
        <v>#N/A</v>
      </c>
      <c r="C1057" s="86" t="e">
        <f>+VLOOKUP(B1057,ARTICULOS!$D$10:$I$699,6)</f>
        <v>#N/A</v>
      </c>
      <c r="D1057" s="212"/>
      <c r="E1057" s="75" t="e">
        <f t="shared" si="36"/>
        <v>#N/A</v>
      </c>
      <c r="F1057" s="80"/>
      <c r="G1057" s="81"/>
      <c r="H1057" s="78"/>
      <c r="I1057" s="78"/>
      <c r="J1057" s="78"/>
    </row>
    <row r="1058" spans="1:10" x14ac:dyDescent="0.2">
      <c r="A1058" s="84">
        <f t="shared" si="35"/>
        <v>1052</v>
      </c>
      <c r="B1058" s="85" t="e">
        <f>+MATCH(D1058,ARTICULOS!$F$10:$F$699,0)</f>
        <v>#N/A</v>
      </c>
      <c r="C1058" s="86" t="e">
        <f>+VLOOKUP(B1058,ARTICULOS!$D$10:$I$699,6)</f>
        <v>#N/A</v>
      </c>
      <c r="D1058" s="212"/>
      <c r="E1058" s="75" t="e">
        <f t="shared" si="36"/>
        <v>#N/A</v>
      </c>
      <c r="F1058" s="80"/>
      <c r="G1058" s="81"/>
      <c r="H1058" s="78"/>
      <c r="I1058" s="78"/>
      <c r="J1058" s="78"/>
    </row>
    <row r="1059" spans="1:10" x14ac:dyDescent="0.2">
      <c r="A1059" s="84">
        <f t="shared" si="35"/>
        <v>1053</v>
      </c>
      <c r="B1059" s="85" t="e">
        <f>+MATCH(D1059,ARTICULOS!$F$10:$F$699,0)</f>
        <v>#N/A</v>
      </c>
      <c r="C1059" s="86" t="e">
        <f>+VLOOKUP(B1059,ARTICULOS!$D$10:$I$699,6)</f>
        <v>#N/A</v>
      </c>
      <c r="D1059" s="212"/>
      <c r="E1059" s="75" t="e">
        <f t="shared" si="36"/>
        <v>#N/A</v>
      </c>
      <c r="F1059" s="80"/>
      <c r="G1059" s="81"/>
      <c r="H1059" s="78"/>
      <c r="I1059" s="78"/>
      <c r="J1059" s="78"/>
    </row>
    <row r="1060" spans="1:10" x14ac:dyDescent="0.2">
      <c r="A1060" s="84">
        <f t="shared" si="35"/>
        <v>1054</v>
      </c>
      <c r="B1060" s="85" t="e">
        <f>+MATCH(D1060,ARTICULOS!$F$10:$F$699,0)</f>
        <v>#N/A</v>
      </c>
      <c r="C1060" s="86" t="e">
        <f>+VLOOKUP(B1060,ARTICULOS!$D$10:$I$699,6)</f>
        <v>#N/A</v>
      </c>
      <c r="D1060" s="212"/>
      <c r="E1060" s="75" t="e">
        <f t="shared" si="36"/>
        <v>#N/A</v>
      </c>
      <c r="F1060" s="80"/>
      <c r="G1060" s="81"/>
      <c r="H1060" s="78"/>
      <c r="I1060" s="78"/>
      <c r="J1060" s="78"/>
    </row>
    <row r="1061" spans="1:10" x14ac:dyDescent="0.2">
      <c r="A1061" s="84">
        <f t="shared" si="35"/>
        <v>1055</v>
      </c>
      <c r="B1061" s="85" t="e">
        <f>+MATCH(D1061,ARTICULOS!$F$10:$F$699,0)</f>
        <v>#N/A</v>
      </c>
      <c r="C1061" s="86" t="e">
        <f>+VLOOKUP(B1061,ARTICULOS!$D$10:$I$699,6)</f>
        <v>#N/A</v>
      </c>
      <c r="D1061" s="212"/>
      <c r="E1061" s="75" t="e">
        <f t="shared" si="36"/>
        <v>#N/A</v>
      </c>
      <c r="F1061" s="80"/>
      <c r="G1061" s="81"/>
      <c r="H1061" s="78"/>
      <c r="I1061" s="78"/>
      <c r="J1061" s="78"/>
    </row>
    <row r="1062" spans="1:10" x14ac:dyDescent="0.2">
      <c r="A1062" s="84">
        <f t="shared" si="35"/>
        <v>1056</v>
      </c>
      <c r="B1062" s="85" t="e">
        <f>+MATCH(D1062,ARTICULOS!$F$10:$F$699,0)</f>
        <v>#N/A</v>
      </c>
      <c r="C1062" s="86" t="e">
        <f>+VLOOKUP(B1062,ARTICULOS!$D$10:$I$699,6)</f>
        <v>#N/A</v>
      </c>
      <c r="D1062" s="212"/>
      <c r="E1062" s="75" t="e">
        <f t="shared" si="36"/>
        <v>#N/A</v>
      </c>
      <c r="F1062" s="80"/>
      <c r="G1062" s="81"/>
      <c r="H1062" s="78"/>
      <c r="I1062" s="78"/>
      <c r="J1062" s="78"/>
    </row>
    <row r="1063" spans="1:10" x14ac:dyDescent="0.2">
      <c r="A1063" s="84">
        <f t="shared" si="35"/>
        <v>1057</v>
      </c>
      <c r="B1063" s="85" t="e">
        <f>+MATCH(D1063,ARTICULOS!$F$10:$F$699,0)</f>
        <v>#N/A</v>
      </c>
      <c r="C1063" s="86" t="e">
        <f>+VLOOKUP(B1063,ARTICULOS!$D$10:$I$699,6)</f>
        <v>#N/A</v>
      </c>
      <c r="D1063" s="212"/>
      <c r="E1063" s="75" t="e">
        <f t="shared" si="36"/>
        <v>#N/A</v>
      </c>
      <c r="F1063" s="80"/>
      <c r="G1063" s="81"/>
      <c r="H1063" s="78"/>
      <c r="I1063" s="78"/>
      <c r="J1063" s="78"/>
    </row>
    <row r="1064" spans="1:10" x14ac:dyDescent="0.2">
      <c r="A1064" s="84">
        <f t="shared" si="35"/>
        <v>1058</v>
      </c>
      <c r="B1064" s="85" t="e">
        <f>+MATCH(D1064,ARTICULOS!$F$10:$F$699,0)</f>
        <v>#N/A</v>
      </c>
      <c r="C1064" s="86" t="e">
        <f>+VLOOKUP(B1064,ARTICULOS!$D$10:$I$699,6)</f>
        <v>#N/A</v>
      </c>
      <c r="D1064" s="212"/>
      <c r="E1064" s="75" t="e">
        <f t="shared" si="36"/>
        <v>#N/A</v>
      </c>
      <c r="F1064" s="80"/>
      <c r="G1064" s="81"/>
      <c r="H1064" s="78"/>
      <c r="I1064" s="78"/>
      <c r="J1064" s="78"/>
    </row>
    <row r="1065" spans="1:10" x14ac:dyDescent="0.2">
      <c r="A1065" s="84">
        <f t="shared" ref="A1065:A1128" si="37">ROW()-6</f>
        <v>1059</v>
      </c>
      <c r="B1065" s="85" t="e">
        <f>+MATCH(D1065,ARTICULOS!$F$10:$F$699,0)</f>
        <v>#N/A</v>
      </c>
      <c r="C1065" s="86" t="e">
        <f>+VLOOKUP(B1065,ARTICULOS!$D$10:$I$699,6)</f>
        <v>#N/A</v>
      </c>
      <c r="D1065" s="212"/>
      <c r="E1065" s="75" t="e">
        <f t="shared" si="36"/>
        <v>#N/A</v>
      </c>
      <c r="F1065" s="80"/>
      <c r="G1065" s="81"/>
      <c r="H1065" s="78"/>
      <c r="I1065" s="78"/>
      <c r="J1065" s="78"/>
    </row>
    <row r="1066" spans="1:10" x14ac:dyDescent="0.2">
      <c r="A1066" s="84">
        <f t="shared" si="37"/>
        <v>1060</v>
      </c>
      <c r="B1066" s="85" t="e">
        <f>+MATCH(D1066,ARTICULOS!$F$10:$F$699,0)</f>
        <v>#N/A</v>
      </c>
      <c r="C1066" s="86" t="e">
        <f>+VLOOKUP(B1066,ARTICULOS!$D$10:$I$699,6)</f>
        <v>#N/A</v>
      </c>
      <c r="D1066" s="212"/>
      <c r="E1066" s="75" t="e">
        <f t="shared" si="36"/>
        <v>#N/A</v>
      </c>
      <c r="F1066" s="80"/>
      <c r="G1066" s="81"/>
      <c r="H1066" s="78"/>
      <c r="I1066" s="78"/>
      <c r="J1066" s="78"/>
    </row>
    <row r="1067" spans="1:10" x14ac:dyDescent="0.2">
      <c r="A1067" s="84">
        <f t="shared" si="37"/>
        <v>1061</v>
      </c>
      <c r="B1067" s="85" t="e">
        <f>+MATCH(D1067,ARTICULOS!$F$10:$F$699,0)</f>
        <v>#N/A</v>
      </c>
      <c r="C1067" s="86" t="e">
        <f>+VLOOKUP(B1067,ARTICULOS!$D$10:$I$699,6)</f>
        <v>#N/A</v>
      </c>
      <c r="D1067" s="212"/>
      <c r="E1067" s="75" t="e">
        <f t="shared" si="36"/>
        <v>#N/A</v>
      </c>
      <c r="F1067" s="80"/>
      <c r="G1067" s="81"/>
      <c r="H1067" s="78"/>
      <c r="I1067" s="78"/>
      <c r="J1067" s="78"/>
    </row>
    <row r="1068" spans="1:10" x14ac:dyDescent="0.2">
      <c r="A1068" s="84">
        <f t="shared" si="37"/>
        <v>1062</v>
      </c>
      <c r="B1068" s="85" t="e">
        <f>+MATCH(D1068,ARTICULOS!$F$10:$F$699,0)</f>
        <v>#N/A</v>
      </c>
      <c r="C1068" s="86" t="e">
        <f>+VLOOKUP(B1068,ARTICULOS!$D$10:$I$699,6)</f>
        <v>#N/A</v>
      </c>
      <c r="D1068" s="212"/>
      <c r="E1068" s="75" t="e">
        <f t="shared" si="36"/>
        <v>#N/A</v>
      </c>
      <c r="F1068" s="80"/>
      <c r="G1068" s="81"/>
      <c r="H1068" s="78"/>
      <c r="I1068" s="78"/>
      <c r="J1068" s="78"/>
    </row>
    <row r="1069" spans="1:10" x14ac:dyDescent="0.2">
      <c r="A1069" s="84">
        <f t="shared" si="37"/>
        <v>1063</v>
      </c>
      <c r="B1069" s="85" t="e">
        <f>+MATCH(D1069,ARTICULOS!$F$10:$F$699,0)</f>
        <v>#N/A</v>
      </c>
      <c r="C1069" s="86" t="e">
        <f>+VLOOKUP(B1069,ARTICULOS!$D$10:$I$699,6)</f>
        <v>#N/A</v>
      </c>
      <c r="D1069" s="212"/>
      <c r="E1069" s="75" t="e">
        <f t="shared" si="36"/>
        <v>#N/A</v>
      </c>
      <c r="F1069" s="80"/>
      <c r="G1069" s="81"/>
      <c r="H1069" s="78"/>
      <c r="I1069" s="78"/>
      <c r="J1069" s="78"/>
    </row>
    <row r="1070" spans="1:10" x14ac:dyDescent="0.2">
      <c r="A1070" s="84">
        <f t="shared" si="37"/>
        <v>1064</v>
      </c>
      <c r="B1070" s="85" t="e">
        <f>+MATCH(D1070,ARTICULOS!$F$10:$F$699,0)</f>
        <v>#N/A</v>
      </c>
      <c r="C1070" s="86" t="e">
        <f>+VLOOKUP(B1070,ARTICULOS!$D$10:$I$699,6)</f>
        <v>#N/A</v>
      </c>
      <c r="D1070" s="212"/>
      <c r="E1070" s="75" t="e">
        <f t="shared" si="36"/>
        <v>#N/A</v>
      </c>
      <c r="F1070" s="80"/>
      <c r="G1070" s="81"/>
      <c r="H1070" s="78"/>
      <c r="I1070" s="78"/>
      <c r="J1070" s="78"/>
    </row>
    <row r="1071" spans="1:10" x14ac:dyDescent="0.2">
      <c r="A1071" s="84">
        <f t="shared" si="37"/>
        <v>1065</v>
      </c>
      <c r="B1071" s="85" t="e">
        <f>+MATCH(D1071,ARTICULOS!$F$10:$F$699,0)</f>
        <v>#N/A</v>
      </c>
      <c r="C1071" s="86" t="e">
        <f>+VLOOKUP(B1071,ARTICULOS!$D$10:$I$699,6)</f>
        <v>#N/A</v>
      </c>
      <c r="D1071" s="212"/>
      <c r="E1071" s="75" t="e">
        <f t="shared" si="36"/>
        <v>#N/A</v>
      </c>
      <c r="F1071" s="80"/>
      <c r="G1071" s="81"/>
      <c r="H1071" s="78"/>
      <c r="I1071" s="78"/>
      <c r="J1071" s="78"/>
    </row>
    <row r="1072" spans="1:10" x14ac:dyDescent="0.2">
      <c r="A1072" s="84">
        <f t="shared" si="37"/>
        <v>1066</v>
      </c>
      <c r="B1072" s="85" t="e">
        <f>+MATCH(D1072,ARTICULOS!$F$10:$F$699,0)</f>
        <v>#N/A</v>
      </c>
      <c r="C1072" s="86" t="e">
        <f>+VLOOKUP(B1072,ARTICULOS!$D$10:$I$699,6)</f>
        <v>#N/A</v>
      </c>
      <c r="D1072" s="212"/>
      <c r="E1072" s="75" t="e">
        <f t="shared" si="36"/>
        <v>#N/A</v>
      </c>
      <c r="F1072" s="80"/>
      <c r="G1072" s="81"/>
      <c r="H1072" s="78"/>
      <c r="I1072" s="78"/>
      <c r="J1072" s="78"/>
    </row>
    <row r="1073" spans="1:10" x14ac:dyDescent="0.2">
      <c r="A1073" s="84">
        <f t="shared" si="37"/>
        <v>1067</v>
      </c>
      <c r="B1073" s="85" t="e">
        <f>+MATCH(D1073,ARTICULOS!$F$10:$F$699,0)</f>
        <v>#N/A</v>
      </c>
      <c r="C1073" s="86" t="e">
        <f>+VLOOKUP(B1073,ARTICULOS!$D$10:$I$699,6)</f>
        <v>#N/A</v>
      </c>
      <c r="D1073" s="212"/>
      <c r="E1073" s="75" t="e">
        <f t="shared" si="36"/>
        <v>#N/A</v>
      </c>
      <c r="F1073" s="80"/>
      <c r="G1073" s="81"/>
      <c r="H1073" s="78"/>
      <c r="I1073" s="78"/>
      <c r="J1073" s="78"/>
    </row>
    <row r="1074" spans="1:10" x14ac:dyDescent="0.2">
      <c r="A1074" s="84">
        <f t="shared" si="37"/>
        <v>1068</v>
      </c>
      <c r="B1074" s="85" t="e">
        <f>+MATCH(D1074,ARTICULOS!$F$10:$F$699,0)</f>
        <v>#N/A</v>
      </c>
      <c r="C1074" s="86" t="e">
        <f>+VLOOKUP(B1074,ARTICULOS!$D$10:$I$699,6)</f>
        <v>#N/A</v>
      </c>
      <c r="D1074" s="212"/>
      <c r="E1074" s="75" t="e">
        <f t="shared" si="36"/>
        <v>#N/A</v>
      </c>
      <c r="F1074" s="80"/>
      <c r="G1074" s="81"/>
      <c r="H1074" s="78"/>
      <c r="I1074" s="78"/>
      <c r="J1074" s="78"/>
    </row>
    <row r="1075" spans="1:10" x14ac:dyDescent="0.2">
      <c r="A1075" s="84">
        <f t="shared" si="37"/>
        <v>1069</v>
      </c>
      <c r="B1075" s="85" t="e">
        <f>+MATCH(D1075,ARTICULOS!$F$10:$F$699,0)</f>
        <v>#N/A</v>
      </c>
      <c r="C1075" s="86" t="e">
        <f>+VLOOKUP(B1075,ARTICULOS!$D$10:$I$699,6)</f>
        <v>#N/A</v>
      </c>
      <c r="D1075" s="212"/>
      <c r="E1075" s="75" t="e">
        <f t="shared" si="36"/>
        <v>#N/A</v>
      </c>
      <c r="F1075" s="80"/>
      <c r="G1075" s="81"/>
      <c r="H1075" s="78"/>
      <c r="I1075" s="78"/>
      <c r="J1075" s="78"/>
    </row>
    <row r="1076" spans="1:10" x14ac:dyDescent="0.2">
      <c r="A1076" s="84">
        <f t="shared" si="37"/>
        <v>1070</v>
      </c>
      <c r="B1076" s="85" t="e">
        <f>+MATCH(D1076,ARTICULOS!$F$10:$F$699,0)</f>
        <v>#N/A</v>
      </c>
      <c r="C1076" s="86" t="e">
        <f>+VLOOKUP(B1076,ARTICULOS!$D$10:$I$699,6)</f>
        <v>#N/A</v>
      </c>
      <c r="D1076" s="212"/>
      <c r="E1076" s="75" t="e">
        <f t="shared" si="36"/>
        <v>#N/A</v>
      </c>
      <c r="F1076" s="80"/>
      <c r="G1076" s="81"/>
      <c r="H1076" s="78"/>
      <c r="I1076" s="78"/>
      <c r="J1076" s="78"/>
    </row>
    <row r="1077" spans="1:10" x14ac:dyDescent="0.2">
      <c r="A1077" s="84">
        <f t="shared" si="37"/>
        <v>1071</v>
      </c>
      <c r="B1077" s="85" t="e">
        <f>+MATCH(D1077,ARTICULOS!$F$10:$F$699,0)</f>
        <v>#N/A</v>
      </c>
      <c r="C1077" s="86" t="e">
        <f>+VLOOKUP(B1077,ARTICULOS!$D$10:$I$699,6)</f>
        <v>#N/A</v>
      </c>
      <c r="D1077" s="212"/>
      <c r="E1077" s="75" t="e">
        <f t="shared" si="36"/>
        <v>#N/A</v>
      </c>
      <c r="F1077" s="80"/>
      <c r="G1077" s="81"/>
      <c r="H1077" s="78"/>
      <c r="I1077" s="78"/>
      <c r="J1077" s="78"/>
    </row>
    <row r="1078" spans="1:10" x14ac:dyDescent="0.2">
      <c r="A1078" s="84">
        <f t="shared" si="37"/>
        <v>1072</v>
      </c>
      <c r="B1078" s="85" t="e">
        <f>+MATCH(D1078,ARTICULOS!$F$10:$F$699,0)</f>
        <v>#N/A</v>
      </c>
      <c r="C1078" s="86" t="e">
        <f>+VLOOKUP(B1078,ARTICULOS!$D$10:$I$699,6)</f>
        <v>#N/A</v>
      </c>
      <c r="D1078" s="212"/>
      <c r="E1078" s="75" t="e">
        <f t="shared" si="36"/>
        <v>#N/A</v>
      </c>
      <c r="F1078" s="80"/>
      <c r="G1078" s="81"/>
      <c r="H1078" s="78"/>
      <c r="I1078" s="78"/>
      <c r="J1078" s="78"/>
    </row>
    <row r="1079" spans="1:10" x14ac:dyDescent="0.2">
      <c r="A1079" s="84">
        <f t="shared" si="37"/>
        <v>1073</v>
      </c>
      <c r="B1079" s="85" t="e">
        <f>+MATCH(D1079,ARTICULOS!$F$10:$F$699,0)</f>
        <v>#N/A</v>
      </c>
      <c r="C1079" s="86" t="e">
        <f>+VLOOKUP(B1079,ARTICULOS!$D$10:$I$699,6)</f>
        <v>#N/A</v>
      </c>
      <c r="D1079" s="212"/>
      <c r="E1079" s="75" t="e">
        <f t="shared" si="36"/>
        <v>#N/A</v>
      </c>
      <c r="F1079" s="80"/>
      <c r="G1079" s="81"/>
      <c r="H1079" s="78"/>
      <c r="I1079" s="78"/>
      <c r="J1079" s="78"/>
    </row>
    <row r="1080" spans="1:10" x14ac:dyDescent="0.2">
      <c r="A1080" s="84">
        <f t="shared" si="37"/>
        <v>1074</v>
      </c>
      <c r="B1080" s="85" t="e">
        <f>+MATCH(D1080,ARTICULOS!$F$10:$F$699,0)</f>
        <v>#N/A</v>
      </c>
      <c r="C1080" s="86" t="e">
        <f>+VLOOKUP(B1080,ARTICULOS!$D$10:$I$699,6)</f>
        <v>#N/A</v>
      </c>
      <c r="D1080" s="212"/>
      <c r="E1080" s="75" t="e">
        <f t="shared" si="36"/>
        <v>#N/A</v>
      </c>
      <c r="F1080" s="80"/>
      <c r="G1080" s="81"/>
      <c r="H1080" s="78"/>
      <c r="I1080" s="78"/>
      <c r="J1080" s="78"/>
    </row>
    <row r="1081" spans="1:10" x14ac:dyDescent="0.2">
      <c r="A1081" s="84">
        <f t="shared" si="37"/>
        <v>1075</v>
      </c>
      <c r="B1081" s="85" t="e">
        <f>+MATCH(D1081,ARTICULOS!$F$10:$F$699,0)</f>
        <v>#N/A</v>
      </c>
      <c r="C1081" s="86" t="e">
        <f>+VLOOKUP(B1081,ARTICULOS!$D$10:$I$699,6)</f>
        <v>#N/A</v>
      </c>
      <c r="D1081" s="212"/>
      <c r="E1081" s="75" t="e">
        <f t="shared" si="36"/>
        <v>#N/A</v>
      </c>
      <c r="F1081" s="80"/>
      <c r="G1081" s="81"/>
      <c r="H1081" s="78"/>
      <c r="I1081" s="78"/>
      <c r="J1081" s="78"/>
    </row>
    <row r="1082" spans="1:10" x14ac:dyDescent="0.2">
      <c r="A1082" s="84">
        <f t="shared" si="37"/>
        <v>1076</v>
      </c>
      <c r="B1082" s="85" t="e">
        <f>+MATCH(D1082,ARTICULOS!$F$10:$F$699,0)</f>
        <v>#N/A</v>
      </c>
      <c r="C1082" s="86" t="e">
        <f>+VLOOKUP(B1082,ARTICULOS!$D$10:$I$699,6)</f>
        <v>#N/A</v>
      </c>
      <c r="D1082" s="212"/>
      <c r="E1082" s="75" t="e">
        <f t="shared" si="36"/>
        <v>#N/A</v>
      </c>
      <c r="F1082" s="80"/>
      <c r="G1082" s="81"/>
      <c r="H1082" s="78"/>
      <c r="I1082" s="78"/>
      <c r="J1082" s="78"/>
    </row>
    <row r="1083" spans="1:10" x14ac:dyDescent="0.2">
      <c r="A1083" s="84">
        <f t="shared" si="37"/>
        <v>1077</v>
      </c>
      <c r="B1083" s="85" t="e">
        <f>+MATCH(D1083,ARTICULOS!$F$10:$F$699,0)</f>
        <v>#N/A</v>
      </c>
      <c r="C1083" s="86" t="e">
        <f>+VLOOKUP(B1083,ARTICULOS!$D$10:$I$699,6)</f>
        <v>#N/A</v>
      </c>
      <c r="D1083" s="212"/>
      <c r="E1083" s="75" t="e">
        <f t="shared" si="36"/>
        <v>#N/A</v>
      </c>
      <c r="F1083" s="80"/>
      <c r="G1083" s="81"/>
      <c r="H1083" s="78"/>
      <c r="I1083" s="78"/>
      <c r="J1083" s="78"/>
    </row>
    <row r="1084" spans="1:10" x14ac:dyDescent="0.2">
      <c r="A1084" s="84">
        <f t="shared" si="37"/>
        <v>1078</v>
      </c>
      <c r="B1084" s="85" t="e">
        <f>+MATCH(D1084,ARTICULOS!$F$10:$F$699,0)</f>
        <v>#N/A</v>
      </c>
      <c r="C1084" s="86" t="e">
        <f>+VLOOKUP(B1084,ARTICULOS!$D$10:$I$699,6)</f>
        <v>#N/A</v>
      </c>
      <c r="D1084" s="212"/>
      <c r="E1084" s="75" t="e">
        <f t="shared" si="36"/>
        <v>#N/A</v>
      </c>
      <c r="F1084" s="80"/>
      <c r="G1084" s="81"/>
      <c r="H1084" s="78"/>
      <c r="I1084" s="78"/>
      <c r="J1084" s="78"/>
    </row>
    <row r="1085" spans="1:10" x14ac:dyDescent="0.2">
      <c r="A1085" s="84">
        <f t="shared" si="37"/>
        <v>1079</v>
      </c>
      <c r="B1085" s="85" t="e">
        <f>+MATCH(D1085,ARTICULOS!$F$10:$F$699,0)</f>
        <v>#N/A</v>
      </c>
      <c r="C1085" s="86" t="e">
        <f>+VLOOKUP(B1085,ARTICULOS!$D$10:$I$699,6)</f>
        <v>#N/A</v>
      </c>
      <c r="D1085" s="212"/>
      <c r="E1085" s="75" t="e">
        <f t="shared" si="36"/>
        <v>#N/A</v>
      </c>
      <c r="F1085" s="80"/>
      <c r="G1085" s="81"/>
      <c r="H1085" s="78"/>
      <c r="I1085" s="78"/>
      <c r="J1085" s="78"/>
    </row>
    <row r="1086" spans="1:10" x14ac:dyDescent="0.2">
      <c r="A1086" s="84">
        <f t="shared" si="37"/>
        <v>1080</v>
      </c>
      <c r="B1086" s="85" t="e">
        <f>+MATCH(D1086,ARTICULOS!$F$10:$F$699,0)</f>
        <v>#N/A</v>
      </c>
      <c r="C1086" s="86" t="e">
        <f>+VLOOKUP(B1086,ARTICULOS!$D$10:$I$699,6)</f>
        <v>#N/A</v>
      </c>
      <c r="D1086" s="212"/>
      <c r="E1086" s="75" t="e">
        <f t="shared" si="36"/>
        <v>#N/A</v>
      </c>
      <c r="F1086" s="80"/>
      <c r="G1086" s="81"/>
      <c r="H1086" s="78"/>
      <c r="I1086" s="78"/>
      <c r="J1086" s="78"/>
    </row>
    <row r="1087" spans="1:10" x14ac:dyDescent="0.2">
      <c r="A1087" s="84">
        <f t="shared" si="37"/>
        <v>1081</v>
      </c>
      <c r="B1087" s="85" t="e">
        <f>+MATCH(D1087,ARTICULOS!$F$10:$F$699,0)</f>
        <v>#N/A</v>
      </c>
      <c r="C1087" s="86" t="e">
        <f>+VLOOKUP(B1087,ARTICULOS!$D$10:$I$699,6)</f>
        <v>#N/A</v>
      </c>
      <c r="D1087" s="212"/>
      <c r="E1087" s="75" t="e">
        <f t="shared" si="36"/>
        <v>#N/A</v>
      </c>
      <c r="F1087" s="80"/>
      <c r="G1087" s="81"/>
      <c r="H1087" s="78"/>
      <c r="I1087" s="78"/>
      <c r="J1087" s="78"/>
    </row>
    <row r="1088" spans="1:10" x14ac:dyDescent="0.2">
      <c r="A1088" s="84">
        <f t="shared" si="37"/>
        <v>1082</v>
      </c>
      <c r="B1088" s="85" t="e">
        <f>+MATCH(D1088,ARTICULOS!$F$10:$F$699,0)</f>
        <v>#N/A</v>
      </c>
      <c r="C1088" s="86" t="e">
        <f>+VLOOKUP(B1088,ARTICULOS!$D$10:$I$699,6)</f>
        <v>#N/A</v>
      </c>
      <c r="D1088" s="212"/>
      <c r="E1088" s="75" t="e">
        <f t="shared" si="36"/>
        <v>#N/A</v>
      </c>
      <c r="F1088" s="80"/>
      <c r="G1088" s="81"/>
      <c r="H1088" s="78"/>
      <c r="I1088" s="78"/>
      <c r="J1088" s="78"/>
    </row>
    <row r="1089" spans="1:10" x14ac:dyDescent="0.2">
      <c r="A1089" s="84">
        <f t="shared" si="37"/>
        <v>1083</v>
      </c>
      <c r="B1089" s="85" t="e">
        <f>+MATCH(D1089,ARTICULOS!$F$10:$F$699,0)</f>
        <v>#N/A</v>
      </c>
      <c r="C1089" s="86" t="e">
        <f>+VLOOKUP(B1089,ARTICULOS!$D$10:$I$699,6)</f>
        <v>#N/A</v>
      </c>
      <c r="D1089" s="212"/>
      <c r="E1089" s="75" t="e">
        <f t="shared" si="36"/>
        <v>#N/A</v>
      </c>
      <c r="F1089" s="80"/>
      <c r="G1089" s="81"/>
      <c r="H1089" s="78"/>
      <c r="I1089" s="78"/>
      <c r="J1089" s="78"/>
    </row>
    <row r="1090" spans="1:10" x14ac:dyDescent="0.2">
      <c r="A1090" s="84">
        <f t="shared" si="37"/>
        <v>1084</v>
      </c>
      <c r="B1090" s="85" t="e">
        <f>+MATCH(D1090,ARTICULOS!$F$10:$F$699,0)</f>
        <v>#N/A</v>
      </c>
      <c r="C1090" s="86" t="e">
        <f>+VLOOKUP(B1090,ARTICULOS!$D$10:$I$699,6)</f>
        <v>#N/A</v>
      </c>
      <c r="D1090" s="212"/>
      <c r="E1090" s="75" t="e">
        <f t="shared" si="36"/>
        <v>#N/A</v>
      </c>
      <c r="F1090" s="80"/>
      <c r="G1090" s="81"/>
      <c r="H1090" s="78"/>
      <c r="I1090" s="78"/>
      <c r="J1090" s="78"/>
    </row>
    <row r="1091" spans="1:10" x14ac:dyDescent="0.2">
      <c r="A1091" s="84">
        <f t="shared" si="37"/>
        <v>1085</v>
      </c>
      <c r="B1091" s="85" t="e">
        <f>+MATCH(D1091,ARTICULOS!$F$10:$F$699,0)</f>
        <v>#N/A</v>
      </c>
      <c r="C1091" s="86" t="e">
        <f>+VLOOKUP(B1091,ARTICULOS!$D$10:$I$699,6)</f>
        <v>#N/A</v>
      </c>
      <c r="D1091" s="212"/>
      <c r="E1091" s="75" t="e">
        <f t="shared" si="36"/>
        <v>#N/A</v>
      </c>
      <c r="F1091" s="80"/>
      <c r="G1091" s="81"/>
      <c r="H1091" s="78"/>
      <c r="I1091" s="78"/>
      <c r="J1091" s="78"/>
    </row>
    <row r="1092" spans="1:10" x14ac:dyDescent="0.2">
      <c r="A1092" s="84">
        <f t="shared" si="37"/>
        <v>1086</v>
      </c>
      <c r="B1092" s="85" t="e">
        <f>+MATCH(D1092,ARTICULOS!$F$10:$F$699,0)</f>
        <v>#N/A</v>
      </c>
      <c r="C1092" s="86" t="e">
        <f>+VLOOKUP(B1092,ARTICULOS!$D$10:$I$699,6)</f>
        <v>#N/A</v>
      </c>
      <c r="D1092" s="212"/>
      <c r="E1092" s="75" t="e">
        <f t="shared" si="36"/>
        <v>#N/A</v>
      </c>
      <c r="F1092" s="80"/>
      <c r="G1092" s="81"/>
      <c r="H1092" s="78"/>
      <c r="I1092" s="78"/>
      <c r="J1092" s="78"/>
    </row>
    <row r="1093" spans="1:10" x14ac:dyDescent="0.2">
      <c r="A1093" s="84">
        <f t="shared" si="37"/>
        <v>1087</v>
      </c>
      <c r="B1093" s="85" t="e">
        <f>+MATCH(D1093,ARTICULOS!$F$10:$F$699,0)</f>
        <v>#N/A</v>
      </c>
      <c r="C1093" s="86" t="e">
        <f>+VLOOKUP(B1093,ARTICULOS!$D$10:$I$699,6)</f>
        <v>#N/A</v>
      </c>
      <c r="D1093" s="212"/>
      <c r="E1093" s="75" t="e">
        <f t="shared" si="36"/>
        <v>#N/A</v>
      </c>
      <c r="F1093" s="80"/>
      <c r="G1093" s="81"/>
      <c r="H1093" s="78"/>
      <c r="I1093" s="78"/>
      <c r="J1093" s="78"/>
    </row>
    <row r="1094" spans="1:10" x14ac:dyDescent="0.2">
      <c r="A1094" s="84">
        <f t="shared" si="37"/>
        <v>1088</v>
      </c>
      <c r="B1094" s="85" t="e">
        <f>+MATCH(D1094,ARTICULOS!$F$10:$F$699,0)</f>
        <v>#N/A</v>
      </c>
      <c r="C1094" s="86" t="e">
        <f>+VLOOKUP(B1094,ARTICULOS!$D$10:$I$699,6)</f>
        <v>#N/A</v>
      </c>
      <c r="D1094" s="212"/>
      <c r="E1094" s="75" t="e">
        <f t="shared" si="36"/>
        <v>#N/A</v>
      </c>
      <c r="F1094" s="80"/>
      <c r="G1094" s="81"/>
      <c r="H1094" s="78"/>
      <c r="I1094" s="78"/>
      <c r="J1094" s="78"/>
    </row>
    <row r="1095" spans="1:10" x14ac:dyDescent="0.2">
      <c r="A1095" s="84">
        <f t="shared" si="37"/>
        <v>1089</v>
      </c>
      <c r="B1095" s="85" t="e">
        <f>+MATCH(D1095,ARTICULOS!$F$10:$F$699,0)</f>
        <v>#N/A</v>
      </c>
      <c r="C1095" s="86" t="e">
        <f>+VLOOKUP(B1095,ARTICULOS!$D$10:$I$699,6)</f>
        <v>#N/A</v>
      </c>
      <c r="D1095" s="212"/>
      <c r="E1095" s="75" t="e">
        <f t="shared" si="36"/>
        <v>#N/A</v>
      </c>
      <c r="F1095" s="80"/>
      <c r="G1095" s="81"/>
      <c r="H1095" s="78"/>
      <c r="I1095" s="78"/>
      <c r="J1095" s="78"/>
    </row>
    <row r="1096" spans="1:10" x14ac:dyDescent="0.2">
      <c r="A1096" s="84">
        <f t="shared" si="37"/>
        <v>1090</v>
      </c>
      <c r="B1096" s="85" t="e">
        <f>+MATCH(D1096,ARTICULOS!$F$10:$F$699,0)</f>
        <v>#N/A</v>
      </c>
      <c r="C1096" s="86" t="e">
        <f>+VLOOKUP(B1096,ARTICULOS!$D$10:$I$699,6)</f>
        <v>#N/A</v>
      </c>
      <c r="D1096" s="212"/>
      <c r="E1096" s="75" t="e">
        <f t="shared" si="36"/>
        <v>#N/A</v>
      </c>
      <c r="F1096" s="80"/>
      <c r="G1096" s="81"/>
      <c r="H1096" s="78"/>
      <c r="I1096" s="78"/>
      <c r="J1096" s="78"/>
    </row>
    <row r="1097" spans="1:10" x14ac:dyDescent="0.2">
      <c r="A1097" s="84">
        <f t="shared" si="37"/>
        <v>1091</v>
      </c>
      <c r="B1097" s="85" t="e">
        <f>+MATCH(D1097,ARTICULOS!$F$10:$F$699,0)</f>
        <v>#N/A</v>
      </c>
      <c r="C1097" s="86" t="e">
        <f>+VLOOKUP(B1097,ARTICULOS!$D$10:$I$699,6)</f>
        <v>#N/A</v>
      </c>
      <c r="D1097" s="212"/>
      <c r="E1097" s="75" t="e">
        <f t="shared" si="36"/>
        <v>#N/A</v>
      </c>
      <c r="F1097" s="80"/>
      <c r="G1097" s="81"/>
      <c r="H1097" s="78"/>
      <c r="I1097" s="78"/>
      <c r="J1097" s="78"/>
    </row>
    <row r="1098" spans="1:10" x14ac:dyDescent="0.2">
      <c r="A1098" s="84">
        <f t="shared" si="37"/>
        <v>1092</v>
      </c>
      <c r="B1098" s="85" t="e">
        <f>+MATCH(D1098,ARTICULOS!$F$10:$F$699,0)</f>
        <v>#N/A</v>
      </c>
      <c r="C1098" s="86" t="e">
        <f>+VLOOKUP(B1098,ARTICULOS!$D$10:$I$699,6)</f>
        <v>#N/A</v>
      </c>
      <c r="D1098" s="212"/>
      <c r="E1098" s="75" t="e">
        <f t="shared" si="36"/>
        <v>#N/A</v>
      </c>
      <c r="F1098" s="80"/>
      <c r="G1098" s="81"/>
      <c r="H1098" s="78"/>
      <c r="I1098" s="78"/>
      <c r="J1098" s="78"/>
    </row>
    <row r="1099" spans="1:10" x14ac:dyDescent="0.2">
      <c r="A1099" s="84">
        <f t="shared" si="37"/>
        <v>1093</v>
      </c>
      <c r="B1099" s="85" t="e">
        <f>+MATCH(D1099,ARTICULOS!$F$10:$F$699,0)</f>
        <v>#N/A</v>
      </c>
      <c r="C1099" s="86" t="e">
        <f>+VLOOKUP(B1099,ARTICULOS!$D$10:$I$699,6)</f>
        <v>#N/A</v>
      </c>
      <c r="D1099" s="212"/>
      <c r="E1099" s="75" t="e">
        <f t="shared" ref="E1099:E1162" si="38">+C1099&amp;F1099</f>
        <v>#N/A</v>
      </c>
      <c r="F1099" s="80"/>
      <c r="G1099" s="81"/>
      <c r="H1099" s="78"/>
      <c r="I1099" s="78"/>
      <c r="J1099" s="78"/>
    </row>
    <row r="1100" spans="1:10" x14ac:dyDescent="0.2">
      <c r="A1100" s="84">
        <f t="shared" si="37"/>
        <v>1094</v>
      </c>
      <c r="B1100" s="85" t="e">
        <f>+MATCH(D1100,ARTICULOS!$F$10:$F$699,0)</f>
        <v>#N/A</v>
      </c>
      <c r="C1100" s="86" t="e">
        <f>+VLOOKUP(B1100,ARTICULOS!$D$10:$I$699,6)</f>
        <v>#N/A</v>
      </c>
      <c r="D1100" s="212"/>
      <c r="E1100" s="75" t="e">
        <f t="shared" si="38"/>
        <v>#N/A</v>
      </c>
      <c r="F1100" s="80"/>
      <c r="G1100" s="81"/>
      <c r="H1100" s="78"/>
      <c r="I1100" s="78"/>
      <c r="J1100" s="78"/>
    </row>
    <row r="1101" spans="1:10" x14ac:dyDescent="0.2">
      <c r="A1101" s="84">
        <f t="shared" si="37"/>
        <v>1095</v>
      </c>
      <c r="B1101" s="85" t="e">
        <f>+MATCH(D1101,ARTICULOS!$F$10:$F$699,0)</f>
        <v>#N/A</v>
      </c>
      <c r="C1101" s="86" t="e">
        <f>+VLOOKUP(B1101,ARTICULOS!$D$10:$I$699,6)</f>
        <v>#N/A</v>
      </c>
      <c r="D1101" s="212"/>
      <c r="E1101" s="75" t="e">
        <f t="shared" si="38"/>
        <v>#N/A</v>
      </c>
      <c r="F1101" s="80"/>
      <c r="G1101" s="81"/>
      <c r="H1101" s="78"/>
      <c r="I1101" s="78"/>
      <c r="J1101" s="78"/>
    </row>
    <row r="1102" spans="1:10" x14ac:dyDescent="0.2">
      <c r="A1102" s="84">
        <f t="shared" si="37"/>
        <v>1096</v>
      </c>
      <c r="B1102" s="85" t="e">
        <f>+MATCH(D1102,ARTICULOS!$F$10:$F$699,0)</f>
        <v>#N/A</v>
      </c>
      <c r="C1102" s="86" t="e">
        <f>+VLOOKUP(B1102,ARTICULOS!$D$10:$I$699,6)</f>
        <v>#N/A</v>
      </c>
      <c r="D1102" s="212"/>
      <c r="E1102" s="75" t="e">
        <f t="shared" si="38"/>
        <v>#N/A</v>
      </c>
      <c r="F1102" s="80"/>
      <c r="G1102" s="81"/>
      <c r="H1102" s="78"/>
      <c r="I1102" s="78"/>
      <c r="J1102" s="78"/>
    </row>
    <row r="1103" spans="1:10" x14ac:dyDescent="0.2">
      <c r="A1103" s="84">
        <f t="shared" si="37"/>
        <v>1097</v>
      </c>
      <c r="B1103" s="85" t="e">
        <f>+MATCH(D1103,ARTICULOS!$F$10:$F$699,0)</f>
        <v>#N/A</v>
      </c>
      <c r="C1103" s="86" t="e">
        <f>+VLOOKUP(B1103,ARTICULOS!$D$10:$I$699,6)</f>
        <v>#N/A</v>
      </c>
      <c r="D1103" s="212"/>
      <c r="E1103" s="75" t="e">
        <f t="shared" si="38"/>
        <v>#N/A</v>
      </c>
      <c r="F1103" s="80"/>
      <c r="G1103" s="81"/>
      <c r="H1103" s="78"/>
      <c r="I1103" s="78"/>
      <c r="J1103" s="78"/>
    </row>
    <row r="1104" spans="1:10" x14ac:dyDescent="0.2">
      <c r="A1104" s="84">
        <f t="shared" si="37"/>
        <v>1098</v>
      </c>
      <c r="B1104" s="85" t="e">
        <f>+MATCH(D1104,ARTICULOS!$F$10:$F$699,0)</f>
        <v>#N/A</v>
      </c>
      <c r="C1104" s="86" t="e">
        <f>+VLOOKUP(B1104,ARTICULOS!$D$10:$I$699,6)</f>
        <v>#N/A</v>
      </c>
      <c r="D1104" s="212"/>
      <c r="E1104" s="75" t="e">
        <f t="shared" si="38"/>
        <v>#N/A</v>
      </c>
      <c r="F1104" s="80"/>
      <c r="G1104" s="81"/>
      <c r="H1104" s="78"/>
      <c r="I1104" s="78"/>
      <c r="J1104" s="78"/>
    </row>
    <row r="1105" spans="1:10" x14ac:dyDescent="0.2">
      <c r="A1105" s="84">
        <f t="shared" si="37"/>
        <v>1099</v>
      </c>
      <c r="B1105" s="85" t="e">
        <f>+MATCH(D1105,ARTICULOS!$F$10:$F$699,0)</f>
        <v>#N/A</v>
      </c>
      <c r="C1105" s="86" t="e">
        <f>+VLOOKUP(B1105,ARTICULOS!$D$10:$I$699,6)</f>
        <v>#N/A</v>
      </c>
      <c r="D1105" s="212"/>
      <c r="E1105" s="75" t="e">
        <f t="shared" si="38"/>
        <v>#N/A</v>
      </c>
      <c r="F1105" s="80"/>
      <c r="G1105" s="81"/>
      <c r="H1105" s="78"/>
      <c r="I1105" s="78"/>
      <c r="J1105" s="78"/>
    </row>
    <row r="1106" spans="1:10" x14ac:dyDescent="0.2">
      <c r="A1106" s="84">
        <f t="shared" si="37"/>
        <v>1100</v>
      </c>
      <c r="B1106" s="85" t="e">
        <f>+MATCH(D1106,ARTICULOS!$F$10:$F$699,0)</f>
        <v>#N/A</v>
      </c>
      <c r="C1106" s="86" t="e">
        <f>+VLOOKUP(B1106,ARTICULOS!$D$10:$I$699,6)</f>
        <v>#N/A</v>
      </c>
      <c r="D1106" s="212"/>
      <c r="E1106" s="75" t="e">
        <f t="shared" si="38"/>
        <v>#N/A</v>
      </c>
      <c r="F1106" s="80"/>
      <c r="G1106" s="81"/>
      <c r="H1106" s="78"/>
      <c r="I1106" s="78"/>
      <c r="J1106" s="78"/>
    </row>
    <row r="1107" spans="1:10" x14ac:dyDescent="0.2">
      <c r="A1107" s="84">
        <f t="shared" si="37"/>
        <v>1101</v>
      </c>
      <c r="B1107" s="85" t="e">
        <f>+MATCH(D1107,ARTICULOS!$F$10:$F$699,0)</f>
        <v>#N/A</v>
      </c>
      <c r="C1107" s="86" t="e">
        <f>+VLOOKUP(B1107,ARTICULOS!$D$10:$I$699,6)</f>
        <v>#N/A</v>
      </c>
      <c r="D1107" s="212"/>
      <c r="E1107" s="75" t="e">
        <f t="shared" si="38"/>
        <v>#N/A</v>
      </c>
      <c r="F1107" s="80"/>
      <c r="G1107" s="81"/>
      <c r="H1107" s="78"/>
      <c r="I1107" s="78"/>
      <c r="J1107" s="78"/>
    </row>
    <row r="1108" spans="1:10" x14ac:dyDescent="0.2">
      <c r="A1108" s="84">
        <f t="shared" si="37"/>
        <v>1102</v>
      </c>
      <c r="B1108" s="85" t="e">
        <f>+MATCH(D1108,ARTICULOS!$F$10:$F$699,0)</f>
        <v>#N/A</v>
      </c>
      <c r="C1108" s="86" t="e">
        <f>+VLOOKUP(B1108,ARTICULOS!$D$10:$I$699,6)</f>
        <v>#N/A</v>
      </c>
      <c r="D1108" s="212"/>
      <c r="E1108" s="75" t="e">
        <f t="shared" si="38"/>
        <v>#N/A</v>
      </c>
      <c r="F1108" s="80"/>
      <c r="G1108" s="81"/>
      <c r="H1108" s="78"/>
      <c r="I1108" s="78"/>
      <c r="J1108" s="78"/>
    </row>
    <row r="1109" spans="1:10" x14ac:dyDescent="0.2">
      <c r="A1109" s="84">
        <f t="shared" si="37"/>
        <v>1103</v>
      </c>
      <c r="B1109" s="85" t="e">
        <f>+MATCH(D1109,ARTICULOS!$F$10:$F$699,0)</f>
        <v>#N/A</v>
      </c>
      <c r="C1109" s="86" t="e">
        <f>+VLOOKUP(B1109,ARTICULOS!$D$10:$I$699,6)</f>
        <v>#N/A</v>
      </c>
      <c r="D1109" s="212"/>
      <c r="E1109" s="75" t="e">
        <f t="shared" si="38"/>
        <v>#N/A</v>
      </c>
      <c r="F1109" s="80"/>
      <c r="G1109" s="81"/>
      <c r="H1109" s="78"/>
      <c r="I1109" s="78"/>
      <c r="J1109" s="78"/>
    </row>
    <row r="1110" spans="1:10" x14ac:dyDescent="0.2">
      <c r="A1110" s="84">
        <f t="shared" si="37"/>
        <v>1104</v>
      </c>
      <c r="B1110" s="85" t="e">
        <f>+MATCH(D1110,ARTICULOS!$F$10:$F$699,0)</f>
        <v>#N/A</v>
      </c>
      <c r="C1110" s="86" t="e">
        <f>+VLOOKUP(B1110,ARTICULOS!$D$10:$I$699,6)</f>
        <v>#N/A</v>
      </c>
      <c r="D1110" s="212"/>
      <c r="E1110" s="75" t="e">
        <f t="shared" si="38"/>
        <v>#N/A</v>
      </c>
      <c r="F1110" s="80"/>
      <c r="G1110" s="81"/>
      <c r="H1110" s="78"/>
      <c r="I1110" s="78"/>
      <c r="J1110" s="78"/>
    </row>
    <row r="1111" spans="1:10" x14ac:dyDescent="0.2">
      <c r="A1111" s="84">
        <f t="shared" si="37"/>
        <v>1105</v>
      </c>
      <c r="B1111" s="85" t="e">
        <f>+MATCH(D1111,ARTICULOS!$F$10:$F$699,0)</f>
        <v>#N/A</v>
      </c>
      <c r="C1111" s="86" t="e">
        <f>+VLOOKUP(B1111,ARTICULOS!$D$10:$I$699,6)</f>
        <v>#N/A</v>
      </c>
      <c r="D1111" s="212"/>
      <c r="E1111" s="75" t="e">
        <f t="shared" si="38"/>
        <v>#N/A</v>
      </c>
      <c r="F1111" s="80"/>
      <c r="G1111" s="81"/>
      <c r="H1111" s="78"/>
      <c r="I1111" s="78"/>
      <c r="J1111" s="78"/>
    </row>
    <row r="1112" spans="1:10" x14ac:dyDescent="0.2">
      <c r="A1112" s="84">
        <f t="shared" si="37"/>
        <v>1106</v>
      </c>
      <c r="B1112" s="85" t="e">
        <f>+MATCH(D1112,ARTICULOS!$F$10:$F$699,0)</f>
        <v>#N/A</v>
      </c>
      <c r="C1112" s="86" t="e">
        <f>+VLOOKUP(B1112,ARTICULOS!$D$10:$I$699,6)</f>
        <v>#N/A</v>
      </c>
      <c r="D1112" s="212"/>
      <c r="E1112" s="75" t="e">
        <f t="shared" si="38"/>
        <v>#N/A</v>
      </c>
      <c r="F1112" s="80"/>
      <c r="G1112" s="81"/>
      <c r="H1112" s="78"/>
      <c r="I1112" s="78"/>
      <c r="J1112" s="78"/>
    </row>
    <row r="1113" spans="1:10" x14ac:dyDescent="0.2">
      <c r="A1113" s="84">
        <f t="shared" si="37"/>
        <v>1107</v>
      </c>
      <c r="B1113" s="85" t="e">
        <f>+MATCH(D1113,ARTICULOS!$F$10:$F$699,0)</f>
        <v>#N/A</v>
      </c>
      <c r="C1113" s="86" t="e">
        <f>+VLOOKUP(B1113,ARTICULOS!$D$10:$I$699,6)</f>
        <v>#N/A</v>
      </c>
      <c r="D1113" s="212"/>
      <c r="E1113" s="75" t="e">
        <f t="shared" si="38"/>
        <v>#N/A</v>
      </c>
      <c r="F1113" s="80"/>
      <c r="G1113" s="81"/>
      <c r="H1113" s="78"/>
      <c r="I1113" s="78"/>
      <c r="J1113" s="78"/>
    </row>
    <row r="1114" spans="1:10" x14ac:dyDescent="0.2">
      <c r="A1114" s="84">
        <f t="shared" si="37"/>
        <v>1108</v>
      </c>
      <c r="B1114" s="85" t="e">
        <f>+MATCH(D1114,ARTICULOS!$F$10:$F$699,0)</f>
        <v>#N/A</v>
      </c>
      <c r="C1114" s="86" t="e">
        <f>+VLOOKUP(B1114,ARTICULOS!$D$10:$I$699,6)</f>
        <v>#N/A</v>
      </c>
      <c r="D1114" s="212"/>
      <c r="E1114" s="75" t="e">
        <f t="shared" si="38"/>
        <v>#N/A</v>
      </c>
      <c r="F1114" s="80"/>
      <c r="G1114" s="81"/>
      <c r="H1114" s="78"/>
      <c r="I1114" s="78"/>
      <c r="J1114" s="78"/>
    </row>
    <row r="1115" spans="1:10" x14ac:dyDescent="0.2">
      <c r="A1115" s="84">
        <f t="shared" si="37"/>
        <v>1109</v>
      </c>
      <c r="B1115" s="85" t="e">
        <f>+MATCH(D1115,ARTICULOS!$F$10:$F$699,0)</f>
        <v>#N/A</v>
      </c>
      <c r="C1115" s="86" t="e">
        <f>+VLOOKUP(B1115,ARTICULOS!$D$10:$I$699,6)</f>
        <v>#N/A</v>
      </c>
      <c r="D1115" s="212"/>
      <c r="E1115" s="75" t="e">
        <f t="shared" si="38"/>
        <v>#N/A</v>
      </c>
      <c r="F1115" s="80"/>
      <c r="G1115" s="81"/>
      <c r="H1115" s="78"/>
      <c r="I1115" s="78"/>
      <c r="J1115" s="78"/>
    </row>
    <row r="1116" spans="1:10" x14ac:dyDescent="0.2">
      <c r="A1116" s="84">
        <f t="shared" si="37"/>
        <v>1110</v>
      </c>
      <c r="B1116" s="85" t="e">
        <f>+MATCH(D1116,ARTICULOS!$F$10:$F$699,0)</f>
        <v>#N/A</v>
      </c>
      <c r="C1116" s="86" t="e">
        <f>+VLOOKUP(B1116,ARTICULOS!$D$10:$I$699,6)</f>
        <v>#N/A</v>
      </c>
      <c r="D1116" s="212"/>
      <c r="E1116" s="75" t="e">
        <f t="shared" si="38"/>
        <v>#N/A</v>
      </c>
      <c r="F1116" s="80"/>
      <c r="G1116" s="81"/>
      <c r="H1116" s="78"/>
      <c r="I1116" s="78"/>
      <c r="J1116" s="78"/>
    </row>
    <row r="1117" spans="1:10" x14ac:dyDescent="0.2">
      <c r="A1117" s="84">
        <f t="shared" si="37"/>
        <v>1111</v>
      </c>
      <c r="B1117" s="85" t="e">
        <f>+MATCH(D1117,ARTICULOS!$F$10:$F$699,0)</f>
        <v>#N/A</v>
      </c>
      <c r="C1117" s="86" t="e">
        <f>+VLOOKUP(B1117,ARTICULOS!$D$10:$I$699,6)</f>
        <v>#N/A</v>
      </c>
      <c r="D1117" s="212"/>
      <c r="E1117" s="75" t="e">
        <f t="shared" si="38"/>
        <v>#N/A</v>
      </c>
      <c r="F1117" s="80"/>
      <c r="G1117" s="81"/>
      <c r="H1117" s="78"/>
      <c r="I1117" s="78"/>
      <c r="J1117" s="78"/>
    </row>
    <row r="1118" spans="1:10" x14ac:dyDescent="0.2">
      <c r="A1118" s="84">
        <f t="shared" si="37"/>
        <v>1112</v>
      </c>
      <c r="B1118" s="85" t="e">
        <f>+MATCH(D1118,ARTICULOS!$F$10:$F$699,0)</f>
        <v>#N/A</v>
      </c>
      <c r="C1118" s="86" t="e">
        <f>+VLOOKUP(B1118,ARTICULOS!$D$10:$I$699,6)</f>
        <v>#N/A</v>
      </c>
      <c r="D1118" s="212"/>
      <c r="E1118" s="75" t="e">
        <f t="shared" si="38"/>
        <v>#N/A</v>
      </c>
      <c r="F1118" s="80"/>
      <c r="G1118" s="81"/>
      <c r="H1118" s="78"/>
      <c r="I1118" s="78"/>
      <c r="J1118" s="78"/>
    </row>
    <row r="1119" spans="1:10" x14ac:dyDescent="0.2">
      <c r="A1119" s="84">
        <f t="shared" si="37"/>
        <v>1113</v>
      </c>
      <c r="B1119" s="85" t="e">
        <f>+MATCH(D1119,ARTICULOS!$F$10:$F$699,0)</f>
        <v>#N/A</v>
      </c>
      <c r="C1119" s="86" t="e">
        <f>+VLOOKUP(B1119,ARTICULOS!$D$10:$I$699,6)</f>
        <v>#N/A</v>
      </c>
      <c r="D1119" s="212"/>
      <c r="E1119" s="75" t="e">
        <f t="shared" si="38"/>
        <v>#N/A</v>
      </c>
      <c r="F1119" s="80"/>
      <c r="G1119" s="81"/>
      <c r="H1119" s="78"/>
      <c r="I1119" s="78"/>
      <c r="J1119" s="78"/>
    </row>
    <row r="1120" spans="1:10" x14ac:dyDescent="0.2">
      <c r="A1120" s="84">
        <f t="shared" si="37"/>
        <v>1114</v>
      </c>
      <c r="B1120" s="85" t="e">
        <f>+MATCH(D1120,ARTICULOS!$F$10:$F$699,0)</f>
        <v>#N/A</v>
      </c>
      <c r="C1120" s="86" t="e">
        <f>+VLOOKUP(B1120,ARTICULOS!$D$10:$I$699,6)</f>
        <v>#N/A</v>
      </c>
      <c r="D1120" s="212"/>
      <c r="E1120" s="75" t="e">
        <f t="shared" si="38"/>
        <v>#N/A</v>
      </c>
      <c r="F1120" s="80"/>
      <c r="G1120" s="81"/>
      <c r="H1120" s="78"/>
      <c r="I1120" s="78"/>
      <c r="J1120" s="78"/>
    </row>
    <row r="1121" spans="1:10" x14ac:dyDescent="0.2">
      <c r="A1121" s="84">
        <f t="shared" si="37"/>
        <v>1115</v>
      </c>
      <c r="B1121" s="85" t="e">
        <f>+MATCH(D1121,ARTICULOS!$F$10:$F$699,0)</f>
        <v>#N/A</v>
      </c>
      <c r="C1121" s="86" t="e">
        <f>+VLOOKUP(B1121,ARTICULOS!$D$10:$I$699,6)</f>
        <v>#N/A</v>
      </c>
      <c r="D1121" s="212"/>
      <c r="E1121" s="75" t="e">
        <f t="shared" si="38"/>
        <v>#N/A</v>
      </c>
      <c r="F1121" s="80"/>
      <c r="G1121" s="81"/>
      <c r="H1121" s="78"/>
      <c r="I1121" s="78"/>
      <c r="J1121" s="78"/>
    </row>
    <row r="1122" spans="1:10" x14ac:dyDescent="0.2">
      <c r="A1122" s="84">
        <f t="shared" si="37"/>
        <v>1116</v>
      </c>
      <c r="B1122" s="85" t="e">
        <f>+MATCH(D1122,ARTICULOS!$F$10:$F$699,0)</f>
        <v>#N/A</v>
      </c>
      <c r="C1122" s="86" t="e">
        <f>+VLOOKUP(B1122,ARTICULOS!$D$10:$I$699,6)</f>
        <v>#N/A</v>
      </c>
      <c r="D1122" s="212"/>
      <c r="E1122" s="75" t="e">
        <f t="shared" si="38"/>
        <v>#N/A</v>
      </c>
      <c r="F1122" s="80"/>
      <c r="G1122" s="81"/>
      <c r="H1122" s="78"/>
      <c r="I1122" s="78"/>
      <c r="J1122" s="78"/>
    </row>
    <row r="1123" spans="1:10" x14ac:dyDescent="0.2">
      <c r="A1123" s="84">
        <f t="shared" si="37"/>
        <v>1117</v>
      </c>
      <c r="B1123" s="85" t="e">
        <f>+MATCH(D1123,ARTICULOS!$F$10:$F$699,0)</f>
        <v>#N/A</v>
      </c>
      <c r="C1123" s="86" t="e">
        <f>+VLOOKUP(B1123,ARTICULOS!$D$10:$I$699,6)</f>
        <v>#N/A</v>
      </c>
      <c r="D1123" s="212"/>
      <c r="E1123" s="75" t="e">
        <f t="shared" si="38"/>
        <v>#N/A</v>
      </c>
      <c r="F1123" s="80"/>
      <c r="G1123" s="81"/>
      <c r="H1123" s="78"/>
      <c r="I1123" s="78"/>
      <c r="J1123" s="78"/>
    </row>
    <row r="1124" spans="1:10" x14ac:dyDescent="0.2">
      <c r="A1124" s="84">
        <f t="shared" si="37"/>
        <v>1118</v>
      </c>
      <c r="B1124" s="85" t="e">
        <f>+MATCH(D1124,ARTICULOS!$F$10:$F$699,0)</f>
        <v>#N/A</v>
      </c>
      <c r="C1124" s="86" t="e">
        <f>+VLOOKUP(B1124,ARTICULOS!$D$10:$I$699,6)</f>
        <v>#N/A</v>
      </c>
      <c r="D1124" s="212"/>
      <c r="E1124" s="75" t="e">
        <f t="shared" si="38"/>
        <v>#N/A</v>
      </c>
      <c r="F1124" s="80"/>
      <c r="G1124" s="81"/>
      <c r="H1124" s="78"/>
      <c r="I1124" s="78"/>
      <c r="J1124" s="78"/>
    </row>
    <row r="1125" spans="1:10" x14ac:dyDescent="0.2">
      <c r="A1125" s="84">
        <f t="shared" si="37"/>
        <v>1119</v>
      </c>
      <c r="B1125" s="85" t="e">
        <f>+MATCH(D1125,ARTICULOS!$F$10:$F$699,0)</f>
        <v>#N/A</v>
      </c>
      <c r="C1125" s="86" t="e">
        <f>+VLOOKUP(B1125,ARTICULOS!$D$10:$I$699,6)</f>
        <v>#N/A</v>
      </c>
      <c r="D1125" s="212"/>
      <c r="E1125" s="75" t="e">
        <f t="shared" si="38"/>
        <v>#N/A</v>
      </c>
      <c r="F1125" s="80"/>
      <c r="G1125" s="81"/>
      <c r="H1125" s="78"/>
      <c r="I1125" s="78"/>
      <c r="J1125" s="78"/>
    </row>
    <row r="1126" spans="1:10" x14ac:dyDescent="0.2">
      <c r="A1126" s="84">
        <f t="shared" si="37"/>
        <v>1120</v>
      </c>
      <c r="B1126" s="85" t="e">
        <f>+MATCH(D1126,ARTICULOS!$F$10:$F$699,0)</f>
        <v>#N/A</v>
      </c>
      <c r="C1126" s="86" t="e">
        <f>+VLOOKUP(B1126,ARTICULOS!$D$10:$I$699,6)</f>
        <v>#N/A</v>
      </c>
      <c r="D1126" s="212"/>
      <c r="E1126" s="75" t="e">
        <f t="shared" si="38"/>
        <v>#N/A</v>
      </c>
      <c r="F1126" s="80"/>
      <c r="G1126" s="81"/>
      <c r="H1126" s="78"/>
      <c r="I1126" s="78"/>
      <c r="J1126" s="78"/>
    </row>
    <row r="1127" spans="1:10" x14ac:dyDescent="0.2">
      <c r="A1127" s="84">
        <f t="shared" si="37"/>
        <v>1121</v>
      </c>
      <c r="B1127" s="85" t="e">
        <f>+MATCH(D1127,ARTICULOS!$F$10:$F$699,0)</f>
        <v>#N/A</v>
      </c>
      <c r="C1127" s="86" t="e">
        <f>+VLOOKUP(B1127,ARTICULOS!$D$10:$I$699,6)</f>
        <v>#N/A</v>
      </c>
      <c r="D1127" s="212"/>
      <c r="E1127" s="75" t="e">
        <f t="shared" si="38"/>
        <v>#N/A</v>
      </c>
      <c r="F1127" s="80"/>
      <c r="G1127" s="81"/>
      <c r="H1127" s="78"/>
      <c r="I1127" s="78"/>
      <c r="J1127" s="78"/>
    </row>
    <row r="1128" spans="1:10" x14ac:dyDescent="0.2">
      <c r="A1128" s="84">
        <f t="shared" si="37"/>
        <v>1122</v>
      </c>
      <c r="B1128" s="85" t="e">
        <f>+MATCH(D1128,ARTICULOS!$F$10:$F$699,0)</f>
        <v>#N/A</v>
      </c>
      <c r="C1128" s="86" t="e">
        <f>+VLOOKUP(B1128,ARTICULOS!$D$10:$I$699,6)</f>
        <v>#N/A</v>
      </c>
      <c r="D1128" s="212"/>
      <c r="E1128" s="75" t="e">
        <f t="shared" si="38"/>
        <v>#N/A</v>
      </c>
      <c r="F1128" s="80"/>
      <c r="G1128" s="81"/>
      <c r="H1128" s="78"/>
      <c r="I1128" s="78"/>
      <c r="J1128" s="78"/>
    </row>
    <row r="1129" spans="1:10" x14ac:dyDescent="0.2">
      <c r="A1129" s="84">
        <f t="shared" ref="A1129:A1192" si="39">ROW()-6</f>
        <v>1123</v>
      </c>
      <c r="B1129" s="85" t="e">
        <f>+MATCH(D1129,ARTICULOS!$F$10:$F$699,0)</f>
        <v>#N/A</v>
      </c>
      <c r="C1129" s="86" t="e">
        <f>+VLOOKUP(B1129,ARTICULOS!$D$10:$I$699,6)</f>
        <v>#N/A</v>
      </c>
      <c r="D1129" s="212"/>
      <c r="E1129" s="75" t="e">
        <f t="shared" si="38"/>
        <v>#N/A</v>
      </c>
      <c r="F1129" s="80"/>
      <c r="G1129" s="81"/>
      <c r="H1129" s="78"/>
      <c r="I1129" s="78"/>
      <c r="J1129" s="78"/>
    </row>
    <row r="1130" spans="1:10" x14ac:dyDescent="0.2">
      <c r="A1130" s="84">
        <f t="shared" si="39"/>
        <v>1124</v>
      </c>
      <c r="B1130" s="85" t="e">
        <f>+MATCH(D1130,ARTICULOS!$F$10:$F$699,0)</f>
        <v>#N/A</v>
      </c>
      <c r="C1130" s="86" t="e">
        <f>+VLOOKUP(B1130,ARTICULOS!$D$10:$I$699,6)</f>
        <v>#N/A</v>
      </c>
      <c r="D1130" s="212"/>
      <c r="E1130" s="75" t="e">
        <f t="shared" si="38"/>
        <v>#N/A</v>
      </c>
      <c r="F1130" s="80"/>
      <c r="G1130" s="81"/>
      <c r="H1130" s="78"/>
      <c r="I1130" s="78"/>
      <c r="J1130" s="78"/>
    </row>
    <row r="1131" spans="1:10" x14ac:dyDescent="0.2">
      <c r="A1131" s="84">
        <f t="shared" si="39"/>
        <v>1125</v>
      </c>
      <c r="B1131" s="85" t="e">
        <f>+MATCH(D1131,ARTICULOS!$F$10:$F$699,0)</f>
        <v>#N/A</v>
      </c>
      <c r="C1131" s="86" t="e">
        <f>+VLOOKUP(B1131,ARTICULOS!$D$10:$I$699,6)</f>
        <v>#N/A</v>
      </c>
      <c r="D1131" s="212"/>
      <c r="E1131" s="75" t="e">
        <f t="shared" si="38"/>
        <v>#N/A</v>
      </c>
      <c r="F1131" s="80"/>
      <c r="G1131" s="81"/>
      <c r="H1131" s="78"/>
      <c r="I1131" s="78"/>
      <c r="J1131" s="78"/>
    </row>
    <row r="1132" spans="1:10" x14ac:dyDescent="0.2">
      <c r="A1132" s="84">
        <f t="shared" si="39"/>
        <v>1126</v>
      </c>
      <c r="B1132" s="85" t="e">
        <f>+MATCH(D1132,ARTICULOS!$F$10:$F$699,0)</f>
        <v>#N/A</v>
      </c>
      <c r="C1132" s="86" t="e">
        <f>+VLOOKUP(B1132,ARTICULOS!$D$10:$I$699,6)</f>
        <v>#N/A</v>
      </c>
      <c r="D1132" s="212"/>
      <c r="E1132" s="75" t="e">
        <f t="shared" si="38"/>
        <v>#N/A</v>
      </c>
      <c r="F1132" s="80"/>
      <c r="G1132" s="81"/>
      <c r="H1132" s="78"/>
      <c r="I1132" s="78"/>
      <c r="J1132" s="78"/>
    </row>
    <row r="1133" spans="1:10" x14ac:dyDescent="0.2">
      <c r="A1133" s="84">
        <f t="shared" si="39"/>
        <v>1127</v>
      </c>
      <c r="B1133" s="85" t="e">
        <f>+MATCH(D1133,ARTICULOS!$F$10:$F$699,0)</f>
        <v>#N/A</v>
      </c>
      <c r="C1133" s="86" t="e">
        <f>+VLOOKUP(B1133,ARTICULOS!$D$10:$I$699,6)</f>
        <v>#N/A</v>
      </c>
      <c r="D1133" s="212"/>
      <c r="E1133" s="75" t="e">
        <f t="shared" si="38"/>
        <v>#N/A</v>
      </c>
      <c r="F1133" s="80"/>
      <c r="G1133" s="81"/>
      <c r="H1133" s="78"/>
      <c r="I1133" s="78"/>
      <c r="J1133" s="78"/>
    </row>
    <row r="1134" spans="1:10" x14ac:dyDescent="0.2">
      <c r="A1134" s="84">
        <f t="shared" si="39"/>
        <v>1128</v>
      </c>
      <c r="B1134" s="85" t="e">
        <f>+MATCH(D1134,ARTICULOS!$F$10:$F$699,0)</f>
        <v>#N/A</v>
      </c>
      <c r="C1134" s="86" t="e">
        <f>+VLOOKUP(B1134,ARTICULOS!$D$10:$I$699,6)</f>
        <v>#N/A</v>
      </c>
      <c r="D1134" s="212"/>
      <c r="E1134" s="75" t="e">
        <f t="shared" si="38"/>
        <v>#N/A</v>
      </c>
      <c r="F1134" s="80"/>
      <c r="G1134" s="81"/>
      <c r="H1134" s="78"/>
      <c r="I1134" s="78"/>
      <c r="J1134" s="78"/>
    </row>
    <row r="1135" spans="1:10" x14ac:dyDescent="0.2">
      <c r="A1135" s="84">
        <f t="shared" si="39"/>
        <v>1129</v>
      </c>
      <c r="B1135" s="85" t="e">
        <f>+MATCH(D1135,ARTICULOS!$F$10:$F$699,0)</f>
        <v>#N/A</v>
      </c>
      <c r="C1135" s="86" t="e">
        <f>+VLOOKUP(B1135,ARTICULOS!$D$10:$I$699,6)</f>
        <v>#N/A</v>
      </c>
      <c r="D1135" s="212"/>
      <c r="E1135" s="75" t="e">
        <f t="shared" si="38"/>
        <v>#N/A</v>
      </c>
      <c r="F1135" s="80"/>
      <c r="G1135" s="81"/>
      <c r="H1135" s="78"/>
      <c r="I1135" s="78"/>
      <c r="J1135" s="78"/>
    </row>
    <row r="1136" spans="1:10" x14ac:dyDescent="0.2">
      <c r="A1136" s="84">
        <f t="shared" si="39"/>
        <v>1130</v>
      </c>
      <c r="B1136" s="85" t="e">
        <f>+MATCH(D1136,ARTICULOS!$F$10:$F$699,0)</f>
        <v>#N/A</v>
      </c>
      <c r="C1136" s="86" t="e">
        <f>+VLOOKUP(B1136,ARTICULOS!$D$10:$I$699,6)</f>
        <v>#N/A</v>
      </c>
      <c r="D1136" s="212"/>
      <c r="E1136" s="75" t="e">
        <f t="shared" si="38"/>
        <v>#N/A</v>
      </c>
      <c r="F1136" s="80"/>
      <c r="G1136" s="81"/>
      <c r="H1136" s="78"/>
      <c r="I1136" s="78"/>
      <c r="J1136" s="78"/>
    </row>
    <row r="1137" spans="1:10" x14ac:dyDescent="0.2">
      <c r="A1137" s="84">
        <f t="shared" si="39"/>
        <v>1131</v>
      </c>
      <c r="B1137" s="85" t="e">
        <f>+MATCH(D1137,ARTICULOS!$F$10:$F$699,0)</f>
        <v>#N/A</v>
      </c>
      <c r="C1137" s="86" t="e">
        <f>+VLOOKUP(B1137,ARTICULOS!$D$10:$I$699,6)</f>
        <v>#N/A</v>
      </c>
      <c r="D1137" s="212"/>
      <c r="E1137" s="75" t="e">
        <f t="shared" si="38"/>
        <v>#N/A</v>
      </c>
      <c r="F1137" s="80"/>
      <c r="G1137" s="81"/>
      <c r="H1137" s="78"/>
      <c r="I1137" s="78"/>
      <c r="J1137" s="78"/>
    </row>
    <row r="1138" spans="1:10" x14ac:dyDescent="0.2">
      <c r="A1138" s="84">
        <f t="shared" si="39"/>
        <v>1132</v>
      </c>
      <c r="B1138" s="85" t="e">
        <f>+MATCH(D1138,ARTICULOS!$F$10:$F$699,0)</f>
        <v>#N/A</v>
      </c>
      <c r="C1138" s="86" t="e">
        <f>+VLOOKUP(B1138,ARTICULOS!$D$10:$I$699,6)</f>
        <v>#N/A</v>
      </c>
      <c r="D1138" s="212"/>
      <c r="E1138" s="75" t="e">
        <f t="shared" si="38"/>
        <v>#N/A</v>
      </c>
      <c r="F1138" s="80"/>
      <c r="G1138" s="81"/>
      <c r="H1138" s="78"/>
      <c r="I1138" s="78"/>
      <c r="J1138" s="78"/>
    </row>
    <row r="1139" spans="1:10" x14ac:dyDescent="0.2">
      <c r="A1139" s="84">
        <f t="shared" si="39"/>
        <v>1133</v>
      </c>
      <c r="B1139" s="85" t="e">
        <f>+MATCH(D1139,ARTICULOS!$F$10:$F$699,0)</f>
        <v>#N/A</v>
      </c>
      <c r="C1139" s="86" t="e">
        <f>+VLOOKUP(B1139,ARTICULOS!$D$10:$I$699,6)</f>
        <v>#N/A</v>
      </c>
      <c r="D1139" s="212"/>
      <c r="E1139" s="75" t="e">
        <f t="shared" si="38"/>
        <v>#N/A</v>
      </c>
      <c r="F1139" s="80"/>
      <c r="G1139" s="81"/>
      <c r="H1139" s="78"/>
      <c r="I1139" s="78"/>
      <c r="J1139" s="78"/>
    </row>
    <row r="1140" spans="1:10" x14ac:dyDescent="0.2">
      <c r="A1140" s="84">
        <f t="shared" si="39"/>
        <v>1134</v>
      </c>
      <c r="B1140" s="85" t="e">
        <f>+MATCH(D1140,ARTICULOS!$F$10:$F$699,0)</f>
        <v>#N/A</v>
      </c>
      <c r="C1140" s="86" t="e">
        <f>+VLOOKUP(B1140,ARTICULOS!$D$10:$I$699,6)</f>
        <v>#N/A</v>
      </c>
      <c r="D1140" s="212"/>
      <c r="E1140" s="75" t="e">
        <f t="shared" si="38"/>
        <v>#N/A</v>
      </c>
      <c r="F1140" s="80"/>
      <c r="G1140" s="81"/>
      <c r="H1140" s="78"/>
      <c r="I1140" s="78"/>
      <c r="J1140" s="78"/>
    </row>
    <row r="1141" spans="1:10" x14ac:dyDescent="0.2">
      <c r="A1141" s="84">
        <f t="shared" si="39"/>
        <v>1135</v>
      </c>
      <c r="B1141" s="85" t="e">
        <f>+MATCH(D1141,ARTICULOS!$F$10:$F$699,0)</f>
        <v>#N/A</v>
      </c>
      <c r="C1141" s="86" t="e">
        <f>+VLOOKUP(B1141,ARTICULOS!$D$10:$I$699,6)</f>
        <v>#N/A</v>
      </c>
      <c r="D1141" s="212"/>
      <c r="E1141" s="75" t="e">
        <f t="shared" si="38"/>
        <v>#N/A</v>
      </c>
      <c r="F1141" s="80"/>
      <c r="G1141" s="81"/>
      <c r="H1141" s="78"/>
      <c r="I1141" s="78"/>
      <c r="J1141" s="78"/>
    </row>
    <row r="1142" spans="1:10" x14ac:dyDescent="0.2">
      <c r="A1142" s="84">
        <f t="shared" si="39"/>
        <v>1136</v>
      </c>
      <c r="B1142" s="85" t="e">
        <f>+MATCH(D1142,ARTICULOS!$F$10:$F$699,0)</f>
        <v>#N/A</v>
      </c>
      <c r="C1142" s="86" t="e">
        <f>+VLOOKUP(B1142,ARTICULOS!$D$10:$I$699,6)</f>
        <v>#N/A</v>
      </c>
      <c r="D1142" s="212"/>
      <c r="E1142" s="75" t="e">
        <f t="shared" si="38"/>
        <v>#N/A</v>
      </c>
      <c r="F1142" s="80"/>
      <c r="G1142" s="81"/>
      <c r="H1142" s="78"/>
      <c r="I1142" s="78"/>
      <c r="J1142" s="78"/>
    </row>
    <row r="1143" spans="1:10" x14ac:dyDescent="0.2">
      <c r="A1143" s="84">
        <f t="shared" si="39"/>
        <v>1137</v>
      </c>
      <c r="B1143" s="85" t="e">
        <f>+MATCH(D1143,ARTICULOS!$F$10:$F$699,0)</f>
        <v>#N/A</v>
      </c>
      <c r="C1143" s="86" t="e">
        <f>+VLOOKUP(B1143,ARTICULOS!$D$10:$I$699,6)</f>
        <v>#N/A</v>
      </c>
      <c r="D1143" s="212"/>
      <c r="E1143" s="75" t="e">
        <f t="shared" si="38"/>
        <v>#N/A</v>
      </c>
      <c r="F1143" s="80"/>
      <c r="G1143" s="81"/>
      <c r="H1143" s="78"/>
      <c r="I1143" s="78"/>
      <c r="J1143" s="78"/>
    </row>
    <row r="1144" spans="1:10" x14ac:dyDescent="0.2">
      <c r="A1144" s="84">
        <f t="shared" si="39"/>
        <v>1138</v>
      </c>
      <c r="B1144" s="85" t="e">
        <f>+MATCH(D1144,ARTICULOS!$F$10:$F$699,0)</f>
        <v>#N/A</v>
      </c>
      <c r="C1144" s="86" t="e">
        <f>+VLOOKUP(B1144,ARTICULOS!$D$10:$I$699,6)</f>
        <v>#N/A</v>
      </c>
      <c r="D1144" s="212"/>
      <c r="E1144" s="75" t="e">
        <f t="shared" si="38"/>
        <v>#N/A</v>
      </c>
      <c r="F1144" s="80"/>
      <c r="G1144" s="81"/>
      <c r="H1144" s="78"/>
      <c r="I1144" s="78"/>
      <c r="J1144" s="78"/>
    </row>
    <row r="1145" spans="1:10" x14ac:dyDescent="0.2">
      <c r="A1145" s="84">
        <f t="shared" si="39"/>
        <v>1139</v>
      </c>
      <c r="B1145" s="85" t="e">
        <f>+MATCH(D1145,ARTICULOS!$F$10:$F$699,0)</f>
        <v>#N/A</v>
      </c>
      <c r="C1145" s="86" t="e">
        <f>+VLOOKUP(B1145,ARTICULOS!$D$10:$I$699,6)</f>
        <v>#N/A</v>
      </c>
      <c r="D1145" s="212"/>
      <c r="E1145" s="75" t="e">
        <f t="shared" si="38"/>
        <v>#N/A</v>
      </c>
      <c r="F1145" s="80"/>
      <c r="G1145" s="81"/>
      <c r="H1145" s="78"/>
      <c r="I1145" s="78"/>
      <c r="J1145" s="78"/>
    </row>
    <row r="1146" spans="1:10" x14ac:dyDescent="0.2">
      <c r="A1146" s="84">
        <f t="shared" si="39"/>
        <v>1140</v>
      </c>
      <c r="B1146" s="85" t="e">
        <f>+MATCH(D1146,ARTICULOS!$F$10:$F$699,0)</f>
        <v>#N/A</v>
      </c>
      <c r="C1146" s="86" t="e">
        <f>+VLOOKUP(B1146,ARTICULOS!$D$10:$I$699,6)</f>
        <v>#N/A</v>
      </c>
      <c r="D1146" s="212"/>
      <c r="E1146" s="75" t="e">
        <f t="shared" si="38"/>
        <v>#N/A</v>
      </c>
      <c r="F1146" s="80"/>
      <c r="G1146" s="81"/>
      <c r="H1146" s="78"/>
      <c r="I1146" s="78"/>
      <c r="J1146" s="78"/>
    </row>
    <row r="1147" spans="1:10" x14ac:dyDescent="0.2">
      <c r="A1147" s="84">
        <f t="shared" si="39"/>
        <v>1141</v>
      </c>
      <c r="B1147" s="85" t="e">
        <f>+MATCH(D1147,ARTICULOS!$F$10:$F$699,0)</f>
        <v>#N/A</v>
      </c>
      <c r="C1147" s="86" t="e">
        <f>+VLOOKUP(B1147,ARTICULOS!$D$10:$I$699,6)</f>
        <v>#N/A</v>
      </c>
      <c r="D1147" s="212"/>
      <c r="E1147" s="75" t="e">
        <f t="shared" si="38"/>
        <v>#N/A</v>
      </c>
      <c r="F1147" s="80"/>
      <c r="G1147" s="81"/>
      <c r="H1147" s="78"/>
      <c r="I1147" s="78"/>
      <c r="J1147" s="78"/>
    </row>
    <row r="1148" spans="1:10" x14ac:dyDescent="0.2">
      <c r="A1148" s="84">
        <f t="shared" si="39"/>
        <v>1142</v>
      </c>
      <c r="B1148" s="85" t="e">
        <f>+MATCH(D1148,ARTICULOS!$F$10:$F$699,0)</f>
        <v>#N/A</v>
      </c>
      <c r="C1148" s="86" t="e">
        <f>+VLOOKUP(B1148,ARTICULOS!$D$10:$I$699,6)</f>
        <v>#N/A</v>
      </c>
      <c r="D1148" s="212"/>
      <c r="E1148" s="75" t="e">
        <f t="shared" si="38"/>
        <v>#N/A</v>
      </c>
      <c r="F1148" s="80"/>
      <c r="G1148" s="81"/>
      <c r="H1148" s="78"/>
      <c r="I1148" s="78"/>
      <c r="J1148" s="78"/>
    </row>
    <row r="1149" spans="1:10" x14ac:dyDescent="0.2">
      <c r="A1149" s="84">
        <f t="shared" si="39"/>
        <v>1143</v>
      </c>
      <c r="B1149" s="85" t="e">
        <f>+MATCH(D1149,ARTICULOS!$F$10:$F$699,0)</f>
        <v>#N/A</v>
      </c>
      <c r="C1149" s="86" t="e">
        <f>+VLOOKUP(B1149,ARTICULOS!$D$10:$I$699,6)</f>
        <v>#N/A</v>
      </c>
      <c r="D1149" s="212"/>
      <c r="E1149" s="75" t="e">
        <f t="shared" si="38"/>
        <v>#N/A</v>
      </c>
      <c r="F1149" s="80"/>
      <c r="G1149" s="81"/>
      <c r="H1149" s="78"/>
      <c r="I1149" s="78"/>
      <c r="J1149" s="78"/>
    </row>
    <row r="1150" spans="1:10" x14ac:dyDescent="0.2">
      <c r="A1150" s="84">
        <f t="shared" si="39"/>
        <v>1144</v>
      </c>
      <c r="B1150" s="85" t="e">
        <f>+MATCH(D1150,ARTICULOS!$F$10:$F$699,0)</f>
        <v>#N/A</v>
      </c>
      <c r="C1150" s="86" t="e">
        <f>+VLOOKUP(B1150,ARTICULOS!$D$10:$I$699,6)</f>
        <v>#N/A</v>
      </c>
      <c r="D1150" s="212"/>
      <c r="E1150" s="75" t="e">
        <f t="shared" si="38"/>
        <v>#N/A</v>
      </c>
      <c r="F1150" s="80"/>
      <c r="G1150" s="81"/>
      <c r="H1150" s="78"/>
      <c r="I1150" s="78"/>
      <c r="J1150" s="78"/>
    </row>
    <row r="1151" spans="1:10" x14ac:dyDescent="0.2">
      <c r="A1151" s="84">
        <f t="shared" si="39"/>
        <v>1145</v>
      </c>
      <c r="B1151" s="85" t="e">
        <f>+MATCH(D1151,ARTICULOS!$F$10:$F$699,0)</f>
        <v>#N/A</v>
      </c>
      <c r="C1151" s="86" t="e">
        <f>+VLOOKUP(B1151,ARTICULOS!$D$10:$I$699,6)</f>
        <v>#N/A</v>
      </c>
      <c r="D1151" s="212"/>
      <c r="E1151" s="75" t="e">
        <f t="shared" si="38"/>
        <v>#N/A</v>
      </c>
      <c r="F1151" s="80"/>
      <c r="G1151" s="81"/>
      <c r="H1151" s="78"/>
      <c r="I1151" s="78"/>
      <c r="J1151" s="78"/>
    </row>
    <row r="1152" spans="1:10" x14ac:dyDescent="0.2">
      <c r="A1152" s="84">
        <f t="shared" si="39"/>
        <v>1146</v>
      </c>
      <c r="B1152" s="85" t="e">
        <f>+MATCH(D1152,ARTICULOS!$F$10:$F$699,0)</f>
        <v>#N/A</v>
      </c>
      <c r="C1152" s="86" t="e">
        <f>+VLOOKUP(B1152,ARTICULOS!$D$10:$I$699,6)</f>
        <v>#N/A</v>
      </c>
      <c r="D1152" s="212"/>
      <c r="E1152" s="75" t="e">
        <f t="shared" si="38"/>
        <v>#N/A</v>
      </c>
      <c r="F1152" s="80"/>
      <c r="G1152" s="81"/>
      <c r="H1152" s="78"/>
      <c r="I1152" s="78"/>
      <c r="J1152" s="78"/>
    </row>
    <row r="1153" spans="1:10" x14ac:dyDescent="0.2">
      <c r="A1153" s="84">
        <f t="shared" si="39"/>
        <v>1147</v>
      </c>
      <c r="B1153" s="85" t="e">
        <f>+MATCH(D1153,ARTICULOS!$F$10:$F$699,0)</f>
        <v>#N/A</v>
      </c>
      <c r="C1153" s="86" t="e">
        <f>+VLOOKUP(B1153,ARTICULOS!$D$10:$I$699,6)</f>
        <v>#N/A</v>
      </c>
      <c r="D1153" s="212"/>
      <c r="E1153" s="75" t="e">
        <f t="shared" si="38"/>
        <v>#N/A</v>
      </c>
      <c r="F1153" s="80"/>
      <c r="G1153" s="81"/>
      <c r="H1153" s="78"/>
      <c r="I1153" s="78"/>
      <c r="J1153" s="78"/>
    </row>
    <row r="1154" spans="1:10" x14ac:dyDescent="0.2">
      <c r="A1154" s="84">
        <f t="shared" si="39"/>
        <v>1148</v>
      </c>
      <c r="B1154" s="85" t="e">
        <f>+MATCH(D1154,ARTICULOS!$F$10:$F$699,0)</f>
        <v>#N/A</v>
      </c>
      <c r="C1154" s="86" t="e">
        <f>+VLOOKUP(B1154,ARTICULOS!$D$10:$I$699,6)</f>
        <v>#N/A</v>
      </c>
      <c r="D1154" s="212"/>
      <c r="E1154" s="75" t="e">
        <f t="shared" si="38"/>
        <v>#N/A</v>
      </c>
      <c r="F1154" s="80"/>
      <c r="G1154" s="81"/>
      <c r="H1154" s="78"/>
      <c r="I1154" s="78"/>
      <c r="J1154" s="78"/>
    </row>
    <row r="1155" spans="1:10" x14ac:dyDescent="0.2">
      <c r="A1155" s="84">
        <f t="shared" si="39"/>
        <v>1149</v>
      </c>
      <c r="B1155" s="85" t="e">
        <f>+MATCH(D1155,ARTICULOS!$F$10:$F$699,0)</f>
        <v>#N/A</v>
      </c>
      <c r="C1155" s="86" t="e">
        <f>+VLOOKUP(B1155,ARTICULOS!$D$10:$I$699,6)</f>
        <v>#N/A</v>
      </c>
      <c r="D1155" s="212"/>
      <c r="E1155" s="75" t="e">
        <f t="shared" si="38"/>
        <v>#N/A</v>
      </c>
      <c r="F1155" s="80"/>
      <c r="G1155" s="81"/>
      <c r="H1155" s="78"/>
      <c r="I1155" s="78"/>
      <c r="J1155" s="78"/>
    </row>
    <row r="1156" spans="1:10" x14ac:dyDescent="0.2">
      <c r="A1156" s="84">
        <f t="shared" si="39"/>
        <v>1150</v>
      </c>
      <c r="B1156" s="85" t="e">
        <f>+MATCH(D1156,ARTICULOS!$F$10:$F$699,0)</f>
        <v>#N/A</v>
      </c>
      <c r="C1156" s="86" t="e">
        <f>+VLOOKUP(B1156,ARTICULOS!$D$10:$I$699,6)</f>
        <v>#N/A</v>
      </c>
      <c r="D1156" s="212"/>
      <c r="E1156" s="75" t="e">
        <f t="shared" si="38"/>
        <v>#N/A</v>
      </c>
      <c r="F1156" s="80"/>
      <c r="G1156" s="81"/>
      <c r="H1156" s="78"/>
      <c r="I1156" s="78"/>
      <c r="J1156" s="78"/>
    </row>
    <row r="1157" spans="1:10" x14ac:dyDescent="0.2">
      <c r="A1157" s="84">
        <f t="shared" si="39"/>
        <v>1151</v>
      </c>
      <c r="B1157" s="85" t="e">
        <f>+MATCH(D1157,ARTICULOS!$F$10:$F$699,0)</f>
        <v>#N/A</v>
      </c>
      <c r="C1157" s="86" t="e">
        <f>+VLOOKUP(B1157,ARTICULOS!$D$10:$I$699,6)</f>
        <v>#N/A</v>
      </c>
      <c r="D1157" s="212"/>
      <c r="E1157" s="75" t="e">
        <f t="shared" si="38"/>
        <v>#N/A</v>
      </c>
      <c r="F1157" s="80"/>
      <c r="G1157" s="81"/>
      <c r="H1157" s="78"/>
      <c r="I1157" s="78"/>
      <c r="J1157" s="78"/>
    </row>
    <row r="1158" spans="1:10" x14ac:dyDescent="0.2">
      <c r="A1158" s="84">
        <f t="shared" si="39"/>
        <v>1152</v>
      </c>
      <c r="B1158" s="85" t="e">
        <f>+MATCH(D1158,ARTICULOS!$F$10:$F$699,0)</f>
        <v>#N/A</v>
      </c>
      <c r="C1158" s="86" t="e">
        <f>+VLOOKUP(B1158,ARTICULOS!$D$10:$I$699,6)</f>
        <v>#N/A</v>
      </c>
      <c r="D1158" s="212"/>
      <c r="E1158" s="75" t="e">
        <f t="shared" si="38"/>
        <v>#N/A</v>
      </c>
      <c r="F1158" s="80"/>
      <c r="G1158" s="81"/>
      <c r="H1158" s="78"/>
      <c r="I1158" s="78"/>
      <c r="J1158" s="78"/>
    </row>
    <row r="1159" spans="1:10" x14ac:dyDescent="0.2">
      <c r="A1159" s="84">
        <f t="shared" si="39"/>
        <v>1153</v>
      </c>
      <c r="B1159" s="85" t="e">
        <f>+MATCH(D1159,ARTICULOS!$F$10:$F$699,0)</f>
        <v>#N/A</v>
      </c>
      <c r="C1159" s="86" t="e">
        <f>+VLOOKUP(B1159,ARTICULOS!$D$10:$I$699,6)</f>
        <v>#N/A</v>
      </c>
      <c r="D1159" s="212"/>
      <c r="E1159" s="75" t="e">
        <f t="shared" si="38"/>
        <v>#N/A</v>
      </c>
      <c r="F1159" s="80"/>
      <c r="G1159" s="81"/>
      <c r="H1159" s="78"/>
      <c r="I1159" s="78"/>
      <c r="J1159" s="78"/>
    </row>
    <row r="1160" spans="1:10" x14ac:dyDescent="0.2">
      <c r="A1160" s="84">
        <f t="shared" si="39"/>
        <v>1154</v>
      </c>
      <c r="B1160" s="85" t="e">
        <f>+MATCH(D1160,ARTICULOS!$F$10:$F$699,0)</f>
        <v>#N/A</v>
      </c>
      <c r="C1160" s="86" t="e">
        <f>+VLOOKUP(B1160,ARTICULOS!$D$10:$I$699,6)</f>
        <v>#N/A</v>
      </c>
      <c r="D1160" s="212"/>
      <c r="E1160" s="75" t="e">
        <f t="shared" si="38"/>
        <v>#N/A</v>
      </c>
      <c r="F1160" s="80"/>
      <c r="G1160" s="81"/>
      <c r="H1160" s="78"/>
      <c r="I1160" s="78"/>
      <c r="J1160" s="78"/>
    </row>
    <row r="1161" spans="1:10" x14ac:dyDescent="0.2">
      <c r="A1161" s="84">
        <f t="shared" si="39"/>
        <v>1155</v>
      </c>
      <c r="B1161" s="85" t="e">
        <f>+MATCH(D1161,ARTICULOS!$F$10:$F$699,0)</f>
        <v>#N/A</v>
      </c>
      <c r="C1161" s="86" t="e">
        <f>+VLOOKUP(B1161,ARTICULOS!$D$10:$I$699,6)</f>
        <v>#N/A</v>
      </c>
      <c r="D1161" s="212"/>
      <c r="E1161" s="75" t="e">
        <f t="shared" si="38"/>
        <v>#N/A</v>
      </c>
      <c r="F1161" s="80"/>
      <c r="G1161" s="81"/>
      <c r="H1161" s="78"/>
      <c r="I1161" s="78"/>
      <c r="J1161" s="78"/>
    </row>
    <row r="1162" spans="1:10" x14ac:dyDescent="0.2">
      <c r="A1162" s="84">
        <f t="shared" si="39"/>
        <v>1156</v>
      </c>
      <c r="B1162" s="85" t="e">
        <f>+MATCH(D1162,ARTICULOS!$F$10:$F$699,0)</f>
        <v>#N/A</v>
      </c>
      <c r="C1162" s="86" t="e">
        <f>+VLOOKUP(B1162,ARTICULOS!$D$10:$I$699,6)</f>
        <v>#N/A</v>
      </c>
      <c r="D1162" s="212"/>
      <c r="E1162" s="75" t="e">
        <f t="shared" si="38"/>
        <v>#N/A</v>
      </c>
      <c r="F1162" s="80"/>
      <c r="G1162" s="81"/>
      <c r="H1162" s="78"/>
      <c r="I1162" s="78"/>
      <c r="J1162" s="78"/>
    </row>
    <row r="1163" spans="1:10" x14ac:dyDescent="0.2">
      <c r="A1163" s="84">
        <f t="shared" si="39"/>
        <v>1157</v>
      </c>
      <c r="B1163" s="85" t="e">
        <f>+MATCH(D1163,ARTICULOS!$F$10:$F$699,0)</f>
        <v>#N/A</v>
      </c>
      <c r="C1163" s="86" t="e">
        <f>+VLOOKUP(B1163,ARTICULOS!$D$10:$I$699,6)</f>
        <v>#N/A</v>
      </c>
      <c r="D1163" s="212"/>
      <c r="E1163" s="75" t="e">
        <f t="shared" ref="E1163:E1226" si="40">+C1163&amp;F1163</f>
        <v>#N/A</v>
      </c>
      <c r="F1163" s="80"/>
      <c r="G1163" s="81"/>
      <c r="H1163" s="78"/>
      <c r="I1163" s="78"/>
      <c r="J1163" s="78"/>
    </row>
    <row r="1164" spans="1:10" x14ac:dyDescent="0.2">
      <c r="A1164" s="84">
        <f t="shared" si="39"/>
        <v>1158</v>
      </c>
      <c r="B1164" s="85" t="e">
        <f>+MATCH(D1164,ARTICULOS!$F$10:$F$699,0)</f>
        <v>#N/A</v>
      </c>
      <c r="C1164" s="86" t="e">
        <f>+VLOOKUP(B1164,ARTICULOS!$D$10:$I$699,6)</f>
        <v>#N/A</v>
      </c>
      <c r="D1164" s="212"/>
      <c r="E1164" s="75" t="e">
        <f t="shared" si="40"/>
        <v>#N/A</v>
      </c>
      <c r="F1164" s="80"/>
      <c r="G1164" s="81"/>
      <c r="H1164" s="78"/>
      <c r="I1164" s="78"/>
      <c r="J1164" s="78"/>
    </row>
    <row r="1165" spans="1:10" x14ac:dyDescent="0.2">
      <c r="A1165" s="84">
        <f t="shared" si="39"/>
        <v>1159</v>
      </c>
      <c r="B1165" s="85" t="e">
        <f>+MATCH(D1165,ARTICULOS!$F$10:$F$699,0)</f>
        <v>#N/A</v>
      </c>
      <c r="C1165" s="86" t="e">
        <f>+VLOOKUP(B1165,ARTICULOS!$D$10:$I$699,6)</f>
        <v>#N/A</v>
      </c>
      <c r="D1165" s="212"/>
      <c r="E1165" s="75" t="e">
        <f t="shared" si="40"/>
        <v>#N/A</v>
      </c>
      <c r="F1165" s="80"/>
      <c r="G1165" s="81"/>
      <c r="H1165" s="78"/>
      <c r="I1165" s="78"/>
      <c r="J1165" s="78"/>
    </row>
    <row r="1166" spans="1:10" x14ac:dyDescent="0.2">
      <c r="A1166" s="84">
        <f t="shared" si="39"/>
        <v>1160</v>
      </c>
      <c r="B1166" s="85" t="e">
        <f>+MATCH(D1166,ARTICULOS!$F$10:$F$699,0)</f>
        <v>#N/A</v>
      </c>
      <c r="C1166" s="86" t="e">
        <f>+VLOOKUP(B1166,ARTICULOS!$D$10:$I$699,6)</f>
        <v>#N/A</v>
      </c>
      <c r="D1166" s="212"/>
      <c r="E1166" s="75" t="e">
        <f t="shared" si="40"/>
        <v>#N/A</v>
      </c>
      <c r="F1166" s="80"/>
      <c r="G1166" s="81"/>
      <c r="H1166" s="78"/>
      <c r="I1166" s="78"/>
      <c r="J1166" s="78"/>
    </row>
    <row r="1167" spans="1:10" x14ac:dyDescent="0.2">
      <c r="A1167" s="84">
        <f t="shared" si="39"/>
        <v>1161</v>
      </c>
      <c r="B1167" s="85" t="e">
        <f>+MATCH(D1167,ARTICULOS!$F$10:$F$699,0)</f>
        <v>#N/A</v>
      </c>
      <c r="C1167" s="86" t="e">
        <f>+VLOOKUP(B1167,ARTICULOS!$D$10:$I$699,6)</f>
        <v>#N/A</v>
      </c>
      <c r="D1167" s="212"/>
      <c r="E1167" s="75" t="e">
        <f t="shared" si="40"/>
        <v>#N/A</v>
      </c>
      <c r="F1167" s="80"/>
      <c r="G1167" s="81"/>
      <c r="H1167" s="78"/>
      <c r="I1167" s="78"/>
      <c r="J1167" s="78"/>
    </row>
    <row r="1168" spans="1:10" x14ac:dyDescent="0.2">
      <c r="A1168" s="84">
        <f t="shared" si="39"/>
        <v>1162</v>
      </c>
      <c r="B1168" s="85" t="e">
        <f>+MATCH(D1168,ARTICULOS!$F$10:$F$699,0)</f>
        <v>#N/A</v>
      </c>
      <c r="C1168" s="86" t="e">
        <f>+VLOOKUP(B1168,ARTICULOS!$D$10:$I$699,6)</f>
        <v>#N/A</v>
      </c>
      <c r="D1168" s="212"/>
      <c r="E1168" s="75" t="e">
        <f t="shared" si="40"/>
        <v>#N/A</v>
      </c>
      <c r="F1168" s="80"/>
      <c r="G1168" s="81"/>
      <c r="H1168" s="78"/>
      <c r="I1168" s="78"/>
      <c r="J1168" s="78"/>
    </row>
    <row r="1169" spans="1:10" x14ac:dyDescent="0.2">
      <c r="A1169" s="84">
        <f t="shared" si="39"/>
        <v>1163</v>
      </c>
      <c r="B1169" s="85" t="e">
        <f>+MATCH(D1169,ARTICULOS!$F$10:$F$699,0)</f>
        <v>#N/A</v>
      </c>
      <c r="C1169" s="86" t="e">
        <f>+VLOOKUP(B1169,ARTICULOS!$D$10:$I$699,6)</f>
        <v>#N/A</v>
      </c>
      <c r="D1169" s="212"/>
      <c r="E1169" s="75" t="e">
        <f t="shared" si="40"/>
        <v>#N/A</v>
      </c>
      <c r="F1169" s="80"/>
      <c r="G1169" s="81"/>
      <c r="H1169" s="78"/>
      <c r="I1169" s="78"/>
      <c r="J1169" s="78"/>
    </row>
    <row r="1170" spans="1:10" x14ac:dyDescent="0.2">
      <c r="A1170" s="84">
        <f t="shared" si="39"/>
        <v>1164</v>
      </c>
      <c r="B1170" s="85" t="e">
        <f>+MATCH(D1170,ARTICULOS!$F$10:$F$699,0)</f>
        <v>#N/A</v>
      </c>
      <c r="C1170" s="86" t="e">
        <f>+VLOOKUP(B1170,ARTICULOS!$D$10:$I$699,6)</f>
        <v>#N/A</v>
      </c>
      <c r="D1170" s="212"/>
      <c r="E1170" s="75" t="e">
        <f t="shared" si="40"/>
        <v>#N/A</v>
      </c>
      <c r="F1170" s="80"/>
      <c r="G1170" s="81"/>
      <c r="H1170" s="78"/>
      <c r="I1170" s="78"/>
      <c r="J1170" s="78"/>
    </row>
    <row r="1171" spans="1:10" x14ac:dyDescent="0.2">
      <c r="A1171" s="84">
        <f t="shared" si="39"/>
        <v>1165</v>
      </c>
      <c r="B1171" s="85" t="e">
        <f>+MATCH(D1171,ARTICULOS!$F$10:$F$699,0)</f>
        <v>#N/A</v>
      </c>
      <c r="C1171" s="86" t="e">
        <f>+VLOOKUP(B1171,ARTICULOS!$D$10:$I$699,6)</f>
        <v>#N/A</v>
      </c>
      <c r="D1171" s="212"/>
      <c r="E1171" s="75" t="e">
        <f t="shared" si="40"/>
        <v>#N/A</v>
      </c>
      <c r="F1171" s="80"/>
      <c r="G1171" s="81"/>
      <c r="H1171" s="78"/>
      <c r="I1171" s="78"/>
      <c r="J1171" s="78"/>
    </row>
    <row r="1172" spans="1:10" x14ac:dyDescent="0.2">
      <c r="A1172" s="84">
        <f t="shared" si="39"/>
        <v>1166</v>
      </c>
      <c r="B1172" s="85" t="e">
        <f>+MATCH(D1172,ARTICULOS!$F$10:$F$699,0)</f>
        <v>#N/A</v>
      </c>
      <c r="C1172" s="86" t="e">
        <f>+VLOOKUP(B1172,ARTICULOS!$D$10:$I$699,6)</f>
        <v>#N/A</v>
      </c>
      <c r="D1172" s="212"/>
      <c r="E1172" s="75" t="e">
        <f t="shared" si="40"/>
        <v>#N/A</v>
      </c>
      <c r="F1172" s="80"/>
      <c r="G1172" s="81"/>
      <c r="H1172" s="78"/>
      <c r="I1172" s="78"/>
      <c r="J1172" s="78"/>
    </row>
    <row r="1173" spans="1:10" x14ac:dyDescent="0.2">
      <c r="A1173" s="84">
        <f t="shared" si="39"/>
        <v>1167</v>
      </c>
      <c r="B1173" s="85" t="e">
        <f>+MATCH(D1173,ARTICULOS!$F$10:$F$699,0)</f>
        <v>#N/A</v>
      </c>
      <c r="C1173" s="86" t="e">
        <f>+VLOOKUP(B1173,ARTICULOS!$D$10:$I$699,6)</f>
        <v>#N/A</v>
      </c>
      <c r="D1173" s="212"/>
      <c r="E1173" s="75" t="e">
        <f t="shared" si="40"/>
        <v>#N/A</v>
      </c>
      <c r="F1173" s="80"/>
      <c r="G1173" s="81"/>
      <c r="H1173" s="78"/>
      <c r="I1173" s="78"/>
      <c r="J1173" s="78"/>
    </row>
    <row r="1174" spans="1:10" x14ac:dyDescent="0.2">
      <c r="A1174" s="84">
        <f t="shared" si="39"/>
        <v>1168</v>
      </c>
      <c r="B1174" s="85" t="e">
        <f>+MATCH(D1174,ARTICULOS!$F$10:$F$699,0)</f>
        <v>#N/A</v>
      </c>
      <c r="C1174" s="86" t="e">
        <f>+VLOOKUP(B1174,ARTICULOS!$D$10:$I$699,6)</f>
        <v>#N/A</v>
      </c>
      <c r="D1174" s="212"/>
      <c r="E1174" s="75" t="e">
        <f t="shared" si="40"/>
        <v>#N/A</v>
      </c>
      <c r="F1174" s="80"/>
      <c r="G1174" s="81"/>
      <c r="H1174" s="78"/>
      <c r="I1174" s="78"/>
      <c r="J1174" s="78"/>
    </row>
    <row r="1175" spans="1:10" x14ac:dyDescent="0.2">
      <c r="A1175" s="84">
        <f t="shared" si="39"/>
        <v>1169</v>
      </c>
      <c r="B1175" s="85" t="e">
        <f>+MATCH(D1175,ARTICULOS!$F$10:$F$699,0)</f>
        <v>#N/A</v>
      </c>
      <c r="C1175" s="86" t="e">
        <f>+VLOOKUP(B1175,ARTICULOS!$D$10:$I$699,6)</f>
        <v>#N/A</v>
      </c>
      <c r="D1175" s="212"/>
      <c r="E1175" s="75" t="e">
        <f t="shared" si="40"/>
        <v>#N/A</v>
      </c>
      <c r="F1175" s="80"/>
      <c r="G1175" s="81"/>
      <c r="H1175" s="78"/>
      <c r="I1175" s="78"/>
      <c r="J1175" s="78"/>
    </row>
    <row r="1176" spans="1:10" x14ac:dyDescent="0.2">
      <c r="A1176" s="84">
        <f t="shared" si="39"/>
        <v>1170</v>
      </c>
      <c r="B1176" s="85" t="e">
        <f>+MATCH(D1176,ARTICULOS!$F$10:$F$699,0)</f>
        <v>#N/A</v>
      </c>
      <c r="C1176" s="86" t="e">
        <f>+VLOOKUP(B1176,ARTICULOS!$D$10:$I$699,6)</f>
        <v>#N/A</v>
      </c>
      <c r="D1176" s="212"/>
      <c r="E1176" s="75" t="e">
        <f t="shared" si="40"/>
        <v>#N/A</v>
      </c>
      <c r="F1176" s="80"/>
      <c r="G1176" s="81"/>
      <c r="H1176" s="78"/>
      <c r="I1176" s="78"/>
      <c r="J1176" s="78"/>
    </row>
    <row r="1177" spans="1:10" x14ac:dyDescent="0.2">
      <c r="A1177" s="84">
        <f t="shared" si="39"/>
        <v>1171</v>
      </c>
      <c r="B1177" s="85" t="e">
        <f>+MATCH(D1177,ARTICULOS!$F$10:$F$699,0)</f>
        <v>#N/A</v>
      </c>
      <c r="C1177" s="86" t="e">
        <f>+VLOOKUP(B1177,ARTICULOS!$D$10:$I$699,6)</f>
        <v>#N/A</v>
      </c>
      <c r="D1177" s="212"/>
      <c r="E1177" s="75" t="e">
        <f t="shared" si="40"/>
        <v>#N/A</v>
      </c>
      <c r="F1177" s="80"/>
      <c r="G1177" s="81"/>
      <c r="H1177" s="78"/>
      <c r="I1177" s="78"/>
      <c r="J1177" s="78"/>
    </row>
    <row r="1178" spans="1:10" x14ac:dyDescent="0.2">
      <c r="A1178" s="84">
        <f t="shared" si="39"/>
        <v>1172</v>
      </c>
      <c r="B1178" s="85" t="e">
        <f>+MATCH(D1178,ARTICULOS!$F$10:$F$699,0)</f>
        <v>#N/A</v>
      </c>
      <c r="C1178" s="86" t="e">
        <f>+VLOOKUP(B1178,ARTICULOS!$D$10:$I$699,6)</f>
        <v>#N/A</v>
      </c>
      <c r="D1178" s="212"/>
      <c r="E1178" s="75" t="e">
        <f t="shared" si="40"/>
        <v>#N/A</v>
      </c>
      <c r="F1178" s="80"/>
      <c r="G1178" s="81"/>
      <c r="H1178" s="78"/>
      <c r="I1178" s="78"/>
      <c r="J1178" s="78"/>
    </row>
    <row r="1179" spans="1:10" x14ac:dyDescent="0.2">
      <c r="A1179" s="84">
        <f t="shared" si="39"/>
        <v>1173</v>
      </c>
      <c r="B1179" s="85" t="e">
        <f>+MATCH(D1179,ARTICULOS!$F$10:$F$699,0)</f>
        <v>#N/A</v>
      </c>
      <c r="C1179" s="86" t="e">
        <f>+VLOOKUP(B1179,ARTICULOS!$D$10:$I$699,6)</f>
        <v>#N/A</v>
      </c>
      <c r="D1179" s="212"/>
      <c r="E1179" s="75" t="e">
        <f t="shared" si="40"/>
        <v>#N/A</v>
      </c>
      <c r="F1179" s="80"/>
      <c r="G1179" s="81"/>
      <c r="H1179" s="78"/>
      <c r="I1179" s="78"/>
      <c r="J1179" s="78"/>
    </row>
    <row r="1180" spans="1:10" x14ac:dyDescent="0.2">
      <c r="A1180" s="84">
        <f t="shared" si="39"/>
        <v>1174</v>
      </c>
      <c r="B1180" s="85" t="e">
        <f>+MATCH(D1180,ARTICULOS!$F$10:$F$699,0)</f>
        <v>#N/A</v>
      </c>
      <c r="C1180" s="86" t="e">
        <f>+VLOOKUP(B1180,ARTICULOS!$D$10:$I$699,6)</f>
        <v>#N/A</v>
      </c>
      <c r="D1180" s="212"/>
      <c r="E1180" s="75" t="e">
        <f t="shared" si="40"/>
        <v>#N/A</v>
      </c>
      <c r="F1180" s="80"/>
      <c r="G1180" s="81"/>
      <c r="H1180" s="78"/>
      <c r="I1180" s="78"/>
      <c r="J1180" s="78"/>
    </row>
    <row r="1181" spans="1:10" x14ac:dyDescent="0.2">
      <c r="A1181" s="84">
        <f t="shared" si="39"/>
        <v>1175</v>
      </c>
      <c r="B1181" s="85" t="e">
        <f>+MATCH(D1181,ARTICULOS!$F$10:$F$699,0)</f>
        <v>#N/A</v>
      </c>
      <c r="C1181" s="86" t="e">
        <f>+VLOOKUP(B1181,ARTICULOS!$D$10:$I$699,6)</f>
        <v>#N/A</v>
      </c>
      <c r="D1181" s="212"/>
      <c r="E1181" s="75" t="e">
        <f t="shared" si="40"/>
        <v>#N/A</v>
      </c>
      <c r="F1181" s="80"/>
      <c r="G1181" s="81"/>
      <c r="H1181" s="78"/>
      <c r="I1181" s="78"/>
      <c r="J1181" s="78"/>
    </row>
    <row r="1182" spans="1:10" x14ac:dyDescent="0.2">
      <c r="A1182" s="84">
        <f t="shared" si="39"/>
        <v>1176</v>
      </c>
      <c r="B1182" s="85" t="e">
        <f>+MATCH(D1182,ARTICULOS!$F$10:$F$699,0)</f>
        <v>#N/A</v>
      </c>
      <c r="C1182" s="86" t="e">
        <f>+VLOOKUP(B1182,ARTICULOS!$D$10:$I$699,6)</f>
        <v>#N/A</v>
      </c>
      <c r="D1182" s="212"/>
      <c r="E1182" s="75" t="e">
        <f t="shared" si="40"/>
        <v>#N/A</v>
      </c>
      <c r="F1182" s="80"/>
      <c r="G1182" s="81"/>
      <c r="H1182" s="78"/>
      <c r="I1182" s="78"/>
      <c r="J1182" s="78"/>
    </row>
    <row r="1183" spans="1:10" x14ac:dyDescent="0.2">
      <c r="A1183" s="84">
        <f t="shared" si="39"/>
        <v>1177</v>
      </c>
      <c r="B1183" s="85" t="e">
        <f>+MATCH(D1183,ARTICULOS!$F$10:$F$699,0)</f>
        <v>#N/A</v>
      </c>
      <c r="C1183" s="86" t="e">
        <f>+VLOOKUP(B1183,ARTICULOS!$D$10:$I$699,6)</f>
        <v>#N/A</v>
      </c>
      <c r="D1183" s="212"/>
      <c r="E1183" s="75" t="e">
        <f t="shared" si="40"/>
        <v>#N/A</v>
      </c>
      <c r="F1183" s="80"/>
      <c r="G1183" s="81"/>
      <c r="H1183" s="78"/>
      <c r="I1183" s="78"/>
      <c r="J1183" s="78"/>
    </row>
    <row r="1184" spans="1:10" x14ac:dyDescent="0.2">
      <c r="A1184" s="84">
        <f t="shared" si="39"/>
        <v>1178</v>
      </c>
      <c r="B1184" s="85" t="e">
        <f>+MATCH(D1184,ARTICULOS!$F$10:$F$699,0)</f>
        <v>#N/A</v>
      </c>
      <c r="C1184" s="86" t="e">
        <f>+VLOOKUP(B1184,ARTICULOS!$D$10:$I$699,6)</f>
        <v>#N/A</v>
      </c>
      <c r="D1184" s="212"/>
      <c r="E1184" s="75" t="e">
        <f t="shared" si="40"/>
        <v>#N/A</v>
      </c>
      <c r="F1184" s="80"/>
      <c r="G1184" s="81"/>
      <c r="H1184" s="78"/>
      <c r="I1184" s="78"/>
      <c r="J1184" s="78"/>
    </row>
    <row r="1185" spans="1:10" x14ac:dyDescent="0.2">
      <c r="A1185" s="84">
        <f t="shared" si="39"/>
        <v>1179</v>
      </c>
      <c r="B1185" s="85" t="e">
        <f>+MATCH(D1185,ARTICULOS!$F$10:$F$699,0)</f>
        <v>#N/A</v>
      </c>
      <c r="C1185" s="86" t="e">
        <f>+VLOOKUP(B1185,ARTICULOS!$D$10:$I$699,6)</f>
        <v>#N/A</v>
      </c>
      <c r="D1185" s="212"/>
      <c r="E1185" s="75" t="e">
        <f t="shared" si="40"/>
        <v>#N/A</v>
      </c>
      <c r="F1185" s="80"/>
      <c r="G1185" s="81"/>
      <c r="H1185" s="78"/>
      <c r="I1185" s="78"/>
      <c r="J1185" s="78"/>
    </row>
    <row r="1186" spans="1:10" x14ac:dyDescent="0.2">
      <c r="A1186" s="84">
        <f t="shared" si="39"/>
        <v>1180</v>
      </c>
      <c r="B1186" s="85" t="e">
        <f>+MATCH(D1186,ARTICULOS!$F$10:$F$699,0)</f>
        <v>#N/A</v>
      </c>
      <c r="C1186" s="86" t="e">
        <f>+VLOOKUP(B1186,ARTICULOS!$D$10:$I$699,6)</f>
        <v>#N/A</v>
      </c>
      <c r="D1186" s="212"/>
      <c r="E1186" s="75" t="e">
        <f t="shared" si="40"/>
        <v>#N/A</v>
      </c>
      <c r="F1186" s="80"/>
      <c r="G1186" s="81"/>
      <c r="H1186" s="78"/>
      <c r="I1186" s="78"/>
      <c r="J1186" s="78"/>
    </row>
    <row r="1187" spans="1:10" x14ac:dyDescent="0.2">
      <c r="A1187" s="84">
        <f t="shared" si="39"/>
        <v>1181</v>
      </c>
      <c r="B1187" s="85" t="e">
        <f>+MATCH(D1187,ARTICULOS!$F$10:$F$699,0)</f>
        <v>#N/A</v>
      </c>
      <c r="C1187" s="86" t="e">
        <f>+VLOOKUP(B1187,ARTICULOS!$D$10:$I$699,6)</f>
        <v>#N/A</v>
      </c>
      <c r="D1187" s="212"/>
      <c r="E1187" s="75" t="e">
        <f t="shared" si="40"/>
        <v>#N/A</v>
      </c>
      <c r="F1187" s="80"/>
      <c r="G1187" s="81"/>
      <c r="H1187" s="78"/>
      <c r="I1187" s="78"/>
      <c r="J1187" s="78"/>
    </row>
    <row r="1188" spans="1:10" x14ac:dyDescent="0.2">
      <c r="A1188" s="84">
        <f t="shared" si="39"/>
        <v>1182</v>
      </c>
      <c r="B1188" s="85" t="e">
        <f>+MATCH(D1188,ARTICULOS!$F$10:$F$699,0)</f>
        <v>#N/A</v>
      </c>
      <c r="C1188" s="86" t="e">
        <f>+VLOOKUP(B1188,ARTICULOS!$D$10:$I$699,6)</f>
        <v>#N/A</v>
      </c>
      <c r="D1188" s="212"/>
      <c r="E1188" s="75" t="e">
        <f t="shared" si="40"/>
        <v>#N/A</v>
      </c>
      <c r="F1188" s="80"/>
      <c r="G1188" s="81"/>
      <c r="H1188" s="78"/>
      <c r="I1188" s="78"/>
      <c r="J1188" s="78"/>
    </row>
    <row r="1189" spans="1:10" x14ac:dyDescent="0.2">
      <c r="A1189" s="84">
        <f t="shared" si="39"/>
        <v>1183</v>
      </c>
      <c r="B1189" s="85" t="e">
        <f>+MATCH(D1189,ARTICULOS!$F$10:$F$699,0)</f>
        <v>#N/A</v>
      </c>
      <c r="C1189" s="86" t="e">
        <f>+VLOOKUP(B1189,ARTICULOS!$D$10:$I$699,6)</f>
        <v>#N/A</v>
      </c>
      <c r="D1189" s="212"/>
      <c r="E1189" s="75" t="e">
        <f t="shared" si="40"/>
        <v>#N/A</v>
      </c>
      <c r="F1189" s="80"/>
      <c r="G1189" s="81"/>
      <c r="H1189" s="78"/>
      <c r="I1189" s="78"/>
      <c r="J1189" s="78"/>
    </row>
    <row r="1190" spans="1:10" x14ac:dyDescent="0.2">
      <c r="A1190" s="84">
        <f t="shared" si="39"/>
        <v>1184</v>
      </c>
      <c r="B1190" s="85" t="e">
        <f>+MATCH(D1190,ARTICULOS!$F$10:$F$699,0)</f>
        <v>#N/A</v>
      </c>
      <c r="C1190" s="86" t="e">
        <f>+VLOOKUP(B1190,ARTICULOS!$D$10:$I$699,6)</f>
        <v>#N/A</v>
      </c>
      <c r="D1190" s="212"/>
      <c r="E1190" s="75" t="e">
        <f t="shared" si="40"/>
        <v>#N/A</v>
      </c>
      <c r="F1190" s="80"/>
      <c r="G1190" s="81"/>
      <c r="H1190" s="78"/>
      <c r="I1190" s="78"/>
      <c r="J1190" s="78"/>
    </row>
    <row r="1191" spans="1:10" x14ac:dyDescent="0.2">
      <c r="A1191" s="84">
        <f t="shared" si="39"/>
        <v>1185</v>
      </c>
      <c r="B1191" s="85" t="e">
        <f>+MATCH(D1191,ARTICULOS!$F$10:$F$699,0)</f>
        <v>#N/A</v>
      </c>
      <c r="C1191" s="86" t="e">
        <f>+VLOOKUP(B1191,ARTICULOS!$D$10:$I$699,6)</f>
        <v>#N/A</v>
      </c>
      <c r="D1191" s="212"/>
      <c r="E1191" s="75" t="e">
        <f t="shared" si="40"/>
        <v>#N/A</v>
      </c>
      <c r="F1191" s="80"/>
      <c r="G1191" s="81"/>
      <c r="H1191" s="78"/>
      <c r="I1191" s="78"/>
      <c r="J1191" s="78"/>
    </row>
    <row r="1192" spans="1:10" x14ac:dyDescent="0.2">
      <c r="A1192" s="84">
        <f t="shared" si="39"/>
        <v>1186</v>
      </c>
      <c r="B1192" s="85" t="e">
        <f>+MATCH(D1192,ARTICULOS!$F$10:$F$699,0)</f>
        <v>#N/A</v>
      </c>
      <c r="C1192" s="86" t="e">
        <f>+VLOOKUP(B1192,ARTICULOS!$D$10:$I$699,6)</f>
        <v>#N/A</v>
      </c>
      <c r="D1192" s="212"/>
      <c r="E1192" s="75" t="e">
        <f t="shared" si="40"/>
        <v>#N/A</v>
      </c>
      <c r="F1192" s="80"/>
      <c r="G1192" s="81"/>
      <c r="H1192" s="78"/>
      <c r="I1192" s="78"/>
      <c r="J1192" s="78"/>
    </row>
    <row r="1193" spans="1:10" x14ac:dyDescent="0.2">
      <c r="A1193" s="84">
        <f t="shared" ref="A1193:A1256" si="41">ROW()-6</f>
        <v>1187</v>
      </c>
      <c r="B1193" s="85" t="e">
        <f>+MATCH(D1193,ARTICULOS!$F$10:$F$699,0)</f>
        <v>#N/A</v>
      </c>
      <c r="C1193" s="86" t="e">
        <f>+VLOOKUP(B1193,ARTICULOS!$D$10:$I$699,6)</f>
        <v>#N/A</v>
      </c>
      <c r="D1193" s="212"/>
      <c r="E1193" s="75" t="e">
        <f t="shared" si="40"/>
        <v>#N/A</v>
      </c>
      <c r="F1193" s="80"/>
      <c r="G1193" s="81"/>
      <c r="H1193" s="78"/>
      <c r="I1193" s="78"/>
      <c r="J1193" s="78"/>
    </row>
    <row r="1194" spans="1:10" x14ac:dyDescent="0.2">
      <c r="A1194" s="84">
        <f t="shared" si="41"/>
        <v>1188</v>
      </c>
      <c r="B1194" s="85" t="e">
        <f>+MATCH(D1194,ARTICULOS!$F$10:$F$699,0)</f>
        <v>#N/A</v>
      </c>
      <c r="C1194" s="86" t="e">
        <f>+VLOOKUP(B1194,ARTICULOS!$D$10:$I$699,6)</f>
        <v>#N/A</v>
      </c>
      <c r="D1194" s="212"/>
      <c r="E1194" s="75" t="e">
        <f t="shared" si="40"/>
        <v>#N/A</v>
      </c>
      <c r="F1194" s="80"/>
      <c r="G1194" s="81"/>
      <c r="H1194" s="78"/>
      <c r="I1194" s="78"/>
      <c r="J1194" s="78"/>
    </row>
    <row r="1195" spans="1:10" x14ac:dyDescent="0.2">
      <c r="A1195" s="84">
        <f t="shared" si="41"/>
        <v>1189</v>
      </c>
      <c r="B1195" s="85" t="e">
        <f>+MATCH(D1195,ARTICULOS!$F$10:$F$699,0)</f>
        <v>#N/A</v>
      </c>
      <c r="C1195" s="86" t="e">
        <f>+VLOOKUP(B1195,ARTICULOS!$D$10:$I$699,6)</f>
        <v>#N/A</v>
      </c>
      <c r="D1195" s="212"/>
      <c r="E1195" s="75" t="e">
        <f t="shared" si="40"/>
        <v>#N/A</v>
      </c>
      <c r="F1195" s="80"/>
      <c r="G1195" s="81"/>
      <c r="H1195" s="78"/>
      <c r="I1195" s="78"/>
      <c r="J1195" s="78"/>
    </row>
    <row r="1196" spans="1:10" x14ac:dyDescent="0.2">
      <c r="A1196" s="84">
        <f t="shared" si="41"/>
        <v>1190</v>
      </c>
      <c r="B1196" s="85" t="e">
        <f>+MATCH(D1196,ARTICULOS!$F$10:$F$699,0)</f>
        <v>#N/A</v>
      </c>
      <c r="C1196" s="86" t="e">
        <f>+VLOOKUP(B1196,ARTICULOS!$D$10:$I$699,6)</f>
        <v>#N/A</v>
      </c>
      <c r="D1196" s="212"/>
      <c r="E1196" s="75" t="e">
        <f t="shared" si="40"/>
        <v>#N/A</v>
      </c>
      <c r="F1196" s="80"/>
      <c r="G1196" s="81"/>
      <c r="H1196" s="78"/>
      <c r="I1196" s="78"/>
      <c r="J1196" s="78"/>
    </row>
    <row r="1197" spans="1:10" x14ac:dyDescent="0.2">
      <c r="A1197" s="84">
        <f t="shared" si="41"/>
        <v>1191</v>
      </c>
      <c r="B1197" s="85" t="e">
        <f>+MATCH(D1197,ARTICULOS!$F$10:$F$699,0)</f>
        <v>#N/A</v>
      </c>
      <c r="C1197" s="86" t="e">
        <f>+VLOOKUP(B1197,ARTICULOS!$D$10:$I$699,6)</f>
        <v>#N/A</v>
      </c>
      <c r="D1197" s="212"/>
      <c r="E1197" s="75" t="e">
        <f t="shared" si="40"/>
        <v>#N/A</v>
      </c>
      <c r="F1197" s="80"/>
      <c r="G1197" s="81"/>
      <c r="H1197" s="78"/>
      <c r="I1197" s="78"/>
      <c r="J1197" s="78"/>
    </row>
    <row r="1198" spans="1:10" x14ac:dyDescent="0.2">
      <c r="A1198" s="84">
        <f t="shared" si="41"/>
        <v>1192</v>
      </c>
      <c r="B1198" s="85" t="e">
        <f>+MATCH(D1198,ARTICULOS!$F$10:$F$699,0)</f>
        <v>#N/A</v>
      </c>
      <c r="C1198" s="86" t="e">
        <f>+VLOOKUP(B1198,ARTICULOS!$D$10:$I$699,6)</f>
        <v>#N/A</v>
      </c>
      <c r="D1198" s="212"/>
      <c r="E1198" s="75" t="e">
        <f t="shared" si="40"/>
        <v>#N/A</v>
      </c>
      <c r="F1198" s="80"/>
      <c r="G1198" s="81"/>
      <c r="H1198" s="78"/>
      <c r="I1198" s="78"/>
      <c r="J1198" s="78"/>
    </row>
    <row r="1199" spans="1:10" x14ac:dyDescent="0.2">
      <c r="A1199" s="84">
        <f t="shared" si="41"/>
        <v>1193</v>
      </c>
      <c r="B1199" s="85" t="e">
        <f>+MATCH(D1199,ARTICULOS!$F$10:$F$699,0)</f>
        <v>#N/A</v>
      </c>
      <c r="C1199" s="86" t="e">
        <f>+VLOOKUP(B1199,ARTICULOS!$D$10:$I$699,6)</f>
        <v>#N/A</v>
      </c>
      <c r="D1199" s="212"/>
      <c r="E1199" s="75" t="e">
        <f t="shared" si="40"/>
        <v>#N/A</v>
      </c>
      <c r="F1199" s="80"/>
      <c r="G1199" s="81"/>
      <c r="H1199" s="78"/>
      <c r="I1199" s="78"/>
      <c r="J1199" s="78"/>
    </row>
    <row r="1200" spans="1:10" x14ac:dyDescent="0.2">
      <c r="A1200" s="84">
        <f t="shared" si="41"/>
        <v>1194</v>
      </c>
      <c r="B1200" s="85" t="e">
        <f>+MATCH(D1200,ARTICULOS!$F$10:$F$699,0)</f>
        <v>#N/A</v>
      </c>
      <c r="C1200" s="86" t="e">
        <f>+VLOOKUP(B1200,ARTICULOS!$D$10:$I$699,6)</f>
        <v>#N/A</v>
      </c>
      <c r="D1200" s="212"/>
      <c r="E1200" s="75" t="e">
        <f t="shared" si="40"/>
        <v>#N/A</v>
      </c>
      <c r="F1200" s="80"/>
      <c r="G1200" s="81"/>
      <c r="H1200" s="78"/>
      <c r="I1200" s="78"/>
      <c r="J1200" s="78"/>
    </row>
    <row r="1201" spans="1:10" x14ac:dyDescent="0.2">
      <c r="A1201" s="84">
        <f t="shared" si="41"/>
        <v>1195</v>
      </c>
      <c r="B1201" s="85" t="e">
        <f>+MATCH(D1201,ARTICULOS!$F$10:$F$699,0)</f>
        <v>#N/A</v>
      </c>
      <c r="C1201" s="86" t="e">
        <f>+VLOOKUP(B1201,ARTICULOS!$D$10:$I$699,6)</f>
        <v>#N/A</v>
      </c>
      <c r="D1201" s="212"/>
      <c r="E1201" s="75" t="e">
        <f t="shared" si="40"/>
        <v>#N/A</v>
      </c>
      <c r="F1201" s="80"/>
      <c r="G1201" s="81"/>
      <c r="H1201" s="78"/>
      <c r="I1201" s="78"/>
      <c r="J1201" s="78"/>
    </row>
    <row r="1202" spans="1:10" x14ac:dyDescent="0.2">
      <c r="A1202" s="84">
        <f t="shared" si="41"/>
        <v>1196</v>
      </c>
      <c r="B1202" s="85" t="e">
        <f>+MATCH(D1202,ARTICULOS!$F$10:$F$699,0)</f>
        <v>#N/A</v>
      </c>
      <c r="C1202" s="86" t="e">
        <f>+VLOOKUP(B1202,ARTICULOS!$D$10:$I$699,6)</f>
        <v>#N/A</v>
      </c>
      <c r="D1202" s="212"/>
      <c r="E1202" s="75" t="e">
        <f t="shared" si="40"/>
        <v>#N/A</v>
      </c>
      <c r="F1202" s="80"/>
      <c r="G1202" s="81"/>
      <c r="H1202" s="78"/>
      <c r="I1202" s="78"/>
      <c r="J1202" s="78"/>
    </row>
    <row r="1203" spans="1:10" x14ac:dyDescent="0.2">
      <c r="A1203" s="84">
        <f t="shared" si="41"/>
        <v>1197</v>
      </c>
      <c r="B1203" s="85" t="e">
        <f>+MATCH(D1203,ARTICULOS!$F$10:$F$699,0)</f>
        <v>#N/A</v>
      </c>
      <c r="C1203" s="86" t="e">
        <f>+VLOOKUP(B1203,ARTICULOS!$D$10:$I$699,6)</f>
        <v>#N/A</v>
      </c>
      <c r="D1203" s="212"/>
      <c r="E1203" s="75" t="e">
        <f t="shared" si="40"/>
        <v>#N/A</v>
      </c>
      <c r="F1203" s="80"/>
      <c r="G1203" s="81"/>
      <c r="H1203" s="78"/>
      <c r="I1203" s="78"/>
      <c r="J1203" s="78"/>
    </row>
    <row r="1204" spans="1:10" x14ac:dyDescent="0.2">
      <c r="A1204" s="84">
        <f t="shared" si="41"/>
        <v>1198</v>
      </c>
      <c r="B1204" s="85" t="e">
        <f>+MATCH(D1204,ARTICULOS!$F$10:$F$699,0)</f>
        <v>#N/A</v>
      </c>
      <c r="C1204" s="86" t="e">
        <f>+VLOOKUP(B1204,ARTICULOS!$D$10:$I$699,6)</f>
        <v>#N/A</v>
      </c>
      <c r="D1204" s="212"/>
      <c r="E1204" s="75" t="e">
        <f t="shared" si="40"/>
        <v>#N/A</v>
      </c>
      <c r="F1204" s="80"/>
      <c r="G1204" s="81"/>
      <c r="H1204" s="78"/>
      <c r="I1204" s="78"/>
      <c r="J1204" s="78"/>
    </row>
    <row r="1205" spans="1:10" x14ac:dyDescent="0.2">
      <c r="A1205" s="84">
        <f t="shared" si="41"/>
        <v>1199</v>
      </c>
      <c r="B1205" s="85" t="e">
        <f>+MATCH(D1205,ARTICULOS!$F$10:$F$699,0)</f>
        <v>#N/A</v>
      </c>
      <c r="C1205" s="86" t="e">
        <f>+VLOOKUP(B1205,ARTICULOS!$D$10:$I$699,6)</f>
        <v>#N/A</v>
      </c>
      <c r="D1205" s="212"/>
      <c r="E1205" s="75" t="e">
        <f t="shared" si="40"/>
        <v>#N/A</v>
      </c>
      <c r="F1205" s="80"/>
      <c r="G1205" s="81"/>
      <c r="H1205" s="78"/>
      <c r="I1205" s="78"/>
      <c r="J1205" s="78"/>
    </row>
    <row r="1206" spans="1:10" x14ac:dyDescent="0.2">
      <c r="A1206" s="84">
        <f t="shared" si="41"/>
        <v>1200</v>
      </c>
      <c r="B1206" s="85" t="e">
        <f>+MATCH(D1206,ARTICULOS!$F$10:$F$699,0)</f>
        <v>#N/A</v>
      </c>
      <c r="C1206" s="86" t="e">
        <f>+VLOOKUP(B1206,ARTICULOS!$D$10:$I$699,6)</f>
        <v>#N/A</v>
      </c>
      <c r="D1206" s="212"/>
      <c r="E1206" s="75" t="e">
        <f t="shared" si="40"/>
        <v>#N/A</v>
      </c>
      <c r="F1206" s="80"/>
      <c r="G1206" s="81"/>
      <c r="H1206" s="78"/>
      <c r="I1206" s="78"/>
      <c r="J1206" s="78"/>
    </row>
    <row r="1207" spans="1:10" x14ac:dyDescent="0.2">
      <c r="A1207" s="84">
        <f t="shared" si="41"/>
        <v>1201</v>
      </c>
      <c r="B1207" s="85" t="e">
        <f>+MATCH(D1207,ARTICULOS!$F$10:$F$699,0)</f>
        <v>#N/A</v>
      </c>
      <c r="C1207" s="86" t="e">
        <f>+VLOOKUP(B1207,ARTICULOS!$D$10:$I$699,6)</f>
        <v>#N/A</v>
      </c>
      <c r="D1207" s="212"/>
      <c r="E1207" s="75" t="e">
        <f t="shared" si="40"/>
        <v>#N/A</v>
      </c>
      <c r="F1207" s="80"/>
      <c r="G1207" s="81"/>
      <c r="H1207" s="78"/>
      <c r="I1207" s="78"/>
      <c r="J1207" s="78"/>
    </row>
    <row r="1208" spans="1:10" x14ac:dyDescent="0.2">
      <c r="A1208" s="84">
        <f t="shared" si="41"/>
        <v>1202</v>
      </c>
      <c r="B1208" s="85" t="e">
        <f>+MATCH(D1208,ARTICULOS!$F$10:$F$699,0)</f>
        <v>#N/A</v>
      </c>
      <c r="C1208" s="86" t="e">
        <f>+VLOOKUP(B1208,ARTICULOS!$D$10:$I$699,6)</f>
        <v>#N/A</v>
      </c>
      <c r="D1208" s="212"/>
      <c r="E1208" s="75" t="e">
        <f t="shared" si="40"/>
        <v>#N/A</v>
      </c>
      <c r="F1208" s="80"/>
      <c r="G1208" s="81"/>
      <c r="H1208" s="78"/>
      <c r="I1208" s="78"/>
      <c r="J1208" s="78"/>
    </row>
    <row r="1209" spans="1:10" x14ac:dyDescent="0.2">
      <c r="A1209" s="84">
        <f t="shared" si="41"/>
        <v>1203</v>
      </c>
      <c r="B1209" s="85" t="e">
        <f>+MATCH(D1209,ARTICULOS!$F$10:$F$699,0)</f>
        <v>#N/A</v>
      </c>
      <c r="C1209" s="86" t="e">
        <f>+VLOOKUP(B1209,ARTICULOS!$D$10:$I$699,6)</f>
        <v>#N/A</v>
      </c>
      <c r="D1209" s="212"/>
      <c r="E1209" s="75" t="e">
        <f t="shared" si="40"/>
        <v>#N/A</v>
      </c>
      <c r="F1209" s="80"/>
      <c r="G1209" s="81"/>
      <c r="H1209" s="78"/>
      <c r="I1209" s="78"/>
      <c r="J1209" s="78"/>
    </row>
    <row r="1210" spans="1:10" x14ac:dyDescent="0.2">
      <c r="A1210" s="84">
        <f t="shared" si="41"/>
        <v>1204</v>
      </c>
      <c r="B1210" s="85" t="e">
        <f>+MATCH(D1210,ARTICULOS!$F$10:$F$699,0)</f>
        <v>#N/A</v>
      </c>
      <c r="C1210" s="86" t="e">
        <f>+VLOOKUP(B1210,ARTICULOS!$D$10:$I$699,6)</f>
        <v>#N/A</v>
      </c>
      <c r="D1210" s="212"/>
      <c r="E1210" s="75" t="e">
        <f t="shared" si="40"/>
        <v>#N/A</v>
      </c>
      <c r="F1210" s="80"/>
      <c r="G1210" s="81"/>
      <c r="H1210" s="78"/>
      <c r="I1210" s="78"/>
      <c r="J1210" s="78"/>
    </row>
    <row r="1211" spans="1:10" x14ac:dyDescent="0.2">
      <c r="A1211" s="84">
        <f t="shared" si="41"/>
        <v>1205</v>
      </c>
      <c r="B1211" s="85" t="e">
        <f>+MATCH(D1211,ARTICULOS!$F$10:$F$699,0)</f>
        <v>#N/A</v>
      </c>
      <c r="C1211" s="86" t="e">
        <f>+VLOOKUP(B1211,ARTICULOS!$D$10:$I$699,6)</f>
        <v>#N/A</v>
      </c>
      <c r="D1211" s="212"/>
      <c r="E1211" s="75" t="e">
        <f t="shared" si="40"/>
        <v>#N/A</v>
      </c>
      <c r="F1211" s="80"/>
      <c r="G1211" s="81"/>
      <c r="H1211" s="78"/>
      <c r="I1211" s="78"/>
      <c r="J1211" s="78"/>
    </row>
    <row r="1212" spans="1:10" x14ac:dyDescent="0.2">
      <c r="A1212" s="84">
        <f t="shared" si="41"/>
        <v>1206</v>
      </c>
      <c r="B1212" s="85" t="e">
        <f>+MATCH(D1212,ARTICULOS!$F$10:$F$699,0)</f>
        <v>#N/A</v>
      </c>
      <c r="C1212" s="86" t="e">
        <f>+VLOOKUP(B1212,ARTICULOS!$D$10:$I$699,6)</f>
        <v>#N/A</v>
      </c>
      <c r="D1212" s="212"/>
      <c r="E1212" s="75" t="e">
        <f t="shared" si="40"/>
        <v>#N/A</v>
      </c>
      <c r="F1212" s="80"/>
      <c r="G1212" s="81"/>
      <c r="H1212" s="78"/>
      <c r="I1212" s="78"/>
      <c r="J1212" s="78"/>
    </row>
    <row r="1213" spans="1:10" x14ac:dyDescent="0.2">
      <c r="A1213" s="84">
        <f t="shared" si="41"/>
        <v>1207</v>
      </c>
      <c r="B1213" s="85" t="e">
        <f>+MATCH(D1213,ARTICULOS!$F$10:$F$699,0)</f>
        <v>#N/A</v>
      </c>
      <c r="C1213" s="86" t="e">
        <f>+VLOOKUP(B1213,ARTICULOS!$D$10:$I$699,6)</f>
        <v>#N/A</v>
      </c>
      <c r="D1213" s="212"/>
      <c r="E1213" s="75" t="e">
        <f t="shared" si="40"/>
        <v>#N/A</v>
      </c>
      <c r="F1213" s="80"/>
      <c r="G1213" s="81"/>
      <c r="H1213" s="78"/>
      <c r="I1213" s="78"/>
      <c r="J1213" s="78"/>
    </row>
    <row r="1214" spans="1:10" x14ac:dyDescent="0.2">
      <c r="A1214" s="84">
        <f t="shared" si="41"/>
        <v>1208</v>
      </c>
      <c r="B1214" s="85" t="e">
        <f>+MATCH(D1214,ARTICULOS!$F$10:$F$699,0)</f>
        <v>#N/A</v>
      </c>
      <c r="C1214" s="86" t="e">
        <f>+VLOOKUP(B1214,ARTICULOS!$D$10:$I$699,6)</f>
        <v>#N/A</v>
      </c>
      <c r="D1214" s="212"/>
      <c r="E1214" s="75" t="e">
        <f t="shared" si="40"/>
        <v>#N/A</v>
      </c>
      <c r="F1214" s="80"/>
      <c r="G1214" s="81"/>
      <c r="H1214" s="78"/>
      <c r="I1214" s="78"/>
      <c r="J1214" s="78"/>
    </row>
    <row r="1215" spans="1:10" x14ac:dyDescent="0.2">
      <c r="A1215" s="84">
        <f t="shared" si="41"/>
        <v>1209</v>
      </c>
      <c r="B1215" s="85" t="e">
        <f>+MATCH(D1215,ARTICULOS!$F$10:$F$699,0)</f>
        <v>#N/A</v>
      </c>
      <c r="C1215" s="86" t="e">
        <f>+VLOOKUP(B1215,ARTICULOS!$D$10:$I$699,6)</f>
        <v>#N/A</v>
      </c>
      <c r="D1215" s="212"/>
      <c r="E1215" s="75" t="e">
        <f t="shared" si="40"/>
        <v>#N/A</v>
      </c>
      <c r="F1215" s="80"/>
      <c r="G1215" s="81"/>
      <c r="H1215" s="78"/>
      <c r="I1215" s="78"/>
      <c r="J1215" s="78"/>
    </row>
    <row r="1216" spans="1:10" x14ac:dyDescent="0.2">
      <c r="A1216" s="84">
        <f t="shared" si="41"/>
        <v>1210</v>
      </c>
      <c r="B1216" s="85" t="e">
        <f>+MATCH(D1216,ARTICULOS!$F$10:$F$699,0)</f>
        <v>#N/A</v>
      </c>
      <c r="C1216" s="86" t="e">
        <f>+VLOOKUP(B1216,ARTICULOS!$D$10:$I$699,6)</f>
        <v>#N/A</v>
      </c>
      <c r="D1216" s="212"/>
      <c r="E1216" s="75" t="e">
        <f t="shared" si="40"/>
        <v>#N/A</v>
      </c>
      <c r="F1216" s="80"/>
      <c r="G1216" s="81"/>
      <c r="H1216" s="78"/>
      <c r="I1216" s="78"/>
      <c r="J1216" s="78"/>
    </row>
    <row r="1217" spans="1:10" x14ac:dyDescent="0.2">
      <c r="A1217" s="84">
        <f t="shared" si="41"/>
        <v>1211</v>
      </c>
      <c r="B1217" s="85" t="e">
        <f>+MATCH(D1217,ARTICULOS!$F$10:$F$699,0)</f>
        <v>#N/A</v>
      </c>
      <c r="C1217" s="86" t="e">
        <f>+VLOOKUP(B1217,ARTICULOS!$D$10:$I$699,6)</f>
        <v>#N/A</v>
      </c>
      <c r="D1217" s="212"/>
      <c r="E1217" s="75" t="e">
        <f t="shared" si="40"/>
        <v>#N/A</v>
      </c>
      <c r="F1217" s="80"/>
      <c r="G1217" s="81"/>
      <c r="H1217" s="78"/>
      <c r="I1217" s="78"/>
      <c r="J1217" s="78"/>
    </row>
    <row r="1218" spans="1:10" x14ac:dyDescent="0.2">
      <c r="A1218" s="84">
        <f t="shared" si="41"/>
        <v>1212</v>
      </c>
      <c r="B1218" s="85" t="e">
        <f>+MATCH(D1218,ARTICULOS!$F$10:$F$699,0)</f>
        <v>#N/A</v>
      </c>
      <c r="C1218" s="86" t="e">
        <f>+VLOOKUP(B1218,ARTICULOS!$D$10:$I$699,6)</f>
        <v>#N/A</v>
      </c>
      <c r="D1218" s="212"/>
      <c r="E1218" s="75" t="e">
        <f t="shared" si="40"/>
        <v>#N/A</v>
      </c>
      <c r="F1218" s="80"/>
      <c r="G1218" s="81"/>
      <c r="H1218" s="78"/>
      <c r="I1218" s="78"/>
      <c r="J1218" s="78"/>
    </row>
    <row r="1219" spans="1:10" x14ac:dyDescent="0.2">
      <c r="A1219" s="84">
        <f t="shared" si="41"/>
        <v>1213</v>
      </c>
      <c r="B1219" s="85" t="e">
        <f>+MATCH(D1219,ARTICULOS!$F$10:$F$699,0)</f>
        <v>#N/A</v>
      </c>
      <c r="C1219" s="86" t="e">
        <f>+VLOOKUP(B1219,ARTICULOS!$D$10:$I$699,6)</f>
        <v>#N/A</v>
      </c>
      <c r="D1219" s="212"/>
      <c r="E1219" s="75" t="e">
        <f t="shared" si="40"/>
        <v>#N/A</v>
      </c>
      <c r="F1219" s="80"/>
      <c r="G1219" s="81"/>
      <c r="H1219" s="78"/>
      <c r="I1219" s="78"/>
      <c r="J1219" s="78"/>
    </row>
    <row r="1220" spans="1:10" x14ac:dyDescent="0.2">
      <c r="A1220" s="84">
        <f t="shared" si="41"/>
        <v>1214</v>
      </c>
      <c r="B1220" s="85" t="e">
        <f>+MATCH(D1220,ARTICULOS!$F$10:$F$699,0)</f>
        <v>#N/A</v>
      </c>
      <c r="C1220" s="86" t="e">
        <f>+VLOOKUP(B1220,ARTICULOS!$D$10:$I$699,6)</f>
        <v>#N/A</v>
      </c>
      <c r="D1220" s="212"/>
      <c r="E1220" s="75" t="e">
        <f t="shared" si="40"/>
        <v>#N/A</v>
      </c>
      <c r="F1220" s="80"/>
      <c r="G1220" s="81"/>
      <c r="H1220" s="78"/>
      <c r="I1220" s="78"/>
      <c r="J1220" s="78"/>
    </row>
    <row r="1221" spans="1:10" x14ac:dyDescent="0.2">
      <c r="A1221" s="84">
        <f t="shared" si="41"/>
        <v>1215</v>
      </c>
      <c r="B1221" s="85" t="e">
        <f>+MATCH(D1221,ARTICULOS!$F$10:$F$699,0)</f>
        <v>#N/A</v>
      </c>
      <c r="C1221" s="86" t="e">
        <f>+VLOOKUP(B1221,ARTICULOS!$D$10:$I$699,6)</f>
        <v>#N/A</v>
      </c>
      <c r="D1221" s="212"/>
      <c r="E1221" s="75" t="e">
        <f t="shared" si="40"/>
        <v>#N/A</v>
      </c>
      <c r="F1221" s="80"/>
      <c r="G1221" s="81"/>
      <c r="H1221" s="78"/>
      <c r="I1221" s="78"/>
      <c r="J1221" s="78"/>
    </row>
    <row r="1222" spans="1:10" x14ac:dyDescent="0.2">
      <c r="A1222" s="84">
        <f t="shared" si="41"/>
        <v>1216</v>
      </c>
      <c r="B1222" s="85" t="e">
        <f>+MATCH(D1222,ARTICULOS!$F$10:$F$699,0)</f>
        <v>#N/A</v>
      </c>
      <c r="C1222" s="86" t="e">
        <f>+VLOOKUP(B1222,ARTICULOS!$D$10:$I$699,6)</f>
        <v>#N/A</v>
      </c>
      <c r="D1222" s="212"/>
      <c r="E1222" s="75" t="e">
        <f t="shared" si="40"/>
        <v>#N/A</v>
      </c>
      <c r="F1222" s="80"/>
      <c r="G1222" s="81"/>
      <c r="H1222" s="78"/>
      <c r="I1222" s="78"/>
      <c r="J1222" s="78"/>
    </row>
    <row r="1223" spans="1:10" x14ac:dyDescent="0.2">
      <c r="A1223" s="84">
        <f t="shared" si="41"/>
        <v>1217</v>
      </c>
      <c r="B1223" s="85" t="e">
        <f>+MATCH(D1223,ARTICULOS!$F$10:$F$699,0)</f>
        <v>#N/A</v>
      </c>
      <c r="C1223" s="86" t="e">
        <f>+VLOOKUP(B1223,ARTICULOS!$D$10:$I$699,6)</f>
        <v>#N/A</v>
      </c>
      <c r="D1223" s="212"/>
      <c r="E1223" s="75" t="e">
        <f t="shared" si="40"/>
        <v>#N/A</v>
      </c>
      <c r="F1223" s="80"/>
      <c r="G1223" s="81"/>
      <c r="H1223" s="78"/>
      <c r="I1223" s="78"/>
      <c r="J1223" s="78"/>
    </row>
    <row r="1224" spans="1:10" x14ac:dyDescent="0.2">
      <c r="A1224" s="84">
        <f t="shared" si="41"/>
        <v>1218</v>
      </c>
      <c r="B1224" s="85" t="e">
        <f>+MATCH(D1224,ARTICULOS!$F$10:$F$699,0)</f>
        <v>#N/A</v>
      </c>
      <c r="C1224" s="86" t="e">
        <f>+VLOOKUP(B1224,ARTICULOS!$D$10:$I$699,6)</f>
        <v>#N/A</v>
      </c>
      <c r="D1224" s="212"/>
      <c r="E1224" s="75" t="e">
        <f t="shared" si="40"/>
        <v>#N/A</v>
      </c>
      <c r="F1224" s="80"/>
      <c r="G1224" s="81"/>
      <c r="H1224" s="78"/>
      <c r="I1224" s="78"/>
      <c r="J1224" s="78"/>
    </row>
    <row r="1225" spans="1:10" x14ac:dyDescent="0.2">
      <c r="A1225" s="84">
        <f t="shared" si="41"/>
        <v>1219</v>
      </c>
      <c r="B1225" s="85" t="e">
        <f>+MATCH(D1225,ARTICULOS!$F$10:$F$699,0)</f>
        <v>#N/A</v>
      </c>
      <c r="C1225" s="86" t="e">
        <f>+VLOOKUP(B1225,ARTICULOS!$D$10:$I$699,6)</f>
        <v>#N/A</v>
      </c>
      <c r="D1225" s="212"/>
      <c r="E1225" s="75" t="e">
        <f t="shared" si="40"/>
        <v>#N/A</v>
      </c>
      <c r="F1225" s="80"/>
      <c r="G1225" s="81"/>
      <c r="H1225" s="78"/>
      <c r="I1225" s="78"/>
      <c r="J1225" s="78"/>
    </row>
    <row r="1226" spans="1:10" x14ac:dyDescent="0.2">
      <c r="A1226" s="84">
        <f t="shared" si="41"/>
        <v>1220</v>
      </c>
      <c r="B1226" s="85" t="e">
        <f>+MATCH(D1226,ARTICULOS!$F$10:$F$699,0)</f>
        <v>#N/A</v>
      </c>
      <c r="C1226" s="86" t="e">
        <f>+VLOOKUP(B1226,ARTICULOS!$D$10:$I$699,6)</f>
        <v>#N/A</v>
      </c>
      <c r="D1226" s="212"/>
      <c r="E1226" s="75" t="e">
        <f t="shared" si="40"/>
        <v>#N/A</v>
      </c>
      <c r="F1226" s="80"/>
      <c r="G1226" s="81"/>
      <c r="H1226" s="78"/>
      <c r="I1226" s="78"/>
      <c r="J1226" s="78"/>
    </row>
    <row r="1227" spans="1:10" x14ac:dyDescent="0.2">
      <c r="A1227" s="84">
        <f t="shared" si="41"/>
        <v>1221</v>
      </c>
      <c r="B1227" s="85" t="e">
        <f>+MATCH(D1227,ARTICULOS!$F$10:$F$699,0)</f>
        <v>#N/A</v>
      </c>
      <c r="C1227" s="86" t="e">
        <f>+VLOOKUP(B1227,ARTICULOS!$D$10:$I$699,6)</f>
        <v>#N/A</v>
      </c>
      <c r="D1227" s="212"/>
      <c r="E1227" s="75" t="e">
        <f t="shared" ref="E1227:E1290" si="42">+C1227&amp;F1227</f>
        <v>#N/A</v>
      </c>
      <c r="F1227" s="80"/>
      <c r="G1227" s="81"/>
      <c r="H1227" s="78"/>
      <c r="I1227" s="78"/>
      <c r="J1227" s="78"/>
    </row>
    <row r="1228" spans="1:10" x14ac:dyDescent="0.2">
      <c r="A1228" s="84">
        <f t="shared" si="41"/>
        <v>1222</v>
      </c>
      <c r="B1228" s="85" t="e">
        <f>+MATCH(D1228,ARTICULOS!$F$10:$F$699,0)</f>
        <v>#N/A</v>
      </c>
      <c r="C1228" s="86" t="e">
        <f>+VLOOKUP(B1228,ARTICULOS!$D$10:$I$699,6)</f>
        <v>#N/A</v>
      </c>
      <c r="D1228" s="212"/>
      <c r="E1228" s="75" t="e">
        <f t="shared" si="42"/>
        <v>#N/A</v>
      </c>
      <c r="F1228" s="80"/>
      <c r="G1228" s="81"/>
      <c r="H1228" s="78"/>
      <c r="I1228" s="78"/>
      <c r="J1228" s="78"/>
    </row>
    <row r="1229" spans="1:10" x14ac:dyDescent="0.2">
      <c r="A1229" s="84">
        <f t="shared" si="41"/>
        <v>1223</v>
      </c>
      <c r="B1229" s="85" t="e">
        <f>+MATCH(D1229,ARTICULOS!$F$10:$F$699,0)</f>
        <v>#N/A</v>
      </c>
      <c r="C1229" s="86" t="e">
        <f>+VLOOKUP(B1229,ARTICULOS!$D$10:$I$699,6)</f>
        <v>#N/A</v>
      </c>
      <c r="D1229" s="212"/>
      <c r="E1229" s="75" t="e">
        <f t="shared" si="42"/>
        <v>#N/A</v>
      </c>
      <c r="F1229" s="80"/>
      <c r="G1229" s="81"/>
      <c r="H1229" s="78"/>
      <c r="I1229" s="78"/>
      <c r="J1229" s="78"/>
    </row>
    <row r="1230" spans="1:10" x14ac:dyDescent="0.2">
      <c r="A1230" s="84">
        <f t="shared" si="41"/>
        <v>1224</v>
      </c>
      <c r="B1230" s="85" t="e">
        <f>+MATCH(D1230,ARTICULOS!$F$10:$F$699,0)</f>
        <v>#N/A</v>
      </c>
      <c r="C1230" s="86" t="e">
        <f>+VLOOKUP(B1230,ARTICULOS!$D$10:$I$699,6)</f>
        <v>#N/A</v>
      </c>
      <c r="D1230" s="212"/>
      <c r="E1230" s="75" t="e">
        <f t="shared" si="42"/>
        <v>#N/A</v>
      </c>
      <c r="F1230" s="80"/>
      <c r="G1230" s="81"/>
      <c r="H1230" s="78"/>
      <c r="I1230" s="78"/>
      <c r="J1230" s="78"/>
    </row>
    <row r="1231" spans="1:10" x14ac:dyDescent="0.2">
      <c r="A1231" s="84">
        <f t="shared" si="41"/>
        <v>1225</v>
      </c>
      <c r="B1231" s="85" t="e">
        <f>+MATCH(D1231,ARTICULOS!$F$10:$F$699,0)</f>
        <v>#N/A</v>
      </c>
      <c r="C1231" s="86" t="e">
        <f>+VLOOKUP(B1231,ARTICULOS!$D$10:$I$699,6)</f>
        <v>#N/A</v>
      </c>
      <c r="D1231" s="212"/>
      <c r="E1231" s="75" t="e">
        <f t="shared" si="42"/>
        <v>#N/A</v>
      </c>
      <c r="F1231" s="80"/>
      <c r="G1231" s="81"/>
      <c r="H1231" s="78"/>
      <c r="I1231" s="78"/>
      <c r="J1231" s="78"/>
    </row>
    <row r="1232" spans="1:10" x14ac:dyDescent="0.2">
      <c r="A1232" s="84">
        <f t="shared" si="41"/>
        <v>1226</v>
      </c>
      <c r="B1232" s="85" t="e">
        <f>+MATCH(D1232,ARTICULOS!$F$10:$F$699,0)</f>
        <v>#N/A</v>
      </c>
      <c r="C1232" s="86" t="e">
        <f>+VLOOKUP(B1232,ARTICULOS!$D$10:$I$699,6)</f>
        <v>#N/A</v>
      </c>
      <c r="D1232" s="212"/>
      <c r="E1232" s="75" t="e">
        <f t="shared" si="42"/>
        <v>#N/A</v>
      </c>
      <c r="F1232" s="80"/>
      <c r="G1232" s="81"/>
      <c r="H1232" s="78"/>
      <c r="I1232" s="78"/>
      <c r="J1232" s="78"/>
    </row>
    <row r="1233" spans="1:10" x14ac:dyDescent="0.2">
      <c r="A1233" s="84">
        <f t="shared" si="41"/>
        <v>1227</v>
      </c>
      <c r="B1233" s="85" t="e">
        <f>+MATCH(D1233,ARTICULOS!$F$10:$F$699,0)</f>
        <v>#N/A</v>
      </c>
      <c r="C1233" s="86" t="e">
        <f>+VLOOKUP(B1233,ARTICULOS!$D$10:$I$699,6)</f>
        <v>#N/A</v>
      </c>
      <c r="D1233" s="212"/>
      <c r="E1233" s="75" t="e">
        <f t="shared" si="42"/>
        <v>#N/A</v>
      </c>
      <c r="F1233" s="80"/>
      <c r="G1233" s="81"/>
      <c r="H1233" s="78"/>
      <c r="I1233" s="78"/>
      <c r="J1233" s="78"/>
    </row>
    <row r="1234" spans="1:10" x14ac:dyDescent="0.2">
      <c r="A1234" s="84">
        <f t="shared" si="41"/>
        <v>1228</v>
      </c>
      <c r="B1234" s="85" t="e">
        <f>+MATCH(D1234,ARTICULOS!$F$10:$F$699,0)</f>
        <v>#N/A</v>
      </c>
      <c r="C1234" s="86" t="e">
        <f>+VLOOKUP(B1234,ARTICULOS!$D$10:$I$699,6)</f>
        <v>#N/A</v>
      </c>
      <c r="D1234" s="212"/>
      <c r="E1234" s="75" t="e">
        <f t="shared" si="42"/>
        <v>#N/A</v>
      </c>
      <c r="F1234" s="80"/>
      <c r="G1234" s="81"/>
      <c r="H1234" s="78"/>
      <c r="I1234" s="78"/>
      <c r="J1234" s="78"/>
    </row>
    <row r="1235" spans="1:10" x14ac:dyDescent="0.2">
      <c r="A1235" s="84">
        <f t="shared" si="41"/>
        <v>1229</v>
      </c>
      <c r="B1235" s="85" t="e">
        <f>+MATCH(D1235,ARTICULOS!$F$10:$F$699,0)</f>
        <v>#N/A</v>
      </c>
      <c r="C1235" s="86" t="e">
        <f>+VLOOKUP(B1235,ARTICULOS!$D$10:$I$699,6)</f>
        <v>#N/A</v>
      </c>
      <c r="D1235" s="212"/>
      <c r="E1235" s="75" t="e">
        <f t="shared" si="42"/>
        <v>#N/A</v>
      </c>
      <c r="F1235" s="80"/>
      <c r="G1235" s="81"/>
      <c r="H1235" s="78"/>
      <c r="I1235" s="78"/>
      <c r="J1235" s="78"/>
    </row>
    <row r="1236" spans="1:10" x14ac:dyDescent="0.2">
      <c r="A1236" s="84">
        <f t="shared" si="41"/>
        <v>1230</v>
      </c>
      <c r="B1236" s="85" t="e">
        <f>+MATCH(D1236,ARTICULOS!$F$10:$F$699,0)</f>
        <v>#N/A</v>
      </c>
      <c r="C1236" s="86" t="e">
        <f>+VLOOKUP(B1236,ARTICULOS!$D$10:$I$699,6)</f>
        <v>#N/A</v>
      </c>
      <c r="D1236" s="212"/>
      <c r="E1236" s="75" t="e">
        <f t="shared" si="42"/>
        <v>#N/A</v>
      </c>
      <c r="F1236" s="80"/>
      <c r="G1236" s="81"/>
      <c r="H1236" s="78"/>
      <c r="I1236" s="78"/>
      <c r="J1236" s="78"/>
    </row>
    <row r="1237" spans="1:10" x14ac:dyDescent="0.2">
      <c r="A1237" s="84">
        <f t="shared" si="41"/>
        <v>1231</v>
      </c>
      <c r="B1237" s="85" t="e">
        <f>+MATCH(D1237,ARTICULOS!$F$10:$F$699,0)</f>
        <v>#N/A</v>
      </c>
      <c r="C1237" s="86" t="e">
        <f>+VLOOKUP(B1237,ARTICULOS!$D$10:$I$699,6)</f>
        <v>#N/A</v>
      </c>
      <c r="D1237" s="212"/>
      <c r="E1237" s="75" t="e">
        <f t="shared" si="42"/>
        <v>#N/A</v>
      </c>
      <c r="F1237" s="80"/>
      <c r="G1237" s="81"/>
      <c r="H1237" s="78"/>
      <c r="I1237" s="78"/>
      <c r="J1237" s="78"/>
    </row>
    <row r="1238" spans="1:10" x14ac:dyDescent="0.2">
      <c r="A1238" s="84">
        <f t="shared" si="41"/>
        <v>1232</v>
      </c>
      <c r="B1238" s="85" t="e">
        <f>+MATCH(D1238,ARTICULOS!$F$10:$F$699,0)</f>
        <v>#N/A</v>
      </c>
      <c r="C1238" s="86" t="e">
        <f>+VLOOKUP(B1238,ARTICULOS!$D$10:$I$699,6)</f>
        <v>#N/A</v>
      </c>
      <c r="D1238" s="212"/>
      <c r="E1238" s="75" t="e">
        <f t="shared" si="42"/>
        <v>#N/A</v>
      </c>
      <c r="F1238" s="80"/>
      <c r="G1238" s="81"/>
      <c r="H1238" s="78"/>
      <c r="I1238" s="78"/>
      <c r="J1238" s="78"/>
    </row>
    <row r="1239" spans="1:10" x14ac:dyDescent="0.2">
      <c r="A1239" s="84">
        <f t="shared" si="41"/>
        <v>1233</v>
      </c>
      <c r="B1239" s="85" t="e">
        <f>+MATCH(D1239,ARTICULOS!$F$10:$F$699,0)</f>
        <v>#N/A</v>
      </c>
      <c r="C1239" s="86" t="e">
        <f>+VLOOKUP(B1239,ARTICULOS!$D$10:$I$699,6)</f>
        <v>#N/A</v>
      </c>
      <c r="D1239" s="212"/>
      <c r="E1239" s="75" t="e">
        <f t="shared" si="42"/>
        <v>#N/A</v>
      </c>
      <c r="F1239" s="80"/>
      <c r="G1239" s="81"/>
      <c r="H1239" s="78"/>
      <c r="I1239" s="78"/>
      <c r="J1239" s="78"/>
    </row>
    <row r="1240" spans="1:10" x14ac:dyDescent="0.2">
      <c r="A1240" s="84">
        <f t="shared" si="41"/>
        <v>1234</v>
      </c>
      <c r="B1240" s="85" t="e">
        <f>+MATCH(D1240,ARTICULOS!$F$10:$F$699,0)</f>
        <v>#N/A</v>
      </c>
      <c r="C1240" s="86" t="e">
        <f>+VLOOKUP(B1240,ARTICULOS!$D$10:$I$699,6)</f>
        <v>#N/A</v>
      </c>
      <c r="D1240" s="212"/>
      <c r="E1240" s="75" t="e">
        <f t="shared" si="42"/>
        <v>#N/A</v>
      </c>
      <c r="F1240" s="80"/>
      <c r="G1240" s="81"/>
      <c r="H1240" s="78"/>
      <c r="I1240" s="78"/>
      <c r="J1240" s="78"/>
    </row>
    <row r="1241" spans="1:10" x14ac:dyDescent="0.2">
      <c r="A1241" s="84">
        <f t="shared" si="41"/>
        <v>1235</v>
      </c>
      <c r="B1241" s="85" t="e">
        <f>+MATCH(D1241,ARTICULOS!$F$10:$F$699,0)</f>
        <v>#N/A</v>
      </c>
      <c r="C1241" s="86" t="e">
        <f>+VLOOKUP(B1241,ARTICULOS!$D$10:$I$699,6)</f>
        <v>#N/A</v>
      </c>
      <c r="D1241" s="212"/>
      <c r="E1241" s="75" t="e">
        <f t="shared" si="42"/>
        <v>#N/A</v>
      </c>
      <c r="F1241" s="80"/>
      <c r="G1241" s="81"/>
      <c r="H1241" s="78"/>
      <c r="I1241" s="78"/>
      <c r="J1241" s="78"/>
    </row>
    <row r="1242" spans="1:10" x14ac:dyDescent="0.2">
      <c r="A1242" s="84">
        <f t="shared" si="41"/>
        <v>1236</v>
      </c>
      <c r="B1242" s="85" t="e">
        <f>+MATCH(D1242,ARTICULOS!$F$10:$F$699,0)</f>
        <v>#N/A</v>
      </c>
      <c r="C1242" s="86" t="e">
        <f>+VLOOKUP(B1242,ARTICULOS!$D$10:$I$699,6)</f>
        <v>#N/A</v>
      </c>
      <c r="D1242" s="212"/>
      <c r="E1242" s="75" t="e">
        <f t="shared" si="42"/>
        <v>#N/A</v>
      </c>
      <c r="F1242" s="80"/>
      <c r="G1242" s="81"/>
      <c r="H1242" s="78"/>
      <c r="I1242" s="78"/>
      <c r="J1242" s="78"/>
    </row>
    <row r="1243" spans="1:10" x14ac:dyDescent="0.2">
      <c r="A1243" s="84">
        <f t="shared" si="41"/>
        <v>1237</v>
      </c>
      <c r="B1243" s="85" t="e">
        <f>+MATCH(D1243,ARTICULOS!$F$10:$F$699,0)</f>
        <v>#N/A</v>
      </c>
      <c r="C1243" s="86" t="e">
        <f>+VLOOKUP(B1243,ARTICULOS!$D$10:$I$699,6)</f>
        <v>#N/A</v>
      </c>
      <c r="D1243" s="212"/>
      <c r="E1243" s="75" t="e">
        <f t="shared" si="42"/>
        <v>#N/A</v>
      </c>
      <c r="F1243" s="80"/>
      <c r="G1243" s="81"/>
      <c r="H1243" s="78"/>
      <c r="I1243" s="78"/>
      <c r="J1243" s="78"/>
    </row>
    <row r="1244" spans="1:10" x14ac:dyDescent="0.2">
      <c r="A1244" s="84">
        <f t="shared" si="41"/>
        <v>1238</v>
      </c>
      <c r="B1244" s="85" t="e">
        <f>+MATCH(D1244,ARTICULOS!$F$10:$F$699,0)</f>
        <v>#N/A</v>
      </c>
      <c r="C1244" s="86" t="e">
        <f>+VLOOKUP(B1244,ARTICULOS!$D$10:$I$699,6)</f>
        <v>#N/A</v>
      </c>
      <c r="D1244" s="212"/>
      <c r="E1244" s="75" t="e">
        <f t="shared" si="42"/>
        <v>#N/A</v>
      </c>
      <c r="F1244" s="80"/>
      <c r="G1244" s="81"/>
      <c r="H1244" s="78"/>
      <c r="I1244" s="78"/>
      <c r="J1244" s="78"/>
    </row>
    <row r="1245" spans="1:10" x14ac:dyDescent="0.2">
      <c r="A1245" s="84">
        <f t="shared" si="41"/>
        <v>1239</v>
      </c>
      <c r="B1245" s="85" t="e">
        <f>+MATCH(D1245,ARTICULOS!$F$10:$F$699,0)</f>
        <v>#N/A</v>
      </c>
      <c r="C1245" s="86" t="e">
        <f>+VLOOKUP(B1245,ARTICULOS!$D$10:$I$699,6)</f>
        <v>#N/A</v>
      </c>
      <c r="D1245" s="212"/>
      <c r="E1245" s="75" t="e">
        <f t="shared" si="42"/>
        <v>#N/A</v>
      </c>
      <c r="F1245" s="80"/>
      <c r="G1245" s="81"/>
      <c r="H1245" s="78"/>
      <c r="I1245" s="78"/>
      <c r="J1245" s="78"/>
    </row>
    <row r="1246" spans="1:10" x14ac:dyDescent="0.2">
      <c r="A1246" s="84">
        <f t="shared" si="41"/>
        <v>1240</v>
      </c>
      <c r="B1246" s="85" t="e">
        <f>+MATCH(D1246,ARTICULOS!$F$10:$F$699,0)</f>
        <v>#N/A</v>
      </c>
      <c r="C1246" s="86" t="e">
        <f>+VLOOKUP(B1246,ARTICULOS!$D$10:$I$699,6)</f>
        <v>#N/A</v>
      </c>
      <c r="D1246" s="212"/>
      <c r="E1246" s="75" t="e">
        <f t="shared" si="42"/>
        <v>#N/A</v>
      </c>
      <c r="F1246" s="80"/>
      <c r="G1246" s="81"/>
      <c r="H1246" s="78"/>
      <c r="I1246" s="78"/>
      <c r="J1246" s="78"/>
    </row>
    <row r="1247" spans="1:10" x14ac:dyDescent="0.2">
      <c r="A1247" s="84">
        <f t="shared" si="41"/>
        <v>1241</v>
      </c>
      <c r="B1247" s="85" t="e">
        <f>+MATCH(D1247,ARTICULOS!$F$10:$F$699,0)</f>
        <v>#N/A</v>
      </c>
      <c r="C1247" s="86" t="e">
        <f>+VLOOKUP(B1247,ARTICULOS!$D$10:$I$699,6)</f>
        <v>#N/A</v>
      </c>
      <c r="D1247" s="212"/>
      <c r="E1247" s="75" t="e">
        <f t="shared" si="42"/>
        <v>#N/A</v>
      </c>
      <c r="F1247" s="80"/>
      <c r="G1247" s="81"/>
      <c r="H1247" s="78"/>
      <c r="I1247" s="78"/>
      <c r="J1247" s="78"/>
    </row>
    <row r="1248" spans="1:10" x14ac:dyDescent="0.2">
      <c r="A1248" s="84">
        <f t="shared" si="41"/>
        <v>1242</v>
      </c>
      <c r="B1248" s="85" t="e">
        <f>+MATCH(D1248,ARTICULOS!$F$10:$F$699,0)</f>
        <v>#N/A</v>
      </c>
      <c r="C1248" s="86" t="e">
        <f>+VLOOKUP(B1248,ARTICULOS!$D$10:$I$699,6)</f>
        <v>#N/A</v>
      </c>
      <c r="D1248" s="212"/>
      <c r="E1248" s="75" t="e">
        <f t="shared" si="42"/>
        <v>#N/A</v>
      </c>
      <c r="F1248" s="80"/>
      <c r="G1248" s="81"/>
      <c r="H1248" s="78"/>
      <c r="I1248" s="78"/>
      <c r="J1248" s="78"/>
    </row>
    <row r="1249" spans="1:10" x14ac:dyDescent="0.2">
      <c r="A1249" s="84">
        <f t="shared" si="41"/>
        <v>1243</v>
      </c>
      <c r="B1249" s="85" t="e">
        <f>+MATCH(D1249,ARTICULOS!$F$10:$F$699,0)</f>
        <v>#N/A</v>
      </c>
      <c r="C1249" s="86" t="e">
        <f>+VLOOKUP(B1249,ARTICULOS!$D$10:$I$699,6)</f>
        <v>#N/A</v>
      </c>
      <c r="D1249" s="212"/>
      <c r="E1249" s="75" t="e">
        <f t="shared" si="42"/>
        <v>#N/A</v>
      </c>
      <c r="F1249" s="80"/>
      <c r="G1249" s="81"/>
      <c r="H1249" s="78"/>
      <c r="I1249" s="78"/>
      <c r="J1249" s="78"/>
    </row>
    <row r="1250" spans="1:10" x14ac:dyDescent="0.2">
      <c r="A1250" s="84">
        <f t="shared" si="41"/>
        <v>1244</v>
      </c>
      <c r="B1250" s="85" t="e">
        <f>+MATCH(D1250,ARTICULOS!$F$10:$F$699,0)</f>
        <v>#N/A</v>
      </c>
      <c r="C1250" s="86" t="e">
        <f>+VLOOKUP(B1250,ARTICULOS!$D$10:$I$699,6)</f>
        <v>#N/A</v>
      </c>
      <c r="D1250" s="212"/>
      <c r="E1250" s="75" t="e">
        <f t="shared" si="42"/>
        <v>#N/A</v>
      </c>
      <c r="F1250" s="80"/>
      <c r="G1250" s="81"/>
      <c r="H1250" s="78"/>
      <c r="I1250" s="78"/>
      <c r="J1250" s="78"/>
    </row>
    <row r="1251" spans="1:10" x14ac:dyDescent="0.2">
      <c r="A1251" s="84">
        <f t="shared" si="41"/>
        <v>1245</v>
      </c>
      <c r="B1251" s="85" t="e">
        <f>+MATCH(D1251,ARTICULOS!$F$10:$F$699,0)</f>
        <v>#N/A</v>
      </c>
      <c r="C1251" s="86" t="e">
        <f>+VLOOKUP(B1251,ARTICULOS!$D$10:$I$699,6)</f>
        <v>#N/A</v>
      </c>
      <c r="D1251" s="212"/>
      <c r="E1251" s="75" t="e">
        <f t="shared" si="42"/>
        <v>#N/A</v>
      </c>
      <c r="F1251" s="80"/>
      <c r="G1251" s="81"/>
      <c r="H1251" s="78"/>
      <c r="I1251" s="78"/>
      <c r="J1251" s="78"/>
    </row>
    <row r="1252" spans="1:10" x14ac:dyDescent="0.2">
      <c r="A1252" s="84">
        <f t="shared" si="41"/>
        <v>1246</v>
      </c>
      <c r="B1252" s="85" t="e">
        <f>+MATCH(D1252,ARTICULOS!$F$10:$F$699,0)</f>
        <v>#N/A</v>
      </c>
      <c r="C1252" s="86" t="e">
        <f>+VLOOKUP(B1252,ARTICULOS!$D$10:$I$699,6)</f>
        <v>#N/A</v>
      </c>
      <c r="D1252" s="212"/>
      <c r="E1252" s="75" t="e">
        <f t="shared" si="42"/>
        <v>#N/A</v>
      </c>
      <c r="F1252" s="80"/>
      <c r="G1252" s="81"/>
      <c r="H1252" s="78"/>
      <c r="I1252" s="78"/>
      <c r="J1252" s="78"/>
    </row>
    <row r="1253" spans="1:10" x14ac:dyDescent="0.2">
      <c r="A1253" s="84">
        <f t="shared" si="41"/>
        <v>1247</v>
      </c>
      <c r="B1253" s="85" t="e">
        <f>+MATCH(D1253,ARTICULOS!$F$10:$F$699,0)</f>
        <v>#N/A</v>
      </c>
      <c r="C1253" s="86" t="e">
        <f>+VLOOKUP(B1253,ARTICULOS!$D$10:$I$699,6)</f>
        <v>#N/A</v>
      </c>
      <c r="D1253" s="212"/>
      <c r="E1253" s="75" t="e">
        <f t="shared" si="42"/>
        <v>#N/A</v>
      </c>
      <c r="F1253" s="80"/>
      <c r="G1253" s="81"/>
      <c r="H1253" s="78"/>
      <c r="I1253" s="78"/>
      <c r="J1253" s="78"/>
    </row>
    <row r="1254" spans="1:10" x14ac:dyDescent="0.2">
      <c r="A1254" s="84">
        <f t="shared" si="41"/>
        <v>1248</v>
      </c>
      <c r="B1254" s="85" t="e">
        <f>+MATCH(D1254,ARTICULOS!$F$10:$F$699,0)</f>
        <v>#N/A</v>
      </c>
      <c r="C1254" s="86" t="e">
        <f>+VLOOKUP(B1254,ARTICULOS!$D$10:$I$699,6)</f>
        <v>#N/A</v>
      </c>
      <c r="D1254" s="212"/>
      <c r="E1254" s="75" t="e">
        <f t="shared" si="42"/>
        <v>#N/A</v>
      </c>
      <c r="F1254" s="80"/>
      <c r="G1254" s="81"/>
      <c r="H1254" s="78"/>
      <c r="I1254" s="78"/>
      <c r="J1254" s="78"/>
    </row>
    <row r="1255" spans="1:10" x14ac:dyDescent="0.2">
      <c r="A1255" s="84">
        <f t="shared" si="41"/>
        <v>1249</v>
      </c>
      <c r="B1255" s="85" t="e">
        <f>+MATCH(D1255,ARTICULOS!$F$10:$F$699,0)</f>
        <v>#N/A</v>
      </c>
      <c r="C1255" s="86" t="e">
        <f>+VLOOKUP(B1255,ARTICULOS!$D$10:$I$699,6)</f>
        <v>#N/A</v>
      </c>
      <c r="D1255" s="212"/>
      <c r="E1255" s="75" t="e">
        <f t="shared" si="42"/>
        <v>#N/A</v>
      </c>
      <c r="F1255" s="80"/>
      <c r="G1255" s="81"/>
      <c r="H1255" s="78"/>
      <c r="I1255" s="78"/>
      <c r="J1255" s="78"/>
    </row>
    <row r="1256" spans="1:10" x14ac:dyDescent="0.2">
      <c r="A1256" s="84">
        <f t="shared" si="41"/>
        <v>1250</v>
      </c>
      <c r="B1256" s="85" t="e">
        <f>+MATCH(D1256,ARTICULOS!$F$10:$F$699,0)</f>
        <v>#N/A</v>
      </c>
      <c r="C1256" s="86" t="e">
        <f>+VLOOKUP(B1256,ARTICULOS!$D$10:$I$699,6)</f>
        <v>#N/A</v>
      </c>
      <c r="D1256" s="212"/>
      <c r="E1256" s="75" t="e">
        <f t="shared" si="42"/>
        <v>#N/A</v>
      </c>
      <c r="F1256" s="80"/>
      <c r="G1256" s="81"/>
      <c r="H1256" s="78"/>
      <c r="I1256" s="78"/>
      <c r="J1256" s="78"/>
    </row>
    <row r="1257" spans="1:10" x14ac:dyDescent="0.2">
      <c r="A1257" s="84">
        <f t="shared" ref="A1257:A1320" si="43">ROW()-6</f>
        <v>1251</v>
      </c>
      <c r="B1257" s="85" t="e">
        <f>+MATCH(D1257,ARTICULOS!$F$10:$F$699,0)</f>
        <v>#N/A</v>
      </c>
      <c r="C1257" s="86" t="e">
        <f>+VLOOKUP(B1257,ARTICULOS!$D$10:$I$699,6)</f>
        <v>#N/A</v>
      </c>
      <c r="D1257" s="212"/>
      <c r="E1257" s="75" t="e">
        <f t="shared" si="42"/>
        <v>#N/A</v>
      </c>
      <c r="F1257" s="80"/>
      <c r="G1257" s="81"/>
      <c r="H1257" s="78"/>
      <c r="I1257" s="78"/>
      <c r="J1257" s="78"/>
    </row>
    <row r="1258" spans="1:10" x14ac:dyDescent="0.2">
      <c r="A1258" s="84">
        <f t="shared" si="43"/>
        <v>1252</v>
      </c>
      <c r="B1258" s="85" t="e">
        <f>+MATCH(D1258,ARTICULOS!$F$10:$F$699,0)</f>
        <v>#N/A</v>
      </c>
      <c r="C1258" s="86" t="e">
        <f>+VLOOKUP(B1258,ARTICULOS!$D$10:$I$699,6)</f>
        <v>#N/A</v>
      </c>
      <c r="D1258" s="212"/>
      <c r="E1258" s="75" t="e">
        <f t="shared" si="42"/>
        <v>#N/A</v>
      </c>
      <c r="F1258" s="80"/>
      <c r="G1258" s="81"/>
      <c r="H1258" s="78"/>
      <c r="I1258" s="78"/>
      <c r="J1258" s="78"/>
    </row>
    <row r="1259" spans="1:10" x14ac:dyDescent="0.2">
      <c r="A1259" s="84">
        <f t="shared" si="43"/>
        <v>1253</v>
      </c>
      <c r="B1259" s="85" t="e">
        <f>+MATCH(D1259,ARTICULOS!$F$10:$F$699,0)</f>
        <v>#N/A</v>
      </c>
      <c r="C1259" s="86" t="e">
        <f>+VLOOKUP(B1259,ARTICULOS!$D$10:$I$699,6)</f>
        <v>#N/A</v>
      </c>
      <c r="D1259" s="212"/>
      <c r="E1259" s="75" t="e">
        <f t="shared" si="42"/>
        <v>#N/A</v>
      </c>
      <c r="F1259" s="80"/>
      <c r="G1259" s="81"/>
      <c r="H1259" s="78"/>
      <c r="I1259" s="78"/>
      <c r="J1259" s="78"/>
    </row>
    <row r="1260" spans="1:10" x14ac:dyDescent="0.2">
      <c r="A1260" s="84">
        <f t="shared" si="43"/>
        <v>1254</v>
      </c>
      <c r="B1260" s="85" t="e">
        <f>+MATCH(D1260,ARTICULOS!$F$10:$F$699,0)</f>
        <v>#N/A</v>
      </c>
      <c r="C1260" s="86" t="e">
        <f>+VLOOKUP(B1260,ARTICULOS!$D$10:$I$699,6)</f>
        <v>#N/A</v>
      </c>
      <c r="D1260" s="212"/>
      <c r="E1260" s="75" t="e">
        <f t="shared" si="42"/>
        <v>#N/A</v>
      </c>
      <c r="F1260" s="80"/>
      <c r="G1260" s="81"/>
      <c r="H1260" s="78"/>
      <c r="I1260" s="78"/>
      <c r="J1260" s="78"/>
    </row>
    <row r="1261" spans="1:10" x14ac:dyDescent="0.2">
      <c r="A1261" s="84">
        <f t="shared" si="43"/>
        <v>1255</v>
      </c>
      <c r="B1261" s="85" t="e">
        <f>+MATCH(D1261,ARTICULOS!$F$10:$F$699,0)</f>
        <v>#N/A</v>
      </c>
      <c r="C1261" s="86" t="e">
        <f>+VLOOKUP(B1261,ARTICULOS!$D$10:$I$699,6)</f>
        <v>#N/A</v>
      </c>
      <c r="D1261" s="212"/>
      <c r="E1261" s="75" t="e">
        <f t="shared" si="42"/>
        <v>#N/A</v>
      </c>
      <c r="F1261" s="80"/>
      <c r="G1261" s="81"/>
      <c r="H1261" s="78"/>
      <c r="I1261" s="78"/>
      <c r="J1261" s="78"/>
    </row>
    <row r="1262" spans="1:10" x14ac:dyDescent="0.2">
      <c r="A1262" s="84">
        <f t="shared" si="43"/>
        <v>1256</v>
      </c>
      <c r="B1262" s="85" t="e">
        <f>+MATCH(D1262,ARTICULOS!$F$10:$F$699,0)</f>
        <v>#N/A</v>
      </c>
      <c r="C1262" s="86" t="e">
        <f>+VLOOKUP(B1262,ARTICULOS!$D$10:$I$699,6)</f>
        <v>#N/A</v>
      </c>
      <c r="D1262" s="212"/>
      <c r="E1262" s="75" t="e">
        <f t="shared" si="42"/>
        <v>#N/A</v>
      </c>
      <c r="F1262" s="80"/>
      <c r="G1262" s="81"/>
      <c r="H1262" s="78"/>
      <c r="I1262" s="78"/>
      <c r="J1262" s="78"/>
    </row>
    <row r="1263" spans="1:10" x14ac:dyDescent="0.2">
      <c r="A1263" s="84">
        <f t="shared" si="43"/>
        <v>1257</v>
      </c>
      <c r="B1263" s="85" t="e">
        <f>+MATCH(D1263,ARTICULOS!$F$10:$F$699,0)</f>
        <v>#N/A</v>
      </c>
      <c r="C1263" s="86" t="e">
        <f>+VLOOKUP(B1263,ARTICULOS!$D$10:$I$699,6)</f>
        <v>#N/A</v>
      </c>
      <c r="D1263" s="212"/>
      <c r="E1263" s="75" t="e">
        <f t="shared" si="42"/>
        <v>#N/A</v>
      </c>
      <c r="F1263" s="80"/>
      <c r="G1263" s="81"/>
      <c r="H1263" s="78"/>
      <c r="I1263" s="78"/>
      <c r="J1263" s="78"/>
    </row>
    <row r="1264" spans="1:10" x14ac:dyDescent="0.2">
      <c r="A1264" s="84">
        <f t="shared" si="43"/>
        <v>1258</v>
      </c>
      <c r="B1264" s="85" t="e">
        <f>+MATCH(D1264,ARTICULOS!$F$10:$F$699,0)</f>
        <v>#N/A</v>
      </c>
      <c r="C1264" s="86" t="e">
        <f>+VLOOKUP(B1264,ARTICULOS!$D$10:$I$699,6)</f>
        <v>#N/A</v>
      </c>
      <c r="D1264" s="212"/>
      <c r="E1264" s="75" t="e">
        <f t="shared" si="42"/>
        <v>#N/A</v>
      </c>
      <c r="F1264" s="80"/>
      <c r="G1264" s="81"/>
      <c r="H1264" s="78"/>
      <c r="I1264" s="78"/>
      <c r="J1264" s="78"/>
    </row>
    <row r="1265" spans="1:10" x14ac:dyDescent="0.2">
      <c r="A1265" s="84">
        <f t="shared" si="43"/>
        <v>1259</v>
      </c>
      <c r="B1265" s="85" t="e">
        <f>+MATCH(D1265,ARTICULOS!$F$10:$F$699,0)</f>
        <v>#N/A</v>
      </c>
      <c r="C1265" s="86" t="e">
        <f>+VLOOKUP(B1265,ARTICULOS!$D$10:$I$699,6)</f>
        <v>#N/A</v>
      </c>
      <c r="D1265" s="212"/>
      <c r="E1265" s="75" t="e">
        <f t="shared" si="42"/>
        <v>#N/A</v>
      </c>
      <c r="F1265" s="80"/>
      <c r="G1265" s="81"/>
      <c r="H1265" s="78"/>
      <c r="I1265" s="78"/>
      <c r="J1265" s="78"/>
    </row>
    <row r="1266" spans="1:10" x14ac:dyDescent="0.2">
      <c r="A1266" s="84">
        <f t="shared" si="43"/>
        <v>1260</v>
      </c>
      <c r="B1266" s="85" t="e">
        <f>+MATCH(D1266,ARTICULOS!$F$10:$F$699,0)</f>
        <v>#N/A</v>
      </c>
      <c r="C1266" s="86" t="e">
        <f>+VLOOKUP(B1266,ARTICULOS!$D$10:$I$699,6)</f>
        <v>#N/A</v>
      </c>
      <c r="D1266" s="212"/>
      <c r="E1266" s="75" t="e">
        <f t="shared" si="42"/>
        <v>#N/A</v>
      </c>
      <c r="F1266" s="80"/>
      <c r="G1266" s="81"/>
      <c r="H1266" s="78"/>
      <c r="I1266" s="78"/>
      <c r="J1266" s="78"/>
    </row>
    <row r="1267" spans="1:10" x14ac:dyDescent="0.2">
      <c r="A1267" s="84">
        <f t="shared" si="43"/>
        <v>1261</v>
      </c>
      <c r="B1267" s="85" t="e">
        <f>+MATCH(D1267,ARTICULOS!$F$10:$F$699,0)</f>
        <v>#N/A</v>
      </c>
      <c r="C1267" s="86" t="e">
        <f>+VLOOKUP(B1267,ARTICULOS!$D$10:$I$699,6)</f>
        <v>#N/A</v>
      </c>
      <c r="D1267" s="212"/>
      <c r="E1267" s="75" t="e">
        <f t="shared" si="42"/>
        <v>#N/A</v>
      </c>
      <c r="F1267" s="80"/>
      <c r="G1267" s="81"/>
      <c r="H1267" s="78"/>
      <c r="I1267" s="78"/>
      <c r="J1267" s="78"/>
    </row>
    <row r="1268" spans="1:10" x14ac:dyDescent="0.2">
      <c r="A1268" s="84">
        <f t="shared" si="43"/>
        <v>1262</v>
      </c>
      <c r="B1268" s="85" t="e">
        <f>+MATCH(D1268,ARTICULOS!$F$10:$F$699,0)</f>
        <v>#N/A</v>
      </c>
      <c r="C1268" s="86" t="e">
        <f>+VLOOKUP(B1268,ARTICULOS!$D$10:$I$699,6)</f>
        <v>#N/A</v>
      </c>
      <c r="D1268" s="212"/>
      <c r="E1268" s="75" t="e">
        <f t="shared" si="42"/>
        <v>#N/A</v>
      </c>
      <c r="F1268" s="80"/>
      <c r="G1268" s="81"/>
      <c r="H1268" s="78"/>
      <c r="I1268" s="78"/>
      <c r="J1268" s="78"/>
    </row>
    <row r="1269" spans="1:10" x14ac:dyDescent="0.2">
      <c r="A1269" s="84">
        <f t="shared" si="43"/>
        <v>1263</v>
      </c>
      <c r="B1269" s="85" t="e">
        <f>+MATCH(D1269,ARTICULOS!$F$10:$F$699,0)</f>
        <v>#N/A</v>
      </c>
      <c r="C1269" s="86" t="e">
        <f>+VLOOKUP(B1269,ARTICULOS!$D$10:$I$699,6)</f>
        <v>#N/A</v>
      </c>
      <c r="D1269" s="212"/>
      <c r="E1269" s="75" t="e">
        <f t="shared" si="42"/>
        <v>#N/A</v>
      </c>
      <c r="F1269" s="80"/>
      <c r="G1269" s="81"/>
      <c r="H1269" s="78"/>
      <c r="I1269" s="78"/>
      <c r="J1269" s="78"/>
    </row>
    <row r="1270" spans="1:10" x14ac:dyDescent="0.2">
      <c r="A1270" s="84">
        <f t="shared" si="43"/>
        <v>1264</v>
      </c>
      <c r="B1270" s="85" t="e">
        <f>+MATCH(D1270,ARTICULOS!$F$10:$F$699,0)</f>
        <v>#N/A</v>
      </c>
      <c r="C1270" s="86" t="e">
        <f>+VLOOKUP(B1270,ARTICULOS!$D$10:$I$699,6)</f>
        <v>#N/A</v>
      </c>
      <c r="D1270" s="212"/>
      <c r="E1270" s="75" t="e">
        <f t="shared" si="42"/>
        <v>#N/A</v>
      </c>
      <c r="F1270" s="80"/>
      <c r="G1270" s="81"/>
      <c r="H1270" s="78"/>
      <c r="I1270" s="78"/>
      <c r="J1270" s="78"/>
    </row>
    <row r="1271" spans="1:10" x14ac:dyDescent="0.2">
      <c r="A1271" s="84">
        <f t="shared" si="43"/>
        <v>1265</v>
      </c>
      <c r="B1271" s="85" t="e">
        <f>+MATCH(D1271,ARTICULOS!$F$10:$F$699,0)</f>
        <v>#N/A</v>
      </c>
      <c r="C1271" s="86" t="e">
        <f>+VLOOKUP(B1271,ARTICULOS!$D$10:$I$699,6)</f>
        <v>#N/A</v>
      </c>
      <c r="D1271" s="212"/>
      <c r="E1271" s="75" t="e">
        <f t="shared" si="42"/>
        <v>#N/A</v>
      </c>
      <c r="F1271" s="80"/>
      <c r="G1271" s="81"/>
      <c r="H1271" s="78"/>
      <c r="I1271" s="78"/>
      <c r="J1271" s="78"/>
    </row>
    <row r="1272" spans="1:10" x14ac:dyDescent="0.2">
      <c r="A1272" s="84">
        <f t="shared" si="43"/>
        <v>1266</v>
      </c>
      <c r="B1272" s="85" t="e">
        <f>+MATCH(D1272,ARTICULOS!$F$10:$F$699,0)</f>
        <v>#N/A</v>
      </c>
      <c r="C1272" s="86" t="e">
        <f>+VLOOKUP(B1272,ARTICULOS!$D$10:$I$699,6)</f>
        <v>#N/A</v>
      </c>
      <c r="D1272" s="212"/>
      <c r="E1272" s="75" t="e">
        <f t="shared" si="42"/>
        <v>#N/A</v>
      </c>
      <c r="F1272" s="80"/>
      <c r="G1272" s="81"/>
      <c r="H1272" s="78"/>
      <c r="I1272" s="78"/>
      <c r="J1272" s="78"/>
    </row>
    <row r="1273" spans="1:10" x14ac:dyDescent="0.2">
      <c r="A1273" s="84">
        <f t="shared" si="43"/>
        <v>1267</v>
      </c>
      <c r="B1273" s="85" t="e">
        <f>+MATCH(D1273,ARTICULOS!$F$10:$F$699,0)</f>
        <v>#N/A</v>
      </c>
      <c r="C1273" s="86" t="e">
        <f>+VLOOKUP(B1273,ARTICULOS!$D$10:$I$699,6)</f>
        <v>#N/A</v>
      </c>
      <c r="D1273" s="212"/>
      <c r="E1273" s="75" t="e">
        <f t="shared" si="42"/>
        <v>#N/A</v>
      </c>
      <c r="F1273" s="80"/>
      <c r="G1273" s="81"/>
      <c r="H1273" s="78"/>
      <c r="I1273" s="78"/>
      <c r="J1273" s="78"/>
    </row>
    <row r="1274" spans="1:10" x14ac:dyDescent="0.2">
      <c r="A1274" s="84">
        <f t="shared" si="43"/>
        <v>1268</v>
      </c>
      <c r="B1274" s="85" t="e">
        <f>+MATCH(D1274,ARTICULOS!$F$10:$F$699,0)</f>
        <v>#N/A</v>
      </c>
      <c r="C1274" s="86" t="e">
        <f>+VLOOKUP(B1274,ARTICULOS!$D$10:$I$699,6)</f>
        <v>#N/A</v>
      </c>
      <c r="D1274" s="212"/>
      <c r="E1274" s="75" t="e">
        <f t="shared" si="42"/>
        <v>#N/A</v>
      </c>
      <c r="F1274" s="80"/>
      <c r="G1274" s="81"/>
      <c r="H1274" s="78"/>
      <c r="I1274" s="78"/>
      <c r="J1274" s="78"/>
    </row>
    <row r="1275" spans="1:10" x14ac:dyDescent="0.2">
      <c r="A1275" s="84">
        <f t="shared" si="43"/>
        <v>1269</v>
      </c>
      <c r="B1275" s="85" t="e">
        <f>+MATCH(D1275,ARTICULOS!$F$10:$F$699,0)</f>
        <v>#N/A</v>
      </c>
      <c r="C1275" s="86" t="e">
        <f>+VLOOKUP(B1275,ARTICULOS!$D$10:$I$699,6)</f>
        <v>#N/A</v>
      </c>
      <c r="D1275" s="212"/>
      <c r="E1275" s="75" t="e">
        <f t="shared" si="42"/>
        <v>#N/A</v>
      </c>
      <c r="F1275" s="80"/>
      <c r="G1275" s="81"/>
      <c r="H1275" s="78"/>
      <c r="I1275" s="78"/>
      <c r="J1275" s="78"/>
    </row>
    <row r="1276" spans="1:10" x14ac:dyDescent="0.2">
      <c r="A1276" s="84">
        <f t="shared" si="43"/>
        <v>1270</v>
      </c>
      <c r="B1276" s="85" t="e">
        <f>+MATCH(D1276,ARTICULOS!$F$10:$F$699,0)</f>
        <v>#N/A</v>
      </c>
      <c r="C1276" s="86" t="e">
        <f>+VLOOKUP(B1276,ARTICULOS!$D$10:$I$699,6)</f>
        <v>#N/A</v>
      </c>
      <c r="D1276" s="212"/>
      <c r="E1276" s="75" t="e">
        <f t="shared" si="42"/>
        <v>#N/A</v>
      </c>
      <c r="F1276" s="80"/>
      <c r="G1276" s="81"/>
      <c r="H1276" s="78"/>
      <c r="I1276" s="78"/>
      <c r="J1276" s="78"/>
    </row>
    <row r="1277" spans="1:10" x14ac:dyDescent="0.2">
      <c r="A1277" s="84">
        <f t="shared" si="43"/>
        <v>1271</v>
      </c>
      <c r="B1277" s="85" t="e">
        <f>+MATCH(D1277,ARTICULOS!$F$10:$F$699,0)</f>
        <v>#N/A</v>
      </c>
      <c r="C1277" s="86" t="e">
        <f>+VLOOKUP(B1277,ARTICULOS!$D$10:$I$699,6)</f>
        <v>#N/A</v>
      </c>
      <c r="D1277" s="212"/>
      <c r="E1277" s="75" t="e">
        <f t="shared" si="42"/>
        <v>#N/A</v>
      </c>
      <c r="F1277" s="80"/>
      <c r="G1277" s="81"/>
      <c r="H1277" s="78"/>
      <c r="I1277" s="78"/>
      <c r="J1277" s="78"/>
    </row>
    <row r="1278" spans="1:10" x14ac:dyDescent="0.2">
      <c r="A1278" s="84">
        <f t="shared" si="43"/>
        <v>1272</v>
      </c>
      <c r="B1278" s="85" t="e">
        <f>+MATCH(D1278,ARTICULOS!$F$10:$F$699,0)</f>
        <v>#N/A</v>
      </c>
      <c r="C1278" s="86" t="e">
        <f>+VLOOKUP(B1278,ARTICULOS!$D$10:$I$699,6)</f>
        <v>#N/A</v>
      </c>
      <c r="D1278" s="212"/>
      <c r="E1278" s="75" t="e">
        <f t="shared" si="42"/>
        <v>#N/A</v>
      </c>
      <c r="F1278" s="80"/>
      <c r="G1278" s="81"/>
      <c r="H1278" s="78"/>
      <c r="I1278" s="78"/>
      <c r="J1278" s="78"/>
    </row>
    <row r="1279" spans="1:10" x14ac:dyDescent="0.2">
      <c r="A1279" s="84">
        <f t="shared" si="43"/>
        <v>1273</v>
      </c>
      <c r="B1279" s="85" t="e">
        <f>+MATCH(D1279,ARTICULOS!$F$10:$F$699,0)</f>
        <v>#N/A</v>
      </c>
      <c r="C1279" s="86" t="e">
        <f>+VLOOKUP(B1279,ARTICULOS!$D$10:$I$699,6)</f>
        <v>#N/A</v>
      </c>
      <c r="D1279" s="212"/>
      <c r="E1279" s="75" t="e">
        <f t="shared" si="42"/>
        <v>#N/A</v>
      </c>
      <c r="F1279" s="80"/>
      <c r="G1279" s="81"/>
      <c r="H1279" s="78"/>
      <c r="I1279" s="78"/>
      <c r="J1279" s="78"/>
    </row>
    <row r="1280" spans="1:10" x14ac:dyDescent="0.2">
      <c r="A1280" s="84">
        <f t="shared" si="43"/>
        <v>1274</v>
      </c>
      <c r="B1280" s="85" t="e">
        <f>+MATCH(D1280,ARTICULOS!$F$10:$F$699,0)</f>
        <v>#N/A</v>
      </c>
      <c r="C1280" s="86" t="e">
        <f>+VLOOKUP(B1280,ARTICULOS!$D$10:$I$699,6)</f>
        <v>#N/A</v>
      </c>
      <c r="D1280" s="212"/>
      <c r="E1280" s="75" t="e">
        <f t="shared" si="42"/>
        <v>#N/A</v>
      </c>
      <c r="F1280" s="80"/>
      <c r="G1280" s="81"/>
      <c r="H1280" s="78"/>
      <c r="I1280" s="78"/>
      <c r="J1280" s="78"/>
    </row>
    <row r="1281" spans="1:10" x14ac:dyDescent="0.2">
      <c r="A1281" s="84">
        <f t="shared" si="43"/>
        <v>1275</v>
      </c>
      <c r="B1281" s="85" t="e">
        <f>+MATCH(D1281,ARTICULOS!$F$10:$F$699,0)</f>
        <v>#N/A</v>
      </c>
      <c r="C1281" s="86" t="e">
        <f>+VLOOKUP(B1281,ARTICULOS!$D$10:$I$699,6)</f>
        <v>#N/A</v>
      </c>
      <c r="D1281" s="212"/>
      <c r="E1281" s="75" t="e">
        <f t="shared" si="42"/>
        <v>#N/A</v>
      </c>
      <c r="F1281" s="80"/>
      <c r="G1281" s="81"/>
      <c r="H1281" s="78"/>
      <c r="I1281" s="78"/>
      <c r="J1281" s="78"/>
    </row>
    <row r="1282" spans="1:10" x14ac:dyDescent="0.2">
      <c r="A1282" s="84">
        <f t="shared" si="43"/>
        <v>1276</v>
      </c>
      <c r="B1282" s="85" t="e">
        <f>+MATCH(D1282,ARTICULOS!$F$10:$F$699,0)</f>
        <v>#N/A</v>
      </c>
      <c r="C1282" s="86" t="e">
        <f>+VLOOKUP(B1282,ARTICULOS!$D$10:$I$699,6)</f>
        <v>#N/A</v>
      </c>
      <c r="D1282" s="212"/>
      <c r="E1282" s="75" t="e">
        <f t="shared" si="42"/>
        <v>#N/A</v>
      </c>
      <c r="F1282" s="80"/>
      <c r="G1282" s="81"/>
      <c r="H1282" s="78"/>
      <c r="I1282" s="78"/>
      <c r="J1282" s="78"/>
    </row>
    <row r="1283" spans="1:10" x14ac:dyDescent="0.2">
      <c r="A1283" s="84">
        <f t="shared" si="43"/>
        <v>1277</v>
      </c>
      <c r="B1283" s="85" t="e">
        <f>+MATCH(D1283,ARTICULOS!$F$10:$F$699,0)</f>
        <v>#N/A</v>
      </c>
      <c r="C1283" s="86" t="e">
        <f>+VLOOKUP(B1283,ARTICULOS!$D$10:$I$699,6)</f>
        <v>#N/A</v>
      </c>
      <c r="D1283" s="212"/>
      <c r="E1283" s="75" t="e">
        <f t="shared" si="42"/>
        <v>#N/A</v>
      </c>
      <c r="F1283" s="80"/>
      <c r="G1283" s="81"/>
      <c r="H1283" s="78"/>
      <c r="I1283" s="78"/>
      <c r="J1283" s="78"/>
    </row>
    <row r="1284" spans="1:10" x14ac:dyDescent="0.2">
      <c r="A1284" s="84">
        <f t="shared" si="43"/>
        <v>1278</v>
      </c>
      <c r="B1284" s="85" t="e">
        <f>+MATCH(D1284,ARTICULOS!$F$10:$F$699,0)</f>
        <v>#N/A</v>
      </c>
      <c r="C1284" s="86" t="e">
        <f>+VLOOKUP(B1284,ARTICULOS!$D$10:$I$699,6)</f>
        <v>#N/A</v>
      </c>
      <c r="D1284" s="212"/>
      <c r="E1284" s="75" t="e">
        <f t="shared" si="42"/>
        <v>#N/A</v>
      </c>
      <c r="F1284" s="80"/>
      <c r="G1284" s="81"/>
      <c r="H1284" s="78"/>
      <c r="I1284" s="78"/>
      <c r="J1284" s="78"/>
    </row>
    <row r="1285" spans="1:10" x14ac:dyDescent="0.2">
      <c r="A1285" s="84">
        <f t="shared" si="43"/>
        <v>1279</v>
      </c>
      <c r="B1285" s="85" t="e">
        <f>+MATCH(D1285,ARTICULOS!$F$10:$F$699,0)</f>
        <v>#N/A</v>
      </c>
      <c r="C1285" s="86" t="e">
        <f>+VLOOKUP(B1285,ARTICULOS!$D$10:$I$699,6)</f>
        <v>#N/A</v>
      </c>
      <c r="D1285" s="212"/>
      <c r="E1285" s="75" t="e">
        <f t="shared" si="42"/>
        <v>#N/A</v>
      </c>
      <c r="F1285" s="80"/>
      <c r="G1285" s="81"/>
      <c r="H1285" s="78"/>
      <c r="I1285" s="78"/>
      <c r="J1285" s="78"/>
    </row>
    <row r="1286" spans="1:10" x14ac:dyDescent="0.2">
      <c r="A1286" s="84">
        <f t="shared" si="43"/>
        <v>1280</v>
      </c>
      <c r="B1286" s="85" t="e">
        <f>+MATCH(D1286,ARTICULOS!$F$10:$F$699,0)</f>
        <v>#N/A</v>
      </c>
      <c r="C1286" s="86" t="e">
        <f>+VLOOKUP(B1286,ARTICULOS!$D$10:$I$699,6)</f>
        <v>#N/A</v>
      </c>
      <c r="D1286" s="212"/>
      <c r="E1286" s="75" t="e">
        <f t="shared" si="42"/>
        <v>#N/A</v>
      </c>
      <c r="F1286" s="80"/>
      <c r="G1286" s="81"/>
      <c r="H1286" s="78"/>
      <c r="I1286" s="78"/>
      <c r="J1286" s="78"/>
    </row>
    <row r="1287" spans="1:10" x14ac:dyDescent="0.2">
      <c r="A1287" s="84">
        <f t="shared" si="43"/>
        <v>1281</v>
      </c>
      <c r="B1287" s="85" t="e">
        <f>+MATCH(D1287,ARTICULOS!$F$10:$F$699,0)</f>
        <v>#N/A</v>
      </c>
      <c r="C1287" s="86" t="e">
        <f>+VLOOKUP(B1287,ARTICULOS!$D$10:$I$699,6)</f>
        <v>#N/A</v>
      </c>
      <c r="D1287" s="212"/>
      <c r="E1287" s="75" t="e">
        <f t="shared" si="42"/>
        <v>#N/A</v>
      </c>
      <c r="F1287" s="80"/>
      <c r="G1287" s="81"/>
      <c r="H1287" s="78"/>
      <c r="I1287" s="78"/>
      <c r="J1287" s="78"/>
    </row>
    <row r="1288" spans="1:10" x14ac:dyDescent="0.2">
      <c r="A1288" s="84">
        <f t="shared" si="43"/>
        <v>1282</v>
      </c>
      <c r="B1288" s="85" t="e">
        <f>+MATCH(D1288,ARTICULOS!$F$10:$F$699,0)</f>
        <v>#N/A</v>
      </c>
      <c r="C1288" s="86" t="e">
        <f>+VLOOKUP(B1288,ARTICULOS!$D$10:$I$699,6)</f>
        <v>#N/A</v>
      </c>
      <c r="D1288" s="212"/>
      <c r="E1288" s="75" t="e">
        <f t="shared" si="42"/>
        <v>#N/A</v>
      </c>
      <c r="F1288" s="80"/>
      <c r="G1288" s="81"/>
      <c r="H1288" s="78"/>
      <c r="I1288" s="78"/>
      <c r="J1288" s="78"/>
    </row>
    <row r="1289" spans="1:10" x14ac:dyDescent="0.2">
      <c r="A1289" s="84">
        <f t="shared" si="43"/>
        <v>1283</v>
      </c>
      <c r="B1289" s="85" t="e">
        <f>+MATCH(D1289,ARTICULOS!$F$10:$F$699,0)</f>
        <v>#N/A</v>
      </c>
      <c r="C1289" s="86" t="e">
        <f>+VLOOKUP(B1289,ARTICULOS!$D$10:$I$699,6)</f>
        <v>#N/A</v>
      </c>
      <c r="D1289" s="212"/>
      <c r="E1289" s="75" t="e">
        <f t="shared" si="42"/>
        <v>#N/A</v>
      </c>
      <c r="F1289" s="80"/>
      <c r="G1289" s="81"/>
      <c r="H1289" s="78"/>
      <c r="I1289" s="78"/>
      <c r="J1289" s="78"/>
    </row>
    <row r="1290" spans="1:10" x14ac:dyDescent="0.2">
      <c r="A1290" s="84">
        <f t="shared" si="43"/>
        <v>1284</v>
      </c>
      <c r="B1290" s="85" t="e">
        <f>+MATCH(D1290,ARTICULOS!$F$10:$F$699,0)</f>
        <v>#N/A</v>
      </c>
      <c r="C1290" s="86" t="e">
        <f>+VLOOKUP(B1290,ARTICULOS!$D$10:$I$699,6)</f>
        <v>#N/A</v>
      </c>
      <c r="D1290" s="212"/>
      <c r="E1290" s="75" t="e">
        <f t="shared" si="42"/>
        <v>#N/A</v>
      </c>
      <c r="F1290" s="80"/>
      <c r="G1290" s="81"/>
      <c r="H1290" s="78"/>
      <c r="I1290" s="78"/>
      <c r="J1290" s="78"/>
    </row>
    <row r="1291" spans="1:10" x14ac:dyDescent="0.2">
      <c r="A1291" s="84">
        <f t="shared" si="43"/>
        <v>1285</v>
      </c>
      <c r="B1291" s="85" t="e">
        <f>+MATCH(D1291,ARTICULOS!$F$10:$F$699,0)</f>
        <v>#N/A</v>
      </c>
      <c r="C1291" s="86" t="e">
        <f>+VLOOKUP(B1291,ARTICULOS!$D$10:$I$699,6)</f>
        <v>#N/A</v>
      </c>
      <c r="D1291" s="212"/>
      <c r="E1291" s="75" t="e">
        <f t="shared" ref="E1291:E1354" si="44">+C1291&amp;F1291</f>
        <v>#N/A</v>
      </c>
      <c r="F1291" s="80"/>
      <c r="G1291" s="81"/>
      <c r="H1291" s="78"/>
      <c r="I1291" s="78"/>
      <c r="J1291" s="78"/>
    </row>
    <row r="1292" spans="1:10" x14ac:dyDescent="0.2">
      <c r="A1292" s="84">
        <f t="shared" si="43"/>
        <v>1286</v>
      </c>
      <c r="B1292" s="85" t="e">
        <f>+MATCH(D1292,ARTICULOS!$F$10:$F$699,0)</f>
        <v>#N/A</v>
      </c>
      <c r="C1292" s="86" t="e">
        <f>+VLOOKUP(B1292,ARTICULOS!$D$10:$I$699,6)</f>
        <v>#N/A</v>
      </c>
      <c r="D1292" s="212"/>
      <c r="E1292" s="75" t="e">
        <f t="shared" si="44"/>
        <v>#N/A</v>
      </c>
      <c r="F1292" s="80"/>
      <c r="G1292" s="81"/>
      <c r="H1292" s="78"/>
      <c r="I1292" s="78"/>
      <c r="J1292" s="78"/>
    </row>
    <row r="1293" spans="1:10" x14ac:dyDescent="0.2">
      <c r="A1293" s="84">
        <f t="shared" si="43"/>
        <v>1287</v>
      </c>
      <c r="B1293" s="85" t="e">
        <f>+MATCH(D1293,ARTICULOS!$F$10:$F$699,0)</f>
        <v>#N/A</v>
      </c>
      <c r="C1293" s="86" t="e">
        <f>+VLOOKUP(B1293,ARTICULOS!$D$10:$I$699,6)</f>
        <v>#N/A</v>
      </c>
      <c r="D1293" s="212"/>
      <c r="E1293" s="75" t="e">
        <f t="shared" si="44"/>
        <v>#N/A</v>
      </c>
      <c r="F1293" s="80"/>
      <c r="G1293" s="81"/>
      <c r="H1293" s="78"/>
      <c r="I1293" s="78"/>
      <c r="J1293" s="78"/>
    </row>
    <row r="1294" spans="1:10" x14ac:dyDescent="0.2">
      <c r="A1294" s="84">
        <f t="shared" si="43"/>
        <v>1288</v>
      </c>
      <c r="B1294" s="85" t="e">
        <f>+MATCH(D1294,ARTICULOS!$F$10:$F$699,0)</f>
        <v>#N/A</v>
      </c>
      <c r="C1294" s="86" t="e">
        <f>+VLOOKUP(B1294,ARTICULOS!$D$10:$I$699,6)</f>
        <v>#N/A</v>
      </c>
      <c r="D1294" s="212"/>
      <c r="E1294" s="75" t="e">
        <f t="shared" si="44"/>
        <v>#N/A</v>
      </c>
      <c r="F1294" s="80"/>
      <c r="G1294" s="81"/>
      <c r="H1294" s="78"/>
      <c r="I1294" s="78"/>
      <c r="J1294" s="78"/>
    </row>
    <row r="1295" spans="1:10" x14ac:dyDescent="0.2">
      <c r="A1295" s="84">
        <f t="shared" si="43"/>
        <v>1289</v>
      </c>
      <c r="B1295" s="85" t="e">
        <f>+MATCH(D1295,ARTICULOS!$F$10:$F$699,0)</f>
        <v>#N/A</v>
      </c>
      <c r="C1295" s="86" t="e">
        <f>+VLOOKUP(B1295,ARTICULOS!$D$10:$I$699,6)</f>
        <v>#N/A</v>
      </c>
      <c r="D1295" s="212"/>
      <c r="E1295" s="75" t="e">
        <f t="shared" si="44"/>
        <v>#N/A</v>
      </c>
      <c r="F1295" s="80"/>
      <c r="G1295" s="81"/>
      <c r="H1295" s="78"/>
      <c r="I1295" s="78"/>
      <c r="J1295" s="78"/>
    </row>
    <row r="1296" spans="1:10" x14ac:dyDescent="0.2">
      <c r="A1296" s="84">
        <f t="shared" si="43"/>
        <v>1290</v>
      </c>
      <c r="B1296" s="85" t="e">
        <f>+MATCH(D1296,ARTICULOS!$F$10:$F$699,0)</f>
        <v>#N/A</v>
      </c>
      <c r="C1296" s="86" t="e">
        <f>+VLOOKUP(B1296,ARTICULOS!$D$10:$I$699,6)</f>
        <v>#N/A</v>
      </c>
      <c r="D1296" s="212"/>
      <c r="E1296" s="75" t="e">
        <f t="shared" si="44"/>
        <v>#N/A</v>
      </c>
      <c r="F1296" s="80"/>
      <c r="G1296" s="81"/>
      <c r="H1296" s="78"/>
      <c r="I1296" s="78"/>
      <c r="J1296" s="78"/>
    </row>
    <row r="1297" spans="1:10" x14ac:dyDescent="0.2">
      <c r="A1297" s="84">
        <f t="shared" si="43"/>
        <v>1291</v>
      </c>
      <c r="B1297" s="85" t="e">
        <f>+MATCH(D1297,ARTICULOS!$F$10:$F$699,0)</f>
        <v>#N/A</v>
      </c>
      <c r="C1297" s="86" t="e">
        <f>+VLOOKUP(B1297,ARTICULOS!$D$10:$I$699,6)</f>
        <v>#N/A</v>
      </c>
      <c r="D1297" s="212"/>
      <c r="E1297" s="75" t="e">
        <f t="shared" si="44"/>
        <v>#N/A</v>
      </c>
      <c r="F1297" s="80"/>
      <c r="G1297" s="81"/>
      <c r="H1297" s="78"/>
      <c r="I1297" s="78"/>
      <c r="J1297" s="78"/>
    </row>
    <row r="1298" spans="1:10" x14ac:dyDescent="0.2">
      <c r="A1298" s="84">
        <f t="shared" si="43"/>
        <v>1292</v>
      </c>
      <c r="B1298" s="85" t="e">
        <f>+MATCH(D1298,ARTICULOS!$F$10:$F$699,0)</f>
        <v>#N/A</v>
      </c>
      <c r="C1298" s="86" t="e">
        <f>+VLOOKUP(B1298,ARTICULOS!$D$10:$I$699,6)</f>
        <v>#N/A</v>
      </c>
      <c r="D1298" s="212"/>
      <c r="E1298" s="75" t="e">
        <f t="shared" si="44"/>
        <v>#N/A</v>
      </c>
      <c r="F1298" s="80"/>
      <c r="G1298" s="81"/>
      <c r="H1298" s="78"/>
      <c r="I1298" s="78"/>
      <c r="J1298" s="78"/>
    </row>
    <row r="1299" spans="1:10" x14ac:dyDescent="0.2">
      <c r="A1299" s="84">
        <f t="shared" si="43"/>
        <v>1293</v>
      </c>
      <c r="B1299" s="85" t="e">
        <f>+MATCH(D1299,ARTICULOS!$F$10:$F$699,0)</f>
        <v>#N/A</v>
      </c>
      <c r="C1299" s="86" t="e">
        <f>+VLOOKUP(B1299,ARTICULOS!$D$10:$I$699,6)</f>
        <v>#N/A</v>
      </c>
      <c r="D1299" s="212"/>
      <c r="E1299" s="75" t="e">
        <f t="shared" si="44"/>
        <v>#N/A</v>
      </c>
      <c r="F1299" s="80"/>
      <c r="G1299" s="81"/>
      <c r="H1299" s="78"/>
      <c r="I1299" s="78"/>
      <c r="J1299" s="78"/>
    </row>
    <row r="1300" spans="1:10" x14ac:dyDescent="0.2">
      <c r="A1300" s="84">
        <f t="shared" si="43"/>
        <v>1294</v>
      </c>
      <c r="B1300" s="85" t="e">
        <f>+MATCH(D1300,ARTICULOS!$F$10:$F$699,0)</f>
        <v>#N/A</v>
      </c>
      <c r="C1300" s="86" t="e">
        <f>+VLOOKUP(B1300,ARTICULOS!$D$10:$I$699,6)</f>
        <v>#N/A</v>
      </c>
      <c r="D1300" s="212"/>
      <c r="E1300" s="75" t="e">
        <f t="shared" si="44"/>
        <v>#N/A</v>
      </c>
      <c r="F1300" s="80"/>
      <c r="G1300" s="81"/>
      <c r="H1300" s="78"/>
      <c r="I1300" s="78"/>
      <c r="J1300" s="78"/>
    </row>
    <row r="1301" spans="1:10" x14ac:dyDescent="0.2">
      <c r="A1301" s="84">
        <f t="shared" si="43"/>
        <v>1295</v>
      </c>
      <c r="B1301" s="85" t="e">
        <f>+MATCH(D1301,ARTICULOS!$F$10:$F$699,0)</f>
        <v>#N/A</v>
      </c>
      <c r="C1301" s="86" t="e">
        <f>+VLOOKUP(B1301,ARTICULOS!$D$10:$I$699,6)</f>
        <v>#N/A</v>
      </c>
      <c r="D1301" s="212"/>
      <c r="E1301" s="75" t="e">
        <f t="shared" si="44"/>
        <v>#N/A</v>
      </c>
      <c r="F1301" s="80"/>
      <c r="G1301" s="81"/>
      <c r="H1301" s="78"/>
      <c r="I1301" s="78"/>
      <c r="J1301" s="78"/>
    </row>
    <row r="1302" spans="1:10" x14ac:dyDescent="0.2">
      <c r="A1302" s="84">
        <f t="shared" si="43"/>
        <v>1296</v>
      </c>
      <c r="B1302" s="85" t="e">
        <f>+MATCH(D1302,ARTICULOS!$F$10:$F$699,0)</f>
        <v>#N/A</v>
      </c>
      <c r="C1302" s="86" t="e">
        <f>+VLOOKUP(B1302,ARTICULOS!$D$10:$I$699,6)</f>
        <v>#N/A</v>
      </c>
      <c r="D1302" s="212"/>
      <c r="E1302" s="75" t="e">
        <f t="shared" si="44"/>
        <v>#N/A</v>
      </c>
      <c r="F1302" s="80"/>
      <c r="G1302" s="81"/>
      <c r="H1302" s="78"/>
      <c r="I1302" s="78"/>
      <c r="J1302" s="78"/>
    </row>
    <row r="1303" spans="1:10" x14ac:dyDescent="0.2">
      <c r="A1303" s="84">
        <f t="shared" si="43"/>
        <v>1297</v>
      </c>
      <c r="B1303" s="85" t="e">
        <f>+MATCH(D1303,ARTICULOS!$F$10:$F$699,0)</f>
        <v>#N/A</v>
      </c>
      <c r="C1303" s="86" t="e">
        <f>+VLOOKUP(B1303,ARTICULOS!$D$10:$I$699,6)</f>
        <v>#N/A</v>
      </c>
      <c r="D1303" s="212"/>
      <c r="E1303" s="75" t="e">
        <f t="shared" si="44"/>
        <v>#N/A</v>
      </c>
      <c r="F1303" s="80"/>
      <c r="G1303" s="81"/>
      <c r="H1303" s="78"/>
      <c r="I1303" s="78"/>
      <c r="J1303" s="78"/>
    </row>
    <row r="1304" spans="1:10" x14ac:dyDescent="0.2">
      <c r="A1304" s="84">
        <f t="shared" si="43"/>
        <v>1298</v>
      </c>
      <c r="B1304" s="85" t="e">
        <f>+MATCH(D1304,ARTICULOS!$F$10:$F$699,0)</f>
        <v>#N/A</v>
      </c>
      <c r="C1304" s="86" t="e">
        <f>+VLOOKUP(B1304,ARTICULOS!$D$10:$I$699,6)</f>
        <v>#N/A</v>
      </c>
      <c r="D1304" s="212"/>
      <c r="E1304" s="75" t="e">
        <f t="shared" si="44"/>
        <v>#N/A</v>
      </c>
      <c r="F1304" s="80"/>
      <c r="G1304" s="81"/>
      <c r="H1304" s="78"/>
      <c r="I1304" s="78"/>
      <c r="J1304" s="78"/>
    </row>
    <row r="1305" spans="1:10" x14ac:dyDescent="0.2">
      <c r="A1305" s="84">
        <f t="shared" si="43"/>
        <v>1299</v>
      </c>
      <c r="B1305" s="85" t="e">
        <f>+MATCH(D1305,ARTICULOS!$F$10:$F$699,0)</f>
        <v>#N/A</v>
      </c>
      <c r="C1305" s="86" t="e">
        <f>+VLOOKUP(B1305,ARTICULOS!$D$10:$I$699,6)</f>
        <v>#N/A</v>
      </c>
      <c r="D1305" s="212"/>
      <c r="E1305" s="75" t="e">
        <f t="shared" si="44"/>
        <v>#N/A</v>
      </c>
      <c r="F1305" s="80"/>
      <c r="G1305" s="81"/>
      <c r="H1305" s="78"/>
      <c r="I1305" s="78"/>
      <c r="J1305" s="78"/>
    </row>
    <row r="1306" spans="1:10" x14ac:dyDescent="0.2">
      <c r="A1306" s="84">
        <f t="shared" si="43"/>
        <v>1300</v>
      </c>
      <c r="B1306" s="85" t="e">
        <f>+MATCH(D1306,ARTICULOS!$F$10:$F$699,0)</f>
        <v>#N/A</v>
      </c>
      <c r="C1306" s="86" t="e">
        <f>+VLOOKUP(B1306,ARTICULOS!$D$10:$I$699,6)</f>
        <v>#N/A</v>
      </c>
      <c r="D1306" s="212"/>
      <c r="E1306" s="75" t="e">
        <f t="shared" si="44"/>
        <v>#N/A</v>
      </c>
      <c r="F1306" s="80"/>
      <c r="G1306" s="81"/>
      <c r="H1306" s="78"/>
      <c r="I1306" s="78"/>
      <c r="J1306" s="78"/>
    </row>
    <row r="1307" spans="1:10" x14ac:dyDescent="0.2">
      <c r="A1307" s="84">
        <f t="shared" si="43"/>
        <v>1301</v>
      </c>
      <c r="B1307" s="85" t="e">
        <f>+MATCH(D1307,ARTICULOS!$F$10:$F$699,0)</f>
        <v>#N/A</v>
      </c>
      <c r="C1307" s="86" t="e">
        <f>+VLOOKUP(B1307,ARTICULOS!$D$10:$I$699,6)</f>
        <v>#N/A</v>
      </c>
      <c r="D1307" s="212"/>
      <c r="E1307" s="75" t="e">
        <f t="shared" si="44"/>
        <v>#N/A</v>
      </c>
      <c r="F1307" s="80"/>
      <c r="G1307" s="81"/>
      <c r="H1307" s="78"/>
      <c r="I1307" s="78"/>
      <c r="J1307" s="78"/>
    </row>
    <row r="1308" spans="1:10" x14ac:dyDescent="0.2">
      <c r="A1308" s="84">
        <f t="shared" si="43"/>
        <v>1302</v>
      </c>
      <c r="B1308" s="85" t="e">
        <f>+MATCH(D1308,ARTICULOS!$F$10:$F$699,0)</f>
        <v>#N/A</v>
      </c>
      <c r="C1308" s="86" t="e">
        <f>+VLOOKUP(B1308,ARTICULOS!$D$10:$I$699,6)</f>
        <v>#N/A</v>
      </c>
      <c r="D1308" s="212"/>
      <c r="E1308" s="75" t="e">
        <f t="shared" si="44"/>
        <v>#N/A</v>
      </c>
      <c r="F1308" s="80"/>
      <c r="G1308" s="81"/>
      <c r="H1308" s="78"/>
      <c r="I1308" s="78"/>
      <c r="J1308" s="78"/>
    </row>
    <row r="1309" spans="1:10" x14ac:dyDescent="0.2">
      <c r="A1309" s="84">
        <f t="shared" si="43"/>
        <v>1303</v>
      </c>
      <c r="B1309" s="85" t="e">
        <f>+MATCH(D1309,ARTICULOS!$F$10:$F$699,0)</f>
        <v>#N/A</v>
      </c>
      <c r="C1309" s="86" t="e">
        <f>+VLOOKUP(B1309,ARTICULOS!$D$10:$I$699,6)</f>
        <v>#N/A</v>
      </c>
      <c r="D1309" s="212"/>
      <c r="E1309" s="75" t="e">
        <f t="shared" si="44"/>
        <v>#N/A</v>
      </c>
      <c r="F1309" s="80"/>
      <c r="G1309" s="81"/>
      <c r="H1309" s="78"/>
      <c r="I1309" s="78"/>
      <c r="J1309" s="78"/>
    </row>
    <row r="1310" spans="1:10" x14ac:dyDescent="0.2">
      <c r="A1310" s="84">
        <f t="shared" si="43"/>
        <v>1304</v>
      </c>
      <c r="B1310" s="85" t="e">
        <f>+MATCH(D1310,ARTICULOS!$F$10:$F$699,0)</f>
        <v>#N/A</v>
      </c>
      <c r="C1310" s="86" t="e">
        <f>+VLOOKUP(B1310,ARTICULOS!$D$10:$I$699,6)</f>
        <v>#N/A</v>
      </c>
      <c r="D1310" s="212"/>
      <c r="E1310" s="75" t="e">
        <f t="shared" si="44"/>
        <v>#N/A</v>
      </c>
      <c r="F1310" s="80"/>
      <c r="G1310" s="81"/>
      <c r="H1310" s="78"/>
      <c r="I1310" s="78"/>
      <c r="J1310" s="78"/>
    </row>
    <row r="1311" spans="1:10" x14ac:dyDescent="0.2">
      <c r="A1311" s="84">
        <f t="shared" si="43"/>
        <v>1305</v>
      </c>
      <c r="B1311" s="85" t="e">
        <f>+MATCH(D1311,ARTICULOS!$F$10:$F$699,0)</f>
        <v>#N/A</v>
      </c>
      <c r="C1311" s="86" t="e">
        <f>+VLOOKUP(B1311,ARTICULOS!$D$10:$I$699,6)</f>
        <v>#N/A</v>
      </c>
      <c r="D1311" s="212"/>
      <c r="E1311" s="75" t="e">
        <f t="shared" si="44"/>
        <v>#N/A</v>
      </c>
      <c r="F1311" s="80"/>
      <c r="G1311" s="81"/>
      <c r="H1311" s="78"/>
      <c r="I1311" s="78"/>
      <c r="J1311" s="78"/>
    </row>
    <row r="1312" spans="1:10" x14ac:dyDescent="0.2">
      <c r="A1312" s="84">
        <f t="shared" si="43"/>
        <v>1306</v>
      </c>
      <c r="B1312" s="85" t="e">
        <f>+MATCH(D1312,ARTICULOS!$F$10:$F$699,0)</f>
        <v>#N/A</v>
      </c>
      <c r="C1312" s="86" t="e">
        <f>+VLOOKUP(B1312,ARTICULOS!$D$10:$I$699,6)</f>
        <v>#N/A</v>
      </c>
      <c r="D1312" s="212"/>
      <c r="E1312" s="75" t="e">
        <f t="shared" si="44"/>
        <v>#N/A</v>
      </c>
      <c r="F1312" s="80"/>
      <c r="G1312" s="81"/>
      <c r="H1312" s="78"/>
      <c r="I1312" s="78"/>
      <c r="J1312" s="78"/>
    </row>
    <row r="1313" spans="1:10" x14ac:dyDescent="0.2">
      <c r="A1313" s="84">
        <f t="shared" si="43"/>
        <v>1307</v>
      </c>
      <c r="B1313" s="85" t="e">
        <f>+MATCH(D1313,ARTICULOS!$F$10:$F$699,0)</f>
        <v>#N/A</v>
      </c>
      <c r="C1313" s="86" t="e">
        <f>+VLOOKUP(B1313,ARTICULOS!$D$10:$I$699,6)</f>
        <v>#N/A</v>
      </c>
      <c r="D1313" s="212"/>
      <c r="E1313" s="75" t="e">
        <f t="shared" si="44"/>
        <v>#N/A</v>
      </c>
      <c r="F1313" s="80"/>
      <c r="G1313" s="81"/>
      <c r="H1313" s="78"/>
      <c r="I1313" s="78"/>
      <c r="J1313" s="78"/>
    </row>
    <row r="1314" spans="1:10" x14ac:dyDescent="0.2">
      <c r="A1314" s="84">
        <f t="shared" si="43"/>
        <v>1308</v>
      </c>
      <c r="B1314" s="85" t="e">
        <f>+MATCH(D1314,ARTICULOS!$F$10:$F$699,0)</f>
        <v>#N/A</v>
      </c>
      <c r="C1314" s="86" t="e">
        <f>+VLOOKUP(B1314,ARTICULOS!$D$10:$I$699,6)</f>
        <v>#N/A</v>
      </c>
      <c r="D1314" s="212"/>
      <c r="E1314" s="75" t="e">
        <f t="shared" si="44"/>
        <v>#N/A</v>
      </c>
      <c r="F1314" s="80"/>
      <c r="G1314" s="81"/>
      <c r="H1314" s="78"/>
      <c r="I1314" s="78"/>
      <c r="J1314" s="78"/>
    </row>
    <row r="1315" spans="1:10" x14ac:dyDescent="0.2">
      <c r="A1315" s="84">
        <f t="shared" si="43"/>
        <v>1309</v>
      </c>
      <c r="B1315" s="85" t="e">
        <f>+MATCH(D1315,ARTICULOS!$F$10:$F$699,0)</f>
        <v>#N/A</v>
      </c>
      <c r="C1315" s="86" t="e">
        <f>+VLOOKUP(B1315,ARTICULOS!$D$10:$I$699,6)</f>
        <v>#N/A</v>
      </c>
      <c r="D1315" s="212"/>
      <c r="E1315" s="75" t="e">
        <f t="shared" si="44"/>
        <v>#N/A</v>
      </c>
      <c r="F1315" s="80"/>
      <c r="G1315" s="81"/>
      <c r="H1315" s="78"/>
      <c r="I1315" s="78"/>
      <c r="J1315" s="78"/>
    </row>
    <row r="1316" spans="1:10" x14ac:dyDescent="0.2">
      <c r="A1316" s="84">
        <f t="shared" si="43"/>
        <v>1310</v>
      </c>
      <c r="B1316" s="85" t="e">
        <f>+MATCH(D1316,ARTICULOS!$F$10:$F$699,0)</f>
        <v>#N/A</v>
      </c>
      <c r="C1316" s="86" t="e">
        <f>+VLOOKUP(B1316,ARTICULOS!$D$10:$I$699,6)</f>
        <v>#N/A</v>
      </c>
      <c r="D1316" s="212"/>
      <c r="E1316" s="75" t="e">
        <f t="shared" si="44"/>
        <v>#N/A</v>
      </c>
      <c r="F1316" s="80"/>
      <c r="G1316" s="81"/>
      <c r="H1316" s="78"/>
      <c r="I1316" s="78"/>
      <c r="J1316" s="78"/>
    </row>
    <row r="1317" spans="1:10" x14ac:dyDescent="0.2">
      <c r="A1317" s="84">
        <f t="shared" si="43"/>
        <v>1311</v>
      </c>
      <c r="B1317" s="85" t="e">
        <f>+MATCH(D1317,ARTICULOS!$F$10:$F$699,0)</f>
        <v>#N/A</v>
      </c>
      <c r="C1317" s="86" t="e">
        <f>+VLOOKUP(B1317,ARTICULOS!$D$10:$I$699,6)</f>
        <v>#N/A</v>
      </c>
      <c r="D1317" s="212"/>
      <c r="E1317" s="75" t="e">
        <f t="shared" si="44"/>
        <v>#N/A</v>
      </c>
      <c r="F1317" s="80"/>
      <c r="G1317" s="81"/>
      <c r="H1317" s="78"/>
      <c r="I1317" s="78"/>
      <c r="J1317" s="78"/>
    </row>
    <row r="1318" spans="1:10" x14ac:dyDescent="0.2">
      <c r="A1318" s="84">
        <f t="shared" si="43"/>
        <v>1312</v>
      </c>
      <c r="B1318" s="85" t="e">
        <f>+MATCH(D1318,ARTICULOS!$F$10:$F$699,0)</f>
        <v>#N/A</v>
      </c>
      <c r="C1318" s="86" t="e">
        <f>+VLOOKUP(B1318,ARTICULOS!$D$10:$I$699,6)</f>
        <v>#N/A</v>
      </c>
      <c r="D1318" s="212"/>
      <c r="E1318" s="75" t="e">
        <f t="shared" si="44"/>
        <v>#N/A</v>
      </c>
      <c r="F1318" s="80"/>
      <c r="G1318" s="81"/>
      <c r="H1318" s="78"/>
      <c r="I1318" s="78"/>
      <c r="J1318" s="78"/>
    </row>
    <row r="1319" spans="1:10" x14ac:dyDescent="0.2">
      <c r="A1319" s="84">
        <f t="shared" si="43"/>
        <v>1313</v>
      </c>
      <c r="B1319" s="85" t="e">
        <f>+MATCH(D1319,ARTICULOS!$F$10:$F$699,0)</f>
        <v>#N/A</v>
      </c>
      <c r="C1319" s="86" t="e">
        <f>+VLOOKUP(B1319,ARTICULOS!$D$10:$I$699,6)</f>
        <v>#N/A</v>
      </c>
      <c r="D1319" s="212"/>
      <c r="E1319" s="75" t="e">
        <f t="shared" si="44"/>
        <v>#N/A</v>
      </c>
      <c r="F1319" s="80"/>
      <c r="G1319" s="81"/>
      <c r="H1319" s="78"/>
      <c r="I1319" s="78"/>
      <c r="J1319" s="78"/>
    </row>
    <row r="1320" spans="1:10" x14ac:dyDescent="0.2">
      <c r="A1320" s="84">
        <f t="shared" si="43"/>
        <v>1314</v>
      </c>
      <c r="B1320" s="85" t="e">
        <f>+MATCH(D1320,ARTICULOS!$F$10:$F$699,0)</f>
        <v>#N/A</v>
      </c>
      <c r="C1320" s="86" t="e">
        <f>+VLOOKUP(B1320,ARTICULOS!$D$10:$I$699,6)</f>
        <v>#N/A</v>
      </c>
      <c r="D1320" s="212"/>
      <c r="E1320" s="75" t="e">
        <f t="shared" si="44"/>
        <v>#N/A</v>
      </c>
      <c r="F1320" s="80"/>
      <c r="G1320" s="81"/>
      <c r="H1320" s="78"/>
      <c r="I1320" s="78"/>
      <c r="J1320" s="78"/>
    </row>
    <row r="1321" spans="1:10" x14ac:dyDescent="0.2">
      <c r="A1321" s="84">
        <f t="shared" ref="A1321:A1384" si="45">ROW()-6</f>
        <v>1315</v>
      </c>
      <c r="B1321" s="85" t="e">
        <f>+MATCH(D1321,ARTICULOS!$F$10:$F$699,0)</f>
        <v>#N/A</v>
      </c>
      <c r="C1321" s="86" t="e">
        <f>+VLOOKUP(B1321,ARTICULOS!$D$10:$I$699,6)</f>
        <v>#N/A</v>
      </c>
      <c r="D1321" s="212"/>
      <c r="E1321" s="75" t="e">
        <f t="shared" si="44"/>
        <v>#N/A</v>
      </c>
      <c r="F1321" s="80"/>
      <c r="G1321" s="81"/>
      <c r="H1321" s="78"/>
      <c r="I1321" s="78"/>
      <c r="J1321" s="78"/>
    </row>
    <row r="1322" spans="1:10" x14ac:dyDescent="0.2">
      <c r="A1322" s="84">
        <f t="shared" si="45"/>
        <v>1316</v>
      </c>
      <c r="B1322" s="85" t="e">
        <f>+MATCH(D1322,ARTICULOS!$F$10:$F$699,0)</f>
        <v>#N/A</v>
      </c>
      <c r="C1322" s="86" t="e">
        <f>+VLOOKUP(B1322,ARTICULOS!$D$10:$I$699,6)</f>
        <v>#N/A</v>
      </c>
      <c r="D1322" s="212"/>
      <c r="E1322" s="75" t="e">
        <f t="shared" si="44"/>
        <v>#N/A</v>
      </c>
      <c r="F1322" s="80"/>
      <c r="G1322" s="81"/>
      <c r="H1322" s="78"/>
      <c r="I1322" s="78"/>
      <c r="J1322" s="78"/>
    </row>
    <row r="1323" spans="1:10" x14ac:dyDescent="0.2">
      <c r="A1323" s="84">
        <f t="shared" si="45"/>
        <v>1317</v>
      </c>
      <c r="B1323" s="85" t="e">
        <f>+MATCH(D1323,ARTICULOS!$F$10:$F$699,0)</f>
        <v>#N/A</v>
      </c>
      <c r="C1323" s="86" t="e">
        <f>+VLOOKUP(B1323,ARTICULOS!$D$10:$I$699,6)</f>
        <v>#N/A</v>
      </c>
      <c r="D1323" s="212"/>
      <c r="E1323" s="75" t="e">
        <f t="shared" si="44"/>
        <v>#N/A</v>
      </c>
      <c r="F1323" s="80"/>
      <c r="G1323" s="81"/>
      <c r="H1323" s="78"/>
      <c r="I1323" s="78"/>
      <c r="J1323" s="78"/>
    </row>
    <row r="1324" spans="1:10" x14ac:dyDescent="0.2">
      <c r="A1324" s="84">
        <f t="shared" si="45"/>
        <v>1318</v>
      </c>
      <c r="B1324" s="85" t="e">
        <f>+MATCH(D1324,ARTICULOS!$F$10:$F$699,0)</f>
        <v>#N/A</v>
      </c>
      <c r="C1324" s="86" t="e">
        <f>+VLOOKUP(B1324,ARTICULOS!$D$10:$I$699,6)</f>
        <v>#N/A</v>
      </c>
      <c r="D1324" s="212"/>
      <c r="E1324" s="75" t="e">
        <f t="shared" si="44"/>
        <v>#N/A</v>
      </c>
      <c r="F1324" s="80"/>
      <c r="G1324" s="81"/>
      <c r="H1324" s="78"/>
      <c r="I1324" s="78"/>
      <c r="J1324" s="78"/>
    </row>
    <row r="1325" spans="1:10" x14ac:dyDescent="0.2">
      <c r="A1325" s="84">
        <f t="shared" si="45"/>
        <v>1319</v>
      </c>
      <c r="B1325" s="85" t="e">
        <f>+MATCH(D1325,ARTICULOS!$F$10:$F$699,0)</f>
        <v>#N/A</v>
      </c>
      <c r="C1325" s="86" t="e">
        <f>+VLOOKUP(B1325,ARTICULOS!$D$10:$I$699,6)</f>
        <v>#N/A</v>
      </c>
      <c r="D1325" s="212"/>
      <c r="E1325" s="75" t="e">
        <f t="shared" si="44"/>
        <v>#N/A</v>
      </c>
      <c r="F1325" s="80"/>
      <c r="G1325" s="81"/>
      <c r="H1325" s="78"/>
      <c r="I1325" s="78"/>
      <c r="J1325" s="78"/>
    </row>
    <row r="1326" spans="1:10" x14ac:dyDescent="0.2">
      <c r="A1326" s="84">
        <f t="shared" si="45"/>
        <v>1320</v>
      </c>
      <c r="B1326" s="85" t="e">
        <f>+MATCH(D1326,ARTICULOS!$F$10:$F$699,0)</f>
        <v>#N/A</v>
      </c>
      <c r="C1326" s="86" t="e">
        <f>+VLOOKUP(B1326,ARTICULOS!$D$10:$I$699,6)</f>
        <v>#N/A</v>
      </c>
      <c r="D1326" s="212"/>
      <c r="E1326" s="75" t="e">
        <f t="shared" si="44"/>
        <v>#N/A</v>
      </c>
      <c r="F1326" s="80"/>
      <c r="G1326" s="81"/>
      <c r="H1326" s="78"/>
      <c r="I1326" s="78"/>
      <c r="J1326" s="78"/>
    </row>
    <row r="1327" spans="1:10" x14ac:dyDescent="0.2">
      <c r="A1327" s="84">
        <f t="shared" si="45"/>
        <v>1321</v>
      </c>
      <c r="B1327" s="85" t="e">
        <f>+MATCH(D1327,ARTICULOS!$F$10:$F$699,0)</f>
        <v>#N/A</v>
      </c>
      <c r="C1327" s="86" t="e">
        <f>+VLOOKUP(B1327,ARTICULOS!$D$10:$I$699,6)</f>
        <v>#N/A</v>
      </c>
      <c r="D1327" s="212"/>
      <c r="E1327" s="75" t="e">
        <f t="shared" si="44"/>
        <v>#N/A</v>
      </c>
      <c r="F1327" s="80"/>
      <c r="G1327" s="81"/>
      <c r="H1327" s="78"/>
      <c r="I1327" s="78"/>
      <c r="J1327" s="78"/>
    </row>
    <row r="1328" spans="1:10" x14ac:dyDescent="0.2">
      <c r="A1328" s="84">
        <f t="shared" si="45"/>
        <v>1322</v>
      </c>
      <c r="B1328" s="85" t="e">
        <f>+MATCH(D1328,ARTICULOS!$F$10:$F$699,0)</f>
        <v>#N/A</v>
      </c>
      <c r="C1328" s="86" t="e">
        <f>+VLOOKUP(B1328,ARTICULOS!$D$10:$I$699,6)</f>
        <v>#N/A</v>
      </c>
      <c r="D1328" s="212"/>
      <c r="E1328" s="75" t="e">
        <f t="shared" si="44"/>
        <v>#N/A</v>
      </c>
      <c r="F1328" s="80"/>
      <c r="G1328" s="81"/>
      <c r="H1328" s="78"/>
      <c r="I1328" s="78"/>
      <c r="J1328" s="78"/>
    </row>
    <row r="1329" spans="1:10" x14ac:dyDescent="0.2">
      <c r="A1329" s="84">
        <f t="shared" si="45"/>
        <v>1323</v>
      </c>
      <c r="B1329" s="85" t="e">
        <f>+MATCH(D1329,ARTICULOS!$F$10:$F$699,0)</f>
        <v>#N/A</v>
      </c>
      <c r="C1329" s="86" t="e">
        <f>+VLOOKUP(B1329,ARTICULOS!$D$10:$I$699,6)</f>
        <v>#N/A</v>
      </c>
      <c r="D1329" s="212"/>
      <c r="E1329" s="75" t="e">
        <f t="shared" si="44"/>
        <v>#N/A</v>
      </c>
      <c r="F1329" s="80"/>
      <c r="G1329" s="81"/>
      <c r="H1329" s="78"/>
      <c r="I1329" s="78"/>
      <c r="J1329" s="78"/>
    </row>
    <row r="1330" spans="1:10" x14ac:dyDescent="0.2">
      <c r="A1330" s="84">
        <f t="shared" si="45"/>
        <v>1324</v>
      </c>
      <c r="B1330" s="85" t="e">
        <f>+MATCH(D1330,ARTICULOS!$F$10:$F$699,0)</f>
        <v>#N/A</v>
      </c>
      <c r="C1330" s="86" t="e">
        <f>+VLOOKUP(B1330,ARTICULOS!$D$10:$I$699,6)</f>
        <v>#N/A</v>
      </c>
      <c r="D1330" s="212"/>
      <c r="E1330" s="75" t="e">
        <f t="shared" si="44"/>
        <v>#N/A</v>
      </c>
      <c r="F1330" s="80"/>
      <c r="G1330" s="81"/>
      <c r="H1330" s="78"/>
      <c r="I1330" s="78"/>
      <c r="J1330" s="78"/>
    </row>
    <row r="1331" spans="1:10" x14ac:dyDescent="0.2">
      <c r="A1331" s="84">
        <f t="shared" si="45"/>
        <v>1325</v>
      </c>
      <c r="B1331" s="85" t="e">
        <f>+MATCH(D1331,ARTICULOS!$F$10:$F$699,0)</f>
        <v>#N/A</v>
      </c>
      <c r="C1331" s="86" t="e">
        <f>+VLOOKUP(B1331,ARTICULOS!$D$10:$I$699,6)</f>
        <v>#N/A</v>
      </c>
      <c r="D1331" s="212"/>
      <c r="E1331" s="75" t="e">
        <f t="shared" si="44"/>
        <v>#N/A</v>
      </c>
      <c r="F1331" s="80"/>
      <c r="G1331" s="81"/>
      <c r="H1331" s="78"/>
      <c r="I1331" s="78"/>
      <c r="J1331" s="78"/>
    </row>
    <row r="1332" spans="1:10" x14ac:dyDescent="0.2">
      <c r="A1332" s="84">
        <f t="shared" si="45"/>
        <v>1326</v>
      </c>
      <c r="B1332" s="85" t="e">
        <f>+MATCH(D1332,ARTICULOS!$F$10:$F$699,0)</f>
        <v>#N/A</v>
      </c>
      <c r="C1332" s="86" t="e">
        <f>+VLOOKUP(B1332,ARTICULOS!$D$10:$I$699,6)</f>
        <v>#N/A</v>
      </c>
      <c r="D1332" s="212"/>
      <c r="E1332" s="75" t="e">
        <f t="shared" si="44"/>
        <v>#N/A</v>
      </c>
      <c r="F1332" s="80"/>
      <c r="G1332" s="81"/>
      <c r="H1332" s="78"/>
      <c r="I1332" s="78"/>
      <c r="J1332" s="78"/>
    </row>
    <row r="1333" spans="1:10" x14ac:dyDescent="0.2">
      <c r="A1333" s="84">
        <f t="shared" si="45"/>
        <v>1327</v>
      </c>
      <c r="B1333" s="85" t="e">
        <f>+MATCH(D1333,ARTICULOS!$F$10:$F$699,0)</f>
        <v>#N/A</v>
      </c>
      <c r="C1333" s="86" t="e">
        <f>+VLOOKUP(B1333,ARTICULOS!$D$10:$I$699,6)</f>
        <v>#N/A</v>
      </c>
      <c r="D1333" s="212"/>
      <c r="E1333" s="75" t="e">
        <f t="shared" si="44"/>
        <v>#N/A</v>
      </c>
      <c r="F1333" s="80"/>
      <c r="G1333" s="81"/>
      <c r="H1333" s="78"/>
      <c r="I1333" s="78"/>
      <c r="J1333" s="78"/>
    </row>
    <row r="1334" spans="1:10" x14ac:dyDescent="0.2">
      <c r="A1334" s="84">
        <f t="shared" si="45"/>
        <v>1328</v>
      </c>
      <c r="B1334" s="85" t="e">
        <f>+MATCH(D1334,ARTICULOS!$F$10:$F$699,0)</f>
        <v>#N/A</v>
      </c>
      <c r="C1334" s="86" t="e">
        <f>+VLOOKUP(B1334,ARTICULOS!$D$10:$I$699,6)</f>
        <v>#N/A</v>
      </c>
      <c r="D1334" s="212"/>
      <c r="E1334" s="75" t="e">
        <f t="shared" si="44"/>
        <v>#N/A</v>
      </c>
      <c r="F1334" s="80"/>
      <c r="G1334" s="81"/>
      <c r="H1334" s="78"/>
      <c r="I1334" s="78"/>
      <c r="J1334" s="78"/>
    </row>
    <row r="1335" spans="1:10" x14ac:dyDescent="0.2">
      <c r="A1335" s="84">
        <f t="shared" si="45"/>
        <v>1329</v>
      </c>
      <c r="B1335" s="85" t="e">
        <f>+MATCH(D1335,ARTICULOS!$F$10:$F$699,0)</f>
        <v>#N/A</v>
      </c>
      <c r="C1335" s="86" t="e">
        <f>+VLOOKUP(B1335,ARTICULOS!$D$10:$I$699,6)</f>
        <v>#N/A</v>
      </c>
      <c r="D1335" s="212"/>
      <c r="E1335" s="75" t="e">
        <f t="shared" si="44"/>
        <v>#N/A</v>
      </c>
      <c r="F1335" s="80"/>
      <c r="G1335" s="81"/>
      <c r="H1335" s="78"/>
      <c r="I1335" s="78"/>
      <c r="J1335" s="78"/>
    </row>
    <row r="1336" spans="1:10" x14ac:dyDescent="0.2">
      <c r="A1336" s="84">
        <f t="shared" si="45"/>
        <v>1330</v>
      </c>
      <c r="B1336" s="85" t="e">
        <f>+MATCH(D1336,ARTICULOS!$F$10:$F$699,0)</f>
        <v>#N/A</v>
      </c>
      <c r="C1336" s="86" t="e">
        <f>+VLOOKUP(B1336,ARTICULOS!$D$10:$I$699,6)</f>
        <v>#N/A</v>
      </c>
      <c r="D1336" s="212"/>
      <c r="E1336" s="75" t="e">
        <f t="shared" si="44"/>
        <v>#N/A</v>
      </c>
      <c r="F1336" s="80"/>
      <c r="G1336" s="81"/>
      <c r="H1336" s="78"/>
      <c r="I1336" s="78"/>
      <c r="J1336" s="78"/>
    </row>
    <row r="1337" spans="1:10" x14ac:dyDescent="0.2">
      <c r="A1337" s="84">
        <f t="shared" si="45"/>
        <v>1331</v>
      </c>
      <c r="B1337" s="85" t="e">
        <f>+MATCH(D1337,ARTICULOS!$F$10:$F$699,0)</f>
        <v>#N/A</v>
      </c>
      <c r="C1337" s="86" t="e">
        <f>+VLOOKUP(B1337,ARTICULOS!$D$10:$I$699,6)</f>
        <v>#N/A</v>
      </c>
      <c r="D1337" s="212"/>
      <c r="E1337" s="75" t="e">
        <f t="shared" si="44"/>
        <v>#N/A</v>
      </c>
      <c r="F1337" s="80"/>
      <c r="G1337" s="81"/>
      <c r="H1337" s="78"/>
      <c r="I1337" s="78"/>
      <c r="J1337" s="78"/>
    </row>
    <row r="1338" spans="1:10" x14ac:dyDescent="0.2">
      <c r="A1338" s="84">
        <f t="shared" si="45"/>
        <v>1332</v>
      </c>
      <c r="B1338" s="85" t="e">
        <f>+MATCH(D1338,ARTICULOS!$F$10:$F$699,0)</f>
        <v>#N/A</v>
      </c>
      <c r="C1338" s="86" t="e">
        <f>+VLOOKUP(B1338,ARTICULOS!$D$10:$I$699,6)</f>
        <v>#N/A</v>
      </c>
      <c r="D1338" s="212"/>
      <c r="E1338" s="75" t="e">
        <f t="shared" si="44"/>
        <v>#N/A</v>
      </c>
      <c r="F1338" s="80"/>
      <c r="G1338" s="81"/>
      <c r="H1338" s="78"/>
      <c r="I1338" s="78"/>
      <c r="J1338" s="78"/>
    </row>
    <row r="1339" spans="1:10" x14ac:dyDescent="0.2">
      <c r="A1339" s="84">
        <f t="shared" si="45"/>
        <v>1333</v>
      </c>
      <c r="B1339" s="85" t="e">
        <f>+MATCH(D1339,ARTICULOS!$F$10:$F$699,0)</f>
        <v>#N/A</v>
      </c>
      <c r="C1339" s="86" t="e">
        <f>+VLOOKUP(B1339,ARTICULOS!$D$10:$I$699,6)</f>
        <v>#N/A</v>
      </c>
      <c r="D1339" s="212"/>
      <c r="E1339" s="75" t="e">
        <f t="shared" si="44"/>
        <v>#N/A</v>
      </c>
      <c r="F1339" s="80"/>
      <c r="G1339" s="81"/>
      <c r="H1339" s="78"/>
      <c r="I1339" s="78"/>
      <c r="J1339" s="78"/>
    </row>
    <row r="1340" spans="1:10" x14ac:dyDescent="0.2">
      <c r="A1340" s="84">
        <f t="shared" si="45"/>
        <v>1334</v>
      </c>
      <c r="B1340" s="85" t="e">
        <f>+MATCH(D1340,ARTICULOS!$F$10:$F$699,0)</f>
        <v>#N/A</v>
      </c>
      <c r="C1340" s="86" t="e">
        <f>+VLOOKUP(B1340,ARTICULOS!$D$10:$I$699,6)</f>
        <v>#N/A</v>
      </c>
      <c r="D1340" s="212"/>
      <c r="E1340" s="75" t="e">
        <f t="shared" si="44"/>
        <v>#N/A</v>
      </c>
      <c r="F1340" s="80"/>
      <c r="G1340" s="81"/>
      <c r="H1340" s="78"/>
      <c r="I1340" s="78"/>
      <c r="J1340" s="78"/>
    </row>
    <row r="1341" spans="1:10" x14ac:dyDescent="0.2">
      <c r="A1341" s="84">
        <f t="shared" si="45"/>
        <v>1335</v>
      </c>
      <c r="B1341" s="85" t="e">
        <f>+MATCH(D1341,ARTICULOS!$F$10:$F$699,0)</f>
        <v>#N/A</v>
      </c>
      <c r="C1341" s="86" t="e">
        <f>+VLOOKUP(B1341,ARTICULOS!$D$10:$I$699,6)</f>
        <v>#N/A</v>
      </c>
      <c r="D1341" s="212"/>
      <c r="E1341" s="75" t="e">
        <f t="shared" si="44"/>
        <v>#N/A</v>
      </c>
      <c r="F1341" s="80"/>
      <c r="G1341" s="81"/>
      <c r="H1341" s="78"/>
      <c r="I1341" s="78"/>
      <c r="J1341" s="78"/>
    </row>
    <row r="1342" spans="1:10" x14ac:dyDescent="0.2">
      <c r="A1342" s="84">
        <f t="shared" si="45"/>
        <v>1336</v>
      </c>
      <c r="B1342" s="85" t="e">
        <f>+MATCH(D1342,ARTICULOS!$F$10:$F$699,0)</f>
        <v>#N/A</v>
      </c>
      <c r="C1342" s="86" t="e">
        <f>+VLOOKUP(B1342,ARTICULOS!$D$10:$I$699,6)</f>
        <v>#N/A</v>
      </c>
      <c r="D1342" s="212"/>
      <c r="E1342" s="75" t="e">
        <f t="shared" si="44"/>
        <v>#N/A</v>
      </c>
      <c r="F1342" s="80"/>
      <c r="G1342" s="81"/>
      <c r="H1342" s="78"/>
      <c r="I1342" s="78"/>
      <c r="J1342" s="78"/>
    </row>
    <row r="1343" spans="1:10" x14ac:dyDescent="0.2">
      <c r="A1343" s="84">
        <f t="shared" si="45"/>
        <v>1337</v>
      </c>
      <c r="B1343" s="85" t="e">
        <f>+MATCH(D1343,ARTICULOS!$F$10:$F$699,0)</f>
        <v>#N/A</v>
      </c>
      <c r="C1343" s="86" t="e">
        <f>+VLOOKUP(B1343,ARTICULOS!$D$10:$I$699,6)</f>
        <v>#N/A</v>
      </c>
      <c r="D1343" s="212"/>
      <c r="E1343" s="75" t="e">
        <f t="shared" si="44"/>
        <v>#N/A</v>
      </c>
      <c r="F1343" s="80"/>
      <c r="G1343" s="81"/>
      <c r="H1343" s="78"/>
      <c r="I1343" s="78"/>
      <c r="J1343" s="78"/>
    </row>
    <row r="1344" spans="1:10" x14ac:dyDescent="0.2">
      <c r="A1344" s="84">
        <f t="shared" si="45"/>
        <v>1338</v>
      </c>
      <c r="B1344" s="85" t="e">
        <f>+MATCH(D1344,ARTICULOS!$F$10:$F$699,0)</f>
        <v>#N/A</v>
      </c>
      <c r="C1344" s="86" t="e">
        <f>+VLOOKUP(B1344,ARTICULOS!$D$10:$I$699,6)</f>
        <v>#N/A</v>
      </c>
      <c r="D1344" s="212"/>
      <c r="E1344" s="75" t="e">
        <f t="shared" si="44"/>
        <v>#N/A</v>
      </c>
      <c r="F1344" s="80"/>
      <c r="G1344" s="81"/>
      <c r="H1344" s="78"/>
      <c r="I1344" s="78"/>
      <c r="J1344" s="78"/>
    </row>
    <row r="1345" spans="1:10" x14ac:dyDescent="0.2">
      <c r="A1345" s="84">
        <f t="shared" si="45"/>
        <v>1339</v>
      </c>
      <c r="B1345" s="85" t="e">
        <f>+MATCH(D1345,ARTICULOS!$F$10:$F$699,0)</f>
        <v>#N/A</v>
      </c>
      <c r="C1345" s="86" t="e">
        <f>+VLOOKUP(B1345,ARTICULOS!$D$10:$I$699,6)</f>
        <v>#N/A</v>
      </c>
      <c r="D1345" s="212"/>
      <c r="E1345" s="75" t="e">
        <f t="shared" si="44"/>
        <v>#N/A</v>
      </c>
      <c r="F1345" s="80"/>
      <c r="G1345" s="81"/>
      <c r="H1345" s="78"/>
      <c r="I1345" s="78"/>
      <c r="J1345" s="78"/>
    </row>
    <row r="1346" spans="1:10" x14ac:dyDescent="0.2">
      <c r="A1346" s="84">
        <f t="shared" si="45"/>
        <v>1340</v>
      </c>
      <c r="B1346" s="85" t="e">
        <f>+MATCH(D1346,ARTICULOS!$F$10:$F$699,0)</f>
        <v>#N/A</v>
      </c>
      <c r="C1346" s="86" t="e">
        <f>+VLOOKUP(B1346,ARTICULOS!$D$10:$I$699,6)</f>
        <v>#N/A</v>
      </c>
      <c r="D1346" s="212"/>
      <c r="E1346" s="75" t="e">
        <f t="shared" si="44"/>
        <v>#N/A</v>
      </c>
      <c r="F1346" s="80"/>
      <c r="G1346" s="81"/>
      <c r="H1346" s="78"/>
      <c r="I1346" s="78"/>
      <c r="J1346" s="78"/>
    </row>
    <row r="1347" spans="1:10" x14ac:dyDescent="0.2">
      <c r="A1347" s="84">
        <f t="shared" si="45"/>
        <v>1341</v>
      </c>
      <c r="B1347" s="85" t="e">
        <f>+MATCH(D1347,ARTICULOS!$F$10:$F$699,0)</f>
        <v>#N/A</v>
      </c>
      <c r="C1347" s="86" t="e">
        <f>+VLOOKUP(B1347,ARTICULOS!$D$10:$I$699,6)</f>
        <v>#N/A</v>
      </c>
      <c r="D1347" s="212"/>
      <c r="E1347" s="75" t="e">
        <f t="shared" si="44"/>
        <v>#N/A</v>
      </c>
      <c r="F1347" s="80"/>
      <c r="G1347" s="81"/>
      <c r="H1347" s="78"/>
      <c r="I1347" s="78"/>
      <c r="J1347" s="78"/>
    </row>
    <row r="1348" spans="1:10" x14ac:dyDescent="0.2">
      <c r="A1348" s="84">
        <f t="shared" si="45"/>
        <v>1342</v>
      </c>
      <c r="B1348" s="85" t="e">
        <f>+MATCH(D1348,ARTICULOS!$F$10:$F$699,0)</f>
        <v>#N/A</v>
      </c>
      <c r="C1348" s="86" t="e">
        <f>+VLOOKUP(B1348,ARTICULOS!$D$10:$I$699,6)</f>
        <v>#N/A</v>
      </c>
      <c r="D1348" s="212"/>
      <c r="E1348" s="75" t="e">
        <f t="shared" si="44"/>
        <v>#N/A</v>
      </c>
      <c r="F1348" s="80"/>
      <c r="G1348" s="81"/>
      <c r="H1348" s="78"/>
      <c r="I1348" s="78"/>
      <c r="J1348" s="78"/>
    </row>
    <row r="1349" spans="1:10" x14ac:dyDescent="0.2">
      <c r="A1349" s="84">
        <f t="shared" si="45"/>
        <v>1343</v>
      </c>
      <c r="B1349" s="85" t="e">
        <f>+MATCH(D1349,ARTICULOS!$F$10:$F$699,0)</f>
        <v>#N/A</v>
      </c>
      <c r="C1349" s="86" t="e">
        <f>+VLOOKUP(B1349,ARTICULOS!$D$10:$I$699,6)</f>
        <v>#N/A</v>
      </c>
      <c r="D1349" s="212"/>
      <c r="E1349" s="75" t="e">
        <f t="shared" si="44"/>
        <v>#N/A</v>
      </c>
      <c r="F1349" s="80"/>
      <c r="G1349" s="81"/>
      <c r="H1349" s="78"/>
      <c r="I1349" s="78"/>
      <c r="J1349" s="78"/>
    </row>
    <row r="1350" spans="1:10" x14ac:dyDescent="0.2">
      <c r="A1350" s="84">
        <f t="shared" si="45"/>
        <v>1344</v>
      </c>
      <c r="B1350" s="85" t="e">
        <f>+MATCH(D1350,ARTICULOS!$F$10:$F$699,0)</f>
        <v>#N/A</v>
      </c>
      <c r="C1350" s="86" t="e">
        <f>+VLOOKUP(B1350,ARTICULOS!$D$10:$I$699,6)</f>
        <v>#N/A</v>
      </c>
      <c r="D1350" s="212"/>
      <c r="E1350" s="75" t="e">
        <f t="shared" si="44"/>
        <v>#N/A</v>
      </c>
      <c r="F1350" s="80"/>
      <c r="G1350" s="81"/>
      <c r="H1350" s="78"/>
      <c r="I1350" s="78"/>
      <c r="J1350" s="78"/>
    </row>
    <row r="1351" spans="1:10" x14ac:dyDescent="0.2">
      <c r="A1351" s="84">
        <f t="shared" si="45"/>
        <v>1345</v>
      </c>
      <c r="B1351" s="85" t="e">
        <f>+MATCH(D1351,ARTICULOS!$F$10:$F$699,0)</f>
        <v>#N/A</v>
      </c>
      <c r="C1351" s="86" t="e">
        <f>+VLOOKUP(B1351,ARTICULOS!$D$10:$I$699,6)</f>
        <v>#N/A</v>
      </c>
      <c r="D1351" s="212"/>
      <c r="E1351" s="75" t="e">
        <f t="shared" si="44"/>
        <v>#N/A</v>
      </c>
      <c r="F1351" s="80"/>
      <c r="G1351" s="81"/>
      <c r="H1351" s="78"/>
      <c r="I1351" s="78"/>
      <c r="J1351" s="78"/>
    </row>
    <row r="1352" spans="1:10" x14ac:dyDescent="0.2">
      <c r="A1352" s="84">
        <f t="shared" si="45"/>
        <v>1346</v>
      </c>
      <c r="B1352" s="85" t="e">
        <f>+MATCH(D1352,ARTICULOS!$F$10:$F$699,0)</f>
        <v>#N/A</v>
      </c>
      <c r="C1352" s="86" t="e">
        <f>+VLOOKUP(B1352,ARTICULOS!$D$10:$I$699,6)</f>
        <v>#N/A</v>
      </c>
      <c r="D1352" s="212"/>
      <c r="E1352" s="75" t="e">
        <f t="shared" si="44"/>
        <v>#N/A</v>
      </c>
      <c r="F1352" s="80"/>
      <c r="G1352" s="81"/>
      <c r="H1352" s="78"/>
      <c r="I1352" s="78"/>
      <c r="J1352" s="78"/>
    </row>
    <row r="1353" spans="1:10" x14ac:dyDescent="0.2">
      <c r="A1353" s="84">
        <f t="shared" si="45"/>
        <v>1347</v>
      </c>
      <c r="B1353" s="85" t="e">
        <f>+MATCH(D1353,ARTICULOS!$F$10:$F$699,0)</f>
        <v>#N/A</v>
      </c>
      <c r="C1353" s="86" t="e">
        <f>+VLOOKUP(B1353,ARTICULOS!$D$10:$I$699,6)</f>
        <v>#N/A</v>
      </c>
      <c r="D1353" s="212"/>
      <c r="E1353" s="75" t="e">
        <f t="shared" si="44"/>
        <v>#N/A</v>
      </c>
      <c r="F1353" s="80"/>
      <c r="G1353" s="81"/>
      <c r="H1353" s="78"/>
      <c r="I1353" s="78"/>
      <c r="J1353" s="78"/>
    </row>
    <row r="1354" spans="1:10" x14ac:dyDescent="0.2">
      <c r="A1354" s="84">
        <f t="shared" si="45"/>
        <v>1348</v>
      </c>
      <c r="B1354" s="85" t="e">
        <f>+MATCH(D1354,ARTICULOS!$F$10:$F$699,0)</f>
        <v>#N/A</v>
      </c>
      <c r="C1354" s="86" t="e">
        <f>+VLOOKUP(B1354,ARTICULOS!$D$10:$I$699,6)</f>
        <v>#N/A</v>
      </c>
      <c r="D1354" s="212"/>
      <c r="E1354" s="75" t="e">
        <f t="shared" si="44"/>
        <v>#N/A</v>
      </c>
      <c r="F1354" s="80"/>
      <c r="G1354" s="81"/>
      <c r="H1354" s="78"/>
      <c r="I1354" s="78"/>
      <c r="J1354" s="78"/>
    </row>
    <row r="1355" spans="1:10" x14ac:dyDescent="0.2">
      <c r="A1355" s="84">
        <f t="shared" si="45"/>
        <v>1349</v>
      </c>
      <c r="B1355" s="85" t="e">
        <f>+MATCH(D1355,ARTICULOS!$F$10:$F$699,0)</f>
        <v>#N/A</v>
      </c>
      <c r="C1355" s="86" t="e">
        <f>+VLOOKUP(B1355,ARTICULOS!$D$10:$I$699,6)</f>
        <v>#N/A</v>
      </c>
      <c r="D1355" s="212"/>
      <c r="E1355" s="75" t="e">
        <f t="shared" ref="E1355:E1418" si="46">+C1355&amp;F1355</f>
        <v>#N/A</v>
      </c>
      <c r="F1355" s="80"/>
      <c r="G1355" s="81"/>
      <c r="H1355" s="78"/>
      <c r="I1355" s="78"/>
      <c r="J1355" s="78"/>
    </row>
    <row r="1356" spans="1:10" x14ac:dyDescent="0.2">
      <c r="A1356" s="84">
        <f t="shared" si="45"/>
        <v>1350</v>
      </c>
      <c r="B1356" s="85" t="e">
        <f>+MATCH(D1356,ARTICULOS!$F$10:$F$699,0)</f>
        <v>#N/A</v>
      </c>
      <c r="C1356" s="86" t="e">
        <f>+VLOOKUP(B1356,ARTICULOS!$D$10:$I$699,6)</f>
        <v>#N/A</v>
      </c>
      <c r="D1356" s="212"/>
      <c r="E1356" s="75" t="e">
        <f t="shared" si="46"/>
        <v>#N/A</v>
      </c>
      <c r="F1356" s="80"/>
      <c r="G1356" s="81"/>
      <c r="H1356" s="78"/>
      <c r="I1356" s="78"/>
      <c r="J1356" s="78"/>
    </row>
    <row r="1357" spans="1:10" x14ac:dyDescent="0.2">
      <c r="A1357" s="84">
        <f t="shared" si="45"/>
        <v>1351</v>
      </c>
      <c r="B1357" s="85" t="e">
        <f>+MATCH(D1357,ARTICULOS!$F$10:$F$699,0)</f>
        <v>#N/A</v>
      </c>
      <c r="C1357" s="86" t="e">
        <f>+VLOOKUP(B1357,ARTICULOS!$D$10:$I$699,6)</f>
        <v>#N/A</v>
      </c>
      <c r="D1357" s="212"/>
      <c r="E1357" s="75" t="e">
        <f t="shared" si="46"/>
        <v>#N/A</v>
      </c>
      <c r="F1357" s="80"/>
      <c r="G1357" s="81"/>
      <c r="H1357" s="78"/>
      <c r="I1357" s="78"/>
      <c r="J1357" s="78"/>
    </row>
    <row r="1358" spans="1:10" x14ac:dyDescent="0.2">
      <c r="A1358" s="84">
        <f t="shared" si="45"/>
        <v>1352</v>
      </c>
      <c r="B1358" s="85" t="e">
        <f>+MATCH(D1358,ARTICULOS!$F$10:$F$699,0)</f>
        <v>#N/A</v>
      </c>
      <c r="C1358" s="86" t="e">
        <f>+VLOOKUP(B1358,ARTICULOS!$D$10:$I$699,6)</f>
        <v>#N/A</v>
      </c>
      <c r="D1358" s="212"/>
      <c r="E1358" s="75" t="e">
        <f t="shared" si="46"/>
        <v>#N/A</v>
      </c>
      <c r="F1358" s="80"/>
      <c r="G1358" s="81"/>
      <c r="H1358" s="78"/>
      <c r="I1358" s="78"/>
      <c r="J1358" s="78"/>
    </row>
    <row r="1359" spans="1:10" x14ac:dyDescent="0.2">
      <c r="A1359" s="84">
        <f t="shared" si="45"/>
        <v>1353</v>
      </c>
      <c r="B1359" s="85" t="e">
        <f>+MATCH(D1359,ARTICULOS!$F$10:$F$699,0)</f>
        <v>#N/A</v>
      </c>
      <c r="C1359" s="86" t="e">
        <f>+VLOOKUP(B1359,ARTICULOS!$D$10:$I$699,6)</f>
        <v>#N/A</v>
      </c>
      <c r="D1359" s="212"/>
      <c r="E1359" s="75" t="e">
        <f t="shared" si="46"/>
        <v>#N/A</v>
      </c>
      <c r="F1359" s="80"/>
      <c r="G1359" s="81"/>
      <c r="H1359" s="78"/>
      <c r="I1359" s="78"/>
      <c r="J1359" s="78"/>
    </row>
    <row r="1360" spans="1:10" x14ac:dyDescent="0.2">
      <c r="A1360" s="84">
        <f t="shared" si="45"/>
        <v>1354</v>
      </c>
      <c r="B1360" s="85" t="e">
        <f>+MATCH(D1360,ARTICULOS!$F$10:$F$699,0)</f>
        <v>#N/A</v>
      </c>
      <c r="C1360" s="86" t="e">
        <f>+VLOOKUP(B1360,ARTICULOS!$D$10:$I$699,6)</f>
        <v>#N/A</v>
      </c>
      <c r="D1360" s="212"/>
      <c r="E1360" s="75" t="e">
        <f t="shared" si="46"/>
        <v>#N/A</v>
      </c>
      <c r="F1360" s="80"/>
      <c r="G1360" s="81"/>
      <c r="H1360" s="78"/>
      <c r="I1360" s="78"/>
      <c r="J1360" s="78"/>
    </row>
    <row r="1361" spans="1:10" x14ac:dyDescent="0.2">
      <c r="A1361" s="84">
        <f t="shared" si="45"/>
        <v>1355</v>
      </c>
      <c r="B1361" s="85" t="e">
        <f>+MATCH(D1361,ARTICULOS!$F$10:$F$699,0)</f>
        <v>#N/A</v>
      </c>
      <c r="C1361" s="86" t="e">
        <f>+VLOOKUP(B1361,ARTICULOS!$D$10:$I$699,6)</f>
        <v>#N/A</v>
      </c>
      <c r="D1361" s="212"/>
      <c r="E1361" s="75" t="e">
        <f t="shared" si="46"/>
        <v>#N/A</v>
      </c>
      <c r="F1361" s="80"/>
      <c r="G1361" s="81"/>
      <c r="H1361" s="78"/>
      <c r="I1361" s="78"/>
      <c r="J1361" s="78"/>
    </row>
    <row r="1362" spans="1:10" x14ac:dyDescent="0.2">
      <c r="A1362" s="84">
        <f t="shared" si="45"/>
        <v>1356</v>
      </c>
      <c r="B1362" s="85" t="e">
        <f>+MATCH(D1362,ARTICULOS!$F$10:$F$699,0)</f>
        <v>#N/A</v>
      </c>
      <c r="C1362" s="86" t="e">
        <f>+VLOOKUP(B1362,ARTICULOS!$D$10:$I$699,6)</f>
        <v>#N/A</v>
      </c>
      <c r="D1362" s="212"/>
      <c r="E1362" s="75" t="e">
        <f t="shared" si="46"/>
        <v>#N/A</v>
      </c>
      <c r="F1362" s="80"/>
      <c r="G1362" s="81"/>
      <c r="H1362" s="78"/>
      <c r="I1362" s="78"/>
      <c r="J1362" s="78"/>
    </row>
    <row r="1363" spans="1:10" x14ac:dyDescent="0.2">
      <c r="A1363" s="84">
        <f t="shared" si="45"/>
        <v>1357</v>
      </c>
      <c r="B1363" s="85" t="e">
        <f>+MATCH(D1363,ARTICULOS!$F$10:$F$699,0)</f>
        <v>#N/A</v>
      </c>
      <c r="C1363" s="86" t="e">
        <f>+VLOOKUP(B1363,ARTICULOS!$D$10:$I$699,6)</f>
        <v>#N/A</v>
      </c>
      <c r="D1363" s="212"/>
      <c r="E1363" s="75" t="e">
        <f t="shared" si="46"/>
        <v>#N/A</v>
      </c>
      <c r="F1363" s="80"/>
      <c r="G1363" s="81"/>
      <c r="H1363" s="78"/>
      <c r="I1363" s="78"/>
      <c r="J1363" s="78"/>
    </row>
    <row r="1364" spans="1:10" x14ac:dyDescent="0.2">
      <c r="A1364" s="84">
        <f t="shared" si="45"/>
        <v>1358</v>
      </c>
      <c r="B1364" s="85" t="e">
        <f>+MATCH(D1364,ARTICULOS!$F$10:$F$699,0)</f>
        <v>#N/A</v>
      </c>
      <c r="C1364" s="86" t="e">
        <f>+VLOOKUP(B1364,ARTICULOS!$D$10:$I$699,6)</f>
        <v>#N/A</v>
      </c>
      <c r="D1364" s="212"/>
      <c r="E1364" s="75" t="e">
        <f t="shared" si="46"/>
        <v>#N/A</v>
      </c>
      <c r="F1364" s="80"/>
      <c r="G1364" s="81"/>
      <c r="H1364" s="78"/>
      <c r="I1364" s="78"/>
      <c r="J1364" s="78"/>
    </row>
    <row r="1365" spans="1:10" x14ac:dyDescent="0.2">
      <c r="A1365" s="84">
        <f t="shared" si="45"/>
        <v>1359</v>
      </c>
      <c r="B1365" s="85" t="e">
        <f>+MATCH(D1365,ARTICULOS!$F$10:$F$699,0)</f>
        <v>#N/A</v>
      </c>
      <c r="C1365" s="86" t="e">
        <f>+VLOOKUP(B1365,ARTICULOS!$D$10:$I$699,6)</f>
        <v>#N/A</v>
      </c>
      <c r="D1365" s="212"/>
      <c r="E1365" s="75" t="e">
        <f t="shared" si="46"/>
        <v>#N/A</v>
      </c>
      <c r="F1365" s="80"/>
      <c r="G1365" s="81"/>
      <c r="H1365" s="78"/>
      <c r="I1365" s="78"/>
      <c r="J1365" s="78"/>
    </row>
    <row r="1366" spans="1:10" x14ac:dyDescent="0.2">
      <c r="A1366" s="84">
        <f t="shared" si="45"/>
        <v>1360</v>
      </c>
      <c r="B1366" s="85" t="e">
        <f>+MATCH(D1366,ARTICULOS!$F$10:$F$699,0)</f>
        <v>#N/A</v>
      </c>
      <c r="C1366" s="86" t="e">
        <f>+VLOOKUP(B1366,ARTICULOS!$D$10:$I$699,6)</f>
        <v>#N/A</v>
      </c>
      <c r="D1366" s="212"/>
      <c r="E1366" s="75" t="e">
        <f t="shared" si="46"/>
        <v>#N/A</v>
      </c>
      <c r="F1366" s="80"/>
      <c r="G1366" s="81"/>
      <c r="H1366" s="78"/>
      <c r="I1366" s="78"/>
      <c r="J1366" s="78"/>
    </row>
    <row r="1367" spans="1:10" x14ac:dyDescent="0.2">
      <c r="A1367" s="84">
        <f t="shared" si="45"/>
        <v>1361</v>
      </c>
      <c r="B1367" s="85" t="e">
        <f>+MATCH(D1367,ARTICULOS!$F$10:$F$699,0)</f>
        <v>#N/A</v>
      </c>
      <c r="C1367" s="86" t="e">
        <f>+VLOOKUP(B1367,ARTICULOS!$D$10:$I$699,6)</f>
        <v>#N/A</v>
      </c>
      <c r="D1367" s="212"/>
      <c r="E1367" s="75" t="e">
        <f t="shared" si="46"/>
        <v>#N/A</v>
      </c>
      <c r="F1367" s="80"/>
      <c r="G1367" s="81"/>
      <c r="H1367" s="78"/>
      <c r="I1367" s="78"/>
      <c r="J1367" s="78"/>
    </row>
    <row r="1368" spans="1:10" x14ac:dyDescent="0.2">
      <c r="A1368" s="84">
        <f t="shared" si="45"/>
        <v>1362</v>
      </c>
      <c r="B1368" s="85" t="e">
        <f>+MATCH(D1368,ARTICULOS!$F$10:$F$699,0)</f>
        <v>#N/A</v>
      </c>
      <c r="C1368" s="86" t="e">
        <f>+VLOOKUP(B1368,ARTICULOS!$D$10:$I$699,6)</f>
        <v>#N/A</v>
      </c>
      <c r="D1368" s="212"/>
      <c r="E1368" s="75" t="e">
        <f t="shared" si="46"/>
        <v>#N/A</v>
      </c>
      <c r="F1368" s="80"/>
      <c r="G1368" s="81"/>
      <c r="H1368" s="78"/>
      <c r="I1368" s="78"/>
      <c r="J1368" s="78"/>
    </row>
    <row r="1369" spans="1:10" x14ac:dyDescent="0.2">
      <c r="A1369" s="84">
        <f t="shared" si="45"/>
        <v>1363</v>
      </c>
      <c r="B1369" s="85" t="e">
        <f>+MATCH(D1369,ARTICULOS!$F$10:$F$699,0)</f>
        <v>#N/A</v>
      </c>
      <c r="C1369" s="86" t="e">
        <f>+VLOOKUP(B1369,ARTICULOS!$D$10:$I$699,6)</f>
        <v>#N/A</v>
      </c>
      <c r="D1369" s="212"/>
      <c r="E1369" s="75" t="e">
        <f t="shared" si="46"/>
        <v>#N/A</v>
      </c>
      <c r="F1369" s="80"/>
      <c r="G1369" s="81"/>
      <c r="H1369" s="78"/>
      <c r="I1369" s="78"/>
      <c r="J1369" s="78"/>
    </row>
    <row r="1370" spans="1:10" x14ac:dyDescent="0.2">
      <c r="A1370" s="84">
        <f t="shared" si="45"/>
        <v>1364</v>
      </c>
      <c r="B1370" s="85" t="e">
        <f>+MATCH(D1370,ARTICULOS!$F$10:$F$699,0)</f>
        <v>#N/A</v>
      </c>
      <c r="C1370" s="86" t="e">
        <f>+VLOOKUP(B1370,ARTICULOS!$D$10:$I$699,6)</f>
        <v>#N/A</v>
      </c>
      <c r="D1370" s="212"/>
      <c r="E1370" s="75" t="e">
        <f t="shared" si="46"/>
        <v>#N/A</v>
      </c>
      <c r="F1370" s="80"/>
      <c r="G1370" s="81"/>
      <c r="H1370" s="78"/>
      <c r="I1370" s="78"/>
      <c r="J1370" s="78"/>
    </row>
    <row r="1371" spans="1:10" x14ac:dyDescent="0.2">
      <c r="A1371" s="84">
        <f t="shared" si="45"/>
        <v>1365</v>
      </c>
      <c r="B1371" s="85" t="e">
        <f>+MATCH(D1371,ARTICULOS!$F$10:$F$699,0)</f>
        <v>#N/A</v>
      </c>
      <c r="C1371" s="86" t="e">
        <f>+VLOOKUP(B1371,ARTICULOS!$D$10:$I$699,6)</f>
        <v>#N/A</v>
      </c>
      <c r="D1371" s="212"/>
      <c r="E1371" s="75" t="e">
        <f t="shared" si="46"/>
        <v>#N/A</v>
      </c>
      <c r="F1371" s="80"/>
      <c r="G1371" s="81"/>
      <c r="H1371" s="78"/>
      <c r="I1371" s="78"/>
      <c r="J1371" s="78"/>
    </row>
    <row r="1372" spans="1:10" x14ac:dyDescent="0.2">
      <c r="A1372" s="84">
        <f t="shared" si="45"/>
        <v>1366</v>
      </c>
      <c r="B1372" s="85" t="e">
        <f>+MATCH(D1372,ARTICULOS!$F$10:$F$699,0)</f>
        <v>#N/A</v>
      </c>
      <c r="C1372" s="86" t="e">
        <f>+VLOOKUP(B1372,ARTICULOS!$D$10:$I$699,6)</f>
        <v>#N/A</v>
      </c>
      <c r="D1372" s="212"/>
      <c r="E1372" s="75" t="e">
        <f t="shared" si="46"/>
        <v>#N/A</v>
      </c>
      <c r="F1372" s="80"/>
      <c r="G1372" s="81"/>
      <c r="H1372" s="78"/>
      <c r="I1372" s="78"/>
      <c r="J1372" s="78"/>
    </row>
    <row r="1373" spans="1:10" x14ac:dyDescent="0.2">
      <c r="A1373" s="84">
        <f t="shared" si="45"/>
        <v>1367</v>
      </c>
      <c r="B1373" s="85" t="e">
        <f>+MATCH(D1373,ARTICULOS!$F$10:$F$699,0)</f>
        <v>#N/A</v>
      </c>
      <c r="C1373" s="86" t="e">
        <f>+VLOOKUP(B1373,ARTICULOS!$D$10:$I$699,6)</f>
        <v>#N/A</v>
      </c>
      <c r="D1373" s="212"/>
      <c r="E1373" s="75" t="e">
        <f t="shared" si="46"/>
        <v>#N/A</v>
      </c>
      <c r="F1373" s="80"/>
      <c r="G1373" s="81"/>
      <c r="H1373" s="78"/>
      <c r="I1373" s="78"/>
      <c r="J1373" s="78"/>
    </row>
    <row r="1374" spans="1:10" x14ac:dyDescent="0.2">
      <c r="A1374" s="84">
        <f t="shared" si="45"/>
        <v>1368</v>
      </c>
      <c r="B1374" s="85" t="e">
        <f>+MATCH(D1374,ARTICULOS!$F$10:$F$699,0)</f>
        <v>#N/A</v>
      </c>
      <c r="C1374" s="86" t="e">
        <f>+VLOOKUP(B1374,ARTICULOS!$D$10:$I$699,6)</f>
        <v>#N/A</v>
      </c>
      <c r="D1374" s="212"/>
      <c r="E1374" s="75" t="e">
        <f t="shared" si="46"/>
        <v>#N/A</v>
      </c>
      <c r="F1374" s="80"/>
      <c r="G1374" s="81"/>
      <c r="H1374" s="78"/>
      <c r="I1374" s="78"/>
      <c r="J1374" s="78"/>
    </row>
    <row r="1375" spans="1:10" x14ac:dyDescent="0.2">
      <c r="A1375" s="84">
        <f t="shared" si="45"/>
        <v>1369</v>
      </c>
      <c r="B1375" s="85" t="e">
        <f>+MATCH(D1375,ARTICULOS!$F$10:$F$699,0)</f>
        <v>#N/A</v>
      </c>
      <c r="C1375" s="86" t="e">
        <f>+VLOOKUP(B1375,ARTICULOS!$D$10:$I$699,6)</f>
        <v>#N/A</v>
      </c>
      <c r="D1375" s="212"/>
      <c r="E1375" s="75" t="e">
        <f t="shared" si="46"/>
        <v>#N/A</v>
      </c>
      <c r="F1375" s="80"/>
      <c r="G1375" s="81"/>
      <c r="H1375" s="78"/>
      <c r="I1375" s="78"/>
      <c r="J1375" s="78"/>
    </row>
    <row r="1376" spans="1:10" x14ac:dyDescent="0.2">
      <c r="A1376" s="84">
        <f t="shared" si="45"/>
        <v>1370</v>
      </c>
      <c r="B1376" s="85" t="e">
        <f>+MATCH(D1376,ARTICULOS!$F$10:$F$699,0)</f>
        <v>#N/A</v>
      </c>
      <c r="C1376" s="86" t="e">
        <f>+VLOOKUP(B1376,ARTICULOS!$D$10:$I$699,6)</f>
        <v>#N/A</v>
      </c>
      <c r="D1376" s="212"/>
      <c r="E1376" s="75" t="e">
        <f t="shared" si="46"/>
        <v>#N/A</v>
      </c>
      <c r="F1376" s="80"/>
      <c r="G1376" s="81"/>
      <c r="H1376" s="78"/>
      <c r="I1376" s="78"/>
      <c r="J1376" s="78"/>
    </row>
    <row r="1377" spans="1:10" x14ac:dyDescent="0.2">
      <c r="A1377" s="84">
        <f t="shared" si="45"/>
        <v>1371</v>
      </c>
      <c r="B1377" s="85" t="e">
        <f>+MATCH(D1377,ARTICULOS!$F$10:$F$699,0)</f>
        <v>#N/A</v>
      </c>
      <c r="C1377" s="86" t="e">
        <f>+VLOOKUP(B1377,ARTICULOS!$D$10:$I$699,6)</f>
        <v>#N/A</v>
      </c>
      <c r="D1377" s="212"/>
      <c r="E1377" s="75" t="e">
        <f t="shared" si="46"/>
        <v>#N/A</v>
      </c>
      <c r="F1377" s="80"/>
      <c r="G1377" s="81"/>
      <c r="H1377" s="78"/>
      <c r="I1377" s="78"/>
      <c r="J1377" s="78"/>
    </row>
    <row r="1378" spans="1:10" x14ac:dyDescent="0.2">
      <c r="A1378" s="84">
        <f t="shared" si="45"/>
        <v>1372</v>
      </c>
      <c r="B1378" s="85" t="e">
        <f>+MATCH(D1378,ARTICULOS!$F$10:$F$699,0)</f>
        <v>#N/A</v>
      </c>
      <c r="C1378" s="86" t="e">
        <f>+VLOOKUP(B1378,ARTICULOS!$D$10:$I$699,6)</f>
        <v>#N/A</v>
      </c>
      <c r="D1378" s="212"/>
      <c r="E1378" s="75" t="e">
        <f t="shared" si="46"/>
        <v>#N/A</v>
      </c>
      <c r="F1378" s="80"/>
      <c r="G1378" s="81"/>
      <c r="H1378" s="78"/>
      <c r="I1378" s="78"/>
      <c r="J1378" s="78"/>
    </row>
    <row r="1379" spans="1:10" x14ac:dyDescent="0.2">
      <c r="A1379" s="84">
        <f t="shared" si="45"/>
        <v>1373</v>
      </c>
      <c r="B1379" s="85" t="e">
        <f>+MATCH(D1379,ARTICULOS!$F$10:$F$699,0)</f>
        <v>#N/A</v>
      </c>
      <c r="C1379" s="86" t="e">
        <f>+VLOOKUP(B1379,ARTICULOS!$D$10:$I$699,6)</f>
        <v>#N/A</v>
      </c>
      <c r="D1379" s="212"/>
      <c r="E1379" s="75" t="e">
        <f t="shared" si="46"/>
        <v>#N/A</v>
      </c>
      <c r="F1379" s="80"/>
      <c r="G1379" s="81"/>
      <c r="H1379" s="78"/>
      <c r="I1379" s="78"/>
      <c r="J1379" s="78"/>
    </row>
    <row r="1380" spans="1:10" x14ac:dyDescent="0.2">
      <c r="A1380" s="84">
        <f t="shared" si="45"/>
        <v>1374</v>
      </c>
      <c r="B1380" s="85" t="e">
        <f>+MATCH(D1380,ARTICULOS!$F$10:$F$699,0)</f>
        <v>#N/A</v>
      </c>
      <c r="C1380" s="86" t="e">
        <f>+VLOOKUP(B1380,ARTICULOS!$D$10:$I$699,6)</f>
        <v>#N/A</v>
      </c>
      <c r="D1380" s="212"/>
      <c r="E1380" s="75" t="e">
        <f t="shared" si="46"/>
        <v>#N/A</v>
      </c>
      <c r="F1380" s="80"/>
      <c r="G1380" s="81"/>
      <c r="H1380" s="78"/>
      <c r="I1380" s="78"/>
      <c r="J1380" s="78"/>
    </row>
    <row r="1381" spans="1:10" x14ac:dyDescent="0.2">
      <c r="A1381" s="84">
        <f t="shared" si="45"/>
        <v>1375</v>
      </c>
      <c r="B1381" s="85" t="e">
        <f>+MATCH(D1381,ARTICULOS!$F$10:$F$699,0)</f>
        <v>#N/A</v>
      </c>
      <c r="C1381" s="86" t="e">
        <f>+VLOOKUP(B1381,ARTICULOS!$D$10:$I$699,6)</f>
        <v>#N/A</v>
      </c>
      <c r="D1381" s="212"/>
      <c r="E1381" s="75" t="e">
        <f t="shared" si="46"/>
        <v>#N/A</v>
      </c>
      <c r="F1381" s="80"/>
      <c r="G1381" s="81"/>
      <c r="H1381" s="78"/>
      <c r="I1381" s="78"/>
      <c r="J1381" s="78"/>
    </row>
    <row r="1382" spans="1:10" x14ac:dyDescent="0.2">
      <c r="A1382" s="84">
        <f t="shared" si="45"/>
        <v>1376</v>
      </c>
      <c r="B1382" s="85" t="e">
        <f>+MATCH(D1382,ARTICULOS!$F$10:$F$699,0)</f>
        <v>#N/A</v>
      </c>
      <c r="C1382" s="86" t="e">
        <f>+VLOOKUP(B1382,ARTICULOS!$D$10:$I$699,6)</f>
        <v>#N/A</v>
      </c>
      <c r="D1382" s="212"/>
      <c r="E1382" s="75" t="e">
        <f t="shared" si="46"/>
        <v>#N/A</v>
      </c>
      <c r="F1382" s="80"/>
      <c r="G1382" s="81"/>
      <c r="H1382" s="78"/>
      <c r="I1382" s="78"/>
      <c r="J1382" s="78"/>
    </row>
    <row r="1383" spans="1:10" x14ac:dyDescent="0.2">
      <c r="A1383" s="84">
        <f t="shared" si="45"/>
        <v>1377</v>
      </c>
      <c r="B1383" s="85" t="e">
        <f>+MATCH(D1383,ARTICULOS!$F$10:$F$699,0)</f>
        <v>#N/A</v>
      </c>
      <c r="C1383" s="86" t="e">
        <f>+VLOOKUP(B1383,ARTICULOS!$D$10:$I$699,6)</f>
        <v>#N/A</v>
      </c>
      <c r="D1383" s="212"/>
      <c r="E1383" s="75" t="e">
        <f t="shared" si="46"/>
        <v>#N/A</v>
      </c>
      <c r="F1383" s="80"/>
      <c r="G1383" s="81"/>
      <c r="H1383" s="78"/>
      <c r="I1383" s="78"/>
      <c r="J1383" s="78"/>
    </row>
    <row r="1384" spans="1:10" x14ac:dyDescent="0.2">
      <c r="A1384" s="84">
        <f t="shared" si="45"/>
        <v>1378</v>
      </c>
      <c r="B1384" s="85" t="e">
        <f>+MATCH(D1384,ARTICULOS!$F$10:$F$699,0)</f>
        <v>#N/A</v>
      </c>
      <c r="C1384" s="86" t="e">
        <f>+VLOOKUP(B1384,ARTICULOS!$D$10:$I$699,6)</f>
        <v>#N/A</v>
      </c>
      <c r="D1384" s="212"/>
      <c r="E1384" s="75" t="e">
        <f t="shared" si="46"/>
        <v>#N/A</v>
      </c>
      <c r="F1384" s="80"/>
      <c r="G1384" s="81"/>
      <c r="H1384" s="78"/>
      <c r="I1384" s="78"/>
      <c r="J1384" s="78"/>
    </row>
    <row r="1385" spans="1:10" x14ac:dyDescent="0.2">
      <c r="A1385" s="84">
        <f t="shared" ref="A1385:A1448" si="47">ROW()-6</f>
        <v>1379</v>
      </c>
      <c r="B1385" s="85" t="e">
        <f>+MATCH(D1385,ARTICULOS!$F$10:$F$699,0)</f>
        <v>#N/A</v>
      </c>
      <c r="C1385" s="86" t="e">
        <f>+VLOOKUP(B1385,ARTICULOS!$D$10:$I$699,6)</f>
        <v>#N/A</v>
      </c>
      <c r="D1385" s="212"/>
      <c r="E1385" s="75" t="e">
        <f t="shared" si="46"/>
        <v>#N/A</v>
      </c>
      <c r="F1385" s="80"/>
      <c r="G1385" s="81"/>
      <c r="H1385" s="78"/>
      <c r="I1385" s="78"/>
      <c r="J1385" s="78"/>
    </row>
    <row r="1386" spans="1:10" x14ac:dyDescent="0.2">
      <c r="A1386" s="84">
        <f t="shared" si="47"/>
        <v>1380</v>
      </c>
      <c r="B1386" s="85" t="e">
        <f>+MATCH(D1386,ARTICULOS!$F$10:$F$699,0)</f>
        <v>#N/A</v>
      </c>
      <c r="C1386" s="86" t="e">
        <f>+VLOOKUP(B1386,ARTICULOS!$D$10:$I$699,6)</f>
        <v>#N/A</v>
      </c>
      <c r="D1386" s="212"/>
      <c r="E1386" s="75" t="e">
        <f t="shared" si="46"/>
        <v>#N/A</v>
      </c>
      <c r="F1386" s="80"/>
      <c r="G1386" s="81"/>
      <c r="H1386" s="78"/>
      <c r="I1386" s="78"/>
      <c r="J1386" s="78"/>
    </row>
    <row r="1387" spans="1:10" x14ac:dyDescent="0.2">
      <c r="A1387" s="84">
        <f t="shared" si="47"/>
        <v>1381</v>
      </c>
      <c r="B1387" s="85" t="e">
        <f>+MATCH(D1387,ARTICULOS!$F$10:$F$699,0)</f>
        <v>#N/A</v>
      </c>
      <c r="C1387" s="86" t="e">
        <f>+VLOOKUP(B1387,ARTICULOS!$D$10:$I$699,6)</f>
        <v>#N/A</v>
      </c>
      <c r="D1387" s="212"/>
      <c r="E1387" s="75" t="e">
        <f t="shared" si="46"/>
        <v>#N/A</v>
      </c>
      <c r="F1387" s="80"/>
      <c r="G1387" s="81"/>
      <c r="H1387" s="78"/>
      <c r="I1387" s="78"/>
      <c r="J1387" s="78"/>
    </row>
    <row r="1388" spans="1:10" x14ac:dyDescent="0.2">
      <c r="A1388" s="84">
        <f t="shared" si="47"/>
        <v>1382</v>
      </c>
      <c r="B1388" s="85" t="e">
        <f>+MATCH(D1388,ARTICULOS!$F$10:$F$699,0)</f>
        <v>#N/A</v>
      </c>
      <c r="C1388" s="86" t="e">
        <f>+VLOOKUP(B1388,ARTICULOS!$D$10:$I$699,6)</f>
        <v>#N/A</v>
      </c>
      <c r="D1388" s="212"/>
      <c r="E1388" s="75" t="e">
        <f t="shared" si="46"/>
        <v>#N/A</v>
      </c>
      <c r="F1388" s="80"/>
      <c r="G1388" s="81"/>
      <c r="H1388" s="78"/>
      <c r="I1388" s="78"/>
      <c r="J1388" s="78"/>
    </row>
    <row r="1389" spans="1:10" x14ac:dyDescent="0.2">
      <c r="A1389" s="84">
        <f t="shared" si="47"/>
        <v>1383</v>
      </c>
      <c r="B1389" s="85" t="e">
        <f>+MATCH(D1389,ARTICULOS!$F$10:$F$699,0)</f>
        <v>#N/A</v>
      </c>
      <c r="C1389" s="86" t="e">
        <f>+VLOOKUP(B1389,ARTICULOS!$D$10:$I$699,6)</f>
        <v>#N/A</v>
      </c>
      <c r="D1389" s="212"/>
      <c r="E1389" s="75" t="e">
        <f t="shared" si="46"/>
        <v>#N/A</v>
      </c>
      <c r="F1389" s="80"/>
      <c r="G1389" s="81"/>
      <c r="H1389" s="78"/>
      <c r="I1389" s="78"/>
      <c r="J1389" s="78"/>
    </row>
    <row r="1390" spans="1:10" x14ac:dyDescent="0.2">
      <c r="A1390" s="84">
        <f t="shared" si="47"/>
        <v>1384</v>
      </c>
      <c r="B1390" s="85" t="e">
        <f>+MATCH(D1390,ARTICULOS!$F$10:$F$699,0)</f>
        <v>#N/A</v>
      </c>
      <c r="C1390" s="86" t="e">
        <f>+VLOOKUP(B1390,ARTICULOS!$D$10:$I$699,6)</f>
        <v>#N/A</v>
      </c>
      <c r="D1390" s="212"/>
      <c r="E1390" s="75" t="e">
        <f t="shared" si="46"/>
        <v>#N/A</v>
      </c>
      <c r="F1390" s="80"/>
      <c r="G1390" s="81"/>
      <c r="H1390" s="78"/>
      <c r="I1390" s="78"/>
      <c r="J1390" s="78"/>
    </row>
    <row r="1391" spans="1:10" x14ac:dyDescent="0.2">
      <c r="A1391" s="84">
        <f t="shared" si="47"/>
        <v>1385</v>
      </c>
      <c r="B1391" s="85" t="e">
        <f>+MATCH(D1391,ARTICULOS!$F$10:$F$699,0)</f>
        <v>#N/A</v>
      </c>
      <c r="C1391" s="86" t="e">
        <f>+VLOOKUP(B1391,ARTICULOS!$D$10:$I$699,6)</f>
        <v>#N/A</v>
      </c>
      <c r="D1391" s="212"/>
      <c r="E1391" s="75" t="e">
        <f t="shared" si="46"/>
        <v>#N/A</v>
      </c>
      <c r="F1391" s="80"/>
      <c r="G1391" s="81"/>
      <c r="H1391" s="78"/>
      <c r="I1391" s="78"/>
      <c r="J1391" s="78"/>
    </row>
    <row r="1392" spans="1:10" x14ac:dyDescent="0.2">
      <c r="A1392" s="84">
        <f t="shared" si="47"/>
        <v>1386</v>
      </c>
      <c r="B1392" s="85" t="e">
        <f>+MATCH(D1392,ARTICULOS!$F$10:$F$699,0)</f>
        <v>#N/A</v>
      </c>
      <c r="C1392" s="86" t="e">
        <f>+VLOOKUP(B1392,ARTICULOS!$D$10:$I$699,6)</f>
        <v>#N/A</v>
      </c>
      <c r="D1392" s="212"/>
      <c r="E1392" s="75" t="e">
        <f t="shared" si="46"/>
        <v>#N/A</v>
      </c>
      <c r="F1392" s="80"/>
      <c r="G1392" s="81"/>
      <c r="H1392" s="78"/>
      <c r="I1392" s="78"/>
      <c r="J1392" s="78"/>
    </row>
    <row r="1393" spans="1:10" x14ac:dyDescent="0.2">
      <c r="A1393" s="84">
        <f t="shared" si="47"/>
        <v>1387</v>
      </c>
      <c r="B1393" s="85" t="e">
        <f>+MATCH(D1393,ARTICULOS!$F$10:$F$699,0)</f>
        <v>#N/A</v>
      </c>
      <c r="C1393" s="86" t="e">
        <f>+VLOOKUP(B1393,ARTICULOS!$D$10:$I$699,6)</f>
        <v>#N/A</v>
      </c>
      <c r="D1393" s="212"/>
      <c r="E1393" s="75" t="e">
        <f t="shared" si="46"/>
        <v>#N/A</v>
      </c>
      <c r="F1393" s="80"/>
      <c r="G1393" s="81"/>
      <c r="H1393" s="78"/>
      <c r="I1393" s="78"/>
      <c r="J1393" s="78"/>
    </row>
    <row r="1394" spans="1:10" x14ac:dyDescent="0.2">
      <c r="A1394" s="84">
        <f t="shared" si="47"/>
        <v>1388</v>
      </c>
      <c r="B1394" s="85" t="e">
        <f>+MATCH(D1394,ARTICULOS!$F$10:$F$699,0)</f>
        <v>#N/A</v>
      </c>
      <c r="C1394" s="86" t="e">
        <f>+VLOOKUP(B1394,ARTICULOS!$D$10:$I$699,6)</f>
        <v>#N/A</v>
      </c>
      <c r="D1394" s="212"/>
      <c r="E1394" s="75" t="e">
        <f t="shared" si="46"/>
        <v>#N/A</v>
      </c>
      <c r="F1394" s="80"/>
      <c r="G1394" s="81"/>
      <c r="H1394" s="78"/>
      <c r="I1394" s="78"/>
      <c r="J1394" s="78"/>
    </row>
    <row r="1395" spans="1:10" x14ac:dyDescent="0.2">
      <c r="A1395" s="84">
        <f t="shared" si="47"/>
        <v>1389</v>
      </c>
      <c r="B1395" s="85" t="e">
        <f>+MATCH(D1395,ARTICULOS!$F$10:$F$699,0)</f>
        <v>#N/A</v>
      </c>
      <c r="C1395" s="86" t="e">
        <f>+VLOOKUP(B1395,ARTICULOS!$D$10:$I$699,6)</f>
        <v>#N/A</v>
      </c>
      <c r="D1395" s="212"/>
      <c r="E1395" s="75" t="e">
        <f t="shared" si="46"/>
        <v>#N/A</v>
      </c>
      <c r="F1395" s="80"/>
      <c r="G1395" s="81"/>
      <c r="H1395" s="78"/>
      <c r="I1395" s="78"/>
      <c r="J1395" s="78"/>
    </row>
    <row r="1396" spans="1:10" x14ac:dyDescent="0.2">
      <c r="A1396" s="84">
        <f t="shared" si="47"/>
        <v>1390</v>
      </c>
      <c r="B1396" s="85" t="e">
        <f>+MATCH(D1396,ARTICULOS!$F$10:$F$699,0)</f>
        <v>#N/A</v>
      </c>
      <c r="C1396" s="86" t="e">
        <f>+VLOOKUP(B1396,ARTICULOS!$D$10:$I$699,6)</f>
        <v>#N/A</v>
      </c>
      <c r="D1396" s="212"/>
      <c r="E1396" s="75" t="e">
        <f t="shared" si="46"/>
        <v>#N/A</v>
      </c>
      <c r="F1396" s="80"/>
      <c r="G1396" s="81"/>
      <c r="H1396" s="78"/>
      <c r="I1396" s="78"/>
      <c r="J1396" s="78"/>
    </row>
    <row r="1397" spans="1:10" x14ac:dyDescent="0.2">
      <c r="A1397" s="84">
        <f t="shared" si="47"/>
        <v>1391</v>
      </c>
      <c r="B1397" s="85" t="e">
        <f>+MATCH(D1397,ARTICULOS!$F$10:$F$699,0)</f>
        <v>#N/A</v>
      </c>
      <c r="C1397" s="86" t="e">
        <f>+VLOOKUP(B1397,ARTICULOS!$D$10:$I$699,6)</f>
        <v>#N/A</v>
      </c>
      <c r="D1397" s="212"/>
      <c r="E1397" s="75" t="e">
        <f t="shared" si="46"/>
        <v>#N/A</v>
      </c>
      <c r="F1397" s="80"/>
      <c r="G1397" s="81"/>
      <c r="H1397" s="78"/>
      <c r="I1397" s="78"/>
      <c r="J1397" s="78"/>
    </row>
    <row r="1398" spans="1:10" x14ac:dyDescent="0.2">
      <c r="A1398" s="84">
        <f t="shared" si="47"/>
        <v>1392</v>
      </c>
      <c r="B1398" s="85" t="e">
        <f>+MATCH(D1398,ARTICULOS!$F$10:$F$699,0)</f>
        <v>#N/A</v>
      </c>
      <c r="C1398" s="86" t="e">
        <f>+VLOOKUP(B1398,ARTICULOS!$D$10:$I$699,6)</f>
        <v>#N/A</v>
      </c>
      <c r="D1398" s="212"/>
      <c r="E1398" s="75" t="e">
        <f t="shared" si="46"/>
        <v>#N/A</v>
      </c>
      <c r="F1398" s="80"/>
      <c r="G1398" s="81"/>
      <c r="H1398" s="78"/>
      <c r="I1398" s="78"/>
      <c r="J1398" s="78"/>
    </row>
    <row r="1399" spans="1:10" x14ac:dyDescent="0.2">
      <c r="A1399" s="84">
        <f t="shared" si="47"/>
        <v>1393</v>
      </c>
      <c r="B1399" s="85" t="e">
        <f>+MATCH(D1399,ARTICULOS!$F$10:$F$699,0)</f>
        <v>#N/A</v>
      </c>
      <c r="C1399" s="86" t="e">
        <f>+VLOOKUP(B1399,ARTICULOS!$D$10:$I$699,6)</f>
        <v>#N/A</v>
      </c>
      <c r="D1399" s="212"/>
      <c r="E1399" s="75" t="e">
        <f t="shared" si="46"/>
        <v>#N/A</v>
      </c>
      <c r="F1399" s="80"/>
      <c r="G1399" s="81"/>
      <c r="H1399" s="78"/>
      <c r="I1399" s="78"/>
      <c r="J1399" s="78"/>
    </row>
    <row r="1400" spans="1:10" x14ac:dyDescent="0.2">
      <c r="A1400" s="84">
        <f t="shared" si="47"/>
        <v>1394</v>
      </c>
      <c r="B1400" s="85" t="e">
        <f>+MATCH(D1400,ARTICULOS!$F$10:$F$699,0)</f>
        <v>#N/A</v>
      </c>
      <c r="C1400" s="86" t="e">
        <f>+VLOOKUP(B1400,ARTICULOS!$D$10:$I$699,6)</f>
        <v>#N/A</v>
      </c>
      <c r="D1400" s="212"/>
      <c r="E1400" s="75" t="e">
        <f t="shared" si="46"/>
        <v>#N/A</v>
      </c>
      <c r="F1400" s="80"/>
      <c r="G1400" s="81"/>
      <c r="H1400" s="78"/>
      <c r="I1400" s="78"/>
      <c r="J1400" s="78"/>
    </row>
    <row r="1401" spans="1:10" x14ac:dyDescent="0.2">
      <c r="A1401" s="84">
        <f t="shared" si="47"/>
        <v>1395</v>
      </c>
      <c r="B1401" s="85" t="e">
        <f>+MATCH(D1401,ARTICULOS!$F$10:$F$699,0)</f>
        <v>#N/A</v>
      </c>
      <c r="C1401" s="86" t="e">
        <f>+VLOOKUP(B1401,ARTICULOS!$D$10:$I$699,6)</f>
        <v>#N/A</v>
      </c>
      <c r="D1401" s="212"/>
      <c r="E1401" s="75" t="e">
        <f t="shared" si="46"/>
        <v>#N/A</v>
      </c>
      <c r="F1401" s="80"/>
      <c r="G1401" s="81"/>
      <c r="H1401" s="78"/>
      <c r="I1401" s="78"/>
      <c r="J1401" s="78"/>
    </row>
    <row r="1402" spans="1:10" x14ac:dyDescent="0.2">
      <c r="A1402" s="84">
        <f t="shared" si="47"/>
        <v>1396</v>
      </c>
      <c r="B1402" s="85" t="e">
        <f>+MATCH(D1402,ARTICULOS!$F$10:$F$699,0)</f>
        <v>#N/A</v>
      </c>
      <c r="C1402" s="86" t="e">
        <f>+VLOOKUP(B1402,ARTICULOS!$D$10:$I$699,6)</f>
        <v>#N/A</v>
      </c>
      <c r="D1402" s="212"/>
      <c r="E1402" s="75" t="e">
        <f t="shared" si="46"/>
        <v>#N/A</v>
      </c>
      <c r="F1402" s="80"/>
      <c r="G1402" s="81"/>
      <c r="H1402" s="78"/>
      <c r="I1402" s="78"/>
      <c r="J1402" s="78"/>
    </row>
    <row r="1403" spans="1:10" x14ac:dyDescent="0.2">
      <c r="A1403" s="84">
        <f t="shared" si="47"/>
        <v>1397</v>
      </c>
      <c r="B1403" s="85" t="e">
        <f>+MATCH(D1403,ARTICULOS!$F$10:$F$699,0)</f>
        <v>#N/A</v>
      </c>
      <c r="C1403" s="86" t="e">
        <f>+VLOOKUP(B1403,ARTICULOS!$D$10:$I$699,6)</f>
        <v>#N/A</v>
      </c>
      <c r="D1403" s="212"/>
      <c r="E1403" s="75" t="e">
        <f t="shared" si="46"/>
        <v>#N/A</v>
      </c>
      <c r="F1403" s="80"/>
      <c r="G1403" s="81"/>
      <c r="H1403" s="78"/>
      <c r="I1403" s="78"/>
      <c r="J1403" s="78"/>
    </row>
    <row r="1404" spans="1:10" x14ac:dyDescent="0.2">
      <c r="A1404" s="84">
        <f t="shared" si="47"/>
        <v>1398</v>
      </c>
      <c r="B1404" s="85" t="e">
        <f>+MATCH(D1404,ARTICULOS!$F$10:$F$699,0)</f>
        <v>#N/A</v>
      </c>
      <c r="C1404" s="86" t="e">
        <f>+VLOOKUP(B1404,ARTICULOS!$D$10:$I$699,6)</f>
        <v>#N/A</v>
      </c>
      <c r="D1404" s="212"/>
      <c r="E1404" s="75" t="e">
        <f t="shared" si="46"/>
        <v>#N/A</v>
      </c>
      <c r="F1404" s="80"/>
      <c r="G1404" s="81"/>
      <c r="H1404" s="78"/>
      <c r="I1404" s="78"/>
      <c r="J1404" s="78"/>
    </row>
    <row r="1405" spans="1:10" x14ac:dyDescent="0.2">
      <c r="A1405" s="84">
        <f t="shared" si="47"/>
        <v>1399</v>
      </c>
      <c r="B1405" s="85" t="e">
        <f>+MATCH(D1405,ARTICULOS!$F$10:$F$699,0)</f>
        <v>#N/A</v>
      </c>
      <c r="C1405" s="86" t="e">
        <f>+VLOOKUP(B1405,ARTICULOS!$D$10:$I$699,6)</f>
        <v>#N/A</v>
      </c>
      <c r="D1405" s="212"/>
      <c r="E1405" s="75" t="e">
        <f t="shared" si="46"/>
        <v>#N/A</v>
      </c>
      <c r="F1405" s="80"/>
      <c r="G1405" s="81"/>
      <c r="H1405" s="78"/>
      <c r="I1405" s="78"/>
      <c r="J1405" s="78"/>
    </row>
    <row r="1406" spans="1:10" x14ac:dyDescent="0.2">
      <c r="A1406" s="84">
        <f t="shared" si="47"/>
        <v>1400</v>
      </c>
      <c r="B1406" s="85" t="e">
        <f>+MATCH(D1406,ARTICULOS!$F$10:$F$699,0)</f>
        <v>#N/A</v>
      </c>
      <c r="C1406" s="86" t="e">
        <f>+VLOOKUP(B1406,ARTICULOS!$D$10:$I$699,6)</f>
        <v>#N/A</v>
      </c>
      <c r="D1406" s="212"/>
      <c r="E1406" s="75" t="e">
        <f t="shared" si="46"/>
        <v>#N/A</v>
      </c>
      <c r="F1406" s="80"/>
      <c r="G1406" s="81"/>
      <c r="H1406" s="78"/>
      <c r="I1406" s="78"/>
      <c r="J1406" s="78"/>
    </row>
    <row r="1407" spans="1:10" x14ac:dyDescent="0.2">
      <c r="A1407" s="84">
        <f t="shared" si="47"/>
        <v>1401</v>
      </c>
      <c r="B1407" s="85" t="e">
        <f>+MATCH(D1407,ARTICULOS!$F$10:$F$699,0)</f>
        <v>#N/A</v>
      </c>
      <c r="C1407" s="86" t="e">
        <f>+VLOOKUP(B1407,ARTICULOS!$D$10:$I$699,6)</f>
        <v>#N/A</v>
      </c>
      <c r="D1407" s="212"/>
      <c r="E1407" s="75" t="e">
        <f t="shared" si="46"/>
        <v>#N/A</v>
      </c>
      <c r="F1407" s="80"/>
      <c r="G1407" s="81"/>
      <c r="H1407" s="78"/>
      <c r="I1407" s="78"/>
      <c r="J1407" s="78"/>
    </row>
    <row r="1408" spans="1:10" x14ac:dyDescent="0.2">
      <c r="A1408" s="84">
        <f t="shared" si="47"/>
        <v>1402</v>
      </c>
      <c r="B1408" s="85" t="e">
        <f>+MATCH(D1408,ARTICULOS!$F$10:$F$699,0)</f>
        <v>#N/A</v>
      </c>
      <c r="C1408" s="86" t="e">
        <f>+VLOOKUP(B1408,ARTICULOS!$D$10:$I$699,6)</f>
        <v>#N/A</v>
      </c>
      <c r="D1408" s="212"/>
      <c r="E1408" s="75" t="e">
        <f t="shared" si="46"/>
        <v>#N/A</v>
      </c>
      <c r="F1408" s="80"/>
      <c r="G1408" s="81"/>
      <c r="H1408" s="78"/>
      <c r="I1408" s="78"/>
      <c r="J1408" s="78"/>
    </row>
    <row r="1409" spans="1:10" x14ac:dyDescent="0.2">
      <c r="A1409" s="84">
        <f t="shared" si="47"/>
        <v>1403</v>
      </c>
      <c r="B1409" s="85" t="e">
        <f>+MATCH(D1409,ARTICULOS!$F$10:$F$699,0)</f>
        <v>#N/A</v>
      </c>
      <c r="C1409" s="86" t="e">
        <f>+VLOOKUP(B1409,ARTICULOS!$D$10:$I$699,6)</f>
        <v>#N/A</v>
      </c>
      <c r="D1409" s="212"/>
      <c r="E1409" s="75" t="e">
        <f t="shared" si="46"/>
        <v>#N/A</v>
      </c>
      <c r="F1409" s="80"/>
      <c r="G1409" s="81"/>
      <c r="H1409" s="78"/>
      <c r="I1409" s="78"/>
      <c r="J1409" s="78"/>
    </row>
    <row r="1410" spans="1:10" x14ac:dyDescent="0.2">
      <c r="A1410" s="84">
        <f t="shared" si="47"/>
        <v>1404</v>
      </c>
      <c r="B1410" s="85" t="e">
        <f>+MATCH(D1410,ARTICULOS!$F$10:$F$699,0)</f>
        <v>#N/A</v>
      </c>
      <c r="C1410" s="86" t="e">
        <f>+VLOOKUP(B1410,ARTICULOS!$D$10:$I$699,6)</f>
        <v>#N/A</v>
      </c>
      <c r="D1410" s="212"/>
      <c r="E1410" s="75" t="e">
        <f t="shared" si="46"/>
        <v>#N/A</v>
      </c>
      <c r="F1410" s="80"/>
      <c r="G1410" s="81"/>
      <c r="H1410" s="78"/>
      <c r="I1410" s="78"/>
      <c r="J1410" s="78"/>
    </row>
    <row r="1411" spans="1:10" x14ac:dyDescent="0.2">
      <c r="A1411" s="84">
        <f t="shared" si="47"/>
        <v>1405</v>
      </c>
      <c r="B1411" s="85" t="e">
        <f>+MATCH(D1411,ARTICULOS!$F$10:$F$699,0)</f>
        <v>#N/A</v>
      </c>
      <c r="C1411" s="86" t="e">
        <f>+VLOOKUP(B1411,ARTICULOS!$D$10:$I$699,6)</f>
        <v>#N/A</v>
      </c>
      <c r="D1411" s="212"/>
      <c r="E1411" s="75" t="e">
        <f t="shared" si="46"/>
        <v>#N/A</v>
      </c>
      <c r="F1411" s="80"/>
      <c r="G1411" s="81"/>
      <c r="H1411" s="78"/>
      <c r="I1411" s="78"/>
      <c r="J1411" s="78"/>
    </row>
    <row r="1412" spans="1:10" x14ac:dyDescent="0.2">
      <c r="A1412" s="84">
        <f t="shared" si="47"/>
        <v>1406</v>
      </c>
      <c r="B1412" s="85" t="e">
        <f>+MATCH(D1412,ARTICULOS!$F$10:$F$699,0)</f>
        <v>#N/A</v>
      </c>
      <c r="C1412" s="86" t="e">
        <f>+VLOOKUP(B1412,ARTICULOS!$D$10:$I$699,6)</f>
        <v>#N/A</v>
      </c>
      <c r="D1412" s="212"/>
      <c r="E1412" s="75" t="e">
        <f t="shared" si="46"/>
        <v>#N/A</v>
      </c>
      <c r="F1412" s="80"/>
      <c r="G1412" s="81"/>
      <c r="H1412" s="78"/>
      <c r="I1412" s="78"/>
      <c r="J1412" s="78"/>
    </row>
    <row r="1413" spans="1:10" x14ac:dyDescent="0.2">
      <c r="A1413" s="84">
        <f t="shared" si="47"/>
        <v>1407</v>
      </c>
      <c r="B1413" s="85" t="e">
        <f>+MATCH(D1413,ARTICULOS!$F$10:$F$699,0)</f>
        <v>#N/A</v>
      </c>
      <c r="C1413" s="86" t="e">
        <f>+VLOOKUP(B1413,ARTICULOS!$D$10:$I$699,6)</f>
        <v>#N/A</v>
      </c>
      <c r="D1413" s="212"/>
      <c r="E1413" s="75" t="e">
        <f t="shared" si="46"/>
        <v>#N/A</v>
      </c>
      <c r="F1413" s="80"/>
      <c r="G1413" s="81"/>
      <c r="H1413" s="78"/>
      <c r="I1413" s="78"/>
      <c r="J1413" s="78"/>
    </row>
    <row r="1414" spans="1:10" x14ac:dyDescent="0.2">
      <c r="A1414" s="84">
        <f t="shared" si="47"/>
        <v>1408</v>
      </c>
      <c r="B1414" s="85" t="e">
        <f>+MATCH(D1414,ARTICULOS!$F$10:$F$699,0)</f>
        <v>#N/A</v>
      </c>
      <c r="C1414" s="86" t="e">
        <f>+VLOOKUP(B1414,ARTICULOS!$D$10:$I$699,6)</f>
        <v>#N/A</v>
      </c>
      <c r="D1414" s="212"/>
      <c r="E1414" s="75" t="e">
        <f t="shared" si="46"/>
        <v>#N/A</v>
      </c>
      <c r="F1414" s="80"/>
      <c r="G1414" s="81"/>
      <c r="H1414" s="78"/>
      <c r="I1414" s="78"/>
      <c r="J1414" s="78"/>
    </row>
    <row r="1415" spans="1:10" x14ac:dyDescent="0.2">
      <c r="A1415" s="84">
        <f t="shared" si="47"/>
        <v>1409</v>
      </c>
      <c r="B1415" s="85" t="e">
        <f>+MATCH(D1415,ARTICULOS!$F$10:$F$699,0)</f>
        <v>#N/A</v>
      </c>
      <c r="C1415" s="86" t="e">
        <f>+VLOOKUP(B1415,ARTICULOS!$D$10:$I$699,6)</f>
        <v>#N/A</v>
      </c>
      <c r="D1415" s="212"/>
      <c r="E1415" s="75" t="e">
        <f t="shared" si="46"/>
        <v>#N/A</v>
      </c>
      <c r="F1415" s="80"/>
      <c r="G1415" s="81"/>
      <c r="H1415" s="78"/>
      <c r="I1415" s="78"/>
      <c r="J1415" s="78"/>
    </row>
    <row r="1416" spans="1:10" x14ac:dyDescent="0.2">
      <c r="A1416" s="84">
        <f t="shared" si="47"/>
        <v>1410</v>
      </c>
      <c r="B1416" s="85" t="e">
        <f>+MATCH(D1416,ARTICULOS!$F$10:$F$699,0)</f>
        <v>#N/A</v>
      </c>
      <c r="C1416" s="86" t="e">
        <f>+VLOOKUP(B1416,ARTICULOS!$D$10:$I$699,6)</f>
        <v>#N/A</v>
      </c>
      <c r="D1416" s="212"/>
      <c r="E1416" s="75" t="e">
        <f t="shared" si="46"/>
        <v>#N/A</v>
      </c>
      <c r="F1416" s="80"/>
      <c r="G1416" s="81"/>
      <c r="H1416" s="78"/>
      <c r="I1416" s="78"/>
      <c r="J1416" s="78"/>
    </row>
    <row r="1417" spans="1:10" x14ac:dyDescent="0.2">
      <c r="A1417" s="84">
        <f t="shared" si="47"/>
        <v>1411</v>
      </c>
      <c r="B1417" s="85" t="e">
        <f>+MATCH(D1417,ARTICULOS!$F$10:$F$699,0)</f>
        <v>#N/A</v>
      </c>
      <c r="C1417" s="86" t="e">
        <f>+VLOOKUP(B1417,ARTICULOS!$D$10:$I$699,6)</f>
        <v>#N/A</v>
      </c>
      <c r="D1417" s="212"/>
      <c r="E1417" s="75" t="e">
        <f t="shared" si="46"/>
        <v>#N/A</v>
      </c>
      <c r="F1417" s="80"/>
      <c r="G1417" s="81"/>
      <c r="H1417" s="78"/>
      <c r="I1417" s="78"/>
      <c r="J1417" s="78"/>
    </row>
    <row r="1418" spans="1:10" x14ac:dyDescent="0.2">
      <c r="A1418" s="84">
        <f t="shared" si="47"/>
        <v>1412</v>
      </c>
      <c r="B1418" s="85" t="e">
        <f>+MATCH(D1418,ARTICULOS!$F$10:$F$699,0)</f>
        <v>#N/A</v>
      </c>
      <c r="C1418" s="86" t="e">
        <f>+VLOOKUP(B1418,ARTICULOS!$D$10:$I$699,6)</f>
        <v>#N/A</v>
      </c>
      <c r="D1418" s="212"/>
      <c r="E1418" s="75" t="e">
        <f t="shared" si="46"/>
        <v>#N/A</v>
      </c>
      <c r="F1418" s="80"/>
      <c r="G1418" s="81"/>
      <c r="H1418" s="78"/>
      <c r="I1418" s="78"/>
      <c r="J1418" s="78"/>
    </row>
    <row r="1419" spans="1:10" x14ac:dyDescent="0.2">
      <c r="A1419" s="84">
        <f t="shared" si="47"/>
        <v>1413</v>
      </c>
      <c r="B1419" s="85" t="e">
        <f>+MATCH(D1419,ARTICULOS!$F$10:$F$699,0)</f>
        <v>#N/A</v>
      </c>
      <c r="C1419" s="86" t="e">
        <f>+VLOOKUP(B1419,ARTICULOS!$D$10:$I$699,6)</f>
        <v>#N/A</v>
      </c>
      <c r="D1419" s="212"/>
      <c r="E1419" s="75" t="e">
        <f t="shared" ref="E1419:E1482" si="48">+C1419&amp;F1419</f>
        <v>#N/A</v>
      </c>
      <c r="F1419" s="80"/>
      <c r="G1419" s="81"/>
      <c r="H1419" s="78"/>
      <c r="I1419" s="78"/>
      <c r="J1419" s="78"/>
    </row>
    <row r="1420" spans="1:10" x14ac:dyDescent="0.2">
      <c r="A1420" s="84">
        <f t="shared" si="47"/>
        <v>1414</v>
      </c>
      <c r="B1420" s="85" t="e">
        <f>+MATCH(D1420,ARTICULOS!$F$10:$F$699,0)</f>
        <v>#N/A</v>
      </c>
      <c r="C1420" s="86" t="e">
        <f>+VLOOKUP(B1420,ARTICULOS!$D$10:$I$699,6)</f>
        <v>#N/A</v>
      </c>
      <c r="D1420" s="212"/>
      <c r="E1420" s="75" t="e">
        <f t="shared" si="48"/>
        <v>#N/A</v>
      </c>
      <c r="F1420" s="80"/>
      <c r="G1420" s="81"/>
      <c r="H1420" s="78"/>
      <c r="I1420" s="78"/>
      <c r="J1420" s="78"/>
    </row>
    <row r="1421" spans="1:10" x14ac:dyDescent="0.2">
      <c r="A1421" s="84">
        <f t="shared" si="47"/>
        <v>1415</v>
      </c>
      <c r="B1421" s="85" t="e">
        <f>+MATCH(D1421,ARTICULOS!$F$10:$F$699,0)</f>
        <v>#N/A</v>
      </c>
      <c r="C1421" s="86" t="e">
        <f>+VLOOKUP(B1421,ARTICULOS!$D$10:$I$699,6)</f>
        <v>#N/A</v>
      </c>
      <c r="D1421" s="212"/>
      <c r="E1421" s="75" t="e">
        <f t="shared" si="48"/>
        <v>#N/A</v>
      </c>
      <c r="F1421" s="80"/>
      <c r="G1421" s="81"/>
      <c r="H1421" s="78"/>
      <c r="I1421" s="78"/>
      <c r="J1421" s="78"/>
    </row>
    <row r="1422" spans="1:10" x14ac:dyDescent="0.2">
      <c r="A1422" s="84">
        <f t="shared" si="47"/>
        <v>1416</v>
      </c>
      <c r="B1422" s="85" t="e">
        <f>+MATCH(D1422,ARTICULOS!$F$10:$F$699,0)</f>
        <v>#N/A</v>
      </c>
      <c r="C1422" s="86" t="e">
        <f>+VLOOKUP(B1422,ARTICULOS!$D$10:$I$699,6)</f>
        <v>#N/A</v>
      </c>
      <c r="D1422" s="212"/>
      <c r="E1422" s="75" t="e">
        <f t="shared" si="48"/>
        <v>#N/A</v>
      </c>
      <c r="F1422" s="80"/>
      <c r="G1422" s="81"/>
      <c r="H1422" s="78"/>
      <c r="I1422" s="78"/>
      <c r="J1422" s="78"/>
    </row>
    <row r="1423" spans="1:10" x14ac:dyDescent="0.2">
      <c r="A1423" s="84">
        <f t="shared" si="47"/>
        <v>1417</v>
      </c>
      <c r="B1423" s="85" t="e">
        <f>+MATCH(D1423,ARTICULOS!$F$10:$F$699,0)</f>
        <v>#N/A</v>
      </c>
      <c r="C1423" s="86" t="e">
        <f>+VLOOKUP(B1423,ARTICULOS!$D$10:$I$699,6)</f>
        <v>#N/A</v>
      </c>
      <c r="D1423" s="212"/>
      <c r="E1423" s="75" t="e">
        <f t="shared" si="48"/>
        <v>#N/A</v>
      </c>
      <c r="F1423" s="80"/>
      <c r="G1423" s="81"/>
      <c r="H1423" s="78"/>
      <c r="I1423" s="78"/>
      <c r="J1423" s="78"/>
    </row>
    <row r="1424" spans="1:10" x14ac:dyDescent="0.2">
      <c r="A1424" s="84">
        <f t="shared" si="47"/>
        <v>1418</v>
      </c>
      <c r="B1424" s="85" t="e">
        <f>+MATCH(D1424,ARTICULOS!$F$10:$F$699,0)</f>
        <v>#N/A</v>
      </c>
      <c r="C1424" s="86" t="e">
        <f>+VLOOKUP(B1424,ARTICULOS!$D$10:$I$699,6)</f>
        <v>#N/A</v>
      </c>
      <c r="D1424" s="212"/>
      <c r="E1424" s="75" t="e">
        <f t="shared" si="48"/>
        <v>#N/A</v>
      </c>
      <c r="F1424" s="80"/>
      <c r="G1424" s="81"/>
      <c r="H1424" s="78"/>
      <c r="I1424" s="78"/>
      <c r="J1424" s="78"/>
    </row>
    <row r="1425" spans="1:10" x14ac:dyDescent="0.2">
      <c r="A1425" s="84">
        <f t="shared" si="47"/>
        <v>1419</v>
      </c>
      <c r="B1425" s="85" t="e">
        <f>+MATCH(D1425,ARTICULOS!$F$10:$F$699,0)</f>
        <v>#N/A</v>
      </c>
      <c r="C1425" s="86" t="e">
        <f>+VLOOKUP(B1425,ARTICULOS!$D$10:$I$699,6)</f>
        <v>#N/A</v>
      </c>
      <c r="D1425" s="212"/>
      <c r="E1425" s="75" t="e">
        <f t="shared" si="48"/>
        <v>#N/A</v>
      </c>
      <c r="F1425" s="80"/>
      <c r="G1425" s="81"/>
      <c r="H1425" s="78"/>
      <c r="I1425" s="78"/>
      <c r="J1425" s="78"/>
    </row>
    <row r="1426" spans="1:10" x14ac:dyDescent="0.2">
      <c r="A1426" s="84">
        <f t="shared" si="47"/>
        <v>1420</v>
      </c>
      <c r="B1426" s="85" t="e">
        <f>+MATCH(D1426,ARTICULOS!$F$10:$F$699,0)</f>
        <v>#N/A</v>
      </c>
      <c r="C1426" s="86" t="e">
        <f>+VLOOKUP(B1426,ARTICULOS!$D$10:$I$699,6)</f>
        <v>#N/A</v>
      </c>
      <c r="D1426" s="212"/>
      <c r="E1426" s="75" t="e">
        <f t="shared" si="48"/>
        <v>#N/A</v>
      </c>
      <c r="F1426" s="80"/>
      <c r="G1426" s="81"/>
      <c r="H1426" s="78"/>
      <c r="I1426" s="78"/>
      <c r="J1426" s="78"/>
    </row>
    <row r="1427" spans="1:10" x14ac:dyDescent="0.2">
      <c r="A1427" s="84">
        <f t="shared" si="47"/>
        <v>1421</v>
      </c>
      <c r="B1427" s="85" t="e">
        <f>+MATCH(D1427,ARTICULOS!$F$10:$F$699,0)</f>
        <v>#N/A</v>
      </c>
      <c r="C1427" s="86" t="e">
        <f>+VLOOKUP(B1427,ARTICULOS!$D$10:$I$699,6)</f>
        <v>#N/A</v>
      </c>
      <c r="D1427" s="212"/>
      <c r="E1427" s="75" t="e">
        <f t="shared" si="48"/>
        <v>#N/A</v>
      </c>
      <c r="F1427" s="80"/>
      <c r="G1427" s="81"/>
      <c r="H1427" s="78"/>
      <c r="I1427" s="78"/>
      <c r="J1427" s="78"/>
    </row>
    <row r="1428" spans="1:10" x14ac:dyDescent="0.2">
      <c r="A1428" s="84">
        <f t="shared" si="47"/>
        <v>1422</v>
      </c>
      <c r="B1428" s="85" t="e">
        <f>+MATCH(D1428,ARTICULOS!$F$10:$F$699,0)</f>
        <v>#N/A</v>
      </c>
      <c r="C1428" s="86" t="e">
        <f>+VLOOKUP(B1428,ARTICULOS!$D$10:$I$699,6)</f>
        <v>#N/A</v>
      </c>
      <c r="D1428" s="212"/>
      <c r="E1428" s="75" t="e">
        <f t="shared" si="48"/>
        <v>#N/A</v>
      </c>
      <c r="F1428" s="80"/>
      <c r="G1428" s="81"/>
      <c r="H1428" s="78"/>
      <c r="I1428" s="78"/>
      <c r="J1428" s="78"/>
    </row>
    <row r="1429" spans="1:10" x14ac:dyDescent="0.2">
      <c r="A1429" s="84">
        <f t="shared" si="47"/>
        <v>1423</v>
      </c>
      <c r="B1429" s="85" t="e">
        <f>+MATCH(D1429,ARTICULOS!$F$10:$F$699,0)</f>
        <v>#N/A</v>
      </c>
      <c r="C1429" s="86" t="e">
        <f>+VLOOKUP(B1429,ARTICULOS!$D$10:$I$699,6)</f>
        <v>#N/A</v>
      </c>
      <c r="D1429" s="212"/>
      <c r="E1429" s="75" t="e">
        <f t="shared" si="48"/>
        <v>#N/A</v>
      </c>
      <c r="F1429" s="80"/>
      <c r="G1429" s="81"/>
      <c r="H1429" s="78"/>
      <c r="I1429" s="78"/>
      <c r="J1429" s="78"/>
    </row>
    <row r="1430" spans="1:10" x14ac:dyDescent="0.2">
      <c r="A1430" s="84">
        <f t="shared" si="47"/>
        <v>1424</v>
      </c>
      <c r="B1430" s="85" t="e">
        <f>+MATCH(D1430,ARTICULOS!$F$10:$F$699,0)</f>
        <v>#N/A</v>
      </c>
      <c r="C1430" s="86" t="e">
        <f>+VLOOKUP(B1430,ARTICULOS!$D$10:$I$699,6)</f>
        <v>#N/A</v>
      </c>
      <c r="D1430" s="212"/>
      <c r="E1430" s="75" t="e">
        <f t="shared" si="48"/>
        <v>#N/A</v>
      </c>
      <c r="F1430" s="80"/>
      <c r="G1430" s="81"/>
      <c r="H1430" s="78"/>
      <c r="I1430" s="78"/>
      <c r="J1430" s="78"/>
    </row>
    <row r="1431" spans="1:10" x14ac:dyDescent="0.2">
      <c r="A1431" s="84">
        <f t="shared" si="47"/>
        <v>1425</v>
      </c>
      <c r="B1431" s="85" t="e">
        <f>+MATCH(D1431,ARTICULOS!$F$10:$F$699,0)</f>
        <v>#N/A</v>
      </c>
      <c r="C1431" s="86" t="e">
        <f>+VLOOKUP(B1431,ARTICULOS!$D$10:$I$699,6)</f>
        <v>#N/A</v>
      </c>
      <c r="D1431" s="212"/>
      <c r="E1431" s="75" t="e">
        <f t="shared" si="48"/>
        <v>#N/A</v>
      </c>
      <c r="F1431" s="80"/>
      <c r="G1431" s="81"/>
      <c r="H1431" s="78"/>
      <c r="I1431" s="78"/>
      <c r="J1431" s="78"/>
    </row>
    <row r="1432" spans="1:10" x14ac:dyDescent="0.2">
      <c r="A1432" s="84">
        <f t="shared" si="47"/>
        <v>1426</v>
      </c>
      <c r="B1432" s="85" t="e">
        <f>+MATCH(D1432,ARTICULOS!$F$10:$F$699,0)</f>
        <v>#N/A</v>
      </c>
      <c r="C1432" s="86" t="e">
        <f>+VLOOKUP(B1432,ARTICULOS!$D$10:$I$699,6)</f>
        <v>#N/A</v>
      </c>
      <c r="D1432" s="212"/>
      <c r="E1432" s="75" t="e">
        <f t="shared" si="48"/>
        <v>#N/A</v>
      </c>
      <c r="F1432" s="80"/>
      <c r="G1432" s="81"/>
      <c r="H1432" s="78"/>
      <c r="I1432" s="78"/>
      <c r="J1432" s="78"/>
    </row>
    <row r="1433" spans="1:10" x14ac:dyDescent="0.2">
      <c r="A1433" s="84">
        <f t="shared" si="47"/>
        <v>1427</v>
      </c>
      <c r="B1433" s="85" t="e">
        <f>+MATCH(D1433,ARTICULOS!$F$10:$F$699,0)</f>
        <v>#N/A</v>
      </c>
      <c r="C1433" s="86" t="e">
        <f>+VLOOKUP(B1433,ARTICULOS!$D$10:$I$699,6)</f>
        <v>#N/A</v>
      </c>
      <c r="D1433" s="212"/>
      <c r="E1433" s="75" t="e">
        <f t="shared" si="48"/>
        <v>#N/A</v>
      </c>
      <c r="F1433" s="80"/>
      <c r="G1433" s="81"/>
      <c r="H1433" s="78"/>
      <c r="I1433" s="78"/>
      <c r="J1433" s="78"/>
    </row>
    <row r="1434" spans="1:10" x14ac:dyDescent="0.2">
      <c r="A1434" s="84">
        <f t="shared" si="47"/>
        <v>1428</v>
      </c>
      <c r="B1434" s="85" t="e">
        <f>+MATCH(D1434,ARTICULOS!$F$10:$F$699,0)</f>
        <v>#N/A</v>
      </c>
      <c r="C1434" s="86" t="e">
        <f>+VLOOKUP(B1434,ARTICULOS!$D$10:$I$699,6)</f>
        <v>#N/A</v>
      </c>
      <c r="D1434" s="212"/>
      <c r="E1434" s="75" t="e">
        <f t="shared" si="48"/>
        <v>#N/A</v>
      </c>
      <c r="F1434" s="80"/>
      <c r="G1434" s="81"/>
      <c r="H1434" s="78"/>
      <c r="I1434" s="78"/>
      <c r="J1434" s="78"/>
    </row>
    <row r="1435" spans="1:10" x14ac:dyDescent="0.2">
      <c r="A1435" s="84">
        <f t="shared" si="47"/>
        <v>1429</v>
      </c>
      <c r="B1435" s="85" t="e">
        <f>+MATCH(D1435,ARTICULOS!$F$10:$F$699,0)</f>
        <v>#N/A</v>
      </c>
      <c r="C1435" s="86" t="e">
        <f>+VLOOKUP(B1435,ARTICULOS!$D$10:$I$699,6)</f>
        <v>#N/A</v>
      </c>
      <c r="D1435" s="212"/>
      <c r="E1435" s="75" t="e">
        <f t="shared" si="48"/>
        <v>#N/A</v>
      </c>
      <c r="F1435" s="80"/>
      <c r="G1435" s="81"/>
      <c r="H1435" s="78"/>
      <c r="I1435" s="78"/>
      <c r="J1435" s="78"/>
    </row>
    <row r="1436" spans="1:10" x14ac:dyDescent="0.2">
      <c r="A1436" s="84">
        <f t="shared" si="47"/>
        <v>1430</v>
      </c>
      <c r="B1436" s="85" t="e">
        <f>+MATCH(D1436,ARTICULOS!$F$10:$F$699,0)</f>
        <v>#N/A</v>
      </c>
      <c r="C1436" s="86" t="e">
        <f>+VLOOKUP(B1436,ARTICULOS!$D$10:$I$699,6)</f>
        <v>#N/A</v>
      </c>
      <c r="D1436" s="212"/>
      <c r="E1436" s="75" t="e">
        <f t="shared" si="48"/>
        <v>#N/A</v>
      </c>
      <c r="F1436" s="80"/>
      <c r="G1436" s="81"/>
      <c r="H1436" s="78"/>
      <c r="I1436" s="78"/>
      <c r="J1436" s="78"/>
    </row>
    <row r="1437" spans="1:10" x14ac:dyDescent="0.2">
      <c r="A1437" s="84">
        <f t="shared" si="47"/>
        <v>1431</v>
      </c>
      <c r="B1437" s="85" t="e">
        <f>+MATCH(D1437,ARTICULOS!$F$10:$F$699,0)</f>
        <v>#N/A</v>
      </c>
      <c r="C1437" s="86" t="e">
        <f>+VLOOKUP(B1437,ARTICULOS!$D$10:$I$699,6)</f>
        <v>#N/A</v>
      </c>
      <c r="D1437" s="212"/>
      <c r="E1437" s="75" t="e">
        <f t="shared" si="48"/>
        <v>#N/A</v>
      </c>
      <c r="F1437" s="80"/>
      <c r="G1437" s="81"/>
      <c r="H1437" s="78"/>
      <c r="I1437" s="78"/>
      <c r="J1437" s="78"/>
    </row>
    <row r="1438" spans="1:10" x14ac:dyDescent="0.2">
      <c r="A1438" s="84">
        <f t="shared" si="47"/>
        <v>1432</v>
      </c>
      <c r="B1438" s="85" t="e">
        <f>+MATCH(D1438,ARTICULOS!$F$10:$F$699,0)</f>
        <v>#N/A</v>
      </c>
      <c r="C1438" s="86" t="e">
        <f>+VLOOKUP(B1438,ARTICULOS!$D$10:$I$699,6)</f>
        <v>#N/A</v>
      </c>
      <c r="D1438" s="212"/>
      <c r="E1438" s="75" t="e">
        <f t="shared" si="48"/>
        <v>#N/A</v>
      </c>
      <c r="F1438" s="80"/>
      <c r="G1438" s="81"/>
      <c r="H1438" s="78"/>
      <c r="I1438" s="78"/>
      <c r="J1438" s="78"/>
    </row>
    <row r="1439" spans="1:10" x14ac:dyDescent="0.2">
      <c r="A1439" s="84">
        <f t="shared" si="47"/>
        <v>1433</v>
      </c>
      <c r="B1439" s="85" t="e">
        <f>+MATCH(D1439,ARTICULOS!$F$10:$F$699,0)</f>
        <v>#N/A</v>
      </c>
      <c r="C1439" s="86" t="e">
        <f>+VLOOKUP(B1439,ARTICULOS!$D$10:$I$699,6)</f>
        <v>#N/A</v>
      </c>
      <c r="D1439" s="212"/>
      <c r="E1439" s="75" t="e">
        <f t="shared" si="48"/>
        <v>#N/A</v>
      </c>
      <c r="F1439" s="80"/>
      <c r="G1439" s="81"/>
      <c r="H1439" s="78"/>
      <c r="I1439" s="78"/>
      <c r="J1439" s="78"/>
    </row>
    <row r="1440" spans="1:10" x14ac:dyDescent="0.2">
      <c r="A1440" s="84">
        <f t="shared" si="47"/>
        <v>1434</v>
      </c>
      <c r="B1440" s="85" t="e">
        <f>+MATCH(D1440,ARTICULOS!$F$10:$F$699,0)</f>
        <v>#N/A</v>
      </c>
      <c r="C1440" s="86" t="e">
        <f>+VLOOKUP(B1440,ARTICULOS!$D$10:$I$699,6)</f>
        <v>#N/A</v>
      </c>
      <c r="D1440" s="212"/>
      <c r="E1440" s="75" t="e">
        <f t="shared" si="48"/>
        <v>#N/A</v>
      </c>
      <c r="F1440" s="80"/>
      <c r="G1440" s="81"/>
      <c r="H1440" s="78"/>
      <c r="I1440" s="78"/>
      <c r="J1440" s="78"/>
    </row>
    <row r="1441" spans="1:10" x14ac:dyDescent="0.2">
      <c r="A1441" s="84">
        <f t="shared" si="47"/>
        <v>1435</v>
      </c>
      <c r="B1441" s="85" t="e">
        <f>+MATCH(D1441,ARTICULOS!$F$10:$F$699,0)</f>
        <v>#N/A</v>
      </c>
      <c r="C1441" s="86" t="e">
        <f>+VLOOKUP(B1441,ARTICULOS!$D$10:$I$699,6)</f>
        <v>#N/A</v>
      </c>
      <c r="D1441" s="212"/>
      <c r="E1441" s="75" t="e">
        <f t="shared" si="48"/>
        <v>#N/A</v>
      </c>
      <c r="F1441" s="80"/>
      <c r="G1441" s="81"/>
      <c r="H1441" s="78"/>
      <c r="I1441" s="78"/>
      <c r="J1441" s="78"/>
    </row>
    <row r="1442" spans="1:10" x14ac:dyDescent="0.2">
      <c r="A1442" s="84">
        <f t="shared" si="47"/>
        <v>1436</v>
      </c>
      <c r="B1442" s="85" t="e">
        <f>+MATCH(D1442,ARTICULOS!$F$10:$F$699,0)</f>
        <v>#N/A</v>
      </c>
      <c r="C1442" s="86" t="e">
        <f>+VLOOKUP(B1442,ARTICULOS!$D$10:$I$699,6)</f>
        <v>#N/A</v>
      </c>
      <c r="D1442" s="212"/>
      <c r="E1442" s="75" t="e">
        <f t="shared" si="48"/>
        <v>#N/A</v>
      </c>
      <c r="F1442" s="80"/>
      <c r="G1442" s="81"/>
      <c r="H1442" s="78"/>
      <c r="I1442" s="78"/>
      <c r="J1442" s="78"/>
    </row>
    <row r="1443" spans="1:10" x14ac:dyDescent="0.2">
      <c r="A1443" s="84">
        <f t="shared" si="47"/>
        <v>1437</v>
      </c>
      <c r="B1443" s="85" t="e">
        <f>+MATCH(D1443,ARTICULOS!$F$10:$F$699,0)</f>
        <v>#N/A</v>
      </c>
      <c r="C1443" s="86" t="e">
        <f>+VLOOKUP(B1443,ARTICULOS!$D$10:$I$699,6)</f>
        <v>#N/A</v>
      </c>
      <c r="D1443" s="212"/>
      <c r="E1443" s="75" t="e">
        <f t="shared" si="48"/>
        <v>#N/A</v>
      </c>
      <c r="F1443" s="80"/>
      <c r="G1443" s="81"/>
      <c r="H1443" s="78"/>
      <c r="I1443" s="78"/>
      <c r="J1443" s="78"/>
    </row>
    <row r="1444" spans="1:10" x14ac:dyDescent="0.2">
      <c r="A1444" s="84">
        <f t="shared" si="47"/>
        <v>1438</v>
      </c>
      <c r="B1444" s="85" t="e">
        <f>+MATCH(D1444,ARTICULOS!$F$10:$F$699,0)</f>
        <v>#N/A</v>
      </c>
      <c r="C1444" s="86" t="e">
        <f>+VLOOKUP(B1444,ARTICULOS!$D$10:$I$699,6)</f>
        <v>#N/A</v>
      </c>
      <c r="D1444" s="212"/>
      <c r="E1444" s="75" t="e">
        <f t="shared" si="48"/>
        <v>#N/A</v>
      </c>
      <c r="F1444" s="80"/>
      <c r="G1444" s="81"/>
      <c r="H1444" s="78"/>
      <c r="I1444" s="78"/>
      <c r="J1444" s="78"/>
    </row>
    <row r="1445" spans="1:10" x14ac:dyDescent="0.2">
      <c r="A1445" s="84">
        <f t="shared" si="47"/>
        <v>1439</v>
      </c>
      <c r="B1445" s="85" t="e">
        <f>+MATCH(D1445,ARTICULOS!$F$10:$F$699,0)</f>
        <v>#N/A</v>
      </c>
      <c r="C1445" s="86" t="e">
        <f>+VLOOKUP(B1445,ARTICULOS!$D$10:$I$699,6)</f>
        <v>#N/A</v>
      </c>
      <c r="D1445" s="212"/>
      <c r="E1445" s="75" t="e">
        <f t="shared" si="48"/>
        <v>#N/A</v>
      </c>
      <c r="F1445" s="80"/>
      <c r="G1445" s="81"/>
      <c r="H1445" s="78"/>
      <c r="I1445" s="78"/>
      <c r="J1445" s="78"/>
    </row>
    <row r="1446" spans="1:10" x14ac:dyDescent="0.2">
      <c r="A1446" s="84">
        <f t="shared" si="47"/>
        <v>1440</v>
      </c>
      <c r="B1446" s="85" t="e">
        <f>+MATCH(D1446,ARTICULOS!$F$10:$F$699,0)</f>
        <v>#N/A</v>
      </c>
      <c r="C1446" s="86" t="e">
        <f>+VLOOKUP(B1446,ARTICULOS!$D$10:$I$699,6)</f>
        <v>#N/A</v>
      </c>
      <c r="D1446" s="212"/>
      <c r="E1446" s="75" t="e">
        <f t="shared" si="48"/>
        <v>#N/A</v>
      </c>
      <c r="F1446" s="80"/>
      <c r="G1446" s="81"/>
      <c r="H1446" s="78"/>
      <c r="I1446" s="78"/>
      <c r="J1446" s="78"/>
    </row>
    <row r="1447" spans="1:10" x14ac:dyDescent="0.2">
      <c r="A1447" s="84">
        <f t="shared" si="47"/>
        <v>1441</v>
      </c>
      <c r="B1447" s="85" t="e">
        <f>+MATCH(D1447,ARTICULOS!$F$10:$F$699,0)</f>
        <v>#N/A</v>
      </c>
      <c r="C1447" s="86" t="e">
        <f>+VLOOKUP(B1447,ARTICULOS!$D$10:$I$699,6)</f>
        <v>#N/A</v>
      </c>
      <c r="D1447" s="212"/>
      <c r="E1447" s="75" t="e">
        <f t="shared" si="48"/>
        <v>#N/A</v>
      </c>
      <c r="F1447" s="80"/>
      <c r="G1447" s="81"/>
      <c r="H1447" s="78"/>
      <c r="I1447" s="78"/>
      <c r="J1447" s="78"/>
    </row>
    <row r="1448" spans="1:10" x14ac:dyDescent="0.2">
      <c r="A1448" s="84">
        <f t="shared" si="47"/>
        <v>1442</v>
      </c>
      <c r="B1448" s="85" t="e">
        <f>+MATCH(D1448,ARTICULOS!$F$10:$F$699,0)</f>
        <v>#N/A</v>
      </c>
      <c r="C1448" s="86" t="e">
        <f>+VLOOKUP(B1448,ARTICULOS!$D$10:$I$699,6)</f>
        <v>#N/A</v>
      </c>
      <c r="D1448" s="212"/>
      <c r="E1448" s="75" t="e">
        <f t="shared" si="48"/>
        <v>#N/A</v>
      </c>
      <c r="F1448" s="80"/>
      <c r="G1448" s="81"/>
      <c r="H1448" s="78"/>
      <c r="I1448" s="78"/>
      <c r="J1448" s="78"/>
    </row>
    <row r="1449" spans="1:10" x14ac:dyDescent="0.2">
      <c r="A1449" s="84">
        <f t="shared" ref="A1449:A1512" si="49">ROW()-6</f>
        <v>1443</v>
      </c>
      <c r="B1449" s="85" t="e">
        <f>+MATCH(D1449,ARTICULOS!$F$10:$F$699,0)</f>
        <v>#N/A</v>
      </c>
      <c r="C1449" s="86" t="e">
        <f>+VLOOKUP(B1449,ARTICULOS!$D$10:$I$699,6)</f>
        <v>#N/A</v>
      </c>
      <c r="D1449" s="212"/>
      <c r="E1449" s="75" t="e">
        <f t="shared" si="48"/>
        <v>#N/A</v>
      </c>
      <c r="F1449" s="80"/>
      <c r="G1449" s="81"/>
      <c r="H1449" s="78"/>
      <c r="I1449" s="78"/>
      <c r="J1449" s="78"/>
    </row>
    <row r="1450" spans="1:10" x14ac:dyDescent="0.2">
      <c r="A1450" s="84">
        <f t="shared" si="49"/>
        <v>1444</v>
      </c>
      <c r="B1450" s="85" t="e">
        <f>+MATCH(D1450,ARTICULOS!$F$10:$F$699,0)</f>
        <v>#N/A</v>
      </c>
      <c r="C1450" s="86" t="e">
        <f>+VLOOKUP(B1450,ARTICULOS!$D$10:$I$699,6)</f>
        <v>#N/A</v>
      </c>
      <c r="D1450" s="212"/>
      <c r="E1450" s="75" t="e">
        <f t="shared" si="48"/>
        <v>#N/A</v>
      </c>
      <c r="F1450" s="80"/>
      <c r="G1450" s="81"/>
      <c r="H1450" s="78"/>
      <c r="I1450" s="78"/>
      <c r="J1450" s="78"/>
    </row>
    <row r="1451" spans="1:10" x14ac:dyDescent="0.2">
      <c r="A1451" s="84">
        <f t="shared" si="49"/>
        <v>1445</v>
      </c>
      <c r="B1451" s="85" t="e">
        <f>+MATCH(D1451,ARTICULOS!$F$10:$F$699,0)</f>
        <v>#N/A</v>
      </c>
      <c r="C1451" s="86" t="e">
        <f>+VLOOKUP(B1451,ARTICULOS!$D$10:$I$699,6)</f>
        <v>#N/A</v>
      </c>
      <c r="D1451" s="212"/>
      <c r="E1451" s="75" t="e">
        <f t="shared" si="48"/>
        <v>#N/A</v>
      </c>
      <c r="F1451" s="80"/>
      <c r="G1451" s="81"/>
      <c r="H1451" s="78"/>
      <c r="I1451" s="78"/>
      <c r="J1451" s="78"/>
    </row>
    <row r="1452" spans="1:10" x14ac:dyDescent="0.2">
      <c r="A1452" s="84">
        <f t="shared" si="49"/>
        <v>1446</v>
      </c>
      <c r="B1452" s="85" t="e">
        <f>+MATCH(D1452,ARTICULOS!$F$10:$F$699,0)</f>
        <v>#N/A</v>
      </c>
      <c r="C1452" s="86" t="e">
        <f>+VLOOKUP(B1452,ARTICULOS!$D$10:$I$699,6)</f>
        <v>#N/A</v>
      </c>
      <c r="D1452" s="212"/>
      <c r="E1452" s="75" t="e">
        <f t="shared" si="48"/>
        <v>#N/A</v>
      </c>
      <c r="F1452" s="80"/>
      <c r="G1452" s="81"/>
      <c r="H1452" s="78"/>
      <c r="I1452" s="78"/>
      <c r="J1452" s="78"/>
    </row>
    <row r="1453" spans="1:10" x14ac:dyDescent="0.2">
      <c r="A1453" s="84">
        <f t="shared" si="49"/>
        <v>1447</v>
      </c>
      <c r="B1453" s="85" t="e">
        <f>+MATCH(D1453,ARTICULOS!$F$10:$F$699,0)</f>
        <v>#N/A</v>
      </c>
      <c r="C1453" s="86" t="e">
        <f>+VLOOKUP(B1453,ARTICULOS!$D$10:$I$699,6)</f>
        <v>#N/A</v>
      </c>
      <c r="D1453" s="212"/>
      <c r="E1453" s="75" t="e">
        <f t="shared" si="48"/>
        <v>#N/A</v>
      </c>
      <c r="F1453" s="80"/>
      <c r="G1453" s="81"/>
      <c r="H1453" s="78"/>
      <c r="I1453" s="78"/>
      <c r="J1453" s="78"/>
    </row>
    <row r="1454" spans="1:10" x14ac:dyDescent="0.2">
      <c r="A1454" s="84">
        <f t="shared" si="49"/>
        <v>1448</v>
      </c>
      <c r="B1454" s="85" t="e">
        <f>+MATCH(D1454,ARTICULOS!$F$10:$F$699,0)</f>
        <v>#N/A</v>
      </c>
      <c r="C1454" s="86" t="e">
        <f>+VLOOKUP(B1454,ARTICULOS!$D$10:$I$699,6)</f>
        <v>#N/A</v>
      </c>
      <c r="D1454" s="212"/>
      <c r="E1454" s="75" t="e">
        <f t="shared" si="48"/>
        <v>#N/A</v>
      </c>
      <c r="F1454" s="80"/>
      <c r="G1454" s="81"/>
      <c r="H1454" s="78"/>
      <c r="I1454" s="78"/>
      <c r="J1454" s="78"/>
    </row>
    <row r="1455" spans="1:10" x14ac:dyDescent="0.2">
      <c r="A1455" s="84">
        <f t="shared" si="49"/>
        <v>1449</v>
      </c>
      <c r="B1455" s="85" t="e">
        <f>+MATCH(D1455,ARTICULOS!$F$10:$F$699,0)</f>
        <v>#N/A</v>
      </c>
      <c r="C1455" s="86" t="e">
        <f>+VLOOKUP(B1455,ARTICULOS!$D$10:$I$699,6)</f>
        <v>#N/A</v>
      </c>
      <c r="D1455" s="212"/>
      <c r="E1455" s="75" t="e">
        <f t="shared" si="48"/>
        <v>#N/A</v>
      </c>
      <c r="F1455" s="80"/>
      <c r="G1455" s="81"/>
      <c r="H1455" s="78"/>
      <c r="I1455" s="78"/>
      <c r="J1455" s="78"/>
    </row>
    <row r="1456" spans="1:10" x14ac:dyDescent="0.2">
      <c r="A1456" s="84">
        <f t="shared" si="49"/>
        <v>1450</v>
      </c>
      <c r="B1456" s="85" t="e">
        <f>+MATCH(D1456,ARTICULOS!$F$10:$F$699,0)</f>
        <v>#N/A</v>
      </c>
      <c r="C1456" s="86" t="e">
        <f>+VLOOKUP(B1456,ARTICULOS!$D$10:$I$699,6)</f>
        <v>#N/A</v>
      </c>
      <c r="D1456" s="212"/>
      <c r="E1456" s="75" t="e">
        <f t="shared" si="48"/>
        <v>#N/A</v>
      </c>
      <c r="F1456" s="80"/>
      <c r="G1456" s="81"/>
      <c r="H1456" s="78"/>
      <c r="I1456" s="78"/>
      <c r="J1456" s="78"/>
    </row>
    <row r="1457" spans="1:10" x14ac:dyDescent="0.2">
      <c r="A1457" s="84">
        <f t="shared" si="49"/>
        <v>1451</v>
      </c>
      <c r="B1457" s="85" t="e">
        <f>+MATCH(D1457,ARTICULOS!$F$10:$F$699,0)</f>
        <v>#N/A</v>
      </c>
      <c r="C1457" s="86" t="e">
        <f>+VLOOKUP(B1457,ARTICULOS!$D$10:$I$699,6)</f>
        <v>#N/A</v>
      </c>
      <c r="D1457" s="212"/>
      <c r="E1457" s="75" t="e">
        <f t="shared" si="48"/>
        <v>#N/A</v>
      </c>
      <c r="F1457" s="80"/>
      <c r="G1457" s="81"/>
      <c r="H1457" s="78"/>
      <c r="I1457" s="78"/>
      <c r="J1457" s="78"/>
    </row>
    <row r="1458" spans="1:10" x14ac:dyDescent="0.2">
      <c r="A1458" s="84">
        <f t="shared" si="49"/>
        <v>1452</v>
      </c>
      <c r="B1458" s="85" t="e">
        <f>+MATCH(D1458,ARTICULOS!$F$10:$F$699,0)</f>
        <v>#N/A</v>
      </c>
      <c r="C1458" s="86" t="e">
        <f>+VLOOKUP(B1458,ARTICULOS!$D$10:$I$699,6)</f>
        <v>#N/A</v>
      </c>
      <c r="D1458" s="212"/>
      <c r="E1458" s="75" t="e">
        <f t="shared" si="48"/>
        <v>#N/A</v>
      </c>
      <c r="F1458" s="80"/>
      <c r="G1458" s="81"/>
      <c r="H1458" s="78"/>
      <c r="I1458" s="78"/>
      <c r="J1458" s="78"/>
    </row>
    <row r="1459" spans="1:10" x14ac:dyDescent="0.2">
      <c r="A1459" s="84">
        <f t="shared" si="49"/>
        <v>1453</v>
      </c>
      <c r="B1459" s="85" t="e">
        <f>+MATCH(D1459,ARTICULOS!$F$10:$F$699,0)</f>
        <v>#N/A</v>
      </c>
      <c r="C1459" s="86" t="e">
        <f>+VLOOKUP(B1459,ARTICULOS!$D$10:$I$699,6)</f>
        <v>#N/A</v>
      </c>
      <c r="D1459" s="212"/>
      <c r="E1459" s="75" t="e">
        <f t="shared" si="48"/>
        <v>#N/A</v>
      </c>
      <c r="F1459" s="80"/>
      <c r="G1459" s="81"/>
      <c r="H1459" s="78"/>
      <c r="I1459" s="78"/>
      <c r="J1459" s="78"/>
    </row>
    <row r="1460" spans="1:10" x14ac:dyDescent="0.2">
      <c r="A1460" s="84">
        <f t="shared" si="49"/>
        <v>1454</v>
      </c>
      <c r="B1460" s="85" t="e">
        <f>+MATCH(D1460,ARTICULOS!$F$10:$F$699,0)</f>
        <v>#N/A</v>
      </c>
      <c r="C1460" s="86" t="e">
        <f>+VLOOKUP(B1460,ARTICULOS!$D$10:$I$699,6)</f>
        <v>#N/A</v>
      </c>
      <c r="D1460" s="212"/>
      <c r="E1460" s="75" t="e">
        <f t="shared" si="48"/>
        <v>#N/A</v>
      </c>
      <c r="F1460" s="80"/>
      <c r="G1460" s="81"/>
      <c r="H1460" s="78"/>
      <c r="I1460" s="78"/>
      <c r="J1460" s="78"/>
    </row>
    <row r="1461" spans="1:10" x14ac:dyDescent="0.2">
      <c r="A1461" s="84">
        <f t="shared" si="49"/>
        <v>1455</v>
      </c>
      <c r="B1461" s="85" t="e">
        <f>+MATCH(D1461,ARTICULOS!$F$10:$F$699,0)</f>
        <v>#N/A</v>
      </c>
      <c r="C1461" s="86" t="e">
        <f>+VLOOKUP(B1461,ARTICULOS!$D$10:$I$699,6)</f>
        <v>#N/A</v>
      </c>
      <c r="D1461" s="212"/>
      <c r="E1461" s="75" t="e">
        <f t="shared" si="48"/>
        <v>#N/A</v>
      </c>
      <c r="F1461" s="80"/>
      <c r="G1461" s="81"/>
      <c r="H1461" s="78"/>
      <c r="I1461" s="78"/>
      <c r="J1461" s="78"/>
    </row>
    <row r="1462" spans="1:10" x14ac:dyDescent="0.2">
      <c r="A1462" s="84">
        <f t="shared" si="49"/>
        <v>1456</v>
      </c>
      <c r="B1462" s="85" t="e">
        <f>+MATCH(D1462,ARTICULOS!$F$10:$F$699,0)</f>
        <v>#N/A</v>
      </c>
      <c r="C1462" s="86" t="e">
        <f>+VLOOKUP(B1462,ARTICULOS!$D$10:$I$699,6)</f>
        <v>#N/A</v>
      </c>
      <c r="D1462" s="212"/>
      <c r="E1462" s="75" t="e">
        <f t="shared" si="48"/>
        <v>#N/A</v>
      </c>
      <c r="F1462" s="80"/>
      <c r="G1462" s="81"/>
      <c r="H1462" s="78"/>
      <c r="I1462" s="78"/>
      <c r="J1462" s="78"/>
    </row>
    <row r="1463" spans="1:10" x14ac:dyDescent="0.2">
      <c r="A1463" s="84">
        <f t="shared" si="49"/>
        <v>1457</v>
      </c>
      <c r="B1463" s="85" t="e">
        <f>+MATCH(D1463,ARTICULOS!$F$10:$F$699,0)</f>
        <v>#N/A</v>
      </c>
      <c r="C1463" s="86" t="e">
        <f>+VLOOKUP(B1463,ARTICULOS!$D$10:$I$699,6)</f>
        <v>#N/A</v>
      </c>
      <c r="D1463" s="212"/>
      <c r="E1463" s="75" t="e">
        <f t="shared" si="48"/>
        <v>#N/A</v>
      </c>
      <c r="F1463" s="80"/>
      <c r="G1463" s="81"/>
      <c r="H1463" s="78"/>
      <c r="I1463" s="78"/>
      <c r="J1463" s="78"/>
    </row>
    <row r="1464" spans="1:10" x14ac:dyDescent="0.2">
      <c r="A1464" s="84">
        <f t="shared" si="49"/>
        <v>1458</v>
      </c>
      <c r="B1464" s="85" t="e">
        <f>+MATCH(D1464,ARTICULOS!$F$10:$F$699,0)</f>
        <v>#N/A</v>
      </c>
      <c r="C1464" s="86" t="e">
        <f>+VLOOKUP(B1464,ARTICULOS!$D$10:$I$699,6)</f>
        <v>#N/A</v>
      </c>
      <c r="D1464" s="212"/>
      <c r="E1464" s="75" t="e">
        <f t="shared" si="48"/>
        <v>#N/A</v>
      </c>
      <c r="F1464" s="80"/>
      <c r="G1464" s="81"/>
      <c r="H1464" s="78"/>
      <c r="I1464" s="78"/>
      <c r="J1464" s="78"/>
    </row>
    <row r="1465" spans="1:10" x14ac:dyDescent="0.2">
      <c r="A1465" s="84">
        <f t="shared" si="49"/>
        <v>1459</v>
      </c>
      <c r="B1465" s="85" t="e">
        <f>+MATCH(D1465,ARTICULOS!$F$10:$F$699,0)</f>
        <v>#N/A</v>
      </c>
      <c r="C1465" s="86" t="e">
        <f>+VLOOKUP(B1465,ARTICULOS!$D$10:$I$699,6)</f>
        <v>#N/A</v>
      </c>
      <c r="D1465" s="212"/>
      <c r="E1465" s="75" t="e">
        <f t="shared" si="48"/>
        <v>#N/A</v>
      </c>
      <c r="F1465" s="80"/>
      <c r="G1465" s="81"/>
      <c r="H1465" s="78"/>
      <c r="I1465" s="78"/>
      <c r="J1465" s="78"/>
    </row>
    <row r="1466" spans="1:10" x14ac:dyDescent="0.2">
      <c r="A1466" s="84">
        <f t="shared" si="49"/>
        <v>1460</v>
      </c>
      <c r="B1466" s="85" t="e">
        <f>+MATCH(D1466,ARTICULOS!$F$10:$F$699,0)</f>
        <v>#N/A</v>
      </c>
      <c r="C1466" s="86" t="e">
        <f>+VLOOKUP(B1466,ARTICULOS!$D$10:$I$699,6)</f>
        <v>#N/A</v>
      </c>
      <c r="D1466" s="212"/>
      <c r="E1466" s="75" t="e">
        <f t="shared" si="48"/>
        <v>#N/A</v>
      </c>
      <c r="F1466" s="80"/>
      <c r="G1466" s="81"/>
      <c r="H1466" s="78"/>
      <c r="I1466" s="78"/>
      <c r="J1466" s="78"/>
    </row>
    <row r="1467" spans="1:10" x14ac:dyDescent="0.2">
      <c r="A1467" s="84">
        <f t="shared" si="49"/>
        <v>1461</v>
      </c>
      <c r="B1467" s="85" t="e">
        <f>+MATCH(D1467,ARTICULOS!$F$10:$F$699,0)</f>
        <v>#N/A</v>
      </c>
      <c r="C1467" s="86" t="e">
        <f>+VLOOKUP(B1467,ARTICULOS!$D$10:$I$699,6)</f>
        <v>#N/A</v>
      </c>
      <c r="D1467" s="212"/>
      <c r="E1467" s="75" t="e">
        <f t="shared" si="48"/>
        <v>#N/A</v>
      </c>
      <c r="F1467" s="80"/>
      <c r="G1467" s="81"/>
      <c r="H1467" s="78"/>
      <c r="I1467" s="78"/>
      <c r="J1467" s="78"/>
    </row>
    <row r="1468" spans="1:10" x14ac:dyDescent="0.2">
      <c r="A1468" s="84">
        <f t="shared" si="49"/>
        <v>1462</v>
      </c>
      <c r="B1468" s="85" t="e">
        <f>+MATCH(D1468,ARTICULOS!$F$10:$F$699,0)</f>
        <v>#N/A</v>
      </c>
      <c r="C1468" s="86" t="e">
        <f>+VLOOKUP(B1468,ARTICULOS!$D$10:$I$699,6)</f>
        <v>#N/A</v>
      </c>
      <c r="D1468" s="212"/>
      <c r="E1468" s="75" t="e">
        <f t="shared" si="48"/>
        <v>#N/A</v>
      </c>
      <c r="F1468" s="80"/>
      <c r="G1468" s="81"/>
      <c r="H1468" s="78"/>
      <c r="I1468" s="78"/>
      <c r="J1468" s="78"/>
    </row>
    <row r="1469" spans="1:10" x14ac:dyDescent="0.2">
      <c r="A1469" s="84">
        <f t="shared" si="49"/>
        <v>1463</v>
      </c>
      <c r="B1469" s="85" t="e">
        <f>+MATCH(D1469,ARTICULOS!$F$10:$F$699,0)</f>
        <v>#N/A</v>
      </c>
      <c r="C1469" s="86" t="e">
        <f>+VLOOKUP(B1469,ARTICULOS!$D$10:$I$699,6)</f>
        <v>#N/A</v>
      </c>
      <c r="D1469" s="212"/>
      <c r="E1469" s="75" t="e">
        <f t="shared" si="48"/>
        <v>#N/A</v>
      </c>
      <c r="F1469" s="80"/>
      <c r="G1469" s="81"/>
      <c r="H1469" s="78"/>
      <c r="I1469" s="78"/>
      <c r="J1469" s="78"/>
    </row>
    <row r="1470" spans="1:10" x14ac:dyDescent="0.2">
      <c r="A1470" s="84">
        <f t="shared" si="49"/>
        <v>1464</v>
      </c>
      <c r="B1470" s="85" t="e">
        <f>+MATCH(D1470,ARTICULOS!$F$10:$F$699,0)</f>
        <v>#N/A</v>
      </c>
      <c r="C1470" s="86" t="e">
        <f>+VLOOKUP(B1470,ARTICULOS!$D$10:$I$699,6)</f>
        <v>#N/A</v>
      </c>
      <c r="D1470" s="212"/>
      <c r="E1470" s="75" t="e">
        <f t="shared" si="48"/>
        <v>#N/A</v>
      </c>
      <c r="F1470" s="80"/>
      <c r="G1470" s="81"/>
      <c r="H1470" s="78"/>
      <c r="I1470" s="78"/>
      <c r="J1470" s="78"/>
    </row>
    <row r="1471" spans="1:10" x14ac:dyDescent="0.2">
      <c r="A1471" s="84">
        <f t="shared" si="49"/>
        <v>1465</v>
      </c>
      <c r="B1471" s="85" t="e">
        <f>+MATCH(D1471,ARTICULOS!$F$10:$F$699,0)</f>
        <v>#N/A</v>
      </c>
      <c r="C1471" s="86" t="e">
        <f>+VLOOKUP(B1471,ARTICULOS!$D$10:$I$699,6)</f>
        <v>#N/A</v>
      </c>
      <c r="D1471" s="212"/>
      <c r="E1471" s="75" t="e">
        <f t="shared" si="48"/>
        <v>#N/A</v>
      </c>
      <c r="F1471" s="80"/>
      <c r="G1471" s="81"/>
      <c r="H1471" s="78"/>
      <c r="I1471" s="78"/>
      <c r="J1471" s="78"/>
    </row>
    <row r="1472" spans="1:10" x14ac:dyDescent="0.2">
      <c r="A1472" s="84">
        <f t="shared" si="49"/>
        <v>1466</v>
      </c>
      <c r="B1472" s="85" t="e">
        <f>+MATCH(D1472,ARTICULOS!$F$10:$F$699,0)</f>
        <v>#N/A</v>
      </c>
      <c r="C1472" s="86" t="e">
        <f>+VLOOKUP(B1472,ARTICULOS!$D$10:$I$699,6)</f>
        <v>#N/A</v>
      </c>
      <c r="D1472" s="212"/>
      <c r="E1472" s="75" t="e">
        <f t="shared" si="48"/>
        <v>#N/A</v>
      </c>
      <c r="F1472" s="80"/>
      <c r="G1472" s="81"/>
      <c r="H1472" s="78"/>
      <c r="I1472" s="78"/>
      <c r="J1472" s="78"/>
    </row>
    <row r="1473" spans="1:10" x14ac:dyDescent="0.2">
      <c r="A1473" s="84">
        <f t="shared" si="49"/>
        <v>1467</v>
      </c>
      <c r="B1473" s="85" t="e">
        <f>+MATCH(D1473,ARTICULOS!$F$10:$F$699,0)</f>
        <v>#N/A</v>
      </c>
      <c r="C1473" s="86" t="e">
        <f>+VLOOKUP(B1473,ARTICULOS!$D$10:$I$699,6)</f>
        <v>#N/A</v>
      </c>
      <c r="D1473" s="212"/>
      <c r="E1473" s="75" t="e">
        <f t="shared" si="48"/>
        <v>#N/A</v>
      </c>
      <c r="F1473" s="80"/>
      <c r="G1473" s="81"/>
      <c r="H1473" s="78"/>
      <c r="I1473" s="78"/>
      <c r="J1473" s="78"/>
    </row>
    <row r="1474" spans="1:10" x14ac:dyDescent="0.2">
      <c r="A1474" s="84">
        <f t="shared" si="49"/>
        <v>1468</v>
      </c>
      <c r="B1474" s="85" t="e">
        <f>+MATCH(D1474,ARTICULOS!$F$10:$F$699,0)</f>
        <v>#N/A</v>
      </c>
      <c r="C1474" s="86" t="e">
        <f>+VLOOKUP(B1474,ARTICULOS!$D$10:$I$699,6)</f>
        <v>#N/A</v>
      </c>
      <c r="D1474" s="212"/>
      <c r="E1474" s="75" t="e">
        <f t="shared" si="48"/>
        <v>#N/A</v>
      </c>
      <c r="F1474" s="80"/>
      <c r="G1474" s="81"/>
      <c r="H1474" s="78"/>
      <c r="I1474" s="78"/>
      <c r="J1474" s="78"/>
    </row>
    <row r="1475" spans="1:10" x14ac:dyDescent="0.2">
      <c r="A1475" s="84">
        <f t="shared" si="49"/>
        <v>1469</v>
      </c>
      <c r="B1475" s="85" t="e">
        <f>+MATCH(D1475,ARTICULOS!$F$10:$F$699,0)</f>
        <v>#N/A</v>
      </c>
      <c r="C1475" s="86" t="e">
        <f>+VLOOKUP(B1475,ARTICULOS!$D$10:$I$699,6)</f>
        <v>#N/A</v>
      </c>
      <c r="D1475" s="212"/>
      <c r="E1475" s="75" t="e">
        <f t="shared" si="48"/>
        <v>#N/A</v>
      </c>
      <c r="F1475" s="80"/>
      <c r="G1475" s="81"/>
      <c r="H1475" s="78"/>
      <c r="I1475" s="78"/>
      <c r="J1475" s="78"/>
    </row>
    <row r="1476" spans="1:10" x14ac:dyDescent="0.2">
      <c r="A1476" s="84">
        <f t="shared" si="49"/>
        <v>1470</v>
      </c>
      <c r="B1476" s="85" t="e">
        <f>+MATCH(D1476,ARTICULOS!$F$10:$F$699,0)</f>
        <v>#N/A</v>
      </c>
      <c r="C1476" s="86" t="e">
        <f>+VLOOKUP(B1476,ARTICULOS!$D$10:$I$699,6)</f>
        <v>#N/A</v>
      </c>
      <c r="D1476" s="212"/>
      <c r="E1476" s="75" t="e">
        <f t="shared" si="48"/>
        <v>#N/A</v>
      </c>
      <c r="F1476" s="80"/>
      <c r="G1476" s="81"/>
      <c r="H1476" s="78"/>
      <c r="I1476" s="78"/>
      <c r="J1476" s="78"/>
    </row>
    <row r="1477" spans="1:10" x14ac:dyDescent="0.2">
      <c r="A1477" s="84">
        <f t="shared" si="49"/>
        <v>1471</v>
      </c>
      <c r="B1477" s="85" t="e">
        <f>+MATCH(D1477,ARTICULOS!$F$10:$F$699,0)</f>
        <v>#N/A</v>
      </c>
      <c r="C1477" s="86" t="e">
        <f>+VLOOKUP(B1477,ARTICULOS!$D$10:$I$699,6)</f>
        <v>#N/A</v>
      </c>
      <c r="D1477" s="212"/>
      <c r="E1477" s="75" t="e">
        <f t="shared" si="48"/>
        <v>#N/A</v>
      </c>
      <c r="F1477" s="80"/>
      <c r="G1477" s="81"/>
      <c r="H1477" s="78"/>
      <c r="I1477" s="78"/>
      <c r="J1477" s="78"/>
    </row>
    <row r="1478" spans="1:10" x14ac:dyDescent="0.2">
      <c r="A1478" s="84">
        <f t="shared" si="49"/>
        <v>1472</v>
      </c>
      <c r="B1478" s="85" t="e">
        <f>+MATCH(D1478,ARTICULOS!$F$10:$F$699,0)</f>
        <v>#N/A</v>
      </c>
      <c r="C1478" s="86" t="e">
        <f>+VLOOKUP(B1478,ARTICULOS!$D$10:$I$699,6)</f>
        <v>#N/A</v>
      </c>
      <c r="D1478" s="212"/>
      <c r="E1478" s="75" t="e">
        <f t="shared" si="48"/>
        <v>#N/A</v>
      </c>
      <c r="F1478" s="80"/>
      <c r="G1478" s="81"/>
      <c r="H1478" s="78"/>
      <c r="I1478" s="78"/>
      <c r="J1478" s="78"/>
    </row>
    <row r="1479" spans="1:10" x14ac:dyDescent="0.2">
      <c r="A1479" s="84">
        <f t="shared" si="49"/>
        <v>1473</v>
      </c>
      <c r="B1479" s="85" t="e">
        <f>+MATCH(D1479,ARTICULOS!$F$10:$F$699,0)</f>
        <v>#N/A</v>
      </c>
      <c r="C1479" s="86" t="e">
        <f>+VLOOKUP(B1479,ARTICULOS!$D$10:$I$699,6)</f>
        <v>#N/A</v>
      </c>
      <c r="D1479" s="212"/>
      <c r="E1479" s="75" t="e">
        <f t="shared" si="48"/>
        <v>#N/A</v>
      </c>
      <c r="F1479" s="80"/>
      <c r="G1479" s="81"/>
      <c r="H1479" s="78"/>
      <c r="I1479" s="78"/>
      <c r="J1479" s="78"/>
    </row>
    <row r="1480" spans="1:10" x14ac:dyDescent="0.2">
      <c r="A1480" s="84">
        <f t="shared" si="49"/>
        <v>1474</v>
      </c>
      <c r="B1480" s="85" t="e">
        <f>+MATCH(D1480,ARTICULOS!$F$10:$F$699,0)</f>
        <v>#N/A</v>
      </c>
      <c r="C1480" s="86" t="e">
        <f>+VLOOKUP(B1480,ARTICULOS!$D$10:$I$699,6)</f>
        <v>#N/A</v>
      </c>
      <c r="D1480" s="212"/>
      <c r="E1480" s="75" t="e">
        <f t="shared" si="48"/>
        <v>#N/A</v>
      </c>
      <c r="F1480" s="80"/>
      <c r="G1480" s="81"/>
      <c r="H1480" s="78"/>
      <c r="I1480" s="78"/>
      <c r="J1480" s="78"/>
    </row>
    <row r="1481" spans="1:10" x14ac:dyDescent="0.2">
      <c r="A1481" s="84">
        <f t="shared" si="49"/>
        <v>1475</v>
      </c>
      <c r="B1481" s="85" t="e">
        <f>+MATCH(D1481,ARTICULOS!$F$10:$F$699,0)</f>
        <v>#N/A</v>
      </c>
      <c r="C1481" s="86" t="e">
        <f>+VLOOKUP(B1481,ARTICULOS!$D$10:$I$699,6)</f>
        <v>#N/A</v>
      </c>
      <c r="D1481" s="212"/>
      <c r="E1481" s="75" t="e">
        <f t="shared" si="48"/>
        <v>#N/A</v>
      </c>
      <c r="F1481" s="80"/>
      <c r="G1481" s="81"/>
      <c r="H1481" s="78"/>
      <c r="I1481" s="78"/>
      <c r="J1481" s="78"/>
    </row>
    <row r="1482" spans="1:10" x14ac:dyDescent="0.2">
      <c r="A1482" s="84">
        <f t="shared" si="49"/>
        <v>1476</v>
      </c>
      <c r="B1482" s="85" t="e">
        <f>+MATCH(D1482,ARTICULOS!$F$10:$F$699,0)</f>
        <v>#N/A</v>
      </c>
      <c r="C1482" s="86" t="e">
        <f>+VLOOKUP(B1482,ARTICULOS!$D$10:$I$699,6)</f>
        <v>#N/A</v>
      </c>
      <c r="D1482" s="212"/>
      <c r="E1482" s="75" t="e">
        <f t="shared" si="48"/>
        <v>#N/A</v>
      </c>
      <c r="F1482" s="80"/>
      <c r="G1482" s="81"/>
      <c r="H1482" s="78"/>
      <c r="I1482" s="78"/>
      <c r="J1482" s="78"/>
    </row>
    <row r="1483" spans="1:10" x14ac:dyDescent="0.2">
      <c r="A1483" s="84">
        <f t="shared" si="49"/>
        <v>1477</v>
      </c>
      <c r="B1483" s="85" t="e">
        <f>+MATCH(D1483,ARTICULOS!$F$10:$F$699,0)</f>
        <v>#N/A</v>
      </c>
      <c r="C1483" s="86" t="e">
        <f>+VLOOKUP(B1483,ARTICULOS!$D$10:$I$699,6)</f>
        <v>#N/A</v>
      </c>
      <c r="D1483" s="212"/>
      <c r="E1483" s="75" t="e">
        <f t="shared" ref="E1483:E1546" si="50">+C1483&amp;F1483</f>
        <v>#N/A</v>
      </c>
      <c r="F1483" s="80"/>
      <c r="G1483" s="81"/>
      <c r="H1483" s="78"/>
      <c r="I1483" s="78"/>
      <c r="J1483" s="78"/>
    </row>
    <row r="1484" spans="1:10" x14ac:dyDescent="0.2">
      <c r="A1484" s="84">
        <f t="shared" si="49"/>
        <v>1478</v>
      </c>
      <c r="B1484" s="85" t="e">
        <f>+MATCH(D1484,ARTICULOS!$F$10:$F$699,0)</f>
        <v>#N/A</v>
      </c>
      <c r="C1484" s="86" t="e">
        <f>+VLOOKUP(B1484,ARTICULOS!$D$10:$I$699,6)</f>
        <v>#N/A</v>
      </c>
      <c r="D1484" s="212"/>
      <c r="E1484" s="75" t="e">
        <f t="shared" si="50"/>
        <v>#N/A</v>
      </c>
      <c r="F1484" s="80"/>
      <c r="G1484" s="81"/>
      <c r="H1484" s="78"/>
      <c r="I1484" s="78"/>
      <c r="J1484" s="78"/>
    </row>
    <row r="1485" spans="1:10" x14ac:dyDescent="0.2">
      <c r="A1485" s="84">
        <f t="shared" si="49"/>
        <v>1479</v>
      </c>
      <c r="B1485" s="85" t="e">
        <f>+MATCH(D1485,ARTICULOS!$F$10:$F$699,0)</f>
        <v>#N/A</v>
      </c>
      <c r="C1485" s="86" t="e">
        <f>+VLOOKUP(B1485,ARTICULOS!$D$10:$I$699,6)</f>
        <v>#N/A</v>
      </c>
      <c r="D1485" s="212"/>
      <c r="E1485" s="75" t="e">
        <f t="shared" si="50"/>
        <v>#N/A</v>
      </c>
      <c r="F1485" s="80"/>
      <c r="G1485" s="81"/>
      <c r="H1485" s="78"/>
      <c r="I1485" s="78"/>
      <c r="J1485" s="78"/>
    </row>
    <row r="1486" spans="1:10" x14ac:dyDescent="0.2">
      <c r="A1486" s="84">
        <f t="shared" si="49"/>
        <v>1480</v>
      </c>
      <c r="B1486" s="85" t="e">
        <f>+MATCH(D1486,ARTICULOS!$F$10:$F$699,0)</f>
        <v>#N/A</v>
      </c>
      <c r="C1486" s="86" t="e">
        <f>+VLOOKUP(B1486,ARTICULOS!$D$10:$I$699,6)</f>
        <v>#N/A</v>
      </c>
      <c r="D1486" s="212"/>
      <c r="E1486" s="75" t="e">
        <f t="shared" si="50"/>
        <v>#N/A</v>
      </c>
      <c r="F1486" s="80"/>
      <c r="G1486" s="81"/>
      <c r="H1486" s="78"/>
      <c r="I1486" s="78"/>
      <c r="J1486" s="78"/>
    </row>
    <row r="1487" spans="1:10" x14ac:dyDescent="0.2">
      <c r="A1487" s="84">
        <f t="shared" si="49"/>
        <v>1481</v>
      </c>
      <c r="B1487" s="85" t="e">
        <f>+MATCH(D1487,ARTICULOS!$F$10:$F$699,0)</f>
        <v>#N/A</v>
      </c>
      <c r="C1487" s="86" t="e">
        <f>+VLOOKUP(B1487,ARTICULOS!$D$10:$I$699,6)</f>
        <v>#N/A</v>
      </c>
      <c r="D1487" s="212"/>
      <c r="E1487" s="75" t="e">
        <f t="shared" si="50"/>
        <v>#N/A</v>
      </c>
      <c r="F1487" s="80"/>
      <c r="G1487" s="81"/>
      <c r="H1487" s="78"/>
      <c r="I1487" s="78"/>
      <c r="J1487" s="78"/>
    </row>
    <row r="1488" spans="1:10" x14ac:dyDescent="0.2">
      <c r="A1488" s="84">
        <f t="shared" si="49"/>
        <v>1482</v>
      </c>
      <c r="B1488" s="85" t="e">
        <f>+MATCH(D1488,ARTICULOS!$F$10:$F$699,0)</f>
        <v>#N/A</v>
      </c>
      <c r="C1488" s="86" t="e">
        <f>+VLOOKUP(B1488,ARTICULOS!$D$10:$I$699,6)</f>
        <v>#N/A</v>
      </c>
      <c r="D1488" s="212"/>
      <c r="E1488" s="75" t="e">
        <f t="shared" si="50"/>
        <v>#N/A</v>
      </c>
      <c r="F1488" s="80"/>
      <c r="G1488" s="81"/>
      <c r="H1488" s="78"/>
      <c r="I1488" s="78"/>
      <c r="J1488" s="78"/>
    </row>
    <row r="1489" spans="1:10" x14ac:dyDescent="0.2">
      <c r="A1489" s="84">
        <f t="shared" si="49"/>
        <v>1483</v>
      </c>
      <c r="B1489" s="85" t="e">
        <f>+MATCH(D1489,ARTICULOS!$F$10:$F$699,0)</f>
        <v>#N/A</v>
      </c>
      <c r="C1489" s="86" t="e">
        <f>+VLOOKUP(B1489,ARTICULOS!$D$10:$I$699,6)</f>
        <v>#N/A</v>
      </c>
      <c r="D1489" s="212"/>
      <c r="E1489" s="75" t="e">
        <f t="shared" si="50"/>
        <v>#N/A</v>
      </c>
      <c r="F1489" s="80"/>
      <c r="G1489" s="81"/>
      <c r="H1489" s="78"/>
      <c r="I1489" s="78"/>
      <c r="J1489" s="78"/>
    </row>
    <row r="1490" spans="1:10" x14ac:dyDescent="0.2">
      <c r="A1490" s="84">
        <f t="shared" si="49"/>
        <v>1484</v>
      </c>
      <c r="B1490" s="85" t="e">
        <f>+MATCH(D1490,ARTICULOS!$F$10:$F$699,0)</f>
        <v>#N/A</v>
      </c>
      <c r="C1490" s="86" t="e">
        <f>+VLOOKUP(B1490,ARTICULOS!$D$10:$I$699,6)</f>
        <v>#N/A</v>
      </c>
      <c r="D1490" s="212"/>
      <c r="E1490" s="75" t="e">
        <f t="shared" si="50"/>
        <v>#N/A</v>
      </c>
      <c r="F1490" s="80"/>
      <c r="G1490" s="81"/>
      <c r="H1490" s="78"/>
      <c r="I1490" s="78"/>
      <c r="J1490" s="78"/>
    </row>
    <row r="1491" spans="1:10" x14ac:dyDescent="0.2">
      <c r="A1491" s="84">
        <f t="shared" si="49"/>
        <v>1485</v>
      </c>
      <c r="B1491" s="85" t="e">
        <f>+MATCH(D1491,ARTICULOS!$F$10:$F$699,0)</f>
        <v>#N/A</v>
      </c>
      <c r="C1491" s="86" t="e">
        <f>+VLOOKUP(B1491,ARTICULOS!$D$10:$I$699,6)</f>
        <v>#N/A</v>
      </c>
      <c r="D1491" s="212"/>
      <c r="E1491" s="75" t="e">
        <f t="shared" si="50"/>
        <v>#N/A</v>
      </c>
      <c r="F1491" s="80"/>
      <c r="G1491" s="81"/>
      <c r="H1491" s="78"/>
      <c r="I1491" s="78"/>
      <c r="J1491" s="78"/>
    </row>
    <row r="1492" spans="1:10" x14ac:dyDescent="0.2">
      <c r="A1492" s="84">
        <f t="shared" si="49"/>
        <v>1486</v>
      </c>
      <c r="B1492" s="85" t="e">
        <f>+MATCH(D1492,ARTICULOS!$F$10:$F$699,0)</f>
        <v>#N/A</v>
      </c>
      <c r="C1492" s="86" t="e">
        <f>+VLOOKUP(B1492,ARTICULOS!$D$10:$I$699,6)</f>
        <v>#N/A</v>
      </c>
      <c r="D1492" s="212"/>
      <c r="E1492" s="75" t="e">
        <f t="shared" si="50"/>
        <v>#N/A</v>
      </c>
      <c r="F1492" s="80"/>
      <c r="G1492" s="81"/>
      <c r="H1492" s="78"/>
      <c r="I1492" s="78"/>
      <c r="J1492" s="78"/>
    </row>
    <row r="1493" spans="1:10" x14ac:dyDescent="0.2">
      <c r="A1493" s="84">
        <f t="shared" si="49"/>
        <v>1487</v>
      </c>
      <c r="B1493" s="85" t="e">
        <f>+MATCH(D1493,ARTICULOS!$F$10:$F$699,0)</f>
        <v>#N/A</v>
      </c>
      <c r="C1493" s="86" t="e">
        <f>+VLOOKUP(B1493,ARTICULOS!$D$10:$I$699,6)</f>
        <v>#N/A</v>
      </c>
      <c r="D1493" s="212"/>
      <c r="E1493" s="75" t="e">
        <f t="shared" si="50"/>
        <v>#N/A</v>
      </c>
      <c r="F1493" s="80"/>
      <c r="G1493" s="81"/>
      <c r="H1493" s="78"/>
      <c r="I1493" s="78"/>
      <c r="J1493" s="78"/>
    </row>
    <row r="1494" spans="1:10" x14ac:dyDescent="0.2">
      <c r="A1494" s="84">
        <f t="shared" si="49"/>
        <v>1488</v>
      </c>
      <c r="B1494" s="85" t="e">
        <f>+MATCH(D1494,ARTICULOS!$F$10:$F$699,0)</f>
        <v>#N/A</v>
      </c>
      <c r="C1494" s="86" t="e">
        <f>+VLOOKUP(B1494,ARTICULOS!$D$10:$I$699,6)</f>
        <v>#N/A</v>
      </c>
      <c r="D1494" s="212"/>
      <c r="E1494" s="75" t="e">
        <f t="shared" si="50"/>
        <v>#N/A</v>
      </c>
      <c r="F1494" s="80"/>
      <c r="G1494" s="81"/>
      <c r="H1494" s="78"/>
      <c r="I1494" s="78"/>
      <c r="J1494" s="78"/>
    </row>
    <row r="1495" spans="1:10" x14ac:dyDescent="0.2">
      <c r="A1495" s="84">
        <f t="shared" si="49"/>
        <v>1489</v>
      </c>
      <c r="B1495" s="85" t="e">
        <f>+MATCH(D1495,ARTICULOS!$F$10:$F$699,0)</f>
        <v>#N/A</v>
      </c>
      <c r="C1495" s="86" t="e">
        <f>+VLOOKUP(B1495,ARTICULOS!$D$10:$I$699,6)</f>
        <v>#N/A</v>
      </c>
      <c r="D1495" s="212"/>
      <c r="E1495" s="75" t="e">
        <f t="shared" si="50"/>
        <v>#N/A</v>
      </c>
      <c r="F1495" s="80"/>
      <c r="G1495" s="81"/>
      <c r="H1495" s="78"/>
      <c r="I1495" s="78"/>
      <c r="J1495" s="78"/>
    </row>
    <row r="1496" spans="1:10" x14ac:dyDescent="0.2">
      <c r="A1496" s="84">
        <f t="shared" si="49"/>
        <v>1490</v>
      </c>
      <c r="B1496" s="85" t="e">
        <f>+MATCH(D1496,ARTICULOS!$F$10:$F$699,0)</f>
        <v>#N/A</v>
      </c>
      <c r="C1496" s="86" t="e">
        <f>+VLOOKUP(B1496,ARTICULOS!$D$10:$I$699,6)</f>
        <v>#N/A</v>
      </c>
      <c r="D1496" s="212"/>
      <c r="E1496" s="75" t="e">
        <f t="shared" si="50"/>
        <v>#N/A</v>
      </c>
      <c r="F1496" s="80"/>
      <c r="G1496" s="81"/>
      <c r="H1496" s="78"/>
      <c r="I1496" s="78"/>
      <c r="J1496" s="78"/>
    </row>
    <row r="1497" spans="1:10" x14ac:dyDescent="0.2">
      <c r="A1497" s="84">
        <f t="shared" si="49"/>
        <v>1491</v>
      </c>
      <c r="B1497" s="85" t="e">
        <f>+MATCH(D1497,ARTICULOS!$F$10:$F$699,0)</f>
        <v>#N/A</v>
      </c>
      <c r="C1497" s="86" t="e">
        <f>+VLOOKUP(B1497,ARTICULOS!$D$10:$I$699,6)</f>
        <v>#N/A</v>
      </c>
      <c r="D1497" s="212"/>
      <c r="E1497" s="75" t="e">
        <f t="shared" si="50"/>
        <v>#N/A</v>
      </c>
      <c r="F1497" s="80"/>
      <c r="G1497" s="81"/>
      <c r="H1497" s="78"/>
      <c r="I1497" s="78"/>
      <c r="J1497" s="78"/>
    </row>
    <row r="1498" spans="1:10" x14ac:dyDescent="0.2">
      <c r="A1498" s="84">
        <f t="shared" si="49"/>
        <v>1492</v>
      </c>
      <c r="B1498" s="85" t="e">
        <f>+MATCH(D1498,ARTICULOS!$F$10:$F$699,0)</f>
        <v>#N/A</v>
      </c>
      <c r="C1498" s="86" t="e">
        <f>+VLOOKUP(B1498,ARTICULOS!$D$10:$I$699,6)</f>
        <v>#N/A</v>
      </c>
      <c r="D1498" s="212"/>
      <c r="E1498" s="75" t="e">
        <f t="shared" si="50"/>
        <v>#N/A</v>
      </c>
      <c r="F1498" s="80"/>
      <c r="G1498" s="81"/>
      <c r="H1498" s="78"/>
      <c r="I1498" s="78"/>
      <c r="J1498" s="78"/>
    </row>
    <row r="1499" spans="1:10" x14ac:dyDescent="0.2">
      <c r="A1499" s="84">
        <f t="shared" si="49"/>
        <v>1493</v>
      </c>
      <c r="B1499" s="85" t="e">
        <f>+MATCH(D1499,ARTICULOS!$F$10:$F$699,0)</f>
        <v>#N/A</v>
      </c>
      <c r="C1499" s="86" t="e">
        <f>+VLOOKUP(B1499,ARTICULOS!$D$10:$I$699,6)</f>
        <v>#N/A</v>
      </c>
      <c r="D1499" s="212"/>
      <c r="E1499" s="75" t="e">
        <f t="shared" si="50"/>
        <v>#N/A</v>
      </c>
      <c r="F1499" s="80"/>
      <c r="G1499" s="81"/>
      <c r="H1499" s="78"/>
      <c r="I1499" s="78"/>
      <c r="J1499" s="78"/>
    </row>
    <row r="1500" spans="1:10" x14ac:dyDescent="0.2">
      <c r="A1500" s="84">
        <f t="shared" si="49"/>
        <v>1494</v>
      </c>
      <c r="B1500" s="85" t="e">
        <f>+MATCH(D1500,ARTICULOS!$F$10:$F$699,0)</f>
        <v>#N/A</v>
      </c>
      <c r="C1500" s="86" t="e">
        <f>+VLOOKUP(B1500,ARTICULOS!$D$10:$I$699,6)</f>
        <v>#N/A</v>
      </c>
      <c r="D1500" s="212"/>
      <c r="E1500" s="75" t="e">
        <f t="shared" si="50"/>
        <v>#N/A</v>
      </c>
      <c r="F1500" s="80"/>
      <c r="G1500" s="81"/>
      <c r="H1500" s="78"/>
      <c r="I1500" s="78"/>
      <c r="J1500" s="78"/>
    </row>
    <row r="1501" spans="1:10" x14ac:dyDescent="0.2">
      <c r="A1501" s="84">
        <f t="shared" si="49"/>
        <v>1495</v>
      </c>
      <c r="B1501" s="85" t="e">
        <f>+MATCH(D1501,ARTICULOS!$F$10:$F$699,0)</f>
        <v>#N/A</v>
      </c>
      <c r="C1501" s="86" t="e">
        <f>+VLOOKUP(B1501,ARTICULOS!$D$10:$I$699,6)</f>
        <v>#N/A</v>
      </c>
      <c r="D1501" s="212"/>
      <c r="E1501" s="75" t="e">
        <f t="shared" si="50"/>
        <v>#N/A</v>
      </c>
      <c r="F1501" s="80"/>
      <c r="G1501" s="81"/>
      <c r="H1501" s="78"/>
      <c r="I1501" s="78"/>
      <c r="J1501" s="78"/>
    </row>
    <row r="1502" spans="1:10" x14ac:dyDescent="0.2">
      <c r="A1502" s="84">
        <f t="shared" si="49"/>
        <v>1496</v>
      </c>
      <c r="B1502" s="85" t="e">
        <f>+MATCH(D1502,ARTICULOS!$F$10:$F$699,0)</f>
        <v>#N/A</v>
      </c>
      <c r="C1502" s="86" t="e">
        <f>+VLOOKUP(B1502,ARTICULOS!$D$10:$I$699,6)</f>
        <v>#N/A</v>
      </c>
      <c r="D1502" s="212"/>
      <c r="E1502" s="75" t="e">
        <f t="shared" si="50"/>
        <v>#N/A</v>
      </c>
      <c r="F1502" s="80"/>
      <c r="G1502" s="81"/>
      <c r="H1502" s="78"/>
      <c r="I1502" s="78"/>
      <c r="J1502" s="78"/>
    </row>
    <row r="1503" spans="1:10" x14ac:dyDescent="0.2">
      <c r="A1503" s="84">
        <f t="shared" si="49"/>
        <v>1497</v>
      </c>
      <c r="B1503" s="85" t="e">
        <f>+MATCH(D1503,ARTICULOS!$F$10:$F$699,0)</f>
        <v>#N/A</v>
      </c>
      <c r="C1503" s="86" t="e">
        <f>+VLOOKUP(B1503,ARTICULOS!$D$10:$I$699,6)</f>
        <v>#N/A</v>
      </c>
      <c r="D1503" s="212"/>
      <c r="E1503" s="75" t="e">
        <f t="shared" si="50"/>
        <v>#N/A</v>
      </c>
      <c r="F1503" s="80"/>
      <c r="G1503" s="81"/>
      <c r="H1503" s="78"/>
      <c r="I1503" s="78"/>
      <c r="J1503" s="78"/>
    </row>
    <row r="1504" spans="1:10" x14ac:dyDescent="0.2">
      <c r="A1504" s="84">
        <f t="shared" si="49"/>
        <v>1498</v>
      </c>
      <c r="B1504" s="85" t="e">
        <f>+MATCH(D1504,ARTICULOS!$F$10:$F$699,0)</f>
        <v>#N/A</v>
      </c>
      <c r="C1504" s="86" t="e">
        <f>+VLOOKUP(B1504,ARTICULOS!$D$10:$I$699,6)</f>
        <v>#N/A</v>
      </c>
      <c r="D1504" s="212"/>
      <c r="E1504" s="75" t="e">
        <f t="shared" si="50"/>
        <v>#N/A</v>
      </c>
      <c r="F1504" s="80"/>
      <c r="G1504" s="81"/>
      <c r="H1504" s="78"/>
      <c r="I1504" s="78"/>
      <c r="J1504" s="78"/>
    </row>
    <row r="1505" spans="1:10" x14ac:dyDescent="0.2">
      <c r="A1505" s="84">
        <f t="shared" si="49"/>
        <v>1499</v>
      </c>
      <c r="B1505" s="85" t="e">
        <f>+MATCH(D1505,ARTICULOS!$F$10:$F$699,0)</f>
        <v>#N/A</v>
      </c>
      <c r="C1505" s="86" t="e">
        <f>+VLOOKUP(B1505,ARTICULOS!$D$10:$I$699,6)</f>
        <v>#N/A</v>
      </c>
      <c r="D1505" s="212"/>
      <c r="E1505" s="75" t="e">
        <f t="shared" si="50"/>
        <v>#N/A</v>
      </c>
      <c r="F1505" s="80"/>
      <c r="G1505" s="81"/>
      <c r="H1505" s="78"/>
      <c r="I1505" s="78"/>
      <c r="J1505" s="78"/>
    </row>
    <row r="1506" spans="1:10" x14ac:dyDescent="0.2">
      <c r="A1506" s="84">
        <f t="shared" si="49"/>
        <v>1500</v>
      </c>
      <c r="B1506" s="85" t="e">
        <f>+MATCH(D1506,ARTICULOS!$F$10:$F$699,0)</f>
        <v>#N/A</v>
      </c>
      <c r="C1506" s="86" t="e">
        <f>+VLOOKUP(B1506,ARTICULOS!$D$10:$I$699,6)</f>
        <v>#N/A</v>
      </c>
      <c r="D1506" s="212"/>
      <c r="E1506" s="75" t="e">
        <f t="shared" si="50"/>
        <v>#N/A</v>
      </c>
      <c r="F1506" s="80"/>
      <c r="G1506" s="81"/>
      <c r="H1506" s="78"/>
      <c r="I1506" s="78"/>
      <c r="J1506" s="78"/>
    </row>
    <row r="1507" spans="1:10" x14ac:dyDescent="0.2">
      <c r="A1507" s="84">
        <f t="shared" si="49"/>
        <v>1501</v>
      </c>
      <c r="B1507" s="85" t="e">
        <f>+MATCH(D1507,ARTICULOS!$F$10:$F$699,0)</f>
        <v>#N/A</v>
      </c>
      <c r="C1507" s="86" t="e">
        <f>+VLOOKUP(B1507,ARTICULOS!$D$10:$I$699,6)</f>
        <v>#N/A</v>
      </c>
      <c r="D1507" s="212"/>
      <c r="E1507" s="75" t="e">
        <f t="shared" si="50"/>
        <v>#N/A</v>
      </c>
      <c r="F1507" s="80"/>
      <c r="G1507" s="81"/>
      <c r="H1507" s="78"/>
      <c r="I1507" s="78"/>
      <c r="J1507" s="78"/>
    </row>
    <row r="1508" spans="1:10" x14ac:dyDescent="0.2">
      <c r="A1508" s="84">
        <f t="shared" si="49"/>
        <v>1502</v>
      </c>
      <c r="B1508" s="85" t="e">
        <f>+MATCH(D1508,ARTICULOS!$F$10:$F$699,0)</f>
        <v>#N/A</v>
      </c>
      <c r="C1508" s="86" t="e">
        <f>+VLOOKUP(B1508,ARTICULOS!$D$10:$I$699,6)</f>
        <v>#N/A</v>
      </c>
      <c r="D1508" s="212"/>
      <c r="E1508" s="75" t="e">
        <f t="shared" si="50"/>
        <v>#N/A</v>
      </c>
      <c r="F1508" s="80"/>
      <c r="G1508" s="81"/>
      <c r="H1508" s="78"/>
      <c r="I1508" s="78"/>
      <c r="J1508" s="78"/>
    </row>
    <row r="1509" spans="1:10" x14ac:dyDescent="0.2">
      <c r="A1509" s="84">
        <f t="shared" si="49"/>
        <v>1503</v>
      </c>
      <c r="B1509" s="85" t="e">
        <f>+MATCH(D1509,ARTICULOS!$F$10:$F$699,0)</f>
        <v>#N/A</v>
      </c>
      <c r="C1509" s="86" t="e">
        <f>+VLOOKUP(B1509,ARTICULOS!$D$10:$I$699,6)</f>
        <v>#N/A</v>
      </c>
      <c r="D1509" s="212"/>
      <c r="E1509" s="75" t="e">
        <f t="shared" si="50"/>
        <v>#N/A</v>
      </c>
      <c r="F1509" s="80"/>
      <c r="G1509" s="81"/>
      <c r="H1509" s="78"/>
      <c r="I1509" s="78"/>
      <c r="J1509" s="78"/>
    </row>
    <row r="1510" spans="1:10" x14ac:dyDescent="0.2">
      <c r="A1510" s="84">
        <f t="shared" si="49"/>
        <v>1504</v>
      </c>
      <c r="B1510" s="85" t="e">
        <f>+MATCH(D1510,ARTICULOS!$F$10:$F$699,0)</f>
        <v>#N/A</v>
      </c>
      <c r="C1510" s="86" t="e">
        <f>+VLOOKUP(B1510,ARTICULOS!$D$10:$I$699,6)</f>
        <v>#N/A</v>
      </c>
      <c r="D1510" s="212"/>
      <c r="E1510" s="75" t="e">
        <f t="shared" si="50"/>
        <v>#N/A</v>
      </c>
      <c r="F1510" s="80"/>
      <c r="G1510" s="81"/>
      <c r="H1510" s="78"/>
      <c r="I1510" s="78"/>
      <c r="J1510" s="78"/>
    </row>
    <row r="1511" spans="1:10" x14ac:dyDescent="0.2">
      <c r="A1511" s="84">
        <f t="shared" si="49"/>
        <v>1505</v>
      </c>
      <c r="B1511" s="85" t="e">
        <f>+MATCH(D1511,ARTICULOS!$F$10:$F$699,0)</f>
        <v>#N/A</v>
      </c>
      <c r="C1511" s="86" t="e">
        <f>+VLOOKUP(B1511,ARTICULOS!$D$10:$I$699,6)</f>
        <v>#N/A</v>
      </c>
      <c r="D1511" s="212"/>
      <c r="E1511" s="75" t="e">
        <f t="shared" si="50"/>
        <v>#N/A</v>
      </c>
      <c r="F1511" s="80"/>
      <c r="G1511" s="81"/>
      <c r="H1511" s="78"/>
      <c r="I1511" s="78"/>
      <c r="J1511" s="78"/>
    </row>
    <row r="1512" spans="1:10" x14ac:dyDescent="0.2">
      <c r="A1512" s="84">
        <f t="shared" si="49"/>
        <v>1506</v>
      </c>
      <c r="B1512" s="85" t="e">
        <f>+MATCH(D1512,ARTICULOS!$F$10:$F$699,0)</f>
        <v>#N/A</v>
      </c>
      <c r="C1512" s="86" t="e">
        <f>+VLOOKUP(B1512,ARTICULOS!$D$10:$I$699,6)</f>
        <v>#N/A</v>
      </c>
      <c r="D1512" s="212"/>
      <c r="E1512" s="75" t="e">
        <f t="shared" si="50"/>
        <v>#N/A</v>
      </c>
      <c r="F1512" s="80"/>
      <c r="G1512" s="81"/>
      <c r="H1512" s="78"/>
      <c r="I1512" s="78"/>
      <c r="J1512" s="78"/>
    </row>
    <row r="1513" spans="1:10" x14ac:dyDescent="0.2">
      <c r="A1513" s="84">
        <f t="shared" ref="A1513:A1576" si="51">ROW()-6</f>
        <v>1507</v>
      </c>
      <c r="B1513" s="85" t="e">
        <f>+MATCH(D1513,ARTICULOS!$F$10:$F$699,0)</f>
        <v>#N/A</v>
      </c>
      <c r="C1513" s="86" t="e">
        <f>+VLOOKUP(B1513,ARTICULOS!$D$10:$I$699,6)</f>
        <v>#N/A</v>
      </c>
      <c r="D1513" s="212"/>
      <c r="E1513" s="75" t="e">
        <f t="shared" si="50"/>
        <v>#N/A</v>
      </c>
      <c r="F1513" s="80"/>
      <c r="G1513" s="81"/>
      <c r="H1513" s="78"/>
      <c r="I1513" s="78"/>
      <c r="J1513" s="78"/>
    </row>
    <row r="1514" spans="1:10" x14ac:dyDescent="0.2">
      <c r="A1514" s="84">
        <f t="shared" si="51"/>
        <v>1508</v>
      </c>
      <c r="B1514" s="85" t="e">
        <f>+MATCH(D1514,ARTICULOS!$F$10:$F$699,0)</f>
        <v>#N/A</v>
      </c>
      <c r="C1514" s="86" t="e">
        <f>+VLOOKUP(B1514,ARTICULOS!$D$10:$I$699,6)</f>
        <v>#N/A</v>
      </c>
      <c r="D1514" s="212"/>
      <c r="E1514" s="75" t="e">
        <f t="shared" si="50"/>
        <v>#N/A</v>
      </c>
      <c r="F1514" s="80"/>
      <c r="G1514" s="81"/>
      <c r="H1514" s="78"/>
      <c r="I1514" s="78"/>
      <c r="J1514" s="78"/>
    </row>
    <row r="1515" spans="1:10" x14ac:dyDescent="0.2">
      <c r="A1515" s="84">
        <f t="shared" si="51"/>
        <v>1509</v>
      </c>
      <c r="B1515" s="85" t="e">
        <f>+MATCH(D1515,ARTICULOS!$F$10:$F$699,0)</f>
        <v>#N/A</v>
      </c>
      <c r="C1515" s="86" t="e">
        <f>+VLOOKUP(B1515,ARTICULOS!$D$10:$I$699,6)</f>
        <v>#N/A</v>
      </c>
      <c r="D1515" s="212"/>
      <c r="E1515" s="75" t="e">
        <f t="shared" si="50"/>
        <v>#N/A</v>
      </c>
      <c r="F1515" s="80"/>
      <c r="G1515" s="81"/>
      <c r="H1515" s="78"/>
      <c r="I1515" s="78"/>
      <c r="J1515" s="78"/>
    </row>
    <row r="1516" spans="1:10" x14ac:dyDescent="0.2">
      <c r="A1516" s="84">
        <f t="shared" si="51"/>
        <v>1510</v>
      </c>
      <c r="B1516" s="85" t="e">
        <f>+MATCH(D1516,ARTICULOS!$F$10:$F$699,0)</f>
        <v>#N/A</v>
      </c>
      <c r="C1516" s="86" t="e">
        <f>+VLOOKUP(B1516,ARTICULOS!$D$10:$I$699,6)</f>
        <v>#N/A</v>
      </c>
      <c r="D1516" s="212"/>
      <c r="E1516" s="75" t="e">
        <f t="shared" si="50"/>
        <v>#N/A</v>
      </c>
      <c r="F1516" s="80"/>
      <c r="G1516" s="81"/>
      <c r="H1516" s="78"/>
      <c r="I1516" s="78"/>
      <c r="J1516" s="78"/>
    </row>
    <row r="1517" spans="1:10" x14ac:dyDescent="0.2">
      <c r="A1517" s="84">
        <f t="shared" si="51"/>
        <v>1511</v>
      </c>
      <c r="B1517" s="85" t="e">
        <f>+MATCH(D1517,ARTICULOS!$F$10:$F$699,0)</f>
        <v>#N/A</v>
      </c>
      <c r="C1517" s="86" t="e">
        <f>+VLOOKUP(B1517,ARTICULOS!$D$10:$I$699,6)</f>
        <v>#N/A</v>
      </c>
      <c r="D1517" s="212"/>
      <c r="E1517" s="75" t="e">
        <f t="shared" si="50"/>
        <v>#N/A</v>
      </c>
      <c r="F1517" s="80"/>
      <c r="G1517" s="81"/>
      <c r="H1517" s="78"/>
      <c r="I1517" s="78"/>
      <c r="J1517" s="78"/>
    </row>
    <row r="1518" spans="1:10" x14ac:dyDescent="0.2">
      <c r="A1518" s="84">
        <f t="shared" si="51"/>
        <v>1512</v>
      </c>
      <c r="B1518" s="85" t="e">
        <f>+MATCH(D1518,ARTICULOS!$F$10:$F$699,0)</f>
        <v>#N/A</v>
      </c>
      <c r="C1518" s="86" t="e">
        <f>+VLOOKUP(B1518,ARTICULOS!$D$10:$I$699,6)</f>
        <v>#N/A</v>
      </c>
      <c r="D1518" s="212"/>
      <c r="E1518" s="75" t="e">
        <f t="shared" si="50"/>
        <v>#N/A</v>
      </c>
      <c r="F1518" s="80"/>
      <c r="G1518" s="81"/>
      <c r="H1518" s="78"/>
      <c r="I1518" s="78"/>
      <c r="J1518" s="78"/>
    </row>
    <row r="1519" spans="1:10" x14ac:dyDescent="0.2">
      <c r="A1519" s="84">
        <f t="shared" si="51"/>
        <v>1513</v>
      </c>
      <c r="B1519" s="85" t="e">
        <f>+MATCH(D1519,ARTICULOS!$F$10:$F$699,0)</f>
        <v>#N/A</v>
      </c>
      <c r="C1519" s="86" t="e">
        <f>+VLOOKUP(B1519,ARTICULOS!$D$10:$I$699,6)</f>
        <v>#N/A</v>
      </c>
      <c r="D1519" s="212"/>
      <c r="E1519" s="75" t="e">
        <f t="shared" si="50"/>
        <v>#N/A</v>
      </c>
      <c r="F1519" s="80"/>
      <c r="G1519" s="81"/>
      <c r="H1519" s="78"/>
      <c r="I1519" s="78"/>
      <c r="J1519" s="78"/>
    </row>
    <row r="1520" spans="1:10" x14ac:dyDescent="0.2">
      <c r="A1520" s="84">
        <f t="shared" si="51"/>
        <v>1514</v>
      </c>
      <c r="B1520" s="85" t="e">
        <f>+MATCH(D1520,ARTICULOS!$F$10:$F$699,0)</f>
        <v>#N/A</v>
      </c>
      <c r="C1520" s="86" t="e">
        <f>+VLOOKUP(B1520,ARTICULOS!$D$10:$I$699,6)</f>
        <v>#N/A</v>
      </c>
      <c r="D1520" s="212"/>
      <c r="E1520" s="75" t="e">
        <f t="shared" si="50"/>
        <v>#N/A</v>
      </c>
      <c r="F1520" s="80"/>
      <c r="G1520" s="81"/>
      <c r="H1520" s="78"/>
      <c r="I1520" s="78"/>
      <c r="J1520" s="78"/>
    </row>
    <row r="1521" spans="1:10" x14ac:dyDescent="0.2">
      <c r="A1521" s="84">
        <f t="shared" si="51"/>
        <v>1515</v>
      </c>
      <c r="B1521" s="85" t="e">
        <f>+MATCH(D1521,ARTICULOS!$F$10:$F$699,0)</f>
        <v>#N/A</v>
      </c>
      <c r="C1521" s="86" t="e">
        <f>+VLOOKUP(B1521,ARTICULOS!$D$10:$I$699,6)</f>
        <v>#N/A</v>
      </c>
      <c r="D1521" s="212"/>
      <c r="E1521" s="75" t="e">
        <f t="shared" si="50"/>
        <v>#N/A</v>
      </c>
      <c r="F1521" s="80"/>
      <c r="G1521" s="81"/>
      <c r="H1521" s="78"/>
      <c r="I1521" s="78"/>
      <c r="J1521" s="78"/>
    </row>
    <row r="1522" spans="1:10" x14ac:dyDescent="0.2">
      <c r="A1522" s="84">
        <f t="shared" si="51"/>
        <v>1516</v>
      </c>
      <c r="B1522" s="85" t="e">
        <f>+MATCH(D1522,ARTICULOS!$F$10:$F$699,0)</f>
        <v>#N/A</v>
      </c>
      <c r="C1522" s="86" t="e">
        <f>+VLOOKUP(B1522,ARTICULOS!$D$10:$I$699,6)</f>
        <v>#N/A</v>
      </c>
      <c r="D1522" s="212"/>
      <c r="E1522" s="75" t="e">
        <f t="shared" si="50"/>
        <v>#N/A</v>
      </c>
      <c r="F1522" s="80"/>
      <c r="G1522" s="81"/>
      <c r="H1522" s="78"/>
      <c r="I1522" s="78"/>
      <c r="J1522" s="78"/>
    </row>
    <row r="1523" spans="1:10" x14ac:dyDescent="0.2">
      <c r="A1523" s="84">
        <f t="shared" si="51"/>
        <v>1517</v>
      </c>
      <c r="B1523" s="85" t="e">
        <f>+MATCH(D1523,ARTICULOS!$F$10:$F$699,0)</f>
        <v>#N/A</v>
      </c>
      <c r="C1523" s="86" t="e">
        <f>+VLOOKUP(B1523,ARTICULOS!$D$10:$I$699,6)</f>
        <v>#N/A</v>
      </c>
      <c r="D1523" s="212"/>
      <c r="E1523" s="75" t="e">
        <f t="shared" si="50"/>
        <v>#N/A</v>
      </c>
      <c r="F1523" s="80"/>
      <c r="G1523" s="81"/>
      <c r="H1523" s="78"/>
      <c r="I1523" s="78"/>
      <c r="J1523" s="78"/>
    </row>
    <row r="1524" spans="1:10" x14ac:dyDescent="0.2">
      <c r="A1524" s="84">
        <f t="shared" si="51"/>
        <v>1518</v>
      </c>
      <c r="B1524" s="85" t="e">
        <f>+MATCH(D1524,ARTICULOS!$F$10:$F$699,0)</f>
        <v>#N/A</v>
      </c>
      <c r="C1524" s="86" t="e">
        <f>+VLOOKUP(B1524,ARTICULOS!$D$10:$I$699,6)</f>
        <v>#N/A</v>
      </c>
      <c r="D1524" s="212"/>
      <c r="E1524" s="75" t="e">
        <f t="shared" si="50"/>
        <v>#N/A</v>
      </c>
      <c r="F1524" s="80"/>
      <c r="G1524" s="81"/>
      <c r="H1524" s="78"/>
      <c r="I1524" s="78"/>
      <c r="J1524" s="78"/>
    </row>
    <row r="1525" spans="1:10" x14ac:dyDescent="0.2">
      <c r="A1525" s="84">
        <f t="shared" si="51"/>
        <v>1519</v>
      </c>
      <c r="B1525" s="85" t="e">
        <f>+MATCH(D1525,ARTICULOS!$F$10:$F$699,0)</f>
        <v>#N/A</v>
      </c>
      <c r="C1525" s="86" t="e">
        <f>+VLOOKUP(B1525,ARTICULOS!$D$10:$I$699,6)</f>
        <v>#N/A</v>
      </c>
      <c r="D1525" s="212"/>
      <c r="E1525" s="75" t="e">
        <f t="shared" si="50"/>
        <v>#N/A</v>
      </c>
      <c r="F1525" s="80"/>
      <c r="G1525" s="81"/>
      <c r="H1525" s="78"/>
      <c r="I1525" s="78"/>
      <c r="J1525" s="78"/>
    </row>
    <row r="1526" spans="1:10" x14ac:dyDescent="0.2">
      <c r="A1526" s="84">
        <f t="shared" si="51"/>
        <v>1520</v>
      </c>
      <c r="B1526" s="85" t="e">
        <f>+MATCH(D1526,ARTICULOS!$F$10:$F$699,0)</f>
        <v>#N/A</v>
      </c>
      <c r="C1526" s="86" t="e">
        <f>+VLOOKUP(B1526,ARTICULOS!$D$10:$I$699,6)</f>
        <v>#N/A</v>
      </c>
      <c r="D1526" s="212"/>
      <c r="E1526" s="75" t="e">
        <f t="shared" si="50"/>
        <v>#N/A</v>
      </c>
      <c r="F1526" s="80"/>
      <c r="G1526" s="81"/>
      <c r="H1526" s="78"/>
      <c r="I1526" s="78"/>
      <c r="J1526" s="78"/>
    </row>
    <row r="1527" spans="1:10" x14ac:dyDescent="0.2">
      <c r="A1527" s="84">
        <f t="shared" si="51"/>
        <v>1521</v>
      </c>
      <c r="B1527" s="85" t="e">
        <f>+MATCH(D1527,ARTICULOS!$F$10:$F$699,0)</f>
        <v>#N/A</v>
      </c>
      <c r="C1527" s="86" t="e">
        <f>+VLOOKUP(B1527,ARTICULOS!$D$10:$I$699,6)</f>
        <v>#N/A</v>
      </c>
      <c r="D1527" s="212"/>
      <c r="E1527" s="75" t="e">
        <f t="shared" si="50"/>
        <v>#N/A</v>
      </c>
      <c r="F1527" s="80"/>
      <c r="G1527" s="81"/>
      <c r="H1527" s="78"/>
      <c r="I1527" s="78"/>
      <c r="J1527" s="78"/>
    </row>
    <row r="1528" spans="1:10" x14ac:dyDescent="0.2">
      <c r="A1528" s="84">
        <f t="shared" si="51"/>
        <v>1522</v>
      </c>
      <c r="B1528" s="85" t="e">
        <f>+MATCH(D1528,ARTICULOS!$F$10:$F$699,0)</f>
        <v>#N/A</v>
      </c>
      <c r="C1528" s="86" t="e">
        <f>+VLOOKUP(B1528,ARTICULOS!$D$10:$I$699,6)</f>
        <v>#N/A</v>
      </c>
      <c r="D1528" s="212"/>
      <c r="E1528" s="75" t="e">
        <f t="shared" si="50"/>
        <v>#N/A</v>
      </c>
      <c r="F1528" s="80"/>
      <c r="G1528" s="81"/>
      <c r="H1528" s="78"/>
      <c r="I1528" s="78"/>
      <c r="J1528" s="78"/>
    </row>
    <row r="1529" spans="1:10" x14ac:dyDescent="0.2">
      <c r="A1529" s="84">
        <f t="shared" si="51"/>
        <v>1523</v>
      </c>
      <c r="B1529" s="85" t="e">
        <f>+MATCH(D1529,ARTICULOS!$F$10:$F$699,0)</f>
        <v>#N/A</v>
      </c>
      <c r="C1529" s="86" t="e">
        <f>+VLOOKUP(B1529,ARTICULOS!$D$10:$I$699,6)</f>
        <v>#N/A</v>
      </c>
      <c r="D1529" s="212"/>
      <c r="E1529" s="75" t="e">
        <f t="shared" si="50"/>
        <v>#N/A</v>
      </c>
      <c r="F1529" s="80"/>
      <c r="G1529" s="81"/>
      <c r="H1529" s="78"/>
      <c r="I1529" s="78"/>
      <c r="J1529" s="78"/>
    </row>
    <row r="1530" spans="1:10" x14ac:dyDescent="0.2">
      <c r="A1530" s="84">
        <f t="shared" si="51"/>
        <v>1524</v>
      </c>
      <c r="B1530" s="85" t="e">
        <f>+MATCH(D1530,ARTICULOS!$F$10:$F$699,0)</f>
        <v>#N/A</v>
      </c>
      <c r="C1530" s="86" t="e">
        <f>+VLOOKUP(B1530,ARTICULOS!$D$10:$I$699,6)</f>
        <v>#N/A</v>
      </c>
      <c r="D1530" s="212"/>
      <c r="E1530" s="75" t="e">
        <f t="shared" si="50"/>
        <v>#N/A</v>
      </c>
      <c r="F1530" s="80"/>
      <c r="G1530" s="81"/>
      <c r="H1530" s="78"/>
      <c r="I1530" s="78"/>
      <c r="J1530" s="78"/>
    </row>
    <row r="1531" spans="1:10" x14ac:dyDescent="0.2">
      <c r="A1531" s="84">
        <f t="shared" si="51"/>
        <v>1525</v>
      </c>
      <c r="B1531" s="85" t="e">
        <f>+MATCH(D1531,ARTICULOS!$F$10:$F$699,0)</f>
        <v>#N/A</v>
      </c>
      <c r="C1531" s="86" t="e">
        <f>+VLOOKUP(B1531,ARTICULOS!$D$10:$I$699,6)</f>
        <v>#N/A</v>
      </c>
      <c r="D1531" s="212"/>
      <c r="E1531" s="75" t="e">
        <f t="shared" si="50"/>
        <v>#N/A</v>
      </c>
      <c r="F1531" s="80"/>
      <c r="G1531" s="81"/>
      <c r="H1531" s="78"/>
      <c r="I1531" s="78"/>
      <c r="J1531" s="78"/>
    </row>
    <row r="1532" spans="1:10" x14ac:dyDescent="0.2">
      <c r="A1532" s="84">
        <f t="shared" si="51"/>
        <v>1526</v>
      </c>
      <c r="B1532" s="85" t="e">
        <f>+MATCH(D1532,ARTICULOS!$F$10:$F$699,0)</f>
        <v>#N/A</v>
      </c>
      <c r="C1532" s="86" t="e">
        <f>+VLOOKUP(B1532,ARTICULOS!$D$10:$I$699,6)</f>
        <v>#N/A</v>
      </c>
      <c r="D1532" s="212"/>
      <c r="E1532" s="75" t="e">
        <f t="shared" si="50"/>
        <v>#N/A</v>
      </c>
      <c r="F1532" s="80"/>
      <c r="G1532" s="81"/>
      <c r="H1532" s="78"/>
      <c r="I1532" s="78"/>
      <c r="J1532" s="78"/>
    </row>
    <row r="1533" spans="1:10" x14ac:dyDescent="0.2">
      <c r="A1533" s="84">
        <f t="shared" si="51"/>
        <v>1527</v>
      </c>
      <c r="B1533" s="85" t="e">
        <f>+MATCH(D1533,ARTICULOS!$F$10:$F$699,0)</f>
        <v>#N/A</v>
      </c>
      <c r="C1533" s="86" t="e">
        <f>+VLOOKUP(B1533,ARTICULOS!$D$10:$I$699,6)</f>
        <v>#N/A</v>
      </c>
      <c r="D1533" s="212"/>
      <c r="E1533" s="75" t="e">
        <f t="shared" si="50"/>
        <v>#N/A</v>
      </c>
      <c r="F1533" s="80"/>
      <c r="G1533" s="81"/>
      <c r="H1533" s="78"/>
      <c r="I1533" s="78"/>
      <c r="J1533" s="78"/>
    </row>
    <row r="1534" spans="1:10" x14ac:dyDescent="0.2">
      <c r="A1534" s="84">
        <f t="shared" si="51"/>
        <v>1528</v>
      </c>
      <c r="B1534" s="85" t="e">
        <f>+MATCH(D1534,ARTICULOS!$F$10:$F$699,0)</f>
        <v>#N/A</v>
      </c>
      <c r="C1534" s="86" t="e">
        <f>+VLOOKUP(B1534,ARTICULOS!$D$10:$I$699,6)</f>
        <v>#N/A</v>
      </c>
      <c r="D1534" s="212"/>
      <c r="E1534" s="75" t="e">
        <f t="shared" si="50"/>
        <v>#N/A</v>
      </c>
      <c r="F1534" s="80"/>
      <c r="G1534" s="81"/>
      <c r="H1534" s="78"/>
      <c r="I1534" s="78"/>
      <c r="J1534" s="78"/>
    </row>
    <row r="1535" spans="1:10" x14ac:dyDescent="0.2">
      <c r="A1535" s="84">
        <f t="shared" si="51"/>
        <v>1529</v>
      </c>
      <c r="B1535" s="85" t="e">
        <f>+MATCH(D1535,ARTICULOS!$F$10:$F$699,0)</f>
        <v>#N/A</v>
      </c>
      <c r="C1535" s="86" t="e">
        <f>+VLOOKUP(B1535,ARTICULOS!$D$10:$I$699,6)</f>
        <v>#N/A</v>
      </c>
      <c r="D1535" s="212"/>
      <c r="E1535" s="75" t="e">
        <f t="shared" si="50"/>
        <v>#N/A</v>
      </c>
      <c r="F1535" s="80"/>
      <c r="G1535" s="81"/>
      <c r="H1535" s="78"/>
      <c r="I1535" s="78"/>
      <c r="J1535" s="78"/>
    </row>
    <row r="1536" spans="1:10" x14ac:dyDescent="0.2">
      <c r="A1536" s="84">
        <f t="shared" si="51"/>
        <v>1530</v>
      </c>
      <c r="B1536" s="85" t="e">
        <f>+MATCH(D1536,ARTICULOS!$F$10:$F$699,0)</f>
        <v>#N/A</v>
      </c>
      <c r="C1536" s="86" t="e">
        <f>+VLOOKUP(B1536,ARTICULOS!$D$10:$I$699,6)</f>
        <v>#N/A</v>
      </c>
      <c r="D1536" s="212"/>
      <c r="E1536" s="75" t="e">
        <f t="shared" si="50"/>
        <v>#N/A</v>
      </c>
      <c r="F1536" s="80"/>
      <c r="G1536" s="81"/>
      <c r="H1536" s="78"/>
      <c r="I1536" s="78"/>
      <c r="J1536" s="78"/>
    </row>
    <row r="1537" spans="1:10" x14ac:dyDescent="0.2">
      <c r="A1537" s="84">
        <f t="shared" si="51"/>
        <v>1531</v>
      </c>
      <c r="B1537" s="85" t="e">
        <f>+MATCH(D1537,ARTICULOS!$F$10:$F$699,0)</f>
        <v>#N/A</v>
      </c>
      <c r="C1537" s="86" t="e">
        <f>+VLOOKUP(B1537,ARTICULOS!$D$10:$I$699,6)</f>
        <v>#N/A</v>
      </c>
      <c r="D1537" s="212"/>
      <c r="E1537" s="75" t="e">
        <f t="shared" si="50"/>
        <v>#N/A</v>
      </c>
      <c r="F1537" s="80"/>
      <c r="G1537" s="81"/>
      <c r="H1537" s="78"/>
      <c r="I1537" s="78"/>
      <c r="J1537" s="78"/>
    </row>
    <row r="1538" spans="1:10" x14ac:dyDescent="0.2">
      <c r="A1538" s="84">
        <f t="shared" si="51"/>
        <v>1532</v>
      </c>
      <c r="B1538" s="85" t="e">
        <f>+MATCH(D1538,ARTICULOS!$F$10:$F$699,0)</f>
        <v>#N/A</v>
      </c>
      <c r="C1538" s="86" t="e">
        <f>+VLOOKUP(B1538,ARTICULOS!$D$10:$I$699,6)</f>
        <v>#N/A</v>
      </c>
      <c r="D1538" s="212"/>
      <c r="E1538" s="75" t="e">
        <f t="shared" si="50"/>
        <v>#N/A</v>
      </c>
      <c r="F1538" s="80"/>
      <c r="G1538" s="81"/>
      <c r="H1538" s="78"/>
      <c r="I1538" s="78"/>
      <c r="J1538" s="78"/>
    </row>
    <row r="1539" spans="1:10" x14ac:dyDescent="0.2">
      <c r="A1539" s="84">
        <f t="shared" si="51"/>
        <v>1533</v>
      </c>
      <c r="B1539" s="85" t="e">
        <f>+MATCH(D1539,ARTICULOS!$F$10:$F$699,0)</f>
        <v>#N/A</v>
      </c>
      <c r="C1539" s="86" t="e">
        <f>+VLOOKUP(B1539,ARTICULOS!$D$10:$I$699,6)</f>
        <v>#N/A</v>
      </c>
      <c r="D1539" s="212"/>
      <c r="E1539" s="75" t="e">
        <f t="shared" si="50"/>
        <v>#N/A</v>
      </c>
      <c r="F1539" s="80"/>
      <c r="G1539" s="81"/>
      <c r="H1539" s="78"/>
      <c r="I1539" s="78"/>
      <c r="J1539" s="78"/>
    </row>
    <row r="1540" spans="1:10" x14ac:dyDescent="0.2">
      <c r="A1540" s="84">
        <f t="shared" si="51"/>
        <v>1534</v>
      </c>
      <c r="B1540" s="85" t="e">
        <f>+MATCH(D1540,ARTICULOS!$F$10:$F$699,0)</f>
        <v>#N/A</v>
      </c>
      <c r="C1540" s="86" t="e">
        <f>+VLOOKUP(B1540,ARTICULOS!$D$10:$I$699,6)</f>
        <v>#N/A</v>
      </c>
      <c r="D1540" s="212"/>
      <c r="E1540" s="75" t="e">
        <f t="shared" si="50"/>
        <v>#N/A</v>
      </c>
      <c r="F1540" s="80"/>
      <c r="G1540" s="81"/>
      <c r="H1540" s="78"/>
      <c r="I1540" s="78"/>
      <c r="J1540" s="78"/>
    </row>
    <row r="1541" spans="1:10" x14ac:dyDescent="0.2">
      <c r="A1541" s="84">
        <f t="shared" si="51"/>
        <v>1535</v>
      </c>
      <c r="B1541" s="85" t="e">
        <f>+MATCH(D1541,ARTICULOS!$F$10:$F$699,0)</f>
        <v>#N/A</v>
      </c>
      <c r="C1541" s="86" t="e">
        <f>+VLOOKUP(B1541,ARTICULOS!$D$10:$I$699,6)</f>
        <v>#N/A</v>
      </c>
      <c r="D1541" s="212"/>
      <c r="E1541" s="75" t="e">
        <f t="shared" si="50"/>
        <v>#N/A</v>
      </c>
      <c r="F1541" s="80"/>
      <c r="G1541" s="81"/>
      <c r="H1541" s="78"/>
      <c r="I1541" s="78"/>
      <c r="J1541" s="78"/>
    </row>
    <row r="1542" spans="1:10" x14ac:dyDescent="0.2">
      <c r="A1542" s="84">
        <f t="shared" si="51"/>
        <v>1536</v>
      </c>
      <c r="B1542" s="85" t="e">
        <f>+MATCH(D1542,ARTICULOS!$F$10:$F$699,0)</f>
        <v>#N/A</v>
      </c>
      <c r="C1542" s="86" t="e">
        <f>+VLOOKUP(B1542,ARTICULOS!$D$10:$I$699,6)</f>
        <v>#N/A</v>
      </c>
      <c r="D1542" s="212"/>
      <c r="E1542" s="75" t="e">
        <f t="shared" si="50"/>
        <v>#N/A</v>
      </c>
      <c r="F1542" s="80"/>
      <c r="G1542" s="81"/>
      <c r="H1542" s="78"/>
      <c r="I1542" s="78"/>
      <c r="J1542" s="78"/>
    </row>
    <row r="1543" spans="1:10" x14ac:dyDescent="0.2">
      <c r="A1543" s="84">
        <f t="shared" si="51"/>
        <v>1537</v>
      </c>
      <c r="B1543" s="85" t="e">
        <f>+MATCH(D1543,ARTICULOS!$F$10:$F$699,0)</f>
        <v>#N/A</v>
      </c>
      <c r="C1543" s="86" t="e">
        <f>+VLOOKUP(B1543,ARTICULOS!$D$10:$I$699,6)</f>
        <v>#N/A</v>
      </c>
      <c r="D1543" s="212"/>
      <c r="E1543" s="75" t="e">
        <f t="shared" si="50"/>
        <v>#N/A</v>
      </c>
      <c r="F1543" s="80"/>
      <c r="G1543" s="81"/>
      <c r="H1543" s="78"/>
      <c r="I1543" s="78"/>
      <c r="J1543" s="78"/>
    </row>
    <row r="1544" spans="1:10" x14ac:dyDescent="0.2">
      <c r="A1544" s="84">
        <f t="shared" si="51"/>
        <v>1538</v>
      </c>
      <c r="B1544" s="85" t="e">
        <f>+MATCH(D1544,ARTICULOS!$F$10:$F$699,0)</f>
        <v>#N/A</v>
      </c>
      <c r="C1544" s="86" t="e">
        <f>+VLOOKUP(B1544,ARTICULOS!$D$10:$I$699,6)</f>
        <v>#N/A</v>
      </c>
      <c r="D1544" s="212"/>
      <c r="E1544" s="75" t="e">
        <f t="shared" si="50"/>
        <v>#N/A</v>
      </c>
      <c r="F1544" s="80"/>
      <c r="G1544" s="81"/>
      <c r="H1544" s="78"/>
      <c r="I1544" s="78"/>
      <c r="J1544" s="78"/>
    </row>
    <row r="1545" spans="1:10" x14ac:dyDescent="0.2">
      <c r="A1545" s="84">
        <f t="shared" si="51"/>
        <v>1539</v>
      </c>
      <c r="B1545" s="85" t="e">
        <f>+MATCH(D1545,ARTICULOS!$F$10:$F$699,0)</f>
        <v>#N/A</v>
      </c>
      <c r="C1545" s="86" t="e">
        <f>+VLOOKUP(B1545,ARTICULOS!$D$10:$I$699,6)</f>
        <v>#N/A</v>
      </c>
      <c r="D1545" s="212"/>
      <c r="E1545" s="75" t="e">
        <f t="shared" si="50"/>
        <v>#N/A</v>
      </c>
      <c r="F1545" s="80"/>
      <c r="G1545" s="81"/>
      <c r="H1545" s="78"/>
      <c r="I1545" s="78"/>
      <c r="J1545" s="78"/>
    </row>
    <row r="1546" spans="1:10" x14ac:dyDescent="0.2">
      <c r="A1546" s="84">
        <f t="shared" si="51"/>
        <v>1540</v>
      </c>
      <c r="B1546" s="85" t="e">
        <f>+MATCH(D1546,ARTICULOS!$F$10:$F$699,0)</f>
        <v>#N/A</v>
      </c>
      <c r="C1546" s="86" t="e">
        <f>+VLOOKUP(B1546,ARTICULOS!$D$10:$I$699,6)</f>
        <v>#N/A</v>
      </c>
      <c r="D1546" s="212"/>
      <c r="E1546" s="75" t="e">
        <f t="shared" si="50"/>
        <v>#N/A</v>
      </c>
      <c r="F1546" s="80"/>
      <c r="G1546" s="81"/>
      <c r="H1546" s="78"/>
      <c r="I1546" s="78"/>
      <c r="J1546" s="78"/>
    </row>
    <row r="1547" spans="1:10" x14ac:dyDescent="0.2">
      <c r="A1547" s="84">
        <f t="shared" si="51"/>
        <v>1541</v>
      </c>
      <c r="B1547" s="85" t="e">
        <f>+MATCH(D1547,ARTICULOS!$F$10:$F$699,0)</f>
        <v>#N/A</v>
      </c>
      <c r="C1547" s="86" t="e">
        <f>+VLOOKUP(B1547,ARTICULOS!$D$10:$I$699,6)</f>
        <v>#N/A</v>
      </c>
      <c r="D1547" s="212"/>
      <c r="E1547" s="75" t="e">
        <f t="shared" ref="E1547:E1610" si="52">+C1547&amp;F1547</f>
        <v>#N/A</v>
      </c>
      <c r="F1547" s="80"/>
      <c r="G1547" s="81"/>
      <c r="H1547" s="78"/>
      <c r="I1547" s="78"/>
      <c r="J1547" s="78"/>
    </row>
    <row r="1548" spans="1:10" x14ac:dyDescent="0.2">
      <c r="A1548" s="84">
        <f t="shared" si="51"/>
        <v>1542</v>
      </c>
      <c r="B1548" s="85" t="e">
        <f>+MATCH(D1548,ARTICULOS!$F$10:$F$699,0)</f>
        <v>#N/A</v>
      </c>
      <c r="C1548" s="86" t="e">
        <f>+VLOOKUP(B1548,ARTICULOS!$D$10:$I$699,6)</f>
        <v>#N/A</v>
      </c>
      <c r="D1548" s="212"/>
      <c r="E1548" s="75" t="e">
        <f t="shared" si="52"/>
        <v>#N/A</v>
      </c>
      <c r="F1548" s="80"/>
      <c r="G1548" s="81"/>
      <c r="H1548" s="78"/>
      <c r="I1548" s="78"/>
      <c r="J1548" s="78"/>
    </row>
    <row r="1549" spans="1:10" x14ac:dyDescent="0.2">
      <c r="A1549" s="84">
        <f t="shared" si="51"/>
        <v>1543</v>
      </c>
      <c r="B1549" s="85" t="e">
        <f>+MATCH(D1549,ARTICULOS!$F$10:$F$699,0)</f>
        <v>#N/A</v>
      </c>
      <c r="C1549" s="86" t="e">
        <f>+VLOOKUP(B1549,ARTICULOS!$D$10:$I$699,6)</f>
        <v>#N/A</v>
      </c>
      <c r="D1549" s="212"/>
      <c r="E1549" s="75" t="e">
        <f t="shared" si="52"/>
        <v>#N/A</v>
      </c>
      <c r="F1549" s="80"/>
      <c r="G1549" s="81"/>
      <c r="H1549" s="78"/>
      <c r="I1549" s="78"/>
      <c r="J1549" s="78"/>
    </row>
    <row r="1550" spans="1:10" x14ac:dyDescent="0.2">
      <c r="A1550" s="84">
        <f t="shared" si="51"/>
        <v>1544</v>
      </c>
      <c r="B1550" s="85" t="e">
        <f>+MATCH(D1550,ARTICULOS!$F$10:$F$699,0)</f>
        <v>#N/A</v>
      </c>
      <c r="C1550" s="86" t="e">
        <f>+VLOOKUP(B1550,ARTICULOS!$D$10:$I$699,6)</f>
        <v>#N/A</v>
      </c>
      <c r="D1550" s="212"/>
      <c r="E1550" s="75" t="e">
        <f t="shared" si="52"/>
        <v>#N/A</v>
      </c>
      <c r="F1550" s="80"/>
      <c r="G1550" s="81"/>
      <c r="H1550" s="78"/>
      <c r="I1550" s="78"/>
      <c r="J1550" s="78"/>
    </row>
    <row r="1551" spans="1:10" x14ac:dyDescent="0.2">
      <c r="A1551" s="84">
        <f t="shared" si="51"/>
        <v>1545</v>
      </c>
      <c r="B1551" s="85" t="e">
        <f>+MATCH(D1551,ARTICULOS!$F$10:$F$699,0)</f>
        <v>#N/A</v>
      </c>
      <c r="C1551" s="86" t="e">
        <f>+VLOOKUP(B1551,ARTICULOS!$D$10:$I$699,6)</f>
        <v>#N/A</v>
      </c>
      <c r="D1551" s="212"/>
      <c r="E1551" s="75" t="e">
        <f t="shared" si="52"/>
        <v>#N/A</v>
      </c>
      <c r="F1551" s="80"/>
      <c r="G1551" s="81"/>
      <c r="H1551" s="78"/>
      <c r="I1551" s="78"/>
      <c r="J1551" s="78"/>
    </row>
    <row r="1552" spans="1:10" x14ac:dyDescent="0.2">
      <c r="A1552" s="84">
        <f t="shared" si="51"/>
        <v>1546</v>
      </c>
      <c r="B1552" s="85" t="e">
        <f>+MATCH(D1552,ARTICULOS!$F$10:$F$699,0)</f>
        <v>#N/A</v>
      </c>
      <c r="C1552" s="86" t="e">
        <f>+VLOOKUP(B1552,ARTICULOS!$D$10:$I$699,6)</f>
        <v>#N/A</v>
      </c>
      <c r="D1552" s="212"/>
      <c r="E1552" s="75" t="e">
        <f t="shared" si="52"/>
        <v>#N/A</v>
      </c>
      <c r="F1552" s="80"/>
      <c r="G1552" s="81"/>
      <c r="H1552" s="78"/>
      <c r="I1552" s="78"/>
      <c r="J1552" s="78"/>
    </row>
    <row r="1553" spans="1:10" x14ac:dyDescent="0.2">
      <c r="A1553" s="84">
        <f t="shared" si="51"/>
        <v>1547</v>
      </c>
      <c r="B1553" s="85" t="e">
        <f>+MATCH(D1553,ARTICULOS!$F$10:$F$699,0)</f>
        <v>#N/A</v>
      </c>
      <c r="C1553" s="86" t="e">
        <f>+VLOOKUP(B1553,ARTICULOS!$D$10:$I$699,6)</f>
        <v>#N/A</v>
      </c>
      <c r="D1553" s="212"/>
      <c r="E1553" s="75" t="e">
        <f t="shared" si="52"/>
        <v>#N/A</v>
      </c>
      <c r="F1553" s="80"/>
      <c r="G1553" s="81"/>
      <c r="H1553" s="78"/>
      <c r="I1553" s="78"/>
      <c r="J1553" s="78"/>
    </row>
    <row r="1554" spans="1:10" x14ac:dyDescent="0.2">
      <c r="A1554" s="84">
        <f t="shared" si="51"/>
        <v>1548</v>
      </c>
      <c r="B1554" s="85" t="e">
        <f>+MATCH(D1554,ARTICULOS!$F$10:$F$699,0)</f>
        <v>#N/A</v>
      </c>
      <c r="C1554" s="86" t="e">
        <f>+VLOOKUP(B1554,ARTICULOS!$D$10:$I$699,6)</f>
        <v>#N/A</v>
      </c>
      <c r="D1554" s="212"/>
      <c r="E1554" s="75" t="e">
        <f t="shared" si="52"/>
        <v>#N/A</v>
      </c>
      <c r="F1554" s="80"/>
      <c r="G1554" s="81"/>
      <c r="H1554" s="78"/>
      <c r="I1554" s="78"/>
      <c r="J1554" s="78"/>
    </row>
    <row r="1555" spans="1:10" x14ac:dyDescent="0.2">
      <c r="A1555" s="84">
        <f t="shared" si="51"/>
        <v>1549</v>
      </c>
      <c r="B1555" s="85" t="e">
        <f>+MATCH(D1555,ARTICULOS!$F$10:$F$699,0)</f>
        <v>#N/A</v>
      </c>
      <c r="C1555" s="86" t="e">
        <f>+VLOOKUP(B1555,ARTICULOS!$D$10:$I$699,6)</f>
        <v>#N/A</v>
      </c>
      <c r="D1555" s="212"/>
      <c r="E1555" s="75" t="e">
        <f t="shared" si="52"/>
        <v>#N/A</v>
      </c>
      <c r="F1555" s="80"/>
      <c r="G1555" s="81"/>
      <c r="H1555" s="78"/>
      <c r="I1555" s="78"/>
      <c r="J1555" s="78"/>
    </row>
    <row r="1556" spans="1:10" x14ac:dyDescent="0.2">
      <c r="A1556" s="84">
        <f t="shared" si="51"/>
        <v>1550</v>
      </c>
      <c r="B1556" s="85" t="e">
        <f>+MATCH(D1556,ARTICULOS!$F$10:$F$699,0)</f>
        <v>#N/A</v>
      </c>
      <c r="C1556" s="86" t="e">
        <f>+VLOOKUP(B1556,ARTICULOS!$D$10:$I$699,6)</f>
        <v>#N/A</v>
      </c>
      <c r="D1556" s="212"/>
      <c r="E1556" s="75" t="e">
        <f t="shared" si="52"/>
        <v>#N/A</v>
      </c>
      <c r="F1556" s="80"/>
      <c r="G1556" s="81"/>
      <c r="H1556" s="78"/>
      <c r="I1556" s="78"/>
      <c r="J1556" s="78"/>
    </row>
    <row r="1557" spans="1:10" x14ac:dyDescent="0.2">
      <c r="A1557" s="84">
        <f t="shared" si="51"/>
        <v>1551</v>
      </c>
      <c r="B1557" s="85" t="e">
        <f>+MATCH(D1557,ARTICULOS!$F$10:$F$699,0)</f>
        <v>#N/A</v>
      </c>
      <c r="C1557" s="86" t="e">
        <f>+VLOOKUP(B1557,ARTICULOS!$D$10:$I$699,6)</f>
        <v>#N/A</v>
      </c>
      <c r="D1557" s="212"/>
      <c r="E1557" s="75" t="e">
        <f t="shared" si="52"/>
        <v>#N/A</v>
      </c>
      <c r="F1557" s="80"/>
      <c r="G1557" s="81"/>
      <c r="H1557" s="78"/>
      <c r="I1557" s="78"/>
      <c r="J1557" s="78"/>
    </row>
    <row r="1558" spans="1:10" x14ac:dyDescent="0.2">
      <c r="A1558" s="84">
        <f t="shared" si="51"/>
        <v>1552</v>
      </c>
      <c r="B1558" s="85" t="e">
        <f>+MATCH(D1558,ARTICULOS!$F$10:$F$699,0)</f>
        <v>#N/A</v>
      </c>
      <c r="C1558" s="86" t="e">
        <f>+VLOOKUP(B1558,ARTICULOS!$D$10:$I$699,6)</f>
        <v>#N/A</v>
      </c>
      <c r="D1558" s="212"/>
      <c r="E1558" s="75" t="e">
        <f t="shared" si="52"/>
        <v>#N/A</v>
      </c>
      <c r="F1558" s="80"/>
      <c r="G1558" s="81"/>
      <c r="H1558" s="78"/>
      <c r="I1558" s="78"/>
      <c r="J1558" s="78"/>
    </row>
    <row r="1559" spans="1:10" x14ac:dyDescent="0.2">
      <c r="A1559" s="84">
        <f t="shared" si="51"/>
        <v>1553</v>
      </c>
      <c r="B1559" s="85" t="e">
        <f>+MATCH(D1559,ARTICULOS!$F$10:$F$699,0)</f>
        <v>#N/A</v>
      </c>
      <c r="C1559" s="86" t="e">
        <f>+VLOOKUP(B1559,ARTICULOS!$D$10:$I$699,6)</f>
        <v>#N/A</v>
      </c>
      <c r="D1559" s="212"/>
      <c r="E1559" s="75" t="e">
        <f t="shared" si="52"/>
        <v>#N/A</v>
      </c>
      <c r="F1559" s="80"/>
      <c r="G1559" s="81"/>
      <c r="H1559" s="78"/>
      <c r="I1559" s="78"/>
      <c r="J1559" s="78"/>
    </row>
    <row r="1560" spans="1:10" x14ac:dyDescent="0.2">
      <c r="A1560" s="84">
        <f t="shared" si="51"/>
        <v>1554</v>
      </c>
      <c r="B1560" s="85" t="e">
        <f>+MATCH(D1560,ARTICULOS!$F$10:$F$699,0)</f>
        <v>#N/A</v>
      </c>
      <c r="C1560" s="86" t="e">
        <f>+VLOOKUP(B1560,ARTICULOS!$D$10:$I$699,6)</f>
        <v>#N/A</v>
      </c>
      <c r="D1560" s="212"/>
      <c r="E1560" s="75" t="e">
        <f t="shared" si="52"/>
        <v>#N/A</v>
      </c>
      <c r="F1560" s="80"/>
      <c r="G1560" s="81"/>
      <c r="H1560" s="78"/>
      <c r="I1560" s="78"/>
      <c r="J1560" s="78"/>
    </row>
    <row r="1561" spans="1:10" x14ac:dyDescent="0.2">
      <c r="A1561" s="84">
        <f t="shared" si="51"/>
        <v>1555</v>
      </c>
      <c r="B1561" s="85" t="e">
        <f>+MATCH(D1561,ARTICULOS!$F$10:$F$699,0)</f>
        <v>#N/A</v>
      </c>
      <c r="C1561" s="86" t="e">
        <f>+VLOOKUP(B1561,ARTICULOS!$D$10:$I$699,6)</f>
        <v>#N/A</v>
      </c>
      <c r="D1561" s="212"/>
      <c r="E1561" s="75" t="e">
        <f t="shared" si="52"/>
        <v>#N/A</v>
      </c>
      <c r="F1561" s="80"/>
      <c r="G1561" s="81"/>
      <c r="H1561" s="78"/>
      <c r="I1561" s="78"/>
      <c r="J1561" s="78"/>
    </row>
    <row r="1562" spans="1:10" x14ac:dyDescent="0.2">
      <c r="A1562" s="84">
        <f t="shared" si="51"/>
        <v>1556</v>
      </c>
      <c r="B1562" s="85" t="e">
        <f>+MATCH(D1562,ARTICULOS!$F$10:$F$699,0)</f>
        <v>#N/A</v>
      </c>
      <c r="C1562" s="86" t="e">
        <f>+VLOOKUP(B1562,ARTICULOS!$D$10:$I$699,6)</f>
        <v>#N/A</v>
      </c>
      <c r="D1562" s="212"/>
      <c r="E1562" s="75" t="e">
        <f t="shared" si="52"/>
        <v>#N/A</v>
      </c>
      <c r="F1562" s="80"/>
      <c r="G1562" s="81"/>
      <c r="H1562" s="78"/>
      <c r="I1562" s="78"/>
      <c r="J1562" s="78"/>
    </row>
    <row r="1563" spans="1:10" x14ac:dyDescent="0.2">
      <c r="A1563" s="84">
        <f t="shared" si="51"/>
        <v>1557</v>
      </c>
      <c r="B1563" s="85" t="e">
        <f>+MATCH(D1563,ARTICULOS!$F$10:$F$699,0)</f>
        <v>#N/A</v>
      </c>
      <c r="C1563" s="86" t="e">
        <f>+VLOOKUP(B1563,ARTICULOS!$D$10:$I$699,6)</f>
        <v>#N/A</v>
      </c>
      <c r="D1563" s="212"/>
      <c r="E1563" s="75" t="e">
        <f t="shared" si="52"/>
        <v>#N/A</v>
      </c>
      <c r="F1563" s="80"/>
      <c r="G1563" s="81"/>
      <c r="H1563" s="78"/>
      <c r="I1563" s="78"/>
      <c r="J1563" s="78"/>
    </row>
    <row r="1564" spans="1:10" x14ac:dyDescent="0.2">
      <c r="A1564" s="84">
        <f t="shared" si="51"/>
        <v>1558</v>
      </c>
      <c r="B1564" s="85" t="e">
        <f>+MATCH(D1564,ARTICULOS!$F$10:$F$699,0)</f>
        <v>#N/A</v>
      </c>
      <c r="C1564" s="86" t="e">
        <f>+VLOOKUP(B1564,ARTICULOS!$D$10:$I$699,6)</f>
        <v>#N/A</v>
      </c>
      <c r="D1564" s="212"/>
      <c r="E1564" s="75" t="e">
        <f t="shared" si="52"/>
        <v>#N/A</v>
      </c>
      <c r="F1564" s="80"/>
      <c r="G1564" s="81"/>
      <c r="H1564" s="78"/>
      <c r="I1564" s="78"/>
      <c r="J1564" s="78"/>
    </row>
    <row r="1565" spans="1:10" x14ac:dyDescent="0.2">
      <c r="A1565" s="84">
        <f t="shared" si="51"/>
        <v>1559</v>
      </c>
      <c r="B1565" s="85" t="e">
        <f>+MATCH(D1565,ARTICULOS!$F$10:$F$699,0)</f>
        <v>#N/A</v>
      </c>
      <c r="C1565" s="86" t="e">
        <f>+VLOOKUP(B1565,ARTICULOS!$D$10:$I$699,6)</f>
        <v>#N/A</v>
      </c>
      <c r="D1565" s="212"/>
      <c r="E1565" s="75" t="e">
        <f t="shared" si="52"/>
        <v>#N/A</v>
      </c>
      <c r="F1565" s="80"/>
      <c r="G1565" s="81"/>
      <c r="H1565" s="78"/>
      <c r="I1565" s="78"/>
      <c r="J1565" s="78"/>
    </row>
    <row r="1566" spans="1:10" x14ac:dyDescent="0.2">
      <c r="A1566" s="84">
        <f t="shared" si="51"/>
        <v>1560</v>
      </c>
      <c r="B1566" s="85" t="e">
        <f>+MATCH(D1566,ARTICULOS!$F$10:$F$699,0)</f>
        <v>#N/A</v>
      </c>
      <c r="C1566" s="86" t="e">
        <f>+VLOOKUP(B1566,ARTICULOS!$D$10:$I$699,6)</f>
        <v>#N/A</v>
      </c>
      <c r="D1566" s="212"/>
      <c r="E1566" s="75" t="e">
        <f t="shared" si="52"/>
        <v>#N/A</v>
      </c>
      <c r="F1566" s="80"/>
      <c r="G1566" s="81"/>
      <c r="H1566" s="78"/>
      <c r="I1566" s="78"/>
      <c r="J1566" s="78"/>
    </row>
    <row r="1567" spans="1:10" x14ac:dyDescent="0.2">
      <c r="A1567" s="84">
        <f t="shared" si="51"/>
        <v>1561</v>
      </c>
      <c r="B1567" s="85" t="e">
        <f>+MATCH(D1567,ARTICULOS!$F$10:$F$699,0)</f>
        <v>#N/A</v>
      </c>
      <c r="C1567" s="86" t="e">
        <f>+VLOOKUP(B1567,ARTICULOS!$D$10:$I$699,6)</f>
        <v>#N/A</v>
      </c>
      <c r="D1567" s="212"/>
      <c r="E1567" s="75" t="e">
        <f t="shared" si="52"/>
        <v>#N/A</v>
      </c>
      <c r="F1567" s="80"/>
      <c r="G1567" s="81"/>
      <c r="H1567" s="78"/>
      <c r="I1567" s="78"/>
      <c r="J1567" s="78"/>
    </row>
    <row r="1568" spans="1:10" x14ac:dyDescent="0.2">
      <c r="A1568" s="84">
        <f t="shared" si="51"/>
        <v>1562</v>
      </c>
      <c r="B1568" s="85" t="e">
        <f>+MATCH(D1568,ARTICULOS!$F$10:$F$699,0)</f>
        <v>#N/A</v>
      </c>
      <c r="C1568" s="86" t="e">
        <f>+VLOOKUP(B1568,ARTICULOS!$D$10:$I$699,6)</f>
        <v>#N/A</v>
      </c>
      <c r="D1568" s="212"/>
      <c r="E1568" s="75" t="e">
        <f t="shared" si="52"/>
        <v>#N/A</v>
      </c>
      <c r="F1568" s="80"/>
      <c r="G1568" s="81"/>
      <c r="H1568" s="78"/>
      <c r="I1568" s="78"/>
      <c r="J1568" s="78"/>
    </row>
    <row r="1569" spans="1:10" x14ac:dyDescent="0.2">
      <c r="A1569" s="84">
        <f t="shared" si="51"/>
        <v>1563</v>
      </c>
      <c r="B1569" s="85" t="e">
        <f>+MATCH(D1569,ARTICULOS!$F$10:$F$699,0)</f>
        <v>#N/A</v>
      </c>
      <c r="C1569" s="86" t="e">
        <f>+VLOOKUP(B1569,ARTICULOS!$D$10:$I$699,6)</f>
        <v>#N/A</v>
      </c>
      <c r="D1569" s="212"/>
      <c r="E1569" s="75" t="e">
        <f t="shared" si="52"/>
        <v>#N/A</v>
      </c>
      <c r="F1569" s="80"/>
      <c r="G1569" s="81"/>
      <c r="H1569" s="78"/>
      <c r="I1569" s="78"/>
      <c r="J1569" s="78"/>
    </row>
    <row r="1570" spans="1:10" x14ac:dyDescent="0.2">
      <c r="A1570" s="84">
        <f t="shared" si="51"/>
        <v>1564</v>
      </c>
      <c r="B1570" s="85" t="e">
        <f>+MATCH(D1570,ARTICULOS!$F$10:$F$699,0)</f>
        <v>#N/A</v>
      </c>
      <c r="C1570" s="86" t="e">
        <f>+VLOOKUP(B1570,ARTICULOS!$D$10:$I$699,6)</f>
        <v>#N/A</v>
      </c>
      <c r="D1570" s="212"/>
      <c r="E1570" s="75" t="e">
        <f t="shared" si="52"/>
        <v>#N/A</v>
      </c>
      <c r="F1570" s="80"/>
      <c r="G1570" s="81"/>
      <c r="H1570" s="78"/>
      <c r="I1570" s="78"/>
      <c r="J1570" s="78"/>
    </row>
    <row r="1571" spans="1:10" x14ac:dyDescent="0.2">
      <c r="A1571" s="84">
        <f t="shared" si="51"/>
        <v>1565</v>
      </c>
      <c r="B1571" s="85" t="e">
        <f>+MATCH(D1571,ARTICULOS!$F$10:$F$699,0)</f>
        <v>#N/A</v>
      </c>
      <c r="C1571" s="86" t="e">
        <f>+VLOOKUP(B1571,ARTICULOS!$D$10:$I$699,6)</f>
        <v>#N/A</v>
      </c>
      <c r="D1571" s="212"/>
      <c r="E1571" s="75" t="e">
        <f t="shared" si="52"/>
        <v>#N/A</v>
      </c>
      <c r="F1571" s="80"/>
      <c r="G1571" s="81"/>
      <c r="H1571" s="78"/>
      <c r="I1571" s="78"/>
      <c r="J1571" s="78"/>
    </row>
    <row r="1572" spans="1:10" x14ac:dyDescent="0.2">
      <c r="A1572" s="84">
        <f t="shared" si="51"/>
        <v>1566</v>
      </c>
      <c r="B1572" s="85" t="e">
        <f>+MATCH(D1572,ARTICULOS!$F$10:$F$699,0)</f>
        <v>#N/A</v>
      </c>
      <c r="C1572" s="86" t="e">
        <f>+VLOOKUP(B1572,ARTICULOS!$D$10:$I$699,6)</f>
        <v>#N/A</v>
      </c>
      <c r="D1572" s="212"/>
      <c r="E1572" s="75" t="e">
        <f t="shared" si="52"/>
        <v>#N/A</v>
      </c>
      <c r="F1572" s="80"/>
      <c r="G1572" s="81"/>
      <c r="H1572" s="78"/>
      <c r="I1572" s="78"/>
      <c r="J1572" s="78"/>
    </row>
    <row r="1573" spans="1:10" x14ac:dyDescent="0.2">
      <c r="A1573" s="84">
        <f t="shared" si="51"/>
        <v>1567</v>
      </c>
      <c r="B1573" s="85" t="e">
        <f>+MATCH(D1573,ARTICULOS!$F$10:$F$699,0)</f>
        <v>#N/A</v>
      </c>
      <c r="C1573" s="86" t="e">
        <f>+VLOOKUP(B1573,ARTICULOS!$D$10:$I$699,6)</f>
        <v>#N/A</v>
      </c>
      <c r="D1573" s="212"/>
      <c r="E1573" s="75" t="e">
        <f t="shared" si="52"/>
        <v>#N/A</v>
      </c>
      <c r="F1573" s="80"/>
      <c r="G1573" s="81"/>
      <c r="H1573" s="78"/>
      <c r="I1573" s="78"/>
      <c r="J1573" s="78"/>
    </row>
    <row r="1574" spans="1:10" x14ac:dyDescent="0.2">
      <c r="A1574" s="84">
        <f t="shared" si="51"/>
        <v>1568</v>
      </c>
      <c r="B1574" s="85" t="e">
        <f>+MATCH(D1574,ARTICULOS!$F$10:$F$699,0)</f>
        <v>#N/A</v>
      </c>
      <c r="C1574" s="86" t="e">
        <f>+VLOOKUP(B1574,ARTICULOS!$D$10:$I$699,6)</f>
        <v>#N/A</v>
      </c>
      <c r="D1574" s="212"/>
      <c r="E1574" s="75" t="e">
        <f t="shared" si="52"/>
        <v>#N/A</v>
      </c>
      <c r="F1574" s="80"/>
      <c r="G1574" s="81"/>
      <c r="H1574" s="78"/>
      <c r="I1574" s="78"/>
      <c r="J1574" s="78"/>
    </row>
    <row r="1575" spans="1:10" x14ac:dyDescent="0.2">
      <c r="A1575" s="84">
        <f t="shared" si="51"/>
        <v>1569</v>
      </c>
      <c r="B1575" s="85" t="e">
        <f>+MATCH(D1575,ARTICULOS!$F$10:$F$699,0)</f>
        <v>#N/A</v>
      </c>
      <c r="C1575" s="86" t="e">
        <f>+VLOOKUP(B1575,ARTICULOS!$D$10:$I$699,6)</f>
        <v>#N/A</v>
      </c>
      <c r="D1575" s="212"/>
      <c r="E1575" s="75" t="e">
        <f t="shared" si="52"/>
        <v>#N/A</v>
      </c>
      <c r="F1575" s="80"/>
      <c r="G1575" s="81"/>
      <c r="H1575" s="78"/>
      <c r="I1575" s="78"/>
      <c r="J1575" s="78"/>
    </row>
    <row r="1576" spans="1:10" x14ac:dyDescent="0.2">
      <c r="A1576" s="84">
        <f t="shared" si="51"/>
        <v>1570</v>
      </c>
      <c r="B1576" s="85" t="e">
        <f>+MATCH(D1576,ARTICULOS!$F$10:$F$699,0)</f>
        <v>#N/A</v>
      </c>
      <c r="C1576" s="86" t="e">
        <f>+VLOOKUP(B1576,ARTICULOS!$D$10:$I$699,6)</f>
        <v>#N/A</v>
      </c>
      <c r="D1576" s="212"/>
      <c r="E1576" s="75" t="e">
        <f t="shared" si="52"/>
        <v>#N/A</v>
      </c>
      <c r="F1576" s="80"/>
      <c r="G1576" s="81"/>
      <c r="H1576" s="78"/>
      <c r="I1576" s="78"/>
      <c r="J1576" s="78"/>
    </row>
    <row r="1577" spans="1:10" x14ac:dyDescent="0.2">
      <c r="A1577" s="84">
        <f t="shared" ref="A1577:A1640" si="53">ROW()-6</f>
        <v>1571</v>
      </c>
      <c r="B1577" s="85" t="e">
        <f>+MATCH(D1577,ARTICULOS!$F$10:$F$699,0)</f>
        <v>#N/A</v>
      </c>
      <c r="C1577" s="86" t="e">
        <f>+VLOOKUP(B1577,ARTICULOS!$D$10:$I$699,6)</f>
        <v>#N/A</v>
      </c>
      <c r="D1577" s="212"/>
      <c r="E1577" s="75" t="e">
        <f t="shared" si="52"/>
        <v>#N/A</v>
      </c>
      <c r="F1577" s="80"/>
      <c r="G1577" s="81"/>
      <c r="H1577" s="78"/>
      <c r="I1577" s="78"/>
      <c r="J1577" s="78"/>
    </row>
    <row r="1578" spans="1:10" x14ac:dyDescent="0.2">
      <c r="A1578" s="84">
        <f t="shared" si="53"/>
        <v>1572</v>
      </c>
      <c r="B1578" s="85" t="e">
        <f>+MATCH(D1578,ARTICULOS!$F$10:$F$699,0)</f>
        <v>#N/A</v>
      </c>
      <c r="C1578" s="86" t="e">
        <f>+VLOOKUP(B1578,ARTICULOS!$D$10:$I$699,6)</f>
        <v>#N/A</v>
      </c>
      <c r="D1578" s="212"/>
      <c r="E1578" s="75" t="e">
        <f t="shared" si="52"/>
        <v>#N/A</v>
      </c>
      <c r="F1578" s="80"/>
      <c r="G1578" s="81"/>
      <c r="H1578" s="78"/>
      <c r="I1578" s="78"/>
      <c r="J1578" s="78"/>
    </row>
    <row r="1579" spans="1:10" x14ac:dyDescent="0.2">
      <c r="A1579" s="84">
        <f t="shared" si="53"/>
        <v>1573</v>
      </c>
      <c r="B1579" s="85" t="e">
        <f>+MATCH(D1579,ARTICULOS!$F$10:$F$699,0)</f>
        <v>#N/A</v>
      </c>
      <c r="C1579" s="86" t="e">
        <f>+VLOOKUP(B1579,ARTICULOS!$D$10:$I$699,6)</f>
        <v>#N/A</v>
      </c>
      <c r="D1579" s="212"/>
      <c r="E1579" s="75" t="e">
        <f t="shared" si="52"/>
        <v>#N/A</v>
      </c>
      <c r="F1579" s="80"/>
      <c r="G1579" s="81"/>
      <c r="H1579" s="78"/>
      <c r="I1579" s="78"/>
      <c r="J1579" s="78"/>
    </row>
    <row r="1580" spans="1:10" x14ac:dyDescent="0.2">
      <c r="A1580" s="84">
        <f t="shared" si="53"/>
        <v>1574</v>
      </c>
      <c r="B1580" s="85" t="e">
        <f>+MATCH(D1580,ARTICULOS!$F$10:$F$699,0)</f>
        <v>#N/A</v>
      </c>
      <c r="C1580" s="86" t="e">
        <f>+VLOOKUP(B1580,ARTICULOS!$D$10:$I$699,6)</f>
        <v>#N/A</v>
      </c>
      <c r="D1580" s="212"/>
      <c r="E1580" s="75" t="e">
        <f t="shared" si="52"/>
        <v>#N/A</v>
      </c>
      <c r="F1580" s="80"/>
      <c r="G1580" s="81"/>
      <c r="H1580" s="78"/>
      <c r="I1580" s="78"/>
      <c r="J1580" s="78"/>
    </row>
    <row r="1581" spans="1:10" x14ac:dyDescent="0.2">
      <c r="A1581" s="84">
        <f t="shared" si="53"/>
        <v>1575</v>
      </c>
      <c r="B1581" s="85" t="e">
        <f>+MATCH(D1581,ARTICULOS!$F$10:$F$699,0)</f>
        <v>#N/A</v>
      </c>
      <c r="C1581" s="86" t="e">
        <f>+VLOOKUP(B1581,ARTICULOS!$D$10:$I$699,6)</f>
        <v>#N/A</v>
      </c>
      <c r="D1581" s="212"/>
      <c r="E1581" s="75" t="e">
        <f t="shared" si="52"/>
        <v>#N/A</v>
      </c>
      <c r="F1581" s="80"/>
      <c r="G1581" s="81"/>
      <c r="H1581" s="78"/>
      <c r="I1581" s="78"/>
      <c r="J1581" s="78"/>
    </row>
    <row r="1582" spans="1:10" x14ac:dyDescent="0.2">
      <c r="A1582" s="84">
        <f t="shared" si="53"/>
        <v>1576</v>
      </c>
      <c r="B1582" s="85" t="e">
        <f>+MATCH(D1582,ARTICULOS!$F$10:$F$699,0)</f>
        <v>#N/A</v>
      </c>
      <c r="C1582" s="86" t="e">
        <f>+VLOOKUP(B1582,ARTICULOS!$D$10:$I$699,6)</f>
        <v>#N/A</v>
      </c>
      <c r="D1582" s="212"/>
      <c r="E1582" s="75" t="e">
        <f t="shared" si="52"/>
        <v>#N/A</v>
      </c>
      <c r="F1582" s="80"/>
      <c r="G1582" s="81"/>
      <c r="H1582" s="78"/>
      <c r="I1582" s="78"/>
      <c r="J1582" s="78"/>
    </row>
    <row r="1583" spans="1:10" x14ac:dyDescent="0.2">
      <c r="A1583" s="84">
        <f t="shared" si="53"/>
        <v>1577</v>
      </c>
      <c r="B1583" s="85" t="e">
        <f>+MATCH(D1583,ARTICULOS!$F$10:$F$699,0)</f>
        <v>#N/A</v>
      </c>
      <c r="C1583" s="86" t="e">
        <f>+VLOOKUP(B1583,ARTICULOS!$D$10:$I$699,6)</f>
        <v>#N/A</v>
      </c>
      <c r="D1583" s="212"/>
      <c r="E1583" s="75" t="e">
        <f t="shared" si="52"/>
        <v>#N/A</v>
      </c>
      <c r="F1583" s="80"/>
      <c r="G1583" s="81"/>
      <c r="H1583" s="78"/>
      <c r="I1583" s="78"/>
      <c r="J1583" s="78"/>
    </row>
    <row r="1584" spans="1:10" x14ac:dyDescent="0.2">
      <c r="A1584" s="84">
        <f t="shared" si="53"/>
        <v>1578</v>
      </c>
      <c r="B1584" s="85" t="e">
        <f>+MATCH(D1584,ARTICULOS!$F$10:$F$699,0)</f>
        <v>#N/A</v>
      </c>
      <c r="C1584" s="86" t="e">
        <f>+VLOOKUP(B1584,ARTICULOS!$D$10:$I$699,6)</f>
        <v>#N/A</v>
      </c>
      <c r="D1584" s="212"/>
      <c r="E1584" s="75" t="e">
        <f t="shared" si="52"/>
        <v>#N/A</v>
      </c>
      <c r="F1584" s="80"/>
      <c r="G1584" s="81"/>
      <c r="H1584" s="78"/>
      <c r="I1584" s="78"/>
      <c r="J1584" s="78"/>
    </row>
    <row r="1585" spans="1:10" x14ac:dyDescent="0.2">
      <c r="A1585" s="84">
        <f t="shared" si="53"/>
        <v>1579</v>
      </c>
      <c r="B1585" s="85" t="e">
        <f>+MATCH(D1585,ARTICULOS!$F$10:$F$699,0)</f>
        <v>#N/A</v>
      </c>
      <c r="C1585" s="86" t="e">
        <f>+VLOOKUP(B1585,ARTICULOS!$D$10:$I$699,6)</f>
        <v>#N/A</v>
      </c>
      <c r="D1585" s="212"/>
      <c r="E1585" s="75" t="e">
        <f t="shared" si="52"/>
        <v>#N/A</v>
      </c>
      <c r="F1585" s="80"/>
      <c r="G1585" s="81"/>
      <c r="H1585" s="78"/>
      <c r="I1585" s="78"/>
      <c r="J1585" s="78"/>
    </row>
    <row r="1586" spans="1:10" x14ac:dyDescent="0.2">
      <c r="A1586" s="84">
        <f t="shared" si="53"/>
        <v>1580</v>
      </c>
      <c r="B1586" s="85" t="e">
        <f>+MATCH(D1586,ARTICULOS!$F$10:$F$699,0)</f>
        <v>#N/A</v>
      </c>
      <c r="C1586" s="86" t="e">
        <f>+VLOOKUP(B1586,ARTICULOS!$D$10:$I$699,6)</f>
        <v>#N/A</v>
      </c>
      <c r="D1586" s="212"/>
      <c r="E1586" s="75" t="e">
        <f t="shared" si="52"/>
        <v>#N/A</v>
      </c>
      <c r="F1586" s="80"/>
      <c r="G1586" s="81"/>
      <c r="H1586" s="78"/>
      <c r="I1586" s="78"/>
      <c r="J1586" s="78"/>
    </row>
    <row r="1587" spans="1:10" x14ac:dyDescent="0.2">
      <c r="A1587" s="84">
        <f t="shared" si="53"/>
        <v>1581</v>
      </c>
      <c r="B1587" s="85" t="e">
        <f>+MATCH(D1587,ARTICULOS!$F$10:$F$699,0)</f>
        <v>#N/A</v>
      </c>
      <c r="C1587" s="86" t="e">
        <f>+VLOOKUP(B1587,ARTICULOS!$D$10:$I$699,6)</f>
        <v>#N/A</v>
      </c>
      <c r="D1587" s="212"/>
      <c r="E1587" s="75" t="e">
        <f t="shared" si="52"/>
        <v>#N/A</v>
      </c>
      <c r="F1587" s="80"/>
      <c r="G1587" s="81"/>
      <c r="H1587" s="78"/>
      <c r="I1587" s="78"/>
      <c r="J1587" s="78"/>
    </row>
    <row r="1588" spans="1:10" x14ac:dyDescent="0.2">
      <c r="A1588" s="84">
        <f t="shared" si="53"/>
        <v>1582</v>
      </c>
      <c r="B1588" s="85" t="e">
        <f>+MATCH(D1588,ARTICULOS!$F$10:$F$699,0)</f>
        <v>#N/A</v>
      </c>
      <c r="C1588" s="86" t="e">
        <f>+VLOOKUP(B1588,ARTICULOS!$D$10:$I$699,6)</f>
        <v>#N/A</v>
      </c>
      <c r="D1588" s="212"/>
      <c r="E1588" s="75" t="e">
        <f t="shared" si="52"/>
        <v>#N/A</v>
      </c>
      <c r="F1588" s="80"/>
      <c r="G1588" s="81"/>
      <c r="H1588" s="78"/>
      <c r="I1588" s="78"/>
      <c r="J1588" s="78"/>
    </row>
    <row r="1589" spans="1:10" x14ac:dyDescent="0.2">
      <c r="A1589" s="84">
        <f t="shared" si="53"/>
        <v>1583</v>
      </c>
      <c r="B1589" s="85" t="e">
        <f>+MATCH(D1589,ARTICULOS!$F$10:$F$699,0)</f>
        <v>#N/A</v>
      </c>
      <c r="C1589" s="86" t="e">
        <f>+VLOOKUP(B1589,ARTICULOS!$D$10:$I$699,6)</f>
        <v>#N/A</v>
      </c>
      <c r="D1589" s="212"/>
      <c r="E1589" s="75" t="e">
        <f t="shared" si="52"/>
        <v>#N/A</v>
      </c>
      <c r="F1589" s="80"/>
      <c r="G1589" s="81"/>
      <c r="H1589" s="78"/>
      <c r="I1589" s="78"/>
      <c r="J1589" s="78"/>
    </row>
    <row r="1590" spans="1:10" x14ac:dyDescent="0.2">
      <c r="A1590" s="84">
        <f t="shared" si="53"/>
        <v>1584</v>
      </c>
      <c r="B1590" s="85" t="e">
        <f>+MATCH(D1590,ARTICULOS!$F$10:$F$699,0)</f>
        <v>#N/A</v>
      </c>
      <c r="C1590" s="86" t="e">
        <f>+VLOOKUP(B1590,ARTICULOS!$D$10:$I$699,6)</f>
        <v>#N/A</v>
      </c>
      <c r="D1590" s="212"/>
      <c r="E1590" s="75" t="e">
        <f t="shared" si="52"/>
        <v>#N/A</v>
      </c>
      <c r="F1590" s="80"/>
      <c r="G1590" s="81"/>
      <c r="H1590" s="78"/>
      <c r="I1590" s="78"/>
      <c r="J1590" s="78"/>
    </row>
    <row r="1591" spans="1:10" x14ac:dyDescent="0.2">
      <c r="A1591" s="84">
        <f t="shared" si="53"/>
        <v>1585</v>
      </c>
      <c r="B1591" s="85" t="e">
        <f>+MATCH(D1591,ARTICULOS!$F$10:$F$699,0)</f>
        <v>#N/A</v>
      </c>
      <c r="C1591" s="86" t="e">
        <f>+VLOOKUP(B1591,ARTICULOS!$D$10:$I$699,6)</f>
        <v>#N/A</v>
      </c>
      <c r="D1591" s="212"/>
      <c r="E1591" s="75" t="e">
        <f t="shared" si="52"/>
        <v>#N/A</v>
      </c>
      <c r="F1591" s="80"/>
      <c r="G1591" s="81"/>
      <c r="H1591" s="78"/>
      <c r="I1591" s="78"/>
      <c r="J1591" s="78"/>
    </row>
    <row r="1592" spans="1:10" x14ac:dyDescent="0.2">
      <c r="A1592" s="84">
        <f t="shared" si="53"/>
        <v>1586</v>
      </c>
      <c r="B1592" s="85" t="e">
        <f>+MATCH(D1592,ARTICULOS!$F$10:$F$699,0)</f>
        <v>#N/A</v>
      </c>
      <c r="C1592" s="86" t="e">
        <f>+VLOOKUP(B1592,ARTICULOS!$D$10:$I$699,6)</f>
        <v>#N/A</v>
      </c>
      <c r="D1592" s="212"/>
      <c r="E1592" s="75" t="e">
        <f t="shared" si="52"/>
        <v>#N/A</v>
      </c>
      <c r="F1592" s="80"/>
      <c r="G1592" s="81"/>
      <c r="H1592" s="78"/>
      <c r="I1592" s="78"/>
      <c r="J1592" s="78"/>
    </row>
    <row r="1593" spans="1:10" x14ac:dyDescent="0.2">
      <c r="A1593" s="84">
        <f t="shared" si="53"/>
        <v>1587</v>
      </c>
      <c r="B1593" s="85" t="e">
        <f>+MATCH(D1593,ARTICULOS!$F$10:$F$699,0)</f>
        <v>#N/A</v>
      </c>
      <c r="C1593" s="86" t="e">
        <f>+VLOOKUP(B1593,ARTICULOS!$D$10:$I$699,6)</f>
        <v>#N/A</v>
      </c>
      <c r="D1593" s="212"/>
      <c r="E1593" s="75" t="e">
        <f t="shared" si="52"/>
        <v>#N/A</v>
      </c>
      <c r="F1593" s="80"/>
      <c r="G1593" s="81"/>
      <c r="H1593" s="78"/>
      <c r="I1593" s="78"/>
      <c r="J1593" s="78"/>
    </row>
    <row r="1594" spans="1:10" x14ac:dyDescent="0.2">
      <c r="A1594" s="84">
        <f t="shared" si="53"/>
        <v>1588</v>
      </c>
      <c r="B1594" s="85" t="e">
        <f>+MATCH(D1594,ARTICULOS!$F$10:$F$699,0)</f>
        <v>#N/A</v>
      </c>
      <c r="C1594" s="86" t="e">
        <f>+VLOOKUP(B1594,ARTICULOS!$D$10:$I$699,6)</f>
        <v>#N/A</v>
      </c>
      <c r="D1594" s="212"/>
      <c r="E1594" s="75" t="e">
        <f t="shared" si="52"/>
        <v>#N/A</v>
      </c>
      <c r="F1594" s="80"/>
      <c r="G1594" s="81"/>
      <c r="H1594" s="78"/>
      <c r="I1594" s="78"/>
      <c r="J1594" s="78"/>
    </row>
    <row r="1595" spans="1:10" x14ac:dyDescent="0.2">
      <c r="A1595" s="84">
        <f t="shared" si="53"/>
        <v>1589</v>
      </c>
      <c r="B1595" s="85" t="e">
        <f>+MATCH(D1595,ARTICULOS!$F$10:$F$699,0)</f>
        <v>#N/A</v>
      </c>
      <c r="C1595" s="86" t="e">
        <f>+VLOOKUP(B1595,ARTICULOS!$D$10:$I$699,6)</f>
        <v>#N/A</v>
      </c>
      <c r="D1595" s="212"/>
      <c r="E1595" s="75" t="e">
        <f t="shared" si="52"/>
        <v>#N/A</v>
      </c>
      <c r="F1595" s="80"/>
      <c r="G1595" s="81"/>
      <c r="H1595" s="78"/>
      <c r="I1595" s="78"/>
      <c r="J1595" s="78"/>
    </row>
    <row r="1596" spans="1:10" x14ac:dyDescent="0.2">
      <c r="A1596" s="84">
        <f t="shared" si="53"/>
        <v>1590</v>
      </c>
      <c r="B1596" s="85" t="e">
        <f>+MATCH(D1596,ARTICULOS!$F$10:$F$699,0)</f>
        <v>#N/A</v>
      </c>
      <c r="C1596" s="86" t="e">
        <f>+VLOOKUP(B1596,ARTICULOS!$D$10:$I$699,6)</f>
        <v>#N/A</v>
      </c>
      <c r="D1596" s="212"/>
      <c r="E1596" s="75" t="e">
        <f t="shared" si="52"/>
        <v>#N/A</v>
      </c>
      <c r="F1596" s="80"/>
      <c r="G1596" s="81"/>
      <c r="H1596" s="78"/>
      <c r="I1596" s="78"/>
      <c r="J1596" s="78"/>
    </row>
    <row r="1597" spans="1:10" x14ac:dyDescent="0.2">
      <c r="A1597" s="84">
        <f t="shared" si="53"/>
        <v>1591</v>
      </c>
      <c r="B1597" s="85" t="e">
        <f>+MATCH(D1597,ARTICULOS!$F$10:$F$699,0)</f>
        <v>#N/A</v>
      </c>
      <c r="C1597" s="86" t="e">
        <f>+VLOOKUP(B1597,ARTICULOS!$D$10:$I$699,6)</f>
        <v>#N/A</v>
      </c>
      <c r="D1597" s="212"/>
      <c r="E1597" s="75" t="e">
        <f t="shared" si="52"/>
        <v>#N/A</v>
      </c>
      <c r="F1597" s="80"/>
      <c r="G1597" s="81"/>
      <c r="H1597" s="78"/>
      <c r="I1597" s="78"/>
      <c r="J1597" s="78"/>
    </row>
    <row r="1598" spans="1:10" x14ac:dyDescent="0.2">
      <c r="A1598" s="84">
        <f t="shared" si="53"/>
        <v>1592</v>
      </c>
      <c r="B1598" s="85" t="e">
        <f>+MATCH(D1598,ARTICULOS!$F$10:$F$699,0)</f>
        <v>#N/A</v>
      </c>
      <c r="C1598" s="86" t="e">
        <f>+VLOOKUP(B1598,ARTICULOS!$D$10:$I$699,6)</f>
        <v>#N/A</v>
      </c>
      <c r="D1598" s="212"/>
      <c r="E1598" s="75" t="e">
        <f t="shared" si="52"/>
        <v>#N/A</v>
      </c>
      <c r="F1598" s="80"/>
      <c r="G1598" s="81"/>
      <c r="H1598" s="78"/>
      <c r="I1598" s="78"/>
      <c r="J1598" s="78"/>
    </row>
    <row r="1599" spans="1:10" x14ac:dyDescent="0.2">
      <c r="A1599" s="84">
        <f t="shared" si="53"/>
        <v>1593</v>
      </c>
      <c r="B1599" s="85" t="e">
        <f>+MATCH(D1599,ARTICULOS!$F$10:$F$699,0)</f>
        <v>#N/A</v>
      </c>
      <c r="C1599" s="86" t="e">
        <f>+VLOOKUP(B1599,ARTICULOS!$D$10:$I$699,6)</f>
        <v>#N/A</v>
      </c>
      <c r="D1599" s="212"/>
      <c r="E1599" s="75" t="e">
        <f t="shared" si="52"/>
        <v>#N/A</v>
      </c>
      <c r="F1599" s="80"/>
      <c r="G1599" s="81"/>
      <c r="H1599" s="78"/>
      <c r="I1599" s="78"/>
      <c r="J1599" s="78"/>
    </row>
    <row r="1600" spans="1:10" x14ac:dyDescent="0.2">
      <c r="A1600" s="84">
        <f t="shared" si="53"/>
        <v>1594</v>
      </c>
      <c r="B1600" s="85" t="e">
        <f>+MATCH(D1600,ARTICULOS!$F$10:$F$699,0)</f>
        <v>#N/A</v>
      </c>
      <c r="C1600" s="86" t="e">
        <f>+VLOOKUP(B1600,ARTICULOS!$D$10:$I$699,6)</f>
        <v>#N/A</v>
      </c>
      <c r="D1600" s="212"/>
      <c r="E1600" s="75" t="e">
        <f t="shared" si="52"/>
        <v>#N/A</v>
      </c>
      <c r="F1600" s="80"/>
      <c r="G1600" s="81"/>
      <c r="H1600" s="78"/>
      <c r="I1600" s="78"/>
      <c r="J1600" s="78"/>
    </row>
    <row r="1601" spans="1:10" x14ac:dyDescent="0.2">
      <c r="A1601" s="84">
        <f t="shared" si="53"/>
        <v>1595</v>
      </c>
      <c r="B1601" s="85" t="e">
        <f>+MATCH(D1601,ARTICULOS!$F$10:$F$699,0)</f>
        <v>#N/A</v>
      </c>
      <c r="C1601" s="86" t="e">
        <f>+VLOOKUP(B1601,ARTICULOS!$D$10:$I$699,6)</f>
        <v>#N/A</v>
      </c>
      <c r="D1601" s="212"/>
      <c r="E1601" s="75" t="e">
        <f t="shared" si="52"/>
        <v>#N/A</v>
      </c>
      <c r="F1601" s="80"/>
      <c r="G1601" s="81"/>
      <c r="H1601" s="78"/>
      <c r="I1601" s="78"/>
      <c r="J1601" s="78"/>
    </row>
    <row r="1602" spans="1:10" x14ac:dyDescent="0.2">
      <c r="A1602" s="84">
        <f t="shared" si="53"/>
        <v>1596</v>
      </c>
      <c r="B1602" s="85" t="e">
        <f>+MATCH(D1602,ARTICULOS!$F$10:$F$699,0)</f>
        <v>#N/A</v>
      </c>
      <c r="C1602" s="86" t="e">
        <f>+VLOOKUP(B1602,ARTICULOS!$D$10:$I$699,6)</f>
        <v>#N/A</v>
      </c>
      <c r="D1602" s="212"/>
      <c r="E1602" s="75" t="e">
        <f t="shared" si="52"/>
        <v>#N/A</v>
      </c>
      <c r="F1602" s="80"/>
      <c r="G1602" s="81"/>
      <c r="H1602" s="78"/>
      <c r="I1602" s="78"/>
      <c r="J1602" s="78"/>
    </row>
    <row r="1603" spans="1:10" x14ac:dyDescent="0.2">
      <c r="A1603" s="84">
        <f t="shared" si="53"/>
        <v>1597</v>
      </c>
      <c r="B1603" s="85" t="e">
        <f>+MATCH(D1603,ARTICULOS!$F$10:$F$699,0)</f>
        <v>#N/A</v>
      </c>
      <c r="C1603" s="86" t="e">
        <f>+VLOOKUP(B1603,ARTICULOS!$D$10:$I$699,6)</f>
        <v>#N/A</v>
      </c>
      <c r="D1603" s="212"/>
      <c r="E1603" s="75" t="e">
        <f t="shared" si="52"/>
        <v>#N/A</v>
      </c>
      <c r="F1603" s="80"/>
      <c r="G1603" s="81"/>
      <c r="H1603" s="78"/>
      <c r="I1603" s="78"/>
      <c r="J1603" s="78"/>
    </row>
    <row r="1604" spans="1:10" x14ac:dyDescent="0.2">
      <c r="A1604" s="84">
        <f t="shared" si="53"/>
        <v>1598</v>
      </c>
      <c r="B1604" s="85" t="e">
        <f>+MATCH(D1604,ARTICULOS!$F$10:$F$699,0)</f>
        <v>#N/A</v>
      </c>
      <c r="C1604" s="86" t="e">
        <f>+VLOOKUP(B1604,ARTICULOS!$D$10:$I$699,6)</f>
        <v>#N/A</v>
      </c>
      <c r="D1604" s="212"/>
      <c r="E1604" s="75" t="e">
        <f t="shared" si="52"/>
        <v>#N/A</v>
      </c>
      <c r="F1604" s="80"/>
      <c r="G1604" s="81"/>
      <c r="H1604" s="78"/>
      <c r="I1604" s="78"/>
      <c r="J1604" s="78"/>
    </row>
    <row r="1605" spans="1:10" x14ac:dyDescent="0.2">
      <c r="A1605" s="84">
        <f t="shared" si="53"/>
        <v>1599</v>
      </c>
      <c r="B1605" s="85" t="e">
        <f>+MATCH(D1605,ARTICULOS!$F$10:$F$699,0)</f>
        <v>#N/A</v>
      </c>
      <c r="C1605" s="86" t="e">
        <f>+VLOOKUP(B1605,ARTICULOS!$D$10:$I$699,6)</f>
        <v>#N/A</v>
      </c>
      <c r="D1605" s="212"/>
      <c r="E1605" s="75" t="e">
        <f t="shared" si="52"/>
        <v>#N/A</v>
      </c>
      <c r="F1605" s="80"/>
      <c r="G1605" s="81"/>
      <c r="H1605" s="78"/>
      <c r="I1605" s="78"/>
      <c r="J1605" s="78"/>
    </row>
    <row r="1606" spans="1:10" x14ac:dyDescent="0.2">
      <c r="A1606" s="84">
        <f t="shared" si="53"/>
        <v>1600</v>
      </c>
      <c r="B1606" s="85" t="e">
        <f>+MATCH(D1606,ARTICULOS!$F$10:$F$699,0)</f>
        <v>#N/A</v>
      </c>
      <c r="C1606" s="86" t="e">
        <f>+VLOOKUP(B1606,ARTICULOS!$D$10:$I$699,6)</f>
        <v>#N/A</v>
      </c>
      <c r="D1606" s="212"/>
      <c r="E1606" s="75" t="e">
        <f t="shared" si="52"/>
        <v>#N/A</v>
      </c>
      <c r="F1606" s="80"/>
      <c r="G1606" s="81"/>
      <c r="H1606" s="78"/>
      <c r="I1606" s="78"/>
      <c r="J1606" s="78"/>
    </row>
    <row r="1607" spans="1:10" x14ac:dyDescent="0.2">
      <c r="A1607" s="84">
        <f t="shared" si="53"/>
        <v>1601</v>
      </c>
      <c r="B1607" s="85" t="e">
        <f>+MATCH(D1607,ARTICULOS!$F$10:$F$699,0)</f>
        <v>#N/A</v>
      </c>
      <c r="C1607" s="86" t="e">
        <f>+VLOOKUP(B1607,ARTICULOS!$D$10:$I$699,6)</f>
        <v>#N/A</v>
      </c>
      <c r="D1607" s="212"/>
      <c r="E1607" s="75" t="e">
        <f t="shared" si="52"/>
        <v>#N/A</v>
      </c>
      <c r="F1607" s="80"/>
      <c r="G1607" s="81"/>
      <c r="H1607" s="78"/>
      <c r="I1607" s="78"/>
      <c r="J1607" s="78"/>
    </row>
    <row r="1608" spans="1:10" x14ac:dyDescent="0.2">
      <c r="A1608" s="84">
        <f t="shared" si="53"/>
        <v>1602</v>
      </c>
      <c r="B1608" s="85" t="e">
        <f>+MATCH(D1608,ARTICULOS!$F$10:$F$699,0)</f>
        <v>#N/A</v>
      </c>
      <c r="C1608" s="86" t="e">
        <f>+VLOOKUP(B1608,ARTICULOS!$D$10:$I$699,6)</f>
        <v>#N/A</v>
      </c>
      <c r="D1608" s="212"/>
      <c r="E1608" s="75" t="e">
        <f t="shared" si="52"/>
        <v>#N/A</v>
      </c>
      <c r="F1608" s="80"/>
      <c r="G1608" s="81"/>
      <c r="H1608" s="78"/>
      <c r="I1608" s="78"/>
      <c r="J1608" s="78"/>
    </row>
    <row r="1609" spans="1:10" x14ac:dyDescent="0.2">
      <c r="A1609" s="84">
        <f t="shared" si="53"/>
        <v>1603</v>
      </c>
      <c r="B1609" s="85" t="e">
        <f>+MATCH(D1609,ARTICULOS!$F$10:$F$699,0)</f>
        <v>#N/A</v>
      </c>
      <c r="C1609" s="86" t="e">
        <f>+VLOOKUP(B1609,ARTICULOS!$D$10:$I$699,6)</f>
        <v>#N/A</v>
      </c>
      <c r="D1609" s="212"/>
      <c r="E1609" s="75" t="e">
        <f t="shared" si="52"/>
        <v>#N/A</v>
      </c>
      <c r="F1609" s="80"/>
      <c r="G1609" s="81"/>
      <c r="H1609" s="78"/>
      <c r="I1609" s="78"/>
      <c r="J1609" s="78"/>
    </row>
    <row r="1610" spans="1:10" x14ac:dyDescent="0.2">
      <c r="A1610" s="84">
        <f t="shared" si="53"/>
        <v>1604</v>
      </c>
      <c r="B1610" s="85" t="e">
        <f>+MATCH(D1610,ARTICULOS!$F$10:$F$699,0)</f>
        <v>#N/A</v>
      </c>
      <c r="C1610" s="86" t="e">
        <f>+VLOOKUP(B1610,ARTICULOS!$D$10:$I$699,6)</f>
        <v>#N/A</v>
      </c>
      <c r="D1610" s="212"/>
      <c r="E1610" s="75" t="e">
        <f t="shared" si="52"/>
        <v>#N/A</v>
      </c>
      <c r="F1610" s="80"/>
      <c r="G1610" s="81"/>
      <c r="H1610" s="78"/>
      <c r="I1610" s="78"/>
      <c r="J1610" s="78"/>
    </row>
    <row r="1611" spans="1:10" x14ac:dyDescent="0.2">
      <c r="A1611" s="84">
        <f t="shared" si="53"/>
        <v>1605</v>
      </c>
      <c r="B1611" s="85" t="e">
        <f>+MATCH(D1611,ARTICULOS!$F$10:$F$699,0)</f>
        <v>#N/A</v>
      </c>
      <c r="C1611" s="86" t="e">
        <f>+VLOOKUP(B1611,ARTICULOS!$D$10:$I$699,6)</f>
        <v>#N/A</v>
      </c>
      <c r="D1611" s="212"/>
      <c r="E1611" s="75" t="e">
        <f t="shared" ref="E1611:E1674" si="54">+C1611&amp;F1611</f>
        <v>#N/A</v>
      </c>
      <c r="F1611" s="80"/>
      <c r="G1611" s="81"/>
      <c r="H1611" s="78"/>
      <c r="I1611" s="78"/>
      <c r="J1611" s="78"/>
    </row>
    <row r="1612" spans="1:10" x14ac:dyDescent="0.2">
      <c r="A1612" s="84">
        <f t="shared" si="53"/>
        <v>1606</v>
      </c>
      <c r="B1612" s="85" t="e">
        <f>+MATCH(D1612,ARTICULOS!$F$10:$F$699,0)</f>
        <v>#N/A</v>
      </c>
      <c r="C1612" s="86" t="e">
        <f>+VLOOKUP(B1612,ARTICULOS!$D$10:$I$699,6)</f>
        <v>#N/A</v>
      </c>
      <c r="D1612" s="212"/>
      <c r="E1612" s="75" t="e">
        <f t="shared" si="54"/>
        <v>#N/A</v>
      </c>
      <c r="F1612" s="80"/>
      <c r="G1612" s="81"/>
      <c r="H1612" s="78"/>
      <c r="I1612" s="78"/>
      <c r="J1612" s="78"/>
    </row>
    <row r="1613" spans="1:10" x14ac:dyDescent="0.2">
      <c r="A1613" s="84">
        <f t="shared" si="53"/>
        <v>1607</v>
      </c>
      <c r="B1613" s="85" t="e">
        <f>+MATCH(D1613,ARTICULOS!$F$10:$F$699,0)</f>
        <v>#N/A</v>
      </c>
      <c r="C1613" s="86" t="e">
        <f>+VLOOKUP(B1613,ARTICULOS!$D$10:$I$699,6)</f>
        <v>#N/A</v>
      </c>
      <c r="D1613" s="212"/>
      <c r="E1613" s="75" t="e">
        <f t="shared" si="54"/>
        <v>#N/A</v>
      </c>
      <c r="F1613" s="80"/>
      <c r="G1613" s="81"/>
      <c r="H1613" s="78"/>
      <c r="I1613" s="78"/>
      <c r="J1613" s="78"/>
    </row>
    <row r="1614" spans="1:10" x14ac:dyDescent="0.2">
      <c r="A1614" s="84">
        <f t="shared" si="53"/>
        <v>1608</v>
      </c>
      <c r="B1614" s="85" t="e">
        <f>+MATCH(D1614,ARTICULOS!$F$10:$F$699,0)</f>
        <v>#N/A</v>
      </c>
      <c r="C1614" s="86" t="e">
        <f>+VLOOKUP(B1614,ARTICULOS!$D$10:$I$699,6)</f>
        <v>#N/A</v>
      </c>
      <c r="D1614" s="212"/>
      <c r="E1614" s="75" t="e">
        <f t="shared" si="54"/>
        <v>#N/A</v>
      </c>
      <c r="F1614" s="80"/>
      <c r="G1614" s="81"/>
      <c r="H1614" s="78"/>
      <c r="I1614" s="78"/>
      <c r="J1614" s="78"/>
    </row>
    <row r="1615" spans="1:10" x14ac:dyDescent="0.2">
      <c r="A1615" s="84">
        <f t="shared" si="53"/>
        <v>1609</v>
      </c>
      <c r="B1615" s="85" t="e">
        <f>+MATCH(D1615,ARTICULOS!$F$10:$F$699,0)</f>
        <v>#N/A</v>
      </c>
      <c r="C1615" s="86" t="e">
        <f>+VLOOKUP(B1615,ARTICULOS!$D$10:$I$699,6)</f>
        <v>#N/A</v>
      </c>
      <c r="D1615" s="212"/>
      <c r="E1615" s="75" t="e">
        <f t="shared" si="54"/>
        <v>#N/A</v>
      </c>
      <c r="F1615" s="80"/>
      <c r="G1615" s="81"/>
      <c r="H1615" s="78"/>
      <c r="I1615" s="78"/>
      <c r="J1615" s="78"/>
    </row>
    <row r="1616" spans="1:10" x14ac:dyDescent="0.2">
      <c r="A1616" s="84">
        <f t="shared" si="53"/>
        <v>1610</v>
      </c>
      <c r="B1616" s="85" t="e">
        <f>+MATCH(D1616,ARTICULOS!$F$10:$F$699,0)</f>
        <v>#N/A</v>
      </c>
      <c r="C1616" s="86" t="e">
        <f>+VLOOKUP(B1616,ARTICULOS!$D$10:$I$699,6)</f>
        <v>#N/A</v>
      </c>
      <c r="D1616" s="212"/>
      <c r="E1616" s="75" t="e">
        <f t="shared" si="54"/>
        <v>#N/A</v>
      </c>
      <c r="F1616" s="80"/>
      <c r="G1616" s="81"/>
      <c r="H1616" s="78"/>
      <c r="I1616" s="78"/>
      <c r="J1616" s="78"/>
    </row>
    <row r="1617" spans="1:10" x14ac:dyDescent="0.2">
      <c r="A1617" s="84">
        <f t="shared" si="53"/>
        <v>1611</v>
      </c>
      <c r="B1617" s="85" t="e">
        <f>+MATCH(D1617,ARTICULOS!$F$10:$F$699,0)</f>
        <v>#N/A</v>
      </c>
      <c r="C1617" s="86" t="e">
        <f>+VLOOKUP(B1617,ARTICULOS!$D$10:$I$699,6)</f>
        <v>#N/A</v>
      </c>
      <c r="D1617" s="212"/>
      <c r="E1617" s="75" t="e">
        <f t="shared" si="54"/>
        <v>#N/A</v>
      </c>
      <c r="F1617" s="80"/>
      <c r="G1617" s="81"/>
      <c r="H1617" s="78"/>
      <c r="I1617" s="78"/>
      <c r="J1617" s="78"/>
    </row>
    <row r="1618" spans="1:10" x14ac:dyDescent="0.2">
      <c r="A1618" s="84">
        <f t="shared" si="53"/>
        <v>1612</v>
      </c>
      <c r="B1618" s="85" t="e">
        <f>+MATCH(D1618,ARTICULOS!$F$10:$F$699,0)</f>
        <v>#N/A</v>
      </c>
      <c r="C1618" s="86" t="e">
        <f>+VLOOKUP(B1618,ARTICULOS!$D$10:$I$699,6)</f>
        <v>#N/A</v>
      </c>
      <c r="D1618" s="212"/>
      <c r="E1618" s="75" t="e">
        <f t="shared" si="54"/>
        <v>#N/A</v>
      </c>
      <c r="F1618" s="80"/>
      <c r="G1618" s="81"/>
      <c r="H1618" s="78"/>
      <c r="I1618" s="78"/>
      <c r="J1618" s="78"/>
    </row>
    <row r="1619" spans="1:10" x14ac:dyDescent="0.2">
      <c r="A1619" s="84">
        <f t="shared" si="53"/>
        <v>1613</v>
      </c>
      <c r="B1619" s="85" t="e">
        <f>+MATCH(D1619,ARTICULOS!$F$10:$F$699,0)</f>
        <v>#N/A</v>
      </c>
      <c r="C1619" s="86" t="e">
        <f>+VLOOKUP(B1619,ARTICULOS!$D$10:$I$699,6)</f>
        <v>#N/A</v>
      </c>
      <c r="D1619" s="212"/>
      <c r="E1619" s="75" t="e">
        <f t="shared" si="54"/>
        <v>#N/A</v>
      </c>
      <c r="F1619" s="80"/>
      <c r="G1619" s="81"/>
      <c r="H1619" s="78"/>
      <c r="I1619" s="78"/>
      <c r="J1619" s="78"/>
    </row>
    <row r="1620" spans="1:10" x14ac:dyDescent="0.2">
      <c r="A1620" s="84">
        <f t="shared" si="53"/>
        <v>1614</v>
      </c>
      <c r="B1620" s="85" t="e">
        <f>+MATCH(D1620,ARTICULOS!$F$10:$F$699,0)</f>
        <v>#N/A</v>
      </c>
      <c r="C1620" s="86" t="e">
        <f>+VLOOKUP(B1620,ARTICULOS!$D$10:$I$699,6)</f>
        <v>#N/A</v>
      </c>
      <c r="D1620" s="212"/>
      <c r="E1620" s="75" t="e">
        <f t="shared" si="54"/>
        <v>#N/A</v>
      </c>
      <c r="F1620" s="80"/>
      <c r="G1620" s="81"/>
      <c r="H1620" s="78"/>
      <c r="I1620" s="78"/>
      <c r="J1620" s="78"/>
    </row>
    <row r="1621" spans="1:10" x14ac:dyDescent="0.2">
      <c r="A1621" s="84">
        <f t="shared" si="53"/>
        <v>1615</v>
      </c>
      <c r="B1621" s="85" t="e">
        <f>+MATCH(D1621,ARTICULOS!$F$10:$F$699,0)</f>
        <v>#N/A</v>
      </c>
      <c r="C1621" s="86" t="e">
        <f>+VLOOKUP(B1621,ARTICULOS!$D$10:$I$699,6)</f>
        <v>#N/A</v>
      </c>
      <c r="D1621" s="212"/>
      <c r="E1621" s="75" t="e">
        <f t="shared" si="54"/>
        <v>#N/A</v>
      </c>
      <c r="F1621" s="80"/>
      <c r="G1621" s="81"/>
      <c r="H1621" s="78"/>
      <c r="I1621" s="78"/>
      <c r="J1621" s="78"/>
    </row>
    <row r="1622" spans="1:10" x14ac:dyDescent="0.2">
      <c r="A1622" s="84">
        <f t="shared" si="53"/>
        <v>1616</v>
      </c>
      <c r="B1622" s="85" t="e">
        <f>+MATCH(D1622,ARTICULOS!$F$10:$F$699,0)</f>
        <v>#N/A</v>
      </c>
      <c r="C1622" s="86" t="e">
        <f>+VLOOKUP(B1622,ARTICULOS!$D$10:$I$699,6)</f>
        <v>#N/A</v>
      </c>
      <c r="D1622" s="212"/>
      <c r="E1622" s="75" t="e">
        <f t="shared" si="54"/>
        <v>#N/A</v>
      </c>
      <c r="F1622" s="80"/>
      <c r="G1622" s="81"/>
      <c r="H1622" s="78"/>
      <c r="I1622" s="78"/>
      <c r="J1622" s="78"/>
    </row>
    <row r="1623" spans="1:10" x14ac:dyDescent="0.2">
      <c r="A1623" s="84">
        <f t="shared" si="53"/>
        <v>1617</v>
      </c>
      <c r="B1623" s="85" t="e">
        <f>+MATCH(D1623,ARTICULOS!$F$10:$F$699,0)</f>
        <v>#N/A</v>
      </c>
      <c r="C1623" s="86" t="e">
        <f>+VLOOKUP(B1623,ARTICULOS!$D$10:$I$699,6)</f>
        <v>#N/A</v>
      </c>
      <c r="D1623" s="212"/>
      <c r="E1623" s="75" t="e">
        <f t="shared" si="54"/>
        <v>#N/A</v>
      </c>
      <c r="F1623" s="80"/>
      <c r="G1623" s="81"/>
      <c r="H1623" s="78"/>
      <c r="I1623" s="78"/>
      <c r="J1623" s="78"/>
    </row>
    <row r="1624" spans="1:10" x14ac:dyDescent="0.2">
      <c r="A1624" s="84">
        <f t="shared" si="53"/>
        <v>1618</v>
      </c>
      <c r="B1624" s="85" t="e">
        <f>+MATCH(D1624,ARTICULOS!$F$10:$F$699,0)</f>
        <v>#N/A</v>
      </c>
      <c r="C1624" s="86" t="e">
        <f>+VLOOKUP(B1624,ARTICULOS!$D$10:$I$699,6)</f>
        <v>#N/A</v>
      </c>
      <c r="D1624" s="212"/>
      <c r="E1624" s="75" t="e">
        <f t="shared" si="54"/>
        <v>#N/A</v>
      </c>
      <c r="F1624" s="80"/>
      <c r="G1624" s="81"/>
      <c r="H1624" s="78"/>
      <c r="I1624" s="78"/>
      <c r="J1624" s="78"/>
    </row>
    <row r="1625" spans="1:10" x14ac:dyDescent="0.2">
      <c r="A1625" s="84">
        <f t="shared" si="53"/>
        <v>1619</v>
      </c>
      <c r="B1625" s="85" t="e">
        <f>+MATCH(D1625,ARTICULOS!$F$10:$F$699,0)</f>
        <v>#N/A</v>
      </c>
      <c r="C1625" s="86" t="e">
        <f>+VLOOKUP(B1625,ARTICULOS!$D$10:$I$699,6)</f>
        <v>#N/A</v>
      </c>
      <c r="D1625" s="212"/>
      <c r="E1625" s="75" t="e">
        <f t="shared" si="54"/>
        <v>#N/A</v>
      </c>
      <c r="F1625" s="80"/>
      <c r="G1625" s="81"/>
      <c r="H1625" s="78"/>
      <c r="I1625" s="78"/>
      <c r="J1625" s="78"/>
    </row>
    <row r="1626" spans="1:10" x14ac:dyDescent="0.2">
      <c r="A1626" s="84">
        <f t="shared" si="53"/>
        <v>1620</v>
      </c>
      <c r="B1626" s="85" t="e">
        <f>+MATCH(D1626,ARTICULOS!$F$10:$F$699,0)</f>
        <v>#N/A</v>
      </c>
      <c r="C1626" s="86" t="e">
        <f>+VLOOKUP(B1626,ARTICULOS!$D$10:$I$699,6)</f>
        <v>#N/A</v>
      </c>
      <c r="D1626" s="212"/>
      <c r="E1626" s="75" t="e">
        <f t="shared" si="54"/>
        <v>#N/A</v>
      </c>
      <c r="F1626" s="80"/>
      <c r="G1626" s="81"/>
      <c r="H1626" s="78"/>
      <c r="I1626" s="78"/>
      <c r="J1626" s="78"/>
    </row>
    <row r="1627" spans="1:10" x14ac:dyDescent="0.2">
      <c r="A1627" s="84">
        <f t="shared" si="53"/>
        <v>1621</v>
      </c>
      <c r="B1627" s="85" t="e">
        <f>+MATCH(D1627,ARTICULOS!$F$10:$F$699,0)</f>
        <v>#N/A</v>
      </c>
      <c r="C1627" s="86" t="e">
        <f>+VLOOKUP(B1627,ARTICULOS!$D$10:$I$699,6)</f>
        <v>#N/A</v>
      </c>
      <c r="D1627" s="212"/>
      <c r="E1627" s="75" t="e">
        <f t="shared" si="54"/>
        <v>#N/A</v>
      </c>
      <c r="F1627" s="80"/>
      <c r="G1627" s="81"/>
      <c r="H1627" s="78"/>
      <c r="I1627" s="78"/>
      <c r="J1627" s="78"/>
    </row>
    <row r="1628" spans="1:10" x14ac:dyDescent="0.2">
      <c r="A1628" s="84">
        <f t="shared" si="53"/>
        <v>1622</v>
      </c>
      <c r="B1628" s="85" t="e">
        <f>+MATCH(D1628,ARTICULOS!$F$10:$F$699,0)</f>
        <v>#N/A</v>
      </c>
      <c r="C1628" s="86" t="e">
        <f>+VLOOKUP(B1628,ARTICULOS!$D$10:$I$699,6)</f>
        <v>#N/A</v>
      </c>
      <c r="D1628" s="212"/>
      <c r="E1628" s="75" t="e">
        <f t="shared" si="54"/>
        <v>#N/A</v>
      </c>
      <c r="F1628" s="80"/>
      <c r="G1628" s="81"/>
      <c r="H1628" s="78"/>
      <c r="I1628" s="78"/>
      <c r="J1628" s="78"/>
    </row>
    <row r="1629" spans="1:10" x14ac:dyDescent="0.2">
      <c r="A1629" s="84">
        <f t="shared" si="53"/>
        <v>1623</v>
      </c>
      <c r="B1629" s="85" t="e">
        <f>+MATCH(D1629,ARTICULOS!$F$10:$F$699,0)</f>
        <v>#N/A</v>
      </c>
      <c r="C1629" s="86" t="e">
        <f>+VLOOKUP(B1629,ARTICULOS!$D$10:$I$699,6)</f>
        <v>#N/A</v>
      </c>
      <c r="D1629" s="212"/>
      <c r="E1629" s="75" t="e">
        <f t="shared" si="54"/>
        <v>#N/A</v>
      </c>
      <c r="F1629" s="80"/>
      <c r="G1629" s="81"/>
      <c r="H1629" s="78"/>
      <c r="I1629" s="78"/>
      <c r="J1629" s="78"/>
    </row>
    <row r="1630" spans="1:10" x14ac:dyDescent="0.2">
      <c r="A1630" s="84">
        <f t="shared" si="53"/>
        <v>1624</v>
      </c>
      <c r="B1630" s="85" t="e">
        <f>+MATCH(D1630,ARTICULOS!$F$10:$F$699,0)</f>
        <v>#N/A</v>
      </c>
      <c r="C1630" s="86" t="e">
        <f>+VLOOKUP(B1630,ARTICULOS!$D$10:$I$699,6)</f>
        <v>#N/A</v>
      </c>
      <c r="D1630" s="212"/>
      <c r="E1630" s="75" t="e">
        <f t="shared" si="54"/>
        <v>#N/A</v>
      </c>
      <c r="F1630" s="80"/>
      <c r="G1630" s="81"/>
      <c r="H1630" s="78"/>
      <c r="I1630" s="78"/>
      <c r="J1630" s="78"/>
    </row>
    <row r="1631" spans="1:10" x14ac:dyDescent="0.2">
      <c r="A1631" s="84">
        <f t="shared" si="53"/>
        <v>1625</v>
      </c>
      <c r="B1631" s="85" t="e">
        <f>+MATCH(D1631,ARTICULOS!$F$10:$F$699,0)</f>
        <v>#N/A</v>
      </c>
      <c r="C1631" s="86" t="e">
        <f>+VLOOKUP(B1631,ARTICULOS!$D$10:$I$699,6)</f>
        <v>#N/A</v>
      </c>
      <c r="D1631" s="212"/>
      <c r="E1631" s="75" t="e">
        <f t="shared" si="54"/>
        <v>#N/A</v>
      </c>
      <c r="F1631" s="80"/>
      <c r="G1631" s="81"/>
      <c r="H1631" s="78"/>
      <c r="I1631" s="78"/>
      <c r="J1631" s="78"/>
    </row>
    <row r="1632" spans="1:10" x14ac:dyDescent="0.2">
      <c r="A1632" s="84">
        <f t="shared" si="53"/>
        <v>1626</v>
      </c>
      <c r="B1632" s="85" t="e">
        <f>+MATCH(D1632,ARTICULOS!$F$10:$F$699,0)</f>
        <v>#N/A</v>
      </c>
      <c r="C1632" s="86" t="e">
        <f>+VLOOKUP(B1632,ARTICULOS!$D$10:$I$699,6)</f>
        <v>#N/A</v>
      </c>
      <c r="D1632" s="212"/>
      <c r="E1632" s="75" t="e">
        <f t="shared" si="54"/>
        <v>#N/A</v>
      </c>
      <c r="F1632" s="80"/>
      <c r="G1632" s="81"/>
      <c r="H1632" s="78"/>
      <c r="I1632" s="78"/>
      <c r="J1632" s="78"/>
    </row>
    <row r="1633" spans="1:10" x14ac:dyDescent="0.2">
      <c r="A1633" s="84">
        <f t="shared" si="53"/>
        <v>1627</v>
      </c>
      <c r="B1633" s="85" t="e">
        <f>+MATCH(D1633,ARTICULOS!$F$10:$F$699,0)</f>
        <v>#N/A</v>
      </c>
      <c r="C1633" s="86" t="e">
        <f>+VLOOKUP(B1633,ARTICULOS!$D$10:$I$699,6)</f>
        <v>#N/A</v>
      </c>
      <c r="D1633" s="212"/>
      <c r="E1633" s="75" t="e">
        <f t="shared" si="54"/>
        <v>#N/A</v>
      </c>
      <c r="F1633" s="80"/>
      <c r="G1633" s="81"/>
      <c r="H1633" s="78"/>
      <c r="I1633" s="78"/>
      <c r="J1633" s="78"/>
    </row>
    <row r="1634" spans="1:10" x14ac:dyDescent="0.2">
      <c r="A1634" s="84">
        <f t="shared" si="53"/>
        <v>1628</v>
      </c>
      <c r="B1634" s="85" t="e">
        <f>+MATCH(D1634,ARTICULOS!$F$10:$F$699,0)</f>
        <v>#N/A</v>
      </c>
      <c r="C1634" s="86" t="e">
        <f>+VLOOKUP(B1634,ARTICULOS!$D$10:$I$699,6)</f>
        <v>#N/A</v>
      </c>
      <c r="D1634" s="212"/>
      <c r="E1634" s="75" t="e">
        <f t="shared" si="54"/>
        <v>#N/A</v>
      </c>
      <c r="F1634" s="80"/>
      <c r="G1634" s="81"/>
      <c r="H1634" s="78"/>
      <c r="I1634" s="78"/>
      <c r="J1634" s="78"/>
    </row>
    <row r="1635" spans="1:10" x14ac:dyDescent="0.2">
      <c r="A1635" s="84">
        <f t="shared" si="53"/>
        <v>1629</v>
      </c>
      <c r="B1635" s="85" t="e">
        <f>+MATCH(D1635,ARTICULOS!$F$10:$F$699,0)</f>
        <v>#N/A</v>
      </c>
      <c r="C1635" s="86" t="e">
        <f>+VLOOKUP(B1635,ARTICULOS!$D$10:$I$699,6)</f>
        <v>#N/A</v>
      </c>
      <c r="D1635" s="212"/>
      <c r="E1635" s="75" t="e">
        <f t="shared" si="54"/>
        <v>#N/A</v>
      </c>
      <c r="F1635" s="80"/>
      <c r="G1635" s="81"/>
      <c r="H1635" s="78"/>
      <c r="I1635" s="78"/>
      <c r="J1635" s="78"/>
    </row>
    <row r="1636" spans="1:10" x14ac:dyDescent="0.2">
      <c r="A1636" s="84">
        <f t="shared" si="53"/>
        <v>1630</v>
      </c>
      <c r="B1636" s="85" t="e">
        <f>+MATCH(D1636,ARTICULOS!$F$10:$F$699,0)</f>
        <v>#N/A</v>
      </c>
      <c r="C1636" s="86" t="e">
        <f>+VLOOKUP(B1636,ARTICULOS!$D$10:$I$699,6)</f>
        <v>#N/A</v>
      </c>
      <c r="D1636" s="212"/>
      <c r="E1636" s="75" t="e">
        <f t="shared" si="54"/>
        <v>#N/A</v>
      </c>
      <c r="F1636" s="80"/>
      <c r="G1636" s="81"/>
      <c r="H1636" s="78"/>
      <c r="I1636" s="78"/>
      <c r="J1636" s="78"/>
    </row>
    <row r="1637" spans="1:10" x14ac:dyDescent="0.2">
      <c r="A1637" s="84">
        <f t="shared" si="53"/>
        <v>1631</v>
      </c>
      <c r="B1637" s="85" t="e">
        <f>+MATCH(D1637,ARTICULOS!$F$10:$F$699,0)</f>
        <v>#N/A</v>
      </c>
      <c r="C1637" s="86" t="e">
        <f>+VLOOKUP(B1637,ARTICULOS!$D$10:$I$699,6)</f>
        <v>#N/A</v>
      </c>
      <c r="D1637" s="212"/>
      <c r="E1637" s="75" t="e">
        <f t="shared" si="54"/>
        <v>#N/A</v>
      </c>
      <c r="F1637" s="80"/>
      <c r="G1637" s="81"/>
      <c r="H1637" s="78"/>
      <c r="I1637" s="78"/>
      <c r="J1637" s="78"/>
    </row>
    <row r="1638" spans="1:10" x14ac:dyDescent="0.2">
      <c r="A1638" s="84">
        <f t="shared" si="53"/>
        <v>1632</v>
      </c>
      <c r="B1638" s="85" t="e">
        <f>+MATCH(D1638,ARTICULOS!$F$10:$F$699,0)</f>
        <v>#N/A</v>
      </c>
      <c r="C1638" s="86" t="e">
        <f>+VLOOKUP(B1638,ARTICULOS!$D$10:$I$699,6)</f>
        <v>#N/A</v>
      </c>
      <c r="D1638" s="212"/>
      <c r="E1638" s="75" t="e">
        <f t="shared" si="54"/>
        <v>#N/A</v>
      </c>
      <c r="F1638" s="80"/>
      <c r="G1638" s="81"/>
      <c r="H1638" s="78"/>
      <c r="I1638" s="78"/>
      <c r="J1638" s="78"/>
    </row>
    <row r="1639" spans="1:10" x14ac:dyDescent="0.2">
      <c r="A1639" s="84">
        <f t="shared" si="53"/>
        <v>1633</v>
      </c>
      <c r="B1639" s="85" t="e">
        <f>+MATCH(D1639,ARTICULOS!$F$10:$F$699,0)</f>
        <v>#N/A</v>
      </c>
      <c r="C1639" s="86" t="e">
        <f>+VLOOKUP(B1639,ARTICULOS!$D$10:$I$699,6)</f>
        <v>#N/A</v>
      </c>
      <c r="D1639" s="212"/>
      <c r="E1639" s="75" t="e">
        <f t="shared" si="54"/>
        <v>#N/A</v>
      </c>
      <c r="F1639" s="80"/>
      <c r="G1639" s="81"/>
      <c r="H1639" s="78"/>
      <c r="I1639" s="78"/>
      <c r="J1639" s="78"/>
    </row>
    <row r="1640" spans="1:10" x14ac:dyDescent="0.2">
      <c r="A1640" s="84">
        <f t="shared" si="53"/>
        <v>1634</v>
      </c>
      <c r="B1640" s="85" t="e">
        <f>+MATCH(D1640,ARTICULOS!$F$10:$F$699,0)</f>
        <v>#N/A</v>
      </c>
      <c r="C1640" s="86" t="e">
        <f>+VLOOKUP(B1640,ARTICULOS!$D$10:$I$699,6)</f>
        <v>#N/A</v>
      </c>
      <c r="D1640" s="212"/>
      <c r="E1640" s="75" t="e">
        <f t="shared" si="54"/>
        <v>#N/A</v>
      </c>
      <c r="F1640" s="80"/>
      <c r="G1640" s="81"/>
      <c r="H1640" s="78"/>
      <c r="I1640" s="78"/>
      <c r="J1640" s="78"/>
    </row>
    <row r="1641" spans="1:10" x14ac:dyDescent="0.2">
      <c r="A1641" s="84">
        <f t="shared" ref="A1641:A1704" si="55">ROW()-6</f>
        <v>1635</v>
      </c>
      <c r="B1641" s="85" t="e">
        <f>+MATCH(D1641,ARTICULOS!$F$10:$F$699,0)</f>
        <v>#N/A</v>
      </c>
      <c r="C1641" s="86" t="e">
        <f>+VLOOKUP(B1641,ARTICULOS!$D$10:$I$699,6)</f>
        <v>#N/A</v>
      </c>
      <c r="D1641" s="212"/>
      <c r="E1641" s="75" t="e">
        <f t="shared" si="54"/>
        <v>#N/A</v>
      </c>
      <c r="F1641" s="80"/>
      <c r="G1641" s="81"/>
      <c r="H1641" s="78"/>
      <c r="I1641" s="78"/>
      <c r="J1641" s="78"/>
    </row>
    <row r="1642" spans="1:10" x14ac:dyDescent="0.2">
      <c r="A1642" s="84">
        <f t="shared" si="55"/>
        <v>1636</v>
      </c>
      <c r="B1642" s="85" t="e">
        <f>+MATCH(D1642,ARTICULOS!$F$10:$F$699,0)</f>
        <v>#N/A</v>
      </c>
      <c r="C1642" s="86" t="e">
        <f>+VLOOKUP(B1642,ARTICULOS!$D$10:$I$699,6)</f>
        <v>#N/A</v>
      </c>
      <c r="D1642" s="212"/>
      <c r="E1642" s="75" t="e">
        <f t="shared" si="54"/>
        <v>#N/A</v>
      </c>
      <c r="F1642" s="80"/>
      <c r="G1642" s="81"/>
      <c r="H1642" s="78"/>
      <c r="I1642" s="78"/>
      <c r="J1642" s="78"/>
    </row>
    <row r="1643" spans="1:10" x14ac:dyDescent="0.2">
      <c r="A1643" s="84">
        <f t="shared" si="55"/>
        <v>1637</v>
      </c>
      <c r="B1643" s="85" t="e">
        <f>+MATCH(D1643,ARTICULOS!$F$10:$F$699,0)</f>
        <v>#N/A</v>
      </c>
      <c r="C1643" s="86" t="e">
        <f>+VLOOKUP(B1643,ARTICULOS!$D$10:$I$699,6)</f>
        <v>#N/A</v>
      </c>
      <c r="D1643" s="212"/>
      <c r="E1643" s="75" t="e">
        <f t="shared" si="54"/>
        <v>#N/A</v>
      </c>
      <c r="F1643" s="80"/>
      <c r="G1643" s="81"/>
      <c r="H1643" s="78"/>
      <c r="I1643" s="78"/>
      <c r="J1643" s="78"/>
    </row>
    <row r="1644" spans="1:10" x14ac:dyDescent="0.2">
      <c r="A1644" s="84">
        <f t="shared" si="55"/>
        <v>1638</v>
      </c>
      <c r="B1644" s="85" t="e">
        <f>+MATCH(D1644,ARTICULOS!$F$10:$F$699,0)</f>
        <v>#N/A</v>
      </c>
      <c r="C1644" s="86" t="e">
        <f>+VLOOKUP(B1644,ARTICULOS!$D$10:$I$699,6)</f>
        <v>#N/A</v>
      </c>
      <c r="D1644" s="212"/>
      <c r="E1644" s="75" t="e">
        <f t="shared" si="54"/>
        <v>#N/A</v>
      </c>
      <c r="F1644" s="80"/>
      <c r="G1644" s="81"/>
      <c r="H1644" s="78"/>
      <c r="I1644" s="78"/>
      <c r="J1644" s="78"/>
    </row>
    <row r="1645" spans="1:10" x14ac:dyDescent="0.2">
      <c r="A1645" s="84">
        <f t="shared" si="55"/>
        <v>1639</v>
      </c>
      <c r="B1645" s="85" t="e">
        <f>+MATCH(D1645,ARTICULOS!$F$10:$F$699,0)</f>
        <v>#N/A</v>
      </c>
      <c r="C1645" s="86" t="e">
        <f>+VLOOKUP(B1645,ARTICULOS!$D$10:$I$699,6)</f>
        <v>#N/A</v>
      </c>
      <c r="D1645" s="212"/>
      <c r="E1645" s="75" t="e">
        <f t="shared" si="54"/>
        <v>#N/A</v>
      </c>
      <c r="F1645" s="80"/>
      <c r="G1645" s="81"/>
      <c r="H1645" s="78"/>
      <c r="I1645" s="78"/>
      <c r="J1645" s="78"/>
    </row>
    <row r="1646" spans="1:10" x14ac:dyDescent="0.2">
      <c r="A1646" s="84">
        <f t="shared" si="55"/>
        <v>1640</v>
      </c>
      <c r="B1646" s="85" t="e">
        <f>+MATCH(D1646,ARTICULOS!$F$10:$F$699,0)</f>
        <v>#N/A</v>
      </c>
      <c r="C1646" s="86" t="e">
        <f>+VLOOKUP(B1646,ARTICULOS!$D$10:$I$699,6)</f>
        <v>#N/A</v>
      </c>
      <c r="D1646" s="212"/>
      <c r="E1646" s="75" t="e">
        <f t="shared" si="54"/>
        <v>#N/A</v>
      </c>
      <c r="F1646" s="80"/>
      <c r="G1646" s="81"/>
      <c r="H1646" s="78"/>
      <c r="I1646" s="78"/>
      <c r="J1646" s="78"/>
    </row>
    <row r="1647" spans="1:10" x14ac:dyDescent="0.2">
      <c r="A1647" s="84">
        <f t="shared" si="55"/>
        <v>1641</v>
      </c>
      <c r="B1647" s="85" t="e">
        <f>+MATCH(D1647,ARTICULOS!$F$10:$F$699,0)</f>
        <v>#N/A</v>
      </c>
      <c r="C1647" s="86" t="e">
        <f>+VLOOKUP(B1647,ARTICULOS!$D$10:$I$699,6)</f>
        <v>#N/A</v>
      </c>
      <c r="D1647" s="212"/>
      <c r="E1647" s="75" t="e">
        <f t="shared" si="54"/>
        <v>#N/A</v>
      </c>
      <c r="F1647" s="80"/>
      <c r="G1647" s="81"/>
      <c r="H1647" s="78"/>
      <c r="I1647" s="78"/>
      <c r="J1647" s="78"/>
    </row>
    <row r="1648" spans="1:10" x14ac:dyDescent="0.2">
      <c r="A1648" s="84">
        <f t="shared" si="55"/>
        <v>1642</v>
      </c>
      <c r="B1648" s="85" t="e">
        <f>+MATCH(D1648,ARTICULOS!$F$10:$F$699,0)</f>
        <v>#N/A</v>
      </c>
      <c r="C1648" s="86" t="e">
        <f>+VLOOKUP(B1648,ARTICULOS!$D$10:$I$699,6)</f>
        <v>#N/A</v>
      </c>
      <c r="D1648" s="212"/>
      <c r="E1648" s="75" t="e">
        <f t="shared" si="54"/>
        <v>#N/A</v>
      </c>
      <c r="F1648" s="80"/>
      <c r="G1648" s="81"/>
      <c r="H1648" s="78"/>
      <c r="I1648" s="78"/>
      <c r="J1648" s="78"/>
    </row>
    <row r="1649" spans="1:10" x14ac:dyDescent="0.2">
      <c r="A1649" s="84">
        <f t="shared" si="55"/>
        <v>1643</v>
      </c>
      <c r="B1649" s="85" t="e">
        <f>+MATCH(D1649,ARTICULOS!$F$10:$F$699,0)</f>
        <v>#N/A</v>
      </c>
      <c r="C1649" s="86" t="e">
        <f>+VLOOKUP(B1649,ARTICULOS!$D$10:$I$699,6)</f>
        <v>#N/A</v>
      </c>
      <c r="D1649" s="212"/>
      <c r="E1649" s="75" t="e">
        <f t="shared" si="54"/>
        <v>#N/A</v>
      </c>
      <c r="F1649" s="80"/>
      <c r="G1649" s="81"/>
      <c r="H1649" s="78"/>
      <c r="I1649" s="78"/>
      <c r="J1649" s="78"/>
    </row>
    <row r="1650" spans="1:10" x14ac:dyDescent="0.2">
      <c r="A1650" s="84">
        <f t="shared" si="55"/>
        <v>1644</v>
      </c>
      <c r="B1650" s="85" t="e">
        <f>+MATCH(D1650,ARTICULOS!$F$10:$F$699,0)</f>
        <v>#N/A</v>
      </c>
      <c r="C1650" s="86" t="e">
        <f>+VLOOKUP(B1650,ARTICULOS!$D$10:$I$699,6)</f>
        <v>#N/A</v>
      </c>
      <c r="D1650" s="212"/>
      <c r="E1650" s="75" t="e">
        <f t="shared" si="54"/>
        <v>#N/A</v>
      </c>
      <c r="F1650" s="80"/>
      <c r="G1650" s="81"/>
      <c r="H1650" s="78"/>
      <c r="I1650" s="78"/>
      <c r="J1650" s="78"/>
    </row>
    <row r="1651" spans="1:10" x14ac:dyDescent="0.2">
      <c r="A1651" s="84">
        <f t="shared" si="55"/>
        <v>1645</v>
      </c>
      <c r="B1651" s="85" t="e">
        <f>+MATCH(D1651,ARTICULOS!$F$10:$F$699,0)</f>
        <v>#N/A</v>
      </c>
      <c r="C1651" s="86" t="e">
        <f>+VLOOKUP(B1651,ARTICULOS!$D$10:$I$699,6)</f>
        <v>#N/A</v>
      </c>
      <c r="D1651" s="212"/>
      <c r="E1651" s="75" t="e">
        <f t="shared" si="54"/>
        <v>#N/A</v>
      </c>
      <c r="F1651" s="80"/>
      <c r="G1651" s="81"/>
      <c r="H1651" s="78"/>
      <c r="I1651" s="78"/>
      <c r="J1651" s="78"/>
    </row>
    <row r="1652" spans="1:10" x14ac:dyDescent="0.2">
      <c r="A1652" s="84">
        <f t="shared" si="55"/>
        <v>1646</v>
      </c>
      <c r="B1652" s="85" t="e">
        <f>+MATCH(D1652,ARTICULOS!$F$10:$F$699,0)</f>
        <v>#N/A</v>
      </c>
      <c r="C1652" s="86" t="e">
        <f>+VLOOKUP(B1652,ARTICULOS!$D$10:$I$699,6)</f>
        <v>#N/A</v>
      </c>
      <c r="D1652" s="212"/>
      <c r="E1652" s="75" t="e">
        <f t="shared" si="54"/>
        <v>#N/A</v>
      </c>
      <c r="F1652" s="80"/>
      <c r="G1652" s="81"/>
      <c r="H1652" s="78"/>
      <c r="I1652" s="78"/>
      <c r="J1652" s="78"/>
    </row>
    <row r="1653" spans="1:10" x14ac:dyDescent="0.2">
      <c r="A1653" s="84">
        <f t="shared" si="55"/>
        <v>1647</v>
      </c>
      <c r="B1653" s="85" t="e">
        <f>+MATCH(D1653,ARTICULOS!$F$10:$F$699,0)</f>
        <v>#N/A</v>
      </c>
      <c r="C1653" s="86" t="e">
        <f>+VLOOKUP(B1653,ARTICULOS!$D$10:$I$699,6)</f>
        <v>#N/A</v>
      </c>
      <c r="D1653" s="212"/>
      <c r="E1653" s="75" t="e">
        <f t="shared" si="54"/>
        <v>#N/A</v>
      </c>
      <c r="F1653" s="80"/>
      <c r="G1653" s="81"/>
      <c r="H1653" s="78"/>
      <c r="I1653" s="78"/>
      <c r="J1653" s="78"/>
    </row>
    <row r="1654" spans="1:10" x14ac:dyDescent="0.2">
      <c r="A1654" s="84">
        <f t="shared" si="55"/>
        <v>1648</v>
      </c>
      <c r="B1654" s="85" t="e">
        <f>+MATCH(D1654,ARTICULOS!$F$10:$F$699,0)</f>
        <v>#N/A</v>
      </c>
      <c r="C1654" s="86" t="e">
        <f>+VLOOKUP(B1654,ARTICULOS!$D$10:$I$699,6)</f>
        <v>#N/A</v>
      </c>
      <c r="D1654" s="212"/>
      <c r="E1654" s="75" t="e">
        <f t="shared" si="54"/>
        <v>#N/A</v>
      </c>
      <c r="F1654" s="80"/>
      <c r="G1654" s="81"/>
      <c r="H1654" s="78"/>
      <c r="I1654" s="78"/>
      <c r="J1654" s="78"/>
    </row>
    <row r="1655" spans="1:10" x14ac:dyDescent="0.2">
      <c r="A1655" s="84">
        <f t="shared" si="55"/>
        <v>1649</v>
      </c>
      <c r="B1655" s="85" t="e">
        <f>+MATCH(D1655,ARTICULOS!$F$10:$F$699,0)</f>
        <v>#N/A</v>
      </c>
      <c r="C1655" s="86" t="e">
        <f>+VLOOKUP(B1655,ARTICULOS!$D$10:$I$699,6)</f>
        <v>#N/A</v>
      </c>
      <c r="D1655" s="212"/>
      <c r="E1655" s="75" t="e">
        <f t="shared" si="54"/>
        <v>#N/A</v>
      </c>
      <c r="F1655" s="80"/>
      <c r="G1655" s="81"/>
      <c r="H1655" s="78"/>
      <c r="I1655" s="78"/>
      <c r="J1655" s="78"/>
    </row>
    <row r="1656" spans="1:10" x14ac:dyDescent="0.2">
      <c r="A1656" s="84">
        <f t="shared" si="55"/>
        <v>1650</v>
      </c>
      <c r="B1656" s="85" t="e">
        <f>+MATCH(D1656,ARTICULOS!$F$10:$F$699,0)</f>
        <v>#N/A</v>
      </c>
      <c r="C1656" s="86" t="e">
        <f>+VLOOKUP(B1656,ARTICULOS!$D$10:$I$699,6)</f>
        <v>#N/A</v>
      </c>
      <c r="D1656" s="212"/>
      <c r="E1656" s="75" t="e">
        <f t="shared" si="54"/>
        <v>#N/A</v>
      </c>
      <c r="F1656" s="80"/>
      <c r="G1656" s="81"/>
      <c r="H1656" s="78"/>
      <c r="I1656" s="78"/>
      <c r="J1656" s="78"/>
    </row>
    <row r="1657" spans="1:10" x14ac:dyDescent="0.2">
      <c r="A1657" s="84">
        <f t="shared" si="55"/>
        <v>1651</v>
      </c>
      <c r="B1657" s="85" t="e">
        <f>+MATCH(D1657,ARTICULOS!$F$10:$F$699,0)</f>
        <v>#N/A</v>
      </c>
      <c r="C1657" s="86" t="e">
        <f>+VLOOKUP(B1657,ARTICULOS!$D$10:$I$699,6)</f>
        <v>#N/A</v>
      </c>
      <c r="D1657" s="212"/>
      <c r="E1657" s="75" t="e">
        <f t="shared" si="54"/>
        <v>#N/A</v>
      </c>
      <c r="F1657" s="80"/>
      <c r="G1657" s="81"/>
      <c r="H1657" s="78"/>
      <c r="I1657" s="78"/>
      <c r="J1657" s="78"/>
    </row>
    <row r="1658" spans="1:10" x14ac:dyDescent="0.2">
      <c r="A1658" s="84">
        <f t="shared" si="55"/>
        <v>1652</v>
      </c>
      <c r="B1658" s="85" t="e">
        <f>+MATCH(D1658,ARTICULOS!$F$10:$F$699,0)</f>
        <v>#N/A</v>
      </c>
      <c r="C1658" s="86" t="e">
        <f>+VLOOKUP(B1658,ARTICULOS!$D$10:$I$699,6)</f>
        <v>#N/A</v>
      </c>
      <c r="D1658" s="212"/>
      <c r="E1658" s="75" t="e">
        <f t="shared" si="54"/>
        <v>#N/A</v>
      </c>
      <c r="F1658" s="80"/>
      <c r="G1658" s="81"/>
      <c r="H1658" s="78"/>
      <c r="I1658" s="78"/>
      <c r="J1658" s="78"/>
    </row>
    <row r="1659" spans="1:10" x14ac:dyDescent="0.2">
      <c r="A1659" s="84">
        <f t="shared" si="55"/>
        <v>1653</v>
      </c>
      <c r="B1659" s="85" t="e">
        <f>+MATCH(D1659,ARTICULOS!$F$10:$F$699,0)</f>
        <v>#N/A</v>
      </c>
      <c r="C1659" s="86" t="e">
        <f>+VLOOKUP(B1659,ARTICULOS!$D$10:$I$699,6)</f>
        <v>#N/A</v>
      </c>
      <c r="D1659" s="212"/>
      <c r="E1659" s="75" t="e">
        <f t="shared" si="54"/>
        <v>#N/A</v>
      </c>
      <c r="F1659" s="80"/>
      <c r="G1659" s="81"/>
      <c r="H1659" s="78"/>
      <c r="I1659" s="78"/>
      <c r="J1659" s="78"/>
    </row>
    <row r="1660" spans="1:10" x14ac:dyDescent="0.2">
      <c r="A1660" s="84">
        <f t="shared" si="55"/>
        <v>1654</v>
      </c>
      <c r="B1660" s="85" t="e">
        <f>+MATCH(D1660,ARTICULOS!$F$10:$F$699,0)</f>
        <v>#N/A</v>
      </c>
      <c r="C1660" s="86" t="e">
        <f>+VLOOKUP(B1660,ARTICULOS!$D$10:$I$699,6)</f>
        <v>#N/A</v>
      </c>
      <c r="D1660" s="212"/>
      <c r="E1660" s="75" t="e">
        <f t="shared" si="54"/>
        <v>#N/A</v>
      </c>
      <c r="F1660" s="80"/>
      <c r="G1660" s="81"/>
      <c r="H1660" s="78"/>
      <c r="I1660" s="78"/>
      <c r="J1660" s="78"/>
    </row>
    <row r="1661" spans="1:10" x14ac:dyDescent="0.2">
      <c r="A1661" s="84">
        <f t="shared" si="55"/>
        <v>1655</v>
      </c>
      <c r="B1661" s="85" t="e">
        <f>+MATCH(D1661,ARTICULOS!$F$10:$F$699,0)</f>
        <v>#N/A</v>
      </c>
      <c r="C1661" s="86" t="e">
        <f>+VLOOKUP(B1661,ARTICULOS!$D$10:$I$699,6)</f>
        <v>#N/A</v>
      </c>
      <c r="D1661" s="212"/>
      <c r="E1661" s="75" t="e">
        <f t="shared" si="54"/>
        <v>#N/A</v>
      </c>
      <c r="F1661" s="80"/>
      <c r="G1661" s="81"/>
      <c r="H1661" s="78"/>
      <c r="I1661" s="78"/>
      <c r="J1661" s="78"/>
    </row>
    <row r="1662" spans="1:10" x14ac:dyDescent="0.2">
      <c r="A1662" s="84">
        <f t="shared" si="55"/>
        <v>1656</v>
      </c>
      <c r="B1662" s="85" t="e">
        <f>+MATCH(D1662,ARTICULOS!$F$10:$F$699,0)</f>
        <v>#N/A</v>
      </c>
      <c r="C1662" s="86" t="e">
        <f>+VLOOKUP(B1662,ARTICULOS!$D$10:$I$699,6)</f>
        <v>#N/A</v>
      </c>
      <c r="D1662" s="212"/>
      <c r="E1662" s="75" t="e">
        <f t="shared" si="54"/>
        <v>#N/A</v>
      </c>
      <c r="F1662" s="80"/>
      <c r="G1662" s="81"/>
      <c r="H1662" s="78"/>
      <c r="I1662" s="78"/>
      <c r="J1662" s="78"/>
    </row>
    <row r="1663" spans="1:10" x14ac:dyDescent="0.2">
      <c r="A1663" s="84">
        <f t="shared" si="55"/>
        <v>1657</v>
      </c>
      <c r="B1663" s="85" t="e">
        <f>+MATCH(D1663,ARTICULOS!$F$10:$F$699,0)</f>
        <v>#N/A</v>
      </c>
      <c r="C1663" s="86" t="e">
        <f>+VLOOKUP(B1663,ARTICULOS!$D$10:$I$699,6)</f>
        <v>#N/A</v>
      </c>
      <c r="D1663" s="212"/>
      <c r="E1663" s="75" t="e">
        <f t="shared" si="54"/>
        <v>#N/A</v>
      </c>
      <c r="F1663" s="80"/>
      <c r="G1663" s="81"/>
      <c r="H1663" s="78"/>
      <c r="I1663" s="78"/>
      <c r="J1663" s="78"/>
    </row>
    <row r="1664" spans="1:10" x14ac:dyDescent="0.2">
      <c r="A1664" s="84">
        <f t="shared" si="55"/>
        <v>1658</v>
      </c>
      <c r="B1664" s="85" t="e">
        <f>+MATCH(D1664,ARTICULOS!$F$10:$F$699,0)</f>
        <v>#N/A</v>
      </c>
      <c r="C1664" s="86" t="e">
        <f>+VLOOKUP(B1664,ARTICULOS!$D$10:$I$699,6)</f>
        <v>#N/A</v>
      </c>
      <c r="D1664" s="212"/>
      <c r="E1664" s="75" t="e">
        <f t="shared" si="54"/>
        <v>#N/A</v>
      </c>
      <c r="F1664" s="80"/>
      <c r="G1664" s="81"/>
      <c r="H1664" s="78"/>
      <c r="I1664" s="78"/>
      <c r="J1664" s="78"/>
    </row>
    <row r="1665" spans="1:10" x14ac:dyDescent="0.2">
      <c r="A1665" s="84">
        <f t="shared" si="55"/>
        <v>1659</v>
      </c>
      <c r="B1665" s="85" t="e">
        <f>+MATCH(D1665,ARTICULOS!$F$10:$F$699,0)</f>
        <v>#N/A</v>
      </c>
      <c r="C1665" s="86" t="e">
        <f>+VLOOKUP(B1665,ARTICULOS!$D$10:$I$699,6)</f>
        <v>#N/A</v>
      </c>
      <c r="D1665" s="212"/>
      <c r="E1665" s="75" t="e">
        <f t="shared" si="54"/>
        <v>#N/A</v>
      </c>
      <c r="F1665" s="80"/>
      <c r="G1665" s="81"/>
      <c r="H1665" s="78"/>
      <c r="I1665" s="78"/>
      <c r="J1665" s="78"/>
    </row>
    <row r="1666" spans="1:10" x14ac:dyDescent="0.2">
      <c r="A1666" s="84">
        <f t="shared" si="55"/>
        <v>1660</v>
      </c>
      <c r="B1666" s="85" t="e">
        <f>+MATCH(D1666,ARTICULOS!$F$10:$F$699,0)</f>
        <v>#N/A</v>
      </c>
      <c r="C1666" s="86" t="e">
        <f>+VLOOKUP(B1666,ARTICULOS!$D$10:$I$699,6)</f>
        <v>#N/A</v>
      </c>
      <c r="D1666" s="212"/>
      <c r="E1666" s="75" t="e">
        <f t="shared" si="54"/>
        <v>#N/A</v>
      </c>
      <c r="F1666" s="80"/>
      <c r="G1666" s="81"/>
      <c r="H1666" s="78"/>
      <c r="I1666" s="78"/>
      <c r="J1666" s="78"/>
    </row>
    <row r="1667" spans="1:10" x14ac:dyDescent="0.2">
      <c r="A1667" s="84">
        <f t="shared" si="55"/>
        <v>1661</v>
      </c>
      <c r="B1667" s="85" t="e">
        <f>+MATCH(D1667,ARTICULOS!$F$10:$F$699,0)</f>
        <v>#N/A</v>
      </c>
      <c r="C1667" s="86" t="e">
        <f>+VLOOKUP(B1667,ARTICULOS!$D$10:$I$699,6)</f>
        <v>#N/A</v>
      </c>
      <c r="D1667" s="212"/>
      <c r="E1667" s="75" t="e">
        <f t="shared" si="54"/>
        <v>#N/A</v>
      </c>
      <c r="F1667" s="80"/>
      <c r="G1667" s="81"/>
      <c r="H1667" s="78"/>
      <c r="I1667" s="78"/>
      <c r="J1667" s="78"/>
    </row>
    <row r="1668" spans="1:10" x14ac:dyDescent="0.2">
      <c r="A1668" s="84">
        <f t="shared" si="55"/>
        <v>1662</v>
      </c>
      <c r="B1668" s="85" t="e">
        <f>+MATCH(D1668,ARTICULOS!$F$10:$F$699,0)</f>
        <v>#N/A</v>
      </c>
      <c r="C1668" s="86" t="e">
        <f>+VLOOKUP(B1668,ARTICULOS!$D$10:$I$699,6)</f>
        <v>#N/A</v>
      </c>
      <c r="D1668" s="212"/>
      <c r="E1668" s="75" t="e">
        <f t="shared" si="54"/>
        <v>#N/A</v>
      </c>
      <c r="F1668" s="80"/>
      <c r="G1668" s="81"/>
      <c r="H1668" s="78"/>
      <c r="I1668" s="78"/>
      <c r="J1668" s="78"/>
    </row>
    <row r="1669" spans="1:10" x14ac:dyDescent="0.2">
      <c r="A1669" s="84">
        <f t="shared" si="55"/>
        <v>1663</v>
      </c>
      <c r="B1669" s="85" t="e">
        <f>+MATCH(D1669,ARTICULOS!$F$10:$F$699,0)</f>
        <v>#N/A</v>
      </c>
      <c r="C1669" s="86" t="e">
        <f>+VLOOKUP(B1669,ARTICULOS!$D$10:$I$699,6)</f>
        <v>#N/A</v>
      </c>
      <c r="D1669" s="212"/>
      <c r="E1669" s="75" t="e">
        <f t="shared" si="54"/>
        <v>#N/A</v>
      </c>
      <c r="F1669" s="80"/>
      <c r="G1669" s="81"/>
      <c r="H1669" s="78"/>
      <c r="I1669" s="78"/>
      <c r="J1669" s="78"/>
    </row>
    <row r="1670" spans="1:10" x14ac:dyDescent="0.2">
      <c r="A1670" s="84">
        <f t="shared" si="55"/>
        <v>1664</v>
      </c>
      <c r="B1670" s="85" t="e">
        <f>+MATCH(D1670,ARTICULOS!$F$10:$F$699,0)</f>
        <v>#N/A</v>
      </c>
      <c r="C1670" s="86" t="e">
        <f>+VLOOKUP(B1670,ARTICULOS!$D$10:$I$699,6)</f>
        <v>#N/A</v>
      </c>
      <c r="D1670" s="212"/>
      <c r="E1670" s="75" t="e">
        <f t="shared" si="54"/>
        <v>#N/A</v>
      </c>
      <c r="F1670" s="80"/>
      <c r="G1670" s="81"/>
      <c r="H1670" s="78"/>
      <c r="I1670" s="78"/>
      <c r="J1670" s="78"/>
    </row>
    <row r="1671" spans="1:10" x14ac:dyDescent="0.2">
      <c r="A1671" s="84">
        <f t="shared" si="55"/>
        <v>1665</v>
      </c>
      <c r="B1671" s="85" t="e">
        <f>+MATCH(D1671,ARTICULOS!$F$10:$F$699,0)</f>
        <v>#N/A</v>
      </c>
      <c r="C1671" s="86" t="e">
        <f>+VLOOKUP(B1671,ARTICULOS!$D$10:$I$699,6)</f>
        <v>#N/A</v>
      </c>
      <c r="D1671" s="212"/>
      <c r="E1671" s="75" t="e">
        <f t="shared" si="54"/>
        <v>#N/A</v>
      </c>
      <c r="F1671" s="80"/>
      <c r="G1671" s="81"/>
      <c r="H1671" s="78"/>
      <c r="I1671" s="78"/>
      <c r="J1671" s="78"/>
    </row>
    <row r="1672" spans="1:10" x14ac:dyDescent="0.2">
      <c r="A1672" s="84">
        <f t="shared" si="55"/>
        <v>1666</v>
      </c>
      <c r="B1672" s="85" t="e">
        <f>+MATCH(D1672,ARTICULOS!$F$10:$F$699,0)</f>
        <v>#N/A</v>
      </c>
      <c r="C1672" s="86" t="e">
        <f>+VLOOKUP(B1672,ARTICULOS!$D$10:$I$699,6)</f>
        <v>#N/A</v>
      </c>
      <c r="D1672" s="212"/>
      <c r="E1672" s="75" t="e">
        <f t="shared" si="54"/>
        <v>#N/A</v>
      </c>
      <c r="F1672" s="80"/>
      <c r="G1672" s="81"/>
      <c r="H1672" s="78"/>
      <c r="I1672" s="78"/>
      <c r="J1672" s="78"/>
    </row>
    <row r="1673" spans="1:10" x14ac:dyDescent="0.2">
      <c r="A1673" s="84">
        <f t="shared" si="55"/>
        <v>1667</v>
      </c>
      <c r="B1673" s="85" t="e">
        <f>+MATCH(D1673,ARTICULOS!$F$10:$F$699,0)</f>
        <v>#N/A</v>
      </c>
      <c r="C1673" s="86" t="e">
        <f>+VLOOKUP(B1673,ARTICULOS!$D$10:$I$699,6)</f>
        <v>#N/A</v>
      </c>
      <c r="D1673" s="212"/>
      <c r="E1673" s="75" t="e">
        <f t="shared" si="54"/>
        <v>#N/A</v>
      </c>
      <c r="F1673" s="80"/>
      <c r="G1673" s="81"/>
      <c r="H1673" s="78"/>
      <c r="I1673" s="78"/>
      <c r="J1673" s="78"/>
    </row>
    <row r="1674" spans="1:10" x14ac:dyDescent="0.2">
      <c r="A1674" s="84">
        <f t="shared" si="55"/>
        <v>1668</v>
      </c>
      <c r="B1674" s="85" t="e">
        <f>+MATCH(D1674,ARTICULOS!$F$10:$F$699,0)</f>
        <v>#N/A</v>
      </c>
      <c r="C1674" s="86" t="e">
        <f>+VLOOKUP(B1674,ARTICULOS!$D$10:$I$699,6)</f>
        <v>#N/A</v>
      </c>
      <c r="D1674" s="212"/>
      <c r="E1674" s="75" t="e">
        <f t="shared" si="54"/>
        <v>#N/A</v>
      </c>
      <c r="F1674" s="80"/>
      <c r="G1674" s="81"/>
      <c r="H1674" s="78"/>
      <c r="I1674" s="78"/>
      <c r="J1674" s="78"/>
    </row>
    <row r="1675" spans="1:10" x14ac:dyDescent="0.2">
      <c r="A1675" s="84">
        <f t="shared" si="55"/>
        <v>1669</v>
      </c>
      <c r="B1675" s="85" t="e">
        <f>+MATCH(D1675,ARTICULOS!$F$10:$F$699,0)</f>
        <v>#N/A</v>
      </c>
      <c r="C1675" s="86" t="e">
        <f>+VLOOKUP(B1675,ARTICULOS!$D$10:$I$699,6)</f>
        <v>#N/A</v>
      </c>
      <c r="D1675" s="212"/>
      <c r="E1675" s="75" t="e">
        <f t="shared" ref="E1675:E1738" si="56">+C1675&amp;F1675</f>
        <v>#N/A</v>
      </c>
      <c r="F1675" s="80"/>
      <c r="G1675" s="81"/>
      <c r="H1675" s="78"/>
      <c r="I1675" s="78"/>
      <c r="J1675" s="78"/>
    </row>
    <row r="1676" spans="1:10" x14ac:dyDescent="0.2">
      <c r="A1676" s="84">
        <f t="shared" si="55"/>
        <v>1670</v>
      </c>
      <c r="B1676" s="85" t="e">
        <f>+MATCH(D1676,ARTICULOS!$F$10:$F$699,0)</f>
        <v>#N/A</v>
      </c>
      <c r="C1676" s="86" t="e">
        <f>+VLOOKUP(B1676,ARTICULOS!$D$10:$I$699,6)</f>
        <v>#N/A</v>
      </c>
      <c r="D1676" s="212"/>
      <c r="E1676" s="75" t="e">
        <f t="shared" si="56"/>
        <v>#N/A</v>
      </c>
      <c r="F1676" s="80"/>
      <c r="G1676" s="81"/>
      <c r="H1676" s="78"/>
      <c r="I1676" s="78"/>
      <c r="J1676" s="78"/>
    </row>
    <row r="1677" spans="1:10" x14ac:dyDescent="0.2">
      <c r="A1677" s="84">
        <f t="shared" si="55"/>
        <v>1671</v>
      </c>
      <c r="B1677" s="85" t="e">
        <f>+MATCH(D1677,ARTICULOS!$F$10:$F$699,0)</f>
        <v>#N/A</v>
      </c>
      <c r="C1677" s="86" t="e">
        <f>+VLOOKUP(B1677,ARTICULOS!$D$10:$I$699,6)</f>
        <v>#N/A</v>
      </c>
      <c r="D1677" s="212"/>
      <c r="E1677" s="75" t="e">
        <f t="shared" si="56"/>
        <v>#N/A</v>
      </c>
      <c r="F1677" s="80"/>
      <c r="G1677" s="81"/>
      <c r="H1677" s="78"/>
      <c r="I1677" s="78"/>
      <c r="J1677" s="78"/>
    </row>
    <row r="1678" spans="1:10" x14ac:dyDescent="0.2">
      <c r="A1678" s="84">
        <f t="shared" si="55"/>
        <v>1672</v>
      </c>
      <c r="B1678" s="85" t="e">
        <f>+MATCH(D1678,ARTICULOS!$F$10:$F$699,0)</f>
        <v>#N/A</v>
      </c>
      <c r="C1678" s="86" t="e">
        <f>+VLOOKUP(B1678,ARTICULOS!$D$10:$I$699,6)</f>
        <v>#N/A</v>
      </c>
      <c r="D1678" s="212"/>
      <c r="E1678" s="75" t="e">
        <f t="shared" si="56"/>
        <v>#N/A</v>
      </c>
      <c r="F1678" s="80"/>
      <c r="G1678" s="81"/>
      <c r="H1678" s="78"/>
      <c r="I1678" s="78"/>
      <c r="J1678" s="78"/>
    </row>
    <row r="1679" spans="1:10" x14ac:dyDescent="0.2">
      <c r="A1679" s="84">
        <f t="shared" si="55"/>
        <v>1673</v>
      </c>
      <c r="B1679" s="85" t="e">
        <f>+MATCH(D1679,ARTICULOS!$F$10:$F$699,0)</f>
        <v>#N/A</v>
      </c>
      <c r="C1679" s="86" t="e">
        <f>+VLOOKUP(B1679,ARTICULOS!$D$10:$I$699,6)</f>
        <v>#N/A</v>
      </c>
      <c r="D1679" s="212"/>
      <c r="E1679" s="75" t="e">
        <f t="shared" si="56"/>
        <v>#N/A</v>
      </c>
      <c r="F1679" s="80"/>
      <c r="G1679" s="81"/>
      <c r="H1679" s="78"/>
      <c r="I1679" s="78"/>
      <c r="J1679" s="78"/>
    </row>
    <row r="1680" spans="1:10" x14ac:dyDescent="0.2">
      <c r="A1680" s="84">
        <f t="shared" si="55"/>
        <v>1674</v>
      </c>
      <c r="B1680" s="85" t="e">
        <f>+MATCH(D1680,ARTICULOS!$F$10:$F$699,0)</f>
        <v>#N/A</v>
      </c>
      <c r="C1680" s="86" t="e">
        <f>+VLOOKUP(B1680,ARTICULOS!$D$10:$I$699,6)</f>
        <v>#N/A</v>
      </c>
      <c r="D1680" s="212"/>
      <c r="E1680" s="75" t="e">
        <f t="shared" si="56"/>
        <v>#N/A</v>
      </c>
      <c r="F1680" s="80"/>
      <c r="G1680" s="81"/>
      <c r="H1680" s="78"/>
      <c r="I1680" s="78"/>
      <c r="J1680" s="78"/>
    </row>
    <row r="1681" spans="1:10" x14ac:dyDescent="0.2">
      <c r="A1681" s="84">
        <f t="shared" si="55"/>
        <v>1675</v>
      </c>
      <c r="B1681" s="85" t="e">
        <f>+MATCH(D1681,ARTICULOS!$F$10:$F$699,0)</f>
        <v>#N/A</v>
      </c>
      <c r="C1681" s="86" t="e">
        <f>+VLOOKUP(B1681,ARTICULOS!$D$10:$I$699,6)</f>
        <v>#N/A</v>
      </c>
      <c r="D1681" s="212"/>
      <c r="E1681" s="75" t="e">
        <f t="shared" si="56"/>
        <v>#N/A</v>
      </c>
      <c r="F1681" s="80"/>
      <c r="G1681" s="81"/>
      <c r="H1681" s="78"/>
      <c r="I1681" s="78"/>
      <c r="J1681" s="78"/>
    </row>
    <row r="1682" spans="1:10" x14ac:dyDescent="0.2">
      <c r="A1682" s="84">
        <f t="shared" si="55"/>
        <v>1676</v>
      </c>
      <c r="B1682" s="85" t="e">
        <f>+MATCH(D1682,ARTICULOS!$F$10:$F$699,0)</f>
        <v>#N/A</v>
      </c>
      <c r="C1682" s="86" t="e">
        <f>+VLOOKUP(B1682,ARTICULOS!$D$10:$I$699,6)</f>
        <v>#N/A</v>
      </c>
      <c r="D1682" s="212"/>
      <c r="E1682" s="75" t="e">
        <f t="shared" si="56"/>
        <v>#N/A</v>
      </c>
      <c r="F1682" s="80"/>
      <c r="G1682" s="81"/>
      <c r="H1682" s="78"/>
      <c r="I1682" s="78"/>
      <c r="J1682" s="78"/>
    </row>
    <row r="1683" spans="1:10" x14ac:dyDescent="0.2">
      <c r="A1683" s="84">
        <f t="shared" si="55"/>
        <v>1677</v>
      </c>
      <c r="B1683" s="85" t="e">
        <f>+MATCH(D1683,ARTICULOS!$F$10:$F$699,0)</f>
        <v>#N/A</v>
      </c>
      <c r="C1683" s="86" t="e">
        <f>+VLOOKUP(B1683,ARTICULOS!$D$10:$I$699,6)</f>
        <v>#N/A</v>
      </c>
      <c r="D1683" s="212"/>
      <c r="E1683" s="75" t="e">
        <f t="shared" si="56"/>
        <v>#N/A</v>
      </c>
      <c r="F1683" s="80"/>
      <c r="G1683" s="81"/>
      <c r="H1683" s="78"/>
      <c r="I1683" s="78"/>
      <c r="J1683" s="78"/>
    </row>
    <row r="1684" spans="1:10" x14ac:dyDescent="0.2">
      <c r="A1684" s="84">
        <f t="shared" si="55"/>
        <v>1678</v>
      </c>
      <c r="B1684" s="85" t="e">
        <f>+MATCH(D1684,ARTICULOS!$F$10:$F$699,0)</f>
        <v>#N/A</v>
      </c>
      <c r="C1684" s="86" t="e">
        <f>+VLOOKUP(B1684,ARTICULOS!$D$10:$I$699,6)</f>
        <v>#N/A</v>
      </c>
      <c r="D1684" s="212"/>
      <c r="E1684" s="75" t="e">
        <f t="shared" si="56"/>
        <v>#N/A</v>
      </c>
      <c r="F1684" s="80"/>
      <c r="G1684" s="81"/>
      <c r="H1684" s="78"/>
      <c r="I1684" s="78"/>
      <c r="J1684" s="78"/>
    </row>
    <row r="1685" spans="1:10" x14ac:dyDescent="0.2">
      <c r="A1685" s="84">
        <f t="shared" si="55"/>
        <v>1679</v>
      </c>
      <c r="B1685" s="85" t="e">
        <f>+MATCH(D1685,ARTICULOS!$F$10:$F$699,0)</f>
        <v>#N/A</v>
      </c>
      <c r="C1685" s="86" t="e">
        <f>+VLOOKUP(B1685,ARTICULOS!$D$10:$I$699,6)</f>
        <v>#N/A</v>
      </c>
      <c r="D1685" s="212"/>
      <c r="E1685" s="75" t="e">
        <f t="shared" si="56"/>
        <v>#N/A</v>
      </c>
      <c r="F1685" s="80"/>
      <c r="G1685" s="81"/>
      <c r="H1685" s="78"/>
      <c r="I1685" s="78"/>
      <c r="J1685" s="78"/>
    </row>
    <row r="1686" spans="1:10" x14ac:dyDescent="0.2">
      <c r="A1686" s="84">
        <f t="shared" si="55"/>
        <v>1680</v>
      </c>
      <c r="B1686" s="85" t="e">
        <f>+MATCH(D1686,ARTICULOS!$F$10:$F$699,0)</f>
        <v>#N/A</v>
      </c>
      <c r="C1686" s="86" t="e">
        <f>+VLOOKUP(B1686,ARTICULOS!$D$10:$I$699,6)</f>
        <v>#N/A</v>
      </c>
      <c r="D1686" s="212"/>
      <c r="E1686" s="75" t="e">
        <f t="shared" si="56"/>
        <v>#N/A</v>
      </c>
      <c r="F1686" s="80"/>
      <c r="G1686" s="81"/>
      <c r="H1686" s="78"/>
      <c r="I1686" s="78"/>
      <c r="J1686" s="78"/>
    </row>
    <row r="1687" spans="1:10" x14ac:dyDescent="0.2">
      <c r="A1687" s="84">
        <f t="shared" si="55"/>
        <v>1681</v>
      </c>
      <c r="B1687" s="85" t="e">
        <f>+MATCH(D1687,ARTICULOS!$F$10:$F$699,0)</f>
        <v>#N/A</v>
      </c>
      <c r="C1687" s="86" t="e">
        <f>+VLOOKUP(B1687,ARTICULOS!$D$10:$I$699,6)</f>
        <v>#N/A</v>
      </c>
      <c r="D1687" s="212"/>
      <c r="E1687" s="75" t="e">
        <f t="shared" si="56"/>
        <v>#N/A</v>
      </c>
      <c r="F1687" s="80"/>
      <c r="G1687" s="81"/>
      <c r="H1687" s="78"/>
      <c r="I1687" s="78"/>
      <c r="J1687" s="78"/>
    </row>
    <row r="1688" spans="1:10" x14ac:dyDescent="0.2">
      <c r="A1688" s="84">
        <f t="shared" si="55"/>
        <v>1682</v>
      </c>
      <c r="B1688" s="85" t="e">
        <f>+MATCH(D1688,ARTICULOS!$F$10:$F$699,0)</f>
        <v>#N/A</v>
      </c>
      <c r="C1688" s="86" t="e">
        <f>+VLOOKUP(B1688,ARTICULOS!$D$10:$I$699,6)</f>
        <v>#N/A</v>
      </c>
      <c r="D1688" s="212"/>
      <c r="E1688" s="75" t="e">
        <f t="shared" si="56"/>
        <v>#N/A</v>
      </c>
      <c r="F1688" s="80"/>
      <c r="G1688" s="81"/>
      <c r="H1688" s="78"/>
      <c r="I1688" s="78"/>
      <c r="J1688" s="78"/>
    </row>
    <row r="1689" spans="1:10" x14ac:dyDescent="0.2">
      <c r="A1689" s="84">
        <f t="shared" si="55"/>
        <v>1683</v>
      </c>
      <c r="B1689" s="85" t="e">
        <f>+MATCH(D1689,ARTICULOS!$F$10:$F$699,0)</f>
        <v>#N/A</v>
      </c>
      <c r="C1689" s="86" t="e">
        <f>+VLOOKUP(B1689,ARTICULOS!$D$10:$I$699,6)</f>
        <v>#N/A</v>
      </c>
      <c r="D1689" s="212"/>
      <c r="E1689" s="75" t="e">
        <f t="shared" si="56"/>
        <v>#N/A</v>
      </c>
      <c r="F1689" s="80"/>
      <c r="G1689" s="81"/>
      <c r="H1689" s="78"/>
      <c r="I1689" s="78"/>
      <c r="J1689" s="78"/>
    </row>
    <row r="1690" spans="1:10" x14ac:dyDescent="0.2">
      <c r="A1690" s="84">
        <f t="shared" si="55"/>
        <v>1684</v>
      </c>
      <c r="B1690" s="85" t="e">
        <f>+MATCH(D1690,ARTICULOS!$F$10:$F$699,0)</f>
        <v>#N/A</v>
      </c>
      <c r="C1690" s="86" t="e">
        <f>+VLOOKUP(B1690,ARTICULOS!$D$10:$I$699,6)</f>
        <v>#N/A</v>
      </c>
      <c r="D1690" s="212"/>
      <c r="E1690" s="75" t="e">
        <f t="shared" si="56"/>
        <v>#N/A</v>
      </c>
      <c r="F1690" s="80"/>
      <c r="G1690" s="81"/>
      <c r="H1690" s="78"/>
      <c r="I1690" s="78"/>
      <c r="J1690" s="78"/>
    </row>
    <row r="1691" spans="1:10" x14ac:dyDescent="0.2">
      <c r="A1691" s="84">
        <f t="shared" si="55"/>
        <v>1685</v>
      </c>
      <c r="B1691" s="85" t="e">
        <f>+MATCH(D1691,ARTICULOS!$F$10:$F$699,0)</f>
        <v>#N/A</v>
      </c>
      <c r="C1691" s="86" t="e">
        <f>+VLOOKUP(B1691,ARTICULOS!$D$10:$I$699,6)</f>
        <v>#N/A</v>
      </c>
      <c r="D1691" s="212"/>
      <c r="E1691" s="75" t="e">
        <f t="shared" si="56"/>
        <v>#N/A</v>
      </c>
      <c r="F1691" s="80"/>
      <c r="G1691" s="81"/>
      <c r="H1691" s="78"/>
      <c r="I1691" s="78"/>
      <c r="J1691" s="78"/>
    </row>
    <row r="1692" spans="1:10" x14ac:dyDescent="0.2">
      <c r="A1692" s="84">
        <f t="shared" si="55"/>
        <v>1686</v>
      </c>
      <c r="B1692" s="85" t="e">
        <f>+MATCH(D1692,ARTICULOS!$F$10:$F$699,0)</f>
        <v>#N/A</v>
      </c>
      <c r="C1692" s="86" t="e">
        <f>+VLOOKUP(B1692,ARTICULOS!$D$10:$I$699,6)</f>
        <v>#N/A</v>
      </c>
      <c r="D1692" s="212"/>
      <c r="E1692" s="75" t="e">
        <f t="shared" si="56"/>
        <v>#N/A</v>
      </c>
      <c r="F1692" s="80"/>
      <c r="G1692" s="81"/>
      <c r="H1692" s="78"/>
      <c r="I1692" s="78"/>
      <c r="J1692" s="78"/>
    </row>
    <row r="1693" spans="1:10" x14ac:dyDescent="0.2">
      <c r="A1693" s="84">
        <f t="shared" si="55"/>
        <v>1687</v>
      </c>
      <c r="B1693" s="85" t="e">
        <f>+MATCH(D1693,ARTICULOS!$F$10:$F$699,0)</f>
        <v>#N/A</v>
      </c>
      <c r="C1693" s="86" t="e">
        <f>+VLOOKUP(B1693,ARTICULOS!$D$10:$I$699,6)</f>
        <v>#N/A</v>
      </c>
      <c r="D1693" s="212"/>
      <c r="E1693" s="75" t="e">
        <f t="shared" si="56"/>
        <v>#N/A</v>
      </c>
      <c r="F1693" s="80"/>
      <c r="G1693" s="81"/>
      <c r="H1693" s="78"/>
      <c r="I1693" s="78"/>
      <c r="J1693" s="78"/>
    </row>
    <row r="1694" spans="1:10" x14ac:dyDescent="0.2">
      <c r="A1694" s="84">
        <f t="shared" si="55"/>
        <v>1688</v>
      </c>
      <c r="B1694" s="85" t="e">
        <f>+MATCH(D1694,ARTICULOS!$F$10:$F$699,0)</f>
        <v>#N/A</v>
      </c>
      <c r="C1694" s="86" t="e">
        <f>+VLOOKUP(B1694,ARTICULOS!$D$10:$I$699,6)</f>
        <v>#N/A</v>
      </c>
      <c r="D1694" s="212"/>
      <c r="E1694" s="75" t="e">
        <f t="shared" si="56"/>
        <v>#N/A</v>
      </c>
      <c r="F1694" s="80"/>
      <c r="G1694" s="81"/>
      <c r="H1694" s="78"/>
      <c r="I1694" s="78"/>
      <c r="J1694" s="78"/>
    </row>
    <row r="1695" spans="1:10" x14ac:dyDescent="0.2">
      <c r="A1695" s="84">
        <f t="shared" si="55"/>
        <v>1689</v>
      </c>
      <c r="B1695" s="85" t="e">
        <f>+MATCH(D1695,ARTICULOS!$F$10:$F$699,0)</f>
        <v>#N/A</v>
      </c>
      <c r="C1695" s="86" t="e">
        <f>+VLOOKUP(B1695,ARTICULOS!$D$10:$I$699,6)</f>
        <v>#N/A</v>
      </c>
      <c r="D1695" s="212"/>
      <c r="E1695" s="75" t="e">
        <f t="shared" si="56"/>
        <v>#N/A</v>
      </c>
      <c r="F1695" s="80"/>
      <c r="G1695" s="81"/>
      <c r="H1695" s="78"/>
      <c r="I1695" s="78"/>
      <c r="J1695" s="78"/>
    </row>
    <row r="1696" spans="1:10" x14ac:dyDescent="0.2">
      <c r="A1696" s="84">
        <f t="shared" si="55"/>
        <v>1690</v>
      </c>
      <c r="B1696" s="85" t="e">
        <f>+MATCH(D1696,ARTICULOS!$F$10:$F$699,0)</f>
        <v>#N/A</v>
      </c>
      <c r="C1696" s="86" t="e">
        <f>+VLOOKUP(B1696,ARTICULOS!$D$10:$I$699,6)</f>
        <v>#N/A</v>
      </c>
      <c r="D1696" s="212"/>
      <c r="E1696" s="75" t="e">
        <f t="shared" si="56"/>
        <v>#N/A</v>
      </c>
      <c r="F1696" s="80"/>
      <c r="G1696" s="81"/>
      <c r="H1696" s="78"/>
      <c r="I1696" s="78"/>
      <c r="J1696" s="78"/>
    </row>
    <row r="1697" spans="1:10" x14ac:dyDescent="0.2">
      <c r="A1697" s="84">
        <f t="shared" si="55"/>
        <v>1691</v>
      </c>
      <c r="B1697" s="85" t="e">
        <f>+MATCH(D1697,ARTICULOS!$F$10:$F$699,0)</f>
        <v>#N/A</v>
      </c>
      <c r="C1697" s="86" t="e">
        <f>+VLOOKUP(B1697,ARTICULOS!$D$10:$I$699,6)</f>
        <v>#N/A</v>
      </c>
      <c r="D1697" s="212"/>
      <c r="E1697" s="75" t="e">
        <f t="shared" si="56"/>
        <v>#N/A</v>
      </c>
      <c r="F1697" s="80"/>
      <c r="G1697" s="81"/>
      <c r="H1697" s="78"/>
      <c r="I1697" s="78"/>
      <c r="J1697" s="78"/>
    </row>
    <row r="1698" spans="1:10" x14ac:dyDescent="0.2">
      <c r="A1698" s="84">
        <f t="shared" si="55"/>
        <v>1692</v>
      </c>
      <c r="B1698" s="85" t="e">
        <f>+MATCH(D1698,ARTICULOS!$F$10:$F$699,0)</f>
        <v>#N/A</v>
      </c>
      <c r="C1698" s="86" t="e">
        <f>+VLOOKUP(B1698,ARTICULOS!$D$10:$I$699,6)</f>
        <v>#N/A</v>
      </c>
      <c r="D1698" s="212"/>
      <c r="E1698" s="75" t="e">
        <f t="shared" si="56"/>
        <v>#N/A</v>
      </c>
      <c r="F1698" s="80"/>
      <c r="G1698" s="81"/>
      <c r="H1698" s="78"/>
      <c r="I1698" s="78"/>
      <c r="J1698" s="78"/>
    </row>
    <row r="1699" spans="1:10" x14ac:dyDescent="0.2">
      <c r="A1699" s="84">
        <f t="shared" si="55"/>
        <v>1693</v>
      </c>
      <c r="B1699" s="85" t="e">
        <f>+MATCH(D1699,ARTICULOS!$F$10:$F$699,0)</f>
        <v>#N/A</v>
      </c>
      <c r="C1699" s="86" t="e">
        <f>+VLOOKUP(B1699,ARTICULOS!$D$10:$I$699,6)</f>
        <v>#N/A</v>
      </c>
      <c r="D1699" s="212"/>
      <c r="E1699" s="75" t="e">
        <f t="shared" si="56"/>
        <v>#N/A</v>
      </c>
      <c r="F1699" s="80"/>
      <c r="G1699" s="81"/>
      <c r="H1699" s="78"/>
      <c r="I1699" s="78"/>
      <c r="J1699" s="78"/>
    </row>
    <row r="1700" spans="1:10" x14ac:dyDescent="0.2">
      <c r="A1700" s="84">
        <f t="shared" si="55"/>
        <v>1694</v>
      </c>
      <c r="B1700" s="85" t="e">
        <f>+MATCH(D1700,ARTICULOS!$F$10:$F$699,0)</f>
        <v>#N/A</v>
      </c>
      <c r="C1700" s="86" t="e">
        <f>+VLOOKUP(B1700,ARTICULOS!$D$10:$I$699,6)</f>
        <v>#N/A</v>
      </c>
      <c r="D1700" s="212"/>
      <c r="E1700" s="75" t="e">
        <f t="shared" si="56"/>
        <v>#N/A</v>
      </c>
      <c r="F1700" s="80"/>
      <c r="G1700" s="81"/>
      <c r="H1700" s="78"/>
      <c r="I1700" s="78"/>
      <c r="J1700" s="78"/>
    </row>
    <row r="1701" spans="1:10" x14ac:dyDescent="0.2">
      <c r="A1701" s="84">
        <f t="shared" si="55"/>
        <v>1695</v>
      </c>
      <c r="B1701" s="85" t="e">
        <f>+MATCH(D1701,ARTICULOS!$F$10:$F$699,0)</f>
        <v>#N/A</v>
      </c>
      <c r="C1701" s="86" t="e">
        <f>+VLOOKUP(B1701,ARTICULOS!$D$10:$I$699,6)</f>
        <v>#N/A</v>
      </c>
      <c r="D1701" s="212"/>
      <c r="E1701" s="75" t="e">
        <f t="shared" si="56"/>
        <v>#N/A</v>
      </c>
      <c r="F1701" s="80"/>
      <c r="G1701" s="81"/>
      <c r="H1701" s="78"/>
      <c r="I1701" s="78"/>
      <c r="J1701" s="78"/>
    </row>
    <row r="1702" spans="1:10" x14ac:dyDescent="0.2">
      <c r="A1702" s="84">
        <f t="shared" si="55"/>
        <v>1696</v>
      </c>
      <c r="B1702" s="85" t="e">
        <f>+MATCH(D1702,ARTICULOS!$F$10:$F$699,0)</f>
        <v>#N/A</v>
      </c>
      <c r="C1702" s="86" t="e">
        <f>+VLOOKUP(B1702,ARTICULOS!$D$10:$I$699,6)</f>
        <v>#N/A</v>
      </c>
      <c r="D1702" s="212"/>
      <c r="E1702" s="75" t="e">
        <f t="shared" si="56"/>
        <v>#N/A</v>
      </c>
      <c r="F1702" s="80"/>
      <c r="G1702" s="81"/>
      <c r="H1702" s="78"/>
      <c r="I1702" s="78"/>
      <c r="J1702" s="78"/>
    </row>
    <row r="1703" spans="1:10" x14ac:dyDescent="0.2">
      <c r="A1703" s="84">
        <f t="shared" si="55"/>
        <v>1697</v>
      </c>
      <c r="B1703" s="85" t="e">
        <f>+MATCH(D1703,ARTICULOS!$F$10:$F$699,0)</f>
        <v>#N/A</v>
      </c>
      <c r="C1703" s="86" t="e">
        <f>+VLOOKUP(B1703,ARTICULOS!$D$10:$I$699,6)</f>
        <v>#N/A</v>
      </c>
      <c r="D1703" s="212"/>
      <c r="E1703" s="75" t="e">
        <f t="shared" si="56"/>
        <v>#N/A</v>
      </c>
      <c r="F1703" s="80"/>
      <c r="G1703" s="81"/>
      <c r="H1703" s="78"/>
      <c r="I1703" s="78"/>
      <c r="J1703" s="78"/>
    </row>
    <row r="1704" spans="1:10" x14ac:dyDescent="0.2">
      <c r="A1704" s="84">
        <f t="shared" si="55"/>
        <v>1698</v>
      </c>
      <c r="B1704" s="85" t="e">
        <f>+MATCH(D1704,ARTICULOS!$F$10:$F$699,0)</f>
        <v>#N/A</v>
      </c>
      <c r="C1704" s="86" t="e">
        <f>+VLOOKUP(B1704,ARTICULOS!$D$10:$I$699,6)</f>
        <v>#N/A</v>
      </c>
      <c r="D1704" s="212"/>
      <c r="E1704" s="75" t="e">
        <f t="shared" si="56"/>
        <v>#N/A</v>
      </c>
      <c r="F1704" s="80"/>
      <c r="G1704" s="81"/>
      <c r="H1704" s="78"/>
      <c r="I1704" s="78"/>
      <c r="J1704" s="78"/>
    </row>
    <row r="1705" spans="1:10" x14ac:dyDescent="0.2">
      <c r="A1705" s="84">
        <f t="shared" ref="A1705:A1768" si="57">ROW()-6</f>
        <v>1699</v>
      </c>
      <c r="B1705" s="85" t="e">
        <f>+MATCH(D1705,ARTICULOS!$F$10:$F$699,0)</f>
        <v>#N/A</v>
      </c>
      <c r="C1705" s="86" t="e">
        <f>+VLOOKUP(B1705,ARTICULOS!$D$10:$I$699,6)</f>
        <v>#N/A</v>
      </c>
      <c r="D1705" s="212"/>
      <c r="E1705" s="75" t="e">
        <f t="shared" si="56"/>
        <v>#N/A</v>
      </c>
      <c r="F1705" s="80"/>
      <c r="G1705" s="81"/>
      <c r="H1705" s="78"/>
      <c r="I1705" s="78"/>
      <c r="J1705" s="78"/>
    </row>
    <row r="1706" spans="1:10" x14ac:dyDescent="0.2">
      <c r="A1706" s="84">
        <f t="shared" si="57"/>
        <v>1700</v>
      </c>
      <c r="B1706" s="85" t="e">
        <f>+MATCH(D1706,ARTICULOS!$F$10:$F$699,0)</f>
        <v>#N/A</v>
      </c>
      <c r="C1706" s="86" t="e">
        <f>+VLOOKUP(B1706,ARTICULOS!$D$10:$I$699,6)</f>
        <v>#N/A</v>
      </c>
      <c r="D1706" s="212"/>
      <c r="E1706" s="75" t="e">
        <f t="shared" si="56"/>
        <v>#N/A</v>
      </c>
      <c r="F1706" s="80"/>
      <c r="G1706" s="81"/>
      <c r="H1706" s="78"/>
      <c r="I1706" s="78"/>
      <c r="J1706" s="78"/>
    </row>
    <row r="1707" spans="1:10" x14ac:dyDescent="0.2">
      <c r="A1707" s="84">
        <f t="shared" si="57"/>
        <v>1701</v>
      </c>
      <c r="B1707" s="85" t="e">
        <f>+MATCH(D1707,ARTICULOS!$F$10:$F$699,0)</f>
        <v>#N/A</v>
      </c>
      <c r="C1707" s="86" t="e">
        <f>+VLOOKUP(B1707,ARTICULOS!$D$10:$I$699,6)</f>
        <v>#N/A</v>
      </c>
      <c r="D1707" s="212"/>
      <c r="E1707" s="75" t="e">
        <f t="shared" si="56"/>
        <v>#N/A</v>
      </c>
      <c r="F1707" s="80"/>
      <c r="G1707" s="81"/>
      <c r="H1707" s="78"/>
      <c r="I1707" s="78"/>
      <c r="J1707" s="78"/>
    </row>
    <row r="1708" spans="1:10" x14ac:dyDescent="0.2">
      <c r="A1708" s="84">
        <f t="shared" si="57"/>
        <v>1702</v>
      </c>
      <c r="B1708" s="85" t="e">
        <f>+MATCH(D1708,ARTICULOS!$F$10:$F$699,0)</f>
        <v>#N/A</v>
      </c>
      <c r="C1708" s="86" t="e">
        <f>+VLOOKUP(B1708,ARTICULOS!$D$10:$I$699,6)</f>
        <v>#N/A</v>
      </c>
      <c r="D1708" s="212"/>
      <c r="E1708" s="75" t="e">
        <f t="shared" si="56"/>
        <v>#N/A</v>
      </c>
      <c r="F1708" s="80"/>
      <c r="G1708" s="81"/>
      <c r="H1708" s="78"/>
      <c r="I1708" s="78"/>
      <c r="J1708" s="78"/>
    </row>
    <row r="1709" spans="1:10" x14ac:dyDescent="0.2">
      <c r="A1709" s="84">
        <f t="shared" si="57"/>
        <v>1703</v>
      </c>
      <c r="B1709" s="85" t="e">
        <f>+MATCH(D1709,ARTICULOS!$F$10:$F$699,0)</f>
        <v>#N/A</v>
      </c>
      <c r="C1709" s="86" t="e">
        <f>+VLOOKUP(B1709,ARTICULOS!$D$10:$I$699,6)</f>
        <v>#N/A</v>
      </c>
      <c r="D1709" s="212"/>
      <c r="E1709" s="75" t="e">
        <f t="shared" si="56"/>
        <v>#N/A</v>
      </c>
      <c r="F1709" s="80"/>
      <c r="G1709" s="81"/>
      <c r="H1709" s="78"/>
      <c r="I1709" s="78"/>
      <c r="J1709" s="78"/>
    </row>
    <row r="1710" spans="1:10" x14ac:dyDescent="0.2">
      <c r="A1710" s="84">
        <f t="shared" si="57"/>
        <v>1704</v>
      </c>
      <c r="B1710" s="85" t="e">
        <f>+MATCH(D1710,ARTICULOS!$F$10:$F$699,0)</f>
        <v>#N/A</v>
      </c>
      <c r="C1710" s="86" t="e">
        <f>+VLOOKUP(B1710,ARTICULOS!$D$10:$I$699,6)</f>
        <v>#N/A</v>
      </c>
      <c r="D1710" s="212"/>
      <c r="E1710" s="75" t="e">
        <f t="shared" si="56"/>
        <v>#N/A</v>
      </c>
      <c r="F1710" s="80"/>
      <c r="G1710" s="81"/>
      <c r="H1710" s="78"/>
      <c r="I1710" s="78"/>
      <c r="J1710" s="78"/>
    </row>
    <row r="1711" spans="1:10" x14ac:dyDescent="0.2">
      <c r="A1711" s="84">
        <f t="shared" si="57"/>
        <v>1705</v>
      </c>
      <c r="B1711" s="85" t="e">
        <f>+MATCH(D1711,ARTICULOS!$F$10:$F$699,0)</f>
        <v>#N/A</v>
      </c>
      <c r="C1711" s="86" t="e">
        <f>+VLOOKUP(B1711,ARTICULOS!$D$10:$I$699,6)</f>
        <v>#N/A</v>
      </c>
      <c r="D1711" s="212"/>
      <c r="E1711" s="75" t="e">
        <f t="shared" si="56"/>
        <v>#N/A</v>
      </c>
      <c r="F1711" s="80"/>
      <c r="G1711" s="81"/>
      <c r="H1711" s="78"/>
      <c r="I1711" s="78"/>
      <c r="J1711" s="78"/>
    </row>
    <row r="1712" spans="1:10" x14ac:dyDescent="0.2">
      <c r="A1712" s="84">
        <f t="shared" si="57"/>
        <v>1706</v>
      </c>
      <c r="B1712" s="85" t="e">
        <f>+MATCH(D1712,ARTICULOS!$F$10:$F$699,0)</f>
        <v>#N/A</v>
      </c>
      <c r="C1712" s="86" t="e">
        <f>+VLOOKUP(B1712,ARTICULOS!$D$10:$I$699,6)</f>
        <v>#N/A</v>
      </c>
      <c r="D1712" s="212"/>
      <c r="E1712" s="75" t="e">
        <f t="shared" si="56"/>
        <v>#N/A</v>
      </c>
      <c r="F1712" s="80"/>
      <c r="G1712" s="81"/>
      <c r="H1712" s="78"/>
      <c r="I1712" s="78"/>
      <c r="J1712" s="78"/>
    </row>
    <row r="1713" spans="1:10" x14ac:dyDescent="0.2">
      <c r="A1713" s="84">
        <f t="shared" si="57"/>
        <v>1707</v>
      </c>
      <c r="B1713" s="85" t="e">
        <f>+MATCH(D1713,ARTICULOS!$F$10:$F$699,0)</f>
        <v>#N/A</v>
      </c>
      <c r="C1713" s="86" t="e">
        <f>+VLOOKUP(B1713,ARTICULOS!$D$10:$I$699,6)</f>
        <v>#N/A</v>
      </c>
      <c r="D1713" s="212"/>
      <c r="E1713" s="75" t="e">
        <f t="shared" si="56"/>
        <v>#N/A</v>
      </c>
      <c r="F1713" s="80"/>
      <c r="G1713" s="81"/>
      <c r="H1713" s="78"/>
      <c r="I1713" s="78"/>
      <c r="J1713" s="78"/>
    </row>
    <row r="1714" spans="1:10" x14ac:dyDescent="0.2">
      <c r="A1714" s="84">
        <f t="shared" si="57"/>
        <v>1708</v>
      </c>
      <c r="B1714" s="85" t="e">
        <f>+MATCH(D1714,ARTICULOS!$F$10:$F$699,0)</f>
        <v>#N/A</v>
      </c>
      <c r="C1714" s="86" t="e">
        <f>+VLOOKUP(B1714,ARTICULOS!$D$10:$I$699,6)</f>
        <v>#N/A</v>
      </c>
      <c r="D1714" s="212"/>
      <c r="E1714" s="75" t="e">
        <f t="shared" si="56"/>
        <v>#N/A</v>
      </c>
      <c r="F1714" s="80"/>
      <c r="G1714" s="81"/>
      <c r="H1714" s="78"/>
      <c r="I1714" s="78"/>
      <c r="J1714" s="78"/>
    </row>
    <row r="1715" spans="1:10" x14ac:dyDescent="0.2">
      <c r="A1715" s="84">
        <f t="shared" si="57"/>
        <v>1709</v>
      </c>
      <c r="B1715" s="85" t="e">
        <f>+MATCH(D1715,ARTICULOS!$F$10:$F$699,0)</f>
        <v>#N/A</v>
      </c>
      <c r="C1715" s="86" t="e">
        <f>+VLOOKUP(B1715,ARTICULOS!$D$10:$I$699,6)</f>
        <v>#N/A</v>
      </c>
      <c r="D1715" s="212"/>
      <c r="E1715" s="75" t="e">
        <f t="shared" si="56"/>
        <v>#N/A</v>
      </c>
      <c r="F1715" s="80"/>
      <c r="G1715" s="81"/>
      <c r="H1715" s="78"/>
      <c r="I1715" s="78"/>
      <c r="J1715" s="78"/>
    </row>
    <row r="1716" spans="1:10" x14ac:dyDescent="0.2">
      <c r="A1716" s="84">
        <f t="shared" si="57"/>
        <v>1710</v>
      </c>
      <c r="B1716" s="85" t="e">
        <f>+MATCH(D1716,ARTICULOS!$F$10:$F$699,0)</f>
        <v>#N/A</v>
      </c>
      <c r="C1716" s="86" t="e">
        <f>+VLOOKUP(B1716,ARTICULOS!$D$10:$I$699,6)</f>
        <v>#N/A</v>
      </c>
      <c r="D1716" s="212"/>
      <c r="E1716" s="75" t="e">
        <f t="shared" si="56"/>
        <v>#N/A</v>
      </c>
      <c r="F1716" s="80"/>
      <c r="G1716" s="81"/>
      <c r="H1716" s="78"/>
      <c r="I1716" s="78"/>
      <c r="J1716" s="78"/>
    </row>
    <row r="1717" spans="1:10" x14ac:dyDescent="0.2">
      <c r="A1717" s="84">
        <f t="shared" si="57"/>
        <v>1711</v>
      </c>
      <c r="B1717" s="85" t="e">
        <f>+MATCH(D1717,ARTICULOS!$F$10:$F$699,0)</f>
        <v>#N/A</v>
      </c>
      <c r="C1717" s="86" t="e">
        <f>+VLOOKUP(B1717,ARTICULOS!$D$10:$I$699,6)</f>
        <v>#N/A</v>
      </c>
      <c r="D1717" s="212"/>
      <c r="E1717" s="75" t="e">
        <f t="shared" si="56"/>
        <v>#N/A</v>
      </c>
      <c r="F1717" s="80"/>
      <c r="G1717" s="81"/>
      <c r="H1717" s="78"/>
      <c r="I1717" s="78"/>
      <c r="J1717" s="78"/>
    </row>
    <row r="1718" spans="1:10" x14ac:dyDescent="0.2">
      <c r="A1718" s="84">
        <f t="shared" si="57"/>
        <v>1712</v>
      </c>
      <c r="B1718" s="85" t="e">
        <f>+MATCH(D1718,ARTICULOS!$F$10:$F$699,0)</f>
        <v>#N/A</v>
      </c>
      <c r="C1718" s="86" t="e">
        <f>+VLOOKUP(B1718,ARTICULOS!$D$10:$I$699,6)</f>
        <v>#N/A</v>
      </c>
      <c r="D1718" s="212"/>
      <c r="E1718" s="75" t="e">
        <f t="shared" si="56"/>
        <v>#N/A</v>
      </c>
      <c r="F1718" s="80"/>
      <c r="G1718" s="81"/>
      <c r="H1718" s="78"/>
      <c r="I1718" s="78"/>
      <c r="J1718" s="78"/>
    </row>
    <row r="1719" spans="1:10" x14ac:dyDescent="0.2">
      <c r="A1719" s="84">
        <f t="shared" si="57"/>
        <v>1713</v>
      </c>
      <c r="B1719" s="85" t="e">
        <f>+MATCH(D1719,ARTICULOS!$F$10:$F$699,0)</f>
        <v>#N/A</v>
      </c>
      <c r="C1719" s="86" t="e">
        <f>+VLOOKUP(B1719,ARTICULOS!$D$10:$I$699,6)</f>
        <v>#N/A</v>
      </c>
      <c r="D1719" s="212"/>
      <c r="E1719" s="75" t="e">
        <f t="shared" si="56"/>
        <v>#N/A</v>
      </c>
      <c r="F1719" s="80"/>
      <c r="G1719" s="81"/>
      <c r="H1719" s="78"/>
      <c r="I1719" s="78"/>
      <c r="J1719" s="78"/>
    </row>
    <row r="1720" spans="1:10" x14ac:dyDescent="0.2">
      <c r="A1720" s="84">
        <f t="shared" si="57"/>
        <v>1714</v>
      </c>
      <c r="B1720" s="85" t="e">
        <f>+MATCH(D1720,ARTICULOS!$F$10:$F$699,0)</f>
        <v>#N/A</v>
      </c>
      <c r="C1720" s="86" t="e">
        <f>+VLOOKUP(B1720,ARTICULOS!$D$10:$I$699,6)</f>
        <v>#N/A</v>
      </c>
      <c r="D1720" s="212"/>
      <c r="E1720" s="75" t="e">
        <f t="shared" si="56"/>
        <v>#N/A</v>
      </c>
      <c r="F1720" s="80"/>
      <c r="G1720" s="81"/>
      <c r="H1720" s="78"/>
      <c r="I1720" s="78"/>
      <c r="J1720" s="78"/>
    </row>
    <row r="1721" spans="1:10" x14ac:dyDescent="0.2">
      <c r="A1721" s="84">
        <f t="shared" si="57"/>
        <v>1715</v>
      </c>
      <c r="B1721" s="85" t="e">
        <f>+MATCH(D1721,ARTICULOS!$F$10:$F$699,0)</f>
        <v>#N/A</v>
      </c>
      <c r="C1721" s="86" t="e">
        <f>+VLOOKUP(B1721,ARTICULOS!$D$10:$I$699,6)</f>
        <v>#N/A</v>
      </c>
      <c r="D1721" s="212"/>
      <c r="E1721" s="75" t="e">
        <f t="shared" si="56"/>
        <v>#N/A</v>
      </c>
      <c r="F1721" s="80"/>
      <c r="G1721" s="81"/>
      <c r="H1721" s="78"/>
      <c r="I1721" s="78"/>
      <c r="J1721" s="78"/>
    </row>
    <row r="1722" spans="1:10" x14ac:dyDescent="0.2">
      <c r="A1722" s="84">
        <f t="shared" si="57"/>
        <v>1716</v>
      </c>
      <c r="B1722" s="85" t="e">
        <f>+MATCH(D1722,ARTICULOS!$F$10:$F$699,0)</f>
        <v>#N/A</v>
      </c>
      <c r="C1722" s="86" t="e">
        <f>+VLOOKUP(B1722,ARTICULOS!$D$10:$I$699,6)</f>
        <v>#N/A</v>
      </c>
      <c r="D1722" s="212"/>
      <c r="E1722" s="75" t="e">
        <f t="shared" si="56"/>
        <v>#N/A</v>
      </c>
      <c r="F1722" s="80"/>
      <c r="G1722" s="81"/>
      <c r="H1722" s="78"/>
      <c r="I1722" s="78"/>
      <c r="J1722" s="78"/>
    </row>
    <row r="1723" spans="1:10" x14ac:dyDescent="0.2">
      <c r="A1723" s="84">
        <f t="shared" si="57"/>
        <v>1717</v>
      </c>
      <c r="B1723" s="85" t="e">
        <f>+MATCH(D1723,ARTICULOS!$F$10:$F$699,0)</f>
        <v>#N/A</v>
      </c>
      <c r="C1723" s="86" t="e">
        <f>+VLOOKUP(B1723,ARTICULOS!$D$10:$I$699,6)</f>
        <v>#N/A</v>
      </c>
      <c r="D1723" s="212"/>
      <c r="E1723" s="75" t="e">
        <f t="shared" si="56"/>
        <v>#N/A</v>
      </c>
      <c r="F1723" s="80"/>
      <c r="G1723" s="81"/>
      <c r="H1723" s="78"/>
      <c r="I1723" s="78"/>
      <c r="J1723" s="78"/>
    </row>
    <row r="1724" spans="1:10" x14ac:dyDescent="0.2">
      <c r="A1724" s="84">
        <f t="shared" si="57"/>
        <v>1718</v>
      </c>
      <c r="B1724" s="85" t="e">
        <f>+MATCH(D1724,ARTICULOS!$F$10:$F$699,0)</f>
        <v>#N/A</v>
      </c>
      <c r="C1724" s="86" t="e">
        <f>+VLOOKUP(B1724,ARTICULOS!$D$10:$I$699,6)</f>
        <v>#N/A</v>
      </c>
      <c r="D1724" s="212"/>
      <c r="E1724" s="75" t="e">
        <f t="shared" si="56"/>
        <v>#N/A</v>
      </c>
      <c r="F1724" s="80"/>
      <c r="G1724" s="81"/>
      <c r="H1724" s="78"/>
      <c r="I1724" s="78"/>
      <c r="J1724" s="78"/>
    </row>
    <row r="1725" spans="1:10" x14ac:dyDescent="0.2">
      <c r="A1725" s="84">
        <f t="shared" si="57"/>
        <v>1719</v>
      </c>
      <c r="B1725" s="85" t="e">
        <f>+MATCH(D1725,ARTICULOS!$F$10:$F$699,0)</f>
        <v>#N/A</v>
      </c>
      <c r="C1725" s="86" t="e">
        <f>+VLOOKUP(B1725,ARTICULOS!$D$10:$I$699,6)</f>
        <v>#N/A</v>
      </c>
      <c r="D1725" s="212"/>
      <c r="E1725" s="75" t="e">
        <f t="shared" si="56"/>
        <v>#N/A</v>
      </c>
      <c r="F1725" s="80"/>
      <c r="G1725" s="81"/>
      <c r="H1725" s="78"/>
      <c r="I1725" s="78"/>
      <c r="J1725" s="78"/>
    </row>
    <row r="1726" spans="1:10" x14ac:dyDescent="0.2">
      <c r="A1726" s="84">
        <f t="shared" si="57"/>
        <v>1720</v>
      </c>
      <c r="B1726" s="85" t="e">
        <f>+MATCH(D1726,ARTICULOS!$F$10:$F$699,0)</f>
        <v>#N/A</v>
      </c>
      <c r="C1726" s="86" t="e">
        <f>+VLOOKUP(B1726,ARTICULOS!$D$10:$I$699,6)</f>
        <v>#N/A</v>
      </c>
      <c r="D1726" s="212"/>
      <c r="E1726" s="75" t="e">
        <f t="shared" si="56"/>
        <v>#N/A</v>
      </c>
      <c r="F1726" s="80"/>
      <c r="G1726" s="81"/>
      <c r="H1726" s="78"/>
      <c r="I1726" s="78"/>
      <c r="J1726" s="78"/>
    </row>
    <row r="1727" spans="1:10" x14ac:dyDescent="0.2">
      <c r="A1727" s="84">
        <f t="shared" si="57"/>
        <v>1721</v>
      </c>
      <c r="B1727" s="85" t="e">
        <f>+MATCH(D1727,ARTICULOS!$F$10:$F$699,0)</f>
        <v>#N/A</v>
      </c>
      <c r="C1727" s="86" t="e">
        <f>+VLOOKUP(B1727,ARTICULOS!$D$10:$I$699,6)</f>
        <v>#N/A</v>
      </c>
      <c r="D1727" s="212"/>
      <c r="E1727" s="75" t="e">
        <f t="shared" si="56"/>
        <v>#N/A</v>
      </c>
      <c r="F1727" s="80"/>
      <c r="G1727" s="81"/>
      <c r="H1727" s="78"/>
      <c r="I1727" s="78"/>
      <c r="J1727" s="78"/>
    </row>
    <row r="1728" spans="1:10" x14ac:dyDescent="0.2">
      <c r="A1728" s="84">
        <f t="shared" si="57"/>
        <v>1722</v>
      </c>
      <c r="B1728" s="85" t="e">
        <f>+MATCH(D1728,ARTICULOS!$F$10:$F$699,0)</f>
        <v>#N/A</v>
      </c>
      <c r="C1728" s="86" t="e">
        <f>+VLOOKUP(B1728,ARTICULOS!$D$10:$I$699,6)</f>
        <v>#N/A</v>
      </c>
      <c r="D1728" s="212"/>
      <c r="E1728" s="75" t="e">
        <f t="shared" si="56"/>
        <v>#N/A</v>
      </c>
      <c r="F1728" s="80"/>
      <c r="G1728" s="81"/>
      <c r="H1728" s="78"/>
      <c r="I1728" s="78"/>
      <c r="J1728" s="78"/>
    </row>
    <row r="1729" spans="1:10" x14ac:dyDescent="0.2">
      <c r="A1729" s="84">
        <f t="shared" si="57"/>
        <v>1723</v>
      </c>
      <c r="B1729" s="85" t="e">
        <f>+MATCH(D1729,ARTICULOS!$F$10:$F$699,0)</f>
        <v>#N/A</v>
      </c>
      <c r="C1729" s="86" t="e">
        <f>+VLOOKUP(B1729,ARTICULOS!$D$10:$I$699,6)</f>
        <v>#N/A</v>
      </c>
      <c r="D1729" s="212"/>
      <c r="E1729" s="75" t="e">
        <f t="shared" si="56"/>
        <v>#N/A</v>
      </c>
      <c r="F1729" s="80"/>
      <c r="G1729" s="81"/>
      <c r="H1729" s="78"/>
      <c r="I1729" s="78"/>
      <c r="J1729" s="78"/>
    </row>
    <row r="1730" spans="1:10" x14ac:dyDescent="0.2">
      <c r="A1730" s="84">
        <f t="shared" si="57"/>
        <v>1724</v>
      </c>
      <c r="B1730" s="85" t="e">
        <f>+MATCH(D1730,ARTICULOS!$F$10:$F$699,0)</f>
        <v>#N/A</v>
      </c>
      <c r="C1730" s="86" t="e">
        <f>+VLOOKUP(B1730,ARTICULOS!$D$10:$I$699,6)</f>
        <v>#N/A</v>
      </c>
      <c r="D1730" s="212"/>
      <c r="E1730" s="75" t="e">
        <f t="shared" si="56"/>
        <v>#N/A</v>
      </c>
      <c r="F1730" s="80"/>
      <c r="G1730" s="81"/>
      <c r="H1730" s="78"/>
      <c r="I1730" s="78"/>
      <c r="J1730" s="78"/>
    </row>
    <row r="1731" spans="1:10" x14ac:dyDescent="0.2">
      <c r="A1731" s="84">
        <f t="shared" si="57"/>
        <v>1725</v>
      </c>
      <c r="B1731" s="85" t="e">
        <f>+MATCH(D1731,ARTICULOS!$F$10:$F$699,0)</f>
        <v>#N/A</v>
      </c>
      <c r="C1731" s="86" t="e">
        <f>+VLOOKUP(B1731,ARTICULOS!$D$10:$I$699,6)</f>
        <v>#N/A</v>
      </c>
      <c r="D1731" s="212"/>
      <c r="E1731" s="75" t="e">
        <f t="shared" si="56"/>
        <v>#N/A</v>
      </c>
      <c r="F1731" s="80"/>
      <c r="G1731" s="81"/>
      <c r="H1731" s="78"/>
      <c r="I1731" s="78"/>
      <c r="J1731" s="78"/>
    </row>
    <row r="1732" spans="1:10" x14ac:dyDescent="0.2">
      <c r="A1732" s="84">
        <f t="shared" si="57"/>
        <v>1726</v>
      </c>
      <c r="B1732" s="85" t="e">
        <f>+MATCH(D1732,ARTICULOS!$F$10:$F$699,0)</f>
        <v>#N/A</v>
      </c>
      <c r="C1732" s="86" t="e">
        <f>+VLOOKUP(B1732,ARTICULOS!$D$10:$I$699,6)</f>
        <v>#N/A</v>
      </c>
      <c r="D1732" s="212"/>
      <c r="E1732" s="75" t="e">
        <f t="shared" si="56"/>
        <v>#N/A</v>
      </c>
      <c r="F1732" s="80"/>
      <c r="G1732" s="81"/>
      <c r="H1732" s="78"/>
      <c r="I1732" s="78"/>
      <c r="J1732" s="78"/>
    </row>
    <row r="1733" spans="1:10" x14ac:dyDescent="0.2">
      <c r="A1733" s="84">
        <f t="shared" si="57"/>
        <v>1727</v>
      </c>
      <c r="B1733" s="85" t="e">
        <f>+MATCH(D1733,ARTICULOS!$F$10:$F$699,0)</f>
        <v>#N/A</v>
      </c>
      <c r="C1733" s="86" t="e">
        <f>+VLOOKUP(B1733,ARTICULOS!$D$10:$I$699,6)</f>
        <v>#N/A</v>
      </c>
      <c r="D1733" s="212"/>
      <c r="E1733" s="75" t="e">
        <f t="shared" si="56"/>
        <v>#N/A</v>
      </c>
      <c r="F1733" s="80"/>
      <c r="G1733" s="81"/>
      <c r="H1733" s="78"/>
      <c r="I1733" s="78"/>
      <c r="J1733" s="78"/>
    </row>
    <row r="1734" spans="1:10" x14ac:dyDescent="0.2">
      <c r="A1734" s="84">
        <f t="shared" si="57"/>
        <v>1728</v>
      </c>
      <c r="B1734" s="85" t="e">
        <f>+MATCH(D1734,ARTICULOS!$F$10:$F$699,0)</f>
        <v>#N/A</v>
      </c>
      <c r="C1734" s="86" t="e">
        <f>+VLOOKUP(B1734,ARTICULOS!$D$10:$I$699,6)</f>
        <v>#N/A</v>
      </c>
      <c r="D1734" s="212"/>
      <c r="E1734" s="75" t="e">
        <f t="shared" si="56"/>
        <v>#N/A</v>
      </c>
      <c r="F1734" s="80"/>
      <c r="G1734" s="81"/>
      <c r="H1734" s="78"/>
      <c r="I1734" s="78"/>
      <c r="J1734" s="78"/>
    </row>
    <row r="1735" spans="1:10" x14ac:dyDescent="0.2">
      <c r="A1735" s="84">
        <f t="shared" si="57"/>
        <v>1729</v>
      </c>
      <c r="B1735" s="85" t="e">
        <f>+MATCH(D1735,ARTICULOS!$F$10:$F$699,0)</f>
        <v>#N/A</v>
      </c>
      <c r="C1735" s="86" t="e">
        <f>+VLOOKUP(B1735,ARTICULOS!$D$10:$I$699,6)</f>
        <v>#N/A</v>
      </c>
      <c r="D1735" s="212"/>
      <c r="E1735" s="75" t="e">
        <f t="shared" si="56"/>
        <v>#N/A</v>
      </c>
      <c r="F1735" s="80"/>
      <c r="G1735" s="81"/>
      <c r="H1735" s="78"/>
      <c r="I1735" s="78"/>
      <c r="J1735" s="78"/>
    </row>
    <row r="1736" spans="1:10" x14ac:dyDescent="0.2">
      <c r="A1736" s="84">
        <f t="shared" si="57"/>
        <v>1730</v>
      </c>
      <c r="B1736" s="85" t="e">
        <f>+MATCH(D1736,ARTICULOS!$F$10:$F$699,0)</f>
        <v>#N/A</v>
      </c>
      <c r="C1736" s="86" t="e">
        <f>+VLOOKUP(B1736,ARTICULOS!$D$10:$I$699,6)</f>
        <v>#N/A</v>
      </c>
      <c r="D1736" s="212"/>
      <c r="E1736" s="75" t="e">
        <f t="shared" si="56"/>
        <v>#N/A</v>
      </c>
      <c r="F1736" s="80"/>
      <c r="G1736" s="81"/>
      <c r="H1736" s="78"/>
      <c r="I1736" s="78"/>
      <c r="J1736" s="78"/>
    </row>
    <row r="1737" spans="1:10" x14ac:dyDescent="0.2">
      <c r="A1737" s="84">
        <f t="shared" si="57"/>
        <v>1731</v>
      </c>
      <c r="B1737" s="85" t="e">
        <f>+MATCH(D1737,ARTICULOS!$F$10:$F$699,0)</f>
        <v>#N/A</v>
      </c>
      <c r="C1737" s="86" t="e">
        <f>+VLOOKUP(B1737,ARTICULOS!$D$10:$I$699,6)</f>
        <v>#N/A</v>
      </c>
      <c r="D1737" s="212"/>
      <c r="E1737" s="75" t="e">
        <f t="shared" si="56"/>
        <v>#N/A</v>
      </c>
      <c r="F1737" s="80"/>
      <c r="G1737" s="81"/>
      <c r="H1737" s="78"/>
      <c r="I1737" s="78"/>
      <c r="J1737" s="78"/>
    </row>
    <row r="1738" spans="1:10" x14ac:dyDescent="0.2">
      <c r="A1738" s="84">
        <f t="shared" si="57"/>
        <v>1732</v>
      </c>
      <c r="B1738" s="85" t="e">
        <f>+MATCH(D1738,ARTICULOS!$F$10:$F$699,0)</f>
        <v>#N/A</v>
      </c>
      <c r="C1738" s="86" t="e">
        <f>+VLOOKUP(B1738,ARTICULOS!$D$10:$I$699,6)</f>
        <v>#N/A</v>
      </c>
      <c r="D1738" s="212"/>
      <c r="E1738" s="75" t="e">
        <f t="shared" si="56"/>
        <v>#N/A</v>
      </c>
      <c r="F1738" s="80"/>
      <c r="G1738" s="81"/>
      <c r="H1738" s="78"/>
      <c r="I1738" s="78"/>
      <c r="J1738" s="78"/>
    </row>
    <row r="1739" spans="1:10" x14ac:dyDescent="0.2">
      <c r="A1739" s="84">
        <f t="shared" si="57"/>
        <v>1733</v>
      </c>
      <c r="B1739" s="85" t="e">
        <f>+MATCH(D1739,ARTICULOS!$F$10:$F$699,0)</f>
        <v>#N/A</v>
      </c>
      <c r="C1739" s="86" t="e">
        <f>+VLOOKUP(B1739,ARTICULOS!$D$10:$I$699,6)</f>
        <v>#N/A</v>
      </c>
      <c r="D1739" s="212"/>
      <c r="E1739" s="75" t="e">
        <f t="shared" ref="E1739:E1802" si="58">+C1739&amp;F1739</f>
        <v>#N/A</v>
      </c>
      <c r="F1739" s="80"/>
      <c r="G1739" s="81"/>
      <c r="H1739" s="78"/>
      <c r="I1739" s="78"/>
      <c r="J1739" s="78"/>
    </row>
    <row r="1740" spans="1:10" x14ac:dyDescent="0.2">
      <c r="A1740" s="84">
        <f t="shared" si="57"/>
        <v>1734</v>
      </c>
      <c r="B1740" s="85" t="e">
        <f>+MATCH(D1740,ARTICULOS!$F$10:$F$699,0)</f>
        <v>#N/A</v>
      </c>
      <c r="C1740" s="86" t="e">
        <f>+VLOOKUP(B1740,ARTICULOS!$D$10:$I$699,6)</f>
        <v>#N/A</v>
      </c>
      <c r="D1740" s="212"/>
      <c r="E1740" s="75" t="e">
        <f t="shared" si="58"/>
        <v>#N/A</v>
      </c>
      <c r="F1740" s="80"/>
      <c r="G1740" s="81"/>
      <c r="H1740" s="78"/>
      <c r="I1740" s="78"/>
      <c r="J1740" s="78"/>
    </row>
    <row r="1741" spans="1:10" x14ac:dyDescent="0.2">
      <c r="A1741" s="84">
        <f t="shared" si="57"/>
        <v>1735</v>
      </c>
      <c r="B1741" s="85" t="e">
        <f>+MATCH(D1741,ARTICULOS!$F$10:$F$699,0)</f>
        <v>#N/A</v>
      </c>
      <c r="C1741" s="86" t="e">
        <f>+VLOOKUP(B1741,ARTICULOS!$D$10:$I$699,6)</f>
        <v>#N/A</v>
      </c>
      <c r="D1741" s="212"/>
      <c r="E1741" s="75" t="e">
        <f t="shared" si="58"/>
        <v>#N/A</v>
      </c>
      <c r="F1741" s="80"/>
      <c r="G1741" s="81"/>
      <c r="H1741" s="78"/>
      <c r="I1741" s="78"/>
      <c r="J1741" s="78"/>
    </row>
    <row r="1742" spans="1:10" x14ac:dyDescent="0.2">
      <c r="A1742" s="84">
        <f t="shared" si="57"/>
        <v>1736</v>
      </c>
      <c r="B1742" s="85" t="e">
        <f>+MATCH(D1742,ARTICULOS!$F$10:$F$699,0)</f>
        <v>#N/A</v>
      </c>
      <c r="C1742" s="86" t="e">
        <f>+VLOOKUP(B1742,ARTICULOS!$D$10:$I$699,6)</f>
        <v>#N/A</v>
      </c>
      <c r="D1742" s="212"/>
      <c r="E1742" s="75" t="e">
        <f t="shared" si="58"/>
        <v>#N/A</v>
      </c>
      <c r="F1742" s="80"/>
      <c r="G1742" s="81"/>
      <c r="H1742" s="78"/>
      <c r="I1742" s="78"/>
      <c r="J1742" s="78"/>
    </row>
    <row r="1743" spans="1:10" x14ac:dyDescent="0.2">
      <c r="A1743" s="84">
        <f t="shared" si="57"/>
        <v>1737</v>
      </c>
      <c r="B1743" s="85" t="e">
        <f>+MATCH(D1743,ARTICULOS!$F$10:$F$699,0)</f>
        <v>#N/A</v>
      </c>
      <c r="C1743" s="86" t="e">
        <f>+VLOOKUP(B1743,ARTICULOS!$D$10:$I$699,6)</f>
        <v>#N/A</v>
      </c>
      <c r="D1743" s="212"/>
      <c r="E1743" s="75" t="e">
        <f t="shared" si="58"/>
        <v>#N/A</v>
      </c>
      <c r="F1743" s="80"/>
      <c r="G1743" s="81"/>
      <c r="H1743" s="78"/>
      <c r="I1743" s="78"/>
      <c r="J1743" s="78"/>
    </row>
    <row r="1744" spans="1:10" x14ac:dyDescent="0.2">
      <c r="A1744" s="84">
        <f t="shared" si="57"/>
        <v>1738</v>
      </c>
      <c r="B1744" s="85" t="e">
        <f>+MATCH(D1744,ARTICULOS!$F$10:$F$699,0)</f>
        <v>#N/A</v>
      </c>
      <c r="C1744" s="86" t="e">
        <f>+VLOOKUP(B1744,ARTICULOS!$D$10:$I$699,6)</f>
        <v>#N/A</v>
      </c>
      <c r="D1744" s="212"/>
      <c r="E1744" s="75" t="e">
        <f t="shared" si="58"/>
        <v>#N/A</v>
      </c>
      <c r="F1744" s="80"/>
      <c r="G1744" s="81"/>
      <c r="H1744" s="78"/>
      <c r="I1744" s="78"/>
      <c r="J1744" s="78"/>
    </row>
    <row r="1745" spans="1:10" x14ac:dyDescent="0.2">
      <c r="A1745" s="84">
        <f t="shared" si="57"/>
        <v>1739</v>
      </c>
      <c r="B1745" s="85" t="e">
        <f>+MATCH(D1745,ARTICULOS!$F$10:$F$699,0)</f>
        <v>#N/A</v>
      </c>
      <c r="C1745" s="86" t="e">
        <f>+VLOOKUP(B1745,ARTICULOS!$D$10:$I$699,6)</f>
        <v>#N/A</v>
      </c>
      <c r="D1745" s="212"/>
      <c r="E1745" s="75" t="e">
        <f t="shared" si="58"/>
        <v>#N/A</v>
      </c>
      <c r="F1745" s="80"/>
      <c r="G1745" s="81"/>
      <c r="H1745" s="78"/>
      <c r="I1745" s="78"/>
      <c r="J1745" s="78"/>
    </row>
    <row r="1746" spans="1:10" x14ac:dyDescent="0.2">
      <c r="A1746" s="84">
        <f t="shared" si="57"/>
        <v>1740</v>
      </c>
      <c r="B1746" s="85" t="e">
        <f>+MATCH(D1746,ARTICULOS!$F$10:$F$699,0)</f>
        <v>#N/A</v>
      </c>
      <c r="C1746" s="86" t="e">
        <f>+VLOOKUP(B1746,ARTICULOS!$D$10:$I$699,6)</f>
        <v>#N/A</v>
      </c>
      <c r="D1746" s="212"/>
      <c r="E1746" s="75" t="e">
        <f t="shared" si="58"/>
        <v>#N/A</v>
      </c>
      <c r="F1746" s="80"/>
      <c r="G1746" s="81"/>
      <c r="H1746" s="78"/>
      <c r="I1746" s="78"/>
      <c r="J1746" s="78"/>
    </row>
    <row r="1747" spans="1:10" x14ac:dyDescent="0.2">
      <c r="A1747" s="84">
        <f t="shared" si="57"/>
        <v>1741</v>
      </c>
      <c r="B1747" s="85" t="e">
        <f>+MATCH(D1747,ARTICULOS!$F$10:$F$699,0)</f>
        <v>#N/A</v>
      </c>
      <c r="C1747" s="86" t="e">
        <f>+VLOOKUP(B1747,ARTICULOS!$D$10:$I$699,6)</f>
        <v>#N/A</v>
      </c>
      <c r="D1747" s="212"/>
      <c r="E1747" s="75" t="e">
        <f t="shared" si="58"/>
        <v>#N/A</v>
      </c>
      <c r="F1747" s="80"/>
      <c r="G1747" s="81"/>
      <c r="H1747" s="78"/>
      <c r="I1747" s="78"/>
      <c r="J1747" s="78"/>
    </row>
    <row r="1748" spans="1:10" x14ac:dyDescent="0.2">
      <c r="A1748" s="84">
        <f t="shared" si="57"/>
        <v>1742</v>
      </c>
      <c r="B1748" s="85" t="e">
        <f>+MATCH(D1748,ARTICULOS!$F$10:$F$699,0)</f>
        <v>#N/A</v>
      </c>
      <c r="C1748" s="86" t="e">
        <f>+VLOOKUP(B1748,ARTICULOS!$D$10:$I$699,6)</f>
        <v>#N/A</v>
      </c>
      <c r="D1748" s="212"/>
      <c r="E1748" s="75" t="e">
        <f t="shared" si="58"/>
        <v>#N/A</v>
      </c>
      <c r="F1748" s="80"/>
      <c r="G1748" s="81"/>
      <c r="H1748" s="78"/>
      <c r="I1748" s="78"/>
      <c r="J1748" s="78"/>
    </row>
    <row r="1749" spans="1:10" x14ac:dyDescent="0.2">
      <c r="A1749" s="84">
        <f t="shared" si="57"/>
        <v>1743</v>
      </c>
      <c r="B1749" s="85" t="e">
        <f>+MATCH(D1749,ARTICULOS!$F$10:$F$699,0)</f>
        <v>#N/A</v>
      </c>
      <c r="C1749" s="86" t="e">
        <f>+VLOOKUP(B1749,ARTICULOS!$D$10:$I$699,6)</f>
        <v>#N/A</v>
      </c>
      <c r="D1749" s="212"/>
      <c r="E1749" s="75" t="e">
        <f t="shared" si="58"/>
        <v>#N/A</v>
      </c>
      <c r="F1749" s="80"/>
      <c r="G1749" s="81"/>
      <c r="H1749" s="78"/>
      <c r="I1749" s="78"/>
      <c r="J1749" s="78"/>
    </row>
    <row r="1750" spans="1:10" x14ac:dyDescent="0.2">
      <c r="A1750" s="84">
        <f t="shared" si="57"/>
        <v>1744</v>
      </c>
      <c r="B1750" s="85" t="e">
        <f>+MATCH(D1750,ARTICULOS!$F$10:$F$699,0)</f>
        <v>#N/A</v>
      </c>
      <c r="C1750" s="86" t="e">
        <f>+VLOOKUP(B1750,ARTICULOS!$D$10:$I$699,6)</f>
        <v>#N/A</v>
      </c>
      <c r="D1750" s="212"/>
      <c r="E1750" s="75" t="e">
        <f t="shared" si="58"/>
        <v>#N/A</v>
      </c>
      <c r="F1750" s="80"/>
      <c r="G1750" s="81"/>
      <c r="H1750" s="78"/>
      <c r="I1750" s="78"/>
      <c r="J1750" s="78"/>
    </row>
    <row r="1751" spans="1:10" x14ac:dyDescent="0.2">
      <c r="A1751" s="84">
        <f t="shared" si="57"/>
        <v>1745</v>
      </c>
      <c r="B1751" s="85" t="e">
        <f>+MATCH(D1751,ARTICULOS!$F$10:$F$699,0)</f>
        <v>#N/A</v>
      </c>
      <c r="C1751" s="86" t="e">
        <f>+VLOOKUP(B1751,ARTICULOS!$D$10:$I$699,6)</f>
        <v>#N/A</v>
      </c>
      <c r="D1751" s="212"/>
      <c r="E1751" s="75" t="e">
        <f t="shared" si="58"/>
        <v>#N/A</v>
      </c>
      <c r="F1751" s="80"/>
      <c r="G1751" s="81"/>
      <c r="H1751" s="78"/>
      <c r="I1751" s="78"/>
      <c r="J1751" s="78"/>
    </row>
    <row r="1752" spans="1:10" x14ac:dyDescent="0.2">
      <c r="A1752" s="84">
        <f t="shared" si="57"/>
        <v>1746</v>
      </c>
      <c r="B1752" s="85" t="e">
        <f>+MATCH(D1752,ARTICULOS!$F$10:$F$699,0)</f>
        <v>#N/A</v>
      </c>
      <c r="C1752" s="86" t="e">
        <f>+VLOOKUP(B1752,ARTICULOS!$D$10:$I$699,6)</f>
        <v>#N/A</v>
      </c>
      <c r="D1752" s="212"/>
      <c r="E1752" s="75" t="e">
        <f t="shared" si="58"/>
        <v>#N/A</v>
      </c>
      <c r="F1752" s="80"/>
      <c r="G1752" s="81"/>
      <c r="H1752" s="78"/>
      <c r="I1752" s="78"/>
      <c r="J1752" s="78"/>
    </row>
    <row r="1753" spans="1:10" x14ac:dyDescent="0.2">
      <c r="A1753" s="84">
        <f t="shared" si="57"/>
        <v>1747</v>
      </c>
      <c r="B1753" s="85" t="e">
        <f>+MATCH(D1753,ARTICULOS!$F$10:$F$699,0)</f>
        <v>#N/A</v>
      </c>
      <c r="C1753" s="86" t="e">
        <f>+VLOOKUP(B1753,ARTICULOS!$D$10:$I$699,6)</f>
        <v>#N/A</v>
      </c>
      <c r="D1753" s="212"/>
      <c r="E1753" s="75" t="e">
        <f t="shared" si="58"/>
        <v>#N/A</v>
      </c>
      <c r="F1753" s="80"/>
      <c r="G1753" s="81"/>
      <c r="H1753" s="78"/>
      <c r="I1753" s="78"/>
      <c r="J1753" s="78"/>
    </row>
    <row r="1754" spans="1:10" x14ac:dyDescent="0.2">
      <c r="A1754" s="84">
        <f t="shared" si="57"/>
        <v>1748</v>
      </c>
      <c r="B1754" s="85" t="e">
        <f>+MATCH(D1754,ARTICULOS!$F$10:$F$699,0)</f>
        <v>#N/A</v>
      </c>
      <c r="C1754" s="86" t="e">
        <f>+VLOOKUP(B1754,ARTICULOS!$D$10:$I$699,6)</f>
        <v>#N/A</v>
      </c>
      <c r="D1754" s="212"/>
      <c r="E1754" s="75" t="e">
        <f t="shared" si="58"/>
        <v>#N/A</v>
      </c>
      <c r="F1754" s="80"/>
      <c r="G1754" s="81"/>
      <c r="H1754" s="78"/>
      <c r="I1754" s="78"/>
      <c r="J1754" s="78"/>
    </row>
    <row r="1755" spans="1:10" x14ac:dyDescent="0.2">
      <c r="A1755" s="84">
        <f t="shared" si="57"/>
        <v>1749</v>
      </c>
      <c r="B1755" s="85" t="e">
        <f>+MATCH(D1755,ARTICULOS!$F$10:$F$699,0)</f>
        <v>#N/A</v>
      </c>
      <c r="C1755" s="86" t="e">
        <f>+VLOOKUP(B1755,ARTICULOS!$D$10:$I$699,6)</f>
        <v>#N/A</v>
      </c>
      <c r="D1755" s="212"/>
      <c r="E1755" s="75" t="e">
        <f t="shared" si="58"/>
        <v>#N/A</v>
      </c>
      <c r="F1755" s="80"/>
      <c r="G1755" s="81"/>
      <c r="H1755" s="78"/>
      <c r="I1755" s="78"/>
      <c r="J1755" s="78"/>
    </row>
    <row r="1756" spans="1:10" x14ac:dyDescent="0.2">
      <c r="A1756" s="84">
        <f t="shared" si="57"/>
        <v>1750</v>
      </c>
      <c r="B1756" s="85" t="e">
        <f>+MATCH(D1756,ARTICULOS!$F$10:$F$699,0)</f>
        <v>#N/A</v>
      </c>
      <c r="C1756" s="86" t="e">
        <f>+VLOOKUP(B1756,ARTICULOS!$D$10:$I$699,6)</f>
        <v>#N/A</v>
      </c>
      <c r="D1756" s="212"/>
      <c r="E1756" s="75" t="e">
        <f t="shared" si="58"/>
        <v>#N/A</v>
      </c>
      <c r="F1756" s="80"/>
      <c r="G1756" s="81"/>
      <c r="H1756" s="78"/>
      <c r="I1756" s="78"/>
      <c r="J1756" s="78"/>
    </row>
    <row r="1757" spans="1:10" x14ac:dyDescent="0.2">
      <c r="A1757" s="84">
        <f t="shared" si="57"/>
        <v>1751</v>
      </c>
      <c r="B1757" s="85" t="e">
        <f>+MATCH(D1757,ARTICULOS!$F$10:$F$699,0)</f>
        <v>#N/A</v>
      </c>
      <c r="C1757" s="86" t="e">
        <f>+VLOOKUP(B1757,ARTICULOS!$D$10:$I$699,6)</f>
        <v>#N/A</v>
      </c>
      <c r="D1757" s="212"/>
      <c r="E1757" s="75" t="e">
        <f t="shared" si="58"/>
        <v>#N/A</v>
      </c>
      <c r="F1757" s="80"/>
      <c r="G1757" s="81"/>
      <c r="H1757" s="78"/>
      <c r="I1757" s="78"/>
      <c r="J1757" s="78"/>
    </row>
    <row r="1758" spans="1:10" x14ac:dyDescent="0.2">
      <c r="A1758" s="84">
        <f t="shared" si="57"/>
        <v>1752</v>
      </c>
      <c r="B1758" s="85" t="e">
        <f>+MATCH(D1758,ARTICULOS!$F$10:$F$699,0)</f>
        <v>#N/A</v>
      </c>
      <c r="C1758" s="86" t="e">
        <f>+VLOOKUP(B1758,ARTICULOS!$D$10:$I$699,6)</f>
        <v>#N/A</v>
      </c>
      <c r="D1758" s="212"/>
      <c r="E1758" s="75" t="e">
        <f t="shared" si="58"/>
        <v>#N/A</v>
      </c>
      <c r="F1758" s="80"/>
      <c r="G1758" s="81"/>
      <c r="H1758" s="78"/>
      <c r="I1758" s="78"/>
      <c r="J1758" s="78"/>
    </row>
    <row r="1759" spans="1:10" x14ac:dyDescent="0.2">
      <c r="A1759" s="84">
        <f t="shared" si="57"/>
        <v>1753</v>
      </c>
      <c r="B1759" s="85" t="e">
        <f>+MATCH(D1759,ARTICULOS!$F$10:$F$699,0)</f>
        <v>#N/A</v>
      </c>
      <c r="C1759" s="86" t="e">
        <f>+VLOOKUP(B1759,ARTICULOS!$D$10:$I$699,6)</f>
        <v>#N/A</v>
      </c>
      <c r="D1759" s="212"/>
      <c r="E1759" s="75" t="e">
        <f t="shared" si="58"/>
        <v>#N/A</v>
      </c>
      <c r="F1759" s="80"/>
      <c r="G1759" s="81"/>
      <c r="H1759" s="78"/>
      <c r="I1759" s="78"/>
      <c r="J1759" s="78"/>
    </row>
    <row r="1760" spans="1:10" x14ac:dyDescent="0.2">
      <c r="A1760" s="84">
        <f t="shared" si="57"/>
        <v>1754</v>
      </c>
      <c r="B1760" s="85" t="e">
        <f>+MATCH(D1760,ARTICULOS!$F$10:$F$699,0)</f>
        <v>#N/A</v>
      </c>
      <c r="C1760" s="86" t="e">
        <f>+VLOOKUP(B1760,ARTICULOS!$D$10:$I$699,6)</f>
        <v>#N/A</v>
      </c>
      <c r="D1760" s="212"/>
      <c r="E1760" s="75" t="e">
        <f t="shared" si="58"/>
        <v>#N/A</v>
      </c>
      <c r="F1760" s="80"/>
      <c r="G1760" s="81"/>
      <c r="H1760" s="78"/>
      <c r="I1760" s="78"/>
      <c r="J1760" s="78"/>
    </row>
    <row r="1761" spans="1:10" x14ac:dyDescent="0.2">
      <c r="A1761" s="84">
        <f t="shared" si="57"/>
        <v>1755</v>
      </c>
      <c r="B1761" s="85" t="e">
        <f>+MATCH(D1761,ARTICULOS!$F$10:$F$699,0)</f>
        <v>#N/A</v>
      </c>
      <c r="C1761" s="86" t="e">
        <f>+VLOOKUP(B1761,ARTICULOS!$D$10:$I$699,6)</f>
        <v>#N/A</v>
      </c>
      <c r="D1761" s="212"/>
      <c r="E1761" s="75" t="e">
        <f t="shared" si="58"/>
        <v>#N/A</v>
      </c>
      <c r="F1761" s="80"/>
      <c r="G1761" s="81"/>
      <c r="H1761" s="78"/>
      <c r="I1761" s="78"/>
      <c r="J1761" s="78"/>
    </row>
    <row r="1762" spans="1:10" x14ac:dyDescent="0.2">
      <c r="A1762" s="84">
        <f t="shared" si="57"/>
        <v>1756</v>
      </c>
      <c r="B1762" s="85" t="e">
        <f>+MATCH(D1762,ARTICULOS!$F$10:$F$699,0)</f>
        <v>#N/A</v>
      </c>
      <c r="C1762" s="86" t="e">
        <f>+VLOOKUP(B1762,ARTICULOS!$D$10:$I$699,6)</f>
        <v>#N/A</v>
      </c>
      <c r="D1762" s="212"/>
      <c r="E1762" s="75" t="e">
        <f t="shared" si="58"/>
        <v>#N/A</v>
      </c>
      <c r="F1762" s="80"/>
      <c r="G1762" s="81"/>
      <c r="H1762" s="78"/>
      <c r="I1762" s="78"/>
      <c r="J1762" s="78"/>
    </row>
    <row r="1763" spans="1:10" x14ac:dyDescent="0.2">
      <c r="A1763" s="84">
        <f t="shared" si="57"/>
        <v>1757</v>
      </c>
      <c r="B1763" s="85" t="e">
        <f>+MATCH(D1763,ARTICULOS!$F$10:$F$699,0)</f>
        <v>#N/A</v>
      </c>
      <c r="C1763" s="86" t="e">
        <f>+VLOOKUP(B1763,ARTICULOS!$D$10:$I$699,6)</f>
        <v>#N/A</v>
      </c>
      <c r="D1763" s="212"/>
      <c r="E1763" s="75" t="e">
        <f t="shared" si="58"/>
        <v>#N/A</v>
      </c>
      <c r="F1763" s="80"/>
      <c r="G1763" s="81"/>
      <c r="H1763" s="78"/>
      <c r="I1763" s="78"/>
      <c r="J1763" s="78"/>
    </row>
    <row r="1764" spans="1:10" x14ac:dyDescent="0.2">
      <c r="A1764" s="84">
        <f t="shared" si="57"/>
        <v>1758</v>
      </c>
      <c r="B1764" s="85" t="e">
        <f>+MATCH(D1764,ARTICULOS!$F$10:$F$699,0)</f>
        <v>#N/A</v>
      </c>
      <c r="C1764" s="86" t="e">
        <f>+VLOOKUP(B1764,ARTICULOS!$D$10:$I$699,6)</f>
        <v>#N/A</v>
      </c>
      <c r="D1764" s="212"/>
      <c r="E1764" s="75" t="e">
        <f t="shared" si="58"/>
        <v>#N/A</v>
      </c>
      <c r="F1764" s="80"/>
      <c r="G1764" s="81"/>
      <c r="H1764" s="78"/>
      <c r="I1764" s="78"/>
      <c r="J1764" s="78"/>
    </row>
    <row r="1765" spans="1:10" x14ac:dyDescent="0.2">
      <c r="A1765" s="84">
        <f t="shared" si="57"/>
        <v>1759</v>
      </c>
      <c r="B1765" s="85" t="e">
        <f>+MATCH(D1765,ARTICULOS!$F$10:$F$699,0)</f>
        <v>#N/A</v>
      </c>
      <c r="C1765" s="86" t="e">
        <f>+VLOOKUP(B1765,ARTICULOS!$D$10:$I$699,6)</f>
        <v>#N/A</v>
      </c>
      <c r="D1765" s="212"/>
      <c r="E1765" s="75" t="e">
        <f t="shared" si="58"/>
        <v>#N/A</v>
      </c>
      <c r="F1765" s="80"/>
      <c r="G1765" s="81"/>
      <c r="H1765" s="78"/>
      <c r="I1765" s="78"/>
      <c r="J1765" s="78"/>
    </row>
    <row r="1766" spans="1:10" x14ac:dyDescent="0.2">
      <c r="A1766" s="84">
        <f t="shared" si="57"/>
        <v>1760</v>
      </c>
      <c r="B1766" s="85" t="e">
        <f>+MATCH(D1766,ARTICULOS!$F$10:$F$699,0)</f>
        <v>#N/A</v>
      </c>
      <c r="C1766" s="86" t="e">
        <f>+VLOOKUP(B1766,ARTICULOS!$D$10:$I$699,6)</f>
        <v>#N/A</v>
      </c>
      <c r="D1766" s="212"/>
      <c r="E1766" s="75" t="e">
        <f t="shared" si="58"/>
        <v>#N/A</v>
      </c>
      <c r="F1766" s="80"/>
      <c r="G1766" s="81"/>
      <c r="H1766" s="78"/>
      <c r="I1766" s="78"/>
      <c r="J1766" s="78"/>
    </row>
    <row r="1767" spans="1:10" x14ac:dyDescent="0.2">
      <c r="A1767" s="84">
        <f t="shared" si="57"/>
        <v>1761</v>
      </c>
      <c r="B1767" s="85" t="e">
        <f>+MATCH(D1767,ARTICULOS!$F$10:$F$699,0)</f>
        <v>#N/A</v>
      </c>
      <c r="C1767" s="86" t="e">
        <f>+VLOOKUP(B1767,ARTICULOS!$D$10:$I$699,6)</f>
        <v>#N/A</v>
      </c>
      <c r="D1767" s="212"/>
      <c r="E1767" s="75" t="e">
        <f t="shared" si="58"/>
        <v>#N/A</v>
      </c>
      <c r="F1767" s="80"/>
      <c r="G1767" s="81"/>
      <c r="H1767" s="78"/>
      <c r="I1767" s="78"/>
      <c r="J1767" s="78"/>
    </row>
    <row r="1768" spans="1:10" x14ac:dyDescent="0.2">
      <c r="A1768" s="84">
        <f t="shared" si="57"/>
        <v>1762</v>
      </c>
      <c r="B1768" s="85" t="e">
        <f>+MATCH(D1768,ARTICULOS!$F$10:$F$699,0)</f>
        <v>#N/A</v>
      </c>
      <c r="C1768" s="86" t="e">
        <f>+VLOOKUP(B1768,ARTICULOS!$D$10:$I$699,6)</f>
        <v>#N/A</v>
      </c>
      <c r="D1768" s="212"/>
      <c r="E1768" s="75" t="e">
        <f t="shared" si="58"/>
        <v>#N/A</v>
      </c>
      <c r="F1768" s="80"/>
      <c r="G1768" s="81"/>
      <c r="H1768" s="78"/>
      <c r="I1768" s="78"/>
      <c r="J1768" s="78"/>
    </row>
    <row r="1769" spans="1:10" x14ac:dyDescent="0.2">
      <c r="A1769" s="84">
        <f t="shared" ref="A1769:A1832" si="59">ROW()-6</f>
        <v>1763</v>
      </c>
      <c r="B1769" s="85" t="e">
        <f>+MATCH(D1769,ARTICULOS!$F$10:$F$699,0)</f>
        <v>#N/A</v>
      </c>
      <c r="C1769" s="86" t="e">
        <f>+VLOOKUP(B1769,ARTICULOS!$D$10:$I$699,6)</f>
        <v>#N/A</v>
      </c>
      <c r="D1769" s="212"/>
      <c r="E1769" s="75" t="e">
        <f t="shared" si="58"/>
        <v>#N/A</v>
      </c>
      <c r="F1769" s="80"/>
      <c r="G1769" s="81"/>
      <c r="H1769" s="78"/>
      <c r="I1769" s="78"/>
      <c r="J1769" s="78"/>
    </row>
    <row r="1770" spans="1:10" x14ac:dyDescent="0.2">
      <c r="A1770" s="84">
        <f t="shared" si="59"/>
        <v>1764</v>
      </c>
      <c r="B1770" s="85" t="e">
        <f>+MATCH(D1770,ARTICULOS!$F$10:$F$699,0)</f>
        <v>#N/A</v>
      </c>
      <c r="C1770" s="86" t="e">
        <f>+VLOOKUP(B1770,ARTICULOS!$D$10:$I$699,6)</f>
        <v>#N/A</v>
      </c>
      <c r="D1770" s="212"/>
      <c r="E1770" s="75" t="e">
        <f t="shared" si="58"/>
        <v>#N/A</v>
      </c>
      <c r="F1770" s="80"/>
      <c r="G1770" s="81"/>
      <c r="H1770" s="78"/>
      <c r="I1770" s="78"/>
      <c r="J1770" s="78"/>
    </row>
    <row r="1771" spans="1:10" x14ac:dyDescent="0.2">
      <c r="A1771" s="84">
        <f t="shared" si="59"/>
        <v>1765</v>
      </c>
      <c r="B1771" s="85" t="e">
        <f>+MATCH(D1771,ARTICULOS!$F$10:$F$699,0)</f>
        <v>#N/A</v>
      </c>
      <c r="C1771" s="86" t="e">
        <f>+VLOOKUP(B1771,ARTICULOS!$D$10:$I$699,6)</f>
        <v>#N/A</v>
      </c>
      <c r="D1771" s="212"/>
      <c r="E1771" s="75" t="e">
        <f t="shared" si="58"/>
        <v>#N/A</v>
      </c>
      <c r="F1771" s="80"/>
      <c r="G1771" s="81"/>
      <c r="H1771" s="78"/>
      <c r="I1771" s="78"/>
      <c r="J1771" s="78"/>
    </row>
    <row r="1772" spans="1:10" x14ac:dyDescent="0.2">
      <c r="A1772" s="84">
        <f t="shared" si="59"/>
        <v>1766</v>
      </c>
      <c r="B1772" s="85" t="e">
        <f>+MATCH(D1772,ARTICULOS!$F$10:$F$699,0)</f>
        <v>#N/A</v>
      </c>
      <c r="C1772" s="86" t="e">
        <f>+VLOOKUP(B1772,ARTICULOS!$D$10:$I$699,6)</f>
        <v>#N/A</v>
      </c>
      <c r="D1772" s="212"/>
      <c r="E1772" s="75" t="e">
        <f t="shared" si="58"/>
        <v>#N/A</v>
      </c>
      <c r="F1772" s="80"/>
      <c r="G1772" s="81"/>
      <c r="H1772" s="78"/>
      <c r="I1772" s="78"/>
      <c r="J1772" s="78"/>
    </row>
    <row r="1773" spans="1:10" x14ac:dyDescent="0.2">
      <c r="A1773" s="84">
        <f t="shared" si="59"/>
        <v>1767</v>
      </c>
      <c r="B1773" s="85" t="e">
        <f>+MATCH(D1773,ARTICULOS!$F$10:$F$699,0)</f>
        <v>#N/A</v>
      </c>
      <c r="C1773" s="86" t="e">
        <f>+VLOOKUP(B1773,ARTICULOS!$D$10:$I$699,6)</f>
        <v>#N/A</v>
      </c>
      <c r="D1773" s="212"/>
      <c r="E1773" s="75" t="e">
        <f t="shared" si="58"/>
        <v>#N/A</v>
      </c>
      <c r="F1773" s="80"/>
      <c r="G1773" s="81"/>
      <c r="H1773" s="78"/>
      <c r="I1773" s="78"/>
      <c r="J1773" s="78"/>
    </row>
    <row r="1774" spans="1:10" x14ac:dyDescent="0.2">
      <c r="A1774" s="84">
        <f t="shared" si="59"/>
        <v>1768</v>
      </c>
      <c r="B1774" s="85" t="e">
        <f>+MATCH(D1774,ARTICULOS!$F$10:$F$699,0)</f>
        <v>#N/A</v>
      </c>
      <c r="C1774" s="86" t="e">
        <f>+VLOOKUP(B1774,ARTICULOS!$D$10:$I$699,6)</f>
        <v>#N/A</v>
      </c>
      <c r="D1774" s="212"/>
      <c r="E1774" s="75" t="e">
        <f t="shared" si="58"/>
        <v>#N/A</v>
      </c>
      <c r="F1774" s="80"/>
      <c r="G1774" s="81"/>
      <c r="H1774" s="78"/>
      <c r="I1774" s="78"/>
      <c r="J1774" s="78"/>
    </row>
    <row r="1775" spans="1:10" x14ac:dyDescent="0.2">
      <c r="A1775" s="84">
        <f t="shared" si="59"/>
        <v>1769</v>
      </c>
      <c r="B1775" s="85" t="e">
        <f>+MATCH(D1775,ARTICULOS!$F$10:$F$699,0)</f>
        <v>#N/A</v>
      </c>
      <c r="C1775" s="86" t="e">
        <f>+VLOOKUP(B1775,ARTICULOS!$D$10:$I$699,6)</f>
        <v>#N/A</v>
      </c>
      <c r="D1775" s="212"/>
      <c r="E1775" s="75" t="e">
        <f t="shared" si="58"/>
        <v>#N/A</v>
      </c>
      <c r="F1775" s="80"/>
      <c r="G1775" s="81"/>
      <c r="H1775" s="78"/>
      <c r="I1775" s="78"/>
      <c r="J1775" s="78"/>
    </row>
    <row r="1776" spans="1:10" x14ac:dyDescent="0.2">
      <c r="A1776" s="84">
        <f t="shared" si="59"/>
        <v>1770</v>
      </c>
      <c r="B1776" s="85" t="e">
        <f>+MATCH(D1776,ARTICULOS!$F$10:$F$699,0)</f>
        <v>#N/A</v>
      </c>
      <c r="C1776" s="86" t="e">
        <f>+VLOOKUP(B1776,ARTICULOS!$D$10:$I$699,6)</f>
        <v>#N/A</v>
      </c>
      <c r="D1776" s="212"/>
      <c r="E1776" s="75" t="e">
        <f t="shared" si="58"/>
        <v>#N/A</v>
      </c>
      <c r="F1776" s="80"/>
      <c r="G1776" s="81"/>
      <c r="H1776" s="78"/>
      <c r="I1776" s="78"/>
      <c r="J1776" s="78"/>
    </row>
    <row r="1777" spans="1:10" x14ac:dyDescent="0.2">
      <c r="A1777" s="84">
        <f t="shared" si="59"/>
        <v>1771</v>
      </c>
      <c r="B1777" s="85" t="e">
        <f>+MATCH(D1777,ARTICULOS!$F$10:$F$699,0)</f>
        <v>#N/A</v>
      </c>
      <c r="C1777" s="86" t="e">
        <f>+VLOOKUP(B1777,ARTICULOS!$D$10:$I$699,6)</f>
        <v>#N/A</v>
      </c>
      <c r="D1777" s="212"/>
      <c r="E1777" s="75" t="e">
        <f t="shared" si="58"/>
        <v>#N/A</v>
      </c>
      <c r="F1777" s="80"/>
      <c r="G1777" s="81"/>
      <c r="H1777" s="78"/>
      <c r="I1777" s="78"/>
      <c r="J1777" s="78"/>
    </row>
    <row r="1778" spans="1:10" x14ac:dyDescent="0.2">
      <c r="A1778" s="84">
        <f t="shared" si="59"/>
        <v>1772</v>
      </c>
      <c r="B1778" s="85" t="e">
        <f>+MATCH(D1778,ARTICULOS!$F$10:$F$699,0)</f>
        <v>#N/A</v>
      </c>
      <c r="C1778" s="86" t="e">
        <f>+VLOOKUP(B1778,ARTICULOS!$D$10:$I$699,6)</f>
        <v>#N/A</v>
      </c>
      <c r="D1778" s="212"/>
      <c r="E1778" s="75" t="e">
        <f t="shared" si="58"/>
        <v>#N/A</v>
      </c>
      <c r="F1778" s="80"/>
      <c r="G1778" s="81"/>
      <c r="H1778" s="78"/>
      <c r="I1778" s="78"/>
      <c r="J1778" s="78"/>
    </row>
    <row r="1779" spans="1:10" x14ac:dyDescent="0.2">
      <c r="A1779" s="84">
        <f t="shared" si="59"/>
        <v>1773</v>
      </c>
      <c r="B1779" s="85" t="e">
        <f>+MATCH(D1779,ARTICULOS!$F$10:$F$699,0)</f>
        <v>#N/A</v>
      </c>
      <c r="C1779" s="86" t="e">
        <f>+VLOOKUP(B1779,ARTICULOS!$D$10:$I$699,6)</f>
        <v>#N/A</v>
      </c>
      <c r="D1779" s="212"/>
      <c r="E1779" s="75" t="e">
        <f t="shared" si="58"/>
        <v>#N/A</v>
      </c>
      <c r="F1779" s="80"/>
      <c r="G1779" s="81"/>
      <c r="H1779" s="78"/>
      <c r="I1779" s="78"/>
      <c r="J1779" s="78"/>
    </row>
    <row r="1780" spans="1:10" x14ac:dyDescent="0.2">
      <c r="A1780" s="84">
        <f t="shared" si="59"/>
        <v>1774</v>
      </c>
      <c r="B1780" s="85" t="e">
        <f>+MATCH(D1780,ARTICULOS!$F$10:$F$699,0)</f>
        <v>#N/A</v>
      </c>
      <c r="C1780" s="86" t="e">
        <f>+VLOOKUP(B1780,ARTICULOS!$D$10:$I$699,6)</f>
        <v>#N/A</v>
      </c>
      <c r="D1780" s="212"/>
      <c r="E1780" s="75" t="e">
        <f t="shared" si="58"/>
        <v>#N/A</v>
      </c>
      <c r="F1780" s="80"/>
      <c r="G1780" s="81"/>
      <c r="H1780" s="78"/>
      <c r="I1780" s="78"/>
      <c r="J1780" s="78"/>
    </row>
    <row r="1781" spans="1:10" x14ac:dyDescent="0.2">
      <c r="A1781" s="84">
        <f t="shared" si="59"/>
        <v>1775</v>
      </c>
      <c r="B1781" s="85" t="e">
        <f>+MATCH(D1781,ARTICULOS!$F$10:$F$699,0)</f>
        <v>#N/A</v>
      </c>
      <c r="C1781" s="86" t="e">
        <f>+VLOOKUP(B1781,ARTICULOS!$D$10:$I$699,6)</f>
        <v>#N/A</v>
      </c>
      <c r="D1781" s="212"/>
      <c r="E1781" s="75" t="e">
        <f t="shared" si="58"/>
        <v>#N/A</v>
      </c>
      <c r="F1781" s="80"/>
      <c r="G1781" s="81"/>
      <c r="H1781" s="78"/>
      <c r="I1781" s="78"/>
      <c r="J1781" s="78"/>
    </row>
    <row r="1782" spans="1:10" x14ac:dyDescent="0.2">
      <c r="A1782" s="84">
        <f t="shared" si="59"/>
        <v>1776</v>
      </c>
      <c r="B1782" s="85" t="e">
        <f>+MATCH(D1782,ARTICULOS!$F$10:$F$699,0)</f>
        <v>#N/A</v>
      </c>
      <c r="C1782" s="86" t="e">
        <f>+VLOOKUP(B1782,ARTICULOS!$D$10:$I$699,6)</f>
        <v>#N/A</v>
      </c>
      <c r="D1782" s="212"/>
      <c r="E1782" s="75" t="e">
        <f t="shared" si="58"/>
        <v>#N/A</v>
      </c>
      <c r="F1782" s="80"/>
      <c r="G1782" s="81"/>
      <c r="H1782" s="78"/>
      <c r="I1782" s="78"/>
      <c r="J1782" s="78"/>
    </row>
    <row r="1783" spans="1:10" x14ac:dyDescent="0.2">
      <c r="A1783" s="84">
        <f t="shared" si="59"/>
        <v>1777</v>
      </c>
      <c r="B1783" s="85" t="e">
        <f>+MATCH(D1783,ARTICULOS!$F$10:$F$699,0)</f>
        <v>#N/A</v>
      </c>
      <c r="C1783" s="86" t="e">
        <f>+VLOOKUP(B1783,ARTICULOS!$D$10:$I$699,6)</f>
        <v>#N/A</v>
      </c>
      <c r="D1783" s="212"/>
      <c r="E1783" s="75" t="e">
        <f t="shared" si="58"/>
        <v>#N/A</v>
      </c>
      <c r="F1783" s="80"/>
      <c r="G1783" s="81"/>
      <c r="H1783" s="78"/>
      <c r="I1783" s="78"/>
      <c r="J1783" s="78"/>
    </row>
    <row r="1784" spans="1:10" x14ac:dyDescent="0.2">
      <c r="A1784" s="84">
        <f t="shared" si="59"/>
        <v>1778</v>
      </c>
      <c r="B1784" s="85" t="e">
        <f>+MATCH(D1784,ARTICULOS!$F$10:$F$699,0)</f>
        <v>#N/A</v>
      </c>
      <c r="C1784" s="86" t="e">
        <f>+VLOOKUP(B1784,ARTICULOS!$D$10:$I$699,6)</f>
        <v>#N/A</v>
      </c>
      <c r="D1784" s="212"/>
      <c r="E1784" s="75" t="e">
        <f t="shared" si="58"/>
        <v>#N/A</v>
      </c>
      <c r="F1784" s="80"/>
      <c r="G1784" s="81"/>
      <c r="H1784" s="78"/>
      <c r="I1784" s="78"/>
      <c r="J1784" s="78"/>
    </row>
    <row r="1785" spans="1:10" x14ac:dyDescent="0.2">
      <c r="A1785" s="84">
        <f t="shared" si="59"/>
        <v>1779</v>
      </c>
      <c r="B1785" s="85" t="e">
        <f>+MATCH(D1785,ARTICULOS!$F$10:$F$699,0)</f>
        <v>#N/A</v>
      </c>
      <c r="C1785" s="86" t="e">
        <f>+VLOOKUP(B1785,ARTICULOS!$D$10:$I$699,6)</f>
        <v>#N/A</v>
      </c>
      <c r="D1785" s="212"/>
      <c r="E1785" s="75" t="e">
        <f t="shared" si="58"/>
        <v>#N/A</v>
      </c>
      <c r="F1785" s="80"/>
      <c r="G1785" s="81"/>
      <c r="H1785" s="78"/>
      <c r="I1785" s="78"/>
      <c r="J1785" s="78"/>
    </row>
    <row r="1786" spans="1:10" x14ac:dyDescent="0.2">
      <c r="A1786" s="84">
        <f t="shared" si="59"/>
        <v>1780</v>
      </c>
      <c r="B1786" s="85" t="e">
        <f>+MATCH(D1786,ARTICULOS!$F$10:$F$699,0)</f>
        <v>#N/A</v>
      </c>
      <c r="C1786" s="86" t="e">
        <f>+VLOOKUP(B1786,ARTICULOS!$D$10:$I$699,6)</f>
        <v>#N/A</v>
      </c>
      <c r="D1786" s="212"/>
      <c r="E1786" s="75" t="e">
        <f t="shared" si="58"/>
        <v>#N/A</v>
      </c>
      <c r="F1786" s="80"/>
      <c r="G1786" s="81"/>
      <c r="H1786" s="78"/>
      <c r="I1786" s="78"/>
      <c r="J1786" s="78"/>
    </row>
    <row r="1787" spans="1:10" x14ac:dyDescent="0.2">
      <c r="A1787" s="84">
        <f t="shared" si="59"/>
        <v>1781</v>
      </c>
      <c r="B1787" s="85" t="e">
        <f>+MATCH(D1787,ARTICULOS!$F$10:$F$699,0)</f>
        <v>#N/A</v>
      </c>
      <c r="C1787" s="86" t="e">
        <f>+VLOOKUP(B1787,ARTICULOS!$D$10:$I$699,6)</f>
        <v>#N/A</v>
      </c>
      <c r="D1787" s="212"/>
      <c r="E1787" s="75" t="e">
        <f t="shared" si="58"/>
        <v>#N/A</v>
      </c>
      <c r="F1787" s="80"/>
      <c r="G1787" s="81"/>
      <c r="H1787" s="78"/>
      <c r="I1787" s="78"/>
      <c r="J1787" s="78"/>
    </row>
    <row r="1788" spans="1:10" x14ac:dyDescent="0.2">
      <c r="A1788" s="84">
        <f t="shared" si="59"/>
        <v>1782</v>
      </c>
      <c r="B1788" s="85" t="e">
        <f>+MATCH(D1788,ARTICULOS!$F$10:$F$699,0)</f>
        <v>#N/A</v>
      </c>
      <c r="C1788" s="86" t="e">
        <f>+VLOOKUP(B1788,ARTICULOS!$D$10:$I$699,6)</f>
        <v>#N/A</v>
      </c>
      <c r="D1788" s="212"/>
      <c r="E1788" s="75" t="e">
        <f t="shared" si="58"/>
        <v>#N/A</v>
      </c>
      <c r="F1788" s="80"/>
      <c r="G1788" s="81"/>
      <c r="H1788" s="78"/>
      <c r="I1788" s="78"/>
      <c r="J1788" s="78"/>
    </row>
    <row r="1789" spans="1:10" x14ac:dyDescent="0.2">
      <c r="A1789" s="84">
        <f t="shared" si="59"/>
        <v>1783</v>
      </c>
      <c r="B1789" s="85" t="e">
        <f>+MATCH(D1789,ARTICULOS!$F$10:$F$699,0)</f>
        <v>#N/A</v>
      </c>
      <c r="C1789" s="86" t="e">
        <f>+VLOOKUP(B1789,ARTICULOS!$D$10:$I$699,6)</f>
        <v>#N/A</v>
      </c>
      <c r="D1789" s="212"/>
      <c r="E1789" s="75" t="e">
        <f t="shared" si="58"/>
        <v>#N/A</v>
      </c>
      <c r="F1789" s="80"/>
      <c r="G1789" s="81"/>
      <c r="H1789" s="78"/>
      <c r="I1789" s="78"/>
      <c r="J1789" s="78"/>
    </row>
    <row r="1790" spans="1:10" x14ac:dyDescent="0.2">
      <c r="A1790" s="84">
        <f t="shared" si="59"/>
        <v>1784</v>
      </c>
      <c r="B1790" s="85" t="e">
        <f>+MATCH(D1790,ARTICULOS!$F$10:$F$699,0)</f>
        <v>#N/A</v>
      </c>
      <c r="C1790" s="86" t="e">
        <f>+VLOOKUP(B1790,ARTICULOS!$D$10:$I$699,6)</f>
        <v>#N/A</v>
      </c>
      <c r="D1790" s="212"/>
      <c r="E1790" s="75" t="e">
        <f t="shared" si="58"/>
        <v>#N/A</v>
      </c>
      <c r="F1790" s="80"/>
      <c r="G1790" s="81"/>
      <c r="H1790" s="78"/>
      <c r="I1790" s="78"/>
      <c r="J1790" s="78"/>
    </row>
    <row r="1791" spans="1:10" x14ac:dyDescent="0.2">
      <c r="A1791" s="84">
        <f t="shared" si="59"/>
        <v>1785</v>
      </c>
      <c r="B1791" s="85" t="e">
        <f>+MATCH(D1791,ARTICULOS!$F$10:$F$699,0)</f>
        <v>#N/A</v>
      </c>
      <c r="C1791" s="86" t="e">
        <f>+VLOOKUP(B1791,ARTICULOS!$D$10:$I$699,6)</f>
        <v>#N/A</v>
      </c>
      <c r="D1791" s="212"/>
      <c r="E1791" s="75" t="e">
        <f t="shared" si="58"/>
        <v>#N/A</v>
      </c>
      <c r="F1791" s="80"/>
      <c r="G1791" s="81"/>
      <c r="H1791" s="78"/>
      <c r="I1791" s="78"/>
      <c r="J1791" s="78"/>
    </row>
    <row r="1792" spans="1:10" x14ac:dyDescent="0.2">
      <c r="A1792" s="84">
        <f t="shared" si="59"/>
        <v>1786</v>
      </c>
      <c r="B1792" s="85" t="e">
        <f>+MATCH(D1792,ARTICULOS!$F$10:$F$699,0)</f>
        <v>#N/A</v>
      </c>
      <c r="C1792" s="86" t="e">
        <f>+VLOOKUP(B1792,ARTICULOS!$D$10:$I$699,6)</f>
        <v>#N/A</v>
      </c>
      <c r="D1792" s="212"/>
      <c r="E1792" s="75" t="e">
        <f t="shared" si="58"/>
        <v>#N/A</v>
      </c>
      <c r="F1792" s="80"/>
      <c r="G1792" s="81"/>
      <c r="H1792" s="78"/>
      <c r="I1792" s="78"/>
      <c r="J1792" s="78"/>
    </row>
    <row r="1793" spans="1:10" x14ac:dyDescent="0.2">
      <c r="A1793" s="84">
        <f t="shared" si="59"/>
        <v>1787</v>
      </c>
      <c r="B1793" s="85" t="e">
        <f>+MATCH(D1793,ARTICULOS!$F$10:$F$699,0)</f>
        <v>#N/A</v>
      </c>
      <c r="C1793" s="86" t="e">
        <f>+VLOOKUP(B1793,ARTICULOS!$D$10:$I$699,6)</f>
        <v>#N/A</v>
      </c>
      <c r="D1793" s="212"/>
      <c r="E1793" s="75" t="e">
        <f t="shared" si="58"/>
        <v>#N/A</v>
      </c>
      <c r="F1793" s="80"/>
      <c r="G1793" s="81"/>
      <c r="H1793" s="78"/>
      <c r="I1793" s="78"/>
      <c r="J1793" s="78"/>
    </row>
    <row r="1794" spans="1:10" x14ac:dyDescent="0.2">
      <c r="A1794" s="84">
        <f t="shared" si="59"/>
        <v>1788</v>
      </c>
      <c r="B1794" s="85" t="e">
        <f>+MATCH(D1794,ARTICULOS!$F$10:$F$699,0)</f>
        <v>#N/A</v>
      </c>
      <c r="C1794" s="86" t="e">
        <f>+VLOOKUP(B1794,ARTICULOS!$D$10:$I$699,6)</f>
        <v>#N/A</v>
      </c>
      <c r="D1794" s="212"/>
      <c r="E1794" s="75" t="e">
        <f t="shared" si="58"/>
        <v>#N/A</v>
      </c>
      <c r="F1794" s="80"/>
      <c r="G1794" s="81"/>
      <c r="H1794" s="78"/>
      <c r="I1794" s="78"/>
      <c r="J1794" s="78"/>
    </row>
    <row r="1795" spans="1:10" x14ac:dyDescent="0.2">
      <c r="A1795" s="84">
        <f t="shared" si="59"/>
        <v>1789</v>
      </c>
      <c r="B1795" s="85" t="e">
        <f>+MATCH(D1795,ARTICULOS!$F$10:$F$699,0)</f>
        <v>#N/A</v>
      </c>
      <c r="C1795" s="86" t="e">
        <f>+VLOOKUP(B1795,ARTICULOS!$D$10:$I$699,6)</f>
        <v>#N/A</v>
      </c>
      <c r="D1795" s="212"/>
      <c r="E1795" s="75" t="e">
        <f t="shared" si="58"/>
        <v>#N/A</v>
      </c>
      <c r="F1795" s="80"/>
      <c r="G1795" s="81"/>
      <c r="H1795" s="78"/>
      <c r="I1795" s="78"/>
      <c r="J1795" s="78"/>
    </row>
    <row r="1796" spans="1:10" x14ac:dyDescent="0.2">
      <c r="A1796" s="84">
        <f t="shared" si="59"/>
        <v>1790</v>
      </c>
      <c r="B1796" s="85" t="e">
        <f>+MATCH(D1796,ARTICULOS!$F$10:$F$699,0)</f>
        <v>#N/A</v>
      </c>
      <c r="C1796" s="86" t="e">
        <f>+VLOOKUP(B1796,ARTICULOS!$D$10:$I$699,6)</f>
        <v>#N/A</v>
      </c>
      <c r="D1796" s="212"/>
      <c r="E1796" s="75" t="e">
        <f t="shared" si="58"/>
        <v>#N/A</v>
      </c>
      <c r="F1796" s="80"/>
      <c r="G1796" s="81"/>
      <c r="H1796" s="78"/>
      <c r="I1796" s="78"/>
      <c r="J1796" s="78"/>
    </row>
    <row r="1797" spans="1:10" x14ac:dyDescent="0.2">
      <c r="A1797" s="84">
        <f t="shared" si="59"/>
        <v>1791</v>
      </c>
      <c r="B1797" s="85" t="e">
        <f>+MATCH(D1797,ARTICULOS!$F$10:$F$699,0)</f>
        <v>#N/A</v>
      </c>
      <c r="C1797" s="86" t="e">
        <f>+VLOOKUP(B1797,ARTICULOS!$D$10:$I$699,6)</f>
        <v>#N/A</v>
      </c>
      <c r="D1797" s="212"/>
      <c r="E1797" s="75" t="e">
        <f t="shared" si="58"/>
        <v>#N/A</v>
      </c>
      <c r="F1797" s="80"/>
      <c r="G1797" s="81"/>
      <c r="H1797" s="78"/>
      <c r="I1797" s="78"/>
      <c r="J1797" s="78"/>
    </row>
    <row r="1798" spans="1:10" x14ac:dyDescent="0.2">
      <c r="A1798" s="84">
        <f t="shared" si="59"/>
        <v>1792</v>
      </c>
      <c r="B1798" s="85" t="e">
        <f>+MATCH(D1798,ARTICULOS!$F$10:$F$699,0)</f>
        <v>#N/A</v>
      </c>
      <c r="C1798" s="86" t="e">
        <f>+VLOOKUP(B1798,ARTICULOS!$D$10:$I$699,6)</f>
        <v>#N/A</v>
      </c>
      <c r="D1798" s="212"/>
      <c r="E1798" s="75" t="e">
        <f t="shared" si="58"/>
        <v>#N/A</v>
      </c>
      <c r="F1798" s="80"/>
      <c r="G1798" s="81"/>
      <c r="H1798" s="78"/>
      <c r="I1798" s="78"/>
      <c r="J1798" s="78"/>
    </row>
    <row r="1799" spans="1:10" x14ac:dyDescent="0.2">
      <c r="A1799" s="84">
        <f t="shared" si="59"/>
        <v>1793</v>
      </c>
      <c r="B1799" s="85" t="e">
        <f>+MATCH(D1799,ARTICULOS!$F$10:$F$699,0)</f>
        <v>#N/A</v>
      </c>
      <c r="C1799" s="86" t="e">
        <f>+VLOOKUP(B1799,ARTICULOS!$D$10:$I$699,6)</f>
        <v>#N/A</v>
      </c>
      <c r="D1799" s="212"/>
      <c r="E1799" s="75" t="e">
        <f t="shared" si="58"/>
        <v>#N/A</v>
      </c>
      <c r="F1799" s="80"/>
      <c r="G1799" s="81"/>
      <c r="H1799" s="78"/>
      <c r="I1799" s="78"/>
      <c r="J1799" s="78"/>
    </row>
    <row r="1800" spans="1:10" x14ac:dyDescent="0.2">
      <c r="A1800" s="84">
        <f t="shared" si="59"/>
        <v>1794</v>
      </c>
      <c r="B1800" s="85" t="e">
        <f>+MATCH(D1800,ARTICULOS!$F$10:$F$699,0)</f>
        <v>#N/A</v>
      </c>
      <c r="C1800" s="86" t="e">
        <f>+VLOOKUP(B1800,ARTICULOS!$D$10:$I$699,6)</f>
        <v>#N/A</v>
      </c>
      <c r="D1800" s="212"/>
      <c r="E1800" s="75" t="e">
        <f t="shared" si="58"/>
        <v>#N/A</v>
      </c>
      <c r="F1800" s="80"/>
      <c r="G1800" s="81"/>
      <c r="H1800" s="78"/>
      <c r="I1800" s="78"/>
      <c r="J1800" s="78"/>
    </row>
    <row r="1801" spans="1:10" x14ac:dyDescent="0.2">
      <c r="A1801" s="84">
        <f t="shared" si="59"/>
        <v>1795</v>
      </c>
      <c r="B1801" s="85" t="e">
        <f>+MATCH(D1801,ARTICULOS!$F$10:$F$699,0)</f>
        <v>#N/A</v>
      </c>
      <c r="C1801" s="86" t="e">
        <f>+VLOOKUP(B1801,ARTICULOS!$D$10:$I$699,6)</f>
        <v>#N/A</v>
      </c>
      <c r="D1801" s="212"/>
      <c r="E1801" s="75" t="e">
        <f t="shared" si="58"/>
        <v>#N/A</v>
      </c>
      <c r="F1801" s="80"/>
      <c r="G1801" s="81"/>
      <c r="H1801" s="78"/>
      <c r="I1801" s="78"/>
      <c r="J1801" s="78"/>
    </row>
    <row r="1802" spans="1:10" x14ac:dyDescent="0.2">
      <c r="A1802" s="84">
        <f t="shared" si="59"/>
        <v>1796</v>
      </c>
      <c r="B1802" s="85" t="e">
        <f>+MATCH(D1802,ARTICULOS!$F$10:$F$699,0)</f>
        <v>#N/A</v>
      </c>
      <c r="C1802" s="86" t="e">
        <f>+VLOOKUP(B1802,ARTICULOS!$D$10:$I$699,6)</f>
        <v>#N/A</v>
      </c>
      <c r="D1802" s="212"/>
      <c r="E1802" s="75" t="e">
        <f t="shared" si="58"/>
        <v>#N/A</v>
      </c>
      <c r="F1802" s="80"/>
      <c r="G1802" s="81"/>
      <c r="H1802" s="78"/>
      <c r="I1802" s="78"/>
      <c r="J1802" s="78"/>
    </row>
    <row r="1803" spans="1:10" x14ac:dyDescent="0.2">
      <c r="A1803" s="84">
        <f t="shared" si="59"/>
        <v>1797</v>
      </c>
      <c r="B1803" s="85" t="e">
        <f>+MATCH(D1803,ARTICULOS!$F$10:$F$699,0)</f>
        <v>#N/A</v>
      </c>
      <c r="C1803" s="86" t="e">
        <f>+VLOOKUP(B1803,ARTICULOS!$D$10:$I$699,6)</f>
        <v>#N/A</v>
      </c>
      <c r="D1803" s="212"/>
      <c r="E1803" s="75" t="e">
        <f t="shared" ref="E1803:E1866" si="60">+C1803&amp;F1803</f>
        <v>#N/A</v>
      </c>
      <c r="F1803" s="80"/>
      <c r="G1803" s="81"/>
      <c r="H1803" s="78"/>
      <c r="I1803" s="78"/>
      <c r="J1803" s="78"/>
    </row>
    <row r="1804" spans="1:10" x14ac:dyDescent="0.2">
      <c r="A1804" s="84">
        <f t="shared" si="59"/>
        <v>1798</v>
      </c>
      <c r="B1804" s="85" t="e">
        <f>+MATCH(D1804,ARTICULOS!$F$10:$F$699,0)</f>
        <v>#N/A</v>
      </c>
      <c r="C1804" s="86" t="e">
        <f>+VLOOKUP(B1804,ARTICULOS!$D$10:$I$699,6)</f>
        <v>#N/A</v>
      </c>
      <c r="D1804" s="212"/>
      <c r="E1804" s="75" t="e">
        <f t="shared" si="60"/>
        <v>#N/A</v>
      </c>
      <c r="F1804" s="80"/>
      <c r="G1804" s="81"/>
      <c r="H1804" s="78"/>
      <c r="I1804" s="78"/>
      <c r="J1804" s="78"/>
    </row>
    <row r="1805" spans="1:10" x14ac:dyDescent="0.2">
      <c r="A1805" s="84">
        <f t="shared" si="59"/>
        <v>1799</v>
      </c>
      <c r="B1805" s="85" t="e">
        <f>+MATCH(D1805,ARTICULOS!$F$10:$F$699,0)</f>
        <v>#N/A</v>
      </c>
      <c r="C1805" s="86" t="e">
        <f>+VLOOKUP(B1805,ARTICULOS!$D$10:$I$699,6)</f>
        <v>#N/A</v>
      </c>
      <c r="D1805" s="212"/>
      <c r="E1805" s="75" t="e">
        <f t="shared" si="60"/>
        <v>#N/A</v>
      </c>
      <c r="F1805" s="80"/>
      <c r="G1805" s="81"/>
      <c r="H1805" s="78"/>
      <c r="I1805" s="78"/>
      <c r="J1805" s="78"/>
    </row>
    <row r="1806" spans="1:10" x14ac:dyDescent="0.2">
      <c r="A1806" s="84">
        <f t="shared" si="59"/>
        <v>1800</v>
      </c>
      <c r="B1806" s="85" t="e">
        <f>+MATCH(D1806,ARTICULOS!$F$10:$F$699,0)</f>
        <v>#N/A</v>
      </c>
      <c r="C1806" s="86" t="e">
        <f>+VLOOKUP(B1806,ARTICULOS!$D$10:$I$699,6)</f>
        <v>#N/A</v>
      </c>
      <c r="D1806" s="212"/>
      <c r="E1806" s="75" t="e">
        <f t="shared" si="60"/>
        <v>#N/A</v>
      </c>
      <c r="F1806" s="80"/>
      <c r="G1806" s="81"/>
      <c r="H1806" s="78"/>
      <c r="I1806" s="78"/>
      <c r="J1806" s="78"/>
    </row>
    <row r="1807" spans="1:10" x14ac:dyDescent="0.2">
      <c r="A1807" s="84">
        <f t="shared" si="59"/>
        <v>1801</v>
      </c>
      <c r="B1807" s="85" t="e">
        <f>+MATCH(D1807,ARTICULOS!$F$10:$F$699,0)</f>
        <v>#N/A</v>
      </c>
      <c r="C1807" s="86" t="e">
        <f>+VLOOKUP(B1807,ARTICULOS!$D$10:$I$699,6)</f>
        <v>#N/A</v>
      </c>
      <c r="D1807" s="212"/>
      <c r="E1807" s="75" t="e">
        <f t="shared" si="60"/>
        <v>#N/A</v>
      </c>
      <c r="F1807" s="80"/>
      <c r="G1807" s="81"/>
      <c r="H1807" s="78"/>
      <c r="I1807" s="78"/>
      <c r="J1807" s="78"/>
    </row>
    <row r="1808" spans="1:10" x14ac:dyDescent="0.2">
      <c r="A1808" s="84">
        <f t="shared" si="59"/>
        <v>1802</v>
      </c>
      <c r="B1808" s="85" t="e">
        <f>+MATCH(D1808,ARTICULOS!$F$10:$F$699,0)</f>
        <v>#N/A</v>
      </c>
      <c r="C1808" s="86" t="e">
        <f>+VLOOKUP(B1808,ARTICULOS!$D$10:$I$699,6)</f>
        <v>#N/A</v>
      </c>
      <c r="D1808" s="212"/>
      <c r="E1808" s="75" t="e">
        <f t="shared" si="60"/>
        <v>#N/A</v>
      </c>
      <c r="F1808" s="80"/>
      <c r="G1808" s="81"/>
      <c r="H1808" s="78"/>
      <c r="I1808" s="78"/>
      <c r="J1808" s="78"/>
    </row>
    <row r="1809" spans="1:10" x14ac:dyDescent="0.2">
      <c r="A1809" s="84">
        <f t="shared" si="59"/>
        <v>1803</v>
      </c>
      <c r="B1809" s="85" t="e">
        <f>+MATCH(D1809,ARTICULOS!$F$10:$F$699,0)</f>
        <v>#N/A</v>
      </c>
      <c r="C1809" s="86" t="e">
        <f>+VLOOKUP(B1809,ARTICULOS!$D$10:$I$699,6)</f>
        <v>#N/A</v>
      </c>
      <c r="D1809" s="212"/>
      <c r="E1809" s="75" t="e">
        <f t="shared" si="60"/>
        <v>#N/A</v>
      </c>
      <c r="F1809" s="80"/>
      <c r="G1809" s="81"/>
      <c r="H1809" s="78"/>
      <c r="I1809" s="78"/>
      <c r="J1809" s="78"/>
    </row>
    <row r="1810" spans="1:10" x14ac:dyDescent="0.2">
      <c r="A1810" s="84">
        <f t="shared" si="59"/>
        <v>1804</v>
      </c>
      <c r="B1810" s="85" t="e">
        <f>+MATCH(D1810,ARTICULOS!$F$10:$F$699,0)</f>
        <v>#N/A</v>
      </c>
      <c r="C1810" s="86" t="e">
        <f>+VLOOKUP(B1810,ARTICULOS!$D$10:$I$699,6)</f>
        <v>#N/A</v>
      </c>
      <c r="D1810" s="212"/>
      <c r="E1810" s="75" t="e">
        <f t="shared" si="60"/>
        <v>#N/A</v>
      </c>
      <c r="F1810" s="80"/>
      <c r="G1810" s="81"/>
      <c r="H1810" s="78"/>
      <c r="I1810" s="78"/>
      <c r="J1810" s="78"/>
    </row>
    <row r="1811" spans="1:10" x14ac:dyDescent="0.2">
      <c r="A1811" s="84">
        <f t="shared" si="59"/>
        <v>1805</v>
      </c>
      <c r="B1811" s="85" t="e">
        <f>+MATCH(D1811,ARTICULOS!$F$10:$F$699,0)</f>
        <v>#N/A</v>
      </c>
      <c r="C1811" s="86" t="e">
        <f>+VLOOKUP(B1811,ARTICULOS!$D$10:$I$699,6)</f>
        <v>#N/A</v>
      </c>
      <c r="D1811" s="212"/>
      <c r="E1811" s="75" t="e">
        <f t="shared" si="60"/>
        <v>#N/A</v>
      </c>
      <c r="F1811" s="80"/>
      <c r="G1811" s="81"/>
      <c r="H1811" s="78"/>
      <c r="I1811" s="78"/>
      <c r="J1811" s="78"/>
    </row>
    <row r="1812" spans="1:10" x14ac:dyDescent="0.2">
      <c r="A1812" s="84">
        <f t="shared" si="59"/>
        <v>1806</v>
      </c>
      <c r="B1812" s="85" t="e">
        <f>+MATCH(D1812,ARTICULOS!$F$10:$F$699,0)</f>
        <v>#N/A</v>
      </c>
      <c r="C1812" s="86" t="e">
        <f>+VLOOKUP(B1812,ARTICULOS!$D$10:$I$699,6)</f>
        <v>#N/A</v>
      </c>
      <c r="D1812" s="212"/>
      <c r="E1812" s="75" t="e">
        <f t="shared" si="60"/>
        <v>#N/A</v>
      </c>
      <c r="F1812" s="80"/>
      <c r="G1812" s="81"/>
      <c r="H1812" s="78"/>
      <c r="I1812" s="78"/>
      <c r="J1812" s="78"/>
    </row>
    <row r="1813" spans="1:10" x14ac:dyDescent="0.2">
      <c r="A1813" s="84">
        <f t="shared" si="59"/>
        <v>1807</v>
      </c>
      <c r="B1813" s="85" t="e">
        <f>+MATCH(D1813,ARTICULOS!$F$10:$F$699,0)</f>
        <v>#N/A</v>
      </c>
      <c r="C1813" s="86" t="e">
        <f>+VLOOKUP(B1813,ARTICULOS!$D$10:$I$699,6)</f>
        <v>#N/A</v>
      </c>
      <c r="D1813" s="212"/>
      <c r="E1813" s="75" t="e">
        <f t="shared" si="60"/>
        <v>#N/A</v>
      </c>
      <c r="F1813" s="80"/>
      <c r="G1813" s="81"/>
      <c r="H1813" s="78"/>
      <c r="I1813" s="78"/>
      <c r="J1813" s="78"/>
    </row>
    <row r="1814" spans="1:10" x14ac:dyDescent="0.2">
      <c r="A1814" s="84">
        <f t="shared" si="59"/>
        <v>1808</v>
      </c>
      <c r="B1814" s="85" t="e">
        <f>+MATCH(D1814,ARTICULOS!$F$10:$F$699,0)</f>
        <v>#N/A</v>
      </c>
      <c r="C1814" s="86" t="e">
        <f>+VLOOKUP(B1814,ARTICULOS!$D$10:$I$699,6)</f>
        <v>#N/A</v>
      </c>
      <c r="D1814" s="212"/>
      <c r="E1814" s="75" t="e">
        <f t="shared" si="60"/>
        <v>#N/A</v>
      </c>
      <c r="F1814" s="80"/>
      <c r="G1814" s="81"/>
      <c r="H1814" s="78"/>
      <c r="I1814" s="78"/>
      <c r="J1814" s="78"/>
    </row>
    <row r="1815" spans="1:10" x14ac:dyDescent="0.2">
      <c r="A1815" s="84">
        <f t="shared" si="59"/>
        <v>1809</v>
      </c>
      <c r="B1815" s="85" t="e">
        <f>+MATCH(D1815,ARTICULOS!$F$10:$F$699,0)</f>
        <v>#N/A</v>
      </c>
      <c r="C1815" s="86" t="e">
        <f>+VLOOKUP(B1815,ARTICULOS!$D$10:$I$699,6)</f>
        <v>#N/A</v>
      </c>
      <c r="D1815" s="212"/>
      <c r="E1815" s="75" t="e">
        <f t="shared" si="60"/>
        <v>#N/A</v>
      </c>
      <c r="F1815" s="80"/>
      <c r="G1815" s="81"/>
      <c r="H1815" s="78"/>
      <c r="I1815" s="78"/>
      <c r="J1815" s="78"/>
    </row>
    <row r="1816" spans="1:10" x14ac:dyDescent="0.2">
      <c r="A1816" s="84">
        <f t="shared" si="59"/>
        <v>1810</v>
      </c>
      <c r="B1816" s="85" t="e">
        <f>+MATCH(D1816,ARTICULOS!$F$10:$F$699,0)</f>
        <v>#N/A</v>
      </c>
      <c r="C1816" s="86" t="e">
        <f>+VLOOKUP(B1816,ARTICULOS!$D$10:$I$699,6)</f>
        <v>#N/A</v>
      </c>
      <c r="D1816" s="212"/>
      <c r="E1816" s="75" t="e">
        <f t="shared" si="60"/>
        <v>#N/A</v>
      </c>
      <c r="F1816" s="80"/>
      <c r="G1816" s="81"/>
      <c r="H1816" s="78"/>
      <c r="I1816" s="78"/>
      <c r="J1816" s="78"/>
    </row>
    <row r="1817" spans="1:10" x14ac:dyDescent="0.2">
      <c r="A1817" s="84">
        <f t="shared" si="59"/>
        <v>1811</v>
      </c>
      <c r="B1817" s="85" t="e">
        <f>+MATCH(D1817,ARTICULOS!$F$10:$F$699,0)</f>
        <v>#N/A</v>
      </c>
      <c r="C1817" s="86" t="e">
        <f>+VLOOKUP(B1817,ARTICULOS!$D$10:$I$699,6)</f>
        <v>#N/A</v>
      </c>
      <c r="D1817" s="212"/>
      <c r="E1817" s="75" t="e">
        <f t="shared" si="60"/>
        <v>#N/A</v>
      </c>
      <c r="F1817" s="80"/>
      <c r="G1817" s="81"/>
      <c r="H1817" s="78"/>
      <c r="I1817" s="78"/>
      <c r="J1817" s="78"/>
    </row>
    <row r="1818" spans="1:10" x14ac:dyDescent="0.2">
      <c r="A1818" s="84">
        <f t="shared" si="59"/>
        <v>1812</v>
      </c>
      <c r="B1818" s="85" t="e">
        <f>+MATCH(D1818,ARTICULOS!$F$10:$F$699,0)</f>
        <v>#N/A</v>
      </c>
      <c r="C1818" s="86" t="e">
        <f>+VLOOKUP(B1818,ARTICULOS!$D$10:$I$699,6)</f>
        <v>#N/A</v>
      </c>
      <c r="D1818" s="212"/>
      <c r="E1818" s="75" t="e">
        <f t="shared" si="60"/>
        <v>#N/A</v>
      </c>
      <c r="F1818" s="80"/>
      <c r="G1818" s="81"/>
      <c r="H1818" s="78"/>
      <c r="I1818" s="78"/>
      <c r="J1818" s="78"/>
    </row>
    <row r="1819" spans="1:10" x14ac:dyDescent="0.2">
      <c r="A1819" s="84">
        <f t="shared" si="59"/>
        <v>1813</v>
      </c>
      <c r="B1819" s="85" t="e">
        <f>+MATCH(D1819,ARTICULOS!$F$10:$F$699,0)</f>
        <v>#N/A</v>
      </c>
      <c r="C1819" s="86" t="e">
        <f>+VLOOKUP(B1819,ARTICULOS!$D$10:$I$699,6)</f>
        <v>#N/A</v>
      </c>
      <c r="D1819" s="212"/>
      <c r="E1819" s="75" t="e">
        <f t="shared" si="60"/>
        <v>#N/A</v>
      </c>
      <c r="F1819" s="80"/>
      <c r="G1819" s="81"/>
      <c r="H1819" s="78"/>
      <c r="I1819" s="78"/>
      <c r="J1819" s="78"/>
    </row>
    <row r="1820" spans="1:10" x14ac:dyDescent="0.2">
      <c r="A1820" s="84">
        <f t="shared" si="59"/>
        <v>1814</v>
      </c>
      <c r="B1820" s="85" t="e">
        <f>+MATCH(D1820,ARTICULOS!$F$10:$F$699,0)</f>
        <v>#N/A</v>
      </c>
      <c r="C1820" s="86" t="e">
        <f>+VLOOKUP(B1820,ARTICULOS!$D$10:$I$699,6)</f>
        <v>#N/A</v>
      </c>
      <c r="D1820" s="212"/>
      <c r="E1820" s="75" t="e">
        <f t="shared" si="60"/>
        <v>#N/A</v>
      </c>
      <c r="F1820" s="80"/>
      <c r="G1820" s="81"/>
      <c r="H1820" s="78"/>
      <c r="I1820" s="78"/>
      <c r="J1820" s="78"/>
    </row>
    <row r="1821" spans="1:10" x14ac:dyDescent="0.2">
      <c r="A1821" s="84">
        <f t="shared" si="59"/>
        <v>1815</v>
      </c>
      <c r="B1821" s="85" t="e">
        <f>+MATCH(D1821,ARTICULOS!$F$10:$F$699,0)</f>
        <v>#N/A</v>
      </c>
      <c r="C1821" s="86" t="e">
        <f>+VLOOKUP(B1821,ARTICULOS!$D$10:$I$699,6)</f>
        <v>#N/A</v>
      </c>
      <c r="D1821" s="212"/>
      <c r="E1821" s="75" t="e">
        <f t="shared" si="60"/>
        <v>#N/A</v>
      </c>
      <c r="F1821" s="80"/>
      <c r="G1821" s="81"/>
      <c r="H1821" s="78"/>
      <c r="I1821" s="78"/>
      <c r="J1821" s="78"/>
    </row>
    <row r="1822" spans="1:10" x14ac:dyDescent="0.2">
      <c r="A1822" s="84">
        <f t="shared" si="59"/>
        <v>1816</v>
      </c>
      <c r="B1822" s="85" t="e">
        <f>+MATCH(D1822,ARTICULOS!$F$10:$F$699,0)</f>
        <v>#N/A</v>
      </c>
      <c r="C1822" s="86" t="e">
        <f>+VLOOKUP(B1822,ARTICULOS!$D$10:$I$699,6)</f>
        <v>#N/A</v>
      </c>
      <c r="D1822" s="212"/>
      <c r="E1822" s="75" t="e">
        <f t="shared" si="60"/>
        <v>#N/A</v>
      </c>
      <c r="F1822" s="80"/>
      <c r="G1822" s="81"/>
      <c r="H1822" s="78"/>
      <c r="I1822" s="78"/>
      <c r="J1822" s="78"/>
    </row>
    <row r="1823" spans="1:10" x14ac:dyDescent="0.2">
      <c r="A1823" s="84">
        <f t="shared" si="59"/>
        <v>1817</v>
      </c>
      <c r="B1823" s="85" t="e">
        <f>+MATCH(D1823,ARTICULOS!$F$10:$F$699,0)</f>
        <v>#N/A</v>
      </c>
      <c r="C1823" s="86" t="e">
        <f>+VLOOKUP(B1823,ARTICULOS!$D$10:$I$699,6)</f>
        <v>#N/A</v>
      </c>
      <c r="D1823" s="212"/>
      <c r="E1823" s="75" t="e">
        <f t="shared" si="60"/>
        <v>#N/A</v>
      </c>
      <c r="F1823" s="80"/>
      <c r="G1823" s="81"/>
      <c r="H1823" s="78"/>
      <c r="I1823" s="78"/>
      <c r="J1823" s="78"/>
    </row>
    <row r="1824" spans="1:10" x14ac:dyDescent="0.2">
      <c r="A1824" s="84">
        <f t="shared" si="59"/>
        <v>1818</v>
      </c>
      <c r="B1824" s="85" t="e">
        <f>+MATCH(D1824,ARTICULOS!$F$10:$F$699,0)</f>
        <v>#N/A</v>
      </c>
      <c r="C1824" s="86" t="e">
        <f>+VLOOKUP(B1824,ARTICULOS!$D$10:$I$699,6)</f>
        <v>#N/A</v>
      </c>
      <c r="D1824" s="212"/>
      <c r="E1824" s="75" t="e">
        <f t="shared" si="60"/>
        <v>#N/A</v>
      </c>
      <c r="F1824" s="80"/>
      <c r="G1824" s="81"/>
      <c r="H1824" s="78"/>
      <c r="I1824" s="78"/>
      <c r="J1824" s="78"/>
    </row>
    <row r="1825" spans="1:10" x14ac:dyDescent="0.2">
      <c r="A1825" s="84">
        <f t="shared" si="59"/>
        <v>1819</v>
      </c>
      <c r="B1825" s="85" t="e">
        <f>+MATCH(D1825,ARTICULOS!$F$10:$F$699,0)</f>
        <v>#N/A</v>
      </c>
      <c r="C1825" s="86" t="e">
        <f>+VLOOKUP(B1825,ARTICULOS!$D$10:$I$699,6)</f>
        <v>#N/A</v>
      </c>
      <c r="D1825" s="212"/>
      <c r="E1825" s="75" t="e">
        <f t="shared" si="60"/>
        <v>#N/A</v>
      </c>
      <c r="F1825" s="80"/>
      <c r="G1825" s="81"/>
      <c r="H1825" s="78"/>
      <c r="I1825" s="78"/>
      <c r="J1825" s="78"/>
    </row>
    <row r="1826" spans="1:10" x14ac:dyDescent="0.2">
      <c r="A1826" s="84">
        <f t="shared" si="59"/>
        <v>1820</v>
      </c>
      <c r="B1826" s="85" t="e">
        <f>+MATCH(D1826,ARTICULOS!$F$10:$F$699,0)</f>
        <v>#N/A</v>
      </c>
      <c r="C1826" s="86" t="e">
        <f>+VLOOKUP(B1826,ARTICULOS!$D$10:$I$699,6)</f>
        <v>#N/A</v>
      </c>
      <c r="D1826" s="212"/>
      <c r="E1826" s="75" t="e">
        <f t="shared" si="60"/>
        <v>#N/A</v>
      </c>
      <c r="F1826" s="80"/>
      <c r="G1826" s="81"/>
      <c r="H1826" s="78"/>
      <c r="I1826" s="78"/>
      <c r="J1826" s="78"/>
    </row>
    <row r="1827" spans="1:10" x14ac:dyDescent="0.2">
      <c r="A1827" s="84">
        <f t="shared" si="59"/>
        <v>1821</v>
      </c>
      <c r="B1827" s="85" t="e">
        <f>+MATCH(D1827,ARTICULOS!$F$10:$F$699,0)</f>
        <v>#N/A</v>
      </c>
      <c r="C1827" s="86" t="e">
        <f>+VLOOKUP(B1827,ARTICULOS!$D$10:$I$699,6)</f>
        <v>#N/A</v>
      </c>
      <c r="D1827" s="212"/>
      <c r="E1827" s="75" t="e">
        <f t="shared" si="60"/>
        <v>#N/A</v>
      </c>
      <c r="F1827" s="80"/>
      <c r="G1827" s="81"/>
      <c r="H1827" s="78"/>
      <c r="I1827" s="78"/>
      <c r="J1827" s="78"/>
    </row>
    <row r="1828" spans="1:10" x14ac:dyDescent="0.2">
      <c r="A1828" s="84">
        <f t="shared" si="59"/>
        <v>1822</v>
      </c>
      <c r="B1828" s="85" t="e">
        <f>+MATCH(D1828,ARTICULOS!$F$10:$F$699,0)</f>
        <v>#N/A</v>
      </c>
      <c r="C1828" s="86" t="e">
        <f>+VLOOKUP(B1828,ARTICULOS!$D$10:$I$699,6)</f>
        <v>#N/A</v>
      </c>
      <c r="D1828" s="212"/>
      <c r="E1828" s="75" t="e">
        <f t="shared" si="60"/>
        <v>#N/A</v>
      </c>
      <c r="F1828" s="80"/>
      <c r="G1828" s="81"/>
      <c r="H1828" s="78"/>
      <c r="I1828" s="78"/>
      <c r="J1828" s="78"/>
    </row>
    <row r="1829" spans="1:10" x14ac:dyDescent="0.2">
      <c r="A1829" s="84">
        <f t="shared" si="59"/>
        <v>1823</v>
      </c>
      <c r="B1829" s="85" t="e">
        <f>+MATCH(D1829,ARTICULOS!$F$10:$F$699,0)</f>
        <v>#N/A</v>
      </c>
      <c r="C1829" s="86" t="e">
        <f>+VLOOKUP(B1829,ARTICULOS!$D$10:$I$699,6)</f>
        <v>#N/A</v>
      </c>
      <c r="D1829" s="212"/>
      <c r="E1829" s="75" t="e">
        <f t="shared" si="60"/>
        <v>#N/A</v>
      </c>
      <c r="F1829" s="80"/>
      <c r="G1829" s="81"/>
      <c r="H1829" s="78"/>
      <c r="I1829" s="78"/>
      <c r="J1829" s="78"/>
    </row>
    <row r="1830" spans="1:10" x14ac:dyDescent="0.2">
      <c r="A1830" s="84">
        <f t="shared" si="59"/>
        <v>1824</v>
      </c>
      <c r="B1830" s="85" t="e">
        <f>+MATCH(D1830,ARTICULOS!$F$10:$F$699,0)</f>
        <v>#N/A</v>
      </c>
      <c r="C1830" s="86" t="e">
        <f>+VLOOKUP(B1830,ARTICULOS!$D$10:$I$699,6)</f>
        <v>#N/A</v>
      </c>
      <c r="D1830" s="212"/>
      <c r="E1830" s="75" t="e">
        <f t="shared" si="60"/>
        <v>#N/A</v>
      </c>
      <c r="F1830" s="80"/>
      <c r="G1830" s="81"/>
      <c r="H1830" s="78"/>
      <c r="I1830" s="78"/>
      <c r="J1830" s="78"/>
    </row>
    <row r="1831" spans="1:10" x14ac:dyDescent="0.2">
      <c r="A1831" s="84">
        <f t="shared" si="59"/>
        <v>1825</v>
      </c>
      <c r="B1831" s="85" t="e">
        <f>+MATCH(D1831,ARTICULOS!$F$10:$F$699,0)</f>
        <v>#N/A</v>
      </c>
      <c r="C1831" s="86" t="e">
        <f>+VLOOKUP(B1831,ARTICULOS!$D$10:$I$699,6)</f>
        <v>#N/A</v>
      </c>
      <c r="D1831" s="212"/>
      <c r="E1831" s="75" t="e">
        <f t="shared" si="60"/>
        <v>#N/A</v>
      </c>
      <c r="F1831" s="80"/>
      <c r="G1831" s="81"/>
      <c r="H1831" s="78"/>
      <c r="I1831" s="78"/>
      <c r="J1831" s="78"/>
    </row>
    <row r="1832" spans="1:10" x14ac:dyDescent="0.2">
      <c r="A1832" s="84">
        <f t="shared" si="59"/>
        <v>1826</v>
      </c>
      <c r="B1832" s="85" t="e">
        <f>+MATCH(D1832,ARTICULOS!$F$10:$F$699,0)</f>
        <v>#N/A</v>
      </c>
      <c r="C1832" s="86" t="e">
        <f>+VLOOKUP(B1832,ARTICULOS!$D$10:$I$699,6)</f>
        <v>#N/A</v>
      </c>
      <c r="D1832" s="212"/>
      <c r="E1832" s="75" t="e">
        <f t="shared" si="60"/>
        <v>#N/A</v>
      </c>
      <c r="F1832" s="80"/>
      <c r="G1832" s="81"/>
      <c r="H1832" s="78"/>
      <c r="I1832" s="78"/>
      <c r="J1832" s="78"/>
    </row>
    <row r="1833" spans="1:10" x14ac:dyDescent="0.2">
      <c r="A1833" s="84">
        <f t="shared" ref="A1833:A1896" si="61">ROW()-6</f>
        <v>1827</v>
      </c>
      <c r="B1833" s="85" t="e">
        <f>+MATCH(D1833,ARTICULOS!$F$10:$F$699,0)</f>
        <v>#N/A</v>
      </c>
      <c r="C1833" s="86" t="e">
        <f>+VLOOKUP(B1833,ARTICULOS!$D$10:$I$699,6)</f>
        <v>#N/A</v>
      </c>
      <c r="D1833" s="212"/>
      <c r="E1833" s="75" t="e">
        <f t="shared" si="60"/>
        <v>#N/A</v>
      </c>
      <c r="F1833" s="80"/>
      <c r="G1833" s="81"/>
      <c r="H1833" s="78"/>
      <c r="I1833" s="78"/>
      <c r="J1833" s="78"/>
    </row>
    <row r="1834" spans="1:10" x14ac:dyDescent="0.2">
      <c r="A1834" s="84">
        <f t="shared" si="61"/>
        <v>1828</v>
      </c>
      <c r="B1834" s="85" t="e">
        <f>+MATCH(D1834,ARTICULOS!$F$10:$F$699,0)</f>
        <v>#N/A</v>
      </c>
      <c r="C1834" s="86" t="e">
        <f>+VLOOKUP(B1834,ARTICULOS!$D$10:$I$699,6)</f>
        <v>#N/A</v>
      </c>
      <c r="D1834" s="212"/>
      <c r="E1834" s="75" t="e">
        <f t="shared" si="60"/>
        <v>#N/A</v>
      </c>
      <c r="F1834" s="80"/>
      <c r="G1834" s="81"/>
      <c r="H1834" s="78"/>
      <c r="I1834" s="78"/>
      <c r="J1834" s="78"/>
    </row>
    <row r="1835" spans="1:10" x14ac:dyDescent="0.2">
      <c r="A1835" s="84">
        <f t="shared" si="61"/>
        <v>1829</v>
      </c>
      <c r="B1835" s="85" t="e">
        <f>+MATCH(D1835,ARTICULOS!$F$10:$F$699,0)</f>
        <v>#N/A</v>
      </c>
      <c r="C1835" s="86" t="e">
        <f>+VLOOKUP(B1835,ARTICULOS!$D$10:$I$699,6)</f>
        <v>#N/A</v>
      </c>
      <c r="D1835" s="212"/>
      <c r="E1835" s="75" t="e">
        <f t="shared" si="60"/>
        <v>#N/A</v>
      </c>
      <c r="F1835" s="80"/>
      <c r="G1835" s="81"/>
      <c r="H1835" s="78"/>
      <c r="I1835" s="78"/>
      <c r="J1835" s="78"/>
    </row>
    <row r="1836" spans="1:10" x14ac:dyDescent="0.2">
      <c r="A1836" s="84">
        <f t="shared" si="61"/>
        <v>1830</v>
      </c>
      <c r="B1836" s="85" t="e">
        <f>+MATCH(D1836,ARTICULOS!$F$10:$F$699,0)</f>
        <v>#N/A</v>
      </c>
      <c r="C1836" s="86" t="e">
        <f>+VLOOKUP(B1836,ARTICULOS!$D$10:$I$699,6)</f>
        <v>#N/A</v>
      </c>
      <c r="D1836" s="212"/>
      <c r="E1836" s="75" t="e">
        <f t="shared" si="60"/>
        <v>#N/A</v>
      </c>
      <c r="F1836" s="80"/>
      <c r="G1836" s="81"/>
      <c r="H1836" s="78"/>
      <c r="I1836" s="78"/>
      <c r="J1836" s="78"/>
    </row>
    <row r="1837" spans="1:10" x14ac:dyDescent="0.2">
      <c r="A1837" s="84">
        <f t="shared" si="61"/>
        <v>1831</v>
      </c>
      <c r="B1837" s="85" t="e">
        <f>+MATCH(D1837,ARTICULOS!$F$10:$F$699,0)</f>
        <v>#N/A</v>
      </c>
      <c r="C1837" s="86" t="e">
        <f>+VLOOKUP(B1837,ARTICULOS!$D$10:$I$699,6)</f>
        <v>#N/A</v>
      </c>
      <c r="D1837" s="212"/>
      <c r="E1837" s="75" t="e">
        <f t="shared" si="60"/>
        <v>#N/A</v>
      </c>
      <c r="F1837" s="80"/>
      <c r="G1837" s="81"/>
      <c r="H1837" s="78"/>
      <c r="I1837" s="78"/>
      <c r="J1837" s="78"/>
    </row>
    <row r="1838" spans="1:10" x14ac:dyDescent="0.2">
      <c r="A1838" s="84">
        <f t="shared" si="61"/>
        <v>1832</v>
      </c>
      <c r="B1838" s="85" t="e">
        <f>+MATCH(D1838,ARTICULOS!$F$10:$F$699,0)</f>
        <v>#N/A</v>
      </c>
      <c r="C1838" s="86" t="e">
        <f>+VLOOKUP(B1838,ARTICULOS!$D$10:$I$699,6)</f>
        <v>#N/A</v>
      </c>
      <c r="D1838" s="212"/>
      <c r="E1838" s="75" t="e">
        <f t="shared" si="60"/>
        <v>#N/A</v>
      </c>
      <c r="F1838" s="80"/>
      <c r="G1838" s="81"/>
      <c r="H1838" s="78"/>
      <c r="I1838" s="78"/>
      <c r="J1838" s="78"/>
    </row>
    <row r="1839" spans="1:10" x14ac:dyDescent="0.2">
      <c r="A1839" s="84">
        <f t="shared" si="61"/>
        <v>1833</v>
      </c>
      <c r="B1839" s="85" t="e">
        <f>+MATCH(D1839,ARTICULOS!$F$10:$F$699,0)</f>
        <v>#N/A</v>
      </c>
      <c r="C1839" s="86" t="e">
        <f>+VLOOKUP(B1839,ARTICULOS!$D$10:$I$699,6)</f>
        <v>#N/A</v>
      </c>
      <c r="D1839" s="212"/>
      <c r="E1839" s="75" t="e">
        <f t="shared" si="60"/>
        <v>#N/A</v>
      </c>
      <c r="F1839" s="80"/>
      <c r="G1839" s="81"/>
      <c r="H1839" s="78"/>
      <c r="I1839" s="78"/>
      <c r="J1839" s="78"/>
    </row>
    <row r="1840" spans="1:10" x14ac:dyDescent="0.2">
      <c r="A1840" s="84">
        <f t="shared" si="61"/>
        <v>1834</v>
      </c>
      <c r="B1840" s="85" t="e">
        <f>+MATCH(D1840,ARTICULOS!$F$10:$F$699,0)</f>
        <v>#N/A</v>
      </c>
      <c r="C1840" s="86" t="e">
        <f>+VLOOKUP(B1840,ARTICULOS!$D$10:$I$699,6)</f>
        <v>#N/A</v>
      </c>
      <c r="D1840" s="212"/>
      <c r="E1840" s="75" t="e">
        <f t="shared" si="60"/>
        <v>#N/A</v>
      </c>
      <c r="F1840" s="80"/>
      <c r="G1840" s="81"/>
      <c r="H1840" s="78"/>
      <c r="I1840" s="78"/>
      <c r="J1840" s="78"/>
    </row>
    <row r="1841" spans="1:10" x14ac:dyDescent="0.2">
      <c r="A1841" s="84">
        <f t="shared" si="61"/>
        <v>1835</v>
      </c>
      <c r="B1841" s="85" t="e">
        <f>+MATCH(D1841,ARTICULOS!$F$10:$F$699,0)</f>
        <v>#N/A</v>
      </c>
      <c r="C1841" s="86" t="e">
        <f>+VLOOKUP(B1841,ARTICULOS!$D$10:$I$699,6)</f>
        <v>#N/A</v>
      </c>
      <c r="D1841" s="212"/>
      <c r="E1841" s="75" t="e">
        <f t="shared" si="60"/>
        <v>#N/A</v>
      </c>
      <c r="F1841" s="80"/>
      <c r="G1841" s="81"/>
      <c r="H1841" s="78"/>
      <c r="I1841" s="78"/>
      <c r="J1841" s="78"/>
    </row>
    <row r="1842" spans="1:10" x14ac:dyDescent="0.2">
      <c r="A1842" s="84">
        <f t="shared" si="61"/>
        <v>1836</v>
      </c>
      <c r="B1842" s="85" t="e">
        <f>+MATCH(D1842,ARTICULOS!$F$10:$F$699,0)</f>
        <v>#N/A</v>
      </c>
      <c r="C1842" s="86" t="e">
        <f>+VLOOKUP(B1842,ARTICULOS!$D$10:$I$699,6)</f>
        <v>#N/A</v>
      </c>
      <c r="D1842" s="212"/>
      <c r="E1842" s="75" t="e">
        <f t="shared" si="60"/>
        <v>#N/A</v>
      </c>
      <c r="F1842" s="80"/>
      <c r="G1842" s="81"/>
      <c r="H1842" s="78"/>
      <c r="I1842" s="78"/>
      <c r="J1842" s="78"/>
    </row>
    <row r="1843" spans="1:10" x14ac:dyDescent="0.2">
      <c r="A1843" s="84">
        <f t="shared" si="61"/>
        <v>1837</v>
      </c>
      <c r="B1843" s="85" t="e">
        <f>+MATCH(D1843,ARTICULOS!$F$10:$F$699,0)</f>
        <v>#N/A</v>
      </c>
      <c r="C1843" s="86" t="e">
        <f>+VLOOKUP(B1843,ARTICULOS!$D$10:$I$699,6)</f>
        <v>#N/A</v>
      </c>
      <c r="D1843" s="212"/>
      <c r="E1843" s="75" t="e">
        <f t="shared" si="60"/>
        <v>#N/A</v>
      </c>
      <c r="F1843" s="80"/>
      <c r="G1843" s="81"/>
      <c r="H1843" s="78"/>
      <c r="I1843" s="78"/>
      <c r="J1843" s="78"/>
    </row>
    <row r="1844" spans="1:10" x14ac:dyDescent="0.2">
      <c r="A1844" s="84">
        <f t="shared" si="61"/>
        <v>1838</v>
      </c>
      <c r="B1844" s="85" t="e">
        <f>+MATCH(D1844,ARTICULOS!$F$10:$F$699,0)</f>
        <v>#N/A</v>
      </c>
      <c r="C1844" s="86" t="e">
        <f>+VLOOKUP(B1844,ARTICULOS!$D$10:$I$699,6)</f>
        <v>#N/A</v>
      </c>
      <c r="D1844" s="212"/>
      <c r="E1844" s="75" t="e">
        <f t="shared" si="60"/>
        <v>#N/A</v>
      </c>
      <c r="F1844" s="80"/>
      <c r="G1844" s="81"/>
      <c r="H1844" s="78"/>
      <c r="I1844" s="78"/>
      <c r="J1844" s="78"/>
    </row>
    <row r="1845" spans="1:10" x14ac:dyDescent="0.2">
      <c r="A1845" s="84">
        <f t="shared" si="61"/>
        <v>1839</v>
      </c>
      <c r="B1845" s="85" t="e">
        <f>+MATCH(D1845,ARTICULOS!$F$10:$F$699,0)</f>
        <v>#N/A</v>
      </c>
      <c r="C1845" s="86" t="e">
        <f>+VLOOKUP(B1845,ARTICULOS!$D$10:$I$699,6)</f>
        <v>#N/A</v>
      </c>
      <c r="D1845" s="212"/>
      <c r="E1845" s="75" t="e">
        <f t="shared" si="60"/>
        <v>#N/A</v>
      </c>
      <c r="F1845" s="80"/>
      <c r="G1845" s="81"/>
      <c r="H1845" s="78"/>
      <c r="I1845" s="78"/>
      <c r="J1845" s="78"/>
    </row>
    <row r="1846" spans="1:10" x14ac:dyDescent="0.2">
      <c r="A1846" s="84">
        <f t="shared" si="61"/>
        <v>1840</v>
      </c>
      <c r="B1846" s="85" t="e">
        <f>+MATCH(D1846,ARTICULOS!$F$10:$F$699,0)</f>
        <v>#N/A</v>
      </c>
      <c r="C1846" s="86" t="e">
        <f>+VLOOKUP(B1846,ARTICULOS!$D$10:$I$699,6)</f>
        <v>#N/A</v>
      </c>
      <c r="D1846" s="212"/>
      <c r="E1846" s="75" t="e">
        <f t="shared" si="60"/>
        <v>#N/A</v>
      </c>
      <c r="F1846" s="80"/>
      <c r="G1846" s="81"/>
      <c r="H1846" s="78"/>
      <c r="I1846" s="78"/>
      <c r="J1846" s="78"/>
    </row>
    <row r="1847" spans="1:10" x14ac:dyDescent="0.2">
      <c r="A1847" s="84">
        <f t="shared" si="61"/>
        <v>1841</v>
      </c>
      <c r="B1847" s="85" t="e">
        <f>+MATCH(D1847,ARTICULOS!$F$10:$F$699,0)</f>
        <v>#N/A</v>
      </c>
      <c r="C1847" s="86" t="e">
        <f>+VLOOKUP(B1847,ARTICULOS!$D$10:$I$699,6)</f>
        <v>#N/A</v>
      </c>
      <c r="D1847" s="212"/>
      <c r="E1847" s="75" t="e">
        <f t="shared" si="60"/>
        <v>#N/A</v>
      </c>
      <c r="F1847" s="80"/>
      <c r="G1847" s="81"/>
      <c r="H1847" s="78"/>
      <c r="I1847" s="78"/>
      <c r="J1847" s="78"/>
    </row>
    <row r="1848" spans="1:10" x14ac:dyDescent="0.2">
      <c r="A1848" s="84">
        <f t="shared" si="61"/>
        <v>1842</v>
      </c>
      <c r="B1848" s="85" t="e">
        <f>+MATCH(D1848,ARTICULOS!$F$10:$F$699,0)</f>
        <v>#N/A</v>
      </c>
      <c r="C1848" s="86" t="e">
        <f>+VLOOKUP(B1848,ARTICULOS!$D$10:$I$699,6)</f>
        <v>#N/A</v>
      </c>
      <c r="D1848" s="212"/>
      <c r="E1848" s="75" t="e">
        <f t="shared" si="60"/>
        <v>#N/A</v>
      </c>
      <c r="F1848" s="80"/>
      <c r="G1848" s="81"/>
      <c r="H1848" s="78"/>
      <c r="I1848" s="78"/>
      <c r="J1848" s="78"/>
    </row>
    <row r="1849" spans="1:10" x14ac:dyDescent="0.2">
      <c r="A1849" s="84">
        <f t="shared" si="61"/>
        <v>1843</v>
      </c>
      <c r="B1849" s="85" t="e">
        <f>+MATCH(D1849,ARTICULOS!$F$10:$F$699,0)</f>
        <v>#N/A</v>
      </c>
      <c r="C1849" s="86" t="e">
        <f>+VLOOKUP(B1849,ARTICULOS!$D$10:$I$699,6)</f>
        <v>#N/A</v>
      </c>
      <c r="D1849" s="212"/>
      <c r="E1849" s="75" t="e">
        <f t="shared" si="60"/>
        <v>#N/A</v>
      </c>
      <c r="F1849" s="80"/>
      <c r="G1849" s="81"/>
      <c r="H1849" s="78"/>
      <c r="I1849" s="78"/>
      <c r="J1849" s="78"/>
    </row>
    <row r="1850" spans="1:10" x14ac:dyDescent="0.2">
      <c r="A1850" s="84">
        <f t="shared" si="61"/>
        <v>1844</v>
      </c>
      <c r="B1850" s="85" t="e">
        <f>+MATCH(D1850,ARTICULOS!$F$10:$F$699,0)</f>
        <v>#N/A</v>
      </c>
      <c r="C1850" s="86" t="e">
        <f>+VLOOKUP(B1850,ARTICULOS!$D$10:$I$699,6)</f>
        <v>#N/A</v>
      </c>
      <c r="D1850" s="212"/>
      <c r="E1850" s="75" t="e">
        <f t="shared" si="60"/>
        <v>#N/A</v>
      </c>
      <c r="F1850" s="80"/>
      <c r="G1850" s="81"/>
      <c r="H1850" s="78"/>
      <c r="I1850" s="78"/>
      <c r="J1850" s="78"/>
    </row>
    <row r="1851" spans="1:10" x14ac:dyDescent="0.2">
      <c r="A1851" s="84">
        <f t="shared" si="61"/>
        <v>1845</v>
      </c>
      <c r="B1851" s="85" t="e">
        <f>+MATCH(D1851,ARTICULOS!$F$10:$F$699,0)</f>
        <v>#N/A</v>
      </c>
      <c r="C1851" s="86" t="e">
        <f>+VLOOKUP(B1851,ARTICULOS!$D$10:$I$699,6)</f>
        <v>#N/A</v>
      </c>
      <c r="D1851" s="212"/>
      <c r="E1851" s="75" t="e">
        <f t="shared" si="60"/>
        <v>#N/A</v>
      </c>
      <c r="F1851" s="80"/>
      <c r="G1851" s="81"/>
      <c r="H1851" s="78"/>
      <c r="I1851" s="78"/>
      <c r="J1851" s="78"/>
    </row>
    <row r="1852" spans="1:10" x14ac:dyDescent="0.2">
      <c r="A1852" s="84">
        <f t="shared" si="61"/>
        <v>1846</v>
      </c>
      <c r="B1852" s="85" t="e">
        <f>+MATCH(D1852,ARTICULOS!$F$10:$F$699,0)</f>
        <v>#N/A</v>
      </c>
      <c r="C1852" s="86" t="e">
        <f>+VLOOKUP(B1852,ARTICULOS!$D$10:$I$699,6)</f>
        <v>#N/A</v>
      </c>
      <c r="D1852" s="212"/>
      <c r="E1852" s="75" t="e">
        <f t="shared" si="60"/>
        <v>#N/A</v>
      </c>
      <c r="F1852" s="80"/>
      <c r="G1852" s="81"/>
      <c r="H1852" s="78"/>
      <c r="I1852" s="78"/>
      <c r="J1852" s="78"/>
    </row>
    <row r="1853" spans="1:10" x14ac:dyDescent="0.2">
      <c r="A1853" s="84">
        <f t="shared" si="61"/>
        <v>1847</v>
      </c>
      <c r="B1853" s="85" t="e">
        <f>+MATCH(D1853,ARTICULOS!$F$10:$F$699,0)</f>
        <v>#N/A</v>
      </c>
      <c r="C1853" s="86" t="e">
        <f>+VLOOKUP(B1853,ARTICULOS!$D$10:$I$699,6)</f>
        <v>#N/A</v>
      </c>
      <c r="D1853" s="212"/>
      <c r="E1853" s="75" t="e">
        <f t="shared" si="60"/>
        <v>#N/A</v>
      </c>
      <c r="F1853" s="80"/>
      <c r="G1853" s="81"/>
      <c r="H1853" s="78"/>
      <c r="I1853" s="78"/>
      <c r="J1853" s="78"/>
    </row>
    <row r="1854" spans="1:10" x14ac:dyDescent="0.2">
      <c r="A1854" s="84">
        <f t="shared" si="61"/>
        <v>1848</v>
      </c>
      <c r="B1854" s="85" t="e">
        <f>+MATCH(D1854,ARTICULOS!$F$10:$F$699,0)</f>
        <v>#N/A</v>
      </c>
      <c r="C1854" s="86" t="e">
        <f>+VLOOKUP(B1854,ARTICULOS!$D$10:$I$699,6)</f>
        <v>#N/A</v>
      </c>
      <c r="D1854" s="212"/>
      <c r="E1854" s="75" t="e">
        <f t="shared" si="60"/>
        <v>#N/A</v>
      </c>
      <c r="F1854" s="80"/>
      <c r="G1854" s="81"/>
      <c r="H1854" s="78"/>
      <c r="I1854" s="78"/>
      <c r="J1854" s="78"/>
    </row>
    <row r="1855" spans="1:10" x14ac:dyDescent="0.2">
      <c r="A1855" s="84">
        <f t="shared" si="61"/>
        <v>1849</v>
      </c>
      <c r="B1855" s="85" t="e">
        <f>+MATCH(D1855,ARTICULOS!$F$10:$F$699,0)</f>
        <v>#N/A</v>
      </c>
      <c r="C1855" s="86" t="e">
        <f>+VLOOKUP(B1855,ARTICULOS!$D$10:$I$699,6)</f>
        <v>#N/A</v>
      </c>
      <c r="D1855" s="212"/>
      <c r="E1855" s="75" t="e">
        <f t="shared" si="60"/>
        <v>#N/A</v>
      </c>
      <c r="F1855" s="80"/>
      <c r="G1855" s="81"/>
      <c r="H1855" s="78"/>
      <c r="I1855" s="78"/>
      <c r="J1855" s="78"/>
    </row>
    <row r="1856" spans="1:10" x14ac:dyDescent="0.2">
      <c r="A1856" s="84">
        <f t="shared" si="61"/>
        <v>1850</v>
      </c>
      <c r="B1856" s="85" t="e">
        <f>+MATCH(D1856,ARTICULOS!$F$10:$F$699,0)</f>
        <v>#N/A</v>
      </c>
      <c r="C1856" s="86" t="e">
        <f>+VLOOKUP(B1856,ARTICULOS!$D$10:$I$699,6)</f>
        <v>#N/A</v>
      </c>
      <c r="D1856" s="212"/>
      <c r="E1856" s="75" t="e">
        <f t="shared" si="60"/>
        <v>#N/A</v>
      </c>
      <c r="F1856" s="80"/>
      <c r="G1856" s="81"/>
      <c r="H1856" s="78"/>
      <c r="I1856" s="78"/>
      <c r="J1856" s="78"/>
    </row>
    <row r="1857" spans="1:10" x14ac:dyDescent="0.2">
      <c r="A1857" s="84">
        <f t="shared" si="61"/>
        <v>1851</v>
      </c>
      <c r="B1857" s="85" t="e">
        <f>+MATCH(D1857,ARTICULOS!$F$10:$F$699,0)</f>
        <v>#N/A</v>
      </c>
      <c r="C1857" s="86" t="e">
        <f>+VLOOKUP(B1857,ARTICULOS!$D$10:$I$699,6)</f>
        <v>#N/A</v>
      </c>
      <c r="D1857" s="212"/>
      <c r="E1857" s="75" t="e">
        <f t="shared" si="60"/>
        <v>#N/A</v>
      </c>
      <c r="F1857" s="80"/>
      <c r="G1857" s="81"/>
      <c r="H1857" s="78"/>
      <c r="I1857" s="78"/>
      <c r="J1857" s="78"/>
    </row>
    <row r="1858" spans="1:10" x14ac:dyDescent="0.2">
      <c r="A1858" s="84">
        <f t="shared" si="61"/>
        <v>1852</v>
      </c>
      <c r="B1858" s="85" t="e">
        <f>+MATCH(D1858,ARTICULOS!$F$10:$F$699,0)</f>
        <v>#N/A</v>
      </c>
      <c r="C1858" s="86" t="e">
        <f>+VLOOKUP(B1858,ARTICULOS!$D$10:$I$699,6)</f>
        <v>#N/A</v>
      </c>
      <c r="D1858" s="212"/>
      <c r="E1858" s="75" t="e">
        <f t="shared" si="60"/>
        <v>#N/A</v>
      </c>
      <c r="F1858" s="80"/>
      <c r="G1858" s="81"/>
      <c r="H1858" s="78"/>
      <c r="I1858" s="78"/>
      <c r="J1858" s="78"/>
    </row>
    <row r="1859" spans="1:10" x14ac:dyDescent="0.2">
      <c r="A1859" s="84">
        <f t="shared" si="61"/>
        <v>1853</v>
      </c>
      <c r="B1859" s="85" t="e">
        <f>+MATCH(D1859,ARTICULOS!$F$10:$F$699,0)</f>
        <v>#N/A</v>
      </c>
      <c r="C1859" s="86" t="e">
        <f>+VLOOKUP(B1859,ARTICULOS!$D$10:$I$699,6)</f>
        <v>#N/A</v>
      </c>
      <c r="D1859" s="212"/>
      <c r="E1859" s="75" t="e">
        <f t="shared" si="60"/>
        <v>#N/A</v>
      </c>
      <c r="F1859" s="80"/>
      <c r="G1859" s="81"/>
      <c r="H1859" s="78"/>
      <c r="I1859" s="78"/>
      <c r="J1859" s="78"/>
    </row>
    <row r="1860" spans="1:10" x14ac:dyDescent="0.2">
      <c r="A1860" s="84">
        <f t="shared" si="61"/>
        <v>1854</v>
      </c>
      <c r="B1860" s="85" t="e">
        <f>+MATCH(D1860,ARTICULOS!$F$10:$F$699,0)</f>
        <v>#N/A</v>
      </c>
      <c r="C1860" s="86" t="e">
        <f>+VLOOKUP(B1860,ARTICULOS!$D$10:$I$699,6)</f>
        <v>#N/A</v>
      </c>
      <c r="D1860" s="212"/>
      <c r="E1860" s="75" t="e">
        <f t="shared" si="60"/>
        <v>#N/A</v>
      </c>
      <c r="F1860" s="80"/>
      <c r="G1860" s="81"/>
      <c r="H1860" s="78"/>
      <c r="I1860" s="78"/>
      <c r="J1860" s="78"/>
    </row>
    <row r="1861" spans="1:10" x14ac:dyDescent="0.2">
      <c r="A1861" s="84">
        <f t="shared" si="61"/>
        <v>1855</v>
      </c>
      <c r="B1861" s="85" t="e">
        <f>+MATCH(D1861,ARTICULOS!$F$10:$F$699,0)</f>
        <v>#N/A</v>
      </c>
      <c r="C1861" s="86" t="e">
        <f>+VLOOKUP(B1861,ARTICULOS!$D$10:$I$699,6)</f>
        <v>#N/A</v>
      </c>
      <c r="D1861" s="212"/>
      <c r="E1861" s="75" t="e">
        <f t="shared" si="60"/>
        <v>#N/A</v>
      </c>
      <c r="F1861" s="80"/>
      <c r="G1861" s="81"/>
      <c r="H1861" s="78"/>
      <c r="I1861" s="78"/>
      <c r="J1861" s="78"/>
    </row>
    <row r="1862" spans="1:10" x14ac:dyDescent="0.2">
      <c r="A1862" s="84">
        <f t="shared" si="61"/>
        <v>1856</v>
      </c>
      <c r="B1862" s="85" t="e">
        <f>+MATCH(D1862,ARTICULOS!$F$10:$F$699,0)</f>
        <v>#N/A</v>
      </c>
      <c r="C1862" s="86" t="e">
        <f>+VLOOKUP(B1862,ARTICULOS!$D$10:$I$699,6)</f>
        <v>#N/A</v>
      </c>
      <c r="D1862" s="212"/>
      <c r="E1862" s="75" t="e">
        <f t="shared" si="60"/>
        <v>#N/A</v>
      </c>
      <c r="F1862" s="80"/>
      <c r="G1862" s="81"/>
      <c r="H1862" s="78"/>
      <c r="I1862" s="78"/>
      <c r="J1862" s="78"/>
    </row>
    <row r="1863" spans="1:10" x14ac:dyDescent="0.2">
      <c r="A1863" s="84">
        <f t="shared" si="61"/>
        <v>1857</v>
      </c>
      <c r="B1863" s="85" t="e">
        <f>+MATCH(D1863,ARTICULOS!$F$10:$F$699,0)</f>
        <v>#N/A</v>
      </c>
      <c r="C1863" s="86" t="e">
        <f>+VLOOKUP(B1863,ARTICULOS!$D$10:$I$699,6)</f>
        <v>#N/A</v>
      </c>
      <c r="D1863" s="212"/>
      <c r="E1863" s="75" t="e">
        <f t="shared" si="60"/>
        <v>#N/A</v>
      </c>
      <c r="F1863" s="80"/>
      <c r="G1863" s="81"/>
      <c r="H1863" s="78"/>
      <c r="I1863" s="78"/>
      <c r="J1863" s="78"/>
    </row>
    <row r="1864" spans="1:10" x14ac:dyDescent="0.2">
      <c r="A1864" s="84">
        <f t="shared" si="61"/>
        <v>1858</v>
      </c>
      <c r="B1864" s="85" t="e">
        <f>+MATCH(D1864,ARTICULOS!$F$10:$F$699,0)</f>
        <v>#N/A</v>
      </c>
      <c r="C1864" s="86" t="e">
        <f>+VLOOKUP(B1864,ARTICULOS!$D$10:$I$699,6)</f>
        <v>#N/A</v>
      </c>
      <c r="D1864" s="212"/>
      <c r="E1864" s="75" t="e">
        <f t="shared" si="60"/>
        <v>#N/A</v>
      </c>
      <c r="F1864" s="80"/>
      <c r="G1864" s="81"/>
      <c r="H1864" s="78"/>
      <c r="I1864" s="78"/>
      <c r="J1864" s="78"/>
    </row>
    <row r="1865" spans="1:10" x14ac:dyDescent="0.2">
      <c r="A1865" s="84">
        <f t="shared" si="61"/>
        <v>1859</v>
      </c>
      <c r="B1865" s="85" t="e">
        <f>+MATCH(D1865,ARTICULOS!$F$10:$F$699,0)</f>
        <v>#N/A</v>
      </c>
      <c r="C1865" s="86" t="e">
        <f>+VLOOKUP(B1865,ARTICULOS!$D$10:$I$699,6)</f>
        <v>#N/A</v>
      </c>
      <c r="D1865" s="212"/>
      <c r="E1865" s="75" t="e">
        <f t="shared" si="60"/>
        <v>#N/A</v>
      </c>
      <c r="F1865" s="80"/>
      <c r="G1865" s="81"/>
      <c r="H1865" s="78"/>
      <c r="I1865" s="78"/>
      <c r="J1865" s="78"/>
    </row>
    <row r="1866" spans="1:10" x14ac:dyDescent="0.2">
      <c r="A1866" s="84">
        <f t="shared" si="61"/>
        <v>1860</v>
      </c>
      <c r="B1866" s="85" t="e">
        <f>+MATCH(D1866,ARTICULOS!$F$10:$F$699,0)</f>
        <v>#N/A</v>
      </c>
      <c r="C1866" s="86" t="e">
        <f>+VLOOKUP(B1866,ARTICULOS!$D$10:$I$699,6)</f>
        <v>#N/A</v>
      </c>
      <c r="D1866" s="212"/>
      <c r="E1866" s="75" t="e">
        <f t="shared" si="60"/>
        <v>#N/A</v>
      </c>
      <c r="F1866" s="80"/>
      <c r="G1866" s="81"/>
      <c r="H1866" s="78"/>
      <c r="I1866" s="78"/>
      <c r="J1866" s="78"/>
    </row>
    <row r="1867" spans="1:10" x14ac:dyDescent="0.2">
      <c r="A1867" s="84">
        <f t="shared" si="61"/>
        <v>1861</v>
      </c>
      <c r="B1867" s="85" t="e">
        <f>+MATCH(D1867,ARTICULOS!$F$10:$F$699,0)</f>
        <v>#N/A</v>
      </c>
      <c r="C1867" s="86" t="e">
        <f>+VLOOKUP(B1867,ARTICULOS!$D$10:$I$699,6)</f>
        <v>#N/A</v>
      </c>
      <c r="D1867" s="212"/>
      <c r="E1867" s="75" t="e">
        <f t="shared" ref="E1867:E1930" si="62">+C1867&amp;F1867</f>
        <v>#N/A</v>
      </c>
      <c r="F1867" s="80"/>
      <c r="G1867" s="81"/>
      <c r="H1867" s="78"/>
      <c r="I1867" s="78"/>
      <c r="J1867" s="78"/>
    </row>
    <row r="1868" spans="1:10" x14ac:dyDescent="0.2">
      <c r="A1868" s="84">
        <f t="shared" si="61"/>
        <v>1862</v>
      </c>
      <c r="B1868" s="85" t="e">
        <f>+MATCH(D1868,ARTICULOS!$F$10:$F$699,0)</f>
        <v>#N/A</v>
      </c>
      <c r="C1868" s="86" t="e">
        <f>+VLOOKUP(B1868,ARTICULOS!$D$10:$I$699,6)</f>
        <v>#N/A</v>
      </c>
      <c r="D1868" s="212"/>
      <c r="E1868" s="75" t="e">
        <f t="shared" si="62"/>
        <v>#N/A</v>
      </c>
      <c r="F1868" s="80"/>
      <c r="G1868" s="81"/>
      <c r="H1868" s="78"/>
      <c r="I1868" s="78"/>
      <c r="J1868" s="78"/>
    </row>
    <row r="1869" spans="1:10" x14ac:dyDescent="0.2">
      <c r="A1869" s="84">
        <f t="shared" si="61"/>
        <v>1863</v>
      </c>
      <c r="B1869" s="85" t="e">
        <f>+MATCH(D1869,ARTICULOS!$F$10:$F$699,0)</f>
        <v>#N/A</v>
      </c>
      <c r="C1869" s="86" t="e">
        <f>+VLOOKUP(B1869,ARTICULOS!$D$10:$I$699,6)</f>
        <v>#N/A</v>
      </c>
      <c r="D1869" s="212"/>
      <c r="E1869" s="75" t="e">
        <f t="shared" si="62"/>
        <v>#N/A</v>
      </c>
      <c r="F1869" s="80"/>
      <c r="G1869" s="81"/>
      <c r="H1869" s="78"/>
      <c r="I1869" s="78"/>
      <c r="J1869" s="78"/>
    </row>
    <row r="1870" spans="1:10" x14ac:dyDescent="0.2">
      <c r="A1870" s="84">
        <f t="shared" si="61"/>
        <v>1864</v>
      </c>
      <c r="B1870" s="85" t="e">
        <f>+MATCH(D1870,ARTICULOS!$F$10:$F$699,0)</f>
        <v>#N/A</v>
      </c>
      <c r="C1870" s="86" t="e">
        <f>+VLOOKUP(B1870,ARTICULOS!$D$10:$I$699,6)</f>
        <v>#N/A</v>
      </c>
      <c r="D1870" s="212"/>
      <c r="E1870" s="75" t="e">
        <f t="shared" si="62"/>
        <v>#N/A</v>
      </c>
      <c r="F1870" s="80"/>
      <c r="G1870" s="81"/>
      <c r="H1870" s="78"/>
      <c r="I1870" s="78"/>
      <c r="J1870" s="78"/>
    </row>
    <row r="1871" spans="1:10" x14ac:dyDescent="0.2">
      <c r="A1871" s="84">
        <f t="shared" si="61"/>
        <v>1865</v>
      </c>
      <c r="B1871" s="85" t="e">
        <f>+MATCH(D1871,ARTICULOS!$F$10:$F$699,0)</f>
        <v>#N/A</v>
      </c>
      <c r="C1871" s="86" t="e">
        <f>+VLOOKUP(B1871,ARTICULOS!$D$10:$I$699,6)</f>
        <v>#N/A</v>
      </c>
      <c r="D1871" s="212"/>
      <c r="E1871" s="75" t="e">
        <f t="shared" si="62"/>
        <v>#N/A</v>
      </c>
      <c r="F1871" s="80"/>
      <c r="G1871" s="81"/>
      <c r="H1871" s="78"/>
      <c r="I1871" s="78"/>
      <c r="J1871" s="78"/>
    </row>
    <row r="1872" spans="1:10" x14ac:dyDescent="0.2">
      <c r="A1872" s="84">
        <f t="shared" si="61"/>
        <v>1866</v>
      </c>
      <c r="B1872" s="85" t="e">
        <f>+MATCH(D1872,ARTICULOS!$F$10:$F$699,0)</f>
        <v>#N/A</v>
      </c>
      <c r="C1872" s="86" t="e">
        <f>+VLOOKUP(B1872,ARTICULOS!$D$10:$I$699,6)</f>
        <v>#N/A</v>
      </c>
      <c r="D1872" s="212"/>
      <c r="E1872" s="75" t="e">
        <f t="shared" si="62"/>
        <v>#N/A</v>
      </c>
      <c r="F1872" s="80"/>
      <c r="G1872" s="81"/>
      <c r="H1872" s="78"/>
      <c r="I1872" s="78"/>
      <c r="J1872" s="78"/>
    </row>
    <row r="1873" spans="1:10" x14ac:dyDescent="0.2">
      <c r="A1873" s="84">
        <f t="shared" si="61"/>
        <v>1867</v>
      </c>
      <c r="B1873" s="85" t="e">
        <f>+MATCH(D1873,ARTICULOS!$F$10:$F$699,0)</f>
        <v>#N/A</v>
      </c>
      <c r="C1873" s="86" t="e">
        <f>+VLOOKUP(B1873,ARTICULOS!$D$10:$I$699,6)</f>
        <v>#N/A</v>
      </c>
      <c r="D1873" s="212"/>
      <c r="E1873" s="75" t="e">
        <f t="shared" si="62"/>
        <v>#N/A</v>
      </c>
      <c r="F1873" s="80"/>
      <c r="G1873" s="81"/>
      <c r="H1873" s="78"/>
      <c r="I1873" s="78"/>
      <c r="J1873" s="78"/>
    </row>
    <row r="1874" spans="1:10" x14ac:dyDescent="0.2">
      <c r="A1874" s="84">
        <f t="shared" si="61"/>
        <v>1868</v>
      </c>
      <c r="B1874" s="85" t="e">
        <f>+MATCH(D1874,ARTICULOS!$F$10:$F$699,0)</f>
        <v>#N/A</v>
      </c>
      <c r="C1874" s="86" t="e">
        <f>+VLOOKUP(B1874,ARTICULOS!$D$10:$I$699,6)</f>
        <v>#N/A</v>
      </c>
      <c r="D1874" s="212"/>
      <c r="E1874" s="75" t="e">
        <f t="shared" si="62"/>
        <v>#N/A</v>
      </c>
      <c r="F1874" s="80"/>
      <c r="G1874" s="81"/>
      <c r="H1874" s="78"/>
      <c r="I1874" s="78"/>
      <c r="J1874" s="78"/>
    </row>
    <row r="1875" spans="1:10" x14ac:dyDescent="0.2">
      <c r="A1875" s="84">
        <f t="shared" si="61"/>
        <v>1869</v>
      </c>
      <c r="B1875" s="85" t="e">
        <f>+MATCH(D1875,ARTICULOS!$F$10:$F$699,0)</f>
        <v>#N/A</v>
      </c>
      <c r="C1875" s="86" t="e">
        <f>+VLOOKUP(B1875,ARTICULOS!$D$10:$I$699,6)</f>
        <v>#N/A</v>
      </c>
      <c r="D1875" s="212"/>
      <c r="E1875" s="75" t="e">
        <f t="shared" si="62"/>
        <v>#N/A</v>
      </c>
      <c r="F1875" s="80"/>
      <c r="G1875" s="81"/>
      <c r="H1875" s="78"/>
      <c r="I1875" s="78"/>
      <c r="J1875" s="78"/>
    </row>
    <row r="1876" spans="1:10" x14ac:dyDescent="0.2">
      <c r="A1876" s="84">
        <f t="shared" si="61"/>
        <v>1870</v>
      </c>
      <c r="B1876" s="85" t="e">
        <f>+MATCH(D1876,ARTICULOS!$F$10:$F$699,0)</f>
        <v>#N/A</v>
      </c>
      <c r="C1876" s="86" t="e">
        <f>+VLOOKUP(B1876,ARTICULOS!$D$10:$I$699,6)</f>
        <v>#N/A</v>
      </c>
      <c r="D1876" s="212"/>
      <c r="E1876" s="75" t="e">
        <f t="shared" si="62"/>
        <v>#N/A</v>
      </c>
      <c r="F1876" s="80"/>
      <c r="G1876" s="81"/>
      <c r="H1876" s="78"/>
      <c r="I1876" s="78"/>
      <c r="J1876" s="78"/>
    </row>
    <row r="1877" spans="1:10" x14ac:dyDescent="0.2">
      <c r="A1877" s="84">
        <f t="shared" si="61"/>
        <v>1871</v>
      </c>
      <c r="B1877" s="85" t="e">
        <f>+MATCH(D1877,ARTICULOS!$F$10:$F$699,0)</f>
        <v>#N/A</v>
      </c>
      <c r="C1877" s="86" t="e">
        <f>+VLOOKUP(B1877,ARTICULOS!$D$10:$I$699,6)</f>
        <v>#N/A</v>
      </c>
      <c r="D1877" s="212"/>
      <c r="E1877" s="75" t="e">
        <f t="shared" si="62"/>
        <v>#N/A</v>
      </c>
      <c r="F1877" s="80"/>
      <c r="G1877" s="81"/>
      <c r="H1877" s="78"/>
      <c r="I1877" s="78"/>
      <c r="J1877" s="78"/>
    </row>
    <row r="1878" spans="1:10" x14ac:dyDescent="0.2">
      <c r="A1878" s="84">
        <f t="shared" si="61"/>
        <v>1872</v>
      </c>
      <c r="B1878" s="85" t="e">
        <f>+MATCH(D1878,ARTICULOS!$F$10:$F$699,0)</f>
        <v>#N/A</v>
      </c>
      <c r="C1878" s="86" t="e">
        <f>+VLOOKUP(B1878,ARTICULOS!$D$10:$I$699,6)</f>
        <v>#N/A</v>
      </c>
      <c r="D1878" s="212"/>
      <c r="E1878" s="75" t="e">
        <f t="shared" si="62"/>
        <v>#N/A</v>
      </c>
      <c r="F1878" s="80"/>
      <c r="G1878" s="81"/>
      <c r="H1878" s="78"/>
      <c r="I1878" s="78"/>
      <c r="J1878" s="78"/>
    </row>
    <row r="1879" spans="1:10" x14ac:dyDescent="0.2">
      <c r="A1879" s="84">
        <f t="shared" si="61"/>
        <v>1873</v>
      </c>
      <c r="B1879" s="85" t="e">
        <f>+MATCH(D1879,ARTICULOS!$F$10:$F$699,0)</f>
        <v>#N/A</v>
      </c>
      <c r="C1879" s="86" t="e">
        <f>+VLOOKUP(B1879,ARTICULOS!$D$10:$I$699,6)</f>
        <v>#N/A</v>
      </c>
      <c r="D1879" s="212"/>
      <c r="E1879" s="75" t="e">
        <f t="shared" si="62"/>
        <v>#N/A</v>
      </c>
      <c r="F1879" s="80"/>
      <c r="G1879" s="81"/>
      <c r="H1879" s="78"/>
      <c r="I1879" s="78"/>
      <c r="J1879" s="78"/>
    </row>
    <row r="1880" spans="1:10" x14ac:dyDescent="0.2">
      <c r="A1880" s="84">
        <f t="shared" si="61"/>
        <v>1874</v>
      </c>
      <c r="B1880" s="85" t="e">
        <f>+MATCH(D1880,ARTICULOS!$F$10:$F$699,0)</f>
        <v>#N/A</v>
      </c>
      <c r="C1880" s="86" t="e">
        <f>+VLOOKUP(B1880,ARTICULOS!$D$10:$I$699,6)</f>
        <v>#N/A</v>
      </c>
      <c r="D1880" s="212"/>
      <c r="E1880" s="75" t="e">
        <f t="shared" si="62"/>
        <v>#N/A</v>
      </c>
      <c r="F1880" s="80"/>
      <c r="G1880" s="81"/>
      <c r="H1880" s="78"/>
      <c r="I1880" s="78"/>
      <c r="J1880" s="78"/>
    </row>
    <row r="1881" spans="1:10" x14ac:dyDescent="0.2">
      <c r="A1881" s="84">
        <f t="shared" si="61"/>
        <v>1875</v>
      </c>
      <c r="B1881" s="85" t="e">
        <f>+MATCH(D1881,ARTICULOS!$F$10:$F$699,0)</f>
        <v>#N/A</v>
      </c>
      <c r="C1881" s="86" t="e">
        <f>+VLOOKUP(B1881,ARTICULOS!$D$10:$I$699,6)</f>
        <v>#N/A</v>
      </c>
      <c r="D1881" s="212"/>
      <c r="E1881" s="75" t="e">
        <f t="shared" si="62"/>
        <v>#N/A</v>
      </c>
      <c r="F1881" s="80"/>
      <c r="G1881" s="81"/>
      <c r="H1881" s="78"/>
      <c r="I1881" s="78"/>
      <c r="J1881" s="78"/>
    </row>
    <row r="1882" spans="1:10" x14ac:dyDescent="0.2">
      <c r="A1882" s="84">
        <f t="shared" si="61"/>
        <v>1876</v>
      </c>
      <c r="B1882" s="85" t="e">
        <f>+MATCH(D1882,ARTICULOS!$F$10:$F$699,0)</f>
        <v>#N/A</v>
      </c>
      <c r="C1882" s="86" t="e">
        <f>+VLOOKUP(B1882,ARTICULOS!$D$10:$I$699,6)</f>
        <v>#N/A</v>
      </c>
      <c r="D1882" s="212"/>
      <c r="E1882" s="75" t="e">
        <f t="shared" si="62"/>
        <v>#N/A</v>
      </c>
      <c r="F1882" s="80"/>
      <c r="G1882" s="81"/>
      <c r="H1882" s="78"/>
      <c r="I1882" s="78"/>
      <c r="J1882" s="78"/>
    </row>
    <row r="1883" spans="1:10" x14ac:dyDescent="0.2">
      <c r="A1883" s="84">
        <f t="shared" si="61"/>
        <v>1877</v>
      </c>
      <c r="B1883" s="85" t="e">
        <f>+MATCH(D1883,ARTICULOS!$F$10:$F$699,0)</f>
        <v>#N/A</v>
      </c>
      <c r="C1883" s="86" t="e">
        <f>+VLOOKUP(B1883,ARTICULOS!$D$10:$I$699,6)</f>
        <v>#N/A</v>
      </c>
      <c r="D1883" s="212"/>
      <c r="E1883" s="75" t="e">
        <f t="shared" si="62"/>
        <v>#N/A</v>
      </c>
      <c r="F1883" s="80"/>
      <c r="G1883" s="81"/>
      <c r="H1883" s="78"/>
      <c r="I1883" s="78"/>
      <c r="J1883" s="78"/>
    </row>
    <row r="1884" spans="1:10" x14ac:dyDescent="0.2">
      <c r="A1884" s="84">
        <f t="shared" si="61"/>
        <v>1878</v>
      </c>
      <c r="B1884" s="85" t="e">
        <f>+MATCH(D1884,ARTICULOS!$F$10:$F$699,0)</f>
        <v>#N/A</v>
      </c>
      <c r="C1884" s="86" t="e">
        <f>+VLOOKUP(B1884,ARTICULOS!$D$10:$I$699,6)</f>
        <v>#N/A</v>
      </c>
      <c r="D1884" s="212"/>
      <c r="E1884" s="75" t="e">
        <f t="shared" si="62"/>
        <v>#N/A</v>
      </c>
      <c r="F1884" s="80"/>
      <c r="G1884" s="81"/>
      <c r="H1884" s="78"/>
      <c r="I1884" s="78"/>
      <c r="J1884" s="78"/>
    </row>
    <row r="1885" spans="1:10" x14ac:dyDescent="0.2">
      <c r="A1885" s="84">
        <f t="shared" si="61"/>
        <v>1879</v>
      </c>
      <c r="B1885" s="85" t="e">
        <f>+MATCH(D1885,ARTICULOS!$F$10:$F$699,0)</f>
        <v>#N/A</v>
      </c>
      <c r="C1885" s="86" t="e">
        <f>+VLOOKUP(B1885,ARTICULOS!$D$10:$I$699,6)</f>
        <v>#N/A</v>
      </c>
      <c r="D1885" s="212"/>
      <c r="E1885" s="75" t="e">
        <f t="shared" si="62"/>
        <v>#N/A</v>
      </c>
      <c r="F1885" s="80"/>
      <c r="G1885" s="81"/>
      <c r="H1885" s="78"/>
      <c r="I1885" s="78"/>
      <c r="J1885" s="78"/>
    </row>
    <row r="1886" spans="1:10" x14ac:dyDescent="0.2">
      <c r="A1886" s="84">
        <f t="shared" si="61"/>
        <v>1880</v>
      </c>
      <c r="B1886" s="85" t="e">
        <f>+MATCH(D1886,ARTICULOS!$F$10:$F$699,0)</f>
        <v>#N/A</v>
      </c>
      <c r="C1886" s="86" t="e">
        <f>+VLOOKUP(B1886,ARTICULOS!$D$10:$I$699,6)</f>
        <v>#N/A</v>
      </c>
      <c r="D1886" s="212"/>
      <c r="E1886" s="75" t="e">
        <f t="shared" si="62"/>
        <v>#N/A</v>
      </c>
      <c r="F1886" s="80"/>
      <c r="G1886" s="81"/>
      <c r="H1886" s="78"/>
      <c r="I1886" s="78"/>
      <c r="J1886" s="78"/>
    </row>
    <row r="1887" spans="1:10" x14ac:dyDescent="0.2">
      <c r="A1887" s="84">
        <f t="shared" si="61"/>
        <v>1881</v>
      </c>
      <c r="B1887" s="85" t="e">
        <f>+MATCH(D1887,ARTICULOS!$F$10:$F$699,0)</f>
        <v>#N/A</v>
      </c>
      <c r="C1887" s="86" t="e">
        <f>+VLOOKUP(B1887,ARTICULOS!$D$10:$I$699,6)</f>
        <v>#N/A</v>
      </c>
      <c r="D1887" s="212"/>
      <c r="E1887" s="75" t="e">
        <f t="shared" si="62"/>
        <v>#N/A</v>
      </c>
      <c r="F1887" s="80"/>
      <c r="G1887" s="81"/>
      <c r="H1887" s="78"/>
      <c r="I1887" s="78"/>
      <c r="J1887" s="78"/>
    </row>
    <row r="1888" spans="1:10" x14ac:dyDescent="0.2">
      <c r="A1888" s="84">
        <f t="shared" si="61"/>
        <v>1882</v>
      </c>
      <c r="B1888" s="85" t="e">
        <f>+MATCH(D1888,ARTICULOS!$F$10:$F$699,0)</f>
        <v>#N/A</v>
      </c>
      <c r="C1888" s="86" t="e">
        <f>+VLOOKUP(B1888,ARTICULOS!$D$10:$I$699,6)</f>
        <v>#N/A</v>
      </c>
      <c r="D1888" s="212"/>
      <c r="E1888" s="75" t="e">
        <f t="shared" si="62"/>
        <v>#N/A</v>
      </c>
      <c r="F1888" s="80"/>
      <c r="G1888" s="81"/>
      <c r="H1888" s="78"/>
      <c r="I1888" s="78"/>
      <c r="J1888" s="78"/>
    </row>
    <row r="1889" spans="1:10" x14ac:dyDescent="0.2">
      <c r="A1889" s="84">
        <f t="shared" si="61"/>
        <v>1883</v>
      </c>
      <c r="B1889" s="85" t="e">
        <f>+MATCH(D1889,ARTICULOS!$F$10:$F$699,0)</f>
        <v>#N/A</v>
      </c>
      <c r="C1889" s="86" t="e">
        <f>+VLOOKUP(B1889,ARTICULOS!$D$10:$I$699,6)</f>
        <v>#N/A</v>
      </c>
      <c r="D1889" s="212"/>
      <c r="E1889" s="75" t="e">
        <f t="shared" si="62"/>
        <v>#N/A</v>
      </c>
      <c r="F1889" s="80"/>
      <c r="G1889" s="81"/>
      <c r="H1889" s="78"/>
      <c r="I1889" s="78"/>
      <c r="J1889" s="78"/>
    </row>
    <row r="1890" spans="1:10" x14ac:dyDescent="0.2">
      <c r="A1890" s="84">
        <f t="shared" si="61"/>
        <v>1884</v>
      </c>
      <c r="B1890" s="85" t="e">
        <f>+MATCH(D1890,ARTICULOS!$F$10:$F$699,0)</f>
        <v>#N/A</v>
      </c>
      <c r="C1890" s="86" t="e">
        <f>+VLOOKUP(B1890,ARTICULOS!$D$10:$I$699,6)</f>
        <v>#N/A</v>
      </c>
      <c r="D1890" s="212"/>
      <c r="E1890" s="75" t="e">
        <f t="shared" si="62"/>
        <v>#N/A</v>
      </c>
      <c r="F1890" s="80"/>
      <c r="G1890" s="81"/>
      <c r="H1890" s="78"/>
      <c r="I1890" s="78"/>
      <c r="J1890" s="78"/>
    </row>
    <row r="1891" spans="1:10" x14ac:dyDescent="0.2">
      <c r="A1891" s="84">
        <f t="shared" si="61"/>
        <v>1885</v>
      </c>
      <c r="B1891" s="85" t="e">
        <f>+MATCH(D1891,ARTICULOS!$F$10:$F$699,0)</f>
        <v>#N/A</v>
      </c>
      <c r="C1891" s="86" t="e">
        <f>+VLOOKUP(B1891,ARTICULOS!$D$10:$I$699,6)</f>
        <v>#N/A</v>
      </c>
      <c r="D1891" s="212"/>
      <c r="E1891" s="75" t="e">
        <f t="shared" si="62"/>
        <v>#N/A</v>
      </c>
      <c r="F1891" s="80"/>
      <c r="G1891" s="81"/>
      <c r="H1891" s="78"/>
      <c r="I1891" s="78"/>
      <c r="J1891" s="78"/>
    </row>
    <row r="1892" spans="1:10" x14ac:dyDescent="0.2">
      <c r="A1892" s="84">
        <f t="shared" si="61"/>
        <v>1886</v>
      </c>
      <c r="B1892" s="85" t="e">
        <f>+MATCH(D1892,ARTICULOS!$F$10:$F$699,0)</f>
        <v>#N/A</v>
      </c>
      <c r="C1892" s="86" t="e">
        <f>+VLOOKUP(B1892,ARTICULOS!$D$10:$I$699,6)</f>
        <v>#N/A</v>
      </c>
      <c r="D1892" s="212"/>
      <c r="E1892" s="75" t="e">
        <f t="shared" si="62"/>
        <v>#N/A</v>
      </c>
      <c r="F1892" s="80"/>
      <c r="G1892" s="81"/>
      <c r="H1892" s="78"/>
      <c r="I1892" s="78"/>
      <c r="J1892" s="78"/>
    </row>
    <row r="1893" spans="1:10" x14ac:dyDescent="0.2">
      <c r="A1893" s="84">
        <f t="shared" si="61"/>
        <v>1887</v>
      </c>
      <c r="B1893" s="85" t="e">
        <f>+MATCH(D1893,ARTICULOS!$F$10:$F$699,0)</f>
        <v>#N/A</v>
      </c>
      <c r="C1893" s="86" t="e">
        <f>+VLOOKUP(B1893,ARTICULOS!$D$10:$I$699,6)</f>
        <v>#N/A</v>
      </c>
      <c r="D1893" s="212"/>
      <c r="E1893" s="75" t="e">
        <f t="shared" si="62"/>
        <v>#N/A</v>
      </c>
      <c r="F1893" s="80"/>
      <c r="G1893" s="81"/>
      <c r="H1893" s="78"/>
      <c r="I1893" s="78"/>
      <c r="J1893" s="78"/>
    </row>
    <row r="1894" spans="1:10" x14ac:dyDescent="0.2">
      <c r="A1894" s="84">
        <f t="shared" si="61"/>
        <v>1888</v>
      </c>
      <c r="B1894" s="85" t="e">
        <f>+MATCH(D1894,ARTICULOS!$F$10:$F$699,0)</f>
        <v>#N/A</v>
      </c>
      <c r="C1894" s="86" t="e">
        <f>+VLOOKUP(B1894,ARTICULOS!$D$10:$I$699,6)</f>
        <v>#N/A</v>
      </c>
      <c r="D1894" s="212"/>
      <c r="E1894" s="75" t="e">
        <f t="shared" si="62"/>
        <v>#N/A</v>
      </c>
      <c r="F1894" s="80"/>
      <c r="G1894" s="81"/>
      <c r="H1894" s="78"/>
      <c r="I1894" s="78"/>
      <c r="J1894" s="78"/>
    </row>
    <row r="1895" spans="1:10" x14ac:dyDescent="0.2">
      <c r="A1895" s="84">
        <f t="shared" si="61"/>
        <v>1889</v>
      </c>
      <c r="B1895" s="85" t="e">
        <f>+MATCH(D1895,ARTICULOS!$F$10:$F$699,0)</f>
        <v>#N/A</v>
      </c>
      <c r="C1895" s="86" t="e">
        <f>+VLOOKUP(B1895,ARTICULOS!$D$10:$I$699,6)</f>
        <v>#N/A</v>
      </c>
      <c r="D1895" s="212"/>
      <c r="E1895" s="75" t="e">
        <f t="shared" si="62"/>
        <v>#N/A</v>
      </c>
      <c r="F1895" s="80"/>
      <c r="G1895" s="81"/>
      <c r="H1895" s="78"/>
      <c r="I1895" s="78"/>
      <c r="J1895" s="78"/>
    </row>
    <row r="1896" spans="1:10" x14ac:dyDescent="0.2">
      <c r="A1896" s="84">
        <f t="shared" si="61"/>
        <v>1890</v>
      </c>
      <c r="B1896" s="85" t="e">
        <f>+MATCH(D1896,ARTICULOS!$F$10:$F$699,0)</f>
        <v>#N/A</v>
      </c>
      <c r="C1896" s="86" t="e">
        <f>+VLOOKUP(B1896,ARTICULOS!$D$10:$I$699,6)</f>
        <v>#N/A</v>
      </c>
      <c r="D1896" s="212"/>
      <c r="E1896" s="75" t="e">
        <f t="shared" si="62"/>
        <v>#N/A</v>
      </c>
      <c r="F1896" s="80"/>
      <c r="G1896" s="81"/>
      <c r="H1896" s="78"/>
      <c r="I1896" s="78"/>
      <c r="J1896" s="78"/>
    </row>
    <row r="1897" spans="1:10" x14ac:dyDescent="0.2">
      <c r="A1897" s="84">
        <f t="shared" ref="A1897:A1960" si="63">ROW()-6</f>
        <v>1891</v>
      </c>
      <c r="B1897" s="85" t="e">
        <f>+MATCH(D1897,ARTICULOS!$F$10:$F$699,0)</f>
        <v>#N/A</v>
      </c>
      <c r="C1897" s="86" t="e">
        <f>+VLOOKUP(B1897,ARTICULOS!$D$10:$I$699,6)</f>
        <v>#N/A</v>
      </c>
      <c r="D1897" s="212"/>
      <c r="E1897" s="75" t="e">
        <f t="shared" si="62"/>
        <v>#N/A</v>
      </c>
      <c r="F1897" s="80"/>
      <c r="G1897" s="81"/>
      <c r="H1897" s="78"/>
      <c r="I1897" s="78"/>
      <c r="J1897" s="78"/>
    </row>
    <row r="1898" spans="1:10" x14ac:dyDescent="0.2">
      <c r="A1898" s="84">
        <f t="shared" si="63"/>
        <v>1892</v>
      </c>
      <c r="B1898" s="85" t="e">
        <f>+MATCH(D1898,ARTICULOS!$F$10:$F$699,0)</f>
        <v>#N/A</v>
      </c>
      <c r="C1898" s="86" t="e">
        <f>+VLOOKUP(B1898,ARTICULOS!$D$10:$I$699,6)</f>
        <v>#N/A</v>
      </c>
      <c r="D1898" s="212"/>
      <c r="E1898" s="75" t="e">
        <f t="shared" si="62"/>
        <v>#N/A</v>
      </c>
      <c r="F1898" s="80"/>
      <c r="G1898" s="81"/>
      <c r="H1898" s="78"/>
      <c r="I1898" s="78"/>
      <c r="J1898" s="78"/>
    </row>
    <row r="1899" spans="1:10" x14ac:dyDescent="0.2">
      <c r="A1899" s="84">
        <f t="shared" si="63"/>
        <v>1893</v>
      </c>
      <c r="B1899" s="85" t="e">
        <f>+MATCH(D1899,ARTICULOS!$F$10:$F$699,0)</f>
        <v>#N/A</v>
      </c>
      <c r="C1899" s="86" t="e">
        <f>+VLOOKUP(B1899,ARTICULOS!$D$10:$I$699,6)</f>
        <v>#N/A</v>
      </c>
      <c r="D1899" s="212"/>
      <c r="E1899" s="75" t="e">
        <f t="shared" si="62"/>
        <v>#N/A</v>
      </c>
      <c r="F1899" s="80"/>
      <c r="G1899" s="81"/>
      <c r="H1899" s="78"/>
      <c r="I1899" s="78"/>
      <c r="J1899" s="78"/>
    </row>
    <row r="1900" spans="1:10" x14ac:dyDescent="0.2">
      <c r="A1900" s="84">
        <f t="shared" si="63"/>
        <v>1894</v>
      </c>
      <c r="B1900" s="85" t="e">
        <f>+MATCH(D1900,ARTICULOS!$F$10:$F$699,0)</f>
        <v>#N/A</v>
      </c>
      <c r="C1900" s="86" t="e">
        <f>+VLOOKUP(B1900,ARTICULOS!$D$10:$I$699,6)</f>
        <v>#N/A</v>
      </c>
      <c r="D1900" s="212"/>
      <c r="E1900" s="75" t="e">
        <f t="shared" si="62"/>
        <v>#N/A</v>
      </c>
      <c r="F1900" s="80"/>
      <c r="G1900" s="81"/>
      <c r="H1900" s="78"/>
      <c r="I1900" s="78"/>
      <c r="J1900" s="78"/>
    </row>
    <row r="1901" spans="1:10" x14ac:dyDescent="0.2">
      <c r="A1901" s="84">
        <f t="shared" si="63"/>
        <v>1895</v>
      </c>
      <c r="B1901" s="85" t="e">
        <f>+MATCH(D1901,ARTICULOS!$F$10:$F$699,0)</f>
        <v>#N/A</v>
      </c>
      <c r="C1901" s="86" t="e">
        <f>+VLOOKUP(B1901,ARTICULOS!$D$10:$I$699,6)</f>
        <v>#N/A</v>
      </c>
      <c r="D1901" s="212"/>
      <c r="E1901" s="75" t="e">
        <f t="shared" si="62"/>
        <v>#N/A</v>
      </c>
      <c r="F1901" s="80"/>
      <c r="G1901" s="81"/>
      <c r="H1901" s="78"/>
      <c r="I1901" s="78"/>
      <c r="J1901" s="78"/>
    </row>
    <row r="1902" spans="1:10" x14ac:dyDescent="0.2">
      <c r="A1902" s="84">
        <f t="shared" si="63"/>
        <v>1896</v>
      </c>
      <c r="B1902" s="85" t="e">
        <f>+MATCH(D1902,ARTICULOS!$F$10:$F$699,0)</f>
        <v>#N/A</v>
      </c>
      <c r="C1902" s="86" t="e">
        <f>+VLOOKUP(B1902,ARTICULOS!$D$10:$I$699,6)</f>
        <v>#N/A</v>
      </c>
      <c r="D1902" s="212"/>
      <c r="E1902" s="75" t="e">
        <f t="shared" si="62"/>
        <v>#N/A</v>
      </c>
      <c r="F1902" s="80"/>
      <c r="G1902" s="81"/>
      <c r="H1902" s="78"/>
      <c r="I1902" s="78"/>
      <c r="J1902" s="78"/>
    </row>
    <row r="1903" spans="1:10" x14ac:dyDescent="0.2">
      <c r="A1903" s="84">
        <f t="shared" si="63"/>
        <v>1897</v>
      </c>
      <c r="B1903" s="85" t="e">
        <f>+MATCH(D1903,ARTICULOS!$F$10:$F$699,0)</f>
        <v>#N/A</v>
      </c>
      <c r="C1903" s="86" t="e">
        <f>+VLOOKUP(B1903,ARTICULOS!$D$10:$I$699,6)</f>
        <v>#N/A</v>
      </c>
      <c r="D1903" s="212"/>
      <c r="E1903" s="75" t="e">
        <f t="shared" si="62"/>
        <v>#N/A</v>
      </c>
      <c r="F1903" s="80"/>
      <c r="G1903" s="81"/>
      <c r="H1903" s="78"/>
      <c r="I1903" s="78"/>
      <c r="J1903" s="78"/>
    </row>
    <row r="1904" spans="1:10" x14ac:dyDescent="0.2">
      <c r="A1904" s="84">
        <f t="shared" si="63"/>
        <v>1898</v>
      </c>
      <c r="B1904" s="85" t="e">
        <f>+MATCH(D1904,ARTICULOS!$F$10:$F$699,0)</f>
        <v>#N/A</v>
      </c>
      <c r="C1904" s="86" t="e">
        <f>+VLOOKUP(B1904,ARTICULOS!$D$10:$I$699,6)</f>
        <v>#N/A</v>
      </c>
      <c r="D1904" s="212"/>
      <c r="E1904" s="75" t="e">
        <f t="shared" si="62"/>
        <v>#N/A</v>
      </c>
      <c r="F1904" s="80"/>
      <c r="G1904" s="81"/>
      <c r="H1904" s="78"/>
      <c r="I1904" s="78"/>
      <c r="J1904" s="78"/>
    </row>
    <row r="1905" spans="1:10" x14ac:dyDescent="0.2">
      <c r="A1905" s="84">
        <f t="shared" si="63"/>
        <v>1899</v>
      </c>
      <c r="B1905" s="85" t="e">
        <f>+MATCH(D1905,ARTICULOS!$F$10:$F$699,0)</f>
        <v>#N/A</v>
      </c>
      <c r="C1905" s="86" t="e">
        <f>+VLOOKUP(B1905,ARTICULOS!$D$10:$I$699,6)</f>
        <v>#N/A</v>
      </c>
      <c r="D1905" s="212"/>
      <c r="E1905" s="75" t="e">
        <f t="shared" si="62"/>
        <v>#N/A</v>
      </c>
      <c r="F1905" s="80"/>
      <c r="G1905" s="81"/>
      <c r="H1905" s="78"/>
      <c r="I1905" s="78"/>
      <c r="J1905" s="78"/>
    </row>
    <row r="1906" spans="1:10" x14ac:dyDescent="0.2">
      <c r="A1906" s="84">
        <f t="shared" si="63"/>
        <v>1900</v>
      </c>
      <c r="B1906" s="85" t="e">
        <f>+MATCH(D1906,ARTICULOS!$F$10:$F$699,0)</f>
        <v>#N/A</v>
      </c>
      <c r="C1906" s="86" t="e">
        <f>+VLOOKUP(B1906,ARTICULOS!$D$10:$I$699,6)</f>
        <v>#N/A</v>
      </c>
      <c r="D1906" s="212"/>
      <c r="E1906" s="75" t="e">
        <f t="shared" si="62"/>
        <v>#N/A</v>
      </c>
      <c r="F1906" s="80"/>
      <c r="G1906" s="81"/>
      <c r="H1906" s="78"/>
      <c r="I1906" s="78"/>
      <c r="J1906" s="78"/>
    </row>
    <row r="1907" spans="1:10" x14ac:dyDescent="0.2">
      <c r="A1907" s="84">
        <f t="shared" si="63"/>
        <v>1901</v>
      </c>
      <c r="B1907" s="85" t="e">
        <f>+MATCH(D1907,ARTICULOS!$F$10:$F$699,0)</f>
        <v>#N/A</v>
      </c>
      <c r="C1907" s="86" t="e">
        <f>+VLOOKUP(B1907,ARTICULOS!$D$10:$I$699,6)</f>
        <v>#N/A</v>
      </c>
      <c r="D1907" s="212"/>
      <c r="E1907" s="75" t="e">
        <f t="shared" si="62"/>
        <v>#N/A</v>
      </c>
      <c r="F1907" s="80"/>
      <c r="G1907" s="81"/>
      <c r="H1907" s="78"/>
      <c r="I1907" s="78"/>
      <c r="J1907" s="78"/>
    </row>
    <row r="1908" spans="1:10" x14ac:dyDescent="0.2">
      <c r="A1908" s="84">
        <f t="shared" si="63"/>
        <v>1902</v>
      </c>
      <c r="B1908" s="85" t="e">
        <f>+MATCH(D1908,ARTICULOS!$F$10:$F$699,0)</f>
        <v>#N/A</v>
      </c>
      <c r="C1908" s="86" t="e">
        <f>+VLOOKUP(B1908,ARTICULOS!$D$10:$I$699,6)</f>
        <v>#N/A</v>
      </c>
      <c r="D1908" s="212"/>
      <c r="E1908" s="75" t="e">
        <f t="shared" si="62"/>
        <v>#N/A</v>
      </c>
      <c r="F1908" s="80"/>
      <c r="G1908" s="81"/>
      <c r="H1908" s="78"/>
      <c r="I1908" s="78"/>
      <c r="J1908" s="78"/>
    </row>
    <row r="1909" spans="1:10" x14ac:dyDescent="0.2">
      <c r="A1909" s="84">
        <f t="shared" si="63"/>
        <v>1903</v>
      </c>
      <c r="B1909" s="85" t="e">
        <f>+MATCH(D1909,ARTICULOS!$F$10:$F$699,0)</f>
        <v>#N/A</v>
      </c>
      <c r="C1909" s="86" t="e">
        <f>+VLOOKUP(B1909,ARTICULOS!$D$10:$I$699,6)</f>
        <v>#N/A</v>
      </c>
      <c r="D1909" s="212"/>
      <c r="E1909" s="75" t="e">
        <f t="shared" si="62"/>
        <v>#N/A</v>
      </c>
      <c r="F1909" s="80"/>
      <c r="G1909" s="81"/>
      <c r="H1909" s="78"/>
      <c r="I1909" s="78"/>
      <c r="J1909" s="78"/>
    </row>
    <row r="1910" spans="1:10" x14ac:dyDescent="0.2">
      <c r="A1910" s="84">
        <f t="shared" si="63"/>
        <v>1904</v>
      </c>
      <c r="B1910" s="85" t="e">
        <f>+MATCH(D1910,ARTICULOS!$F$10:$F$699,0)</f>
        <v>#N/A</v>
      </c>
      <c r="C1910" s="86" t="e">
        <f>+VLOOKUP(B1910,ARTICULOS!$D$10:$I$699,6)</f>
        <v>#N/A</v>
      </c>
      <c r="D1910" s="212"/>
      <c r="E1910" s="75" t="e">
        <f t="shared" si="62"/>
        <v>#N/A</v>
      </c>
      <c r="F1910" s="80"/>
      <c r="G1910" s="81"/>
      <c r="H1910" s="78"/>
      <c r="I1910" s="78"/>
      <c r="J1910" s="78"/>
    </row>
    <row r="1911" spans="1:10" x14ac:dyDescent="0.2">
      <c r="A1911" s="84">
        <f t="shared" si="63"/>
        <v>1905</v>
      </c>
      <c r="B1911" s="85" t="e">
        <f>+MATCH(D1911,ARTICULOS!$F$10:$F$699,0)</f>
        <v>#N/A</v>
      </c>
      <c r="C1911" s="86" t="e">
        <f>+VLOOKUP(B1911,ARTICULOS!$D$10:$I$699,6)</f>
        <v>#N/A</v>
      </c>
      <c r="D1911" s="212"/>
      <c r="E1911" s="75" t="e">
        <f t="shared" si="62"/>
        <v>#N/A</v>
      </c>
      <c r="F1911" s="80"/>
      <c r="G1911" s="81"/>
      <c r="H1911" s="78"/>
      <c r="I1911" s="78"/>
      <c r="J1911" s="78"/>
    </row>
    <row r="1912" spans="1:10" x14ac:dyDescent="0.2">
      <c r="A1912" s="84">
        <f t="shared" si="63"/>
        <v>1906</v>
      </c>
      <c r="B1912" s="85" t="e">
        <f>+MATCH(D1912,ARTICULOS!$F$10:$F$699,0)</f>
        <v>#N/A</v>
      </c>
      <c r="C1912" s="86" t="e">
        <f>+VLOOKUP(B1912,ARTICULOS!$D$10:$I$699,6)</f>
        <v>#N/A</v>
      </c>
      <c r="D1912" s="212"/>
      <c r="E1912" s="75" t="e">
        <f t="shared" si="62"/>
        <v>#N/A</v>
      </c>
      <c r="F1912" s="80"/>
      <c r="G1912" s="81"/>
      <c r="H1912" s="78"/>
      <c r="I1912" s="78"/>
      <c r="J1912" s="78"/>
    </row>
    <row r="1913" spans="1:10" x14ac:dyDescent="0.2">
      <c r="A1913" s="84">
        <f t="shared" si="63"/>
        <v>1907</v>
      </c>
      <c r="B1913" s="85" t="e">
        <f>+MATCH(D1913,ARTICULOS!$F$10:$F$699,0)</f>
        <v>#N/A</v>
      </c>
      <c r="C1913" s="86" t="e">
        <f>+VLOOKUP(B1913,ARTICULOS!$D$10:$I$699,6)</f>
        <v>#N/A</v>
      </c>
      <c r="D1913" s="212"/>
      <c r="E1913" s="75" t="e">
        <f t="shared" si="62"/>
        <v>#N/A</v>
      </c>
      <c r="F1913" s="80"/>
      <c r="G1913" s="81"/>
      <c r="H1913" s="78"/>
      <c r="I1913" s="78"/>
      <c r="J1913" s="78"/>
    </row>
    <row r="1914" spans="1:10" x14ac:dyDescent="0.2">
      <c r="A1914" s="84">
        <f t="shared" si="63"/>
        <v>1908</v>
      </c>
      <c r="B1914" s="85" t="e">
        <f>+MATCH(D1914,ARTICULOS!$F$10:$F$699,0)</f>
        <v>#N/A</v>
      </c>
      <c r="C1914" s="86" t="e">
        <f>+VLOOKUP(B1914,ARTICULOS!$D$10:$I$699,6)</f>
        <v>#N/A</v>
      </c>
      <c r="D1914" s="212"/>
      <c r="E1914" s="75" t="e">
        <f t="shared" si="62"/>
        <v>#N/A</v>
      </c>
      <c r="F1914" s="80"/>
      <c r="G1914" s="81"/>
      <c r="H1914" s="78"/>
      <c r="I1914" s="78"/>
      <c r="J1914" s="78"/>
    </row>
    <row r="1915" spans="1:10" x14ac:dyDescent="0.2">
      <c r="A1915" s="84">
        <f t="shared" si="63"/>
        <v>1909</v>
      </c>
      <c r="B1915" s="85" t="e">
        <f>+MATCH(D1915,ARTICULOS!$F$10:$F$699,0)</f>
        <v>#N/A</v>
      </c>
      <c r="C1915" s="86" t="e">
        <f>+VLOOKUP(B1915,ARTICULOS!$D$10:$I$699,6)</f>
        <v>#N/A</v>
      </c>
      <c r="D1915" s="212"/>
      <c r="E1915" s="75" t="e">
        <f t="shared" si="62"/>
        <v>#N/A</v>
      </c>
      <c r="F1915" s="80"/>
      <c r="G1915" s="81"/>
      <c r="H1915" s="78"/>
      <c r="I1915" s="78"/>
      <c r="J1915" s="78"/>
    </row>
    <row r="1916" spans="1:10" x14ac:dyDescent="0.2">
      <c r="A1916" s="84">
        <f t="shared" si="63"/>
        <v>1910</v>
      </c>
      <c r="B1916" s="85" t="e">
        <f>+MATCH(D1916,ARTICULOS!$F$10:$F$699,0)</f>
        <v>#N/A</v>
      </c>
      <c r="C1916" s="86" t="e">
        <f>+VLOOKUP(B1916,ARTICULOS!$D$10:$I$699,6)</f>
        <v>#N/A</v>
      </c>
      <c r="D1916" s="212"/>
      <c r="E1916" s="75" t="e">
        <f t="shared" si="62"/>
        <v>#N/A</v>
      </c>
      <c r="F1916" s="80"/>
      <c r="G1916" s="81"/>
      <c r="H1916" s="78"/>
      <c r="I1916" s="78"/>
      <c r="J1916" s="78"/>
    </row>
    <row r="1917" spans="1:10" x14ac:dyDescent="0.2">
      <c r="A1917" s="84">
        <f t="shared" si="63"/>
        <v>1911</v>
      </c>
      <c r="B1917" s="85" t="e">
        <f>+MATCH(D1917,ARTICULOS!$F$10:$F$699,0)</f>
        <v>#N/A</v>
      </c>
      <c r="C1917" s="86" t="e">
        <f>+VLOOKUP(B1917,ARTICULOS!$D$10:$I$699,6)</f>
        <v>#N/A</v>
      </c>
      <c r="D1917" s="212"/>
      <c r="E1917" s="75" t="e">
        <f t="shared" si="62"/>
        <v>#N/A</v>
      </c>
      <c r="F1917" s="80"/>
      <c r="G1917" s="81"/>
      <c r="H1917" s="78"/>
      <c r="I1917" s="78"/>
      <c r="J1917" s="78"/>
    </row>
    <row r="1918" spans="1:10" x14ac:dyDescent="0.2">
      <c r="A1918" s="84">
        <f t="shared" si="63"/>
        <v>1912</v>
      </c>
      <c r="B1918" s="85" t="e">
        <f>+MATCH(D1918,ARTICULOS!$F$10:$F$699,0)</f>
        <v>#N/A</v>
      </c>
      <c r="C1918" s="86" t="e">
        <f>+VLOOKUP(B1918,ARTICULOS!$D$10:$I$699,6)</f>
        <v>#N/A</v>
      </c>
      <c r="D1918" s="212"/>
      <c r="E1918" s="75" t="e">
        <f t="shared" si="62"/>
        <v>#N/A</v>
      </c>
      <c r="F1918" s="80"/>
      <c r="G1918" s="81"/>
      <c r="H1918" s="78"/>
      <c r="I1918" s="78"/>
      <c r="J1918" s="78"/>
    </row>
    <row r="1919" spans="1:10" x14ac:dyDescent="0.2">
      <c r="A1919" s="84">
        <f t="shared" si="63"/>
        <v>1913</v>
      </c>
      <c r="B1919" s="85" t="e">
        <f>+MATCH(D1919,ARTICULOS!$F$10:$F$699,0)</f>
        <v>#N/A</v>
      </c>
      <c r="C1919" s="86" t="e">
        <f>+VLOOKUP(B1919,ARTICULOS!$D$10:$I$699,6)</f>
        <v>#N/A</v>
      </c>
      <c r="D1919" s="212"/>
      <c r="E1919" s="75" t="e">
        <f t="shared" si="62"/>
        <v>#N/A</v>
      </c>
      <c r="F1919" s="80"/>
      <c r="G1919" s="81"/>
      <c r="H1919" s="78"/>
      <c r="I1919" s="78"/>
      <c r="J1919" s="78"/>
    </row>
    <row r="1920" spans="1:10" x14ac:dyDescent="0.2">
      <c r="A1920" s="84">
        <f t="shared" si="63"/>
        <v>1914</v>
      </c>
      <c r="B1920" s="85" t="e">
        <f>+MATCH(D1920,ARTICULOS!$F$10:$F$699,0)</f>
        <v>#N/A</v>
      </c>
      <c r="C1920" s="86" t="e">
        <f>+VLOOKUP(B1920,ARTICULOS!$D$10:$I$699,6)</f>
        <v>#N/A</v>
      </c>
      <c r="D1920" s="212"/>
      <c r="E1920" s="75" t="e">
        <f t="shared" si="62"/>
        <v>#N/A</v>
      </c>
      <c r="F1920" s="80"/>
      <c r="G1920" s="81"/>
      <c r="H1920" s="78"/>
      <c r="I1920" s="78"/>
      <c r="J1920" s="78"/>
    </row>
    <row r="1921" spans="1:10" x14ac:dyDescent="0.2">
      <c r="A1921" s="84">
        <f t="shared" si="63"/>
        <v>1915</v>
      </c>
      <c r="B1921" s="85" t="e">
        <f>+MATCH(D1921,ARTICULOS!$F$10:$F$699,0)</f>
        <v>#N/A</v>
      </c>
      <c r="C1921" s="86" t="e">
        <f>+VLOOKUP(B1921,ARTICULOS!$D$10:$I$699,6)</f>
        <v>#N/A</v>
      </c>
      <c r="D1921" s="212"/>
      <c r="E1921" s="75" t="e">
        <f t="shared" si="62"/>
        <v>#N/A</v>
      </c>
      <c r="F1921" s="80"/>
      <c r="G1921" s="81"/>
      <c r="H1921" s="78"/>
      <c r="I1921" s="78"/>
      <c r="J1921" s="78"/>
    </row>
    <row r="1922" spans="1:10" x14ac:dyDescent="0.2">
      <c r="A1922" s="84">
        <f t="shared" si="63"/>
        <v>1916</v>
      </c>
      <c r="B1922" s="85" t="e">
        <f>+MATCH(D1922,ARTICULOS!$F$10:$F$699,0)</f>
        <v>#N/A</v>
      </c>
      <c r="C1922" s="86" t="e">
        <f>+VLOOKUP(B1922,ARTICULOS!$D$10:$I$699,6)</f>
        <v>#N/A</v>
      </c>
      <c r="D1922" s="212"/>
      <c r="E1922" s="75" t="e">
        <f t="shared" si="62"/>
        <v>#N/A</v>
      </c>
      <c r="F1922" s="80"/>
      <c r="G1922" s="81"/>
      <c r="H1922" s="78"/>
      <c r="I1922" s="78"/>
      <c r="J1922" s="78"/>
    </row>
    <row r="1923" spans="1:10" x14ac:dyDescent="0.2">
      <c r="A1923" s="84">
        <f t="shared" si="63"/>
        <v>1917</v>
      </c>
      <c r="B1923" s="85" t="e">
        <f>+MATCH(D1923,ARTICULOS!$F$10:$F$699,0)</f>
        <v>#N/A</v>
      </c>
      <c r="C1923" s="86" t="e">
        <f>+VLOOKUP(B1923,ARTICULOS!$D$10:$I$699,6)</f>
        <v>#N/A</v>
      </c>
      <c r="D1923" s="212"/>
      <c r="E1923" s="75" t="e">
        <f t="shared" si="62"/>
        <v>#N/A</v>
      </c>
      <c r="F1923" s="80"/>
      <c r="G1923" s="81"/>
      <c r="H1923" s="78"/>
      <c r="I1923" s="78"/>
      <c r="J1923" s="78"/>
    </row>
    <row r="1924" spans="1:10" x14ac:dyDescent="0.2">
      <c r="A1924" s="84">
        <f t="shared" si="63"/>
        <v>1918</v>
      </c>
      <c r="B1924" s="85" t="e">
        <f>+MATCH(D1924,ARTICULOS!$F$10:$F$699,0)</f>
        <v>#N/A</v>
      </c>
      <c r="C1924" s="86" t="e">
        <f>+VLOOKUP(B1924,ARTICULOS!$D$10:$I$699,6)</f>
        <v>#N/A</v>
      </c>
      <c r="D1924" s="212"/>
      <c r="E1924" s="75" t="e">
        <f t="shared" si="62"/>
        <v>#N/A</v>
      </c>
      <c r="F1924" s="80"/>
      <c r="G1924" s="81"/>
      <c r="H1924" s="78"/>
      <c r="I1924" s="78"/>
      <c r="J1924" s="78"/>
    </row>
    <row r="1925" spans="1:10" x14ac:dyDescent="0.2">
      <c r="A1925" s="84">
        <f t="shared" si="63"/>
        <v>1919</v>
      </c>
      <c r="B1925" s="85" t="e">
        <f>+MATCH(D1925,ARTICULOS!$F$10:$F$699,0)</f>
        <v>#N/A</v>
      </c>
      <c r="C1925" s="86" t="e">
        <f>+VLOOKUP(B1925,ARTICULOS!$D$10:$I$699,6)</f>
        <v>#N/A</v>
      </c>
      <c r="D1925" s="212"/>
      <c r="E1925" s="75" t="e">
        <f t="shared" si="62"/>
        <v>#N/A</v>
      </c>
      <c r="F1925" s="80"/>
      <c r="G1925" s="81"/>
      <c r="H1925" s="78"/>
      <c r="I1925" s="78"/>
      <c r="J1925" s="78"/>
    </row>
    <row r="1926" spans="1:10" x14ac:dyDescent="0.2">
      <c r="A1926" s="84">
        <f t="shared" si="63"/>
        <v>1920</v>
      </c>
      <c r="B1926" s="85" t="e">
        <f>+MATCH(D1926,ARTICULOS!$F$10:$F$699,0)</f>
        <v>#N/A</v>
      </c>
      <c r="C1926" s="86" t="e">
        <f>+VLOOKUP(B1926,ARTICULOS!$D$10:$I$699,6)</f>
        <v>#N/A</v>
      </c>
      <c r="D1926" s="212"/>
      <c r="E1926" s="75" t="e">
        <f t="shared" si="62"/>
        <v>#N/A</v>
      </c>
      <c r="F1926" s="80"/>
      <c r="G1926" s="81"/>
      <c r="H1926" s="78"/>
      <c r="I1926" s="78"/>
      <c r="J1926" s="78"/>
    </row>
    <row r="1927" spans="1:10" x14ac:dyDescent="0.2">
      <c r="A1927" s="84">
        <f t="shared" si="63"/>
        <v>1921</v>
      </c>
      <c r="B1927" s="85" t="e">
        <f>+MATCH(D1927,ARTICULOS!$F$10:$F$699,0)</f>
        <v>#N/A</v>
      </c>
      <c r="C1927" s="86" t="e">
        <f>+VLOOKUP(B1927,ARTICULOS!$D$10:$I$699,6)</f>
        <v>#N/A</v>
      </c>
      <c r="D1927" s="212"/>
      <c r="E1927" s="75" t="e">
        <f t="shared" si="62"/>
        <v>#N/A</v>
      </c>
      <c r="F1927" s="80"/>
      <c r="G1927" s="81"/>
      <c r="H1927" s="78"/>
      <c r="I1927" s="78"/>
      <c r="J1927" s="78"/>
    </row>
    <row r="1928" spans="1:10" x14ac:dyDescent="0.2">
      <c r="A1928" s="84">
        <f t="shared" si="63"/>
        <v>1922</v>
      </c>
      <c r="B1928" s="85" t="e">
        <f>+MATCH(D1928,ARTICULOS!$F$10:$F$699,0)</f>
        <v>#N/A</v>
      </c>
      <c r="C1928" s="86" t="e">
        <f>+VLOOKUP(B1928,ARTICULOS!$D$10:$I$699,6)</f>
        <v>#N/A</v>
      </c>
      <c r="D1928" s="212"/>
      <c r="E1928" s="75" t="e">
        <f t="shared" si="62"/>
        <v>#N/A</v>
      </c>
      <c r="F1928" s="80"/>
      <c r="G1928" s="81"/>
      <c r="H1928" s="78"/>
      <c r="I1928" s="78"/>
      <c r="J1928" s="78"/>
    </row>
    <row r="1929" spans="1:10" x14ac:dyDescent="0.2">
      <c r="A1929" s="84">
        <f t="shared" si="63"/>
        <v>1923</v>
      </c>
      <c r="B1929" s="85" t="e">
        <f>+MATCH(D1929,ARTICULOS!$F$10:$F$699,0)</f>
        <v>#N/A</v>
      </c>
      <c r="C1929" s="86" t="e">
        <f>+VLOOKUP(B1929,ARTICULOS!$D$10:$I$699,6)</f>
        <v>#N/A</v>
      </c>
      <c r="D1929" s="212"/>
      <c r="E1929" s="75" t="e">
        <f t="shared" si="62"/>
        <v>#N/A</v>
      </c>
      <c r="F1929" s="80"/>
      <c r="G1929" s="81"/>
      <c r="H1929" s="78"/>
      <c r="I1929" s="78"/>
      <c r="J1929" s="78"/>
    </row>
    <row r="1930" spans="1:10" x14ac:dyDescent="0.2">
      <c r="A1930" s="84">
        <f t="shared" si="63"/>
        <v>1924</v>
      </c>
      <c r="B1930" s="85" t="e">
        <f>+MATCH(D1930,ARTICULOS!$F$10:$F$699,0)</f>
        <v>#N/A</v>
      </c>
      <c r="C1930" s="86" t="e">
        <f>+VLOOKUP(B1930,ARTICULOS!$D$10:$I$699,6)</f>
        <v>#N/A</v>
      </c>
      <c r="D1930" s="212"/>
      <c r="E1930" s="75" t="e">
        <f t="shared" si="62"/>
        <v>#N/A</v>
      </c>
      <c r="F1930" s="80"/>
      <c r="G1930" s="81"/>
      <c r="H1930" s="78"/>
      <c r="I1930" s="78"/>
      <c r="J1930" s="78"/>
    </row>
    <row r="1931" spans="1:10" x14ac:dyDescent="0.2">
      <c r="A1931" s="84">
        <f t="shared" si="63"/>
        <v>1925</v>
      </c>
      <c r="B1931" s="85" t="e">
        <f>+MATCH(D1931,ARTICULOS!$F$10:$F$699,0)</f>
        <v>#N/A</v>
      </c>
      <c r="C1931" s="86" t="e">
        <f>+VLOOKUP(B1931,ARTICULOS!$D$10:$I$699,6)</f>
        <v>#N/A</v>
      </c>
      <c r="D1931" s="212"/>
      <c r="E1931" s="75" t="e">
        <f t="shared" ref="E1931:E1994" si="64">+C1931&amp;F1931</f>
        <v>#N/A</v>
      </c>
      <c r="F1931" s="80"/>
      <c r="G1931" s="81"/>
      <c r="H1931" s="78"/>
      <c r="I1931" s="78"/>
      <c r="J1931" s="78"/>
    </row>
    <row r="1932" spans="1:10" x14ac:dyDescent="0.2">
      <c r="A1932" s="84">
        <f t="shared" si="63"/>
        <v>1926</v>
      </c>
      <c r="B1932" s="85" t="e">
        <f>+MATCH(D1932,ARTICULOS!$F$10:$F$699,0)</f>
        <v>#N/A</v>
      </c>
      <c r="C1932" s="86" t="e">
        <f>+VLOOKUP(B1932,ARTICULOS!$D$10:$I$699,6)</f>
        <v>#N/A</v>
      </c>
      <c r="D1932" s="212"/>
      <c r="E1932" s="75" t="e">
        <f t="shared" si="64"/>
        <v>#N/A</v>
      </c>
      <c r="F1932" s="80"/>
      <c r="G1932" s="81"/>
      <c r="H1932" s="78"/>
      <c r="I1932" s="78"/>
      <c r="J1932" s="78"/>
    </row>
    <row r="1933" spans="1:10" x14ac:dyDescent="0.2">
      <c r="A1933" s="84">
        <f t="shared" si="63"/>
        <v>1927</v>
      </c>
      <c r="B1933" s="85" t="e">
        <f>+MATCH(D1933,ARTICULOS!$F$10:$F$699,0)</f>
        <v>#N/A</v>
      </c>
      <c r="C1933" s="86" t="e">
        <f>+VLOOKUP(B1933,ARTICULOS!$D$10:$I$699,6)</f>
        <v>#N/A</v>
      </c>
      <c r="D1933" s="212"/>
      <c r="E1933" s="75" t="e">
        <f t="shared" si="64"/>
        <v>#N/A</v>
      </c>
      <c r="F1933" s="80"/>
      <c r="G1933" s="81"/>
      <c r="H1933" s="78"/>
      <c r="I1933" s="78"/>
      <c r="J1933" s="78"/>
    </row>
    <row r="1934" spans="1:10" x14ac:dyDescent="0.2">
      <c r="A1934" s="84">
        <f t="shared" si="63"/>
        <v>1928</v>
      </c>
      <c r="B1934" s="85" t="e">
        <f>+MATCH(D1934,ARTICULOS!$F$10:$F$699,0)</f>
        <v>#N/A</v>
      </c>
      <c r="C1934" s="86" t="e">
        <f>+VLOOKUP(B1934,ARTICULOS!$D$10:$I$699,6)</f>
        <v>#N/A</v>
      </c>
      <c r="D1934" s="212"/>
      <c r="E1934" s="75" t="e">
        <f t="shared" si="64"/>
        <v>#N/A</v>
      </c>
      <c r="F1934" s="80"/>
      <c r="G1934" s="81"/>
      <c r="H1934" s="78"/>
      <c r="I1934" s="78"/>
      <c r="J1934" s="78"/>
    </row>
    <row r="1935" spans="1:10" x14ac:dyDescent="0.2">
      <c r="A1935" s="84">
        <f t="shared" si="63"/>
        <v>1929</v>
      </c>
      <c r="B1935" s="85" t="e">
        <f>+MATCH(D1935,ARTICULOS!$F$10:$F$699,0)</f>
        <v>#N/A</v>
      </c>
      <c r="C1935" s="86" t="e">
        <f>+VLOOKUP(B1935,ARTICULOS!$D$10:$I$699,6)</f>
        <v>#N/A</v>
      </c>
      <c r="D1935" s="212"/>
      <c r="E1935" s="75" t="e">
        <f t="shared" si="64"/>
        <v>#N/A</v>
      </c>
      <c r="F1935" s="80"/>
      <c r="G1935" s="81"/>
      <c r="H1935" s="78"/>
      <c r="I1935" s="78"/>
      <c r="J1935" s="78"/>
    </row>
    <row r="1936" spans="1:10" x14ac:dyDescent="0.2">
      <c r="A1936" s="84">
        <f t="shared" si="63"/>
        <v>1930</v>
      </c>
      <c r="B1936" s="85" t="e">
        <f>+MATCH(D1936,ARTICULOS!$F$10:$F$699,0)</f>
        <v>#N/A</v>
      </c>
      <c r="C1936" s="86" t="e">
        <f>+VLOOKUP(B1936,ARTICULOS!$D$10:$I$699,6)</f>
        <v>#N/A</v>
      </c>
      <c r="D1936" s="212"/>
      <c r="E1936" s="75" t="e">
        <f t="shared" si="64"/>
        <v>#N/A</v>
      </c>
      <c r="F1936" s="80"/>
      <c r="G1936" s="81"/>
      <c r="H1936" s="78"/>
      <c r="I1936" s="78"/>
      <c r="J1936" s="78"/>
    </row>
    <row r="1937" spans="1:10" x14ac:dyDescent="0.2">
      <c r="A1937" s="84">
        <f t="shared" si="63"/>
        <v>1931</v>
      </c>
      <c r="B1937" s="85" t="e">
        <f>+MATCH(D1937,ARTICULOS!$F$10:$F$699,0)</f>
        <v>#N/A</v>
      </c>
      <c r="C1937" s="86" t="e">
        <f>+VLOOKUP(B1937,ARTICULOS!$D$10:$I$699,6)</f>
        <v>#N/A</v>
      </c>
      <c r="D1937" s="212"/>
      <c r="E1937" s="75" t="e">
        <f t="shared" si="64"/>
        <v>#N/A</v>
      </c>
      <c r="F1937" s="80"/>
      <c r="G1937" s="81"/>
      <c r="H1937" s="78"/>
      <c r="I1937" s="78"/>
      <c r="J1937" s="78"/>
    </row>
    <row r="1938" spans="1:10" x14ac:dyDescent="0.2">
      <c r="A1938" s="84">
        <f t="shared" si="63"/>
        <v>1932</v>
      </c>
      <c r="B1938" s="85" t="e">
        <f>+MATCH(D1938,ARTICULOS!$F$10:$F$699,0)</f>
        <v>#N/A</v>
      </c>
      <c r="C1938" s="86" t="e">
        <f>+VLOOKUP(B1938,ARTICULOS!$D$10:$I$699,6)</f>
        <v>#N/A</v>
      </c>
      <c r="D1938" s="212"/>
      <c r="E1938" s="75" t="e">
        <f t="shared" si="64"/>
        <v>#N/A</v>
      </c>
      <c r="F1938" s="80"/>
      <c r="G1938" s="81"/>
      <c r="H1938" s="78"/>
      <c r="I1938" s="78"/>
      <c r="J1938" s="78"/>
    </row>
    <row r="1939" spans="1:10" x14ac:dyDescent="0.2">
      <c r="A1939" s="84">
        <f t="shared" si="63"/>
        <v>1933</v>
      </c>
      <c r="B1939" s="85" t="e">
        <f>+MATCH(D1939,ARTICULOS!$F$10:$F$699,0)</f>
        <v>#N/A</v>
      </c>
      <c r="C1939" s="86" t="e">
        <f>+VLOOKUP(B1939,ARTICULOS!$D$10:$I$699,6)</f>
        <v>#N/A</v>
      </c>
      <c r="D1939" s="212"/>
      <c r="E1939" s="75" t="e">
        <f t="shared" si="64"/>
        <v>#N/A</v>
      </c>
      <c r="F1939" s="80"/>
      <c r="G1939" s="81"/>
      <c r="H1939" s="78"/>
      <c r="I1939" s="78"/>
      <c r="J1939" s="78"/>
    </row>
    <row r="1940" spans="1:10" x14ac:dyDescent="0.2">
      <c r="A1940" s="84">
        <f t="shared" si="63"/>
        <v>1934</v>
      </c>
      <c r="B1940" s="85" t="e">
        <f>+MATCH(D1940,ARTICULOS!$F$10:$F$699,0)</f>
        <v>#N/A</v>
      </c>
      <c r="C1940" s="86" t="e">
        <f>+VLOOKUP(B1940,ARTICULOS!$D$10:$I$699,6)</f>
        <v>#N/A</v>
      </c>
      <c r="D1940" s="212"/>
      <c r="E1940" s="75" t="e">
        <f t="shared" si="64"/>
        <v>#N/A</v>
      </c>
      <c r="F1940" s="80"/>
      <c r="G1940" s="81"/>
      <c r="H1940" s="78"/>
      <c r="I1940" s="78"/>
      <c r="J1940" s="78"/>
    </row>
    <row r="1941" spans="1:10" x14ac:dyDescent="0.2">
      <c r="A1941" s="84">
        <f t="shared" si="63"/>
        <v>1935</v>
      </c>
      <c r="B1941" s="85" t="e">
        <f>+MATCH(D1941,ARTICULOS!$F$10:$F$699,0)</f>
        <v>#N/A</v>
      </c>
      <c r="C1941" s="86" t="e">
        <f>+VLOOKUP(B1941,ARTICULOS!$D$10:$I$699,6)</f>
        <v>#N/A</v>
      </c>
      <c r="D1941" s="212"/>
      <c r="E1941" s="75" t="e">
        <f t="shared" si="64"/>
        <v>#N/A</v>
      </c>
      <c r="F1941" s="80"/>
      <c r="G1941" s="81"/>
      <c r="H1941" s="78"/>
      <c r="I1941" s="78"/>
      <c r="J1941" s="78"/>
    </row>
    <row r="1942" spans="1:10" x14ac:dyDescent="0.2">
      <c r="A1942" s="84">
        <f t="shared" si="63"/>
        <v>1936</v>
      </c>
      <c r="B1942" s="85" t="e">
        <f>+MATCH(D1942,ARTICULOS!$F$10:$F$699,0)</f>
        <v>#N/A</v>
      </c>
      <c r="C1942" s="86" t="e">
        <f>+VLOOKUP(B1942,ARTICULOS!$D$10:$I$699,6)</f>
        <v>#N/A</v>
      </c>
      <c r="D1942" s="212"/>
      <c r="E1942" s="75" t="e">
        <f t="shared" si="64"/>
        <v>#N/A</v>
      </c>
      <c r="F1942" s="80"/>
      <c r="G1942" s="81"/>
      <c r="H1942" s="78"/>
      <c r="I1942" s="78"/>
      <c r="J1942" s="78"/>
    </row>
    <row r="1943" spans="1:10" x14ac:dyDescent="0.2">
      <c r="A1943" s="84">
        <f t="shared" si="63"/>
        <v>1937</v>
      </c>
      <c r="B1943" s="85" t="e">
        <f>+MATCH(D1943,ARTICULOS!$F$10:$F$699,0)</f>
        <v>#N/A</v>
      </c>
      <c r="C1943" s="86" t="e">
        <f>+VLOOKUP(B1943,ARTICULOS!$D$10:$I$699,6)</f>
        <v>#N/A</v>
      </c>
      <c r="D1943" s="212"/>
      <c r="E1943" s="75" t="e">
        <f t="shared" si="64"/>
        <v>#N/A</v>
      </c>
      <c r="F1943" s="80"/>
      <c r="G1943" s="81"/>
      <c r="H1943" s="78"/>
      <c r="I1943" s="78"/>
      <c r="J1943" s="78"/>
    </row>
    <row r="1944" spans="1:10" x14ac:dyDescent="0.2">
      <c r="A1944" s="84">
        <f t="shared" si="63"/>
        <v>1938</v>
      </c>
      <c r="B1944" s="85" t="e">
        <f>+MATCH(D1944,ARTICULOS!$F$10:$F$699,0)</f>
        <v>#N/A</v>
      </c>
      <c r="C1944" s="86" t="e">
        <f>+VLOOKUP(B1944,ARTICULOS!$D$10:$I$699,6)</f>
        <v>#N/A</v>
      </c>
      <c r="D1944" s="212"/>
      <c r="E1944" s="75" t="e">
        <f t="shared" si="64"/>
        <v>#N/A</v>
      </c>
      <c r="F1944" s="80"/>
      <c r="G1944" s="81"/>
      <c r="H1944" s="78"/>
      <c r="I1944" s="78"/>
      <c r="J1944" s="78"/>
    </row>
    <row r="1945" spans="1:10" x14ac:dyDescent="0.2">
      <c r="A1945" s="84">
        <f t="shared" si="63"/>
        <v>1939</v>
      </c>
      <c r="B1945" s="85" t="e">
        <f>+MATCH(D1945,ARTICULOS!$F$10:$F$699,0)</f>
        <v>#N/A</v>
      </c>
      <c r="C1945" s="86" t="e">
        <f>+VLOOKUP(B1945,ARTICULOS!$D$10:$I$699,6)</f>
        <v>#N/A</v>
      </c>
      <c r="D1945" s="212"/>
      <c r="E1945" s="75" t="e">
        <f t="shared" si="64"/>
        <v>#N/A</v>
      </c>
      <c r="F1945" s="80"/>
      <c r="G1945" s="81"/>
      <c r="H1945" s="78"/>
      <c r="I1945" s="78"/>
      <c r="J1945" s="78"/>
    </row>
    <row r="1946" spans="1:10" x14ac:dyDescent="0.2">
      <c r="A1946" s="84">
        <f t="shared" si="63"/>
        <v>1940</v>
      </c>
      <c r="B1946" s="85" t="e">
        <f>+MATCH(D1946,ARTICULOS!$F$10:$F$699,0)</f>
        <v>#N/A</v>
      </c>
      <c r="C1946" s="86" t="e">
        <f>+VLOOKUP(B1946,ARTICULOS!$D$10:$I$699,6)</f>
        <v>#N/A</v>
      </c>
      <c r="D1946" s="212"/>
      <c r="E1946" s="75" t="e">
        <f t="shared" si="64"/>
        <v>#N/A</v>
      </c>
      <c r="F1946" s="80"/>
      <c r="G1946" s="81"/>
      <c r="H1946" s="78"/>
      <c r="I1946" s="78"/>
      <c r="J1946" s="78"/>
    </row>
    <row r="1947" spans="1:10" x14ac:dyDescent="0.2">
      <c r="A1947" s="84">
        <f t="shared" si="63"/>
        <v>1941</v>
      </c>
      <c r="B1947" s="85" t="e">
        <f>+MATCH(D1947,ARTICULOS!$F$10:$F$699,0)</f>
        <v>#N/A</v>
      </c>
      <c r="C1947" s="86" t="e">
        <f>+VLOOKUP(B1947,ARTICULOS!$D$10:$I$699,6)</f>
        <v>#N/A</v>
      </c>
      <c r="D1947" s="212"/>
      <c r="E1947" s="75" t="e">
        <f t="shared" si="64"/>
        <v>#N/A</v>
      </c>
      <c r="F1947" s="80"/>
      <c r="G1947" s="81"/>
      <c r="H1947" s="78"/>
      <c r="I1947" s="78"/>
      <c r="J1947" s="78"/>
    </row>
    <row r="1948" spans="1:10" x14ac:dyDescent="0.2">
      <c r="A1948" s="84">
        <f t="shared" si="63"/>
        <v>1942</v>
      </c>
      <c r="B1948" s="85" t="e">
        <f>+MATCH(D1948,ARTICULOS!$F$10:$F$699,0)</f>
        <v>#N/A</v>
      </c>
      <c r="C1948" s="86" t="e">
        <f>+VLOOKUP(B1948,ARTICULOS!$D$10:$I$699,6)</f>
        <v>#N/A</v>
      </c>
      <c r="D1948" s="212"/>
      <c r="E1948" s="75" t="e">
        <f t="shared" si="64"/>
        <v>#N/A</v>
      </c>
      <c r="F1948" s="80"/>
      <c r="G1948" s="81"/>
      <c r="H1948" s="78"/>
      <c r="I1948" s="78"/>
      <c r="J1948" s="78"/>
    </row>
    <row r="1949" spans="1:10" x14ac:dyDescent="0.2">
      <c r="A1949" s="84">
        <f t="shared" si="63"/>
        <v>1943</v>
      </c>
      <c r="B1949" s="85" t="e">
        <f>+MATCH(D1949,ARTICULOS!$F$10:$F$699,0)</f>
        <v>#N/A</v>
      </c>
      <c r="C1949" s="86" t="e">
        <f>+VLOOKUP(B1949,ARTICULOS!$D$10:$I$699,6)</f>
        <v>#N/A</v>
      </c>
      <c r="D1949" s="212"/>
      <c r="E1949" s="75" t="e">
        <f t="shared" si="64"/>
        <v>#N/A</v>
      </c>
      <c r="F1949" s="80"/>
      <c r="G1949" s="81"/>
      <c r="H1949" s="78"/>
      <c r="I1949" s="78"/>
      <c r="J1949" s="78"/>
    </row>
    <row r="1950" spans="1:10" x14ac:dyDescent="0.2">
      <c r="A1950" s="84">
        <f t="shared" si="63"/>
        <v>1944</v>
      </c>
      <c r="B1950" s="85" t="e">
        <f>+MATCH(D1950,ARTICULOS!$F$10:$F$699,0)</f>
        <v>#N/A</v>
      </c>
      <c r="C1950" s="86" t="e">
        <f>+VLOOKUP(B1950,ARTICULOS!$D$10:$I$699,6)</f>
        <v>#N/A</v>
      </c>
      <c r="D1950" s="212"/>
      <c r="E1950" s="75" t="e">
        <f t="shared" si="64"/>
        <v>#N/A</v>
      </c>
      <c r="F1950" s="80"/>
      <c r="G1950" s="81"/>
      <c r="H1950" s="78"/>
      <c r="I1950" s="78"/>
      <c r="J1950" s="78"/>
    </row>
    <row r="1951" spans="1:10" x14ac:dyDescent="0.2">
      <c r="A1951" s="84">
        <f t="shared" si="63"/>
        <v>1945</v>
      </c>
      <c r="B1951" s="85" t="e">
        <f>+MATCH(D1951,ARTICULOS!$F$10:$F$699,0)</f>
        <v>#N/A</v>
      </c>
      <c r="C1951" s="86" t="e">
        <f>+VLOOKUP(B1951,ARTICULOS!$D$10:$I$699,6)</f>
        <v>#N/A</v>
      </c>
      <c r="D1951" s="212"/>
      <c r="E1951" s="75" t="e">
        <f t="shared" si="64"/>
        <v>#N/A</v>
      </c>
      <c r="F1951" s="80"/>
      <c r="G1951" s="81"/>
      <c r="H1951" s="78"/>
      <c r="I1951" s="78"/>
      <c r="J1951" s="78"/>
    </row>
    <row r="1952" spans="1:10" x14ac:dyDescent="0.2">
      <c r="A1952" s="84">
        <f t="shared" si="63"/>
        <v>1946</v>
      </c>
      <c r="B1952" s="85" t="e">
        <f>+MATCH(D1952,ARTICULOS!$F$10:$F$699,0)</f>
        <v>#N/A</v>
      </c>
      <c r="C1952" s="86" t="e">
        <f>+VLOOKUP(B1952,ARTICULOS!$D$10:$I$699,6)</f>
        <v>#N/A</v>
      </c>
      <c r="D1952" s="212"/>
      <c r="E1952" s="75" t="e">
        <f t="shared" si="64"/>
        <v>#N/A</v>
      </c>
      <c r="F1952" s="80"/>
      <c r="G1952" s="81"/>
      <c r="H1952" s="78"/>
      <c r="I1952" s="78"/>
      <c r="J1952" s="78"/>
    </row>
    <row r="1953" spans="1:10" x14ac:dyDescent="0.2">
      <c r="A1953" s="84">
        <f t="shared" si="63"/>
        <v>1947</v>
      </c>
      <c r="B1953" s="85" t="e">
        <f>+MATCH(D1953,ARTICULOS!$F$10:$F$699,0)</f>
        <v>#N/A</v>
      </c>
      <c r="C1953" s="86" t="e">
        <f>+VLOOKUP(B1953,ARTICULOS!$D$10:$I$699,6)</f>
        <v>#N/A</v>
      </c>
      <c r="D1953" s="212"/>
      <c r="E1953" s="75" t="e">
        <f t="shared" si="64"/>
        <v>#N/A</v>
      </c>
      <c r="F1953" s="80"/>
      <c r="G1953" s="81"/>
      <c r="H1953" s="78"/>
      <c r="I1953" s="78"/>
      <c r="J1953" s="78"/>
    </row>
    <row r="1954" spans="1:10" x14ac:dyDescent="0.2">
      <c r="A1954" s="84">
        <f t="shared" si="63"/>
        <v>1948</v>
      </c>
      <c r="B1954" s="85" t="e">
        <f>+MATCH(D1954,ARTICULOS!$F$10:$F$699,0)</f>
        <v>#N/A</v>
      </c>
      <c r="C1954" s="86" t="e">
        <f>+VLOOKUP(B1954,ARTICULOS!$D$10:$I$699,6)</f>
        <v>#N/A</v>
      </c>
      <c r="D1954" s="212"/>
      <c r="E1954" s="75" t="e">
        <f t="shared" si="64"/>
        <v>#N/A</v>
      </c>
      <c r="F1954" s="80"/>
      <c r="G1954" s="81"/>
      <c r="H1954" s="78"/>
      <c r="I1954" s="78"/>
      <c r="J1954" s="78"/>
    </row>
    <row r="1955" spans="1:10" x14ac:dyDescent="0.2">
      <c r="A1955" s="84">
        <f t="shared" si="63"/>
        <v>1949</v>
      </c>
      <c r="B1955" s="85" t="e">
        <f>+MATCH(D1955,ARTICULOS!$F$10:$F$699,0)</f>
        <v>#N/A</v>
      </c>
      <c r="C1955" s="86" t="e">
        <f>+VLOOKUP(B1955,ARTICULOS!$D$10:$I$699,6)</f>
        <v>#N/A</v>
      </c>
      <c r="D1955" s="212"/>
      <c r="E1955" s="75" t="e">
        <f t="shared" si="64"/>
        <v>#N/A</v>
      </c>
      <c r="F1955" s="80"/>
      <c r="G1955" s="81"/>
      <c r="H1955" s="78"/>
      <c r="I1955" s="78"/>
      <c r="J1955" s="78"/>
    </row>
    <row r="1956" spans="1:10" x14ac:dyDescent="0.2">
      <c r="A1956" s="84">
        <f t="shared" si="63"/>
        <v>1950</v>
      </c>
      <c r="B1956" s="85" t="e">
        <f>+MATCH(D1956,ARTICULOS!$F$10:$F$699,0)</f>
        <v>#N/A</v>
      </c>
      <c r="C1956" s="86" t="e">
        <f>+VLOOKUP(B1956,ARTICULOS!$D$10:$I$699,6)</f>
        <v>#N/A</v>
      </c>
      <c r="D1956" s="212"/>
      <c r="E1956" s="75" t="e">
        <f t="shared" si="64"/>
        <v>#N/A</v>
      </c>
      <c r="F1956" s="80"/>
      <c r="G1956" s="81"/>
      <c r="H1956" s="78"/>
      <c r="I1956" s="78"/>
      <c r="J1956" s="78"/>
    </row>
    <row r="1957" spans="1:10" x14ac:dyDescent="0.2">
      <c r="A1957" s="84">
        <f t="shared" si="63"/>
        <v>1951</v>
      </c>
      <c r="B1957" s="85" t="e">
        <f>+MATCH(D1957,ARTICULOS!$F$10:$F$699,0)</f>
        <v>#N/A</v>
      </c>
      <c r="C1957" s="86" t="e">
        <f>+VLOOKUP(B1957,ARTICULOS!$D$10:$I$699,6)</f>
        <v>#N/A</v>
      </c>
      <c r="D1957" s="212"/>
      <c r="E1957" s="75" t="e">
        <f t="shared" si="64"/>
        <v>#N/A</v>
      </c>
      <c r="F1957" s="80"/>
      <c r="G1957" s="81"/>
      <c r="H1957" s="78"/>
      <c r="I1957" s="78"/>
      <c r="J1957" s="78"/>
    </row>
    <row r="1958" spans="1:10" x14ac:dyDescent="0.2">
      <c r="A1958" s="84">
        <f t="shared" si="63"/>
        <v>1952</v>
      </c>
      <c r="B1958" s="85" t="e">
        <f>+MATCH(D1958,ARTICULOS!$F$10:$F$699,0)</f>
        <v>#N/A</v>
      </c>
      <c r="C1958" s="86" t="e">
        <f>+VLOOKUP(B1958,ARTICULOS!$D$10:$I$699,6)</f>
        <v>#N/A</v>
      </c>
      <c r="D1958" s="212"/>
      <c r="E1958" s="75" t="e">
        <f t="shared" si="64"/>
        <v>#N/A</v>
      </c>
      <c r="F1958" s="80"/>
      <c r="G1958" s="81"/>
      <c r="H1958" s="78"/>
      <c r="I1958" s="78"/>
      <c r="J1958" s="78"/>
    </row>
    <row r="1959" spans="1:10" x14ac:dyDescent="0.2">
      <c r="A1959" s="84">
        <f t="shared" si="63"/>
        <v>1953</v>
      </c>
      <c r="B1959" s="85" t="e">
        <f>+MATCH(D1959,ARTICULOS!$F$10:$F$699,0)</f>
        <v>#N/A</v>
      </c>
      <c r="C1959" s="86" t="e">
        <f>+VLOOKUP(B1959,ARTICULOS!$D$10:$I$699,6)</f>
        <v>#N/A</v>
      </c>
      <c r="D1959" s="212"/>
      <c r="E1959" s="75" t="e">
        <f t="shared" si="64"/>
        <v>#N/A</v>
      </c>
      <c r="F1959" s="80"/>
      <c r="G1959" s="81"/>
      <c r="H1959" s="78"/>
      <c r="I1959" s="78"/>
      <c r="J1959" s="78"/>
    </row>
    <row r="1960" spans="1:10" x14ac:dyDescent="0.2">
      <c r="A1960" s="84">
        <f t="shared" si="63"/>
        <v>1954</v>
      </c>
      <c r="B1960" s="85" t="e">
        <f>+MATCH(D1960,ARTICULOS!$F$10:$F$699,0)</f>
        <v>#N/A</v>
      </c>
      <c r="C1960" s="86" t="e">
        <f>+VLOOKUP(B1960,ARTICULOS!$D$10:$I$699,6)</f>
        <v>#N/A</v>
      </c>
      <c r="D1960" s="212"/>
      <c r="E1960" s="75" t="e">
        <f t="shared" si="64"/>
        <v>#N/A</v>
      </c>
      <c r="F1960" s="80"/>
      <c r="G1960" s="81"/>
      <c r="H1960" s="78"/>
      <c r="I1960" s="78"/>
      <c r="J1960" s="78"/>
    </row>
    <row r="1961" spans="1:10" x14ac:dyDescent="0.2">
      <c r="A1961" s="84">
        <f t="shared" ref="A1961:A2024" si="65">ROW()-6</f>
        <v>1955</v>
      </c>
      <c r="B1961" s="85" t="e">
        <f>+MATCH(D1961,ARTICULOS!$F$10:$F$699,0)</f>
        <v>#N/A</v>
      </c>
      <c r="C1961" s="86" t="e">
        <f>+VLOOKUP(B1961,ARTICULOS!$D$10:$I$699,6)</f>
        <v>#N/A</v>
      </c>
      <c r="D1961" s="212"/>
      <c r="E1961" s="75" t="e">
        <f t="shared" si="64"/>
        <v>#N/A</v>
      </c>
      <c r="F1961" s="80"/>
      <c r="G1961" s="81"/>
      <c r="H1961" s="78"/>
      <c r="I1961" s="78"/>
      <c r="J1961" s="78"/>
    </row>
    <row r="1962" spans="1:10" x14ac:dyDescent="0.2">
      <c r="A1962" s="84">
        <f t="shared" si="65"/>
        <v>1956</v>
      </c>
      <c r="B1962" s="85" t="e">
        <f>+MATCH(D1962,ARTICULOS!$F$10:$F$699,0)</f>
        <v>#N/A</v>
      </c>
      <c r="C1962" s="86" t="e">
        <f>+VLOOKUP(B1962,ARTICULOS!$D$10:$I$699,6)</f>
        <v>#N/A</v>
      </c>
      <c r="D1962" s="212"/>
      <c r="E1962" s="75" t="e">
        <f t="shared" si="64"/>
        <v>#N/A</v>
      </c>
      <c r="F1962" s="80"/>
      <c r="G1962" s="81"/>
      <c r="H1962" s="78"/>
      <c r="I1962" s="78"/>
      <c r="J1962" s="78"/>
    </row>
    <row r="1963" spans="1:10" x14ac:dyDescent="0.2">
      <c r="A1963" s="84">
        <f t="shared" si="65"/>
        <v>1957</v>
      </c>
      <c r="B1963" s="85" t="e">
        <f>+MATCH(D1963,ARTICULOS!$F$10:$F$699,0)</f>
        <v>#N/A</v>
      </c>
      <c r="C1963" s="86" t="e">
        <f>+VLOOKUP(B1963,ARTICULOS!$D$10:$I$699,6)</f>
        <v>#N/A</v>
      </c>
      <c r="D1963" s="212"/>
      <c r="E1963" s="75" t="e">
        <f t="shared" si="64"/>
        <v>#N/A</v>
      </c>
      <c r="F1963" s="80"/>
      <c r="G1963" s="81"/>
      <c r="H1963" s="78"/>
      <c r="I1963" s="78"/>
      <c r="J1963" s="78"/>
    </row>
    <row r="1964" spans="1:10" x14ac:dyDescent="0.2">
      <c r="A1964" s="84">
        <f t="shared" si="65"/>
        <v>1958</v>
      </c>
      <c r="B1964" s="85" t="e">
        <f>+MATCH(D1964,ARTICULOS!$F$10:$F$699,0)</f>
        <v>#N/A</v>
      </c>
      <c r="C1964" s="86" t="e">
        <f>+VLOOKUP(B1964,ARTICULOS!$D$10:$I$699,6)</f>
        <v>#N/A</v>
      </c>
      <c r="D1964" s="212"/>
      <c r="E1964" s="75" t="e">
        <f t="shared" si="64"/>
        <v>#N/A</v>
      </c>
      <c r="F1964" s="80"/>
      <c r="G1964" s="81"/>
      <c r="H1964" s="78"/>
      <c r="I1964" s="78"/>
      <c r="J1964" s="78"/>
    </row>
    <row r="1965" spans="1:10" x14ac:dyDescent="0.2">
      <c r="A1965" s="84">
        <f t="shared" si="65"/>
        <v>1959</v>
      </c>
      <c r="B1965" s="85" t="e">
        <f>+MATCH(D1965,ARTICULOS!$F$10:$F$699,0)</f>
        <v>#N/A</v>
      </c>
      <c r="C1965" s="86" t="e">
        <f>+VLOOKUP(B1965,ARTICULOS!$D$10:$I$699,6)</f>
        <v>#N/A</v>
      </c>
      <c r="D1965" s="212"/>
      <c r="E1965" s="75" t="e">
        <f t="shared" si="64"/>
        <v>#N/A</v>
      </c>
      <c r="F1965" s="80"/>
      <c r="G1965" s="81"/>
      <c r="H1965" s="78"/>
      <c r="I1965" s="78"/>
      <c r="J1965" s="78"/>
    </row>
    <row r="1966" spans="1:10" x14ac:dyDescent="0.2">
      <c r="A1966" s="84">
        <f t="shared" si="65"/>
        <v>1960</v>
      </c>
      <c r="B1966" s="85" t="e">
        <f>+MATCH(D1966,ARTICULOS!$F$10:$F$699,0)</f>
        <v>#N/A</v>
      </c>
      <c r="C1966" s="86" t="e">
        <f>+VLOOKUP(B1966,ARTICULOS!$D$10:$I$699,6)</f>
        <v>#N/A</v>
      </c>
      <c r="D1966" s="212"/>
      <c r="E1966" s="75" t="e">
        <f t="shared" si="64"/>
        <v>#N/A</v>
      </c>
      <c r="F1966" s="80"/>
      <c r="G1966" s="81"/>
      <c r="H1966" s="78"/>
      <c r="I1966" s="78"/>
      <c r="J1966" s="78"/>
    </row>
    <row r="1967" spans="1:10" x14ac:dyDescent="0.2">
      <c r="A1967" s="84">
        <f t="shared" si="65"/>
        <v>1961</v>
      </c>
      <c r="B1967" s="85" t="e">
        <f>+MATCH(D1967,ARTICULOS!$F$10:$F$699,0)</f>
        <v>#N/A</v>
      </c>
      <c r="C1967" s="86" t="e">
        <f>+VLOOKUP(B1967,ARTICULOS!$D$10:$I$699,6)</f>
        <v>#N/A</v>
      </c>
      <c r="D1967" s="212"/>
      <c r="E1967" s="75" t="e">
        <f t="shared" si="64"/>
        <v>#N/A</v>
      </c>
      <c r="F1967" s="80"/>
      <c r="G1967" s="81"/>
      <c r="H1967" s="78"/>
      <c r="I1967" s="78"/>
      <c r="J1967" s="78"/>
    </row>
    <row r="1968" spans="1:10" x14ac:dyDescent="0.2">
      <c r="A1968" s="84">
        <f t="shared" si="65"/>
        <v>1962</v>
      </c>
      <c r="B1968" s="85" t="e">
        <f>+MATCH(D1968,ARTICULOS!$F$10:$F$699,0)</f>
        <v>#N/A</v>
      </c>
      <c r="C1968" s="86" t="e">
        <f>+VLOOKUP(B1968,ARTICULOS!$D$10:$I$699,6)</f>
        <v>#N/A</v>
      </c>
      <c r="D1968" s="212"/>
      <c r="E1968" s="75" t="e">
        <f t="shared" si="64"/>
        <v>#N/A</v>
      </c>
      <c r="F1968" s="80"/>
      <c r="G1968" s="81"/>
      <c r="H1968" s="78"/>
      <c r="I1968" s="78"/>
      <c r="J1968" s="78"/>
    </row>
    <row r="1969" spans="1:10" x14ac:dyDescent="0.2">
      <c r="A1969" s="84">
        <f t="shared" si="65"/>
        <v>1963</v>
      </c>
      <c r="B1969" s="85" t="e">
        <f>+MATCH(D1969,ARTICULOS!$F$10:$F$699,0)</f>
        <v>#N/A</v>
      </c>
      <c r="C1969" s="86" t="e">
        <f>+VLOOKUP(B1969,ARTICULOS!$D$10:$I$699,6)</f>
        <v>#N/A</v>
      </c>
      <c r="D1969" s="212"/>
      <c r="E1969" s="75" t="e">
        <f t="shared" si="64"/>
        <v>#N/A</v>
      </c>
      <c r="F1969" s="80"/>
      <c r="G1969" s="81"/>
      <c r="H1969" s="78"/>
      <c r="I1969" s="78"/>
      <c r="J1969" s="78"/>
    </row>
    <row r="1970" spans="1:10" x14ac:dyDescent="0.2">
      <c r="A1970" s="84">
        <f t="shared" si="65"/>
        <v>1964</v>
      </c>
      <c r="B1970" s="85" t="e">
        <f>+MATCH(D1970,ARTICULOS!$F$10:$F$699,0)</f>
        <v>#N/A</v>
      </c>
      <c r="C1970" s="86" t="e">
        <f>+VLOOKUP(B1970,ARTICULOS!$D$10:$I$699,6)</f>
        <v>#N/A</v>
      </c>
      <c r="D1970" s="212"/>
      <c r="E1970" s="75" t="e">
        <f t="shared" si="64"/>
        <v>#N/A</v>
      </c>
      <c r="F1970" s="80"/>
      <c r="G1970" s="81"/>
      <c r="H1970" s="78"/>
      <c r="I1970" s="78"/>
      <c r="J1970" s="78"/>
    </row>
    <row r="1971" spans="1:10" x14ac:dyDescent="0.2">
      <c r="A1971" s="84">
        <f t="shared" si="65"/>
        <v>1965</v>
      </c>
      <c r="B1971" s="85" t="e">
        <f>+MATCH(D1971,ARTICULOS!$F$10:$F$699,0)</f>
        <v>#N/A</v>
      </c>
      <c r="C1971" s="86" t="e">
        <f>+VLOOKUP(B1971,ARTICULOS!$D$10:$I$699,6)</f>
        <v>#N/A</v>
      </c>
      <c r="D1971" s="212"/>
      <c r="E1971" s="75" t="e">
        <f t="shared" si="64"/>
        <v>#N/A</v>
      </c>
      <c r="F1971" s="80"/>
      <c r="G1971" s="81"/>
      <c r="H1971" s="78"/>
      <c r="I1971" s="78"/>
      <c r="J1971" s="78"/>
    </row>
    <row r="1972" spans="1:10" x14ac:dyDescent="0.2">
      <c r="A1972" s="84">
        <f t="shared" si="65"/>
        <v>1966</v>
      </c>
      <c r="B1972" s="85" t="e">
        <f>+MATCH(D1972,ARTICULOS!$F$10:$F$699,0)</f>
        <v>#N/A</v>
      </c>
      <c r="C1972" s="86" t="e">
        <f>+VLOOKUP(B1972,ARTICULOS!$D$10:$I$699,6)</f>
        <v>#N/A</v>
      </c>
      <c r="D1972" s="212"/>
      <c r="E1972" s="75" t="e">
        <f t="shared" si="64"/>
        <v>#N/A</v>
      </c>
      <c r="F1972" s="80"/>
      <c r="G1972" s="81"/>
      <c r="H1972" s="78"/>
      <c r="I1972" s="78"/>
      <c r="J1972" s="78"/>
    </row>
    <row r="1973" spans="1:10" x14ac:dyDescent="0.2">
      <c r="A1973" s="84">
        <f t="shared" si="65"/>
        <v>1967</v>
      </c>
      <c r="B1973" s="85" t="e">
        <f>+MATCH(D1973,ARTICULOS!$F$10:$F$699,0)</f>
        <v>#N/A</v>
      </c>
      <c r="C1973" s="86" t="e">
        <f>+VLOOKUP(B1973,ARTICULOS!$D$10:$I$699,6)</f>
        <v>#N/A</v>
      </c>
      <c r="D1973" s="212"/>
      <c r="E1973" s="75" t="e">
        <f t="shared" si="64"/>
        <v>#N/A</v>
      </c>
      <c r="F1973" s="80"/>
      <c r="G1973" s="81"/>
      <c r="H1973" s="78"/>
      <c r="I1973" s="78"/>
      <c r="J1973" s="78"/>
    </row>
    <row r="1974" spans="1:10" x14ac:dyDescent="0.2">
      <c r="A1974" s="84">
        <f t="shared" si="65"/>
        <v>1968</v>
      </c>
      <c r="B1974" s="85" t="e">
        <f>+MATCH(D1974,ARTICULOS!$F$10:$F$699,0)</f>
        <v>#N/A</v>
      </c>
      <c r="C1974" s="86" t="e">
        <f>+VLOOKUP(B1974,ARTICULOS!$D$10:$I$699,6)</f>
        <v>#N/A</v>
      </c>
      <c r="D1974" s="212"/>
      <c r="E1974" s="75" t="e">
        <f t="shared" si="64"/>
        <v>#N/A</v>
      </c>
      <c r="F1974" s="80"/>
      <c r="G1974" s="81"/>
      <c r="H1974" s="78"/>
      <c r="I1974" s="78"/>
      <c r="J1974" s="78"/>
    </row>
    <row r="1975" spans="1:10" x14ac:dyDescent="0.2">
      <c r="A1975" s="84">
        <f t="shared" si="65"/>
        <v>1969</v>
      </c>
      <c r="B1975" s="85" t="e">
        <f>+MATCH(D1975,ARTICULOS!$F$10:$F$699,0)</f>
        <v>#N/A</v>
      </c>
      <c r="C1975" s="86" t="e">
        <f>+VLOOKUP(B1975,ARTICULOS!$D$10:$I$699,6)</f>
        <v>#N/A</v>
      </c>
      <c r="D1975" s="212"/>
      <c r="E1975" s="75" t="e">
        <f t="shared" si="64"/>
        <v>#N/A</v>
      </c>
      <c r="F1975" s="80"/>
      <c r="G1975" s="81"/>
      <c r="H1975" s="78"/>
      <c r="I1975" s="78"/>
      <c r="J1975" s="78"/>
    </row>
    <row r="1976" spans="1:10" x14ac:dyDescent="0.2">
      <c r="A1976" s="84">
        <f t="shared" si="65"/>
        <v>1970</v>
      </c>
      <c r="B1976" s="85" t="e">
        <f>+MATCH(D1976,ARTICULOS!$F$10:$F$699,0)</f>
        <v>#N/A</v>
      </c>
      <c r="C1976" s="86" t="e">
        <f>+VLOOKUP(B1976,ARTICULOS!$D$10:$I$699,6)</f>
        <v>#N/A</v>
      </c>
      <c r="D1976" s="212"/>
      <c r="E1976" s="75" t="e">
        <f t="shared" si="64"/>
        <v>#N/A</v>
      </c>
      <c r="F1976" s="80"/>
      <c r="G1976" s="81"/>
      <c r="H1976" s="78"/>
      <c r="I1976" s="78"/>
      <c r="J1976" s="78"/>
    </row>
    <row r="1977" spans="1:10" x14ac:dyDescent="0.2">
      <c r="A1977" s="84">
        <f t="shared" si="65"/>
        <v>1971</v>
      </c>
      <c r="B1977" s="85" t="e">
        <f>+MATCH(D1977,ARTICULOS!$F$10:$F$699,0)</f>
        <v>#N/A</v>
      </c>
      <c r="C1977" s="86" t="e">
        <f>+VLOOKUP(B1977,ARTICULOS!$D$10:$I$699,6)</f>
        <v>#N/A</v>
      </c>
      <c r="D1977" s="212"/>
      <c r="E1977" s="75" t="e">
        <f t="shared" si="64"/>
        <v>#N/A</v>
      </c>
      <c r="F1977" s="80"/>
      <c r="G1977" s="81"/>
      <c r="H1977" s="78"/>
      <c r="I1977" s="78"/>
      <c r="J1977" s="78"/>
    </row>
    <row r="1978" spans="1:10" x14ac:dyDescent="0.2">
      <c r="A1978" s="84">
        <f t="shared" si="65"/>
        <v>1972</v>
      </c>
      <c r="B1978" s="85" t="e">
        <f>+MATCH(D1978,ARTICULOS!$F$10:$F$699,0)</f>
        <v>#N/A</v>
      </c>
      <c r="C1978" s="86" t="e">
        <f>+VLOOKUP(B1978,ARTICULOS!$D$10:$I$699,6)</f>
        <v>#N/A</v>
      </c>
      <c r="D1978" s="212"/>
      <c r="E1978" s="75" t="e">
        <f t="shared" si="64"/>
        <v>#N/A</v>
      </c>
      <c r="F1978" s="80"/>
      <c r="G1978" s="81"/>
      <c r="H1978" s="78"/>
      <c r="I1978" s="78"/>
      <c r="J1978" s="78"/>
    </row>
    <row r="1979" spans="1:10" x14ac:dyDescent="0.2">
      <c r="A1979" s="84">
        <f t="shared" si="65"/>
        <v>1973</v>
      </c>
      <c r="B1979" s="85" t="e">
        <f>+MATCH(D1979,ARTICULOS!$F$10:$F$699,0)</f>
        <v>#N/A</v>
      </c>
      <c r="C1979" s="86" t="e">
        <f>+VLOOKUP(B1979,ARTICULOS!$D$10:$I$699,6)</f>
        <v>#N/A</v>
      </c>
      <c r="D1979" s="212"/>
      <c r="E1979" s="75" t="e">
        <f t="shared" si="64"/>
        <v>#N/A</v>
      </c>
      <c r="F1979" s="80"/>
      <c r="G1979" s="81"/>
      <c r="H1979" s="78"/>
      <c r="I1979" s="78"/>
      <c r="J1979" s="78"/>
    </row>
    <row r="1980" spans="1:10" x14ac:dyDescent="0.2">
      <c r="A1980" s="84">
        <f t="shared" si="65"/>
        <v>1974</v>
      </c>
      <c r="B1980" s="85" t="e">
        <f>+MATCH(D1980,ARTICULOS!$F$10:$F$699,0)</f>
        <v>#N/A</v>
      </c>
      <c r="C1980" s="86" t="e">
        <f>+VLOOKUP(B1980,ARTICULOS!$D$10:$I$699,6)</f>
        <v>#N/A</v>
      </c>
      <c r="D1980" s="212"/>
      <c r="E1980" s="75" t="e">
        <f t="shared" si="64"/>
        <v>#N/A</v>
      </c>
      <c r="F1980" s="80"/>
      <c r="G1980" s="81"/>
      <c r="H1980" s="78"/>
      <c r="I1980" s="78"/>
      <c r="J1980" s="78"/>
    </row>
    <row r="1981" spans="1:10" x14ac:dyDescent="0.2">
      <c r="A1981" s="84">
        <f t="shared" si="65"/>
        <v>1975</v>
      </c>
      <c r="B1981" s="85" t="e">
        <f>+MATCH(D1981,ARTICULOS!$F$10:$F$699,0)</f>
        <v>#N/A</v>
      </c>
      <c r="C1981" s="86" t="e">
        <f>+VLOOKUP(B1981,ARTICULOS!$D$10:$I$699,6)</f>
        <v>#N/A</v>
      </c>
      <c r="D1981" s="212"/>
      <c r="E1981" s="75" t="e">
        <f t="shared" si="64"/>
        <v>#N/A</v>
      </c>
      <c r="F1981" s="80"/>
      <c r="G1981" s="81"/>
      <c r="H1981" s="78"/>
      <c r="I1981" s="78"/>
      <c r="J1981" s="78"/>
    </row>
    <row r="1982" spans="1:10" x14ac:dyDescent="0.2">
      <c r="A1982" s="84">
        <f t="shared" si="65"/>
        <v>1976</v>
      </c>
      <c r="B1982" s="85" t="e">
        <f>+MATCH(D1982,ARTICULOS!$F$10:$F$699,0)</f>
        <v>#N/A</v>
      </c>
      <c r="C1982" s="86" t="e">
        <f>+VLOOKUP(B1982,ARTICULOS!$D$10:$I$699,6)</f>
        <v>#N/A</v>
      </c>
      <c r="D1982" s="212"/>
      <c r="E1982" s="75" t="e">
        <f t="shared" si="64"/>
        <v>#N/A</v>
      </c>
      <c r="F1982" s="80"/>
      <c r="G1982" s="81"/>
      <c r="H1982" s="78"/>
      <c r="I1982" s="78"/>
      <c r="J1982" s="78"/>
    </row>
    <row r="1983" spans="1:10" x14ac:dyDescent="0.2">
      <c r="A1983" s="84">
        <f t="shared" si="65"/>
        <v>1977</v>
      </c>
      <c r="B1983" s="85" t="e">
        <f>+MATCH(D1983,ARTICULOS!$F$10:$F$699,0)</f>
        <v>#N/A</v>
      </c>
      <c r="C1983" s="86" t="e">
        <f>+VLOOKUP(B1983,ARTICULOS!$D$10:$I$699,6)</f>
        <v>#N/A</v>
      </c>
      <c r="D1983" s="212"/>
      <c r="E1983" s="75" t="e">
        <f t="shared" si="64"/>
        <v>#N/A</v>
      </c>
      <c r="F1983" s="80"/>
      <c r="G1983" s="81"/>
      <c r="H1983" s="78"/>
      <c r="I1983" s="78"/>
      <c r="J1983" s="78"/>
    </row>
    <row r="1984" spans="1:10" x14ac:dyDescent="0.2">
      <c r="A1984" s="84">
        <f t="shared" si="65"/>
        <v>1978</v>
      </c>
      <c r="B1984" s="85" t="e">
        <f>+MATCH(D1984,ARTICULOS!$F$10:$F$699,0)</f>
        <v>#N/A</v>
      </c>
      <c r="C1984" s="86" t="e">
        <f>+VLOOKUP(B1984,ARTICULOS!$D$10:$I$699,6)</f>
        <v>#N/A</v>
      </c>
      <c r="D1984" s="212"/>
      <c r="E1984" s="75" t="e">
        <f t="shared" si="64"/>
        <v>#N/A</v>
      </c>
      <c r="F1984" s="80"/>
      <c r="G1984" s="81"/>
      <c r="H1984" s="78"/>
      <c r="I1984" s="78"/>
      <c r="J1984" s="78"/>
    </row>
    <row r="1985" spans="1:10" x14ac:dyDescent="0.2">
      <c r="A1985" s="84">
        <f t="shared" si="65"/>
        <v>1979</v>
      </c>
      <c r="B1985" s="85" t="e">
        <f>+MATCH(D1985,ARTICULOS!$F$10:$F$699,0)</f>
        <v>#N/A</v>
      </c>
      <c r="C1985" s="86" t="e">
        <f>+VLOOKUP(B1985,ARTICULOS!$D$10:$I$699,6)</f>
        <v>#N/A</v>
      </c>
      <c r="D1985" s="212"/>
      <c r="E1985" s="75" t="e">
        <f t="shared" si="64"/>
        <v>#N/A</v>
      </c>
      <c r="F1985" s="80"/>
      <c r="G1985" s="81"/>
      <c r="H1985" s="78"/>
      <c r="I1985" s="78"/>
      <c r="J1985" s="78"/>
    </row>
    <row r="1986" spans="1:10" x14ac:dyDescent="0.2">
      <c r="A1986" s="84">
        <f t="shared" si="65"/>
        <v>1980</v>
      </c>
      <c r="B1986" s="85" t="e">
        <f>+MATCH(D1986,ARTICULOS!$F$10:$F$699,0)</f>
        <v>#N/A</v>
      </c>
      <c r="C1986" s="86" t="e">
        <f>+VLOOKUP(B1986,ARTICULOS!$D$10:$I$699,6)</f>
        <v>#N/A</v>
      </c>
      <c r="D1986" s="212"/>
      <c r="E1986" s="75" t="e">
        <f t="shared" si="64"/>
        <v>#N/A</v>
      </c>
      <c r="F1986" s="80"/>
      <c r="G1986" s="81"/>
      <c r="H1986" s="78"/>
      <c r="I1986" s="78"/>
      <c r="J1986" s="78"/>
    </row>
    <row r="1987" spans="1:10" x14ac:dyDescent="0.2">
      <c r="A1987" s="84">
        <f t="shared" si="65"/>
        <v>1981</v>
      </c>
      <c r="B1987" s="85" t="e">
        <f>+MATCH(D1987,ARTICULOS!$F$10:$F$699,0)</f>
        <v>#N/A</v>
      </c>
      <c r="C1987" s="86" t="e">
        <f>+VLOOKUP(B1987,ARTICULOS!$D$10:$I$699,6)</f>
        <v>#N/A</v>
      </c>
      <c r="D1987" s="212"/>
      <c r="E1987" s="75" t="e">
        <f t="shared" si="64"/>
        <v>#N/A</v>
      </c>
      <c r="F1987" s="80"/>
      <c r="G1987" s="81"/>
      <c r="H1987" s="78"/>
      <c r="I1987" s="78"/>
      <c r="J1987" s="78"/>
    </row>
    <row r="1988" spans="1:10" x14ac:dyDescent="0.2">
      <c r="A1988" s="84">
        <f t="shared" si="65"/>
        <v>1982</v>
      </c>
      <c r="B1988" s="85" t="e">
        <f>+MATCH(D1988,ARTICULOS!$F$10:$F$699,0)</f>
        <v>#N/A</v>
      </c>
      <c r="C1988" s="86" t="e">
        <f>+VLOOKUP(B1988,ARTICULOS!$D$10:$I$699,6)</f>
        <v>#N/A</v>
      </c>
      <c r="D1988" s="212"/>
      <c r="E1988" s="75" t="e">
        <f t="shared" si="64"/>
        <v>#N/A</v>
      </c>
      <c r="F1988" s="80"/>
      <c r="G1988" s="81"/>
      <c r="H1988" s="78"/>
      <c r="I1988" s="78"/>
      <c r="J1988" s="78"/>
    </row>
    <row r="1989" spans="1:10" x14ac:dyDescent="0.2">
      <c r="A1989" s="84">
        <f t="shared" si="65"/>
        <v>1983</v>
      </c>
      <c r="B1989" s="85" t="e">
        <f>+MATCH(D1989,ARTICULOS!$F$10:$F$699,0)</f>
        <v>#N/A</v>
      </c>
      <c r="C1989" s="86" t="e">
        <f>+VLOOKUP(B1989,ARTICULOS!$D$10:$I$699,6)</f>
        <v>#N/A</v>
      </c>
      <c r="D1989" s="212"/>
      <c r="E1989" s="75" t="e">
        <f t="shared" si="64"/>
        <v>#N/A</v>
      </c>
      <c r="F1989" s="80"/>
      <c r="G1989" s="81"/>
      <c r="H1989" s="78"/>
      <c r="I1989" s="78"/>
      <c r="J1989" s="78"/>
    </row>
    <row r="1990" spans="1:10" x14ac:dyDescent="0.2">
      <c r="A1990" s="84">
        <f t="shared" si="65"/>
        <v>1984</v>
      </c>
      <c r="B1990" s="85" t="e">
        <f>+MATCH(D1990,ARTICULOS!$F$10:$F$699,0)</f>
        <v>#N/A</v>
      </c>
      <c r="C1990" s="86" t="e">
        <f>+VLOOKUP(B1990,ARTICULOS!$D$10:$I$699,6)</f>
        <v>#N/A</v>
      </c>
      <c r="D1990" s="212"/>
      <c r="E1990" s="75" t="e">
        <f t="shared" si="64"/>
        <v>#N/A</v>
      </c>
      <c r="F1990" s="80"/>
      <c r="G1990" s="81"/>
      <c r="H1990" s="78"/>
      <c r="I1990" s="78"/>
      <c r="J1990" s="78"/>
    </row>
    <row r="1991" spans="1:10" x14ac:dyDescent="0.2">
      <c r="A1991" s="84">
        <f t="shared" si="65"/>
        <v>1985</v>
      </c>
      <c r="B1991" s="85" t="e">
        <f>+MATCH(D1991,ARTICULOS!$F$10:$F$699,0)</f>
        <v>#N/A</v>
      </c>
      <c r="C1991" s="86" t="e">
        <f>+VLOOKUP(B1991,ARTICULOS!$D$10:$I$699,6)</f>
        <v>#N/A</v>
      </c>
      <c r="D1991" s="212"/>
      <c r="E1991" s="75" t="e">
        <f t="shared" si="64"/>
        <v>#N/A</v>
      </c>
      <c r="F1991" s="80"/>
      <c r="G1991" s="81"/>
      <c r="H1991" s="78"/>
      <c r="I1991" s="78"/>
      <c r="J1991" s="78"/>
    </row>
    <row r="1992" spans="1:10" x14ac:dyDescent="0.2">
      <c r="A1992" s="84">
        <f t="shared" si="65"/>
        <v>1986</v>
      </c>
      <c r="B1992" s="85" t="e">
        <f>+MATCH(D1992,ARTICULOS!$F$10:$F$699,0)</f>
        <v>#N/A</v>
      </c>
      <c r="C1992" s="86" t="e">
        <f>+VLOOKUP(B1992,ARTICULOS!$D$10:$I$699,6)</f>
        <v>#N/A</v>
      </c>
      <c r="D1992" s="212"/>
      <c r="E1992" s="75" t="e">
        <f t="shared" si="64"/>
        <v>#N/A</v>
      </c>
      <c r="F1992" s="80"/>
      <c r="G1992" s="81"/>
      <c r="H1992" s="78"/>
      <c r="I1992" s="78"/>
      <c r="J1992" s="78"/>
    </row>
    <row r="1993" spans="1:10" x14ac:dyDescent="0.2">
      <c r="A1993" s="84">
        <f t="shared" si="65"/>
        <v>1987</v>
      </c>
      <c r="B1993" s="85" t="e">
        <f>+MATCH(D1993,ARTICULOS!$F$10:$F$699,0)</f>
        <v>#N/A</v>
      </c>
      <c r="C1993" s="86" t="e">
        <f>+VLOOKUP(B1993,ARTICULOS!$D$10:$I$699,6)</f>
        <v>#N/A</v>
      </c>
      <c r="D1993" s="212"/>
      <c r="E1993" s="75" t="e">
        <f t="shared" si="64"/>
        <v>#N/A</v>
      </c>
      <c r="F1993" s="80"/>
      <c r="G1993" s="81"/>
      <c r="H1993" s="78"/>
      <c r="I1993" s="78"/>
      <c r="J1993" s="78"/>
    </row>
    <row r="1994" spans="1:10" x14ac:dyDescent="0.2">
      <c r="A1994" s="84">
        <f t="shared" si="65"/>
        <v>1988</v>
      </c>
      <c r="B1994" s="85" t="e">
        <f>+MATCH(D1994,ARTICULOS!$F$10:$F$699,0)</f>
        <v>#N/A</v>
      </c>
      <c r="C1994" s="86" t="e">
        <f>+VLOOKUP(B1994,ARTICULOS!$D$10:$I$699,6)</f>
        <v>#N/A</v>
      </c>
      <c r="D1994" s="212"/>
      <c r="E1994" s="75" t="e">
        <f t="shared" si="64"/>
        <v>#N/A</v>
      </c>
      <c r="F1994" s="80"/>
      <c r="G1994" s="81"/>
      <c r="H1994" s="78"/>
      <c r="I1994" s="78"/>
      <c r="J1994" s="78"/>
    </row>
    <row r="1995" spans="1:10" x14ac:dyDescent="0.2">
      <c r="A1995" s="84">
        <f t="shared" si="65"/>
        <v>1989</v>
      </c>
      <c r="B1995" s="85" t="e">
        <f>+MATCH(D1995,ARTICULOS!$F$10:$F$699,0)</f>
        <v>#N/A</v>
      </c>
      <c r="C1995" s="86" t="e">
        <f>+VLOOKUP(B1995,ARTICULOS!$D$10:$I$699,6)</f>
        <v>#N/A</v>
      </c>
      <c r="D1995" s="212"/>
      <c r="E1995" s="75" t="e">
        <f t="shared" ref="E1995:E2058" si="66">+C1995&amp;F1995</f>
        <v>#N/A</v>
      </c>
      <c r="F1995" s="80"/>
      <c r="G1995" s="81"/>
      <c r="H1995" s="78"/>
      <c r="I1995" s="78"/>
      <c r="J1995" s="78"/>
    </row>
    <row r="1996" spans="1:10" x14ac:dyDescent="0.2">
      <c r="A1996" s="84">
        <f t="shared" si="65"/>
        <v>1990</v>
      </c>
      <c r="B1996" s="85" t="e">
        <f>+MATCH(D1996,ARTICULOS!$F$10:$F$699,0)</f>
        <v>#N/A</v>
      </c>
      <c r="C1996" s="86" t="e">
        <f>+VLOOKUP(B1996,ARTICULOS!$D$10:$I$699,6)</f>
        <v>#N/A</v>
      </c>
      <c r="D1996" s="212"/>
      <c r="E1996" s="75" t="e">
        <f t="shared" si="66"/>
        <v>#N/A</v>
      </c>
      <c r="F1996" s="80"/>
      <c r="G1996" s="81"/>
      <c r="H1996" s="78"/>
      <c r="I1996" s="78"/>
      <c r="J1996" s="78"/>
    </row>
    <row r="1997" spans="1:10" x14ac:dyDescent="0.2">
      <c r="A1997" s="84">
        <f t="shared" si="65"/>
        <v>1991</v>
      </c>
      <c r="B1997" s="85" t="e">
        <f>+MATCH(D1997,ARTICULOS!$F$10:$F$699,0)</f>
        <v>#N/A</v>
      </c>
      <c r="C1997" s="86" t="e">
        <f>+VLOOKUP(B1997,ARTICULOS!$D$10:$I$699,6)</f>
        <v>#N/A</v>
      </c>
      <c r="D1997" s="212"/>
      <c r="E1997" s="75" t="e">
        <f t="shared" si="66"/>
        <v>#N/A</v>
      </c>
      <c r="F1997" s="80"/>
      <c r="G1997" s="81"/>
      <c r="H1997" s="78"/>
      <c r="I1997" s="78"/>
      <c r="J1997" s="78"/>
    </row>
    <row r="1998" spans="1:10" x14ac:dyDescent="0.2">
      <c r="A1998" s="84">
        <f t="shared" si="65"/>
        <v>1992</v>
      </c>
      <c r="B1998" s="85" t="e">
        <f>+MATCH(D1998,ARTICULOS!$F$10:$F$699,0)</f>
        <v>#N/A</v>
      </c>
      <c r="C1998" s="86" t="e">
        <f>+VLOOKUP(B1998,ARTICULOS!$D$10:$I$699,6)</f>
        <v>#N/A</v>
      </c>
      <c r="D1998" s="212"/>
      <c r="E1998" s="75" t="e">
        <f t="shared" si="66"/>
        <v>#N/A</v>
      </c>
      <c r="F1998" s="80"/>
      <c r="G1998" s="81"/>
      <c r="H1998" s="78"/>
      <c r="I1998" s="78"/>
      <c r="J1998" s="78"/>
    </row>
    <row r="1999" spans="1:10" x14ac:dyDescent="0.2">
      <c r="A1999" s="84">
        <f t="shared" si="65"/>
        <v>1993</v>
      </c>
      <c r="B1999" s="85" t="e">
        <f>+MATCH(D1999,ARTICULOS!$F$10:$F$699,0)</f>
        <v>#N/A</v>
      </c>
      <c r="C1999" s="86" t="e">
        <f>+VLOOKUP(B1999,ARTICULOS!$D$10:$I$699,6)</f>
        <v>#N/A</v>
      </c>
      <c r="D1999" s="212"/>
      <c r="E1999" s="75" t="e">
        <f t="shared" si="66"/>
        <v>#N/A</v>
      </c>
      <c r="F1999" s="80"/>
      <c r="G1999" s="81"/>
      <c r="H1999" s="78"/>
      <c r="I1999" s="78"/>
      <c r="J1999" s="78"/>
    </row>
    <row r="2000" spans="1:10" x14ac:dyDescent="0.2">
      <c r="A2000" s="84">
        <f t="shared" si="65"/>
        <v>1994</v>
      </c>
      <c r="B2000" s="85" t="e">
        <f>+MATCH(D2000,ARTICULOS!$F$10:$F$699,0)</f>
        <v>#N/A</v>
      </c>
      <c r="C2000" s="86" t="e">
        <f>+VLOOKUP(B2000,ARTICULOS!$D$10:$I$699,6)</f>
        <v>#N/A</v>
      </c>
      <c r="D2000" s="212"/>
      <c r="E2000" s="75" t="e">
        <f t="shared" si="66"/>
        <v>#N/A</v>
      </c>
      <c r="F2000" s="80"/>
      <c r="G2000" s="81"/>
      <c r="H2000" s="78"/>
      <c r="I2000" s="78"/>
      <c r="J2000" s="78"/>
    </row>
    <row r="2001" spans="1:10" x14ac:dyDescent="0.2">
      <c r="A2001" s="84">
        <f t="shared" si="65"/>
        <v>1995</v>
      </c>
      <c r="B2001" s="85" t="e">
        <f>+MATCH(D2001,ARTICULOS!$F$10:$F$699,0)</f>
        <v>#N/A</v>
      </c>
      <c r="C2001" s="86" t="e">
        <f>+VLOOKUP(B2001,ARTICULOS!$D$10:$I$699,6)</f>
        <v>#N/A</v>
      </c>
      <c r="D2001" s="212"/>
      <c r="E2001" s="75" t="e">
        <f t="shared" si="66"/>
        <v>#N/A</v>
      </c>
      <c r="F2001" s="80"/>
      <c r="G2001" s="81"/>
      <c r="H2001" s="78"/>
      <c r="I2001" s="78"/>
      <c r="J2001" s="78"/>
    </row>
    <row r="2002" spans="1:10" x14ac:dyDescent="0.2">
      <c r="A2002" s="84">
        <f t="shared" si="65"/>
        <v>1996</v>
      </c>
      <c r="B2002" s="85" t="e">
        <f>+MATCH(D2002,ARTICULOS!$F$10:$F$699,0)</f>
        <v>#N/A</v>
      </c>
      <c r="C2002" s="86" t="e">
        <f>+VLOOKUP(B2002,ARTICULOS!$D$10:$I$699,6)</f>
        <v>#N/A</v>
      </c>
      <c r="D2002" s="212"/>
      <c r="E2002" s="75" t="e">
        <f t="shared" si="66"/>
        <v>#N/A</v>
      </c>
      <c r="F2002" s="80"/>
      <c r="G2002" s="81"/>
      <c r="H2002" s="78"/>
      <c r="I2002" s="78"/>
      <c r="J2002" s="78"/>
    </row>
    <row r="2003" spans="1:10" x14ac:dyDescent="0.2">
      <c r="A2003" s="84">
        <f t="shared" si="65"/>
        <v>1997</v>
      </c>
      <c r="B2003" s="85" t="e">
        <f>+MATCH(D2003,ARTICULOS!$F$10:$F$699,0)</f>
        <v>#N/A</v>
      </c>
      <c r="C2003" s="86" t="e">
        <f>+VLOOKUP(B2003,ARTICULOS!$D$10:$I$699,6)</f>
        <v>#N/A</v>
      </c>
      <c r="D2003" s="212"/>
      <c r="E2003" s="75" t="e">
        <f t="shared" si="66"/>
        <v>#N/A</v>
      </c>
      <c r="F2003" s="80"/>
      <c r="G2003" s="81"/>
      <c r="H2003" s="78"/>
      <c r="I2003" s="78"/>
      <c r="J2003" s="78"/>
    </row>
    <row r="2004" spans="1:10" x14ac:dyDescent="0.2">
      <c r="A2004" s="84">
        <f t="shared" si="65"/>
        <v>1998</v>
      </c>
      <c r="B2004" s="85" t="e">
        <f>+MATCH(D2004,ARTICULOS!$F$10:$F$699,0)</f>
        <v>#N/A</v>
      </c>
      <c r="C2004" s="86" t="e">
        <f>+VLOOKUP(B2004,ARTICULOS!$D$10:$I$699,6)</f>
        <v>#N/A</v>
      </c>
      <c r="D2004" s="212"/>
      <c r="E2004" s="75" t="e">
        <f t="shared" si="66"/>
        <v>#N/A</v>
      </c>
      <c r="F2004" s="80"/>
      <c r="G2004" s="81"/>
      <c r="H2004" s="78"/>
      <c r="I2004" s="78"/>
      <c r="J2004" s="78"/>
    </row>
    <row r="2005" spans="1:10" x14ac:dyDescent="0.2">
      <c r="A2005" s="84">
        <f t="shared" si="65"/>
        <v>1999</v>
      </c>
      <c r="B2005" s="85" t="e">
        <f>+MATCH(D2005,ARTICULOS!$F$10:$F$699,0)</f>
        <v>#N/A</v>
      </c>
      <c r="C2005" s="86" t="e">
        <f>+VLOOKUP(B2005,ARTICULOS!$D$10:$I$699,6)</f>
        <v>#N/A</v>
      </c>
      <c r="D2005" s="212"/>
      <c r="E2005" s="75" t="e">
        <f t="shared" si="66"/>
        <v>#N/A</v>
      </c>
      <c r="F2005" s="80"/>
      <c r="G2005" s="81"/>
      <c r="H2005" s="78"/>
      <c r="I2005" s="78"/>
      <c r="J2005" s="78"/>
    </row>
    <row r="2006" spans="1:10" x14ac:dyDescent="0.2">
      <c r="A2006" s="84">
        <f t="shared" si="65"/>
        <v>2000</v>
      </c>
      <c r="B2006" s="85" t="e">
        <f>+MATCH(D2006,ARTICULOS!$F$10:$F$699,0)</f>
        <v>#N/A</v>
      </c>
      <c r="C2006" s="86" t="e">
        <f>+VLOOKUP(B2006,ARTICULOS!$D$10:$I$699,6)</f>
        <v>#N/A</v>
      </c>
      <c r="D2006" s="212"/>
      <c r="E2006" s="75" t="e">
        <f t="shared" si="66"/>
        <v>#N/A</v>
      </c>
      <c r="F2006" s="80"/>
      <c r="G2006" s="81"/>
      <c r="H2006" s="78"/>
      <c r="I2006" s="78"/>
      <c r="J2006" s="78"/>
    </row>
    <row r="2007" spans="1:10" x14ac:dyDescent="0.2">
      <c r="A2007" s="84">
        <f t="shared" si="65"/>
        <v>2001</v>
      </c>
      <c r="B2007" s="85" t="e">
        <f>+MATCH(D2007,ARTICULOS!$F$10:$F$699,0)</f>
        <v>#N/A</v>
      </c>
      <c r="C2007" s="86" t="e">
        <f>+VLOOKUP(B2007,ARTICULOS!$D$10:$I$699,6)</f>
        <v>#N/A</v>
      </c>
      <c r="D2007" s="212"/>
      <c r="E2007" s="75" t="e">
        <f t="shared" si="66"/>
        <v>#N/A</v>
      </c>
      <c r="F2007" s="80"/>
      <c r="G2007" s="81"/>
      <c r="H2007" s="78"/>
      <c r="I2007" s="78"/>
      <c r="J2007" s="78"/>
    </row>
    <row r="2008" spans="1:10" x14ac:dyDescent="0.2">
      <c r="A2008" s="84">
        <f t="shared" si="65"/>
        <v>2002</v>
      </c>
      <c r="B2008" s="85" t="e">
        <f>+MATCH(D2008,ARTICULOS!$F$10:$F$699,0)</f>
        <v>#N/A</v>
      </c>
      <c r="C2008" s="86" t="e">
        <f>+VLOOKUP(B2008,ARTICULOS!$D$10:$I$699,6)</f>
        <v>#N/A</v>
      </c>
      <c r="D2008" s="212"/>
      <c r="E2008" s="75" t="e">
        <f t="shared" si="66"/>
        <v>#N/A</v>
      </c>
      <c r="F2008" s="80"/>
      <c r="G2008" s="81"/>
      <c r="H2008" s="78"/>
      <c r="I2008" s="78"/>
      <c r="J2008" s="78"/>
    </row>
    <row r="2009" spans="1:10" x14ac:dyDescent="0.2">
      <c r="A2009" s="84">
        <f t="shared" si="65"/>
        <v>2003</v>
      </c>
      <c r="B2009" s="85" t="e">
        <f>+MATCH(D2009,ARTICULOS!$F$10:$F$699,0)</f>
        <v>#N/A</v>
      </c>
      <c r="C2009" s="86" t="e">
        <f>+VLOOKUP(B2009,ARTICULOS!$D$10:$I$699,6)</f>
        <v>#N/A</v>
      </c>
      <c r="D2009" s="212"/>
      <c r="E2009" s="75" t="e">
        <f t="shared" si="66"/>
        <v>#N/A</v>
      </c>
      <c r="F2009" s="80"/>
      <c r="G2009" s="81"/>
      <c r="H2009" s="78"/>
      <c r="I2009" s="78"/>
      <c r="J2009" s="78"/>
    </row>
    <row r="2010" spans="1:10" x14ac:dyDescent="0.2">
      <c r="A2010" s="84">
        <f t="shared" si="65"/>
        <v>2004</v>
      </c>
      <c r="B2010" s="85" t="e">
        <f>+MATCH(D2010,ARTICULOS!$F$10:$F$699,0)</f>
        <v>#N/A</v>
      </c>
      <c r="C2010" s="86" t="e">
        <f>+VLOOKUP(B2010,ARTICULOS!$D$10:$I$699,6)</f>
        <v>#N/A</v>
      </c>
      <c r="D2010" s="212"/>
      <c r="E2010" s="75" t="e">
        <f t="shared" si="66"/>
        <v>#N/A</v>
      </c>
      <c r="F2010" s="80"/>
      <c r="G2010" s="81"/>
      <c r="H2010" s="78"/>
      <c r="I2010" s="78"/>
      <c r="J2010" s="78"/>
    </row>
    <row r="2011" spans="1:10" x14ac:dyDescent="0.2">
      <c r="A2011" s="84">
        <f t="shared" si="65"/>
        <v>2005</v>
      </c>
      <c r="B2011" s="85" t="e">
        <f>+MATCH(D2011,ARTICULOS!$F$10:$F$699,0)</f>
        <v>#N/A</v>
      </c>
      <c r="C2011" s="86" t="e">
        <f>+VLOOKUP(B2011,ARTICULOS!$D$10:$I$699,6)</f>
        <v>#N/A</v>
      </c>
      <c r="D2011" s="212"/>
      <c r="E2011" s="75" t="e">
        <f t="shared" si="66"/>
        <v>#N/A</v>
      </c>
      <c r="F2011" s="80"/>
      <c r="G2011" s="81"/>
      <c r="H2011" s="78"/>
      <c r="I2011" s="78"/>
      <c r="J2011" s="78"/>
    </row>
    <row r="2012" spans="1:10" x14ac:dyDescent="0.2">
      <c r="A2012" s="84">
        <f t="shared" si="65"/>
        <v>2006</v>
      </c>
      <c r="B2012" s="85" t="e">
        <f>+MATCH(D2012,ARTICULOS!$F$10:$F$699,0)</f>
        <v>#N/A</v>
      </c>
      <c r="C2012" s="86" t="e">
        <f>+VLOOKUP(B2012,ARTICULOS!$D$10:$I$699,6)</f>
        <v>#N/A</v>
      </c>
      <c r="D2012" s="212"/>
      <c r="E2012" s="75" t="e">
        <f t="shared" si="66"/>
        <v>#N/A</v>
      </c>
      <c r="F2012" s="80"/>
      <c r="G2012" s="81"/>
      <c r="H2012" s="78"/>
      <c r="I2012" s="78"/>
      <c r="J2012" s="78"/>
    </row>
    <row r="2013" spans="1:10" x14ac:dyDescent="0.2">
      <c r="A2013" s="84">
        <f t="shared" si="65"/>
        <v>2007</v>
      </c>
      <c r="B2013" s="85" t="e">
        <f>+MATCH(D2013,ARTICULOS!$F$10:$F$699,0)</f>
        <v>#N/A</v>
      </c>
      <c r="C2013" s="86" t="e">
        <f>+VLOOKUP(B2013,ARTICULOS!$D$10:$I$699,6)</f>
        <v>#N/A</v>
      </c>
      <c r="D2013" s="212"/>
      <c r="E2013" s="75" t="e">
        <f t="shared" si="66"/>
        <v>#N/A</v>
      </c>
      <c r="F2013" s="80"/>
      <c r="G2013" s="81"/>
      <c r="H2013" s="78"/>
      <c r="I2013" s="78"/>
      <c r="J2013" s="78"/>
    </row>
    <row r="2014" spans="1:10" x14ac:dyDescent="0.2">
      <c r="A2014" s="84">
        <f t="shared" si="65"/>
        <v>2008</v>
      </c>
      <c r="B2014" s="85" t="e">
        <f>+MATCH(D2014,ARTICULOS!$F$10:$F$699,0)</f>
        <v>#N/A</v>
      </c>
      <c r="C2014" s="86" t="e">
        <f>+VLOOKUP(B2014,ARTICULOS!$D$10:$I$699,6)</f>
        <v>#N/A</v>
      </c>
      <c r="D2014" s="212"/>
      <c r="E2014" s="75" t="e">
        <f t="shared" si="66"/>
        <v>#N/A</v>
      </c>
      <c r="F2014" s="80"/>
      <c r="G2014" s="81"/>
      <c r="H2014" s="78"/>
      <c r="I2014" s="78"/>
      <c r="J2014" s="78"/>
    </row>
    <row r="2015" spans="1:10" x14ac:dyDescent="0.2">
      <c r="A2015" s="84">
        <f t="shared" si="65"/>
        <v>2009</v>
      </c>
      <c r="B2015" s="85" t="e">
        <f>+MATCH(D2015,ARTICULOS!$F$10:$F$699,0)</f>
        <v>#N/A</v>
      </c>
      <c r="C2015" s="86" t="e">
        <f>+VLOOKUP(B2015,ARTICULOS!$D$10:$I$699,6)</f>
        <v>#N/A</v>
      </c>
      <c r="D2015" s="212"/>
      <c r="E2015" s="75" t="e">
        <f t="shared" si="66"/>
        <v>#N/A</v>
      </c>
      <c r="F2015" s="80"/>
      <c r="G2015" s="81"/>
      <c r="H2015" s="78"/>
      <c r="I2015" s="78"/>
      <c r="J2015" s="78"/>
    </row>
    <row r="2016" spans="1:10" x14ac:dyDescent="0.2">
      <c r="A2016" s="84">
        <f t="shared" si="65"/>
        <v>2010</v>
      </c>
      <c r="B2016" s="85" t="e">
        <f>+MATCH(D2016,ARTICULOS!$F$10:$F$699,0)</f>
        <v>#N/A</v>
      </c>
      <c r="C2016" s="86" t="e">
        <f>+VLOOKUP(B2016,ARTICULOS!$D$10:$I$699,6)</f>
        <v>#N/A</v>
      </c>
      <c r="D2016" s="212"/>
      <c r="E2016" s="75" t="e">
        <f t="shared" si="66"/>
        <v>#N/A</v>
      </c>
      <c r="F2016" s="80"/>
      <c r="G2016" s="81"/>
      <c r="H2016" s="78"/>
      <c r="I2016" s="78"/>
      <c r="J2016" s="78"/>
    </row>
    <row r="2017" spans="1:10" x14ac:dyDescent="0.2">
      <c r="A2017" s="84">
        <f t="shared" si="65"/>
        <v>2011</v>
      </c>
      <c r="B2017" s="85" t="e">
        <f>+MATCH(D2017,ARTICULOS!$F$10:$F$699,0)</f>
        <v>#N/A</v>
      </c>
      <c r="C2017" s="86" t="e">
        <f>+VLOOKUP(B2017,ARTICULOS!$D$10:$I$699,6)</f>
        <v>#N/A</v>
      </c>
      <c r="D2017" s="212"/>
      <c r="E2017" s="75" t="e">
        <f t="shared" si="66"/>
        <v>#N/A</v>
      </c>
      <c r="F2017" s="80"/>
      <c r="G2017" s="81"/>
      <c r="H2017" s="78"/>
      <c r="I2017" s="78"/>
      <c r="J2017" s="78"/>
    </row>
    <row r="2018" spans="1:10" x14ac:dyDescent="0.2">
      <c r="A2018" s="84">
        <f t="shared" si="65"/>
        <v>2012</v>
      </c>
      <c r="B2018" s="85" t="e">
        <f>+MATCH(D2018,ARTICULOS!$F$10:$F$699,0)</f>
        <v>#N/A</v>
      </c>
      <c r="C2018" s="86" t="e">
        <f>+VLOOKUP(B2018,ARTICULOS!$D$10:$I$699,6)</f>
        <v>#N/A</v>
      </c>
      <c r="D2018" s="212"/>
      <c r="E2018" s="75" t="e">
        <f t="shared" si="66"/>
        <v>#N/A</v>
      </c>
      <c r="F2018" s="80"/>
      <c r="G2018" s="81"/>
      <c r="H2018" s="78"/>
      <c r="I2018" s="78"/>
      <c r="J2018" s="78"/>
    </row>
    <row r="2019" spans="1:10" x14ac:dyDescent="0.2">
      <c r="A2019" s="84">
        <f t="shared" si="65"/>
        <v>2013</v>
      </c>
      <c r="B2019" s="85" t="e">
        <f>+MATCH(D2019,ARTICULOS!$F$10:$F$699,0)</f>
        <v>#N/A</v>
      </c>
      <c r="C2019" s="86" t="e">
        <f>+VLOOKUP(B2019,ARTICULOS!$D$10:$I$699,6)</f>
        <v>#N/A</v>
      </c>
      <c r="D2019" s="212"/>
      <c r="E2019" s="75" t="e">
        <f t="shared" si="66"/>
        <v>#N/A</v>
      </c>
      <c r="F2019" s="80"/>
      <c r="G2019" s="81"/>
      <c r="H2019" s="78"/>
      <c r="I2019" s="78"/>
      <c r="J2019" s="78"/>
    </row>
    <row r="2020" spans="1:10" x14ac:dyDescent="0.2">
      <c r="A2020" s="84">
        <f t="shared" si="65"/>
        <v>2014</v>
      </c>
      <c r="B2020" s="85" t="e">
        <f>+MATCH(D2020,ARTICULOS!$F$10:$F$699,0)</f>
        <v>#N/A</v>
      </c>
      <c r="C2020" s="86" t="e">
        <f>+VLOOKUP(B2020,ARTICULOS!$D$10:$I$699,6)</f>
        <v>#N/A</v>
      </c>
      <c r="D2020" s="212"/>
      <c r="E2020" s="75" t="e">
        <f t="shared" si="66"/>
        <v>#N/A</v>
      </c>
      <c r="F2020" s="80"/>
      <c r="G2020" s="81"/>
      <c r="H2020" s="78"/>
      <c r="I2020" s="78"/>
      <c r="J2020" s="78"/>
    </row>
    <row r="2021" spans="1:10" x14ac:dyDescent="0.2">
      <c r="A2021" s="84">
        <f t="shared" si="65"/>
        <v>2015</v>
      </c>
      <c r="B2021" s="85" t="e">
        <f>+MATCH(D2021,ARTICULOS!$F$10:$F$699,0)</f>
        <v>#N/A</v>
      </c>
      <c r="C2021" s="86" t="e">
        <f>+VLOOKUP(B2021,ARTICULOS!$D$10:$I$699,6)</f>
        <v>#N/A</v>
      </c>
      <c r="D2021" s="212"/>
      <c r="E2021" s="75" t="e">
        <f t="shared" si="66"/>
        <v>#N/A</v>
      </c>
      <c r="F2021" s="80"/>
      <c r="G2021" s="81"/>
      <c r="H2021" s="78"/>
      <c r="I2021" s="78"/>
      <c r="J2021" s="78"/>
    </row>
    <row r="2022" spans="1:10" x14ac:dyDescent="0.2">
      <c r="A2022" s="84">
        <f t="shared" si="65"/>
        <v>2016</v>
      </c>
      <c r="B2022" s="85" t="e">
        <f>+MATCH(D2022,ARTICULOS!$F$10:$F$699,0)</f>
        <v>#N/A</v>
      </c>
      <c r="C2022" s="86" t="e">
        <f>+VLOOKUP(B2022,ARTICULOS!$D$10:$I$699,6)</f>
        <v>#N/A</v>
      </c>
      <c r="D2022" s="212"/>
      <c r="E2022" s="75" t="e">
        <f t="shared" si="66"/>
        <v>#N/A</v>
      </c>
      <c r="F2022" s="80"/>
      <c r="G2022" s="81"/>
      <c r="H2022" s="78"/>
      <c r="I2022" s="78"/>
      <c r="J2022" s="78"/>
    </row>
    <row r="2023" spans="1:10" x14ac:dyDescent="0.2">
      <c r="A2023" s="84">
        <f t="shared" si="65"/>
        <v>2017</v>
      </c>
      <c r="B2023" s="85" t="e">
        <f>+MATCH(D2023,ARTICULOS!$F$10:$F$699,0)</f>
        <v>#N/A</v>
      </c>
      <c r="C2023" s="86" t="e">
        <f>+VLOOKUP(B2023,ARTICULOS!$D$10:$I$699,6)</f>
        <v>#N/A</v>
      </c>
      <c r="D2023" s="212"/>
      <c r="E2023" s="75" t="e">
        <f t="shared" si="66"/>
        <v>#N/A</v>
      </c>
      <c r="F2023" s="80"/>
      <c r="G2023" s="81"/>
      <c r="H2023" s="78"/>
      <c r="I2023" s="78"/>
      <c r="J2023" s="78"/>
    </row>
    <row r="2024" spans="1:10" x14ac:dyDescent="0.2">
      <c r="A2024" s="84">
        <f t="shared" si="65"/>
        <v>2018</v>
      </c>
      <c r="B2024" s="85" t="e">
        <f>+MATCH(D2024,ARTICULOS!$F$10:$F$699,0)</f>
        <v>#N/A</v>
      </c>
      <c r="C2024" s="86" t="e">
        <f>+VLOOKUP(B2024,ARTICULOS!$D$10:$I$699,6)</f>
        <v>#N/A</v>
      </c>
      <c r="D2024" s="212"/>
      <c r="E2024" s="75" t="e">
        <f t="shared" si="66"/>
        <v>#N/A</v>
      </c>
      <c r="F2024" s="80"/>
      <c r="G2024" s="81"/>
      <c r="H2024" s="78"/>
      <c r="I2024" s="78"/>
      <c r="J2024" s="78"/>
    </row>
    <row r="2025" spans="1:10" x14ac:dyDescent="0.2">
      <c r="A2025" s="84">
        <f t="shared" ref="A2025:A2088" si="67">ROW()-6</f>
        <v>2019</v>
      </c>
      <c r="B2025" s="85" t="e">
        <f>+MATCH(D2025,ARTICULOS!$F$10:$F$699,0)</f>
        <v>#N/A</v>
      </c>
      <c r="C2025" s="86" t="e">
        <f>+VLOOKUP(B2025,ARTICULOS!$D$10:$I$699,6)</f>
        <v>#N/A</v>
      </c>
      <c r="D2025" s="212"/>
      <c r="E2025" s="75" t="e">
        <f t="shared" si="66"/>
        <v>#N/A</v>
      </c>
      <c r="F2025" s="80"/>
      <c r="G2025" s="81"/>
      <c r="H2025" s="78"/>
      <c r="I2025" s="78"/>
      <c r="J2025" s="78"/>
    </row>
    <row r="2026" spans="1:10" x14ac:dyDescent="0.2">
      <c r="A2026" s="84">
        <f t="shared" si="67"/>
        <v>2020</v>
      </c>
      <c r="B2026" s="85" t="e">
        <f>+MATCH(D2026,ARTICULOS!$F$10:$F$699,0)</f>
        <v>#N/A</v>
      </c>
      <c r="C2026" s="86" t="e">
        <f>+VLOOKUP(B2026,ARTICULOS!$D$10:$I$699,6)</f>
        <v>#N/A</v>
      </c>
      <c r="D2026" s="212"/>
      <c r="E2026" s="75" t="e">
        <f t="shared" si="66"/>
        <v>#N/A</v>
      </c>
      <c r="F2026" s="80"/>
      <c r="G2026" s="81"/>
      <c r="H2026" s="78"/>
      <c r="I2026" s="78"/>
      <c r="J2026" s="78"/>
    </row>
    <row r="2027" spans="1:10" x14ac:dyDescent="0.2">
      <c r="A2027" s="84">
        <f t="shared" si="67"/>
        <v>2021</v>
      </c>
      <c r="B2027" s="85" t="e">
        <f>+MATCH(D2027,ARTICULOS!$F$10:$F$699,0)</f>
        <v>#N/A</v>
      </c>
      <c r="C2027" s="86" t="e">
        <f>+VLOOKUP(B2027,ARTICULOS!$D$10:$I$699,6)</f>
        <v>#N/A</v>
      </c>
      <c r="D2027" s="212"/>
      <c r="E2027" s="75" t="e">
        <f t="shared" si="66"/>
        <v>#N/A</v>
      </c>
      <c r="F2027" s="80"/>
      <c r="G2027" s="81"/>
      <c r="H2027" s="78"/>
      <c r="I2027" s="78"/>
      <c r="J2027" s="78"/>
    </row>
    <row r="2028" spans="1:10" x14ac:dyDescent="0.2">
      <c r="A2028" s="84">
        <f t="shared" si="67"/>
        <v>2022</v>
      </c>
      <c r="B2028" s="85" t="e">
        <f>+MATCH(D2028,ARTICULOS!$F$10:$F$699,0)</f>
        <v>#N/A</v>
      </c>
      <c r="C2028" s="86" t="e">
        <f>+VLOOKUP(B2028,ARTICULOS!$D$10:$I$699,6)</f>
        <v>#N/A</v>
      </c>
      <c r="D2028" s="212"/>
      <c r="E2028" s="75" t="e">
        <f t="shared" si="66"/>
        <v>#N/A</v>
      </c>
      <c r="F2028" s="80"/>
      <c r="G2028" s="81"/>
      <c r="H2028" s="78"/>
      <c r="I2028" s="78"/>
      <c r="J2028" s="78"/>
    </row>
    <row r="2029" spans="1:10" x14ac:dyDescent="0.2">
      <c r="A2029" s="84">
        <f t="shared" si="67"/>
        <v>2023</v>
      </c>
      <c r="B2029" s="85" t="e">
        <f>+MATCH(D2029,ARTICULOS!$F$10:$F$699,0)</f>
        <v>#N/A</v>
      </c>
      <c r="C2029" s="86" t="e">
        <f>+VLOOKUP(B2029,ARTICULOS!$D$10:$I$699,6)</f>
        <v>#N/A</v>
      </c>
      <c r="D2029" s="212"/>
      <c r="E2029" s="75" t="e">
        <f t="shared" si="66"/>
        <v>#N/A</v>
      </c>
      <c r="F2029" s="80"/>
      <c r="G2029" s="81"/>
      <c r="H2029" s="78"/>
      <c r="I2029" s="78"/>
      <c r="J2029" s="78"/>
    </row>
    <row r="2030" spans="1:10" x14ac:dyDescent="0.2">
      <c r="A2030" s="84">
        <f t="shared" si="67"/>
        <v>2024</v>
      </c>
      <c r="B2030" s="85" t="e">
        <f>+MATCH(D2030,ARTICULOS!$F$10:$F$699,0)</f>
        <v>#N/A</v>
      </c>
      <c r="C2030" s="86" t="e">
        <f>+VLOOKUP(B2030,ARTICULOS!$D$10:$I$699,6)</f>
        <v>#N/A</v>
      </c>
      <c r="D2030" s="212"/>
      <c r="E2030" s="75" t="e">
        <f t="shared" si="66"/>
        <v>#N/A</v>
      </c>
      <c r="F2030" s="80"/>
      <c r="G2030" s="81"/>
      <c r="H2030" s="78"/>
      <c r="I2030" s="78"/>
      <c r="J2030" s="78"/>
    </row>
    <row r="2031" spans="1:10" x14ac:dyDescent="0.2">
      <c r="A2031" s="84">
        <f t="shared" si="67"/>
        <v>2025</v>
      </c>
      <c r="B2031" s="85" t="e">
        <f>+MATCH(D2031,ARTICULOS!$F$10:$F$699,0)</f>
        <v>#N/A</v>
      </c>
      <c r="C2031" s="86" t="e">
        <f>+VLOOKUP(B2031,ARTICULOS!$D$10:$I$699,6)</f>
        <v>#N/A</v>
      </c>
      <c r="D2031" s="212"/>
      <c r="E2031" s="75" t="e">
        <f t="shared" si="66"/>
        <v>#N/A</v>
      </c>
      <c r="F2031" s="80"/>
      <c r="G2031" s="81"/>
      <c r="H2031" s="78"/>
      <c r="I2031" s="78"/>
      <c r="J2031" s="78"/>
    </row>
    <row r="2032" spans="1:10" x14ac:dyDescent="0.2">
      <c r="A2032" s="84">
        <f t="shared" si="67"/>
        <v>2026</v>
      </c>
      <c r="B2032" s="85" t="e">
        <f>+MATCH(D2032,ARTICULOS!$F$10:$F$699,0)</f>
        <v>#N/A</v>
      </c>
      <c r="C2032" s="86" t="e">
        <f>+VLOOKUP(B2032,ARTICULOS!$D$10:$I$699,6)</f>
        <v>#N/A</v>
      </c>
      <c r="D2032" s="212"/>
      <c r="E2032" s="75" t="e">
        <f t="shared" si="66"/>
        <v>#N/A</v>
      </c>
      <c r="F2032" s="80"/>
      <c r="G2032" s="81"/>
      <c r="H2032" s="78"/>
      <c r="I2032" s="78"/>
      <c r="J2032" s="78"/>
    </row>
    <row r="2033" spans="1:10" x14ac:dyDescent="0.2">
      <c r="A2033" s="84">
        <f t="shared" si="67"/>
        <v>2027</v>
      </c>
      <c r="B2033" s="85" t="e">
        <f>+MATCH(D2033,ARTICULOS!$F$10:$F$699,0)</f>
        <v>#N/A</v>
      </c>
      <c r="C2033" s="86" t="e">
        <f>+VLOOKUP(B2033,ARTICULOS!$D$10:$I$699,6)</f>
        <v>#N/A</v>
      </c>
      <c r="D2033" s="212"/>
      <c r="E2033" s="75" t="e">
        <f t="shared" si="66"/>
        <v>#N/A</v>
      </c>
      <c r="F2033" s="80"/>
      <c r="G2033" s="81"/>
      <c r="H2033" s="78"/>
      <c r="I2033" s="78"/>
      <c r="J2033" s="78"/>
    </row>
    <row r="2034" spans="1:10" x14ac:dyDescent="0.2">
      <c r="A2034" s="84">
        <f t="shared" si="67"/>
        <v>2028</v>
      </c>
      <c r="B2034" s="85" t="e">
        <f>+MATCH(D2034,ARTICULOS!$F$10:$F$699,0)</f>
        <v>#N/A</v>
      </c>
      <c r="C2034" s="86" t="e">
        <f>+VLOOKUP(B2034,ARTICULOS!$D$10:$I$699,6)</f>
        <v>#N/A</v>
      </c>
      <c r="D2034" s="212"/>
      <c r="E2034" s="75" t="e">
        <f t="shared" si="66"/>
        <v>#N/A</v>
      </c>
      <c r="F2034" s="80"/>
      <c r="G2034" s="81"/>
      <c r="H2034" s="78"/>
      <c r="I2034" s="78"/>
      <c r="J2034" s="78"/>
    </row>
    <row r="2035" spans="1:10" x14ac:dyDescent="0.2">
      <c r="A2035" s="84">
        <f t="shared" si="67"/>
        <v>2029</v>
      </c>
      <c r="B2035" s="85" t="e">
        <f>+MATCH(D2035,ARTICULOS!$F$10:$F$699,0)</f>
        <v>#N/A</v>
      </c>
      <c r="C2035" s="86" t="e">
        <f>+VLOOKUP(B2035,ARTICULOS!$D$10:$I$699,6)</f>
        <v>#N/A</v>
      </c>
      <c r="D2035" s="212"/>
      <c r="E2035" s="75" t="e">
        <f t="shared" si="66"/>
        <v>#N/A</v>
      </c>
      <c r="F2035" s="80"/>
      <c r="G2035" s="81"/>
      <c r="H2035" s="78"/>
      <c r="I2035" s="78"/>
      <c r="J2035" s="78"/>
    </row>
    <row r="2036" spans="1:10" x14ac:dyDescent="0.2">
      <c r="A2036" s="84">
        <f t="shared" si="67"/>
        <v>2030</v>
      </c>
      <c r="B2036" s="85" t="e">
        <f>+MATCH(D2036,ARTICULOS!$F$10:$F$699,0)</f>
        <v>#N/A</v>
      </c>
      <c r="C2036" s="86" t="e">
        <f>+VLOOKUP(B2036,ARTICULOS!$D$10:$I$699,6)</f>
        <v>#N/A</v>
      </c>
      <c r="D2036" s="212"/>
      <c r="E2036" s="75" t="e">
        <f t="shared" si="66"/>
        <v>#N/A</v>
      </c>
      <c r="F2036" s="80"/>
      <c r="G2036" s="81"/>
      <c r="H2036" s="78"/>
      <c r="I2036" s="78"/>
      <c r="J2036" s="78"/>
    </row>
    <row r="2037" spans="1:10" x14ac:dyDescent="0.2">
      <c r="A2037" s="84">
        <f t="shared" si="67"/>
        <v>2031</v>
      </c>
      <c r="B2037" s="85" t="e">
        <f>+MATCH(D2037,ARTICULOS!$F$10:$F$699,0)</f>
        <v>#N/A</v>
      </c>
      <c r="C2037" s="86" t="e">
        <f>+VLOOKUP(B2037,ARTICULOS!$D$10:$I$699,6)</f>
        <v>#N/A</v>
      </c>
      <c r="D2037" s="212"/>
      <c r="E2037" s="75" t="e">
        <f t="shared" si="66"/>
        <v>#N/A</v>
      </c>
      <c r="F2037" s="80"/>
      <c r="G2037" s="81"/>
      <c r="H2037" s="78"/>
      <c r="I2037" s="78"/>
      <c r="J2037" s="78"/>
    </row>
    <row r="2038" spans="1:10" x14ac:dyDescent="0.2">
      <c r="A2038" s="84">
        <f t="shared" si="67"/>
        <v>2032</v>
      </c>
      <c r="B2038" s="85" t="e">
        <f>+MATCH(D2038,ARTICULOS!$F$10:$F$699,0)</f>
        <v>#N/A</v>
      </c>
      <c r="C2038" s="86" t="e">
        <f>+VLOOKUP(B2038,ARTICULOS!$D$10:$I$699,6)</f>
        <v>#N/A</v>
      </c>
      <c r="D2038" s="212"/>
      <c r="E2038" s="75" t="e">
        <f t="shared" si="66"/>
        <v>#N/A</v>
      </c>
      <c r="F2038" s="80"/>
      <c r="G2038" s="81"/>
      <c r="H2038" s="78"/>
      <c r="I2038" s="78"/>
      <c r="J2038" s="78"/>
    </row>
    <row r="2039" spans="1:10" x14ac:dyDescent="0.2">
      <c r="A2039" s="84">
        <f t="shared" si="67"/>
        <v>2033</v>
      </c>
      <c r="B2039" s="85" t="e">
        <f>+MATCH(D2039,ARTICULOS!$F$10:$F$699,0)</f>
        <v>#N/A</v>
      </c>
      <c r="C2039" s="86" t="e">
        <f>+VLOOKUP(B2039,ARTICULOS!$D$10:$I$699,6)</f>
        <v>#N/A</v>
      </c>
      <c r="D2039" s="212"/>
      <c r="E2039" s="75" t="e">
        <f t="shared" si="66"/>
        <v>#N/A</v>
      </c>
      <c r="F2039" s="80"/>
      <c r="G2039" s="81"/>
      <c r="H2039" s="78"/>
      <c r="I2039" s="78"/>
      <c r="J2039" s="78"/>
    </row>
    <row r="2040" spans="1:10" x14ac:dyDescent="0.2">
      <c r="A2040" s="84">
        <f t="shared" si="67"/>
        <v>2034</v>
      </c>
      <c r="B2040" s="85" t="e">
        <f>+MATCH(D2040,ARTICULOS!$F$10:$F$699,0)</f>
        <v>#N/A</v>
      </c>
      <c r="C2040" s="86" t="e">
        <f>+VLOOKUP(B2040,ARTICULOS!$D$10:$I$699,6)</f>
        <v>#N/A</v>
      </c>
      <c r="D2040" s="212"/>
      <c r="E2040" s="75" t="e">
        <f t="shared" si="66"/>
        <v>#N/A</v>
      </c>
      <c r="F2040" s="80"/>
      <c r="G2040" s="81"/>
      <c r="H2040" s="78"/>
      <c r="I2040" s="78"/>
      <c r="J2040" s="78"/>
    </row>
    <row r="2041" spans="1:10" x14ac:dyDescent="0.2">
      <c r="A2041" s="84">
        <f t="shared" si="67"/>
        <v>2035</v>
      </c>
      <c r="B2041" s="85" t="e">
        <f>+MATCH(D2041,ARTICULOS!$F$10:$F$699,0)</f>
        <v>#N/A</v>
      </c>
      <c r="C2041" s="86" t="e">
        <f>+VLOOKUP(B2041,ARTICULOS!$D$10:$I$699,6)</f>
        <v>#N/A</v>
      </c>
      <c r="D2041" s="212"/>
      <c r="E2041" s="75" t="e">
        <f t="shared" si="66"/>
        <v>#N/A</v>
      </c>
      <c r="F2041" s="80"/>
      <c r="G2041" s="81"/>
      <c r="H2041" s="78"/>
      <c r="I2041" s="78"/>
      <c r="J2041" s="78"/>
    </row>
    <row r="2042" spans="1:10" x14ac:dyDescent="0.2">
      <c r="A2042" s="84">
        <f t="shared" si="67"/>
        <v>2036</v>
      </c>
      <c r="B2042" s="85" t="e">
        <f>+MATCH(D2042,ARTICULOS!$F$10:$F$699,0)</f>
        <v>#N/A</v>
      </c>
      <c r="C2042" s="86" t="e">
        <f>+VLOOKUP(B2042,ARTICULOS!$D$10:$I$699,6)</f>
        <v>#N/A</v>
      </c>
      <c r="D2042" s="212"/>
      <c r="E2042" s="75" t="e">
        <f t="shared" si="66"/>
        <v>#N/A</v>
      </c>
      <c r="F2042" s="80"/>
      <c r="G2042" s="81"/>
      <c r="H2042" s="78"/>
      <c r="I2042" s="78"/>
      <c r="J2042" s="78"/>
    </row>
    <row r="2043" spans="1:10" x14ac:dyDescent="0.2">
      <c r="A2043" s="84">
        <f t="shared" si="67"/>
        <v>2037</v>
      </c>
      <c r="B2043" s="85" t="e">
        <f>+MATCH(D2043,ARTICULOS!$F$10:$F$699,0)</f>
        <v>#N/A</v>
      </c>
      <c r="C2043" s="86" t="e">
        <f>+VLOOKUP(B2043,ARTICULOS!$D$10:$I$699,6)</f>
        <v>#N/A</v>
      </c>
      <c r="D2043" s="212"/>
      <c r="E2043" s="75" t="e">
        <f t="shared" si="66"/>
        <v>#N/A</v>
      </c>
      <c r="F2043" s="80"/>
      <c r="G2043" s="81"/>
      <c r="H2043" s="78"/>
      <c r="I2043" s="78"/>
      <c r="J2043" s="78"/>
    </row>
    <row r="2044" spans="1:10" x14ac:dyDescent="0.2">
      <c r="A2044" s="84">
        <f t="shared" si="67"/>
        <v>2038</v>
      </c>
      <c r="B2044" s="85" t="e">
        <f>+MATCH(D2044,ARTICULOS!$F$10:$F$699,0)</f>
        <v>#N/A</v>
      </c>
      <c r="C2044" s="86" t="e">
        <f>+VLOOKUP(B2044,ARTICULOS!$D$10:$I$699,6)</f>
        <v>#N/A</v>
      </c>
      <c r="D2044" s="212"/>
      <c r="E2044" s="75" t="e">
        <f t="shared" si="66"/>
        <v>#N/A</v>
      </c>
      <c r="F2044" s="80"/>
      <c r="G2044" s="81"/>
      <c r="H2044" s="78"/>
      <c r="I2044" s="78"/>
      <c r="J2044" s="78"/>
    </row>
    <row r="2045" spans="1:10" x14ac:dyDescent="0.2">
      <c r="A2045" s="84">
        <f t="shared" si="67"/>
        <v>2039</v>
      </c>
      <c r="B2045" s="85" t="e">
        <f>+MATCH(D2045,ARTICULOS!$F$10:$F$699,0)</f>
        <v>#N/A</v>
      </c>
      <c r="C2045" s="86" t="e">
        <f>+VLOOKUP(B2045,ARTICULOS!$D$10:$I$699,6)</f>
        <v>#N/A</v>
      </c>
      <c r="D2045" s="212"/>
      <c r="E2045" s="75" t="e">
        <f t="shared" si="66"/>
        <v>#N/A</v>
      </c>
      <c r="F2045" s="80"/>
      <c r="G2045" s="81"/>
      <c r="H2045" s="78"/>
      <c r="I2045" s="78"/>
      <c r="J2045" s="78"/>
    </row>
    <row r="2046" spans="1:10" x14ac:dyDescent="0.2">
      <c r="A2046" s="84">
        <f t="shared" si="67"/>
        <v>2040</v>
      </c>
      <c r="B2046" s="85" t="e">
        <f>+MATCH(D2046,ARTICULOS!$F$10:$F$699,0)</f>
        <v>#N/A</v>
      </c>
      <c r="C2046" s="86" t="e">
        <f>+VLOOKUP(B2046,ARTICULOS!$D$10:$I$699,6)</f>
        <v>#N/A</v>
      </c>
      <c r="D2046" s="212"/>
      <c r="E2046" s="75" t="e">
        <f t="shared" si="66"/>
        <v>#N/A</v>
      </c>
      <c r="F2046" s="80"/>
      <c r="G2046" s="81"/>
      <c r="H2046" s="78"/>
      <c r="I2046" s="78"/>
      <c r="J2046" s="78"/>
    </row>
    <row r="2047" spans="1:10" x14ac:dyDescent="0.2">
      <c r="A2047" s="84">
        <f t="shared" si="67"/>
        <v>2041</v>
      </c>
      <c r="B2047" s="85" t="e">
        <f>+MATCH(D2047,ARTICULOS!$F$10:$F$699,0)</f>
        <v>#N/A</v>
      </c>
      <c r="C2047" s="86" t="e">
        <f>+VLOOKUP(B2047,ARTICULOS!$D$10:$I$699,6)</f>
        <v>#N/A</v>
      </c>
      <c r="D2047" s="212"/>
      <c r="E2047" s="75" t="e">
        <f t="shared" si="66"/>
        <v>#N/A</v>
      </c>
      <c r="F2047" s="80"/>
      <c r="G2047" s="81"/>
      <c r="H2047" s="78"/>
      <c r="I2047" s="78"/>
      <c r="J2047" s="78"/>
    </row>
    <row r="2048" spans="1:10" x14ac:dyDescent="0.2">
      <c r="A2048" s="84">
        <f t="shared" si="67"/>
        <v>2042</v>
      </c>
      <c r="B2048" s="85" t="e">
        <f>+MATCH(D2048,ARTICULOS!$F$10:$F$699,0)</f>
        <v>#N/A</v>
      </c>
      <c r="C2048" s="86" t="e">
        <f>+VLOOKUP(B2048,ARTICULOS!$D$10:$I$699,6)</f>
        <v>#N/A</v>
      </c>
      <c r="D2048" s="212"/>
      <c r="E2048" s="75" t="e">
        <f t="shared" si="66"/>
        <v>#N/A</v>
      </c>
      <c r="F2048" s="80"/>
      <c r="G2048" s="81"/>
      <c r="H2048" s="78"/>
      <c r="I2048" s="78"/>
      <c r="J2048" s="78"/>
    </row>
    <row r="2049" spans="1:10" x14ac:dyDescent="0.2">
      <c r="A2049" s="84">
        <f t="shared" si="67"/>
        <v>2043</v>
      </c>
      <c r="B2049" s="85" t="e">
        <f>+MATCH(D2049,ARTICULOS!$F$10:$F$699,0)</f>
        <v>#N/A</v>
      </c>
      <c r="C2049" s="86" t="e">
        <f>+VLOOKUP(B2049,ARTICULOS!$D$10:$I$699,6)</f>
        <v>#N/A</v>
      </c>
      <c r="D2049" s="212"/>
      <c r="E2049" s="75" t="e">
        <f t="shared" si="66"/>
        <v>#N/A</v>
      </c>
      <c r="F2049" s="80"/>
      <c r="G2049" s="81"/>
      <c r="H2049" s="78"/>
      <c r="I2049" s="78"/>
      <c r="J2049" s="78"/>
    </row>
    <row r="2050" spans="1:10" x14ac:dyDescent="0.2">
      <c r="A2050" s="84">
        <f t="shared" si="67"/>
        <v>2044</v>
      </c>
      <c r="B2050" s="85" t="e">
        <f>+MATCH(D2050,ARTICULOS!$F$10:$F$699,0)</f>
        <v>#N/A</v>
      </c>
      <c r="C2050" s="86" t="e">
        <f>+VLOOKUP(B2050,ARTICULOS!$D$10:$I$699,6)</f>
        <v>#N/A</v>
      </c>
      <c r="D2050" s="212"/>
      <c r="E2050" s="75" t="e">
        <f t="shared" si="66"/>
        <v>#N/A</v>
      </c>
      <c r="F2050" s="80"/>
      <c r="G2050" s="81"/>
      <c r="H2050" s="78"/>
      <c r="I2050" s="78"/>
      <c r="J2050" s="78"/>
    </row>
    <row r="2051" spans="1:10" x14ac:dyDescent="0.2">
      <c r="A2051" s="84">
        <f t="shared" si="67"/>
        <v>2045</v>
      </c>
      <c r="B2051" s="85" t="e">
        <f>+MATCH(D2051,ARTICULOS!$F$10:$F$699,0)</f>
        <v>#N/A</v>
      </c>
      <c r="C2051" s="86" t="e">
        <f>+VLOOKUP(B2051,ARTICULOS!$D$10:$I$699,6)</f>
        <v>#N/A</v>
      </c>
      <c r="D2051" s="212"/>
      <c r="E2051" s="75" t="e">
        <f t="shared" si="66"/>
        <v>#N/A</v>
      </c>
      <c r="F2051" s="80"/>
      <c r="G2051" s="81"/>
      <c r="H2051" s="78"/>
      <c r="I2051" s="78"/>
      <c r="J2051" s="78"/>
    </row>
    <row r="2052" spans="1:10" x14ac:dyDescent="0.2">
      <c r="A2052" s="84">
        <f t="shared" si="67"/>
        <v>2046</v>
      </c>
      <c r="B2052" s="85" t="e">
        <f>+MATCH(D2052,ARTICULOS!$F$10:$F$699,0)</f>
        <v>#N/A</v>
      </c>
      <c r="C2052" s="86" t="e">
        <f>+VLOOKUP(B2052,ARTICULOS!$D$10:$I$699,6)</f>
        <v>#N/A</v>
      </c>
      <c r="D2052" s="212"/>
      <c r="E2052" s="75" t="e">
        <f t="shared" si="66"/>
        <v>#N/A</v>
      </c>
      <c r="F2052" s="80"/>
      <c r="G2052" s="81"/>
      <c r="H2052" s="78"/>
      <c r="I2052" s="78"/>
      <c r="J2052" s="78"/>
    </row>
    <row r="2053" spans="1:10" x14ac:dyDescent="0.2">
      <c r="A2053" s="84">
        <f t="shared" si="67"/>
        <v>2047</v>
      </c>
      <c r="B2053" s="85" t="e">
        <f>+MATCH(D2053,ARTICULOS!$F$10:$F$699,0)</f>
        <v>#N/A</v>
      </c>
      <c r="C2053" s="86" t="e">
        <f>+VLOOKUP(B2053,ARTICULOS!$D$10:$I$699,6)</f>
        <v>#N/A</v>
      </c>
      <c r="D2053" s="212"/>
      <c r="E2053" s="75" t="e">
        <f t="shared" si="66"/>
        <v>#N/A</v>
      </c>
      <c r="F2053" s="80"/>
      <c r="G2053" s="81"/>
      <c r="H2053" s="78"/>
      <c r="I2053" s="78"/>
      <c r="J2053" s="78"/>
    </row>
    <row r="2054" spans="1:10" x14ac:dyDescent="0.2">
      <c r="A2054" s="84">
        <f t="shared" si="67"/>
        <v>2048</v>
      </c>
      <c r="B2054" s="85" t="e">
        <f>+MATCH(D2054,ARTICULOS!$F$10:$F$699,0)</f>
        <v>#N/A</v>
      </c>
      <c r="C2054" s="86" t="e">
        <f>+VLOOKUP(B2054,ARTICULOS!$D$10:$I$699,6)</f>
        <v>#N/A</v>
      </c>
      <c r="D2054" s="212"/>
      <c r="E2054" s="75" t="e">
        <f t="shared" si="66"/>
        <v>#N/A</v>
      </c>
      <c r="F2054" s="80"/>
      <c r="G2054" s="81"/>
      <c r="H2054" s="78"/>
      <c r="I2054" s="78"/>
      <c r="J2054" s="78"/>
    </row>
    <row r="2055" spans="1:10" x14ac:dyDescent="0.2">
      <c r="A2055" s="84">
        <f t="shared" si="67"/>
        <v>2049</v>
      </c>
      <c r="B2055" s="85" t="e">
        <f>+MATCH(D2055,ARTICULOS!$F$10:$F$699,0)</f>
        <v>#N/A</v>
      </c>
      <c r="C2055" s="86" t="e">
        <f>+VLOOKUP(B2055,ARTICULOS!$D$10:$I$699,6)</f>
        <v>#N/A</v>
      </c>
      <c r="D2055" s="212"/>
      <c r="E2055" s="75" t="e">
        <f t="shared" si="66"/>
        <v>#N/A</v>
      </c>
      <c r="F2055" s="80"/>
      <c r="G2055" s="81"/>
      <c r="H2055" s="78"/>
      <c r="I2055" s="78"/>
      <c r="J2055" s="78"/>
    </row>
    <row r="2056" spans="1:10" x14ac:dyDescent="0.2">
      <c r="A2056" s="84">
        <f t="shared" si="67"/>
        <v>2050</v>
      </c>
      <c r="B2056" s="85" t="e">
        <f>+MATCH(D2056,ARTICULOS!$F$10:$F$699,0)</f>
        <v>#N/A</v>
      </c>
      <c r="C2056" s="86" t="e">
        <f>+VLOOKUP(B2056,ARTICULOS!$D$10:$I$699,6)</f>
        <v>#N/A</v>
      </c>
      <c r="D2056" s="212"/>
      <c r="E2056" s="75" t="e">
        <f t="shared" si="66"/>
        <v>#N/A</v>
      </c>
      <c r="F2056" s="80"/>
      <c r="G2056" s="81"/>
      <c r="H2056" s="78"/>
      <c r="I2056" s="78"/>
      <c r="J2056" s="78"/>
    </row>
    <row r="2057" spans="1:10" x14ac:dyDescent="0.2">
      <c r="A2057" s="84">
        <f t="shared" si="67"/>
        <v>2051</v>
      </c>
      <c r="B2057" s="85" t="e">
        <f>+MATCH(D2057,ARTICULOS!$F$10:$F$699,0)</f>
        <v>#N/A</v>
      </c>
      <c r="C2057" s="86" t="e">
        <f>+VLOOKUP(B2057,ARTICULOS!$D$10:$I$699,6)</f>
        <v>#N/A</v>
      </c>
      <c r="D2057" s="212"/>
      <c r="E2057" s="75" t="e">
        <f t="shared" si="66"/>
        <v>#N/A</v>
      </c>
      <c r="F2057" s="80"/>
      <c r="G2057" s="81"/>
      <c r="H2057" s="78"/>
      <c r="I2057" s="78"/>
      <c r="J2057" s="78"/>
    </row>
    <row r="2058" spans="1:10" x14ac:dyDescent="0.2">
      <c r="A2058" s="84">
        <f t="shared" si="67"/>
        <v>2052</v>
      </c>
      <c r="B2058" s="85" t="e">
        <f>+MATCH(D2058,ARTICULOS!$F$10:$F$699,0)</f>
        <v>#N/A</v>
      </c>
      <c r="C2058" s="86" t="e">
        <f>+VLOOKUP(B2058,ARTICULOS!$D$10:$I$699,6)</f>
        <v>#N/A</v>
      </c>
      <c r="D2058" s="212"/>
      <c r="E2058" s="75" t="e">
        <f t="shared" si="66"/>
        <v>#N/A</v>
      </c>
      <c r="F2058" s="80"/>
      <c r="G2058" s="81"/>
      <c r="H2058" s="78"/>
      <c r="I2058" s="78"/>
      <c r="J2058" s="78"/>
    </row>
    <row r="2059" spans="1:10" x14ac:dyDescent="0.2">
      <c r="A2059" s="84">
        <f t="shared" si="67"/>
        <v>2053</v>
      </c>
      <c r="B2059" s="85" t="e">
        <f>+MATCH(D2059,ARTICULOS!$F$10:$F$699,0)</f>
        <v>#N/A</v>
      </c>
      <c r="C2059" s="86" t="e">
        <f>+VLOOKUP(B2059,ARTICULOS!$D$10:$I$699,6)</f>
        <v>#N/A</v>
      </c>
      <c r="D2059" s="212"/>
      <c r="E2059" s="75" t="e">
        <f t="shared" ref="E2059:E2122" si="68">+C2059&amp;F2059</f>
        <v>#N/A</v>
      </c>
      <c r="F2059" s="80"/>
      <c r="G2059" s="81"/>
      <c r="H2059" s="78"/>
      <c r="I2059" s="78"/>
      <c r="J2059" s="78"/>
    </row>
    <row r="2060" spans="1:10" x14ac:dyDescent="0.2">
      <c r="A2060" s="84">
        <f t="shared" si="67"/>
        <v>2054</v>
      </c>
      <c r="B2060" s="85" t="e">
        <f>+MATCH(D2060,ARTICULOS!$F$10:$F$699,0)</f>
        <v>#N/A</v>
      </c>
      <c r="C2060" s="86" t="e">
        <f>+VLOOKUP(B2060,ARTICULOS!$D$10:$I$699,6)</f>
        <v>#N/A</v>
      </c>
      <c r="D2060" s="212"/>
      <c r="E2060" s="75" t="e">
        <f t="shared" si="68"/>
        <v>#N/A</v>
      </c>
      <c r="F2060" s="80"/>
      <c r="G2060" s="81"/>
      <c r="H2060" s="78"/>
      <c r="I2060" s="78"/>
      <c r="J2060" s="78"/>
    </row>
    <row r="2061" spans="1:10" x14ac:dyDescent="0.2">
      <c r="A2061" s="84">
        <f t="shared" si="67"/>
        <v>2055</v>
      </c>
      <c r="B2061" s="85" t="e">
        <f>+MATCH(D2061,ARTICULOS!$F$10:$F$699,0)</f>
        <v>#N/A</v>
      </c>
      <c r="C2061" s="86" t="e">
        <f>+VLOOKUP(B2061,ARTICULOS!$D$10:$I$699,6)</f>
        <v>#N/A</v>
      </c>
      <c r="D2061" s="212"/>
      <c r="E2061" s="75" t="e">
        <f t="shared" si="68"/>
        <v>#N/A</v>
      </c>
      <c r="F2061" s="80"/>
      <c r="G2061" s="81"/>
      <c r="H2061" s="78"/>
      <c r="I2061" s="78"/>
      <c r="J2061" s="78"/>
    </row>
    <row r="2062" spans="1:10" x14ac:dyDescent="0.2">
      <c r="A2062" s="84">
        <f t="shared" si="67"/>
        <v>2056</v>
      </c>
      <c r="B2062" s="85" t="e">
        <f>+MATCH(D2062,ARTICULOS!$F$10:$F$699,0)</f>
        <v>#N/A</v>
      </c>
      <c r="C2062" s="86" t="e">
        <f>+VLOOKUP(B2062,ARTICULOS!$D$10:$I$699,6)</f>
        <v>#N/A</v>
      </c>
      <c r="D2062" s="212"/>
      <c r="E2062" s="75" t="e">
        <f t="shared" si="68"/>
        <v>#N/A</v>
      </c>
      <c r="F2062" s="80"/>
      <c r="G2062" s="81"/>
      <c r="H2062" s="78"/>
      <c r="I2062" s="78"/>
      <c r="J2062" s="78"/>
    </row>
    <row r="2063" spans="1:10" x14ac:dyDescent="0.2">
      <c r="A2063" s="84">
        <f t="shared" si="67"/>
        <v>2057</v>
      </c>
      <c r="B2063" s="85" t="e">
        <f>+MATCH(D2063,ARTICULOS!$F$10:$F$699,0)</f>
        <v>#N/A</v>
      </c>
      <c r="C2063" s="86" t="e">
        <f>+VLOOKUP(B2063,ARTICULOS!$D$10:$I$699,6)</f>
        <v>#N/A</v>
      </c>
      <c r="D2063" s="212"/>
      <c r="E2063" s="75" t="e">
        <f t="shared" si="68"/>
        <v>#N/A</v>
      </c>
      <c r="F2063" s="80"/>
      <c r="G2063" s="81"/>
      <c r="H2063" s="78"/>
      <c r="I2063" s="78"/>
      <c r="J2063" s="78"/>
    </row>
    <row r="2064" spans="1:10" x14ac:dyDescent="0.2">
      <c r="A2064" s="84">
        <f t="shared" si="67"/>
        <v>2058</v>
      </c>
      <c r="B2064" s="85" t="e">
        <f>+MATCH(D2064,ARTICULOS!$F$10:$F$699,0)</f>
        <v>#N/A</v>
      </c>
      <c r="C2064" s="86" t="e">
        <f>+VLOOKUP(B2064,ARTICULOS!$D$10:$I$699,6)</f>
        <v>#N/A</v>
      </c>
      <c r="D2064" s="212"/>
      <c r="E2064" s="75" t="e">
        <f t="shared" si="68"/>
        <v>#N/A</v>
      </c>
      <c r="F2064" s="80"/>
      <c r="G2064" s="81"/>
      <c r="H2064" s="78"/>
      <c r="I2064" s="78"/>
      <c r="J2064" s="78"/>
    </row>
    <row r="2065" spans="1:10" x14ac:dyDescent="0.2">
      <c r="A2065" s="84">
        <f t="shared" si="67"/>
        <v>2059</v>
      </c>
      <c r="B2065" s="85" t="e">
        <f>+MATCH(D2065,ARTICULOS!$F$10:$F$699,0)</f>
        <v>#N/A</v>
      </c>
      <c r="C2065" s="86" t="e">
        <f>+VLOOKUP(B2065,ARTICULOS!$D$10:$I$699,6)</f>
        <v>#N/A</v>
      </c>
      <c r="D2065" s="212"/>
      <c r="E2065" s="75" t="e">
        <f t="shared" si="68"/>
        <v>#N/A</v>
      </c>
      <c r="F2065" s="80"/>
      <c r="G2065" s="81"/>
      <c r="H2065" s="78"/>
      <c r="I2065" s="78"/>
      <c r="J2065" s="78"/>
    </row>
    <row r="2066" spans="1:10" x14ac:dyDescent="0.2">
      <c r="A2066" s="84">
        <f t="shared" si="67"/>
        <v>2060</v>
      </c>
      <c r="B2066" s="85" t="e">
        <f>+MATCH(D2066,ARTICULOS!$F$10:$F$699,0)</f>
        <v>#N/A</v>
      </c>
      <c r="C2066" s="86" t="e">
        <f>+VLOOKUP(B2066,ARTICULOS!$D$10:$I$699,6)</f>
        <v>#N/A</v>
      </c>
      <c r="D2066" s="212"/>
      <c r="E2066" s="75" t="e">
        <f t="shared" si="68"/>
        <v>#N/A</v>
      </c>
      <c r="F2066" s="80"/>
      <c r="G2066" s="81"/>
      <c r="H2066" s="78"/>
      <c r="I2066" s="78"/>
      <c r="J2066" s="78"/>
    </row>
    <row r="2067" spans="1:10" x14ac:dyDescent="0.2">
      <c r="A2067" s="84">
        <f t="shared" si="67"/>
        <v>2061</v>
      </c>
      <c r="B2067" s="85" t="e">
        <f>+MATCH(D2067,ARTICULOS!$F$10:$F$699,0)</f>
        <v>#N/A</v>
      </c>
      <c r="C2067" s="86" t="e">
        <f>+VLOOKUP(B2067,ARTICULOS!$D$10:$I$699,6)</f>
        <v>#N/A</v>
      </c>
      <c r="D2067" s="212"/>
      <c r="E2067" s="75" t="e">
        <f t="shared" si="68"/>
        <v>#N/A</v>
      </c>
      <c r="F2067" s="80"/>
      <c r="G2067" s="81"/>
      <c r="H2067" s="78"/>
      <c r="I2067" s="78"/>
      <c r="J2067" s="78"/>
    </row>
    <row r="2068" spans="1:10" x14ac:dyDescent="0.2">
      <c r="A2068" s="84">
        <f t="shared" si="67"/>
        <v>2062</v>
      </c>
      <c r="B2068" s="85" t="e">
        <f>+MATCH(D2068,ARTICULOS!$F$10:$F$699,0)</f>
        <v>#N/A</v>
      </c>
      <c r="C2068" s="86" t="e">
        <f>+VLOOKUP(B2068,ARTICULOS!$D$10:$I$699,6)</f>
        <v>#N/A</v>
      </c>
      <c r="D2068" s="212"/>
      <c r="E2068" s="75" t="e">
        <f t="shared" si="68"/>
        <v>#N/A</v>
      </c>
      <c r="F2068" s="80"/>
      <c r="G2068" s="81"/>
      <c r="H2068" s="78"/>
      <c r="I2068" s="78"/>
      <c r="J2068" s="78"/>
    </row>
    <row r="2069" spans="1:10" x14ac:dyDescent="0.2">
      <c r="A2069" s="84">
        <f t="shared" si="67"/>
        <v>2063</v>
      </c>
      <c r="B2069" s="85" t="e">
        <f>+MATCH(D2069,ARTICULOS!$F$10:$F$699,0)</f>
        <v>#N/A</v>
      </c>
      <c r="C2069" s="86" t="e">
        <f>+VLOOKUP(B2069,ARTICULOS!$D$10:$I$699,6)</f>
        <v>#N/A</v>
      </c>
      <c r="D2069" s="212"/>
      <c r="E2069" s="75" t="e">
        <f t="shared" si="68"/>
        <v>#N/A</v>
      </c>
      <c r="F2069" s="80"/>
      <c r="G2069" s="81"/>
      <c r="H2069" s="78"/>
      <c r="I2069" s="78"/>
      <c r="J2069" s="78"/>
    </row>
    <row r="2070" spans="1:10" x14ac:dyDescent="0.2">
      <c r="A2070" s="84">
        <f t="shared" si="67"/>
        <v>2064</v>
      </c>
      <c r="B2070" s="85" t="e">
        <f>+MATCH(D2070,ARTICULOS!$F$10:$F$699,0)</f>
        <v>#N/A</v>
      </c>
      <c r="C2070" s="86" t="e">
        <f>+VLOOKUP(B2070,ARTICULOS!$D$10:$I$699,6)</f>
        <v>#N/A</v>
      </c>
      <c r="D2070" s="212"/>
      <c r="E2070" s="75" t="e">
        <f t="shared" si="68"/>
        <v>#N/A</v>
      </c>
      <c r="F2070" s="80"/>
      <c r="G2070" s="81"/>
      <c r="H2070" s="78"/>
      <c r="I2070" s="78"/>
      <c r="J2070" s="78"/>
    </row>
    <row r="2071" spans="1:10" x14ac:dyDescent="0.2">
      <c r="A2071" s="84">
        <f t="shared" si="67"/>
        <v>2065</v>
      </c>
      <c r="B2071" s="85" t="e">
        <f>+MATCH(D2071,ARTICULOS!$F$10:$F$699,0)</f>
        <v>#N/A</v>
      </c>
      <c r="C2071" s="86" t="e">
        <f>+VLOOKUP(B2071,ARTICULOS!$D$10:$I$699,6)</f>
        <v>#N/A</v>
      </c>
      <c r="D2071" s="212"/>
      <c r="E2071" s="75" t="e">
        <f t="shared" si="68"/>
        <v>#N/A</v>
      </c>
      <c r="F2071" s="80"/>
      <c r="G2071" s="81"/>
      <c r="H2071" s="78"/>
      <c r="I2071" s="78"/>
      <c r="J2071" s="78"/>
    </row>
    <row r="2072" spans="1:10" x14ac:dyDescent="0.2">
      <c r="A2072" s="84">
        <f t="shared" si="67"/>
        <v>2066</v>
      </c>
      <c r="B2072" s="85" t="e">
        <f>+MATCH(D2072,ARTICULOS!$F$10:$F$699,0)</f>
        <v>#N/A</v>
      </c>
      <c r="C2072" s="86" t="e">
        <f>+VLOOKUP(B2072,ARTICULOS!$D$10:$I$699,6)</f>
        <v>#N/A</v>
      </c>
      <c r="D2072" s="212"/>
      <c r="E2072" s="75" t="e">
        <f t="shared" si="68"/>
        <v>#N/A</v>
      </c>
      <c r="F2072" s="80"/>
      <c r="G2072" s="81"/>
      <c r="H2072" s="78"/>
      <c r="I2072" s="78"/>
      <c r="J2072" s="78"/>
    </row>
    <row r="2073" spans="1:10" x14ac:dyDescent="0.2">
      <c r="A2073" s="84">
        <f t="shared" si="67"/>
        <v>2067</v>
      </c>
      <c r="B2073" s="85" t="e">
        <f>+MATCH(D2073,ARTICULOS!$F$10:$F$699,0)</f>
        <v>#N/A</v>
      </c>
      <c r="C2073" s="86" t="e">
        <f>+VLOOKUP(B2073,ARTICULOS!$D$10:$I$699,6)</f>
        <v>#N/A</v>
      </c>
      <c r="D2073" s="212"/>
      <c r="E2073" s="75" t="e">
        <f t="shared" si="68"/>
        <v>#N/A</v>
      </c>
      <c r="F2073" s="80"/>
      <c r="G2073" s="81"/>
      <c r="H2073" s="78"/>
      <c r="I2073" s="78"/>
      <c r="J2073" s="78"/>
    </row>
    <row r="2074" spans="1:10" x14ac:dyDescent="0.2">
      <c r="A2074" s="84">
        <f t="shared" si="67"/>
        <v>2068</v>
      </c>
      <c r="B2074" s="85" t="e">
        <f>+MATCH(D2074,ARTICULOS!$F$10:$F$699,0)</f>
        <v>#N/A</v>
      </c>
      <c r="C2074" s="86" t="e">
        <f>+VLOOKUP(B2074,ARTICULOS!$D$10:$I$699,6)</f>
        <v>#N/A</v>
      </c>
      <c r="D2074" s="212"/>
      <c r="E2074" s="75" t="e">
        <f t="shared" si="68"/>
        <v>#N/A</v>
      </c>
      <c r="F2074" s="80"/>
      <c r="G2074" s="81"/>
      <c r="H2074" s="78"/>
      <c r="I2074" s="78"/>
      <c r="J2074" s="78"/>
    </row>
    <row r="2075" spans="1:10" x14ac:dyDescent="0.2">
      <c r="A2075" s="84">
        <f t="shared" si="67"/>
        <v>2069</v>
      </c>
      <c r="B2075" s="85" t="e">
        <f>+MATCH(D2075,ARTICULOS!$F$10:$F$699,0)</f>
        <v>#N/A</v>
      </c>
      <c r="C2075" s="86" t="e">
        <f>+VLOOKUP(B2075,ARTICULOS!$D$10:$I$699,6)</f>
        <v>#N/A</v>
      </c>
      <c r="D2075" s="212"/>
      <c r="E2075" s="75" t="e">
        <f t="shared" si="68"/>
        <v>#N/A</v>
      </c>
      <c r="F2075" s="80"/>
      <c r="G2075" s="81"/>
      <c r="H2075" s="78"/>
      <c r="I2075" s="78"/>
      <c r="J2075" s="78"/>
    </row>
    <row r="2076" spans="1:10" x14ac:dyDescent="0.2">
      <c r="A2076" s="84">
        <f t="shared" si="67"/>
        <v>2070</v>
      </c>
      <c r="B2076" s="85" t="e">
        <f>+MATCH(D2076,ARTICULOS!$F$10:$F$699,0)</f>
        <v>#N/A</v>
      </c>
      <c r="C2076" s="86" t="e">
        <f>+VLOOKUP(B2076,ARTICULOS!$D$10:$I$699,6)</f>
        <v>#N/A</v>
      </c>
      <c r="D2076" s="212"/>
      <c r="E2076" s="75" t="e">
        <f t="shared" si="68"/>
        <v>#N/A</v>
      </c>
      <c r="F2076" s="80"/>
      <c r="G2076" s="81"/>
      <c r="H2076" s="78"/>
      <c r="I2076" s="78"/>
      <c r="J2076" s="78"/>
    </row>
    <row r="2077" spans="1:10" x14ac:dyDescent="0.2">
      <c r="A2077" s="84">
        <f t="shared" si="67"/>
        <v>2071</v>
      </c>
      <c r="B2077" s="85" t="e">
        <f>+MATCH(D2077,ARTICULOS!$F$10:$F$699,0)</f>
        <v>#N/A</v>
      </c>
      <c r="C2077" s="86" t="e">
        <f>+VLOOKUP(B2077,ARTICULOS!$D$10:$I$699,6)</f>
        <v>#N/A</v>
      </c>
      <c r="D2077" s="212"/>
      <c r="E2077" s="75" t="e">
        <f t="shared" si="68"/>
        <v>#N/A</v>
      </c>
      <c r="F2077" s="80"/>
      <c r="G2077" s="81"/>
      <c r="H2077" s="78"/>
      <c r="I2077" s="78"/>
      <c r="J2077" s="78"/>
    </row>
    <row r="2078" spans="1:10" x14ac:dyDescent="0.2">
      <c r="A2078" s="84">
        <f t="shared" si="67"/>
        <v>2072</v>
      </c>
      <c r="B2078" s="85" t="e">
        <f>+MATCH(D2078,ARTICULOS!$F$10:$F$699,0)</f>
        <v>#N/A</v>
      </c>
      <c r="C2078" s="86" t="e">
        <f>+VLOOKUP(B2078,ARTICULOS!$D$10:$I$699,6)</f>
        <v>#N/A</v>
      </c>
      <c r="D2078" s="212"/>
      <c r="E2078" s="75" t="e">
        <f t="shared" si="68"/>
        <v>#N/A</v>
      </c>
      <c r="F2078" s="80"/>
      <c r="G2078" s="81"/>
      <c r="H2078" s="78"/>
      <c r="I2078" s="78"/>
      <c r="J2078" s="78"/>
    </row>
    <row r="2079" spans="1:10" x14ac:dyDescent="0.2">
      <c r="A2079" s="84">
        <f t="shared" si="67"/>
        <v>2073</v>
      </c>
      <c r="B2079" s="85" t="e">
        <f>+MATCH(D2079,ARTICULOS!$F$10:$F$699,0)</f>
        <v>#N/A</v>
      </c>
      <c r="C2079" s="86" t="e">
        <f>+VLOOKUP(B2079,ARTICULOS!$D$10:$I$699,6)</f>
        <v>#N/A</v>
      </c>
      <c r="D2079" s="212"/>
      <c r="E2079" s="75" t="e">
        <f t="shared" si="68"/>
        <v>#N/A</v>
      </c>
      <c r="F2079" s="80"/>
      <c r="G2079" s="81"/>
      <c r="H2079" s="78"/>
      <c r="I2079" s="78"/>
      <c r="J2079" s="78"/>
    </row>
    <row r="2080" spans="1:10" x14ac:dyDescent="0.2">
      <c r="A2080" s="84">
        <f t="shared" si="67"/>
        <v>2074</v>
      </c>
      <c r="B2080" s="85" t="e">
        <f>+MATCH(D2080,ARTICULOS!$F$10:$F$699,0)</f>
        <v>#N/A</v>
      </c>
      <c r="C2080" s="86" t="e">
        <f>+VLOOKUP(B2080,ARTICULOS!$D$10:$I$699,6)</f>
        <v>#N/A</v>
      </c>
      <c r="D2080" s="212"/>
      <c r="E2080" s="75" t="e">
        <f t="shared" si="68"/>
        <v>#N/A</v>
      </c>
      <c r="F2080" s="80"/>
      <c r="G2080" s="81"/>
      <c r="H2080" s="78"/>
      <c r="I2080" s="78"/>
      <c r="J2080" s="78"/>
    </row>
    <row r="2081" spans="1:10" x14ac:dyDescent="0.2">
      <c r="A2081" s="84">
        <f t="shared" si="67"/>
        <v>2075</v>
      </c>
      <c r="B2081" s="85" t="e">
        <f>+MATCH(D2081,ARTICULOS!$F$10:$F$699,0)</f>
        <v>#N/A</v>
      </c>
      <c r="C2081" s="86" t="e">
        <f>+VLOOKUP(B2081,ARTICULOS!$D$10:$I$699,6)</f>
        <v>#N/A</v>
      </c>
      <c r="D2081" s="212"/>
      <c r="E2081" s="75" t="e">
        <f t="shared" si="68"/>
        <v>#N/A</v>
      </c>
      <c r="F2081" s="80"/>
      <c r="G2081" s="81"/>
      <c r="H2081" s="78"/>
      <c r="I2081" s="78"/>
      <c r="J2081" s="78"/>
    </row>
    <row r="2082" spans="1:10" x14ac:dyDescent="0.2">
      <c r="A2082" s="84">
        <f t="shared" si="67"/>
        <v>2076</v>
      </c>
      <c r="B2082" s="85" t="e">
        <f>+MATCH(D2082,ARTICULOS!$F$10:$F$699,0)</f>
        <v>#N/A</v>
      </c>
      <c r="C2082" s="86" t="e">
        <f>+VLOOKUP(B2082,ARTICULOS!$D$10:$I$699,6)</f>
        <v>#N/A</v>
      </c>
      <c r="D2082" s="212"/>
      <c r="E2082" s="75" t="e">
        <f t="shared" si="68"/>
        <v>#N/A</v>
      </c>
      <c r="F2082" s="80"/>
      <c r="G2082" s="81"/>
      <c r="H2082" s="78"/>
      <c r="I2082" s="78"/>
      <c r="J2082" s="78"/>
    </row>
    <row r="2083" spans="1:10" x14ac:dyDescent="0.2">
      <c r="A2083" s="84">
        <f t="shared" si="67"/>
        <v>2077</v>
      </c>
      <c r="B2083" s="85" t="e">
        <f>+MATCH(D2083,ARTICULOS!$F$10:$F$699,0)</f>
        <v>#N/A</v>
      </c>
      <c r="C2083" s="86" t="e">
        <f>+VLOOKUP(B2083,ARTICULOS!$D$10:$I$699,6)</f>
        <v>#N/A</v>
      </c>
      <c r="D2083" s="212"/>
      <c r="E2083" s="75" t="e">
        <f t="shared" si="68"/>
        <v>#N/A</v>
      </c>
      <c r="F2083" s="80"/>
      <c r="G2083" s="81"/>
      <c r="H2083" s="78"/>
      <c r="I2083" s="78"/>
      <c r="J2083" s="78"/>
    </row>
    <row r="2084" spans="1:10" x14ac:dyDescent="0.2">
      <c r="A2084" s="84">
        <f t="shared" si="67"/>
        <v>2078</v>
      </c>
      <c r="B2084" s="85" t="e">
        <f>+MATCH(D2084,ARTICULOS!$F$10:$F$699,0)</f>
        <v>#N/A</v>
      </c>
      <c r="C2084" s="86" t="e">
        <f>+VLOOKUP(B2084,ARTICULOS!$D$10:$I$699,6)</f>
        <v>#N/A</v>
      </c>
      <c r="D2084" s="212"/>
      <c r="E2084" s="75" t="e">
        <f t="shared" si="68"/>
        <v>#N/A</v>
      </c>
      <c r="F2084" s="80"/>
      <c r="G2084" s="81"/>
      <c r="H2084" s="78"/>
      <c r="I2084" s="78"/>
      <c r="J2084" s="78"/>
    </row>
    <row r="2085" spans="1:10" x14ac:dyDescent="0.2">
      <c r="A2085" s="84">
        <f t="shared" si="67"/>
        <v>2079</v>
      </c>
      <c r="B2085" s="85" t="e">
        <f>+MATCH(D2085,ARTICULOS!$F$10:$F$699,0)</f>
        <v>#N/A</v>
      </c>
      <c r="C2085" s="86" t="e">
        <f>+VLOOKUP(B2085,ARTICULOS!$D$10:$I$699,6)</f>
        <v>#N/A</v>
      </c>
      <c r="D2085" s="212"/>
      <c r="E2085" s="75" t="e">
        <f t="shared" si="68"/>
        <v>#N/A</v>
      </c>
      <c r="F2085" s="80"/>
      <c r="G2085" s="81"/>
      <c r="H2085" s="78"/>
      <c r="I2085" s="78"/>
      <c r="J2085" s="78"/>
    </row>
    <row r="2086" spans="1:10" x14ac:dyDescent="0.2">
      <c r="A2086" s="84">
        <f t="shared" si="67"/>
        <v>2080</v>
      </c>
      <c r="B2086" s="85" t="e">
        <f>+MATCH(D2086,ARTICULOS!$F$10:$F$699,0)</f>
        <v>#N/A</v>
      </c>
      <c r="C2086" s="86" t="e">
        <f>+VLOOKUP(B2086,ARTICULOS!$D$10:$I$699,6)</f>
        <v>#N/A</v>
      </c>
      <c r="D2086" s="212"/>
      <c r="E2086" s="75" t="e">
        <f t="shared" si="68"/>
        <v>#N/A</v>
      </c>
      <c r="F2086" s="80"/>
      <c r="G2086" s="81"/>
      <c r="H2086" s="78"/>
      <c r="I2086" s="78"/>
      <c r="J2086" s="78"/>
    </row>
    <row r="2087" spans="1:10" x14ac:dyDescent="0.2">
      <c r="A2087" s="84">
        <f t="shared" si="67"/>
        <v>2081</v>
      </c>
      <c r="B2087" s="85" t="e">
        <f>+MATCH(D2087,ARTICULOS!$F$10:$F$699,0)</f>
        <v>#N/A</v>
      </c>
      <c r="C2087" s="86" t="e">
        <f>+VLOOKUP(B2087,ARTICULOS!$D$10:$I$699,6)</f>
        <v>#N/A</v>
      </c>
      <c r="D2087" s="212"/>
      <c r="E2087" s="75" t="e">
        <f t="shared" si="68"/>
        <v>#N/A</v>
      </c>
      <c r="F2087" s="80"/>
      <c r="G2087" s="81"/>
      <c r="H2087" s="78"/>
      <c r="I2087" s="78"/>
      <c r="J2087" s="78"/>
    </row>
    <row r="2088" spans="1:10" x14ac:dyDescent="0.2">
      <c r="A2088" s="84">
        <f t="shared" si="67"/>
        <v>2082</v>
      </c>
      <c r="B2088" s="85" t="e">
        <f>+MATCH(D2088,ARTICULOS!$F$10:$F$699,0)</f>
        <v>#N/A</v>
      </c>
      <c r="C2088" s="86" t="e">
        <f>+VLOOKUP(B2088,ARTICULOS!$D$10:$I$699,6)</f>
        <v>#N/A</v>
      </c>
      <c r="D2088" s="212"/>
      <c r="E2088" s="75" t="e">
        <f t="shared" si="68"/>
        <v>#N/A</v>
      </c>
      <c r="F2088" s="80"/>
      <c r="G2088" s="81"/>
      <c r="H2088" s="78"/>
      <c r="I2088" s="78"/>
      <c r="J2088" s="78"/>
    </row>
    <row r="2089" spans="1:10" x14ac:dyDescent="0.2">
      <c r="A2089" s="84">
        <f t="shared" ref="A2089:A2152" si="69">ROW()-6</f>
        <v>2083</v>
      </c>
      <c r="B2089" s="85" t="e">
        <f>+MATCH(D2089,ARTICULOS!$F$10:$F$699,0)</f>
        <v>#N/A</v>
      </c>
      <c r="C2089" s="86" t="e">
        <f>+VLOOKUP(B2089,ARTICULOS!$D$10:$I$699,6)</f>
        <v>#N/A</v>
      </c>
      <c r="D2089" s="212"/>
      <c r="E2089" s="75" t="e">
        <f t="shared" si="68"/>
        <v>#N/A</v>
      </c>
      <c r="F2089" s="80"/>
      <c r="G2089" s="81"/>
      <c r="H2089" s="78"/>
      <c r="I2089" s="78"/>
      <c r="J2089" s="78"/>
    </row>
    <row r="2090" spans="1:10" x14ac:dyDescent="0.2">
      <c r="A2090" s="84">
        <f t="shared" si="69"/>
        <v>2084</v>
      </c>
      <c r="B2090" s="85" t="e">
        <f>+MATCH(D2090,ARTICULOS!$F$10:$F$699,0)</f>
        <v>#N/A</v>
      </c>
      <c r="C2090" s="86" t="e">
        <f>+VLOOKUP(B2090,ARTICULOS!$D$10:$I$699,6)</f>
        <v>#N/A</v>
      </c>
      <c r="D2090" s="212"/>
      <c r="E2090" s="75" t="e">
        <f t="shared" si="68"/>
        <v>#N/A</v>
      </c>
      <c r="F2090" s="80"/>
      <c r="G2090" s="81"/>
      <c r="H2090" s="78"/>
      <c r="I2090" s="78"/>
      <c r="J2090" s="78"/>
    </row>
    <row r="2091" spans="1:10" x14ac:dyDescent="0.2">
      <c r="A2091" s="84">
        <f t="shared" si="69"/>
        <v>2085</v>
      </c>
      <c r="B2091" s="85" t="e">
        <f>+MATCH(D2091,ARTICULOS!$F$10:$F$699,0)</f>
        <v>#N/A</v>
      </c>
      <c r="C2091" s="86" t="e">
        <f>+VLOOKUP(B2091,ARTICULOS!$D$10:$I$699,6)</f>
        <v>#N/A</v>
      </c>
      <c r="D2091" s="212"/>
      <c r="E2091" s="75" t="e">
        <f t="shared" si="68"/>
        <v>#N/A</v>
      </c>
      <c r="F2091" s="80"/>
      <c r="G2091" s="81"/>
      <c r="H2091" s="78"/>
      <c r="I2091" s="78"/>
      <c r="J2091" s="78"/>
    </row>
    <row r="2092" spans="1:10" x14ac:dyDescent="0.2">
      <c r="A2092" s="84">
        <f t="shared" si="69"/>
        <v>2086</v>
      </c>
      <c r="B2092" s="85" t="e">
        <f>+MATCH(D2092,ARTICULOS!$F$10:$F$699,0)</f>
        <v>#N/A</v>
      </c>
      <c r="C2092" s="86" t="e">
        <f>+VLOOKUP(B2092,ARTICULOS!$D$10:$I$699,6)</f>
        <v>#N/A</v>
      </c>
      <c r="D2092" s="212"/>
      <c r="E2092" s="75" t="e">
        <f t="shared" si="68"/>
        <v>#N/A</v>
      </c>
      <c r="F2092" s="80"/>
      <c r="G2092" s="81"/>
      <c r="H2092" s="78"/>
      <c r="I2092" s="78"/>
      <c r="J2092" s="78"/>
    </row>
    <row r="2093" spans="1:10" x14ac:dyDescent="0.2">
      <c r="A2093" s="84">
        <f t="shared" si="69"/>
        <v>2087</v>
      </c>
      <c r="B2093" s="85" t="e">
        <f>+MATCH(D2093,ARTICULOS!$F$10:$F$699,0)</f>
        <v>#N/A</v>
      </c>
      <c r="C2093" s="86" t="e">
        <f>+VLOOKUP(B2093,ARTICULOS!$D$10:$I$699,6)</f>
        <v>#N/A</v>
      </c>
      <c r="D2093" s="212"/>
      <c r="E2093" s="75" t="e">
        <f t="shared" si="68"/>
        <v>#N/A</v>
      </c>
      <c r="F2093" s="80"/>
      <c r="G2093" s="81"/>
      <c r="H2093" s="78"/>
      <c r="I2093" s="78"/>
      <c r="J2093" s="78"/>
    </row>
    <row r="2094" spans="1:10" x14ac:dyDescent="0.2">
      <c r="A2094" s="84">
        <f t="shared" si="69"/>
        <v>2088</v>
      </c>
      <c r="B2094" s="85" t="e">
        <f>+MATCH(D2094,ARTICULOS!$F$10:$F$699,0)</f>
        <v>#N/A</v>
      </c>
      <c r="C2094" s="86" t="e">
        <f>+VLOOKUP(B2094,ARTICULOS!$D$10:$I$699,6)</f>
        <v>#N/A</v>
      </c>
      <c r="D2094" s="212"/>
      <c r="E2094" s="75" t="e">
        <f t="shared" si="68"/>
        <v>#N/A</v>
      </c>
      <c r="F2094" s="80"/>
      <c r="G2094" s="81"/>
      <c r="H2094" s="78"/>
      <c r="I2094" s="78"/>
      <c r="J2094" s="78"/>
    </row>
    <row r="2095" spans="1:10" x14ac:dyDescent="0.2">
      <c r="A2095" s="84">
        <f t="shared" si="69"/>
        <v>2089</v>
      </c>
      <c r="B2095" s="85" t="e">
        <f>+MATCH(D2095,ARTICULOS!$F$10:$F$699,0)</f>
        <v>#N/A</v>
      </c>
      <c r="C2095" s="86" t="e">
        <f>+VLOOKUP(B2095,ARTICULOS!$D$10:$I$699,6)</f>
        <v>#N/A</v>
      </c>
      <c r="D2095" s="212"/>
      <c r="E2095" s="75" t="e">
        <f t="shared" si="68"/>
        <v>#N/A</v>
      </c>
      <c r="F2095" s="80"/>
      <c r="G2095" s="81"/>
      <c r="H2095" s="78"/>
      <c r="I2095" s="78"/>
      <c r="J2095" s="78"/>
    </row>
    <row r="2096" spans="1:10" x14ac:dyDescent="0.2">
      <c r="A2096" s="84">
        <f t="shared" si="69"/>
        <v>2090</v>
      </c>
      <c r="B2096" s="85" t="e">
        <f>+MATCH(D2096,ARTICULOS!$F$10:$F$699,0)</f>
        <v>#N/A</v>
      </c>
      <c r="C2096" s="86" t="e">
        <f>+VLOOKUP(B2096,ARTICULOS!$D$10:$I$699,6)</f>
        <v>#N/A</v>
      </c>
      <c r="D2096" s="212"/>
      <c r="E2096" s="75" t="e">
        <f t="shared" si="68"/>
        <v>#N/A</v>
      </c>
      <c r="F2096" s="80"/>
      <c r="G2096" s="81"/>
      <c r="H2096" s="78"/>
      <c r="I2096" s="78"/>
      <c r="J2096" s="78"/>
    </row>
    <row r="2097" spans="1:10" x14ac:dyDescent="0.2">
      <c r="A2097" s="84">
        <f t="shared" si="69"/>
        <v>2091</v>
      </c>
      <c r="B2097" s="85" t="e">
        <f>+MATCH(D2097,ARTICULOS!$F$10:$F$699,0)</f>
        <v>#N/A</v>
      </c>
      <c r="C2097" s="86" t="e">
        <f>+VLOOKUP(B2097,ARTICULOS!$D$10:$I$699,6)</f>
        <v>#N/A</v>
      </c>
      <c r="D2097" s="212"/>
      <c r="E2097" s="75" t="e">
        <f t="shared" si="68"/>
        <v>#N/A</v>
      </c>
      <c r="F2097" s="80"/>
      <c r="G2097" s="81"/>
      <c r="H2097" s="78"/>
      <c r="I2097" s="78"/>
      <c r="J2097" s="78"/>
    </row>
    <row r="2098" spans="1:10" x14ac:dyDescent="0.2">
      <c r="A2098" s="84">
        <f t="shared" si="69"/>
        <v>2092</v>
      </c>
      <c r="B2098" s="85" t="e">
        <f>+MATCH(D2098,ARTICULOS!$F$10:$F$699,0)</f>
        <v>#N/A</v>
      </c>
      <c r="C2098" s="86" t="e">
        <f>+VLOOKUP(B2098,ARTICULOS!$D$10:$I$699,6)</f>
        <v>#N/A</v>
      </c>
      <c r="D2098" s="212"/>
      <c r="E2098" s="75" t="e">
        <f t="shared" si="68"/>
        <v>#N/A</v>
      </c>
      <c r="F2098" s="80"/>
      <c r="G2098" s="81"/>
      <c r="H2098" s="78"/>
      <c r="I2098" s="78"/>
      <c r="J2098" s="78"/>
    </row>
    <row r="2099" spans="1:10" x14ac:dyDescent="0.2">
      <c r="A2099" s="84">
        <f t="shared" si="69"/>
        <v>2093</v>
      </c>
      <c r="B2099" s="85" t="e">
        <f>+MATCH(D2099,ARTICULOS!$F$10:$F$699,0)</f>
        <v>#N/A</v>
      </c>
      <c r="C2099" s="86" t="e">
        <f>+VLOOKUP(B2099,ARTICULOS!$D$10:$I$699,6)</f>
        <v>#N/A</v>
      </c>
      <c r="D2099" s="212"/>
      <c r="E2099" s="75" t="e">
        <f t="shared" si="68"/>
        <v>#N/A</v>
      </c>
      <c r="F2099" s="80"/>
      <c r="G2099" s="81"/>
      <c r="H2099" s="78"/>
      <c r="I2099" s="78"/>
      <c r="J2099" s="78"/>
    </row>
    <row r="2100" spans="1:10" x14ac:dyDescent="0.2">
      <c r="A2100" s="84">
        <f t="shared" si="69"/>
        <v>2094</v>
      </c>
      <c r="B2100" s="85" t="e">
        <f>+MATCH(D2100,ARTICULOS!$F$10:$F$699,0)</f>
        <v>#N/A</v>
      </c>
      <c r="C2100" s="86" t="e">
        <f>+VLOOKUP(B2100,ARTICULOS!$D$10:$I$699,6)</f>
        <v>#N/A</v>
      </c>
      <c r="D2100" s="212"/>
      <c r="E2100" s="75" t="e">
        <f t="shared" si="68"/>
        <v>#N/A</v>
      </c>
      <c r="F2100" s="80"/>
      <c r="G2100" s="81"/>
      <c r="H2100" s="78"/>
      <c r="I2100" s="78"/>
      <c r="J2100" s="78"/>
    </row>
    <row r="2101" spans="1:10" x14ac:dyDescent="0.2">
      <c r="A2101" s="84">
        <f t="shared" si="69"/>
        <v>2095</v>
      </c>
      <c r="B2101" s="85" t="e">
        <f>+MATCH(D2101,ARTICULOS!$F$10:$F$699,0)</f>
        <v>#N/A</v>
      </c>
      <c r="C2101" s="86" t="e">
        <f>+VLOOKUP(B2101,ARTICULOS!$D$10:$I$699,6)</f>
        <v>#N/A</v>
      </c>
      <c r="D2101" s="212"/>
      <c r="E2101" s="75" t="e">
        <f t="shared" si="68"/>
        <v>#N/A</v>
      </c>
      <c r="F2101" s="80"/>
      <c r="G2101" s="81"/>
      <c r="H2101" s="78"/>
      <c r="I2101" s="78"/>
      <c r="J2101" s="78"/>
    </row>
    <row r="2102" spans="1:10" x14ac:dyDescent="0.2">
      <c r="A2102" s="84">
        <f t="shared" si="69"/>
        <v>2096</v>
      </c>
      <c r="B2102" s="85" t="e">
        <f>+MATCH(D2102,ARTICULOS!$F$10:$F$699,0)</f>
        <v>#N/A</v>
      </c>
      <c r="C2102" s="86" t="e">
        <f>+VLOOKUP(B2102,ARTICULOS!$D$10:$I$699,6)</f>
        <v>#N/A</v>
      </c>
      <c r="D2102" s="212"/>
      <c r="E2102" s="75" t="e">
        <f t="shared" si="68"/>
        <v>#N/A</v>
      </c>
      <c r="F2102" s="80"/>
      <c r="G2102" s="81"/>
      <c r="H2102" s="78"/>
      <c r="I2102" s="78"/>
      <c r="J2102" s="78"/>
    </row>
    <row r="2103" spans="1:10" x14ac:dyDescent="0.2">
      <c r="A2103" s="84">
        <f t="shared" si="69"/>
        <v>2097</v>
      </c>
      <c r="B2103" s="85" t="e">
        <f>+MATCH(D2103,ARTICULOS!$F$10:$F$699,0)</f>
        <v>#N/A</v>
      </c>
      <c r="C2103" s="86" t="e">
        <f>+VLOOKUP(B2103,ARTICULOS!$D$10:$I$699,6)</f>
        <v>#N/A</v>
      </c>
      <c r="D2103" s="212"/>
      <c r="E2103" s="75" t="e">
        <f t="shared" si="68"/>
        <v>#N/A</v>
      </c>
      <c r="F2103" s="80"/>
      <c r="G2103" s="81"/>
      <c r="H2103" s="78"/>
      <c r="I2103" s="78"/>
      <c r="J2103" s="78"/>
    </row>
    <row r="2104" spans="1:10" x14ac:dyDescent="0.2">
      <c r="A2104" s="84">
        <f t="shared" si="69"/>
        <v>2098</v>
      </c>
      <c r="B2104" s="85" t="e">
        <f>+MATCH(D2104,ARTICULOS!$F$10:$F$699,0)</f>
        <v>#N/A</v>
      </c>
      <c r="C2104" s="86" t="e">
        <f>+VLOOKUP(B2104,ARTICULOS!$D$10:$I$699,6)</f>
        <v>#N/A</v>
      </c>
      <c r="D2104" s="212"/>
      <c r="E2104" s="75" t="e">
        <f t="shared" si="68"/>
        <v>#N/A</v>
      </c>
      <c r="F2104" s="80"/>
      <c r="G2104" s="81"/>
      <c r="H2104" s="78"/>
      <c r="I2104" s="78"/>
      <c r="J2104" s="78"/>
    </row>
    <row r="2105" spans="1:10" x14ac:dyDescent="0.2">
      <c r="A2105" s="84">
        <f t="shared" si="69"/>
        <v>2099</v>
      </c>
      <c r="B2105" s="85" t="e">
        <f>+MATCH(D2105,ARTICULOS!$F$10:$F$699,0)</f>
        <v>#N/A</v>
      </c>
      <c r="C2105" s="86" t="e">
        <f>+VLOOKUP(B2105,ARTICULOS!$D$10:$I$699,6)</f>
        <v>#N/A</v>
      </c>
      <c r="D2105" s="212"/>
      <c r="E2105" s="75" t="e">
        <f t="shared" si="68"/>
        <v>#N/A</v>
      </c>
      <c r="F2105" s="80"/>
      <c r="G2105" s="81"/>
      <c r="H2105" s="78"/>
      <c r="I2105" s="78"/>
      <c r="J2105" s="78"/>
    </row>
    <row r="2106" spans="1:10" x14ac:dyDescent="0.2">
      <c r="A2106" s="84">
        <f t="shared" si="69"/>
        <v>2100</v>
      </c>
      <c r="B2106" s="85" t="e">
        <f>+MATCH(D2106,ARTICULOS!$F$10:$F$699,0)</f>
        <v>#N/A</v>
      </c>
      <c r="C2106" s="86" t="e">
        <f>+VLOOKUP(B2106,ARTICULOS!$D$10:$I$699,6)</f>
        <v>#N/A</v>
      </c>
      <c r="D2106" s="212"/>
      <c r="E2106" s="75" t="e">
        <f t="shared" si="68"/>
        <v>#N/A</v>
      </c>
      <c r="F2106" s="80"/>
      <c r="G2106" s="81"/>
      <c r="H2106" s="78"/>
      <c r="I2106" s="78"/>
      <c r="J2106" s="78"/>
    </row>
    <row r="2107" spans="1:10" x14ac:dyDescent="0.2">
      <c r="A2107" s="84">
        <f t="shared" si="69"/>
        <v>2101</v>
      </c>
      <c r="B2107" s="85" t="e">
        <f>+MATCH(D2107,ARTICULOS!$F$10:$F$699,0)</f>
        <v>#N/A</v>
      </c>
      <c r="C2107" s="86" t="e">
        <f>+VLOOKUP(B2107,ARTICULOS!$D$10:$I$699,6)</f>
        <v>#N/A</v>
      </c>
      <c r="D2107" s="212"/>
      <c r="E2107" s="75" t="e">
        <f t="shared" si="68"/>
        <v>#N/A</v>
      </c>
      <c r="F2107" s="80"/>
      <c r="G2107" s="81"/>
      <c r="H2107" s="78"/>
      <c r="I2107" s="78"/>
      <c r="J2107" s="78"/>
    </row>
    <row r="2108" spans="1:10" x14ac:dyDescent="0.2">
      <c r="A2108" s="84">
        <f t="shared" si="69"/>
        <v>2102</v>
      </c>
      <c r="B2108" s="85" t="e">
        <f>+MATCH(D2108,ARTICULOS!$F$10:$F$699,0)</f>
        <v>#N/A</v>
      </c>
      <c r="C2108" s="86" t="e">
        <f>+VLOOKUP(B2108,ARTICULOS!$D$10:$I$699,6)</f>
        <v>#N/A</v>
      </c>
      <c r="D2108" s="212"/>
      <c r="E2108" s="75" t="e">
        <f t="shared" si="68"/>
        <v>#N/A</v>
      </c>
      <c r="F2108" s="80"/>
      <c r="G2108" s="81"/>
      <c r="H2108" s="78"/>
      <c r="I2108" s="78"/>
      <c r="J2108" s="78"/>
    </row>
    <row r="2109" spans="1:10" x14ac:dyDescent="0.2">
      <c r="A2109" s="84">
        <f t="shared" si="69"/>
        <v>2103</v>
      </c>
      <c r="B2109" s="85" t="e">
        <f>+MATCH(D2109,ARTICULOS!$F$10:$F$699,0)</f>
        <v>#N/A</v>
      </c>
      <c r="C2109" s="86" t="e">
        <f>+VLOOKUP(B2109,ARTICULOS!$D$10:$I$699,6)</f>
        <v>#N/A</v>
      </c>
      <c r="D2109" s="212"/>
      <c r="E2109" s="75" t="e">
        <f t="shared" si="68"/>
        <v>#N/A</v>
      </c>
      <c r="F2109" s="80"/>
      <c r="G2109" s="81"/>
      <c r="H2109" s="78"/>
      <c r="I2109" s="78"/>
      <c r="J2109" s="78"/>
    </row>
    <row r="2110" spans="1:10" x14ac:dyDescent="0.2">
      <c r="A2110" s="84">
        <f t="shared" si="69"/>
        <v>2104</v>
      </c>
      <c r="B2110" s="85" t="e">
        <f>+MATCH(D2110,ARTICULOS!$F$10:$F$699,0)</f>
        <v>#N/A</v>
      </c>
      <c r="C2110" s="86" t="e">
        <f>+VLOOKUP(B2110,ARTICULOS!$D$10:$I$699,6)</f>
        <v>#N/A</v>
      </c>
      <c r="D2110" s="212"/>
      <c r="E2110" s="75" t="e">
        <f t="shared" si="68"/>
        <v>#N/A</v>
      </c>
      <c r="F2110" s="80"/>
      <c r="G2110" s="81"/>
      <c r="H2110" s="78"/>
      <c r="I2110" s="78"/>
      <c r="J2110" s="78"/>
    </row>
    <row r="2111" spans="1:10" x14ac:dyDescent="0.2">
      <c r="A2111" s="84">
        <f t="shared" si="69"/>
        <v>2105</v>
      </c>
      <c r="B2111" s="85" t="e">
        <f>+MATCH(D2111,ARTICULOS!$F$10:$F$699,0)</f>
        <v>#N/A</v>
      </c>
      <c r="C2111" s="86" t="e">
        <f>+VLOOKUP(B2111,ARTICULOS!$D$10:$I$699,6)</f>
        <v>#N/A</v>
      </c>
      <c r="D2111" s="212"/>
      <c r="E2111" s="75" t="e">
        <f t="shared" si="68"/>
        <v>#N/A</v>
      </c>
      <c r="F2111" s="80"/>
      <c r="G2111" s="81"/>
      <c r="H2111" s="78"/>
      <c r="I2111" s="78"/>
      <c r="J2111" s="78"/>
    </row>
    <row r="2112" spans="1:10" x14ac:dyDescent="0.2">
      <c r="A2112" s="84">
        <f t="shared" si="69"/>
        <v>2106</v>
      </c>
      <c r="B2112" s="85" t="e">
        <f>+MATCH(D2112,ARTICULOS!$F$10:$F$699,0)</f>
        <v>#N/A</v>
      </c>
      <c r="C2112" s="86" t="e">
        <f>+VLOOKUP(B2112,ARTICULOS!$D$10:$I$699,6)</f>
        <v>#N/A</v>
      </c>
      <c r="D2112" s="212"/>
      <c r="E2112" s="75" t="e">
        <f t="shared" si="68"/>
        <v>#N/A</v>
      </c>
      <c r="F2112" s="80"/>
      <c r="G2112" s="81"/>
      <c r="H2112" s="78"/>
      <c r="I2112" s="78"/>
      <c r="J2112" s="78"/>
    </row>
    <row r="2113" spans="1:10" x14ac:dyDescent="0.2">
      <c r="A2113" s="84">
        <f t="shared" si="69"/>
        <v>2107</v>
      </c>
      <c r="B2113" s="85" t="e">
        <f>+MATCH(D2113,ARTICULOS!$F$10:$F$699,0)</f>
        <v>#N/A</v>
      </c>
      <c r="C2113" s="86" t="e">
        <f>+VLOOKUP(B2113,ARTICULOS!$D$10:$I$699,6)</f>
        <v>#N/A</v>
      </c>
      <c r="D2113" s="212"/>
      <c r="E2113" s="75" t="e">
        <f t="shared" si="68"/>
        <v>#N/A</v>
      </c>
      <c r="F2113" s="80"/>
      <c r="G2113" s="81"/>
      <c r="H2113" s="78"/>
      <c r="I2113" s="78"/>
      <c r="J2113" s="78"/>
    </row>
    <row r="2114" spans="1:10" x14ac:dyDescent="0.2">
      <c r="A2114" s="84">
        <f t="shared" si="69"/>
        <v>2108</v>
      </c>
      <c r="B2114" s="85" t="e">
        <f>+MATCH(D2114,ARTICULOS!$F$10:$F$699,0)</f>
        <v>#N/A</v>
      </c>
      <c r="C2114" s="86" t="e">
        <f>+VLOOKUP(B2114,ARTICULOS!$D$10:$I$699,6)</f>
        <v>#N/A</v>
      </c>
      <c r="D2114" s="212"/>
      <c r="E2114" s="75" t="e">
        <f t="shared" si="68"/>
        <v>#N/A</v>
      </c>
      <c r="F2114" s="80"/>
      <c r="G2114" s="81"/>
      <c r="H2114" s="78"/>
      <c r="I2114" s="78"/>
      <c r="J2114" s="78"/>
    </row>
    <row r="2115" spans="1:10" x14ac:dyDescent="0.2">
      <c r="A2115" s="84">
        <f t="shared" si="69"/>
        <v>2109</v>
      </c>
      <c r="B2115" s="85" t="e">
        <f>+MATCH(D2115,ARTICULOS!$F$10:$F$699,0)</f>
        <v>#N/A</v>
      </c>
      <c r="C2115" s="86" t="e">
        <f>+VLOOKUP(B2115,ARTICULOS!$D$10:$I$699,6)</f>
        <v>#N/A</v>
      </c>
      <c r="D2115" s="212"/>
      <c r="E2115" s="75" t="e">
        <f t="shared" si="68"/>
        <v>#N/A</v>
      </c>
      <c r="F2115" s="80"/>
      <c r="G2115" s="81"/>
      <c r="H2115" s="78"/>
      <c r="I2115" s="78"/>
      <c r="J2115" s="78"/>
    </row>
    <row r="2116" spans="1:10" x14ac:dyDescent="0.2">
      <c r="A2116" s="84">
        <f t="shared" si="69"/>
        <v>2110</v>
      </c>
      <c r="B2116" s="85" t="e">
        <f>+MATCH(D2116,ARTICULOS!$F$10:$F$699,0)</f>
        <v>#N/A</v>
      </c>
      <c r="C2116" s="86" t="e">
        <f>+VLOOKUP(B2116,ARTICULOS!$D$10:$I$699,6)</f>
        <v>#N/A</v>
      </c>
      <c r="D2116" s="212"/>
      <c r="E2116" s="75" t="e">
        <f t="shared" si="68"/>
        <v>#N/A</v>
      </c>
      <c r="F2116" s="80"/>
      <c r="G2116" s="81"/>
      <c r="H2116" s="78"/>
      <c r="I2116" s="78"/>
      <c r="J2116" s="78"/>
    </row>
    <row r="2117" spans="1:10" x14ac:dyDescent="0.2">
      <c r="A2117" s="84">
        <f t="shared" si="69"/>
        <v>2111</v>
      </c>
      <c r="B2117" s="85" t="e">
        <f>+MATCH(D2117,ARTICULOS!$F$10:$F$699,0)</f>
        <v>#N/A</v>
      </c>
      <c r="C2117" s="86" t="e">
        <f>+VLOOKUP(B2117,ARTICULOS!$D$10:$I$699,6)</f>
        <v>#N/A</v>
      </c>
      <c r="D2117" s="212"/>
      <c r="E2117" s="75" t="e">
        <f t="shared" si="68"/>
        <v>#N/A</v>
      </c>
      <c r="F2117" s="80"/>
      <c r="G2117" s="81"/>
      <c r="H2117" s="78"/>
      <c r="I2117" s="78"/>
      <c r="J2117" s="78"/>
    </row>
    <row r="2118" spans="1:10" x14ac:dyDescent="0.2">
      <c r="A2118" s="84">
        <f t="shared" si="69"/>
        <v>2112</v>
      </c>
      <c r="B2118" s="85" t="e">
        <f>+MATCH(D2118,ARTICULOS!$F$10:$F$699,0)</f>
        <v>#N/A</v>
      </c>
      <c r="C2118" s="86" t="e">
        <f>+VLOOKUP(B2118,ARTICULOS!$D$10:$I$699,6)</f>
        <v>#N/A</v>
      </c>
      <c r="D2118" s="212"/>
      <c r="E2118" s="75" t="e">
        <f t="shared" si="68"/>
        <v>#N/A</v>
      </c>
      <c r="F2118" s="80"/>
      <c r="G2118" s="81"/>
      <c r="H2118" s="78"/>
      <c r="I2118" s="78"/>
      <c r="J2118" s="78"/>
    </row>
    <row r="2119" spans="1:10" x14ac:dyDescent="0.2">
      <c r="A2119" s="84">
        <f t="shared" si="69"/>
        <v>2113</v>
      </c>
      <c r="B2119" s="85" t="e">
        <f>+MATCH(D2119,ARTICULOS!$F$10:$F$699,0)</f>
        <v>#N/A</v>
      </c>
      <c r="C2119" s="86" t="e">
        <f>+VLOOKUP(B2119,ARTICULOS!$D$10:$I$699,6)</f>
        <v>#N/A</v>
      </c>
      <c r="D2119" s="212"/>
      <c r="E2119" s="75" t="e">
        <f t="shared" si="68"/>
        <v>#N/A</v>
      </c>
      <c r="F2119" s="80"/>
      <c r="G2119" s="81"/>
      <c r="H2119" s="78"/>
      <c r="I2119" s="78"/>
      <c r="J2119" s="78"/>
    </row>
    <row r="2120" spans="1:10" x14ac:dyDescent="0.2">
      <c r="A2120" s="84">
        <f t="shared" si="69"/>
        <v>2114</v>
      </c>
      <c r="B2120" s="85" t="e">
        <f>+MATCH(D2120,ARTICULOS!$F$10:$F$699,0)</f>
        <v>#N/A</v>
      </c>
      <c r="C2120" s="86" t="e">
        <f>+VLOOKUP(B2120,ARTICULOS!$D$10:$I$699,6)</f>
        <v>#N/A</v>
      </c>
      <c r="D2120" s="212"/>
      <c r="E2120" s="75" t="e">
        <f t="shared" si="68"/>
        <v>#N/A</v>
      </c>
      <c r="F2120" s="80"/>
      <c r="G2120" s="81"/>
      <c r="H2120" s="78"/>
      <c r="I2120" s="78"/>
      <c r="J2120" s="78"/>
    </row>
    <row r="2121" spans="1:10" x14ac:dyDescent="0.2">
      <c r="A2121" s="84">
        <f t="shared" si="69"/>
        <v>2115</v>
      </c>
      <c r="B2121" s="85" t="e">
        <f>+MATCH(D2121,ARTICULOS!$F$10:$F$699,0)</f>
        <v>#N/A</v>
      </c>
      <c r="C2121" s="86" t="e">
        <f>+VLOOKUP(B2121,ARTICULOS!$D$10:$I$699,6)</f>
        <v>#N/A</v>
      </c>
      <c r="D2121" s="212"/>
      <c r="E2121" s="75" t="e">
        <f t="shared" si="68"/>
        <v>#N/A</v>
      </c>
      <c r="F2121" s="80"/>
      <c r="G2121" s="81"/>
      <c r="H2121" s="78"/>
      <c r="I2121" s="78"/>
      <c r="J2121" s="78"/>
    </row>
    <row r="2122" spans="1:10" x14ac:dyDescent="0.2">
      <c r="A2122" s="84">
        <f t="shared" si="69"/>
        <v>2116</v>
      </c>
      <c r="B2122" s="85" t="e">
        <f>+MATCH(D2122,ARTICULOS!$F$10:$F$699,0)</f>
        <v>#N/A</v>
      </c>
      <c r="C2122" s="86" t="e">
        <f>+VLOOKUP(B2122,ARTICULOS!$D$10:$I$699,6)</f>
        <v>#N/A</v>
      </c>
      <c r="D2122" s="212"/>
      <c r="E2122" s="75" t="e">
        <f t="shared" si="68"/>
        <v>#N/A</v>
      </c>
      <c r="F2122" s="80"/>
      <c r="G2122" s="81"/>
      <c r="H2122" s="78"/>
      <c r="I2122" s="78"/>
      <c r="J2122" s="78"/>
    </row>
    <row r="2123" spans="1:10" x14ac:dyDescent="0.2">
      <c r="A2123" s="84">
        <f t="shared" si="69"/>
        <v>2117</v>
      </c>
      <c r="B2123" s="85" t="e">
        <f>+MATCH(D2123,ARTICULOS!$F$10:$F$699,0)</f>
        <v>#N/A</v>
      </c>
      <c r="C2123" s="86" t="e">
        <f>+VLOOKUP(B2123,ARTICULOS!$D$10:$I$699,6)</f>
        <v>#N/A</v>
      </c>
      <c r="D2123" s="212"/>
      <c r="E2123" s="75" t="e">
        <f t="shared" ref="E2123:E2186" si="70">+C2123&amp;F2123</f>
        <v>#N/A</v>
      </c>
      <c r="F2123" s="80"/>
      <c r="G2123" s="81"/>
      <c r="H2123" s="78"/>
      <c r="I2123" s="78"/>
      <c r="J2123" s="78"/>
    </row>
    <row r="2124" spans="1:10" x14ac:dyDescent="0.2">
      <c r="A2124" s="84">
        <f t="shared" si="69"/>
        <v>2118</v>
      </c>
      <c r="B2124" s="85" t="e">
        <f>+MATCH(D2124,ARTICULOS!$F$10:$F$699,0)</f>
        <v>#N/A</v>
      </c>
      <c r="C2124" s="86" t="e">
        <f>+VLOOKUP(B2124,ARTICULOS!$D$10:$I$699,6)</f>
        <v>#N/A</v>
      </c>
      <c r="D2124" s="212"/>
      <c r="E2124" s="75" t="e">
        <f t="shared" si="70"/>
        <v>#N/A</v>
      </c>
      <c r="F2124" s="80"/>
      <c r="G2124" s="81"/>
      <c r="H2124" s="78"/>
      <c r="I2124" s="78"/>
      <c r="J2124" s="78"/>
    </row>
    <row r="2125" spans="1:10" x14ac:dyDescent="0.2">
      <c r="A2125" s="84">
        <f t="shared" si="69"/>
        <v>2119</v>
      </c>
      <c r="B2125" s="85" t="e">
        <f>+MATCH(D2125,ARTICULOS!$F$10:$F$699,0)</f>
        <v>#N/A</v>
      </c>
      <c r="C2125" s="86" t="e">
        <f>+VLOOKUP(B2125,ARTICULOS!$D$10:$I$699,6)</f>
        <v>#N/A</v>
      </c>
      <c r="D2125" s="212"/>
      <c r="E2125" s="75" t="e">
        <f t="shared" si="70"/>
        <v>#N/A</v>
      </c>
      <c r="F2125" s="80"/>
      <c r="G2125" s="81"/>
      <c r="H2125" s="78"/>
      <c r="I2125" s="78"/>
      <c r="J2125" s="78"/>
    </row>
    <row r="2126" spans="1:10" x14ac:dyDescent="0.2">
      <c r="A2126" s="84">
        <f t="shared" si="69"/>
        <v>2120</v>
      </c>
      <c r="B2126" s="85" t="e">
        <f>+MATCH(D2126,ARTICULOS!$F$10:$F$699,0)</f>
        <v>#N/A</v>
      </c>
      <c r="C2126" s="86" t="e">
        <f>+VLOOKUP(B2126,ARTICULOS!$D$10:$I$699,6)</f>
        <v>#N/A</v>
      </c>
      <c r="D2126" s="212"/>
      <c r="E2126" s="75" t="e">
        <f t="shared" si="70"/>
        <v>#N/A</v>
      </c>
      <c r="F2126" s="80"/>
      <c r="G2126" s="81"/>
      <c r="H2126" s="78"/>
      <c r="I2126" s="78"/>
      <c r="J2126" s="78"/>
    </row>
    <row r="2127" spans="1:10" x14ac:dyDescent="0.2">
      <c r="A2127" s="84">
        <f t="shared" si="69"/>
        <v>2121</v>
      </c>
      <c r="B2127" s="85" t="e">
        <f>+MATCH(D2127,ARTICULOS!$F$10:$F$699,0)</f>
        <v>#N/A</v>
      </c>
      <c r="C2127" s="86" t="e">
        <f>+VLOOKUP(B2127,ARTICULOS!$D$10:$I$699,6)</f>
        <v>#N/A</v>
      </c>
      <c r="D2127" s="212"/>
      <c r="E2127" s="75" t="e">
        <f t="shared" si="70"/>
        <v>#N/A</v>
      </c>
      <c r="F2127" s="80"/>
      <c r="G2127" s="81"/>
      <c r="H2127" s="78"/>
      <c r="I2127" s="78"/>
      <c r="J2127" s="78"/>
    </row>
    <row r="2128" spans="1:10" x14ac:dyDescent="0.2">
      <c r="A2128" s="84">
        <f t="shared" si="69"/>
        <v>2122</v>
      </c>
      <c r="B2128" s="85" t="e">
        <f>+MATCH(D2128,ARTICULOS!$F$10:$F$699,0)</f>
        <v>#N/A</v>
      </c>
      <c r="C2128" s="86" t="e">
        <f>+VLOOKUP(B2128,ARTICULOS!$D$10:$I$699,6)</f>
        <v>#N/A</v>
      </c>
      <c r="D2128" s="212"/>
      <c r="E2128" s="75" t="e">
        <f t="shared" si="70"/>
        <v>#N/A</v>
      </c>
      <c r="F2128" s="80"/>
      <c r="G2128" s="81"/>
      <c r="H2128" s="78"/>
      <c r="I2128" s="78"/>
      <c r="J2128" s="78"/>
    </row>
    <row r="2129" spans="1:10" x14ac:dyDescent="0.2">
      <c r="A2129" s="84">
        <f t="shared" si="69"/>
        <v>2123</v>
      </c>
      <c r="B2129" s="85" t="e">
        <f>+MATCH(D2129,ARTICULOS!$F$10:$F$699,0)</f>
        <v>#N/A</v>
      </c>
      <c r="C2129" s="86" t="e">
        <f>+VLOOKUP(B2129,ARTICULOS!$D$10:$I$699,6)</f>
        <v>#N/A</v>
      </c>
      <c r="D2129" s="212"/>
      <c r="E2129" s="75" t="e">
        <f t="shared" si="70"/>
        <v>#N/A</v>
      </c>
      <c r="F2129" s="80"/>
      <c r="G2129" s="81"/>
      <c r="H2129" s="78"/>
      <c r="I2129" s="78"/>
      <c r="J2129" s="78"/>
    </row>
    <row r="2130" spans="1:10" x14ac:dyDescent="0.2">
      <c r="A2130" s="84">
        <f t="shared" si="69"/>
        <v>2124</v>
      </c>
      <c r="B2130" s="85" t="e">
        <f>+MATCH(D2130,ARTICULOS!$F$10:$F$699,0)</f>
        <v>#N/A</v>
      </c>
      <c r="C2130" s="86" t="e">
        <f>+VLOOKUP(B2130,ARTICULOS!$D$10:$I$699,6)</f>
        <v>#N/A</v>
      </c>
      <c r="D2130" s="212"/>
      <c r="E2130" s="75" t="e">
        <f t="shared" si="70"/>
        <v>#N/A</v>
      </c>
      <c r="F2130" s="80"/>
      <c r="G2130" s="81"/>
      <c r="H2130" s="78"/>
      <c r="I2130" s="78"/>
      <c r="J2130" s="78"/>
    </row>
    <row r="2131" spans="1:10" x14ac:dyDescent="0.2">
      <c r="A2131" s="84">
        <f t="shared" si="69"/>
        <v>2125</v>
      </c>
      <c r="B2131" s="85" t="e">
        <f>+MATCH(D2131,ARTICULOS!$F$10:$F$699,0)</f>
        <v>#N/A</v>
      </c>
      <c r="C2131" s="86" t="e">
        <f>+VLOOKUP(B2131,ARTICULOS!$D$10:$I$699,6)</f>
        <v>#N/A</v>
      </c>
      <c r="D2131" s="212"/>
      <c r="E2131" s="75" t="e">
        <f t="shared" si="70"/>
        <v>#N/A</v>
      </c>
      <c r="F2131" s="80"/>
      <c r="G2131" s="81"/>
      <c r="H2131" s="78"/>
      <c r="I2131" s="78"/>
      <c r="J2131" s="78"/>
    </row>
    <row r="2132" spans="1:10" x14ac:dyDescent="0.2">
      <c r="A2132" s="84">
        <f t="shared" si="69"/>
        <v>2126</v>
      </c>
      <c r="B2132" s="85" t="e">
        <f>+MATCH(D2132,ARTICULOS!$F$10:$F$699,0)</f>
        <v>#N/A</v>
      </c>
      <c r="C2132" s="86" t="e">
        <f>+VLOOKUP(B2132,ARTICULOS!$D$10:$I$699,6)</f>
        <v>#N/A</v>
      </c>
      <c r="D2132" s="212"/>
      <c r="E2132" s="75" t="e">
        <f t="shared" si="70"/>
        <v>#N/A</v>
      </c>
      <c r="F2132" s="80"/>
      <c r="G2132" s="81"/>
      <c r="H2132" s="78"/>
      <c r="I2132" s="78"/>
      <c r="J2132" s="78"/>
    </row>
    <row r="2133" spans="1:10" x14ac:dyDescent="0.2">
      <c r="A2133" s="84">
        <f t="shared" si="69"/>
        <v>2127</v>
      </c>
      <c r="B2133" s="85" t="e">
        <f>+MATCH(D2133,ARTICULOS!$F$10:$F$699,0)</f>
        <v>#N/A</v>
      </c>
      <c r="C2133" s="86" t="e">
        <f>+VLOOKUP(B2133,ARTICULOS!$D$10:$I$699,6)</f>
        <v>#N/A</v>
      </c>
      <c r="D2133" s="212"/>
      <c r="E2133" s="75" t="e">
        <f t="shared" si="70"/>
        <v>#N/A</v>
      </c>
      <c r="F2133" s="80"/>
      <c r="G2133" s="81"/>
      <c r="H2133" s="78"/>
      <c r="I2133" s="78"/>
      <c r="J2133" s="78"/>
    </row>
    <row r="2134" spans="1:10" x14ac:dyDescent="0.2">
      <c r="A2134" s="84">
        <f t="shared" si="69"/>
        <v>2128</v>
      </c>
      <c r="B2134" s="85" t="e">
        <f>+MATCH(D2134,ARTICULOS!$F$10:$F$699,0)</f>
        <v>#N/A</v>
      </c>
      <c r="C2134" s="86" t="e">
        <f>+VLOOKUP(B2134,ARTICULOS!$D$10:$I$699,6)</f>
        <v>#N/A</v>
      </c>
      <c r="D2134" s="212"/>
      <c r="E2134" s="75" t="e">
        <f t="shared" si="70"/>
        <v>#N/A</v>
      </c>
      <c r="F2134" s="80"/>
      <c r="G2134" s="81"/>
      <c r="H2134" s="78"/>
      <c r="I2134" s="78"/>
      <c r="J2134" s="78"/>
    </row>
    <row r="2135" spans="1:10" x14ac:dyDescent="0.2">
      <c r="A2135" s="84">
        <f t="shared" si="69"/>
        <v>2129</v>
      </c>
      <c r="B2135" s="85" t="e">
        <f>+MATCH(D2135,ARTICULOS!$F$10:$F$699,0)</f>
        <v>#N/A</v>
      </c>
      <c r="C2135" s="86" t="e">
        <f>+VLOOKUP(B2135,ARTICULOS!$D$10:$I$699,6)</f>
        <v>#N/A</v>
      </c>
      <c r="D2135" s="212"/>
      <c r="E2135" s="75" t="e">
        <f t="shared" si="70"/>
        <v>#N/A</v>
      </c>
      <c r="F2135" s="80"/>
      <c r="G2135" s="81"/>
      <c r="H2135" s="78"/>
      <c r="I2135" s="78"/>
      <c r="J2135" s="78"/>
    </row>
    <row r="2136" spans="1:10" x14ac:dyDescent="0.2">
      <c r="A2136" s="84">
        <f t="shared" si="69"/>
        <v>2130</v>
      </c>
      <c r="B2136" s="85" t="e">
        <f>+MATCH(D2136,ARTICULOS!$F$10:$F$699,0)</f>
        <v>#N/A</v>
      </c>
      <c r="C2136" s="86" t="e">
        <f>+VLOOKUP(B2136,ARTICULOS!$D$10:$I$699,6)</f>
        <v>#N/A</v>
      </c>
      <c r="D2136" s="212"/>
      <c r="E2136" s="75" t="e">
        <f t="shared" si="70"/>
        <v>#N/A</v>
      </c>
      <c r="F2136" s="80"/>
      <c r="G2136" s="81"/>
      <c r="H2136" s="78"/>
      <c r="I2136" s="78"/>
      <c r="J2136" s="78"/>
    </row>
    <row r="2137" spans="1:10" x14ac:dyDescent="0.2">
      <c r="A2137" s="84">
        <f t="shared" si="69"/>
        <v>2131</v>
      </c>
      <c r="B2137" s="85" t="e">
        <f>+MATCH(D2137,ARTICULOS!$F$10:$F$699,0)</f>
        <v>#N/A</v>
      </c>
      <c r="C2137" s="86" t="e">
        <f>+VLOOKUP(B2137,ARTICULOS!$D$10:$I$699,6)</f>
        <v>#N/A</v>
      </c>
      <c r="D2137" s="212"/>
      <c r="E2137" s="75" t="e">
        <f t="shared" si="70"/>
        <v>#N/A</v>
      </c>
      <c r="F2137" s="80"/>
      <c r="G2137" s="81"/>
      <c r="H2137" s="78"/>
      <c r="I2137" s="78"/>
      <c r="J2137" s="78"/>
    </row>
    <row r="2138" spans="1:10" x14ac:dyDescent="0.2">
      <c r="A2138" s="84">
        <f t="shared" si="69"/>
        <v>2132</v>
      </c>
      <c r="B2138" s="85" t="e">
        <f>+MATCH(D2138,ARTICULOS!$F$10:$F$699,0)</f>
        <v>#N/A</v>
      </c>
      <c r="C2138" s="86" t="e">
        <f>+VLOOKUP(B2138,ARTICULOS!$D$10:$I$699,6)</f>
        <v>#N/A</v>
      </c>
      <c r="D2138" s="212"/>
      <c r="E2138" s="75" t="e">
        <f t="shared" si="70"/>
        <v>#N/A</v>
      </c>
      <c r="F2138" s="80"/>
      <c r="G2138" s="81"/>
      <c r="H2138" s="78"/>
      <c r="I2138" s="78"/>
      <c r="J2138" s="78"/>
    </row>
    <row r="2139" spans="1:10" x14ac:dyDescent="0.2">
      <c r="A2139" s="84">
        <f t="shared" si="69"/>
        <v>2133</v>
      </c>
      <c r="B2139" s="85" t="e">
        <f>+MATCH(D2139,ARTICULOS!$F$10:$F$699,0)</f>
        <v>#N/A</v>
      </c>
      <c r="C2139" s="86" t="e">
        <f>+VLOOKUP(B2139,ARTICULOS!$D$10:$I$699,6)</f>
        <v>#N/A</v>
      </c>
      <c r="D2139" s="212"/>
      <c r="E2139" s="75" t="e">
        <f t="shared" si="70"/>
        <v>#N/A</v>
      </c>
      <c r="F2139" s="80"/>
      <c r="G2139" s="81"/>
      <c r="H2139" s="78"/>
      <c r="I2139" s="78"/>
      <c r="J2139" s="78"/>
    </row>
    <row r="2140" spans="1:10" x14ac:dyDescent="0.2">
      <c r="A2140" s="84">
        <f t="shared" si="69"/>
        <v>2134</v>
      </c>
      <c r="B2140" s="85" t="e">
        <f>+MATCH(D2140,ARTICULOS!$F$10:$F$699,0)</f>
        <v>#N/A</v>
      </c>
      <c r="C2140" s="86" t="e">
        <f>+VLOOKUP(B2140,ARTICULOS!$D$10:$I$699,6)</f>
        <v>#N/A</v>
      </c>
      <c r="D2140" s="212"/>
      <c r="E2140" s="75" t="e">
        <f t="shared" si="70"/>
        <v>#N/A</v>
      </c>
      <c r="F2140" s="80"/>
      <c r="G2140" s="81"/>
      <c r="H2140" s="78"/>
      <c r="I2140" s="78"/>
      <c r="J2140" s="78"/>
    </row>
    <row r="2141" spans="1:10" x14ac:dyDescent="0.2">
      <c r="A2141" s="84">
        <f t="shared" si="69"/>
        <v>2135</v>
      </c>
      <c r="B2141" s="85" t="e">
        <f>+MATCH(D2141,ARTICULOS!$F$10:$F$699,0)</f>
        <v>#N/A</v>
      </c>
      <c r="C2141" s="86" t="e">
        <f>+VLOOKUP(B2141,ARTICULOS!$D$10:$I$699,6)</f>
        <v>#N/A</v>
      </c>
      <c r="D2141" s="212"/>
      <c r="E2141" s="75" t="e">
        <f t="shared" si="70"/>
        <v>#N/A</v>
      </c>
      <c r="F2141" s="80"/>
      <c r="G2141" s="81"/>
      <c r="H2141" s="78"/>
      <c r="I2141" s="78"/>
      <c r="J2141" s="78"/>
    </row>
    <row r="2142" spans="1:10" x14ac:dyDescent="0.2">
      <c r="A2142" s="84">
        <f t="shared" si="69"/>
        <v>2136</v>
      </c>
      <c r="B2142" s="85" t="e">
        <f>+MATCH(D2142,ARTICULOS!$F$10:$F$699,0)</f>
        <v>#N/A</v>
      </c>
      <c r="C2142" s="86" t="e">
        <f>+VLOOKUP(B2142,ARTICULOS!$D$10:$I$699,6)</f>
        <v>#N/A</v>
      </c>
      <c r="D2142" s="212"/>
      <c r="E2142" s="75" t="e">
        <f t="shared" si="70"/>
        <v>#N/A</v>
      </c>
      <c r="F2142" s="80"/>
      <c r="G2142" s="81"/>
      <c r="H2142" s="78"/>
      <c r="I2142" s="78"/>
      <c r="J2142" s="78"/>
    </row>
    <row r="2143" spans="1:10" x14ac:dyDescent="0.2">
      <c r="A2143" s="84">
        <f t="shared" si="69"/>
        <v>2137</v>
      </c>
      <c r="B2143" s="85" t="e">
        <f>+MATCH(D2143,ARTICULOS!$F$10:$F$699,0)</f>
        <v>#N/A</v>
      </c>
      <c r="C2143" s="86" t="e">
        <f>+VLOOKUP(B2143,ARTICULOS!$D$10:$I$699,6)</f>
        <v>#N/A</v>
      </c>
      <c r="D2143" s="212"/>
      <c r="E2143" s="75" t="e">
        <f t="shared" si="70"/>
        <v>#N/A</v>
      </c>
      <c r="F2143" s="80"/>
      <c r="G2143" s="81"/>
      <c r="H2143" s="78"/>
      <c r="I2143" s="78"/>
      <c r="J2143" s="78"/>
    </row>
    <row r="2144" spans="1:10" x14ac:dyDescent="0.2">
      <c r="A2144" s="84">
        <f t="shared" si="69"/>
        <v>2138</v>
      </c>
      <c r="B2144" s="85" t="e">
        <f>+MATCH(D2144,ARTICULOS!$F$10:$F$699,0)</f>
        <v>#N/A</v>
      </c>
      <c r="C2144" s="86" t="e">
        <f>+VLOOKUP(B2144,ARTICULOS!$D$10:$I$699,6)</f>
        <v>#N/A</v>
      </c>
      <c r="D2144" s="212"/>
      <c r="E2144" s="75" t="e">
        <f t="shared" si="70"/>
        <v>#N/A</v>
      </c>
      <c r="F2144" s="80"/>
      <c r="G2144" s="81"/>
      <c r="H2144" s="78"/>
      <c r="I2144" s="78"/>
      <c r="J2144" s="78"/>
    </row>
    <row r="2145" spans="1:10" x14ac:dyDescent="0.2">
      <c r="A2145" s="84">
        <f t="shared" si="69"/>
        <v>2139</v>
      </c>
      <c r="B2145" s="85" t="e">
        <f>+MATCH(D2145,ARTICULOS!$F$10:$F$699,0)</f>
        <v>#N/A</v>
      </c>
      <c r="C2145" s="86" t="e">
        <f>+VLOOKUP(B2145,ARTICULOS!$D$10:$I$699,6)</f>
        <v>#N/A</v>
      </c>
      <c r="D2145" s="212"/>
      <c r="E2145" s="75" t="e">
        <f t="shared" si="70"/>
        <v>#N/A</v>
      </c>
      <c r="F2145" s="80"/>
      <c r="G2145" s="81"/>
      <c r="H2145" s="78"/>
      <c r="I2145" s="78"/>
      <c r="J2145" s="78"/>
    </row>
    <row r="2146" spans="1:10" x14ac:dyDescent="0.2">
      <c r="A2146" s="84">
        <f t="shared" si="69"/>
        <v>2140</v>
      </c>
      <c r="B2146" s="85" t="e">
        <f>+MATCH(D2146,ARTICULOS!$F$10:$F$699,0)</f>
        <v>#N/A</v>
      </c>
      <c r="C2146" s="86" t="e">
        <f>+VLOOKUP(B2146,ARTICULOS!$D$10:$I$699,6)</f>
        <v>#N/A</v>
      </c>
      <c r="D2146" s="212"/>
      <c r="E2146" s="75" t="e">
        <f t="shared" si="70"/>
        <v>#N/A</v>
      </c>
      <c r="F2146" s="80"/>
      <c r="G2146" s="81"/>
      <c r="H2146" s="78"/>
      <c r="I2146" s="78"/>
      <c r="J2146" s="78"/>
    </row>
    <row r="2147" spans="1:10" x14ac:dyDescent="0.2">
      <c r="A2147" s="84">
        <f t="shared" si="69"/>
        <v>2141</v>
      </c>
      <c r="B2147" s="85" t="e">
        <f>+MATCH(D2147,ARTICULOS!$F$10:$F$699,0)</f>
        <v>#N/A</v>
      </c>
      <c r="C2147" s="86" t="e">
        <f>+VLOOKUP(B2147,ARTICULOS!$D$10:$I$699,6)</f>
        <v>#N/A</v>
      </c>
      <c r="D2147" s="212"/>
      <c r="E2147" s="75" t="e">
        <f t="shared" si="70"/>
        <v>#N/A</v>
      </c>
      <c r="F2147" s="80"/>
      <c r="G2147" s="81"/>
      <c r="H2147" s="78"/>
      <c r="I2147" s="78"/>
      <c r="J2147" s="78"/>
    </row>
    <row r="2148" spans="1:10" x14ac:dyDescent="0.2">
      <c r="A2148" s="84">
        <f t="shared" si="69"/>
        <v>2142</v>
      </c>
      <c r="B2148" s="85" t="e">
        <f>+MATCH(D2148,ARTICULOS!$F$10:$F$699,0)</f>
        <v>#N/A</v>
      </c>
      <c r="C2148" s="86" t="e">
        <f>+VLOOKUP(B2148,ARTICULOS!$D$10:$I$699,6)</f>
        <v>#N/A</v>
      </c>
      <c r="D2148" s="212"/>
      <c r="E2148" s="75" t="e">
        <f t="shared" si="70"/>
        <v>#N/A</v>
      </c>
      <c r="F2148" s="80"/>
      <c r="G2148" s="81"/>
      <c r="H2148" s="78"/>
      <c r="I2148" s="78"/>
      <c r="J2148" s="78"/>
    </row>
    <row r="2149" spans="1:10" x14ac:dyDescent="0.2">
      <c r="A2149" s="84">
        <f t="shared" si="69"/>
        <v>2143</v>
      </c>
      <c r="B2149" s="85" t="e">
        <f>+MATCH(D2149,ARTICULOS!$F$10:$F$699,0)</f>
        <v>#N/A</v>
      </c>
      <c r="C2149" s="86" t="e">
        <f>+VLOOKUP(B2149,ARTICULOS!$D$10:$I$699,6)</f>
        <v>#N/A</v>
      </c>
      <c r="D2149" s="212"/>
      <c r="E2149" s="75" t="e">
        <f t="shared" si="70"/>
        <v>#N/A</v>
      </c>
      <c r="F2149" s="80"/>
      <c r="G2149" s="81"/>
      <c r="H2149" s="78"/>
      <c r="I2149" s="78"/>
      <c r="J2149" s="78"/>
    </row>
    <row r="2150" spans="1:10" x14ac:dyDescent="0.2">
      <c r="A2150" s="84">
        <f t="shared" si="69"/>
        <v>2144</v>
      </c>
      <c r="B2150" s="85" t="e">
        <f>+MATCH(D2150,ARTICULOS!$F$10:$F$699,0)</f>
        <v>#N/A</v>
      </c>
      <c r="C2150" s="86" t="e">
        <f>+VLOOKUP(B2150,ARTICULOS!$D$10:$I$699,6)</f>
        <v>#N/A</v>
      </c>
      <c r="D2150" s="212"/>
      <c r="E2150" s="75" t="e">
        <f t="shared" si="70"/>
        <v>#N/A</v>
      </c>
      <c r="F2150" s="80"/>
      <c r="G2150" s="81"/>
      <c r="H2150" s="78"/>
      <c r="I2150" s="78"/>
      <c r="J2150" s="78"/>
    </row>
    <row r="2151" spans="1:10" x14ac:dyDescent="0.2">
      <c r="A2151" s="84">
        <f t="shared" si="69"/>
        <v>2145</v>
      </c>
      <c r="B2151" s="85" t="e">
        <f>+MATCH(D2151,ARTICULOS!$F$10:$F$699,0)</f>
        <v>#N/A</v>
      </c>
      <c r="C2151" s="86" t="e">
        <f>+VLOOKUP(B2151,ARTICULOS!$D$10:$I$699,6)</f>
        <v>#N/A</v>
      </c>
      <c r="D2151" s="212"/>
      <c r="E2151" s="75" t="e">
        <f t="shared" si="70"/>
        <v>#N/A</v>
      </c>
      <c r="F2151" s="80"/>
      <c r="G2151" s="81"/>
      <c r="H2151" s="78"/>
      <c r="I2151" s="78"/>
      <c r="J2151" s="78"/>
    </row>
    <row r="2152" spans="1:10" x14ac:dyDescent="0.2">
      <c r="A2152" s="84">
        <f t="shared" si="69"/>
        <v>2146</v>
      </c>
      <c r="B2152" s="85" t="e">
        <f>+MATCH(D2152,ARTICULOS!$F$10:$F$699,0)</f>
        <v>#N/A</v>
      </c>
      <c r="C2152" s="86" t="e">
        <f>+VLOOKUP(B2152,ARTICULOS!$D$10:$I$699,6)</f>
        <v>#N/A</v>
      </c>
      <c r="D2152" s="212"/>
      <c r="E2152" s="75" t="e">
        <f t="shared" si="70"/>
        <v>#N/A</v>
      </c>
      <c r="F2152" s="80"/>
      <c r="G2152" s="81"/>
      <c r="H2152" s="78"/>
      <c r="I2152" s="78"/>
      <c r="J2152" s="78"/>
    </row>
    <row r="2153" spans="1:10" x14ac:dyDescent="0.2">
      <c r="A2153" s="84">
        <f t="shared" ref="A2153:A2216" si="71">ROW()-6</f>
        <v>2147</v>
      </c>
      <c r="B2153" s="85" t="e">
        <f>+MATCH(D2153,ARTICULOS!$F$10:$F$699,0)</f>
        <v>#N/A</v>
      </c>
      <c r="C2153" s="86" t="e">
        <f>+VLOOKUP(B2153,ARTICULOS!$D$10:$I$699,6)</f>
        <v>#N/A</v>
      </c>
      <c r="D2153" s="212"/>
      <c r="E2153" s="75" t="e">
        <f t="shared" si="70"/>
        <v>#N/A</v>
      </c>
      <c r="F2153" s="80"/>
      <c r="G2153" s="81"/>
      <c r="H2153" s="78"/>
      <c r="I2153" s="78"/>
      <c r="J2153" s="78"/>
    </row>
    <row r="2154" spans="1:10" x14ac:dyDescent="0.2">
      <c r="A2154" s="84">
        <f t="shared" si="71"/>
        <v>2148</v>
      </c>
      <c r="B2154" s="85" t="e">
        <f>+MATCH(D2154,ARTICULOS!$F$10:$F$699,0)</f>
        <v>#N/A</v>
      </c>
      <c r="C2154" s="86" t="e">
        <f>+VLOOKUP(B2154,ARTICULOS!$D$10:$I$699,6)</f>
        <v>#N/A</v>
      </c>
      <c r="D2154" s="212"/>
      <c r="E2154" s="75" t="e">
        <f t="shared" si="70"/>
        <v>#N/A</v>
      </c>
      <c r="F2154" s="80"/>
      <c r="G2154" s="81"/>
      <c r="H2154" s="78"/>
      <c r="I2154" s="78"/>
      <c r="J2154" s="78"/>
    </row>
    <row r="2155" spans="1:10" x14ac:dyDescent="0.2">
      <c r="A2155" s="84">
        <f t="shared" si="71"/>
        <v>2149</v>
      </c>
      <c r="B2155" s="85" t="e">
        <f>+MATCH(D2155,ARTICULOS!$F$10:$F$699,0)</f>
        <v>#N/A</v>
      </c>
      <c r="C2155" s="86" t="e">
        <f>+VLOOKUP(B2155,ARTICULOS!$D$10:$I$699,6)</f>
        <v>#N/A</v>
      </c>
      <c r="D2155" s="212"/>
      <c r="E2155" s="75" t="e">
        <f t="shared" si="70"/>
        <v>#N/A</v>
      </c>
      <c r="F2155" s="80"/>
      <c r="G2155" s="81"/>
      <c r="H2155" s="78"/>
      <c r="I2155" s="78"/>
      <c r="J2155" s="78"/>
    </row>
    <row r="2156" spans="1:10" x14ac:dyDescent="0.2">
      <c r="A2156" s="84">
        <f t="shared" si="71"/>
        <v>2150</v>
      </c>
      <c r="B2156" s="85" t="e">
        <f>+MATCH(D2156,ARTICULOS!$F$10:$F$699,0)</f>
        <v>#N/A</v>
      </c>
      <c r="C2156" s="86" t="e">
        <f>+VLOOKUP(B2156,ARTICULOS!$D$10:$I$699,6)</f>
        <v>#N/A</v>
      </c>
      <c r="D2156" s="212"/>
      <c r="E2156" s="75" t="e">
        <f t="shared" si="70"/>
        <v>#N/A</v>
      </c>
      <c r="F2156" s="80"/>
      <c r="G2156" s="81"/>
      <c r="H2156" s="78"/>
      <c r="I2156" s="78"/>
      <c r="J2156" s="78"/>
    </row>
    <row r="2157" spans="1:10" x14ac:dyDescent="0.2">
      <c r="A2157" s="84">
        <f t="shared" si="71"/>
        <v>2151</v>
      </c>
      <c r="B2157" s="85" t="e">
        <f>+MATCH(D2157,ARTICULOS!$F$10:$F$699,0)</f>
        <v>#N/A</v>
      </c>
      <c r="C2157" s="86" t="e">
        <f>+VLOOKUP(B2157,ARTICULOS!$D$10:$I$699,6)</f>
        <v>#N/A</v>
      </c>
      <c r="D2157" s="212"/>
      <c r="E2157" s="75" t="e">
        <f t="shared" si="70"/>
        <v>#N/A</v>
      </c>
      <c r="F2157" s="80"/>
      <c r="G2157" s="81"/>
      <c r="H2157" s="78"/>
      <c r="I2157" s="78"/>
      <c r="J2157" s="78"/>
    </row>
    <row r="2158" spans="1:10" x14ac:dyDescent="0.2">
      <c r="A2158" s="84">
        <f t="shared" si="71"/>
        <v>2152</v>
      </c>
      <c r="B2158" s="85" t="e">
        <f>+MATCH(D2158,ARTICULOS!$F$10:$F$699,0)</f>
        <v>#N/A</v>
      </c>
      <c r="C2158" s="86" t="e">
        <f>+VLOOKUP(B2158,ARTICULOS!$D$10:$I$699,6)</f>
        <v>#N/A</v>
      </c>
      <c r="D2158" s="212"/>
      <c r="E2158" s="75" t="e">
        <f t="shared" si="70"/>
        <v>#N/A</v>
      </c>
      <c r="F2158" s="80"/>
      <c r="G2158" s="81"/>
      <c r="H2158" s="78"/>
      <c r="I2158" s="78"/>
      <c r="J2158" s="78"/>
    </row>
    <row r="2159" spans="1:10" x14ac:dyDescent="0.2">
      <c r="A2159" s="84">
        <f t="shared" si="71"/>
        <v>2153</v>
      </c>
      <c r="B2159" s="85" t="e">
        <f>+MATCH(D2159,ARTICULOS!$F$10:$F$699,0)</f>
        <v>#N/A</v>
      </c>
      <c r="C2159" s="86" t="e">
        <f>+VLOOKUP(B2159,ARTICULOS!$D$10:$I$699,6)</f>
        <v>#N/A</v>
      </c>
      <c r="D2159" s="212"/>
      <c r="E2159" s="75" t="e">
        <f t="shared" si="70"/>
        <v>#N/A</v>
      </c>
      <c r="F2159" s="80"/>
      <c r="G2159" s="81"/>
      <c r="H2159" s="78"/>
      <c r="I2159" s="78"/>
      <c r="J2159" s="78"/>
    </row>
    <row r="2160" spans="1:10" x14ac:dyDescent="0.2">
      <c r="A2160" s="84">
        <f t="shared" si="71"/>
        <v>2154</v>
      </c>
      <c r="B2160" s="85" t="e">
        <f>+MATCH(D2160,ARTICULOS!$F$10:$F$699,0)</f>
        <v>#N/A</v>
      </c>
      <c r="C2160" s="86" t="e">
        <f>+VLOOKUP(B2160,ARTICULOS!$D$10:$I$699,6)</f>
        <v>#N/A</v>
      </c>
      <c r="D2160" s="212"/>
      <c r="E2160" s="75" t="e">
        <f t="shared" si="70"/>
        <v>#N/A</v>
      </c>
      <c r="F2160" s="80"/>
      <c r="G2160" s="81"/>
      <c r="H2160" s="78"/>
      <c r="I2160" s="78"/>
      <c r="J2160" s="78"/>
    </row>
    <row r="2161" spans="1:10" x14ac:dyDescent="0.2">
      <c r="A2161" s="84">
        <f t="shared" si="71"/>
        <v>2155</v>
      </c>
      <c r="B2161" s="85" t="e">
        <f>+MATCH(D2161,ARTICULOS!$F$10:$F$699,0)</f>
        <v>#N/A</v>
      </c>
      <c r="C2161" s="86" t="e">
        <f>+VLOOKUP(B2161,ARTICULOS!$D$10:$I$699,6)</f>
        <v>#N/A</v>
      </c>
      <c r="D2161" s="212"/>
      <c r="E2161" s="75" t="e">
        <f t="shared" si="70"/>
        <v>#N/A</v>
      </c>
      <c r="F2161" s="80"/>
      <c r="G2161" s="81"/>
      <c r="H2161" s="78"/>
      <c r="I2161" s="78"/>
      <c r="J2161" s="78"/>
    </row>
    <row r="2162" spans="1:10" x14ac:dyDescent="0.2">
      <c r="A2162" s="84">
        <f t="shared" si="71"/>
        <v>2156</v>
      </c>
      <c r="B2162" s="85" t="e">
        <f>+MATCH(D2162,ARTICULOS!$F$10:$F$699,0)</f>
        <v>#N/A</v>
      </c>
      <c r="C2162" s="86" t="e">
        <f>+VLOOKUP(B2162,ARTICULOS!$D$10:$I$699,6)</f>
        <v>#N/A</v>
      </c>
      <c r="D2162" s="212"/>
      <c r="E2162" s="75" t="e">
        <f t="shared" si="70"/>
        <v>#N/A</v>
      </c>
      <c r="F2162" s="80"/>
      <c r="G2162" s="81"/>
      <c r="H2162" s="78"/>
      <c r="I2162" s="78"/>
      <c r="J2162" s="78"/>
    </row>
    <row r="2163" spans="1:10" x14ac:dyDescent="0.2">
      <c r="A2163" s="84">
        <f t="shared" si="71"/>
        <v>2157</v>
      </c>
      <c r="B2163" s="85" t="e">
        <f>+MATCH(D2163,ARTICULOS!$F$10:$F$699,0)</f>
        <v>#N/A</v>
      </c>
      <c r="C2163" s="86" t="e">
        <f>+VLOOKUP(B2163,ARTICULOS!$D$10:$I$699,6)</f>
        <v>#N/A</v>
      </c>
      <c r="D2163" s="212"/>
      <c r="E2163" s="75" t="e">
        <f t="shared" si="70"/>
        <v>#N/A</v>
      </c>
      <c r="F2163" s="80"/>
      <c r="G2163" s="81"/>
      <c r="H2163" s="78"/>
      <c r="I2163" s="78"/>
      <c r="J2163" s="78"/>
    </row>
    <row r="2164" spans="1:10" x14ac:dyDescent="0.2">
      <c r="A2164" s="84">
        <f t="shared" si="71"/>
        <v>2158</v>
      </c>
      <c r="B2164" s="85" t="e">
        <f>+MATCH(D2164,ARTICULOS!$F$10:$F$699,0)</f>
        <v>#N/A</v>
      </c>
      <c r="C2164" s="86" t="e">
        <f>+VLOOKUP(B2164,ARTICULOS!$D$10:$I$699,6)</f>
        <v>#N/A</v>
      </c>
      <c r="D2164" s="212"/>
      <c r="E2164" s="75" t="e">
        <f t="shared" si="70"/>
        <v>#N/A</v>
      </c>
      <c r="F2164" s="80"/>
      <c r="G2164" s="81"/>
      <c r="H2164" s="78"/>
      <c r="I2164" s="78"/>
      <c r="J2164" s="78"/>
    </row>
    <row r="2165" spans="1:10" x14ac:dyDescent="0.2">
      <c r="A2165" s="84">
        <f t="shared" si="71"/>
        <v>2159</v>
      </c>
      <c r="B2165" s="85" t="e">
        <f>+MATCH(D2165,ARTICULOS!$F$10:$F$699,0)</f>
        <v>#N/A</v>
      </c>
      <c r="C2165" s="86" t="e">
        <f>+VLOOKUP(B2165,ARTICULOS!$D$10:$I$699,6)</f>
        <v>#N/A</v>
      </c>
      <c r="D2165" s="212"/>
      <c r="E2165" s="75" t="e">
        <f t="shared" si="70"/>
        <v>#N/A</v>
      </c>
      <c r="F2165" s="80"/>
      <c r="G2165" s="81"/>
      <c r="H2165" s="78"/>
      <c r="I2165" s="78"/>
      <c r="J2165" s="78"/>
    </row>
    <row r="2166" spans="1:10" x14ac:dyDescent="0.2">
      <c r="A2166" s="84">
        <f t="shared" si="71"/>
        <v>2160</v>
      </c>
      <c r="B2166" s="85" t="e">
        <f>+MATCH(D2166,ARTICULOS!$F$10:$F$699,0)</f>
        <v>#N/A</v>
      </c>
      <c r="C2166" s="86" t="e">
        <f>+VLOOKUP(B2166,ARTICULOS!$D$10:$I$699,6)</f>
        <v>#N/A</v>
      </c>
      <c r="D2166" s="212"/>
      <c r="E2166" s="75" t="e">
        <f t="shared" si="70"/>
        <v>#N/A</v>
      </c>
      <c r="F2166" s="80"/>
      <c r="G2166" s="81"/>
      <c r="H2166" s="78"/>
      <c r="I2166" s="78"/>
      <c r="J2166" s="78"/>
    </row>
    <row r="2167" spans="1:10" x14ac:dyDescent="0.2">
      <c r="A2167" s="84">
        <f t="shared" si="71"/>
        <v>2161</v>
      </c>
      <c r="B2167" s="85" t="e">
        <f>+MATCH(D2167,ARTICULOS!$F$10:$F$699,0)</f>
        <v>#N/A</v>
      </c>
      <c r="C2167" s="86" t="e">
        <f>+VLOOKUP(B2167,ARTICULOS!$D$10:$I$699,6)</f>
        <v>#N/A</v>
      </c>
      <c r="D2167" s="212"/>
      <c r="E2167" s="75" t="e">
        <f t="shared" si="70"/>
        <v>#N/A</v>
      </c>
      <c r="F2167" s="80"/>
      <c r="G2167" s="81"/>
      <c r="H2167" s="78"/>
      <c r="I2167" s="78"/>
      <c r="J2167" s="78"/>
    </row>
    <row r="2168" spans="1:10" x14ac:dyDescent="0.2">
      <c r="A2168" s="84">
        <f t="shared" si="71"/>
        <v>2162</v>
      </c>
      <c r="B2168" s="85" t="e">
        <f>+MATCH(D2168,ARTICULOS!$F$10:$F$699,0)</f>
        <v>#N/A</v>
      </c>
      <c r="C2168" s="86" t="e">
        <f>+VLOOKUP(B2168,ARTICULOS!$D$10:$I$699,6)</f>
        <v>#N/A</v>
      </c>
      <c r="D2168" s="212"/>
      <c r="E2168" s="75" t="e">
        <f t="shared" si="70"/>
        <v>#N/A</v>
      </c>
      <c r="F2168" s="80"/>
      <c r="G2168" s="81"/>
      <c r="H2168" s="78"/>
      <c r="I2168" s="78"/>
      <c r="J2168" s="78"/>
    </row>
    <row r="2169" spans="1:10" x14ac:dyDescent="0.2">
      <c r="A2169" s="84">
        <f t="shared" si="71"/>
        <v>2163</v>
      </c>
      <c r="B2169" s="85" t="e">
        <f>+MATCH(D2169,ARTICULOS!$F$10:$F$699,0)</f>
        <v>#N/A</v>
      </c>
      <c r="C2169" s="86" t="e">
        <f>+VLOOKUP(B2169,ARTICULOS!$D$10:$I$699,6)</f>
        <v>#N/A</v>
      </c>
      <c r="D2169" s="212"/>
      <c r="E2169" s="75" t="e">
        <f t="shared" si="70"/>
        <v>#N/A</v>
      </c>
      <c r="F2169" s="80"/>
      <c r="G2169" s="81"/>
      <c r="H2169" s="78"/>
      <c r="I2169" s="78"/>
      <c r="J2169" s="78"/>
    </row>
    <row r="2170" spans="1:10" x14ac:dyDescent="0.2">
      <c r="A2170" s="84">
        <f t="shared" si="71"/>
        <v>2164</v>
      </c>
      <c r="B2170" s="85" t="e">
        <f>+MATCH(D2170,ARTICULOS!$F$10:$F$699,0)</f>
        <v>#N/A</v>
      </c>
      <c r="C2170" s="86" t="e">
        <f>+VLOOKUP(B2170,ARTICULOS!$D$10:$I$699,6)</f>
        <v>#N/A</v>
      </c>
      <c r="D2170" s="212"/>
      <c r="E2170" s="75" t="e">
        <f t="shared" si="70"/>
        <v>#N/A</v>
      </c>
      <c r="F2170" s="80"/>
      <c r="G2170" s="81"/>
      <c r="H2170" s="78"/>
      <c r="I2170" s="78"/>
      <c r="J2170" s="78"/>
    </row>
    <row r="2171" spans="1:10" x14ac:dyDescent="0.2">
      <c r="A2171" s="84">
        <f t="shared" si="71"/>
        <v>2165</v>
      </c>
      <c r="B2171" s="85" t="e">
        <f>+MATCH(D2171,ARTICULOS!$F$10:$F$699,0)</f>
        <v>#N/A</v>
      </c>
      <c r="C2171" s="86" t="e">
        <f>+VLOOKUP(B2171,ARTICULOS!$D$10:$I$699,6)</f>
        <v>#N/A</v>
      </c>
      <c r="D2171" s="212"/>
      <c r="E2171" s="75" t="e">
        <f t="shared" si="70"/>
        <v>#N/A</v>
      </c>
      <c r="F2171" s="80"/>
      <c r="G2171" s="81"/>
      <c r="H2171" s="78"/>
      <c r="I2171" s="78"/>
      <c r="J2171" s="78"/>
    </row>
    <row r="2172" spans="1:10" x14ac:dyDescent="0.2">
      <c r="A2172" s="84">
        <f t="shared" si="71"/>
        <v>2166</v>
      </c>
      <c r="B2172" s="85" t="e">
        <f>+MATCH(D2172,ARTICULOS!$F$10:$F$699,0)</f>
        <v>#N/A</v>
      </c>
      <c r="C2172" s="86" t="e">
        <f>+VLOOKUP(B2172,ARTICULOS!$D$10:$I$699,6)</f>
        <v>#N/A</v>
      </c>
      <c r="D2172" s="212"/>
      <c r="E2172" s="75" t="e">
        <f t="shared" si="70"/>
        <v>#N/A</v>
      </c>
      <c r="F2172" s="80"/>
      <c r="G2172" s="81"/>
      <c r="H2172" s="78"/>
      <c r="I2172" s="78"/>
      <c r="J2172" s="78"/>
    </row>
    <row r="2173" spans="1:10" x14ac:dyDescent="0.2">
      <c r="A2173" s="84">
        <f t="shared" si="71"/>
        <v>2167</v>
      </c>
      <c r="B2173" s="85" t="e">
        <f>+MATCH(D2173,ARTICULOS!$F$10:$F$699,0)</f>
        <v>#N/A</v>
      </c>
      <c r="C2173" s="86" t="e">
        <f>+VLOOKUP(B2173,ARTICULOS!$D$10:$I$699,6)</f>
        <v>#N/A</v>
      </c>
      <c r="D2173" s="212"/>
      <c r="E2173" s="75" t="e">
        <f t="shared" si="70"/>
        <v>#N/A</v>
      </c>
      <c r="F2173" s="80"/>
      <c r="G2173" s="81"/>
      <c r="H2173" s="78"/>
      <c r="I2173" s="78"/>
      <c r="J2173" s="78"/>
    </row>
    <row r="2174" spans="1:10" x14ac:dyDescent="0.2">
      <c r="A2174" s="84">
        <f t="shared" si="71"/>
        <v>2168</v>
      </c>
      <c r="B2174" s="85" t="e">
        <f>+MATCH(D2174,ARTICULOS!$F$10:$F$699,0)</f>
        <v>#N/A</v>
      </c>
      <c r="C2174" s="86" t="e">
        <f>+VLOOKUP(B2174,ARTICULOS!$D$10:$I$699,6)</f>
        <v>#N/A</v>
      </c>
      <c r="D2174" s="212"/>
      <c r="E2174" s="75" t="e">
        <f t="shared" si="70"/>
        <v>#N/A</v>
      </c>
      <c r="F2174" s="80"/>
      <c r="G2174" s="81"/>
      <c r="H2174" s="78"/>
      <c r="I2174" s="78"/>
      <c r="J2174" s="78"/>
    </row>
    <row r="2175" spans="1:10" x14ac:dyDescent="0.2">
      <c r="A2175" s="84">
        <f t="shared" si="71"/>
        <v>2169</v>
      </c>
      <c r="B2175" s="85" t="e">
        <f>+MATCH(D2175,ARTICULOS!$F$10:$F$699,0)</f>
        <v>#N/A</v>
      </c>
      <c r="C2175" s="86" t="e">
        <f>+VLOOKUP(B2175,ARTICULOS!$D$10:$I$699,6)</f>
        <v>#N/A</v>
      </c>
      <c r="D2175" s="212"/>
      <c r="E2175" s="75" t="e">
        <f t="shared" si="70"/>
        <v>#N/A</v>
      </c>
      <c r="F2175" s="80"/>
      <c r="G2175" s="81"/>
      <c r="H2175" s="78"/>
      <c r="I2175" s="78"/>
      <c r="J2175" s="78"/>
    </row>
    <row r="2176" spans="1:10" x14ac:dyDescent="0.2">
      <c r="A2176" s="84">
        <f t="shared" si="71"/>
        <v>2170</v>
      </c>
      <c r="B2176" s="85" t="e">
        <f>+MATCH(D2176,ARTICULOS!$F$10:$F$699,0)</f>
        <v>#N/A</v>
      </c>
      <c r="C2176" s="86" t="e">
        <f>+VLOOKUP(B2176,ARTICULOS!$D$10:$I$699,6)</f>
        <v>#N/A</v>
      </c>
      <c r="D2176" s="212"/>
      <c r="E2176" s="75" t="e">
        <f t="shared" si="70"/>
        <v>#N/A</v>
      </c>
      <c r="F2176" s="80"/>
      <c r="G2176" s="81"/>
      <c r="H2176" s="78"/>
      <c r="I2176" s="78"/>
      <c r="J2176" s="78"/>
    </row>
    <row r="2177" spans="1:10" x14ac:dyDescent="0.2">
      <c r="A2177" s="84">
        <f t="shared" si="71"/>
        <v>2171</v>
      </c>
      <c r="B2177" s="85" t="e">
        <f>+MATCH(D2177,ARTICULOS!$F$10:$F$699,0)</f>
        <v>#N/A</v>
      </c>
      <c r="C2177" s="86" t="e">
        <f>+VLOOKUP(B2177,ARTICULOS!$D$10:$I$699,6)</f>
        <v>#N/A</v>
      </c>
      <c r="D2177" s="212"/>
      <c r="E2177" s="75" t="e">
        <f t="shared" si="70"/>
        <v>#N/A</v>
      </c>
      <c r="F2177" s="80"/>
      <c r="G2177" s="81"/>
      <c r="H2177" s="78"/>
      <c r="I2177" s="78"/>
      <c r="J2177" s="78"/>
    </row>
    <row r="2178" spans="1:10" x14ac:dyDescent="0.2">
      <c r="A2178" s="84">
        <f t="shared" si="71"/>
        <v>2172</v>
      </c>
      <c r="B2178" s="85" t="e">
        <f>+MATCH(D2178,ARTICULOS!$F$10:$F$699,0)</f>
        <v>#N/A</v>
      </c>
      <c r="C2178" s="86" t="e">
        <f>+VLOOKUP(B2178,ARTICULOS!$D$10:$I$699,6)</f>
        <v>#N/A</v>
      </c>
      <c r="D2178" s="212"/>
      <c r="E2178" s="75" t="e">
        <f t="shared" si="70"/>
        <v>#N/A</v>
      </c>
      <c r="F2178" s="80"/>
      <c r="G2178" s="81"/>
      <c r="H2178" s="78"/>
      <c r="I2178" s="78"/>
      <c r="J2178" s="78"/>
    </row>
    <row r="2179" spans="1:10" x14ac:dyDescent="0.2">
      <c r="A2179" s="84">
        <f t="shared" si="71"/>
        <v>2173</v>
      </c>
      <c r="B2179" s="85" t="e">
        <f>+MATCH(D2179,ARTICULOS!$F$10:$F$699,0)</f>
        <v>#N/A</v>
      </c>
      <c r="C2179" s="86" t="e">
        <f>+VLOOKUP(B2179,ARTICULOS!$D$10:$I$699,6)</f>
        <v>#N/A</v>
      </c>
      <c r="D2179" s="212"/>
      <c r="E2179" s="75" t="e">
        <f t="shared" si="70"/>
        <v>#N/A</v>
      </c>
      <c r="F2179" s="80"/>
      <c r="G2179" s="81"/>
      <c r="H2179" s="78"/>
      <c r="I2179" s="78"/>
      <c r="J2179" s="78"/>
    </row>
    <row r="2180" spans="1:10" x14ac:dyDescent="0.2">
      <c r="A2180" s="84">
        <f t="shared" si="71"/>
        <v>2174</v>
      </c>
      <c r="B2180" s="85" t="e">
        <f>+MATCH(D2180,ARTICULOS!$F$10:$F$699,0)</f>
        <v>#N/A</v>
      </c>
      <c r="C2180" s="86" t="e">
        <f>+VLOOKUP(B2180,ARTICULOS!$D$10:$I$699,6)</f>
        <v>#N/A</v>
      </c>
      <c r="D2180" s="212"/>
      <c r="E2180" s="75" t="e">
        <f t="shared" si="70"/>
        <v>#N/A</v>
      </c>
      <c r="F2180" s="80"/>
      <c r="G2180" s="81"/>
      <c r="H2180" s="78"/>
      <c r="I2180" s="78"/>
      <c r="J2180" s="78"/>
    </row>
    <row r="2181" spans="1:10" x14ac:dyDescent="0.2">
      <c r="A2181" s="84">
        <f t="shared" si="71"/>
        <v>2175</v>
      </c>
      <c r="B2181" s="85" t="e">
        <f>+MATCH(D2181,ARTICULOS!$F$10:$F$699,0)</f>
        <v>#N/A</v>
      </c>
      <c r="C2181" s="86" t="e">
        <f>+VLOOKUP(B2181,ARTICULOS!$D$10:$I$699,6)</f>
        <v>#N/A</v>
      </c>
      <c r="D2181" s="212"/>
      <c r="E2181" s="75" t="e">
        <f t="shared" si="70"/>
        <v>#N/A</v>
      </c>
      <c r="F2181" s="80"/>
      <c r="G2181" s="81"/>
      <c r="H2181" s="78"/>
      <c r="I2181" s="78"/>
      <c r="J2181" s="78"/>
    </row>
    <row r="2182" spans="1:10" x14ac:dyDescent="0.2">
      <c r="A2182" s="84">
        <f t="shared" si="71"/>
        <v>2176</v>
      </c>
      <c r="B2182" s="85" t="e">
        <f>+MATCH(D2182,ARTICULOS!$F$10:$F$699,0)</f>
        <v>#N/A</v>
      </c>
      <c r="C2182" s="86" t="e">
        <f>+VLOOKUP(B2182,ARTICULOS!$D$10:$I$699,6)</f>
        <v>#N/A</v>
      </c>
      <c r="D2182" s="212"/>
      <c r="E2182" s="75" t="e">
        <f t="shared" si="70"/>
        <v>#N/A</v>
      </c>
      <c r="F2182" s="80"/>
      <c r="G2182" s="81"/>
      <c r="H2182" s="78"/>
      <c r="I2182" s="78"/>
      <c r="J2182" s="78"/>
    </row>
    <row r="2183" spans="1:10" x14ac:dyDescent="0.2">
      <c r="A2183" s="84">
        <f t="shared" si="71"/>
        <v>2177</v>
      </c>
      <c r="B2183" s="85" t="e">
        <f>+MATCH(D2183,ARTICULOS!$F$10:$F$699,0)</f>
        <v>#N/A</v>
      </c>
      <c r="C2183" s="86" t="e">
        <f>+VLOOKUP(B2183,ARTICULOS!$D$10:$I$699,6)</f>
        <v>#N/A</v>
      </c>
      <c r="D2183" s="212"/>
      <c r="E2183" s="75" t="e">
        <f t="shared" si="70"/>
        <v>#N/A</v>
      </c>
      <c r="F2183" s="80"/>
      <c r="G2183" s="81"/>
      <c r="H2183" s="78"/>
      <c r="I2183" s="78"/>
      <c r="J2183" s="78"/>
    </row>
    <row r="2184" spans="1:10" x14ac:dyDescent="0.2">
      <c r="A2184" s="84">
        <f t="shared" si="71"/>
        <v>2178</v>
      </c>
      <c r="B2184" s="85" t="e">
        <f>+MATCH(D2184,ARTICULOS!$F$10:$F$699,0)</f>
        <v>#N/A</v>
      </c>
      <c r="C2184" s="86" t="e">
        <f>+VLOOKUP(B2184,ARTICULOS!$D$10:$I$699,6)</f>
        <v>#N/A</v>
      </c>
      <c r="D2184" s="212"/>
      <c r="E2184" s="75" t="e">
        <f t="shared" si="70"/>
        <v>#N/A</v>
      </c>
      <c r="F2184" s="80"/>
      <c r="G2184" s="81"/>
      <c r="H2184" s="78"/>
      <c r="I2184" s="78"/>
      <c r="J2184" s="78"/>
    </row>
    <row r="2185" spans="1:10" x14ac:dyDescent="0.2">
      <c r="A2185" s="84">
        <f t="shared" si="71"/>
        <v>2179</v>
      </c>
      <c r="B2185" s="85" t="e">
        <f>+MATCH(D2185,ARTICULOS!$F$10:$F$699,0)</f>
        <v>#N/A</v>
      </c>
      <c r="C2185" s="86" t="e">
        <f>+VLOOKUP(B2185,ARTICULOS!$D$10:$I$699,6)</f>
        <v>#N/A</v>
      </c>
      <c r="D2185" s="212"/>
      <c r="E2185" s="75" t="e">
        <f t="shared" si="70"/>
        <v>#N/A</v>
      </c>
      <c r="F2185" s="80"/>
      <c r="G2185" s="81"/>
      <c r="H2185" s="78"/>
      <c r="I2185" s="78"/>
      <c r="J2185" s="78"/>
    </row>
    <row r="2186" spans="1:10" x14ac:dyDescent="0.2">
      <c r="A2186" s="84">
        <f t="shared" si="71"/>
        <v>2180</v>
      </c>
      <c r="B2186" s="85" t="e">
        <f>+MATCH(D2186,ARTICULOS!$F$10:$F$699,0)</f>
        <v>#N/A</v>
      </c>
      <c r="C2186" s="86" t="e">
        <f>+VLOOKUP(B2186,ARTICULOS!$D$10:$I$699,6)</f>
        <v>#N/A</v>
      </c>
      <c r="D2186" s="212"/>
      <c r="E2186" s="75" t="e">
        <f t="shared" si="70"/>
        <v>#N/A</v>
      </c>
      <c r="F2186" s="80"/>
      <c r="G2186" s="81"/>
      <c r="H2186" s="78"/>
      <c r="I2186" s="78"/>
      <c r="J2186" s="78"/>
    </row>
    <row r="2187" spans="1:10" x14ac:dyDescent="0.2">
      <c r="A2187" s="84">
        <f t="shared" si="71"/>
        <v>2181</v>
      </c>
      <c r="B2187" s="85" t="e">
        <f>+MATCH(D2187,ARTICULOS!$F$10:$F$699,0)</f>
        <v>#N/A</v>
      </c>
      <c r="C2187" s="86" t="e">
        <f>+VLOOKUP(B2187,ARTICULOS!$D$10:$I$699,6)</f>
        <v>#N/A</v>
      </c>
      <c r="D2187" s="212"/>
      <c r="E2187" s="75" t="e">
        <f t="shared" ref="E2187:E2250" si="72">+C2187&amp;F2187</f>
        <v>#N/A</v>
      </c>
      <c r="F2187" s="80"/>
      <c r="G2187" s="81"/>
      <c r="H2187" s="78"/>
      <c r="I2187" s="78"/>
      <c r="J2187" s="78"/>
    </row>
    <row r="2188" spans="1:10" x14ac:dyDescent="0.2">
      <c r="A2188" s="84">
        <f t="shared" si="71"/>
        <v>2182</v>
      </c>
      <c r="B2188" s="85" t="e">
        <f>+MATCH(D2188,ARTICULOS!$F$10:$F$699,0)</f>
        <v>#N/A</v>
      </c>
      <c r="C2188" s="86" t="e">
        <f>+VLOOKUP(B2188,ARTICULOS!$D$10:$I$699,6)</f>
        <v>#N/A</v>
      </c>
      <c r="D2188" s="212"/>
      <c r="E2188" s="75" t="e">
        <f t="shared" si="72"/>
        <v>#N/A</v>
      </c>
      <c r="F2188" s="80"/>
      <c r="G2188" s="81"/>
      <c r="H2188" s="78"/>
      <c r="I2188" s="78"/>
      <c r="J2188" s="78"/>
    </row>
    <row r="2189" spans="1:10" x14ac:dyDescent="0.2">
      <c r="A2189" s="84">
        <f t="shared" si="71"/>
        <v>2183</v>
      </c>
      <c r="B2189" s="85" t="e">
        <f>+MATCH(D2189,ARTICULOS!$F$10:$F$699,0)</f>
        <v>#N/A</v>
      </c>
      <c r="C2189" s="86" t="e">
        <f>+VLOOKUP(B2189,ARTICULOS!$D$10:$I$699,6)</f>
        <v>#N/A</v>
      </c>
      <c r="D2189" s="212"/>
      <c r="E2189" s="75" t="e">
        <f t="shared" si="72"/>
        <v>#N/A</v>
      </c>
      <c r="F2189" s="80"/>
      <c r="G2189" s="81"/>
      <c r="H2189" s="78"/>
      <c r="I2189" s="78"/>
      <c r="J2189" s="78"/>
    </row>
    <row r="2190" spans="1:10" x14ac:dyDescent="0.2">
      <c r="A2190" s="84">
        <f t="shared" si="71"/>
        <v>2184</v>
      </c>
      <c r="B2190" s="85" t="e">
        <f>+MATCH(D2190,ARTICULOS!$F$10:$F$699,0)</f>
        <v>#N/A</v>
      </c>
      <c r="C2190" s="86" t="e">
        <f>+VLOOKUP(B2190,ARTICULOS!$D$10:$I$699,6)</f>
        <v>#N/A</v>
      </c>
      <c r="D2190" s="212"/>
      <c r="E2190" s="75" t="e">
        <f t="shared" si="72"/>
        <v>#N/A</v>
      </c>
      <c r="F2190" s="80"/>
      <c r="G2190" s="81"/>
      <c r="H2190" s="78"/>
      <c r="I2190" s="78"/>
      <c r="J2190" s="78"/>
    </row>
    <row r="2191" spans="1:10" x14ac:dyDescent="0.2">
      <c r="A2191" s="84">
        <f t="shared" si="71"/>
        <v>2185</v>
      </c>
      <c r="B2191" s="85" t="e">
        <f>+MATCH(D2191,ARTICULOS!$F$10:$F$699,0)</f>
        <v>#N/A</v>
      </c>
      <c r="C2191" s="86" t="e">
        <f>+VLOOKUP(B2191,ARTICULOS!$D$10:$I$699,6)</f>
        <v>#N/A</v>
      </c>
      <c r="D2191" s="212"/>
      <c r="E2191" s="75" t="e">
        <f t="shared" si="72"/>
        <v>#N/A</v>
      </c>
      <c r="F2191" s="80"/>
      <c r="G2191" s="81"/>
      <c r="H2191" s="78"/>
      <c r="I2191" s="78"/>
      <c r="J2191" s="78"/>
    </row>
    <row r="2192" spans="1:10" x14ac:dyDescent="0.2">
      <c r="A2192" s="84">
        <f t="shared" si="71"/>
        <v>2186</v>
      </c>
      <c r="B2192" s="85" t="e">
        <f>+MATCH(D2192,ARTICULOS!$F$10:$F$699,0)</f>
        <v>#N/A</v>
      </c>
      <c r="C2192" s="86" t="e">
        <f>+VLOOKUP(B2192,ARTICULOS!$D$10:$I$699,6)</f>
        <v>#N/A</v>
      </c>
      <c r="D2192" s="212"/>
      <c r="E2192" s="75" t="e">
        <f t="shared" si="72"/>
        <v>#N/A</v>
      </c>
      <c r="F2192" s="80"/>
      <c r="G2192" s="81"/>
      <c r="H2192" s="78"/>
      <c r="I2192" s="78"/>
      <c r="J2192" s="78"/>
    </row>
    <row r="2193" spans="1:10" x14ac:dyDescent="0.2">
      <c r="A2193" s="84">
        <f t="shared" si="71"/>
        <v>2187</v>
      </c>
      <c r="B2193" s="85" t="e">
        <f>+MATCH(D2193,ARTICULOS!$F$10:$F$699,0)</f>
        <v>#N/A</v>
      </c>
      <c r="C2193" s="86" t="e">
        <f>+VLOOKUP(B2193,ARTICULOS!$D$10:$I$699,6)</f>
        <v>#N/A</v>
      </c>
      <c r="D2193" s="212"/>
      <c r="E2193" s="75" t="e">
        <f t="shared" si="72"/>
        <v>#N/A</v>
      </c>
      <c r="F2193" s="80"/>
      <c r="G2193" s="81"/>
      <c r="H2193" s="78"/>
      <c r="I2193" s="78"/>
      <c r="J2193" s="78"/>
    </row>
    <row r="2194" spans="1:10" x14ac:dyDescent="0.2">
      <c r="A2194" s="84">
        <f t="shared" si="71"/>
        <v>2188</v>
      </c>
      <c r="B2194" s="85" t="e">
        <f>+MATCH(D2194,ARTICULOS!$F$10:$F$699,0)</f>
        <v>#N/A</v>
      </c>
      <c r="C2194" s="86" t="e">
        <f>+VLOOKUP(B2194,ARTICULOS!$D$10:$I$699,6)</f>
        <v>#N/A</v>
      </c>
      <c r="D2194" s="212"/>
      <c r="E2194" s="75" t="e">
        <f t="shared" si="72"/>
        <v>#N/A</v>
      </c>
      <c r="F2194" s="80"/>
      <c r="G2194" s="81"/>
      <c r="H2194" s="78"/>
      <c r="I2194" s="78"/>
      <c r="J2194" s="78"/>
    </row>
    <row r="2195" spans="1:10" x14ac:dyDescent="0.2">
      <c r="A2195" s="84">
        <f t="shared" si="71"/>
        <v>2189</v>
      </c>
      <c r="B2195" s="85" t="e">
        <f>+MATCH(D2195,ARTICULOS!$F$10:$F$699,0)</f>
        <v>#N/A</v>
      </c>
      <c r="C2195" s="86" t="e">
        <f>+VLOOKUP(B2195,ARTICULOS!$D$10:$I$699,6)</f>
        <v>#N/A</v>
      </c>
      <c r="D2195" s="212"/>
      <c r="E2195" s="75" t="e">
        <f t="shared" si="72"/>
        <v>#N/A</v>
      </c>
      <c r="F2195" s="80"/>
      <c r="G2195" s="81"/>
      <c r="H2195" s="78"/>
      <c r="I2195" s="78"/>
      <c r="J2195" s="78"/>
    </row>
    <row r="2196" spans="1:10" x14ac:dyDescent="0.2">
      <c r="A2196" s="84">
        <f t="shared" si="71"/>
        <v>2190</v>
      </c>
      <c r="B2196" s="85" t="e">
        <f>+MATCH(D2196,ARTICULOS!$F$10:$F$699,0)</f>
        <v>#N/A</v>
      </c>
      <c r="C2196" s="86" t="e">
        <f>+VLOOKUP(B2196,ARTICULOS!$D$10:$I$699,6)</f>
        <v>#N/A</v>
      </c>
      <c r="D2196" s="212"/>
      <c r="E2196" s="75" t="e">
        <f t="shared" si="72"/>
        <v>#N/A</v>
      </c>
      <c r="F2196" s="80"/>
      <c r="G2196" s="81"/>
      <c r="H2196" s="78"/>
      <c r="I2196" s="78"/>
      <c r="J2196" s="78"/>
    </row>
    <row r="2197" spans="1:10" x14ac:dyDescent="0.2">
      <c r="A2197" s="84">
        <f t="shared" si="71"/>
        <v>2191</v>
      </c>
      <c r="B2197" s="85" t="e">
        <f>+MATCH(D2197,ARTICULOS!$F$10:$F$699,0)</f>
        <v>#N/A</v>
      </c>
      <c r="C2197" s="86" t="e">
        <f>+VLOOKUP(B2197,ARTICULOS!$D$10:$I$699,6)</f>
        <v>#N/A</v>
      </c>
      <c r="D2197" s="212"/>
      <c r="E2197" s="75" t="e">
        <f t="shared" si="72"/>
        <v>#N/A</v>
      </c>
      <c r="F2197" s="80"/>
      <c r="G2197" s="81"/>
      <c r="H2197" s="78"/>
      <c r="I2197" s="78"/>
      <c r="J2197" s="78"/>
    </row>
    <row r="2198" spans="1:10" x14ac:dyDescent="0.2">
      <c r="A2198" s="84">
        <f t="shared" si="71"/>
        <v>2192</v>
      </c>
      <c r="B2198" s="85" t="e">
        <f>+MATCH(D2198,ARTICULOS!$F$10:$F$699,0)</f>
        <v>#N/A</v>
      </c>
      <c r="C2198" s="86" t="e">
        <f>+VLOOKUP(B2198,ARTICULOS!$D$10:$I$699,6)</f>
        <v>#N/A</v>
      </c>
      <c r="D2198" s="212"/>
      <c r="E2198" s="75" t="e">
        <f t="shared" si="72"/>
        <v>#N/A</v>
      </c>
      <c r="F2198" s="80"/>
      <c r="G2198" s="81"/>
      <c r="H2198" s="78"/>
      <c r="I2198" s="78"/>
      <c r="J2198" s="78"/>
    </row>
    <row r="2199" spans="1:10" x14ac:dyDescent="0.2">
      <c r="A2199" s="84">
        <f t="shared" si="71"/>
        <v>2193</v>
      </c>
      <c r="B2199" s="85" t="e">
        <f>+MATCH(D2199,ARTICULOS!$F$10:$F$699,0)</f>
        <v>#N/A</v>
      </c>
      <c r="C2199" s="86" t="e">
        <f>+VLOOKUP(B2199,ARTICULOS!$D$10:$I$699,6)</f>
        <v>#N/A</v>
      </c>
      <c r="D2199" s="212"/>
      <c r="E2199" s="75" t="e">
        <f t="shared" si="72"/>
        <v>#N/A</v>
      </c>
      <c r="F2199" s="80"/>
      <c r="G2199" s="81"/>
      <c r="H2199" s="78"/>
      <c r="I2199" s="78"/>
      <c r="J2199" s="78"/>
    </row>
    <row r="2200" spans="1:10" x14ac:dyDescent="0.2">
      <c r="A2200" s="84">
        <f t="shared" si="71"/>
        <v>2194</v>
      </c>
      <c r="B2200" s="85" t="e">
        <f>+MATCH(D2200,ARTICULOS!$F$10:$F$699,0)</f>
        <v>#N/A</v>
      </c>
      <c r="C2200" s="86" t="e">
        <f>+VLOOKUP(B2200,ARTICULOS!$D$10:$I$699,6)</f>
        <v>#N/A</v>
      </c>
      <c r="D2200" s="212"/>
      <c r="E2200" s="75" t="e">
        <f t="shared" si="72"/>
        <v>#N/A</v>
      </c>
      <c r="F2200" s="80"/>
      <c r="G2200" s="81"/>
      <c r="H2200" s="78"/>
      <c r="I2200" s="78"/>
      <c r="J2200" s="78"/>
    </row>
    <row r="2201" spans="1:10" x14ac:dyDescent="0.2">
      <c r="A2201" s="84">
        <f t="shared" si="71"/>
        <v>2195</v>
      </c>
      <c r="B2201" s="85" t="e">
        <f>+MATCH(D2201,ARTICULOS!$F$10:$F$699,0)</f>
        <v>#N/A</v>
      </c>
      <c r="C2201" s="86" t="e">
        <f>+VLOOKUP(B2201,ARTICULOS!$D$10:$I$699,6)</f>
        <v>#N/A</v>
      </c>
      <c r="D2201" s="212"/>
      <c r="E2201" s="75" t="e">
        <f t="shared" si="72"/>
        <v>#N/A</v>
      </c>
      <c r="F2201" s="80"/>
      <c r="G2201" s="81"/>
      <c r="H2201" s="78"/>
      <c r="I2201" s="78"/>
      <c r="J2201" s="78"/>
    </row>
    <row r="2202" spans="1:10" x14ac:dyDescent="0.2">
      <c r="A2202" s="84">
        <f t="shared" si="71"/>
        <v>2196</v>
      </c>
      <c r="B2202" s="85" t="e">
        <f>+MATCH(D2202,ARTICULOS!$F$10:$F$699,0)</f>
        <v>#N/A</v>
      </c>
      <c r="C2202" s="86" t="e">
        <f>+VLOOKUP(B2202,ARTICULOS!$D$10:$I$699,6)</f>
        <v>#N/A</v>
      </c>
      <c r="D2202" s="212"/>
      <c r="E2202" s="75" t="e">
        <f t="shared" si="72"/>
        <v>#N/A</v>
      </c>
      <c r="F2202" s="80"/>
      <c r="G2202" s="81"/>
      <c r="H2202" s="78"/>
      <c r="I2202" s="78"/>
      <c r="J2202" s="78"/>
    </row>
    <row r="2203" spans="1:10" x14ac:dyDescent="0.2">
      <c r="A2203" s="84">
        <f t="shared" si="71"/>
        <v>2197</v>
      </c>
      <c r="B2203" s="85" t="e">
        <f>+MATCH(D2203,ARTICULOS!$F$10:$F$699,0)</f>
        <v>#N/A</v>
      </c>
      <c r="C2203" s="86" t="e">
        <f>+VLOOKUP(B2203,ARTICULOS!$D$10:$I$699,6)</f>
        <v>#N/A</v>
      </c>
      <c r="D2203" s="212"/>
      <c r="E2203" s="75" t="e">
        <f t="shared" si="72"/>
        <v>#N/A</v>
      </c>
      <c r="F2203" s="80"/>
      <c r="G2203" s="81"/>
      <c r="H2203" s="78"/>
      <c r="I2203" s="78"/>
      <c r="J2203" s="78"/>
    </row>
    <row r="2204" spans="1:10" x14ac:dyDescent="0.2">
      <c r="A2204" s="84">
        <f t="shared" si="71"/>
        <v>2198</v>
      </c>
      <c r="B2204" s="85" t="e">
        <f>+MATCH(D2204,ARTICULOS!$F$10:$F$699,0)</f>
        <v>#N/A</v>
      </c>
      <c r="C2204" s="86" t="e">
        <f>+VLOOKUP(B2204,ARTICULOS!$D$10:$I$699,6)</f>
        <v>#N/A</v>
      </c>
      <c r="D2204" s="212"/>
      <c r="E2204" s="75" t="e">
        <f t="shared" si="72"/>
        <v>#N/A</v>
      </c>
      <c r="F2204" s="80"/>
      <c r="G2204" s="81"/>
      <c r="H2204" s="78"/>
      <c r="I2204" s="78"/>
      <c r="J2204" s="78"/>
    </row>
    <row r="2205" spans="1:10" x14ac:dyDescent="0.2">
      <c r="A2205" s="84">
        <f t="shared" si="71"/>
        <v>2199</v>
      </c>
      <c r="B2205" s="85" t="e">
        <f>+MATCH(D2205,ARTICULOS!$F$10:$F$699,0)</f>
        <v>#N/A</v>
      </c>
      <c r="C2205" s="86" t="e">
        <f>+VLOOKUP(B2205,ARTICULOS!$D$10:$I$699,6)</f>
        <v>#N/A</v>
      </c>
      <c r="D2205" s="212"/>
      <c r="E2205" s="75" t="e">
        <f t="shared" si="72"/>
        <v>#N/A</v>
      </c>
      <c r="F2205" s="80"/>
      <c r="G2205" s="81"/>
      <c r="H2205" s="78"/>
      <c r="I2205" s="78"/>
      <c r="J2205" s="78"/>
    </row>
    <row r="2206" spans="1:10" x14ac:dyDescent="0.2">
      <c r="A2206" s="84">
        <f t="shared" si="71"/>
        <v>2200</v>
      </c>
      <c r="B2206" s="85" t="e">
        <f>+MATCH(D2206,ARTICULOS!$F$10:$F$699,0)</f>
        <v>#N/A</v>
      </c>
      <c r="C2206" s="86" t="e">
        <f>+VLOOKUP(B2206,ARTICULOS!$D$10:$I$699,6)</f>
        <v>#N/A</v>
      </c>
      <c r="D2206" s="212"/>
      <c r="E2206" s="75" t="e">
        <f t="shared" si="72"/>
        <v>#N/A</v>
      </c>
      <c r="F2206" s="80"/>
      <c r="G2206" s="81"/>
      <c r="H2206" s="78"/>
      <c r="I2206" s="78"/>
      <c r="J2206" s="78"/>
    </row>
    <row r="2207" spans="1:10" x14ac:dyDescent="0.2">
      <c r="A2207" s="84">
        <f t="shared" si="71"/>
        <v>2201</v>
      </c>
      <c r="B2207" s="85" t="e">
        <f>+MATCH(D2207,ARTICULOS!$F$10:$F$699,0)</f>
        <v>#N/A</v>
      </c>
      <c r="C2207" s="86" t="e">
        <f>+VLOOKUP(B2207,ARTICULOS!$D$10:$I$699,6)</f>
        <v>#N/A</v>
      </c>
      <c r="D2207" s="212"/>
      <c r="E2207" s="75" t="e">
        <f t="shared" si="72"/>
        <v>#N/A</v>
      </c>
      <c r="F2207" s="80"/>
      <c r="G2207" s="81"/>
      <c r="H2207" s="78"/>
      <c r="I2207" s="78"/>
      <c r="J2207" s="78"/>
    </row>
    <row r="2208" spans="1:10" x14ac:dyDescent="0.2">
      <c r="A2208" s="84">
        <f t="shared" si="71"/>
        <v>2202</v>
      </c>
      <c r="B2208" s="85" t="e">
        <f>+MATCH(D2208,ARTICULOS!$F$10:$F$699,0)</f>
        <v>#N/A</v>
      </c>
      <c r="C2208" s="86" t="e">
        <f>+VLOOKUP(B2208,ARTICULOS!$D$10:$I$699,6)</f>
        <v>#N/A</v>
      </c>
      <c r="D2208" s="212"/>
      <c r="E2208" s="75" t="e">
        <f t="shared" si="72"/>
        <v>#N/A</v>
      </c>
      <c r="F2208" s="80"/>
      <c r="G2208" s="81"/>
      <c r="H2208" s="78"/>
      <c r="I2208" s="78"/>
      <c r="J2208" s="78"/>
    </row>
    <row r="2209" spans="1:10" x14ac:dyDescent="0.2">
      <c r="A2209" s="84">
        <f t="shared" si="71"/>
        <v>2203</v>
      </c>
      <c r="B2209" s="85" t="e">
        <f>+MATCH(D2209,ARTICULOS!$F$10:$F$699,0)</f>
        <v>#N/A</v>
      </c>
      <c r="C2209" s="86" t="e">
        <f>+VLOOKUP(B2209,ARTICULOS!$D$10:$I$699,6)</f>
        <v>#N/A</v>
      </c>
      <c r="D2209" s="212"/>
      <c r="E2209" s="75" t="e">
        <f t="shared" si="72"/>
        <v>#N/A</v>
      </c>
      <c r="F2209" s="80"/>
      <c r="G2209" s="81"/>
      <c r="H2209" s="78"/>
      <c r="I2209" s="78"/>
      <c r="J2209" s="78"/>
    </row>
    <row r="2210" spans="1:10" x14ac:dyDescent="0.2">
      <c r="A2210" s="84">
        <f t="shared" si="71"/>
        <v>2204</v>
      </c>
      <c r="B2210" s="85" t="e">
        <f>+MATCH(D2210,ARTICULOS!$F$10:$F$699,0)</f>
        <v>#N/A</v>
      </c>
      <c r="C2210" s="86" t="e">
        <f>+VLOOKUP(B2210,ARTICULOS!$D$10:$I$699,6)</f>
        <v>#N/A</v>
      </c>
      <c r="D2210" s="212"/>
      <c r="E2210" s="75" t="e">
        <f t="shared" si="72"/>
        <v>#N/A</v>
      </c>
      <c r="F2210" s="80"/>
      <c r="G2210" s="81"/>
      <c r="H2210" s="78"/>
      <c r="I2210" s="78"/>
      <c r="J2210" s="78"/>
    </row>
    <row r="2211" spans="1:10" x14ac:dyDescent="0.2">
      <c r="A2211" s="84">
        <f t="shared" si="71"/>
        <v>2205</v>
      </c>
      <c r="B2211" s="85" t="e">
        <f>+MATCH(D2211,ARTICULOS!$F$10:$F$699,0)</f>
        <v>#N/A</v>
      </c>
      <c r="C2211" s="86" t="e">
        <f>+VLOOKUP(B2211,ARTICULOS!$D$10:$I$699,6)</f>
        <v>#N/A</v>
      </c>
      <c r="D2211" s="212"/>
      <c r="E2211" s="75" t="e">
        <f t="shared" si="72"/>
        <v>#N/A</v>
      </c>
      <c r="F2211" s="80"/>
      <c r="G2211" s="81"/>
      <c r="H2211" s="78"/>
      <c r="I2211" s="78"/>
      <c r="J2211" s="78"/>
    </row>
    <row r="2212" spans="1:10" x14ac:dyDescent="0.2">
      <c r="A2212" s="84">
        <f t="shared" si="71"/>
        <v>2206</v>
      </c>
      <c r="B2212" s="85" t="e">
        <f>+MATCH(D2212,ARTICULOS!$F$10:$F$699,0)</f>
        <v>#N/A</v>
      </c>
      <c r="C2212" s="86" t="e">
        <f>+VLOOKUP(B2212,ARTICULOS!$D$10:$I$699,6)</f>
        <v>#N/A</v>
      </c>
      <c r="D2212" s="212"/>
      <c r="E2212" s="75" t="e">
        <f t="shared" si="72"/>
        <v>#N/A</v>
      </c>
      <c r="F2212" s="80"/>
      <c r="G2212" s="81"/>
      <c r="H2212" s="78"/>
      <c r="I2212" s="78"/>
      <c r="J2212" s="78"/>
    </row>
    <row r="2213" spans="1:10" x14ac:dyDescent="0.2">
      <c r="A2213" s="84">
        <f t="shared" si="71"/>
        <v>2207</v>
      </c>
      <c r="B2213" s="85" t="e">
        <f>+MATCH(D2213,ARTICULOS!$F$10:$F$699,0)</f>
        <v>#N/A</v>
      </c>
      <c r="C2213" s="86" t="e">
        <f>+VLOOKUP(B2213,ARTICULOS!$D$10:$I$699,6)</f>
        <v>#N/A</v>
      </c>
      <c r="D2213" s="212"/>
      <c r="E2213" s="75" t="e">
        <f t="shared" si="72"/>
        <v>#N/A</v>
      </c>
      <c r="F2213" s="80"/>
      <c r="G2213" s="81"/>
      <c r="H2213" s="78"/>
      <c r="I2213" s="78"/>
      <c r="J2213" s="78"/>
    </row>
    <row r="2214" spans="1:10" x14ac:dyDescent="0.2">
      <c r="A2214" s="84">
        <f t="shared" si="71"/>
        <v>2208</v>
      </c>
      <c r="B2214" s="85" t="e">
        <f>+MATCH(D2214,ARTICULOS!$F$10:$F$699,0)</f>
        <v>#N/A</v>
      </c>
      <c r="C2214" s="86" t="e">
        <f>+VLOOKUP(B2214,ARTICULOS!$D$10:$I$699,6)</f>
        <v>#N/A</v>
      </c>
      <c r="D2214" s="212"/>
      <c r="E2214" s="75" t="e">
        <f t="shared" si="72"/>
        <v>#N/A</v>
      </c>
      <c r="F2214" s="80"/>
      <c r="G2214" s="81"/>
      <c r="H2214" s="78"/>
      <c r="I2214" s="78"/>
      <c r="J2214" s="78"/>
    </row>
    <row r="2215" spans="1:10" x14ac:dyDescent="0.2">
      <c r="A2215" s="84">
        <f t="shared" si="71"/>
        <v>2209</v>
      </c>
      <c r="B2215" s="85" t="e">
        <f>+MATCH(D2215,ARTICULOS!$F$10:$F$699,0)</f>
        <v>#N/A</v>
      </c>
      <c r="C2215" s="86" t="e">
        <f>+VLOOKUP(B2215,ARTICULOS!$D$10:$I$699,6)</f>
        <v>#N/A</v>
      </c>
      <c r="D2215" s="212"/>
      <c r="E2215" s="75" t="e">
        <f t="shared" si="72"/>
        <v>#N/A</v>
      </c>
      <c r="F2215" s="80"/>
      <c r="G2215" s="81"/>
      <c r="H2215" s="78"/>
      <c r="I2215" s="78"/>
      <c r="J2215" s="78"/>
    </row>
    <row r="2216" spans="1:10" x14ac:dyDescent="0.2">
      <c r="A2216" s="84">
        <f t="shared" si="71"/>
        <v>2210</v>
      </c>
      <c r="B2216" s="85" t="e">
        <f>+MATCH(D2216,ARTICULOS!$F$10:$F$699,0)</f>
        <v>#N/A</v>
      </c>
      <c r="C2216" s="86" t="e">
        <f>+VLOOKUP(B2216,ARTICULOS!$D$10:$I$699,6)</f>
        <v>#N/A</v>
      </c>
      <c r="D2216" s="212"/>
      <c r="E2216" s="75" t="e">
        <f t="shared" si="72"/>
        <v>#N/A</v>
      </c>
      <c r="F2216" s="80"/>
      <c r="G2216" s="81"/>
      <c r="H2216" s="78"/>
      <c r="I2216" s="78"/>
      <c r="J2216" s="78"/>
    </row>
    <row r="2217" spans="1:10" x14ac:dyDescent="0.2">
      <c r="A2217" s="84">
        <f t="shared" ref="A2217:A2280" si="73">ROW()-6</f>
        <v>2211</v>
      </c>
      <c r="B2217" s="85" t="e">
        <f>+MATCH(D2217,ARTICULOS!$F$10:$F$699,0)</f>
        <v>#N/A</v>
      </c>
      <c r="C2217" s="86" t="e">
        <f>+VLOOKUP(B2217,ARTICULOS!$D$10:$I$699,6)</f>
        <v>#N/A</v>
      </c>
      <c r="D2217" s="212"/>
      <c r="E2217" s="75" t="e">
        <f t="shared" si="72"/>
        <v>#N/A</v>
      </c>
      <c r="F2217" s="80"/>
      <c r="G2217" s="81"/>
      <c r="H2217" s="78"/>
      <c r="I2217" s="78"/>
      <c r="J2217" s="78"/>
    </row>
    <row r="2218" spans="1:10" x14ac:dyDescent="0.2">
      <c r="A2218" s="84">
        <f t="shared" si="73"/>
        <v>2212</v>
      </c>
      <c r="B2218" s="85" t="e">
        <f>+MATCH(D2218,ARTICULOS!$F$10:$F$699,0)</f>
        <v>#N/A</v>
      </c>
      <c r="C2218" s="86" t="e">
        <f>+VLOOKUP(B2218,ARTICULOS!$D$10:$I$699,6)</f>
        <v>#N/A</v>
      </c>
      <c r="D2218" s="212"/>
      <c r="E2218" s="75" t="e">
        <f t="shared" si="72"/>
        <v>#N/A</v>
      </c>
      <c r="F2218" s="80"/>
      <c r="G2218" s="81"/>
      <c r="H2218" s="78"/>
      <c r="I2218" s="78"/>
      <c r="J2218" s="78"/>
    </row>
    <row r="2219" spans="1:10" x14ac:dyDescent="0.2">
      <c r="A2219" s="84">
        <f t="shared" si="73"/>
        <v>2213</v>
      </c>
      <c r="B2219" s="85" t="e">
        <f>+MATCH(D2219,ARTICULOS!$F$10:$F$699,0)</f>
        <v>#N/A</v>
      </c>
      <c r="C2219" s="86" t="e">
        <f>+VLOOKUP(B2219,ARTICULOS!$D$10:$I$699,6)</f>
        <v>#N/A</v>
      </c>
      <c r="D2219" s="212"/>
      <c r="E2219" s="75" t="e">
        <f t="shared" si="72"/>
        <v>#N/A</v>
      </c>
      <c r="F2219" s="80"/>
      <c r="G2219" s="81"/>
      <c r="H2219" s="78"/>
      <c r="I2219" s="78"/>
      <c r="J2219" s="78"/>
    </row>
    <row r="2220" spans="1:10" x14ac:dyDescent="0.2">
      <c r="A2220" s="84">
        <f t="shared" si="73"/>
        <v>2214</v>
      </c>
      <c r="B2220" s="85" t="e">
        <f>+MATCH(D2220,ARTICULOS!$F$10:$F$699,0)</f>
        <v>#N/A</v>
      </c>
      <c r="C2220" s="86" t="e">
        <f>+VLOOKUP(B2220,ARTICULOS!$D$10:$I$699,6)</f>
        <v>#N/A</v>
      </c>
      <c r="D2220" s="212"/>
      <c r="E2220" s="75" t="e">
        <f t="shared" si="72"/>
        <v>#N/A</v>
      </c>
      <c r="F2220" s="80"/>
      <c r="G2220" s="81"/>
      <c r="H2220" s="78"/>
      <c r="I2220" s="78"/>
      <c r="J2220" s="78"/>
    </row>
    <row r="2221" spans="1:10" x14ac:dyDescent="0.2">
      <c r="A2221" s="84">
        <f t="shared" si="73"/>
        <v>2215</v>
      </c>
      <c r="B2221" s="85" t="e">
        <f>+MATCH(D2221,ARTICULOS!$F$10:$F$699,0)</f>
        <v>#N/A</v>
      </c>
      <c r="C2221" s="86" t="e">
        <f>+VLOOKUP(B2221,ARTICULOS!$D$10:$I$699,6)</f>
        <v>#N/A</v>
      </c>
      <c r="D2221" s="212"/>
      <c r="E2221" s="75" t="e">
        <f t="shared" si="72"/>
        <v>#N/A</v>
      </c>
      <c r="F2221" s="80"/>
      <c r="G2221" s="81"/>
      <c r="H2221" s="78"/>
      <c r="I2221" s="78"/>
      <c r="J2221" s="78"/>
    </row>
    <row r="2222" spans="1:10" x14ac:dyDescent="0.2">
      <c r="A2222" s="84">
        <f t="shared" si="73"/>
        <v>2216</v>
      </c>
      <c r="B2222" s="85" t="e">
        <f>+MATCH(D2222,ARTICULOS!$F$10:$F$699,0)</f>
        <v>#N/A</v>
      </c>
      <c r="C2222" s="86" t="e">
        <f>+VLOOKUP(B2222,ARTICULOS!$D$10:$I$699,6)</f>
        <v>#N/A</v>
      </c>
      <c r="D2222" s="212"/>
      <c r="E2222" s="75" t="e">
        <f t="shared" si="72"/>
        <v>#N/A</v>
      </c>
      <c r="F2222" s="80"/>
      <c r="G2222" s="81"/>
      <c r="H2222" s="78"/>
      <c r="I2222" s="78"/>
      <c r="J2222" s="78"/>
    </row>
    <row r="2223" spans="1:10" x14ac:dyDescent="0.2">
      <c r="A2223" s="84">
        <f t="shared" si="73"/>
        <v>2217</v>
      </c>
      <c r="B2223" s="85" t="e">
        <f>+MATCH(D2223,ARTICULOS!$F$10:$F$699,0)</f>
        <v>#N/A</v>
      </c>
      <c r="C2223" s="86" t="e">
        <f>+VLOOKUP(B2223,ARTICULOS!$D$10:$I$699,6)</f>
        <v>#N/A</v>
      </c>
      <c r="D2223" s="212"/>
      <c r="E2223" s="75" t="e">
        <f t="shared" si="72"/>
        <v>#N/A</v>
      </c>
      <c r="F2223" s="80"/>
      <c r="G2223" s="81"/>
      <c r="H2223" s="78"/>
      <c r="I2223" s="78"/>
      <c r="J2223" s="78"/>
    </row>
    <row r="2224" spans="1:10" x14ac:dyDescent="0.2">
      <c r="A2224" s="84">
        <f t="shared" si="73"/>
        <v>2218</v>
      </c>
      <c r="B2224" s="85" t="e">
        <f>+MATCH(D2224,ARTICULOS!$F$10:$F$699,0)</f>
        <v>#N/A</v>
      </c>
      <c r="C2224" s="86" t="e">
        <f>+VLOOKUP(B2224,ARTICULOS!$D$10:$I$699,6)</f>
        <v>#N/A</v>
      </c>
      <c r="D2224" s="212"/>
      <c r="E2224" s="75" t="e">
        <f t="shared" si="72"/>
        <v>#N/A</v>
      </c>
      <c r="F2224" s="80"/>
      <c r="G2224" s="81"/>
      <c r="H2224" s="78"/>
      <c r="I2224" s="78"/>
      <c r="J2224" s="78"/>
    </row>
    <row r="2225" spans="1:10" x14ac:dyDescent="0.2">
      <c r="A2225" s="84">
        <f t="shared" si="73"/>
        <v>2219</v>
      </c>
      <c r="B2225" s="85" t="e">
        <f>+MATCH(D2225,ARTICULOS!$F$10:$F$699,0)</f>
        <v>#N/A</v>
      </c>
      <c r="C2225" s="86" t="e">
        <f>+VLOOKUP(B2225,ARTICULOS!$D$10:$I$699,6)</f>
        <v>#N/A</v>
      </c>
      <c r="D2225" s="212"/>
      <c r="E2225" s="75" t="e">
        <f t="shared" si="72"/>
        <v>#N/A</v>
      </c>
      <c r="F2225" s="80"/>
      <c r="G2225" s="81"/>
      <c r="H2225" s="78"/>
      <c r="I2225" s="78"/>
      <c r="J2225" s="78"/>
    </row>
    <row r="2226" spans="1:10" x14ac:dyDescent="0.2">
      <c r="A2226" s="84">
        <f t="shared" si="73"/>
        <v>2220</v>
      </c>
      <c r="B2226" s="85" t="e">
        <f>+MATCH(D2226,ARTICULOS!$F$10:$F$699,0)</f>
        <v>#N/A</v>
      </c>
      <c r="C2226" s="86" t="e">
        <f>+VLOOKUP(B2226,ARTICULOS!$D$10:$I$699,6)</f>
        <v>#N/A</v>
      </c>
      <c r="D2226" s="212"/>
      <c r="E2226" s="75" t="e">
        <f t="shared" si="72"/>
        <v>#N/A</v>
      </c>
      <c r="F2226" s="80"/>
      <c r="G2226" s="81"/>
      <c r="H2226" s="78"/>
      <c r="I2226" s="78"/>
      <c r="J2226" s="78"/>
    </row>
    <row r="2227" spans="1:10" x14ac:dyDescent="0.2">
      <c r="A2227" s="84">
        <f t="shared" si="73"/>
        <v>2221</v>
      </c>
      <c r="B2227" s="85" t="e">
        <f>+MATCH(D2227,ARTICULOS!$F$10:$F$699,0)</f>
        <v>#N/A</v>
      </c>
      <c r="C2227" s="86" t="e">
        <f>+VLOOKUP(B2227,ARTICULOS!$D$10:$I$699,6)</f>
        <v>#N/A</v>
      </c>
      <c r="D2227" s="212"/>
      <c r="E2227" s="75" t="e">
        <f t="shared" si="72"/>
        <v>#N/A</v>
      </c>
      <c r="F2227" s="80"/>
      <c r="G2227" s="81"/>
      <c r="H2227" s="78"/>
      <c r="I2227" s="78"/>
      <c r="J2227" s="78"/>
    </row>
    <row r="2228" spans="1:10" x14ac:dyDescent="0.2">
      <c r="A2228" s="84">
        <f t="shared" si="73"/>
        <v>2222</v>
      </c>
      <c r="B2228" s="85" t="e">
        <f>+MATCH(D2228,ARTICULOS!$F$10:$F$699,0)</f>
        <v>#N/A</v>
      </c>
      <c r="C2228" s="86" t="e">
        <f>+VLOOKUP(B2228,ARTICULOS!$D$10:$I$699,6)</f>
        <v>#N/A</v>
      </c>
      <c r="D2228" s="212"/>
      <c r="E2228" s="75" t="e">
        <f t="shared" si="72"/>
        <v>#N/A</v>
      </c>
      <c r="F2228" s="80"/>
      <c r="G2228" s="81"/>
      <c r="H2228" s="78"/>
      <c r="I2228" s="78"/>
      <c r="J2228" s="78"/>
    </row>
    <row r="2229" spans="1:10" x14ac:dyDescent="0.2">
      <c r="A2229" s="84">
        <f t="shared" si="73"/>
        <v>2223</v>
      </c>
      <c r="B2229" s="85" t="e">
        <f>+MATCH(D2229,ARTICULOS!$F$10:$F$699,0)</f>
        <v>#N/A</v>
      </c>
      <c r="C2229" s="86" t="e">
        <f>+VLOOKUP(B2229,ARTICULOS!$D$10:$I$699,6)</f>
        <v>#N/A</v>
      </c>
      <c r="D2229" s="212"/>
      <c r="E2229" s="75" t="e">
        <f t="shared" si="72"/>
        <v>#N/A</v>
      </c>
      <c r="F2229" s="80"/>
      <c r="G2229" s="81"/>
      <c r="H2229" s="78"/>
      <c r="I2229" s="78"/>
      <c r="J2229" s="78"/>
    </row>
    <row r="2230" spans="1:10" x14ac:dyDescent="0.2">
      <c r="A2230" s="84">
        <f t="shared" si="73"/>
        <v>2224</v>
      </c>
      <c r="B2230" s="85" t="e">
        <f>+MATCH(D2230,ARTICULOS!$F$10:$F$699,0)</f>
        <v>#N/A</v>
      </c>
      <c r="C2230" s="86" t="e">
        <f>+VLOOKUP(B2230,ARTICULOS!$D$10:$I$699,6)</f>
        <v>#N/A</v>
      </c>
      <c r="D2230" s="212"/>
      <c r="E2230" s="75" t="e">
        <f t="shared" si="72"/>
        <v>#N/A</v>
      </c>
      <c r="F2230" s="80"/>
      <c r="G2230" s="81"/>
      <c r="H2230" s="78"/>
      <c r="I2230" s="78"/>
      <c r="J2230" s="78"/>
    </row>
    <row r="2231" spans="1:10" x14ac:dyDescent="0.2">
      <c r="A2231" s="84">
        <f t="shared" si="73"/>
        <v>2225</v>
      </c>
      <c r="B2231" s="85" t="e">
        <f>+MATCH(D2231,ARTICULOS!$F$10:$F$699,0)</f>
        <v>#N/A</v>
      </c>
      <c r="C2231" s="86" t="e">
        <f>+VLOOKUP(B2231,ARTICULOS!$D$10:$I$699,6)</f>
        <v>#N/A</v>
      </c>
      <c r="D2231" s="212"/>
      <c r="E2231" s="75" t="e">
        <f t="shared" si="72"/>
        <v>#N/A</v>
      </c>
      <c r="F2231" s="80"/>
      <c r="G2231" s="81"/>
      <c r="H2231" s="78"/>
      <c r="I2231" s="78"/>
      <c r="J2231" s="78"/>
    </row>
    <row r="2232" spans="1:10" x14ac:dyDescent="0.2">
      <c r="A2232" s="84">
        <f t="shared" si="73"/>
        <v>2226</v>
      </c>
      <c r="B2232" s="85" t="e">
        <f>+MATCH(D2232,ARTICULOS!$F$10:$F$699,0)</f>
        <v>#N/A</v>
      </c>
      <c r="C2232" s="86" t="e">
        <f>+VLOOKUP(B2232,ARTICULOS!$D$10:$I$699,6)</f>
        <v>#N/A</v>
      </c>
      <c r="D2232" s="212"/>
      <c r="E2232" s="75" t="e">
        <f t="shared" si="72"/>
        <v>#N/A</v>
      </c>
      <c r="F2232" s="80"/>
      <c r="G2232" s="81"/>
      <c r="H2232" s="78"/>
      <c r="I2232" s="78"/>
      <c r="J2232" s="78"/>
    </row>
    <row r="2233" spans="1:10" x14ac:dyDescent="0.2">
      <c r="A2233" s="84">
        <f t="shared" si="73"/>
        <v>2227</v>
      </c>
      <c r="B2233" s="85" t="e">
        <f>+MATCH(D2233,ARTICULOS!$F$10:$F$699,0)</f>
        <v>#N/A</v>
      </c>
      <c r="C2233" s="86" t="e">
        <f>+VLOOKUP(B2233,ARTICULOS!$D$10:$I$699,6)</f>
        <v>#N/A</v>
      </c>
      <c r="D2233" s="212"/>
      <c r="E2233" s="75" t="e">
        <f t="shared" si="72"/>
        <v>#N/A</v>
      </c>
      <c r="F2233" s="80"/>
      <c r="G2233" s="81"/>
      <c r="H2233" s="78"/>
      <c r="I2233" s="78"/>
      <c r="J2233" s="78"/>
    </row>
    <row r="2234" spans="1:10" x14ac:dyDescent="0.2">
      <c r="A2234" s="84">
        <f t="shared" si="73"/>
        <v>2228</v>
      </c>
      <c r="B2234" s="85" t="e">
        <f>+MATCH(D2234,ARTICULOS!$F$10:$F$699,0)</f>
        <v>#N/A</v>
      </c>
      <c r="C2234" s="86" t="e">
        <f>+VLOOKUP(B2234,ARTICULOS!$D$10:$I$699,6)</f>
        <v>#N/A</v>
      </c>
      <c r="D2234" s="212"/>
      <c r="E2234" s="75" t="e">
        <f t="shared" si="72"/>
        <v>#N/A</v>
      </c>
      <c r="F2234" s="80"/>
      <c r="G2234" s="81"/>
      <c r="H2234" s="78"/>
      <c r="I2234" s="78"/>
      <c r="J2234" s="78"/>
    </row>
    <row r="2235" spans="1:10" x14ac:dyDescent="0.2">
      <c r="A2235" s="84">
        <f t="shared" si="73"/>
        <v>2229</v>
      </c>
      <c r="B2235" s="85" t="e">
        <f>+MATCH(D2235,ARTICULOS!$F$10:$F$699,0)</f>
        <v>#N/A</v>
      </c>
      <c r="C2235" s="86" t="e">
        <f>+VLOOKUP(B2235,ARTICULOS!$D$10:$I$699,6)</f>
        <v>#N/A</v>
      </c>
      <c r="D2235" s="212"/>
      <c r="E2235" s="75" t="e">
        <f t="shared" si="72"/>
        <v>#N/A</v>
      </c>
      <c r="F2235" s="80"/>
      <c r="G2235" s="81"/>
      <c r="H2235" s="78"/>
      <c r="I2235" s="78"/>
      <c r="J2235" s="78"/>
    </row>
    <row r="2236" spans="1:10" x14ac:dyDescent="0.2">
      <c r="A2236" s="84">
        <f t="shared" si="73"/>
        <v>2230</v>
      </c>
      <c r="B2236" s="85" t="e">
        <f>+MATCH(D2236,ARTICULOS!$F$10:$F$699,0)</f>
        <v>#N/A</v>
      </c>
      <c r="C2236" s="86" t="e">
        <f>+VLOOKUP(B2236,ARTICULOS!$D$10:$I$699,6)</f>
        <v>#N/A</v>
      </c>
      <c r="D2236" s="212"/>
      <c r="E2236" s="75" t="e">
        <f t="shared" si="72"/>
        <v>#N/A</v>
      </c>
      <c r="F2236" s="80"/>
      <c r="G2236" s="81"/>
      <c r="H2236" s="78"/>
      <c r="I2236" s="78"/>
      <c r="J2236" s="78"/>
    </row>
    <row r="2237" spans="1:10" x14ac:dyDescent="0.2">
      <c r="A2237" s="84">
        <f t="shared" si="73"/>
        <v>2231</v>
      </c>
      <c r="B2237" s="85" t="e">
        <f>+MATCH(D2237,ARTICULOS!$F$10:$F$699,0)</f>
        <v>#N/A</v>
      </c>
      <c r="C2237" s="86" t="e">
        <f>+VLOOKUP(B2237,ARTICULOS!$D$10:$I$699,6)</f>
        <v>#N/A</v>
      </c>
      <c r="D2237" s="212"/>
      <c r="E2237" s="75" t="e">
        <f t="shared" si="72"/>
        <v>#N/A</v>
      </c>
      <c r="F2237" s="80"/>
      <c r="G2237" s="81"/>
      <c r="H2237" s="78"/>
      <c r="I2237" s="78"/>
      <c r="J2237" s="78"/>
    </row>
    <row r="2238" spans="1:10" x14ac:dyDescent="0.2">
      <c r="A2238" s="84">
        <f t="shared" si="73"/>
        <v>2232</v>
      </c>
      <c r="B2238" s="85" t="e">
        <f>+MATCH(D2238,ARTICULOS!$F$10:$F$699,0)</f>
        <v>#N/A</v>
      </c>
      <c r="C2238" s="86" t="e">
        <f>+VLOOKUP(B2238,ARTICULOS!$D$10:$I$699,6)</f>
        <v>#N/A</v>
      </c>
      <c r="D2238" s="212"/>
      <c r="E2238" s="75" t="e">
        <f t="shared" si="72"/>
        <v>#N/A</v>
      </c>
      <c r="F2238" s="80"/>
      <c r="G2238" s="81"/>
      <c r="H2238" s="78"/>
      <c r="I2238" s="78"/>
      <c r="J2238" s="78"/>
    </row>
    <row r="2239" spans="1:10" x14ac:dyDescent="0.2">
      <c r="A2239" s="84">
        <f t="shared" si="73"/>
        <v>2233</v>
      </c>
      <c r="B2239" s="85" t="e">
        <f>+MATCH(D2239,ARTICULOS!$F$10:$F$699,0)</f>
        <v>#N/A</v>
      </c>
      <c r="C2239" s="86" t="e">
        <f>+VLOOKUP(B2239,ARTICULOS!$D$10:$I$699,6)</f>
        <v>#N/A</v>
      </c>
      <c r="D2239" s="212"/>
      <c r="E2239" s="75" t="e">
        <f t="shared" si="72"/>
        <v>#N/A</v>
      </c>
      <c r="F2239" s="80"/>
      <c r="G2239" s="81"/>
      <c r="H2239" s="78"/>
      <c r="I2239" s="78"/>
      <c r="J2239" s="78"/>
    </row>
    <row r="2240" spans="1:10" x14ac:dyDescent="0.2">
      <c r="A2240" s="84">
        <f t="shared" si="73"/>
        <v>2234</v>
      </c>
      <c r="B2240" s="85" t="e">
        <f>+MATCH(D2240,ARTICULOS!$F$10:$F$699,0)</f>
        <v>#N/A</v>
      </c>
      <c r="C2240" s="86" t="e">
        <f>+VLOOKUP(B2240,ARTICULOS!$D$10:$I$699,6)</f>
        <v>#N/A</v>
      </c>
      <c r="D2240" s="212"/>
      <c r="E2240" s="75" t="e">
        <f t="shared" si="72"/>
        <v>#N/A</v>
      </c>
      <c r="F2240" s="80"/>
      <c r="G2240" s="81"/>
      <c r="H2240" s="78"/>
      <c r="I2240" s="78"/>
      <c r="J2240" s="78"/>
    </row>
    <row r="2241" spans="1:10" x14ac:dyDescent="0.2">
      <c r="A2241" s="84">
        <f t="shared" si="73"/>
        <v>2235</v>
      </c>
      <c r="B2241" s="85" t="e">
        <f>+MATCH(D2241,ARTICULOS!$F$10:$F$699,0)</f>
        <v>#N/A</v>
      </c>
      <c r="C2241" s="86" t="e">
        <f>+VLOOKUP(B2241,ARTICULOS!$D$10:$I$699,6)</f>
        <v>#N/A</v>
      </c>
      <c r="D2241" s="212"/>
      <c r="E2241" s="75" t="e">
        <f t="shared" si="72"/>
        <v>#N/A</v>
      </c>
      <c r="F2241" s="80"/>
      <c r="G2241" s="81"/>
      <c r="H2241" s="78"/>
      <c r="I2241" s="78"/>
      <c r="J2241" s="78"/>
    </row>
    <row r="2242" spans="1:10" x14ac:dyDescent="0.2">
      <c r="A2242" s="84">
        <f t="shared" si="73"/>
        <v>2236</v>
      </c>
      <c r="B2242" s="85" t="e">
        <f>+MATCH(D2242,ARTICULOS!$F$10:$F$699,0)</f>
        <v>#N/A</v>
      </c>
      <c r="C2242" s="86" t="e">
        <f>+VLOOKUP(B2242,ARTICULOS!$D$10:$I$699,6)</f>
        <v>#N/A</v>
      </c>
      <c r="D2242" s="212"/>
      <c r="E2242" s="75" t="e">
        <f t="shared" si="72"/>
        <v>#N/A</v>
      </c>
      <c r="F2242" s="80"/>
      <c r="G2242" s="81"/>
      <c r="H2242" s="78"/>
      <c r="I2242" s="78"/>
      <c r="J2242" s="78"/>
    </row>
    <row r="2243" spans="1:10" x14ac:dyDescent="0.2">
      <c r="A2243" s="84">
        <f t="shared" si="73"/>
        <v>2237</v>
      </c>
      <c r="B2243" s="85" t="e">
        <f>+MATCH(D2243,ARTICULOS!$F$10:$F$699,0)</f>
        <v>#N/A</v>
      </c>
      <c r="C2243" s="86" t="e">
        <f>+VLOOKUP(B2243,ARTICULOS!$D$10:$I$699,6)</f>
        <v>#N/A</v>
      </c>
      <c r="D2243" s="212"/>
      <c r="E2243" s="75" t="e">
        <f t="shared" si="72"/>
        <v>#N/A</v>
      </c>
      <c r="F2243" s="80"/>
      <c r="G2243" s="81"/>
      <c r="H2243" s="78"/>
      <c r="I2243" s="78"/>
      <c r="J2243" s="78"/>
    </row>
    <row r="2244" spans="1:10" x14ac:dyDescent="0.2">
      <c r="A2244" s="84">
        <f t="shared" si="73"/>
        <v>2238</v>
      </c>
      <c r="B2244" s="85" t="e">
        <f>+MATCH(D2244,ARTICULOS!$F$10:$F$699,0)</f>
        <v>#N/A</v>
      </c>
      <c r="C2244" s="86" t="e">
        <f>+VLOOKUP(B2244,ARTICULOS!$D$10:$I$699,6)</f>
        <v>#N/A</v>
      </c>
      <c r="D2244" s="212"/>
      <c r="E2244" s="75" t="e">
        <f t="shared" si="72"/>
        <v>#N/A</v>
      </c>
      <c r="F2244" s="80"/>
      <c r="G2244" s="81"/>
      <c r="H2244" s="78"/>
      <c r="I2244" s="78"/>
      <c r="J2244" s="78"/>
    </row>
    <row r="2245" spans="1:10" x14ac:dyDescent="0.2">
      <c r="A2245" s="84">
        <f t="shared" si="73"/>
        <v>2239</v>
      </c>
      <c r="B2245" s="85" t="e">
        <f>+MATCH(D2245,ARTICULOS!$F$10:$F$699,0)</f>
        <v>#N/A</v>
      </c>
      <c r="C2245" s="86" t="e">
        <f>+VLOOKUP(B2245,ARTICULOS!$D$10:$I$699,6)</f>
        <v>#N/A</v>
      </c>
      <c r="D2245" s="212"/>
      <c r="E2245" s="75" t="e">
        <f t="shared" si="72"/>
        <v>#N/A</v>
      </c>
      <c r="F2245" s="80"/>
      <c r="G2245" s="81"/>
      <c r="H2245" s="78"/>
      <c r="I2245" s="78"/>
      <c r="J2245" s="78"/>
    </row>
    <row r="2246" spans="1:10" x14ac:dyDescent="0.2">
      <c r="A2246" s="84">
        <f t="shared" si="73"/>
        <v>2240</v>
      </c>
      <c r="B2246" s="85" t="e">
        <f>+MATCH(D2246,ARTICULOS!$F$10:$F$699,0)</f>
        <v>#N/A</v>
      </c>
      <c r="C2246" s="86" t="e">
        <f>+VLOOKUP(B2246,ARTICULOS!$D$10:$I$699,6)</f>
        <v>#N/A</v>
      </c>
      <c r="D2246" s="212"/>
      <c r="E2246" s="75" t="e">
        <f t="shared" si="72"/>
        <v>#N/A</v>
      </c>
      <c r="F2246" s="80"/>
      <c r="G2246" s="81"/>
      <c r="H2246" s="78"/>
      <c r="I2246" s="78"/>
      <c r="J2246" s="78"/>
    </row>
    <row r="2247" spans="1:10" x14ac:dyDescent="0.2">
      <c r="A2247" s="84">
        <f t="shared" si="73"/>
        <v>2241</v>
      </c>
      <c r="B2247" s="85" t="e">
        <f>+MATCH(D2247,ARTICULOS!$F$10:$F$699,0)</f>
        <v>#N/A</v>
      </c>
      <c r="C2247" s="86" t="e">
        <f>+VLOOKUP(B2247,ARTICULOS!$D$10:$I$699,6)</f>
        <v>#N/A</v>
      </c>
      <c r="D2247" s="212"/>
      <c r="E2247" s="75" t="e">
        <f t="shared" si="72"/>
        <v>#N/A</v>
      </c>
      <c r="F2247" s="80"/>
      <c r="G2247" s="81"/>
      <c r="H2247" s="78"/>
      <c r="I2247" s="78"/>
      <c r="J2247" s="78"/>
    </row>
    <row r="2248" spans="1:10" x14ac:dyDescent="0.2">
      <c r="A2248" s="84">
        <f t="shared" si="73"/>
        <v>2242</v>
      </c>
      <c r="B2248" s="85" t="e">
        <f>+MATCH(D2248,ARTICULOS!$F$10:$F$699,0)</f>
        <v>#N/A</v>
      </c>
      <c r="C2248" s="86" t="e">
        <f>+VLOOKUP(B2248,ARTICULOS!$D$10:$I$699,6)</f>
        <v>#N/A</v>
      </c>
      <c r="D2248" s="212"/>
      <c r="E2248" s="75" t="e">
        <f t="shared" si="72"/>
        <v>#N/A</v>
      </c>
      <c r="F2248" s="80"/>
      <c r="G2248" s="81"/>
      <c r="H2248" s="78"/>
      <c r="I2248" s="78"/>
      <c r="J2248" s="78"/>
    </row>
    <row r="2249" spans="1:10" x14ac:dyDescent="0.2">
      <c r="A2249" s="84">
        <f t="shared" si="73"/>
        <v>2243</v>
      </c>
      <c r="B2249" s="85" t="e">
        <f>+MATCH(D2249,ARTICULOS!$F$10:$F$699,0)</f>
        <v>#N/A</v>
      </c>
      <c r="C2249" s="86" t="e">
        <f>+VLOOKUP(B2249,ARTICULOS!$D$10:$I$699,6)</f>
        <v>#N/A</v>
      </c>
      <c r="D2249" s="212"/>
      <c r="E2249" s="75" t="e">
        <f t="shared" si="72"/>
        <v>#N/A</v>
      </c>
      <c r="F2249" s="80"/>
      <c r="G2249" s="81"/>
      <c r="H2249" s="78"/>
      <c r="I2249" s="78"/>
      <c r="J2249" s="78"/>
    </row>
    <row r="2250" spans="1:10" x14ac:dyDescent="0.2">
      <c r="A2250" s="84">
        <f t="shared" si="73"/>
        <v>2244</v>
      </c>
      <c r="B2250" s="85" t="e">
        <f>+MATCH(D2250,ARTICULOS!$F$10:$F$699,0)</f>
        <v>#N/A</v>
      </c>
      <c r="C2250" s="86" t="e">
        <f>+VLOOKUP(B2250,ARTICULOS!$D$10:$I$699,6)</f>
        <v>#N/A</v>
      </c>
      <c r="D2250" s="212"/>
      <c r="E2250" s="75" t="e">
        <f t="shared" si="72"/>
        <v>#N/A</v>
      </c>
      <c r="F2250" s="80"/>
      <c r="G2250" s="81"/>
      <c r="H2250" s="78"/>
      <c r="I2250" s="78"/>
      <c r="J2250" s="78"/>
    </row>
    <row r="2251" spans="1:10" x14ac:dyDescent="0.2">
      <c r="A2251" s="84">
        <f t="shared" si="73"/>
        <v>2245</v>
      </c>
      <c r="B2251" s="85" t="e">
        <f>+MATCH(D2251,ARTICULOS!$F$10:$F$699,0)</f>
        <v>#N/A</v>
      </c>
      <c r="C2251" s="86" t="e">
        <f>+VLOOKUP(B2251,ARTICULOS!$D$10:$I$699,6)</f>
        <v>#N/A</v>
      </c>
      <c r="D2251" s="212"/>
      <c r="E2251" s="75" t="e">
        <f t="shared" ref="E2251:E2314" si="74">+C2251&amp;F2251</f>
        <v>#N/A</v>
      </c>
      <c r="F2251" s="80"/>
      <c r="G2251" s="81"/>
      <c r="H2251" s="78"/>
      <c r="I2251" s="78"/>
      <c r="J2251" s="78"/>
    </row>
    <row r="2252" spans="1:10" x14ac:dyDescent="0.2">
      <c r="A2252" s="84">
        <f t="shared" si="73"/>
        <v>2246</v>
      </c>
      <c r="B2252" s="85" t="e">
        <f>+MATCH(D2252,ARTICULOS!$F$10:$F$699,0)</f>
        <v>#N/A</v>
      </c>
      <c r="C2252" s="86" t="e">
        <f>+VLOOKUP(B2252,ARTICULOS!$D$10:$I$699,6)</f>
        <v>#N/A</v>
      </c>
      <c r="D2252" s="212"/>
      <c r="E2252" s="75" t="e">
        <f t="shared" si="74"/>
        <v>#N/A</v>
      </c>
      <c r="F2252" s="80"/>
      <c r="G2252" s="81"/>
      <c r="H2252" s="78"/>
      <c r="I2252" s="78"/>
      <c r="J2252" s="78"/>
    </row>
    <row r="2253" spans="1:10" x14ac:dyDescent="0.2">
      <c r="A2253" s="84">
        <f t="shared" si="73"/>
        <v>2247</v>
      </c>
      <c r="B2253" s="85" t="e">
        <f>+MATCH(D2253,ARTICULOS!$F$10:$F$699,0)</f>
        <v>#N/A</v>
      </c>
      <c r="C2253" s="86" t="e">
        <f>+VLOOKUP(B2253,ARTICULOS!$D$10:$I$699,6)</f>
        <v>#N/A</v>
      </c>
      <c r="D2253" s="212"/>
      <c r="E2253" s="75" t="e">
        <f t="shared" si="74"/>
        <v>#N/A</v>
      </c>
      <c r="F2253" s="80"/>
      <c r="G2253" s="81"/>
      <c r="H2253" s="78"/>
      <c r="I2253" s="78"/>
      <c r="J2253" s="78"/>
    </row>
    <row r="2254" spans="1:10" x14ac:dyDescent="0.2">
      <c r="A2254" s="84">
        <f t="shared" si="73"/>
        <v>2248</v>
      </c>
      <c r="B2254" s="85" t="e">
        <f>+MATCH(D2254,ARTICULOS!$F$10:$F$699,0)</f>
        <v>#N/A</v>
      </c>
      <c r="C2254" s="86" t="e">
        <f>+VLOOKUP(B2254,ARTICULOS!$D$10:$I$699,6)</f>
        <v>#N/A</v>
      </c>
      <c r="D2254" s="212"/>
      <c r="E2254" s="75" t="e">
        <f t="shared" si="74"/>
        <v>#N/A</v>
      </c>
      <c r="F2254" s="80"/>
      <c r="G2254" s="81"/>
      <c r="H2254" s="78"/>
      <c r="I2254" s="78"/>
      <c r="J2254" s="78"/>
    </row>
    <row r="2255" spans="1:10" x14ac:dyDescent="0.2">
      <c r="A2255" s="84">
        <f t="shared" si="73"/>
        <v>2249</v>
      </c>
      <c r="B2255" s="85" t="e">
        <f>+MATCH(D2255,ARTICULOS!$F$10:$F$699,0)</f>
        <v>#N/A</v>
      </c>
      <c r="C2255" s="86" t="e">
        <f>+VLOOKUP(B2255,ARTICULOS!$D$10:$I$699,6)</f>
        <v>#N/A</v>
      </c>
      <c r="D2255" s="212"/>
      <c r="E2255" s="75" t="e">
        <f t="shared" si="74"/>
        <v>#N/A</v>
      </c>
      <c r="F2255" s="80"/>
      <c r="G2255" s="81"/>
      <c r="H2255" s="78"/>
      <c r="I2255" s="78"/>
      <c r="J2255" s="78"/>
    </row>
    <row r="2256" spans="1:10" x14ac:dyDescent="0.2">
      <c r="A2256" s="84">
        <f t="shared" si="73"/>
        <v>2250</v>
      </c>
      <c r="B2256" s="85" t="e">
        <f>+MATCH(D2256,ARTICULOS!$F$10:$F$699,0)</f>
        <v>#N/A</v>
      </c>
      <c r="C2256" s="86" t="e">
        <f>+VLOOKUP(B2256,ARTICULOS!$D$10:$I$699,6)</f>
        <v>#N/A</v>
      </c>
      <c r="D2256" s="212"/>
      <c r="E2256" s="75" t="e">
        <f t="shared" si="74"/>
        <v>#N/A</v>
      </c>
      <c r="F2256" s="80"/>
      <c r="G2256" s="81"/>
      <c r="H2256" s="78"/>
      <c r="I2256" s="78"/>
      <c r="J2256" s="78"/>
    </row>
    <row r="2257" spans="1:10" x14ac:dyDescent="0.2">
      <c r="A2257" s="84">
        <f t="shared" si="73"/>
        <v>2251</v>
      </c>
      <c r="B2257" s="85" t="e">
        <f>+MATCH(D2257,ARTICULOS!$F$10:$F$699,0)</f>
        <v>#N/A</v>
      </c>
      <c r="C2257" s="86" t="e">
        <f>+VLOOKUP(B2257,ARTICULOS!$D$10:$I$699,6)</f>
        <v>#N/A</v>
      </c>
      <c r="D2257" s="212"/>
      <c r="E2257" s="75" t="e">
        <f t="shared" si="74"/>
        <v>#N/A</v>
      </c>
      <c r="F2257" s="80"/>
      <c r="G2257" s="81"/>
      <c r="H2257" s="78"/>
      <c r="I2257" s="78"/>
      <c r="J2257" s="78"/>
    </row>
    <row r="2258" spans="1:10" x14ac:dyDescent="0.2">
      <c r="A2258" s="84">
        <f t="shared" si="73"/>
        <v>2252</v>
      </c>
      <c r="B2258" s="85" t="e">
        <f>+MATCH(D2258,ARTICULOS!$F$10:$F$699,0)</f>
        <v>#N/A</v>
      </c>
      <c r="C2258" s="86" t="e">
        <f>+VLOOKUP(B2258,ARTICULOS!$D$10:$I$699,6)</f>
        <v>#N/A</v>
      </c>
      <c r="D2258" s="212"/>
      <c r="E2258" s="75" t="e">
        <f t="shared" si="74"/>
        <v>#N/A</v>
      </c>
      <c r="F2258" s="80"/>
      <c r="G2258" s="81"/>
      <c r="H2258" s="78"/>
      <c r="I2258" s="78"/>
      <c r="J2258" s="78"/>
    </row>
    <row r="2259" spans="1:10" x14ac:dyDescent="0.2">
      <c r="A2259" s="84">
        <f t="shared" si="73"/>
        <v>2253</v>
      </c>
      <c r="B2259" s="85" t="e">
        <f>+MATCH(D2259,ARTICULOS!$F$10:$F$699,0)</f>
        <v>#N/A</v>
      </c>
      <c r="C2259" s="86" t="e">
        <f>+VLOOKUP(B2259,ARTICULOS!$D$10:$I$699,6)</f>
        <v>#N/A</v>
      </c>
      <c r="D2259" s="212"/>
      <c r="E2259" s="75" t="e">
        <f t="shared" si="74"/>
        <v>#N/A</v>
      </c>
      <c r="F2259" s="80"/>
      <c r="G2259" s="81"/>
      <c r="H2259" s="78"/>
      <c r="I2259" s="78"/>
      <c r="J2259" s="78"/>
    </row>
    <row r="2260" spans="1:10" x14ac:dyDescent="0.2">
      <c r="A2260" s="84">
        <f t="shared" si="73"/>
        <v>2254</v>
      </c>
      <c r="B2260" s="85" t="e">
        <f>+MATCH(D2260,ARTICULOS!$F$10:$F$699,0)</f>
        <v>#N/A</v>
      </c>
      <c r="C2260" s="86" t="e">
        <f>+VLOOKUP(B2260,ARTICULOS!$D$10:$I$699,6)</f>
        <v>#N/A</v>
      </c>
      <c r="D2260" s="212"/>
      <c r="E2260" s="75" t="e">
        <f t="shared" si="74"/>
        <v>#N/A</v>
      </c>
      <c r="F2260" s="80"/>
      <c r="G2260" s="81"/>
      <c r="H2260" s="78"/>
      <c r="I2260" s="78"/>
      <c r="J2260" s="78"/>
    </row>
    <row r="2261" spans="1:10" x14ac:dyDescent="0.2">
      <c r="A2261" s="84">
        <f t="shared" si="73"/>
        <v>2255</v>
      </c>
      <c r="B2261" s="85" t="e">
        <f>+MATCH(D2261,ARTICULOS!$F$10:$F$699,0)</f>
        <v>#N/A</v>
      </c>
      <c r="C2261" s="86" t="e">
        <f>+VLOOKUP(B2261,ARTICULOS!$D$10:$I$699,6)</f>
        <v>#N/A</v>
      </c>
      <c r="D2261" s="212"/>
      <c r="E2261" s="75" t="e">
        <f t="shared" si="74"/>
        <v>#N/A</v>
      </c>
      <c r="F2261" s="80"/>
      <c r="G2261" s="81"/>
      <c r="H2261" s="78"/>
      <c r="I2261" s="78"/>
      <c r="J2261" s="78"/>
    </row>
    <row r="2262" spans="1:10" x14ac:dyDescent="0.2">
      <c r="A2262" s="84">
        <f t="shared" si="73"/>
        <v>2256</v>
      </c>
      <c r="B2262" s="85" t="e">
        <f>+MATCH(D2262,ARTICULOS!$F$10:$F$699,0)</f>
        <v>#N/A</v>
      </c>
      <c r="C2262" s="86" t="e">
        <f>+VLOOKUP(B2262,ARTICULOS!$D$10:$I$699,6)</f>
        <v>#N/A</v>
      </c>
      <c r="D2262" s="212"/>
      <c r="E2262" s="75" t="e">
        <f t="shared" si="74"/>
        <v>#N/A</v>
      </c>
      <c r="F2262" s="80"/>
      <c r="G2262" s="81"/>
      <c r="H2262" s="78"/>
      <c r="I2262" s="78"/>
      <c r="J2262" s="78"/>
    </row>
    <row r="2263" spans="1:10" x14ac:dyDescent="0.2">
      <c r="A2263" s="84">
        <f t="shared" si="73"/>
        <v>2257</v>
      </c>
      <c r="B2263" s="85" t="e">
        <f>+MATCH(D2263,ARTICULOS!$F$10:$F$699,0)</f>
        <v>#N/A</v>
      </c>
      <c r="C2263" s="86" t="e">
        <f>+VLOOKUP(B2263,ARTICULOS!$D$10:$I$699,6)</f>
        <v>#N/A</v>
      </c>
      <c r="D2263" s="212"/>
      <c r="E2263" s="75" t="e">
        <f t="shared" si="74"/>
        <v>#N/A</v>
      </c>
      <c r="F2263" s="80"/>
      <c r="G2263" s="81"/>
      <c r="H2263" s="78"/>
      <c r="I2263" s="78"/>
      <c r="J2263" s="78"/>
    </row>
    <row r="2264" spans="1:10" x14ac:dyDescent="0.2">
      <c r="A2264" s="84">
        <f t="shared" si="73"/>
        <v>2258</v>
      </c>
      <c r="B2264" s="85" t="e">
        <f>+MATCH(D2264,ARTICULOS!$F$10:$F$699,0)</f>
        <v>#N/A</v>
      </c>
      <c r="C2264" s="86" t="e">
        <f>+VLOOKUP(B2264,ARTICULOS!$D$10:$I$699,6)</f>
        <v>#N/A</v>
      </c>
      <c r="D2264" s="212"/>
      <c r="E2264" s="75" t="e">
        <f t="shared" si="74"/>
        <v>#N/A</v>
      </c>
      <c r="F2264" s="80"/>
      <c r="G2264" s="81"/>
      <c r="H2264" s="78"/>
      <c r="I2264" s="78"/>
      <c r="J2264" s="78"/>
    </row>
    <row r="2265" spans="1:10" x14ac:dyDescent="0.2">
      <c r="A2265" s="84">
        <f t="shared" si="73"/>
        <v>2259</v>
      </c>
      <c r="B2265" s="85" t="e">
        <f>+MATCH(D2265,ARTICULOS!$F$10:$F$699,0)</f>
        <v>#N/A</v>
      </c>
      <c r="C2265" s="86" t="e">
        <f>+VLOOKUP(B2265,ARTICULOS!$D$10:$I$699,6)</f>
        <v>#N/A</v>
      </c>
      <c r="D2265" s="212"/>
      <c r="E2265" s="75" t="e">
        <f t="shared" si="74"/>
        <v>#N/A</v>
      </c>
      <c r="F2265" s="80"/>
      <c r="G2265" s="81"/>
      <c r="H2265" s="78"/>
      <c r="I2265" s="78"/>
      <c r="J2265" s="78"/>
    </row>
    <row r="2266" spans="1:10" x14ac:dyDescent="0.2">
      <c r="A2266" s="84">
        <f t="shared" si="73"/>
        <v>2260</v>
      </c>
      <c r="B2266" s="85" t="e">
        <f>+MATCH(D2266,ARTICULOS!$F$10:$F$699,0)</f>
        <v>#N/A</v>
      </c>
      <c r="C2266" s="86" t="e">
        <f>+VLOOKUP(B2266,ARTICULOS!$D$10:$I$699,6)</f>
        <v>#N/A</v>
      </c>
      <c r="D2266" s="212"/>
      <c r="E2266" s="75" t="e">
        <f t="shared" si="74"/>
        <v>#N/A</v>
      </c>
      <c r="F2266" s="80"/>
      <c r="G2266" s="81"/>
      <c r="H2266" s="78"/>
      <c r="I2266" s="78"/>
      <c r="J2266" s="78"/>
    </row>
    <row r="2267" spans="1:10" x14ac:dyDescent="0.2">
      <c r="A2267" s="84">
        <f t="shared" si="73"/>
        <v>2261</v>
      </c>
      <c r="B2267" s="85" t="e">
        <f>+MATCH(D2267,ARTICULOS!$F$10:$F$699,0)</f>
        <v>#N/A</v>
      </c>
      <c r="C2267" s="86" t="e">
        <f>+VLOOKUP(B2267,ARTICULOS!$D$10:$I$699,6)</f>
        <v>#N/A</v>
      </c>
      <c r="D2267" s="212"/>
      <c r="E2267" s="75" t="e">
        <f t="shared" si="74"/>
        <v>#N/A</v>
      </c>
      <c r="F2267" s="80"/>
      <c r="G2267" s="81"/>
      <c r="H2267" s="78"/>
      <c r="I2267" s="78"/>
      <c r="J2267" s="78"/>
    </row>
    <row r="2268" spans="1:10" x14ac:dyDescent="0.2">
      <c r="A2268" s="84">
        <f t="shared" si="73"/>
        <v>2262</v>
      </c>
      <c r="B2268" s="85" t="e">
        <f>+MATCH(D2268,ARTICULOS!$F$10:$F$699,0)</f>
        <v>#N/A</v>
      </c>
      <c r="C2268" s="86" t="e">
        <f>+VLOOKUP(B2268,ARTICULOS!$D$10:$I$699,6)</f>
        <v>#N/A</v>
      </c>
      <c r="D2268" s="212"/>
      <c r="E2268" s="75" t="e">
        <f t="shared" si="74"/>
        <v>#N/A</v>
      </c>
      <c r="F2268" s="80"/>
      <c r="G2268" s="81"/>
      <c r="H2268" s="78"/>
      <c r="I2268" s="78"/>
      <c r="J2268" s="78"/>
    </row>
    <row r="2269" spans="1:10" x14ac:dyDescent="0.2">
      <c r="A2269" s="84">
        <f t="shared" si="73"/>
        <v>2263</v>
      </c>
      <c r="B2269" s="85" t="e">
        <f>+MATCH(D2269,ARTICULOS!$F$10:$F$699,0)</f>
        <v>#N/A</v>
      </c>
      <c r="C2269" s="86" t="e">
        <f>+VLOOKUP(B2269,ARTICULOS!$D$10:$I$699,6)</f>
        <v>#N/A</v>
      </c>
      <c r="D2269" s="212"/>
      <c r="E2269" s="75" t="e">
        <f t="shared" si="74"/>
        <v>#N/A</v>
      </c>
      <c r="F2269" s="80"/>
      <c r="G2269" s="81"/>
      <c r="H2269" s="78"/>
      <c r="I2269" s="78"/>
      <c r="J2269" s="78"/>
    </row>
    <row r="2270" spans="1:10" x14ac:dyDescent="0.2">
      <c r="A2270" s="84">
        <f t="shared" si="73"/>
        <v>2264</v>
      </c>
      <c r="B2270" s="85" t="e">
        <f>+MATCH(D2270,ARTICULOS!$F$10:$F$699,0)</f>
        <v>#N/A</v>
      </c>
      <c r="C2270" s="86" t="e">
        <f>+VLOOKUP(B2270,ARTICULOS!$D$10:$I$699,6)</f>
        <v>#N/A</v>
      </c>
      <c r="D2270" s="212"/>
      <c r="E2270" s="75" t="e">
        <f t="shared" si="74"/>
        <v>#N/A</v>
      </c>
      <c r="F2270" s="80"/>
      <c r="G2270" s="81"/>
      <c r="H2270" s="78"/>
      <c r="I2270" s="78"/>
      <c r="J2270" s="78"/>
    </row>
    <row r="2271" spans="1:10" x14ac:dyDescent="0.2">
      <c r="A2271" s="84">
        <f t="shared" si="73"/>
        <v>2265</v>
      </c>
      <c r="B2271" s="85" t="e">
        <f>+MATCH(D2271,ARTICULOS!$F$10:$F$699,0)</f>
        <v>#N/A</v>
      </c>
      <c r="C2271" s="86" t="e">
        <f>+VLOOKUP(B2271,ARTICULOS!$D$10:$I$699,6)</f>
        <v>#N/A</v>
      </c>
      <c r="D2271" s="212"/>
      <c r="E2271" s="75" t="e">
        <f t="shared" si="74"/>
        <v>#N/A</v>
      </c>
      <c r="F2271" s="80"/>
      <c r="G2271" s="81"/>
      <c r="H2271" s="78"/>
      <c r="I2271" s="78"/>
      <c r="J2271" s="78"/>
    </row>
    <row r="2272" spans="1:10" x14ac:dyDescent="0.2">
      <c r="A2272" s="84">
        <f t="shared" si="73"/>
        <v>2266</v>
      </c>
      <c r="B2272" s="85" t="e">
        <f>+MATCH(D2272,ARTICULOS!$F$10:$F$699,0)</f>
        <v>#N/A</v>
      </c>
      <c r="C2272" s="86" t="e">
        <f>+VLOOKUP(B2272,ARTICULOS!$D$10:$I$699,6)</f>
        <v>#N/A</v>
      </c>
      <c r="D2272" s="212"/>
      <c r="E2272" s="75" t="e">
        <f t="shared" si="74"/>
        <v>#N/A</v>
      </c>
      <c r="F2272" s="80"/>
      <c r="G2272" s="81"/>
      <c r="H2272" s="78"/>
      <c r="I2272" s="78"/>
      <c r="J2272" s="78"/>
    </row>
    <row r="2273" spans="1:10" x14ac:dyDescent="0.2">
      <c r="A2273" s="84">
        <f t="shared" si="73"/>
        <v>2267</v>
      </c>
      <c r="B2273" s="85" t="e">
        <f>+MATCH(D2273,ARTICULOS!$F$10:$F$699,0)</f>
        <v>#N/A</v>
      </c>
      <c r="C2273" s="86" t="e">
        <f>+VLOOKUP(B2273,ARTICULOS!$D$10:$I$699,6)</f>
        <v>#N/A</v>
      </c>
      <c r="D2273" s="212"/>
      <c r="E2273" s="75" t="e">
        <f t="shared" si="74"/>
        <v>#N/A</v>
      </c>
      <c r="F2273" s="80"/>
      <c r="G2273" s="81"/>
      <c r="H2273" s="78"/>
      <c r="I2273" s="78"/>
      <c r="J2273" s="78"/>
    </row>
    <row r="2274" spans="1:10" x14ac:dyDescent="0.2">
      <c r="A2274" s="84">
        <f t="shared" si="73"/>
        <v>2268</v>
      </c>
      <c r="B2274" s="85" t="e">
        <f>+MATCH(D2274,ARTICULOS!$F$10:$F$699,0)</f>
        <v>#N/A</v>
      </c>
      <c r="C2274" s="86" t="e">
        <f>+VLOOKUP(B2274,ARTICULOS!$D$10:$I$699,6)</f>
        <v>#N/A</v>
      </c>
      <c r="D2274" s="212"/>
      <c r="E2274" s="75" t="e">
        <f t="shared" si="74"/>
        <v>#N/A</v>
      </c>
      <c r="F2274" s="80"/>
      <c r="G2274" s="81"/>
      <c r="H2274" s="78"/>
      <c r="I2274" s="78"/>
      <c r="J2274" s="78"/>
    </row>
    <row r="2275" spans="1:10" x14ac:dyDescent="0.2">
      <c r="A2275" s="84">
        <f t="shared" si="73"/>
        <v>2269</v>
      </c>
      <c r="B2275" s="85" t="e">
        <f>+MATCH(D2275,ARTICULOS!$F$10:$F$699,0)</f>
        <v>#N/A</v>
      </c>
      <c r="C2275" s="86" t="e">
        <f>+VLOOKUP(B2275,ARTICULOS!$D$10:$I$699,6)</f>
        <v>#N/A</v>
      </c>
      <c r="D2275" s="212"/>
      <c r="E2275" s="75" t="e">
        <f t="shared" si="74"/>
        <v>#N/A</v>
      </c>
      <c r="F2275" s="80"/>
      <c r="G2275" s="81"/>
      <c r="H2275" s="78"/>
      <c r="I2275" s="78"/>
      <c r="J2275" s="78"/>
    </row>
    <row r="2276" spans="1:10" x14ac:dyDescent="0.2">
      <c r="A2276" s="84">
        <f t="shared" si="73"/>
        <v>2270</v>
      </c>
      <c r="B2276" s="85" t="e">
        <f>+MATCH(D2276,ARTICULOS!$F$10:$F$699,0)</f>
        <v>#N/A</v>
      </c>
      <c r="C2276" s="86" t="e">
        <f>+VLOOKUP(B2276,ARTICULOS!$D$10:$I$699,6)</f>
        <v>#N/A</v>
      </c>
      <c r="D2276" s="212"/>
      <c r="E2276" s="75" t="e">
        <f t="shared" si="74"/>
        <v>#N/A</v>
      </c>
      <c r="F2276" s="80"/>
      <c r="G2276" s="81"/>
      <c r="H2276" s="78"/>
      <c r="I2276" s="78"/>
      <c r="J2276" s="78"/>
    </row>
    <row r="2277" spans="1:10" x14ac:dyDescent="0.2">
      <c r="A2277" s="84">
        <f t="shared" si="73"/>
        <v>2271</v>
      </c>
      <c r="B2277" s="85" t="e">
        <f>+MATCH(D2277,ARTICULOS!$F$10:$F$699,0)</f>
        <v>#N/A</v>
      </c>
      <c r="C2277" s="86" t="e">
        <f>+VLOOKUP(B2277,ARTICULOS!$D$10:$I$699,6)</f>
        <v>#N/A</v>
      </c>
      <c r="D2277" s="212"/>
      <c r="E2277" s="75" t="e">
        <f t="shared" si="74"/>
        <v>#N/A</v>
      </c>
      <c r="F2277" s="80"/>
      <c r="G2277" s="81"/>
      <c r="H2277" s="78"/>
      <c r="I2277" s="78"/>
      <c r="J2277" s="78"/>
    </row>
    <row r="2278" spans="1:10" x14ac:dyDescent="0.2">
      <c r="A2278" s="84">
        <f t="shared" si="73"/>
        <v>2272</v>
      </c>
      <c r="B2278" s="85" t="e">
        <f>+MATCH(D2278,ARTICULOS!$F$10:$F$699,0)</f>
        <v>#N/A</v>
      </c>
      <c r="C2278" s="86" t="e">
        <f>+VLOOKUP(B2278,ARTICULOS!$D$10:$I$699,6)</f>
        <v>#N/A</v>
      </c>
      <c r="D2278" s="212"/>
      <c r="E2278" s="75" t="e">
        <f t="shared" si="74"/>
        <v>#N/A</v>
      </c>
      <c r="F2278" s="80"/>
      <c r="G2278" s="81"/>
      <c r="H2278" s="78"/>
      <c r="I2278" s="78"/>
      <c r="J2278" s="78"/>
    </row>
    <row r="2279" spans="1:10" x14ac:dyDescent="0.2">
      <c r="A2279" s="84">
        <f t="shared" si="73"/>
        <v>2273</v>
      </c>
      <c r="B2279" s="85" t="e">
        <f>+MATCH(D2279,ARTICULOS!$F$10:$F$699,0)</f>
        <v>#N/A</v>
      </c>
      <c r="C2279" s="86" t="e">
        <f>+VLOOKUP(B2279,ARTICULOS!$D$10:$I$699,6)</f>
        <v>#N/A</v>
      </c>
      <c r="D2279" s="212"/>
      <c r="E2279" s="75" t="e">
        <f t="shared" si="74"/>
        <v>#N/A</v>
      </c>
      <c r="F2279" s="80"/>
      <c r="G2279" s="81"/>
      <c r="H2279" s="78"/>
      <c r="I2279" s="78"/>
      <c r="J2279" s="78"/>
    </row>
    <row r="2280" spans="1:10" x14ac:dyDescent="0.2">
      <c r="A2280" s="84">
        <f t="shared" si="73"/>
        <v>2274</v>
      </c>
      <c r="B2280" s="85" t="e">
        <f>+MATCH(D2280,ARTICULOS!$F$10:$F$699,0)</f>
        <v>#N/A</v>
      </c>
      <c r="C2280" s="86" t="e">
        <f>+VLOOKUP(B2280,ARTICULOS!$D$10:$I$699,6)</f>
        <v>#N/A</v>
      </c>
      <c r="D2280" s="212"/>
      <c r="E2280" s="75" t="e">
        <f t="shared" si="74"/>
        <v>#N/A</v>
      </c>
      <c r="F2280" s="80"/>
      <c r="G2280" s="81"/>
      <c r="H2280" s="78"/>
      <c r="I2280" s="78"/>
      <c r="J2280" s="78"/>
    </row>
    <row r="2281" spans="1:10" x14ac:dyDescent="0.2">
      <c r="A2281" s="84">
        <f t="shared" ref="A2281:A2344" si="75">ROW()-6</f>
        <v>2275</v>
      </c>
      <c r="B2281" s="85" t="e">
        <f>+MATCH(D2281,ARTICULOS!$F$10:$F$699,0)</f>
        <v>#N/A</v>
      </c>
      <c r="C2281" s="86" t="e">
        <f>+VLOOKUP(B2281,ARTICULOS!$D$10:$I$699,6)</f>
        <v>#N/A</v>
      </c>
      <c r="D2281" s="212"/>
      <c r="E2281" s="75" t="e">
        <f t="shared" si="74"/>
        <v>#N/A</v>
      </c>
      <c r="F2281" s="80"/>
      <c r="G2281" s="81"/>
      <c r="H2281" s="78"/>
      <c r="I2281" s="78"/>
      <c r="J2281" s="78"/>
    </row>
    <row r="2282" spans="1:10" x14ac:dyDescent="0.2">
      <c r="A2282" s="84">
        <f t="shared" si="75"/>
        <v>2276</v>
      </c>
      <c r="B2282" s="85" t="e">
        <f>+MATCH(D2282,ARTICULOS!$F$10:$F$699,0)</f>
        <v>#N/A</v>
      </c>
      <c r="C2282" s="86" t="e">
        <f>+VLOOKUP(B2282,ARTICULOS!$D$10:$I$699,6)</f>
        <v>#N/A</v>
      </c>
      <c r="D2282" s="212"/>
      <c r="E2282" s="75" t="e">
        <f t="shared" si="74"/>
        <v>#N/A</v>
      </c>
      <c r="F2282" s="80"/>
      <c r="G2282" s="81"/>
      <c r="H2282" s="78"/>
      <c r="I2282" s="78"/>
      <c r="J2282" s="78"/>
    </row>
    <row r="2283" spans="1:10" x14ac:dyDescent="0.2">
      <c r="A2283" s="84">
        <f t="shared" si="75"/>
        <v>2277</v>
      </c>
      <c r="B2283" s="85" t="e">
        <f>+MATCH(D2283,ARTICULOS!$F$10:$F$699,0)</f>
        <v>#N/A</v>
      </c>
      <c r="C2283" s="86" t="e">
        <f>+VLOOKUP(B2283,ARTICULOS!$D$10:$I$699,6)</f>
        <v>#N/A</v>
      </c>
      <c r="D2283" s="212"/>
      <c r="E2283" s="75" t="e">
        <f t="shared" si="74"/>
        <v>#N/A</v>
      </c>
      <c r="F2283" s="80"/>
      <c r="G2283" s="81"/>
      <c r="H2283" s="78"/>
      <c r="I2283" s="78"/>
      <c r="J2283" s="78"/>
    </row>
    <row r="2284" spans="1:10" x14ac:dyDescent="0.2">
      <c r="A2284" s="84">
        <f t="shared" si="75"/>
        <v>2278</v>
      </c>
      <c r="B2284" s="85" t="e">
        <f>+MATCH(D2284,ARTICULOS!$F$10:$F$699,0)</f>
        <v>#N/A</v>
      </c>
      <c r="C2284" s="86" t="e">
        <f>+VLOOKUP(B2284,ARTICULOS!$D$10:$I$699,6)</f>
        <v>#N/A</v>
      </c>
      <c r="D2284" s="212"/>
      <c r="E2284" s="75" t="e">
        <f t="shared" si="74"/>
        <v>#N/A</v>
      </c>
      <c r="F2284" s="80"/>
      <c r="G2284" s="81"/>
      <c r="H2284" s="78"/>
      <c r="I2284" s="78"/>
      <c r="J2284" s="78"/>
    </row>
    <row r="2285" spans="1:10" x14ac:dyDescent="0.2">
      <c r="A2285" s="84">
        <f t="shared" si="75"/>
        <v>2279</v>
      </c>
      <c r="B2285" s="85" t="e">
        <f>+MATCH(D2285,ARTICULOS!$F$10:$F$699,0)</f>
        <v>#N/A</v>
      </c>
      <c r="C2285" s="86" t="e">
        <f>+VLOOKUP(B2285,ARTICULOS!$D$10:$I$699,6)</f>
        <v>#N/A</v>
      </c>
      <c r="D2285" s="212"/>
      <c r="E2285" s="75" t="e">
        <f t="shared" si="74"/>
        <v>#N/A</v>
      </c>
      <c r="F2285" s="80"/>
      <c r="G2285" s="81"/>
      <c r="H2285" s="78"/>
      <c r="I2285" s="78"/>
      <c r="J2285" s="78"/>
    </row>
    <row r="2286" spans="1:10" x14ac:dyDescent="0.2">
      <c r="A2286" s="84">
        <f t="shared" si="75"/>
        <v>2280</v>
      </c>
      <c r="B2286" s="85" t="e">
        <f>+MATCH(D2286,ARTICULOS!$F$10:$F$699,0)</f>
        <v>#N/A</v>
      </c>
      <c r="C2286" s="86" t="e">
        <f>+VLOOKUP(B2286,ARTICULOS!$D$10:$I$699,6)</f>
        <v>#N/A</v>
      </c>
      <c r="D2286" s="212"/>
      <c r="E2286" s="75" t="e">
        <f t="shared" si="74"/>
        <v>#N/A</v>
      </c>
      <c r="F2286" s="80"/>
      <c r="G2286" s="81"/>
      <c r="H2286" s="78"/>
      <c r="I2286" s="78"/>
      <c r="J2286" s="78"/>
    </row>
    <row r="2287" spans="1:10" x14ac:dyDescent="0.2">
      <c r="A2287" s="84">
        <f t="shared" si="75"/>
        <v>2281</v>
      </c>
      <c r="B2287" s="85" t="e">
        <f>+MATCH(D2287,ARTICULOS!$F$10:$F$699,0)</f>
        <v>#N/A</v>
      </c>
      <c r="C2287" s="86" t="e">
        <f>+VLOOKUP(B2287,ARTICULOS!$D$10:$I$699,6)</f>
        <v>#N/A</v>
      </c>
      <c r="D2287" s="212"/>
      <c r="E2287" s="75" t="e">
        <f t="shared" si="74"/>
        <v>#N/A</v>
      </c>
      <c r="F2287" s="80"/>
      <c r="G2287" s="81"/>
      <c r="H2287" s="78"/>
      <c r="I2287" s="78"/>
      <c r="J2287" s="78"/>
    </row>
    <row r="2288" spans="1:10" x14ac:dyDescent="0.2">
      <c r="A2288" s="84">
        <f t="shared" si="75"/>
        <v>2282</v>
      </c>
      <c r="B2288" s="85" t="e">
        <f>+MATCH(D2288,ARTICULOS!$F$10:$F$699,0)</f>
        <v>#N/A</v>
      </c>
      <c r="C2288" s="86" t="e">
        <f>+VLOOKUP(B2288,ARTICULOS!$D$10:$I$699,6)</f>
        <v>#N/A</v>
      </c>
      <c r="D2288" s="212"/>
      <c r="E2288" s="75" t="e">
        <f t="shared" si="74"/>
        <v>#N/A</v>
      </c>
      <c r="F2288" s="80"/>
      <c r="G2288" s="81"/>
      <c r="H2288" s="78"/>
      <c r="I2288" s="78"/>
      <c r="J2288" s="78"/>
    </row>
    <row r="2289" spans="1:10" x14ac:dyDescent="0.2">
      <c r="A2289" s="84">
        <f t="shared" si="75"/>
        <v>2283</v>
      </c>
      <c r="B2289" s="85" t="e">
        <f>+MATCH(D2289,ARTICULOS!$F$10:$F$699,0)</f>
        <v>#N/A</v>
      </c>
      <c r="C2289" s="86" t="e">
        <f>+VLOOKUP(B2289,ARTICULOS!$D$10:$I$699,6)</f>
        <v>#N/A</v>
      </c>
      <c r="D2289" s="212"/>
      <c r="E2289" s="75" t="e">
        <f t="shared" si="74"/>
        <v>#N/A</v>
      </c>
      <c r="F2289" s="80"/>
      <c r="G2289" s="81"/>
      <c r="H2289" s="78"/>
      <c r="I2289" s="78"/>
      <c r="J2289" s="78"/>
    </row>
    <row r="2290" spans="1:10" x14ac:dyDescent="0.2">
      <c r="A2290" s="84">
        <f t="shared" si="75"/>
        <v>2284</v>
      </c>
      <c r="B2290" s="85" t="e">
        <f>+MATCH(D2290,ARTICULOS!$F$10:$F$699,0)</f>
        <v>#N/A</v>
      </c>
      <c r="C2290" s="86" t="e">
        <f>+VLOOKUP(B2290,ARTICULOS!$D$10:$I$699,6)</f>
        <v>#N/A</v>
      </c>
      <c r="D2290" s="212"/>
      <c r="E2290" s="75" t="e">
        <f t="shared" si="74"/>
        <v>#N/A</v>
      </c>
      <c r="F2290" s="80"/>
      <c r="G2290" s="81"/>
      <c r="H2290" s="78"/>
      <c r="I2290" s="78"/>
      <c r="J2290" s="78"/>
    </row>
    <row r="2291" spans="1:10" x14ac:dyDescent="0.2">
      <c r="A2291" s="84">
        <f t="shared" si="75"/>
        <v>2285</v>
      </c>
      <c r="B2291" s="85" t="e">
        <f>+MATCH(D2291,ARTICULOS!$F$10:$F$699,0)</f>
        <v>#N/A</v>
      </c>
      <c r="C2291" s="86" t="e">
        <f>+VLOOKUP(B2291,ARTICULOS!$D$10:$I$699,6)</f>
        <v>#N/A</v>
      </c>
      <c r="D2291" s="212"/>
      <c r="E2291" s="75" t="e">
        <f t="shared" si="74"/>
        <v>#N/A</v>
      </c>
      <c r="F2291" s="80"/>
      <c r="G2291" s="81"/>
      <c r="H2291" s="78"/>
      <c r="I2291" s="78"/>
      <c r="J2291" s="78"/>
    </row>
    <row r="2292" spans="1:10" x14ac:dyDescent="0.2">
      <c r="A2292" s="84">
        <f t="shared" si="75"/>
        <v>2286</v>
      </c>
      <c r="B2292" s="85" t="e">
        <f>+MATCH(D2292,ARTICULOS!$F$10:$F$699,0)</f>
        <v>#N/A</v>
      </c>
      <c r="C2292" s="86" t="e">
        <f>+VLOOKUP(B2292,ARTICULOS!$D$10:$I$699,6)</f>
        <v>#N/A</v>
      </c>
      <c r="D2292" s="212"/>
      <c r="E2292" s="75" t="e">
        <f t="shared" si="74"/>
        <v>#N/A</v>
      </c>
      <c r="F2292" s="80"/>
      <c r="G2292" s="81"/>
      <c r="H2292" s="78"/>
      <c r="I2292" s="78"/>
      <c r="J2292" s="78"/>
    </row>
    <row r="2293" spans="1:10" x14ac:dyDescent="0.2">
      <c r="A2293" s="84">
        <f t="shared" si="75"/>
        <v>2287</v>
      </c>
      <c r="B2293" s="85" t="e">
        <f>+MATCH(D2293,ARTICULOS!$F$10:$F$699,0)</f>
        <v>#N/A</v>
      </c>
      <c r="C2293" s="86" t="e">
        <f>+VLOOKUP(B2293,ARTICULOS!$D$10:$I$699,6)</f>
        <v>#N/A</v>
      </c>
      <c r="D2293" s="212"/>
      <c r="E2293" s="75" t="e">
        <f t="shared" si="74"/>
        <v>#N/A</v>
      </c>
      <c r="F2293" s="80"/>
      <c r="G2293" s="81"/>
      <c r="H2293" s="78"/>
      <c r="I2293" s="78"/>
      <c r="J2293" s="78"/>
    </row>
    <row r="2294" spans="1:10" x14ac:dyDescent="0.2">
      <c r="A2294" s="84">
        <f t="shared" si="75"/>
        <v>2288</v>
      </c>
      <c r="B2294" s="85" t="e">
        <f>+MATCH(D2294,ARTICULOS!$F$10:$F$699,0)</f>
        <v>#N/A</v>
      </c>
      <c r="C2294" s="86" t="e">
        <f>+VLOOKUP(B2294,ARTICULOS!$D$10:$I$699,6)</f>
        <v>#N/A</v>
      </c>
      <c r="D2294" s="212"/>
      <c r="E2294" s="75" t="e">
        <f t="shared" si="74"/>
        <v>#N/A</v>
      </c>
      <c r="F2294" s="80"/>
      <c r="G2294" s="81"/>
      <c r="H2294" s="78"/>
      <c r="I2294" s="78"/>
      <c r="J2294" s="78"/>
    </row>
    <row r="2295" spans="1:10" x14ac:dyDescent="0.2">
      <c r="A2295" s="84">
        <f t="shared" si="75"/>
        <v>2289</v>
      </c>
      <c r="B2295" s="85" t="e">
        <f>+MATCH(D2295,ARTICULOS!$F$10:$F$699,0)</f>
        <v>#N/A</v>
      </c>
      <c r="C2295" s="86" t="e">
        <f>+VLOOKUP(B2295,ARTICULOS!$D$10:$I$699,6)</f>
        <v>#N/A</v>
      </c>
      <c r="D2295" s="212"/>
      <c r="E2295" s="75" t="e">
        <f t="shared" si="74"/>
        <v>#N/A</v>
      </c>
      <c r="F2295" s="80"/>
      <c r="G2295" s="81"/>
      <c r="H2295" s="78"/>
      <c r="I2295" s="78"/>
      <c r="J2295" s="78"/>
    </row>
    <row r="2296" spans="1:10" x14ac:dyDescent="0.2">
      <c r="A2296" s="84">
        <f t="shared" si="75"/>
        <v>2290</v>
      </c>
      <c r="B2296" s="85" t="e">
        <f>+MATCH(D2296,ARTICULOS!$F$10:$F$699,0)</f>
        <v>#N/A</v>
      </c>
      <c r="C2296" s="86" t="e">
        <f>+VLOOKUP(B2296,ARTICULOS!$D$10:$I$699,6)</f>
        <v>#N/A</v>
      </c>
      <c r="D2296" s="212"/>
      <c r="E2296" s="75" t="e">
        <f t="shared" si="74"/>
        <v>#N/A</v>
      </c>
      <c r="F2296" s="80"/>
      <c r="G2296" s="81"/>
      <c r="H2296" s="78"/>
      <c r="I2296" s="78"/>
      <c r="J2296" s="78"/>
    </row>
    <row r="2297" spans="1:10" x14ac:dyDescent="0.2">
      <c r="A2297" s="84">
        <f t="shared" si="75"/>
        <v>2291</v>
      </c>
      <c r="B2297" s="85" t="e">
        <f>+MATCH(D2297,ARTICULOS!$F$10:$F$699,0)</f>
        <v>#N/A</v>
      </c>
      <c r="C2297" s="86" t="e">
        <f>+VLOOKUP(B2297,ARTICULOS!$D$10:$I$699,6)</f>
        <v>#N/A</v>
      </c>
      <c r="D2297" s="212"/>
      <c r="E2297" s="75" t="e">
        <f t="shared" si="74"/>
        <v>#N/A</v>
      </c>
      <c r="F2297" s="80"/>
      <c r="G2297" s="81"/>
      <c r="H2297" s="78"/>
      <c r="I2297" s="78"/>
      <c r="J2297" s="78"/>
    </row>
    <row r="2298" spans="1:10" x14ac:dyDescent="0.2">
      <c r="A2298" s="84">
        <f t="shared" si="75"/>
        <v>2292</v>
      </c>
      <c r="B2298" s="85" t="e">
        <f>+MATCH(D2298,ARTICULOS!$F$10:$F$699,0)</f>
        <v>#N/A</v>
      </c>
      <c r="C2298" s="86" t="e">
        <f>+VLOOKUP(B2298,ARTICULOS!$D$10:$I$699,6)</f>
        <v>#N/A</v>
      </c>
      <c r="D2298" s="212"/>
      <c r="E2298" s="75" t="e">
        <f t="shared" si="74"/>
        <v>#N/A</v>
      </c>
      <c r="F2298" s="80"/>
      <c r="G2298" s="81"/>
      <c r="H2298" s="78"/>
      <c r="I2298" s="78"/>
      <c r="J2298" s="78"/>
    </row>
    <row r="2299" spans="1:10" x14ac:dyDescent="0.2">
      <c r="A2299" s="84">
        <f t="shared" si="75"/>
        <v>2293</v>
      </c>
      <c r="B2299" s="85" t="e">
        <f>+MATCH(D2299,ARTICULOS!$F$10:$F$699,0)</f>
        <v>#N/A</v>
      </c>
      <c r="C2299" s="86" t="e">
        <f>+VLOOKUP(B2299,ARTICULOS!$D$10:$I$699,6)</f>
        <v>#N/A</v>
      </c>
      <c r="D2299" s="212"/>
      <c r="E2299" s="75" t="e">
        <f t="shared" si="74"/>
        <v>#N/A</v>
      </c>
      <c r="F2299" s="80"/>
      <c r="G2299" s="81"/>
      <c r="H2299" s="78"/>
      <c r="I2299" s="78"/>
      <c r="J2299" s="78"/>
    </row>
    <row r="2300" spans="1:10" x14ac:dyDescent="0.2">
      <c r="A2300" s="84">
        <f t="shared" si="75"/>
        <v>2294</v>
      </c>
      <c r="B2300" s="85" t="e">
        <f>+MATCH(D2300,ARTICULOS!$F$10:$F$699,0)</f>
        <v>#N/A</v>
      </c>
      <c r="C2300" s="86" t="e">
        <f>+VLOOKUP(B2300,ARTICULOS!$D$10:$I$699,6)</f>
        <v>#N/A</v>
      </c>
      <c r="D2300" s="212"/>
      <c r="E2300" s="75" t="e">
        <f t="shared" si="74"/>
        <v>#N/A</v>
      </c>
      <c r="F2300" s="80"/>
      <c r="G2300" s="81"/>
      <c r="H2300" s="78"/>
      <c r="I2300" s="78"/>
      <c r="J2300" s="78"/>
    </row>
    <row r="2301" spans="1:10" x14ac:dyDescent="0.2">
      <c r="A2301" s="84">
        <f t="shared" si="75"/>
        <v>2295</v>
      </c>
      <c r="B2301" s="85" t="e">
        <f>+MATCH(D2301,ARTICULOS!$F$10:$F$699,0)</f>
        <v>#N/A</v>
      </c>
      <c r="C2301" s="86" t="e">
        <f>+VLOOKUP(B2301,ARTICULOS!$D$10:$I$699,6)</f>
        <v>#N/A</v>
      </c>
      <c r="D2301" s="212"/>
      <c r="E2301" s="75" t="e">
        <f t="shared" si="74"/>
        <v>#N/A</v>
      </c>
      <c r="F2301" s="80"/>
      <c r="G2301" s="81"/>
      <c r="H2301" s="78"/>
      <c r="I2301" s="78"/>
      <c r="J2301" s="78"/>
    </row>
    <row r="2302" spans="1:10" x14ac:dyDescent="0.2">
      <c r="A2302" s="84">
        <f t="shared" si="75"/>
        <v>2296</v>
      </c>
      <c r="B2302" s="85" t="e">
        <f>+MATCH(D2302,ARTICULOS!$F$10:$F$699,0)</f>
        <v>#N/A</v>
      </c>
      <c r="C2302" s="86" t="e">
        <f>+VLOOKUP(B2302,ARTICULOS!$D$10:$I$699,6)</f>
        <v>#N/A</v>
      </c>
      <c r="D2302" s="212"/>
      <c r="E2302" s="75" t="e">
        <f t="shared" si="74"/>
        <v>#N/A</v>
      </c>
      <c r="F2302" s="80"/>
      <c r="G2302" s="81"/>
      <c r="H2302" s="78"/>
      <c r="I2302" s="78"/>
      <c r="J2302" s="78"/>
    </row>
    <row r="2303" spans="1:10" x14ac:dyDescent="0.2">
      <c r="A2303" s="84">
        <f t="shared" si="75"/>
        <v>2297</v>
      </c>
      <c r="B2303" s="85" t="e">
        <f>+MATCH(D2303,ARTICULOS!$F$10:$F$699,0)</f>
        <v>#N/A</v>
      </c>
      <c r="C2303" s="86" t="e">
        <f>+VLOOKUP(B2303,ARTICULOS!$D$10:$I$699,6)</f>
        <v>#N/A</v>
      </c>
      <c r="D2303" s="212"/>
      <c r="E2303" s="75" t="e">
        <f t="shared" si="74"/>
        <v>#N/A</v>
      </c>
      <c r="F2303" s="80"/>
      <c r="G2303" s="81"/>
      <c r="H2303" s="78"/>
      <c r="I2303" s="78"/>
      <c r="J2303" s="78"/>
    </row>
    <row r="2304" spans="1:10" x14ac:dyDescent="0.2">
      <c r="A2304" s="84">
        <f t="shared" si="75"/>
        <v>2298</v>
      </c>
      <c r="B2304" s="85" t="e">
        <f>+MATCH(D2304,ARTICULOS!$F$10:$F$699,0)</f>
        <v>#N/A</v>
      </c>
      <c r="C2304" s="86" t="e">
        <f>+VLOOKUP(B2304,ARTICULOS!$D$10:$I$699,6)</f>
        <v>#N/A</v>
      </c>
      <c r="D2304" s="212"/>
      <c r="E2304" s="75" t="e">
        <f t="shared" si="74"/>
        <v>#N/A</v>
      </c>
      <c r="F2304" s="80"/>
      <c r="G2304" s="81"/>
      <c r="H2304" s="78"/>
      <c r="I2304" s="78"/>
      <c r="J2304" s="78"/>
    </row>
    <row r="2305" spans="1:10" x14ac:dyDescent="0.2">
      <c r="A2305" s="84">
        <f t="shared" si="75"/>
        <v>2299</v>
      </c>
      <c r="B2305" s="85" t="e">
        <f>+MATCH(D2305,ARTICULOS!$F$10:$F$699,0)</f>
        <v>#N/A</v>
      </c>
      <c r="C2305" s="86" t="e">
        <f>+VLOOKUP(B2305,ARTICULOS!$D$10:$I$699,6)</f>
        <v>#N/A</v>
      </c>
      <c r="D2305" s="212"/>
      <c r="E2305" s="75" t="e">
        <f t="shared" si="74"/>
        <v>#N/A</v>
      </c>
      <c r="F2305" s="80"/>
      <c r="G2305" s="81"/>
      <c r="H2305" s="78"/>
      <c r="I2305" s="78"/>
      <c r="J2305" s="78"/>
    </row>
    <row r="2306" spans="1:10" x14ac:dyDescent="0.2">
      <c r="A2306" s="84">
        <f t="shared" si="75"/>
        <v>2300</v>
      </c>
      <c r="B2306" s="85" t="e">
        <f>+MATCH(D2306,ARTICULOS!$F$10:$F$699,0)</f>
        <v>#N/A</v>
      </c>
      <c r="C2306" s="86" t="e">
        <f>+VLOOKUP(B2306,ARTICULOS!$D$10:$I$699,6)</f>
        <v>#N/A</v>
      </c>
      <c r="D2306" s="212"/>
      <c r="E2306" s="75" t="e">
        <f t="shared" si="74"/>
        <v>#N/A</v>
      </c>
      <c r="F2306" s="80"/>
      <c r="G2306" s="81"/>
      <c r="H2306" s="78"/>
      <c r="I2306" s="78"/>
      <c r="J2306" s="78"/>
    </row>
    <row r="2307" spans="1:10" x14ac:dyDescent="0.2">
      <c r="A2307" s="84">
        <f t="shared" si="75"/>
        <v>2301</v>
      </c>
      <c r="B2307" s="85" t="e">
        <f>+MATCH(D2307,ARTICULOS!$F$10:$F$699,0)</f>
        <v>#N/A</v>
      </c>
      <c r="C2307" s="86" t="e">
        <f>+VLOOKUP(B2307,ARTICULOS!$D$10:$I$699,6)</f>
        <v>#N/A</v>
      </c>
      <c r="D2307" s="212"/>
      <c r="E2307" s="75" t="e">
        <f t="shared" si="74"/>
        <v>#N/A</v>
      </c>
      <c r="F2307" s="80"/>
      <c r="G2307" s="81"/>
      <c r="H2307" s="78"/>
      <c r="I2307" s="78"/>
      <c r="J2307" s="78"/>
    </row>
    <row r="2308" spans="1:10" x14ac:dyDescent="0.2">
      <c r="A2308" s="84">
        <f t="shared" si="75"/>
        <v>2302</v>
      </c>
      <c r="B2308" s="85" t="e">
        <f>+MATCH(D2308,ARTICULOS!$F$10:$F$699,0)</f>
        <v>#N/A</v>
      </c>
      <c r="C2308" s="86" t="e">
        <f>+VLOOKUP(B2308,ARTICULOS!$D$10:$I$699,6)</f>
        <v>#N/A</v>
      </c>
      <c r="D2308" s="212"/>
      <c r="E2308" s="75" t="e">
        <f t="shared" si="74"/>
        <v>#N/A</v>
      </c>
      <c r="F2308" s="80"/>
      <c r="G2308" s="81"/>
      <c r="H2308" s="78"/>
      <c r="I2308" s="78"/>
      <c r="J2308" s="78"/>
    </row>
    <row r="2309" spans="1:10" x14ac:dyDescent="0.2">
      <c r="A2309" s="84">
        <f t="shared" si="75"/>
        <v>2303</v>
      </c>
      <c r="B2309" s="85" t="e">
        <f>+MATCH(D2309,ARTICULOS!$F$10:$F$699,0)</f>
        <v>#N/A</v>
      </c>
      <c r="C2309" s="86" t="e">
        <f>+VLOOKUP(B2309,ARTICULOS!$D$10:$I$699,6)</f>
        <v>#N/A</v>
      </c>
      <c r="D2309" s="212"/>
      <c r="E2309" s="75" t="e">
        <f t="shared" si="74"/>
        <v>#N/A</v>
      </c>
      <c r="F2309" s="80"/>
      <c r="G2309" s="81"/>
      <c r="H2309" s="78"/>
      <c r="I2309" s="78"/>
      <c r="J2309" s="78"/>
    </row>
    <row r="2310" spans="1:10" x14ac:dyDescent="0.2">
      <c r="A2310" s="84">
        <f t="shared" si="75"/>
        <v>2304</v>
      </c>
      <c r="B2310" s="85" t="e">
        <f>+MATCH(D2310,ARTICULOS!$F$10:$F$699,0)</f>
        <v>#N/A</v>
      </c>
      <c r="C2310" s="86" t="e">
        <f>+VLOOKUP(B2310,ARTICULOS!$D$10:$I$699,6)</f>
        <v>#N/A</v>
      </c>
      <c r="D2310" s="212"/>
      <c r="E2310" s="75" t="e">
        <f t="shared" si="74"/>
        <v>#N/A</v>
      </c>
      <c r="F2310" s="80"/>
      <c r="G2310" s="81"/>
      <c r="H2310" s="78"/>
      <c r="I2310" s="78"/>
      <c r="J2310" s="78"/>
    </row>
    <row r="2311" spans="1:10" x14ac:dyDescent="0.2">
      <c r="A2311" s="84">
        <f t="shared" si="75"/>
        <v>2305</v>
      </c>
      <c r="B2311" s="85" t="e">
        <f>+MATCH(D2311,ARTICULOS!$F$10:$F$699,0)</f>
        <v>#N/A</v>
      </c>
      <c r="C2311" s="86" t="e">
        <f>+VLOOKUP(B2311,ARTICULOS!$D$10:$I$699,6)</f>
        <v>#N/A</v>
      </c>
      <c r="D2311" s="212"/>
      <c r="E2311" s="75" t="e">
        <f t="shared" si="74"/>
        <v>#N/A</v>
      </c>
      <c r="F2311" s="80"/>
      <c r="G2311" s="81"/>
      <c r="H2311" s="78"/>
      <c r="I2311" s="78"/>
      <c r="J2311" s="78"/>
    </row>
    <row r="2312" spans="1:10" x14ac:dyDescent="0.2">
      <c r="A2312" s="84">
        <f t="shared" si="75"/>
        <v>2306</v>
      </c>
      <c r="B2312" s="85" t="e">
        <f>+MATCH(D2312,ARTICULOS!$F$10:$F$699,0)</f>
        <v>#N/A</v>
      </c>
      <c r="C2312" s="86" t="e">
        <f>+VLOOKUP(B2312,ARTICULOS!$D$10:$I$699,6)</f>
        <v>#N/A</v>
      </c>
      <c r="D2312" s="212"/>
      <c r="E2312" s="75" t="e">
        <f t="shared" si="74"/>
        <v>#N/A</v>
      </c>
      <c r="F2312" s="80"/>
      <c r="G2312" s="81"/>
      <c r="H2312" s="78"/>
      <c r="I2312" s="78"/>
      <c r="J2312" s="78"/>
    </row>
    <row r="2313" spans="1:10" x14ac:dyDescent="0.2">
      <c r="A2313" s="84">
        <f t="shared" si="75"/>
        <v>2307</v>
      </c>
      <c r="B2313" s="85" t="e">
        <f>+MATCH(D2313,ARTICULOS!$F$10:$F$699,0)</f>
        <v>#N/A</v>
      </c>
      <c r="C2313" s="86" t="e">
        <f>+VLOOKUP(B2313,ARTICULOS!$D$10:$I$699,6)</f>
        <v>#N/A</v>
      </c>
      <c r="D2313" s="212"/>
      <c r="E2313" s="75" t="e">
        <f t="shared" si="74"/>
        <v>#N/A</v>
      </c>
      <c r="F2313" s="80"/>
      <c r="G2313" s="81"/>
      <c r="H2313" s="78"/>
      <c r="I2313" s="78"/>
      <c r="J2313" s="78"/>
    </row>
    <row r="2314" spans="1:10" x14ac:dyDescent="0.2">
      <c r="A2314" s="84">
        <f t="shared" si="75"/>
        <v>2308</v>
      </c>
      <c r="B2314" s="85" t="e">
        <f>+MATCH(D2314,ARTICULOS!$F$10:$F$699,0)</f>
        <v>#N/A</v>
      </c>
      <c r="C2314" s="86" t="e">
        <f>+VLOOKUP(B2314,ARTICULOS!$D$10:$I$699,6)</f>
        <v>#N/A</v>
      </c>
      <c r="D2314" s="212"/>
      <c r="E2314" s="75" t="e">
        <f t="shared" si="74"/>
        <v>#N/A</v>
      </c>
      <c r="F2314" s="80"/>
      <c r="G2314" s="81"/>
      <c r="H2314" s="78"/>
      <c r="I2314" s="78"/>
      <c r="J2314" s="78"/>
    </row>
    <row r="2315" spans="1:10" x14ac:dyDescent="0.2">
      <c r="A2315" s="84">
        <f t="shared" si="75"/>
        <v>2309</v>
      </c>
      <c r="B2315" s="85" t="e">
        <f>+MATCH(D2315,ARTICULOS!$F$10:$F$699,0)</f>
        <v>#N/A</v>
      </c>
      <c r="C2315" s="86" t="e">
        <f>+VLOOKUP(B2315,ARTICULOS!$D$10:$I$699,6)</f>
        <v>#N/A</v>
      </c>
      <c r="D2315" s="212"/>
      <c r="E2315" s="75" t="e">
        <f t="shared" ref="E2315:E2378" si="76">+C2315&amp;F2315</f>
        <v>#N/A</v>
      </c>
      <c r="F2315" s="80"/>
      <c r="G2315" s="81"/>
      <c r="H2315" s="78"/>
      <c r="I2315" s="78"/>
      <c r="J2315" s="78"/>
    </row>
    <row r="2316" spans="1:10" x14ac:dyDescent="0.2">
      <c r="A2316" s="84">
        <f t="shared" si="75"/>
        <v>2310</v>
      </c>
      <c r="B2316" s="85" t="e">
        <f>+MATCH(D2316,ARTICULOS!$F$10:$F$699,0)</f>
        <v>#N/A</v>
      </c>
      <c r="C2316" s="86" t="e">
        <f>+VLOOKUP(B2316,ARTICULOS!$D$10:$I$699,6)</f>
        <v>#N/A</v>
      </c>
      <c r="D2316" s="212"/>
      <c r="E2316" s="75" t="e">
        <f t="shared" si="76"/>
        <v>#N/A</v>
      </c>
      <c r="F2316" s="80"/>
      <c r="G2316" s="81"/>
      <c r="H2316" s="78"/>
      <c r="I2316" s="78"/>
      <c r="J2316" s="78"/>
    </row>
    <row r="2317" spans="1:10" x14ac:dyDescent="0.2">
      <c r="A2317" s="84">
        <f t="shared" si="75"/>
        <v>2311</v>
      </c>
      <c r="B2317" s="85" t="e">
        <f>+MATCH(D2317,ARTICULOS!$F$10:$F$699,0)</f>
        <v>#N/A</v>
      </c>
      <c r="C2317" s="86" t="e">
        <f>+VLOOKUP(B2317,ARTICULOS!$D$10:$I$699,6)</f>
        <v>#N/A</v>
      </c>
      <c r="D2317" s="212"/>
      <c r="E2317" s="75" t="e">
        <f t="shared" si="76"/>
        <v>#N/A</v>
      </c>
      <c r="F2317" s="80"/>
      <c r="G2317" s="81"/>
      <c r="H2317" s="78"/>
      <c r="I2317" s="78"/>
      <c r="J2317" s="78"/>
    </row>
    <row r="2318" spans="1:10" x14ac:dyDescent="0.2">
      <c r="A2318" s="84">
        <f t="shared" si="75"/>
        <v>2312</v>
      </c>
      <c r="B2318" s="85" t="e">
        <f>+MATCH(D2318,ARTICULOS!$F$10:$F$699,0)</f>
        <v>#N/A</v>
      </c>
      <c r="C2318" s="86" t="e">
        <f>+VLOOKUP(B2318,ARTICULOS!$D$10:$I$699,6)</f>
        <v>#N/A</v>
      </c>
      <c r="D2318" s="212"/>
      <c r="E2318" s="75" t="e">
        <f t="shared" si="76"/>
        <v>#N/A</v>
      </c>
      <c r="F2318" s="80"/>
      <c r="G2318" s="81"/>
      <c r="H2318" s="78"/>
      <c r="I2318" s="78"/>
      <c r="J2318" s="78"/>
    </row>
    <row r="2319" spans="1:10" x14ac:dyDescent="0.2">
      <c r="A2319" s="84">
        <f t="shared" si="75"/>
        <v>2313</v>
      </c>
      <c r="B2319" s="85" t="e">
        <f>+MATCH(D2319,ARTICULOS!$F$10:$F$699,0)</f>
        <v>#N/A</v>
      </c>
      <c r="C2319" s="86" t="e">
        <f>+VLOOKUP(B2319,ARTICULOS!$D$10:$I$699,6)</f>
        <v>#N/A</v>
      </c>
      <c r="D2319" s="212"/>
      <c r="E2319" s="75" t="e">
        <f t="shared" si="76"/>
        <v>#N/A</v>
      </c>
      <c r="F2319" s="80"/>
      <c r="G2319" s="81"/>
      <c r="H2319" s="78"/>
      <c r="I2319" s="78"/>
      <c r="J2319" s="78"/>
    </row>
    <row r="2320" spans="1:10" x14ac:dyDescent="0.2">
      <c r="A2320" s="84">
        <f t="shared" si="75"/>
        <v>2314</v>
      </c>
      <c r="B2320" s="85" t="e">
        <f>+MATCH(D2320,ARTICULOS!$F$10:$F$699,0)</f>
        <v>#N/A</v>
      </c>
      <c r="C2320" s="86" t="e">
        <f>+VLOOKUP(B2320,ARTICULOS!$D$10:$I$699,6)</f>
        <v>#N/A</v>
      </c>
      <c r="D2320" s="212"/>
      <c r="E2320" s="75" t="e">
        <f t="shared" si="76"/>
        <v>#N/A</v>
      </c>
      <c r="F2320" s="80"/>
      <c r="G2320" s="81"/>
      <c r="H2320" s="78"/>
      <c r="I2320" s="78"/>
      <c r="J2320" s="78"/>
    </row>
    <row r="2321" spans="1:10" x14ac:dyDescent="0.2">
      <c r="A2321" s="84">
        <f t="shared" si="75"/>
        <v>2315</v>
      </c>
      <c r="B2321" s="85" t="e">
        <f>+MATCH(D2321,ARTICULOS!$F$10:$F$699,0)</f>
        <v>#N/A</v>
      </c>
      <c r="C2321" s="86" t="e">
        <f>+VLOOKUP(B2321,ARTICULOS!$D$10:$I$699,6)</f>
        <v>#N/A</v>
      </c>
      <c r="D2321" s="212"/>
      <c r="E2321" s="75" t="e">
        <f t="shared" si="76"/>
        <v>#N/A</v>
      </c>
      <c r="F2321" s="80"/>
      <c r="G2321" s="81"/>
      <c r="H2321" s="78"/>
      <c r="I2321" s="78"/>
      <c r="J2321" s="78"/>
    </row>
    <row r="2322" spans="1:10" x14ac:dyDescent="0.2">
      <c r="A2322" s="84">
        <f t="shared" si="75"/>
        <v>2316</v>
      </c>
      <c r="B2322" s="85" t="e">
        <f>+MATCH(D2322,ARTICULOS!$F$10:$F$699,0)</f>
        <v>#N/A</v>
      </c>
      <c r="C2322" s="86" t="e">
        <f>+VLOOKUP(B2322,ARTICULOS!$D$10:$I$699,6)</f>
        <v>#N/A</v>
      </c>
      <c r="D2322" s="212"/>
      <c r="E2322" s="75" t="e">
        <f t="shared" si="76"/>
        <v>#N/A</v>
      </c>
      <c r="F2322" s="80"/>
      <c r="G2322" s="81"/>
      <c r="H2322" s="78"/>
      <c r="I2322" s="78"/>
      <c r="J2322" s="78"/>
    </row>
    <row r="2323" spans="1:10" x14ac:dyDescent="0.2">
      <c r="A2323" s="84">
        <f t="shared" si="75"/>
        <v>2317</v>
      </c>
      <c r="B2323" s="85" t="e">
        <f>+MATCH(D2323,ARTICULOS!$F$10:$F$699,0)</f>
        <v>#N/A</v>
      </c>
      <c r="C2323" s="86" t="e">
        <f>+VLOOKUP(B2323,ARTICULOS!$D$10:$I$699,6)</f>
        <v>#N/A</v>
      </c>
      <c r="D2323" s="212"/>
      <c r="E2323" s="75" t="e">
        <f t="shared" si="76"/>
        <v>#N/A</v>
      </c>
      <c r="F2323" s="80"/>
      <c r="G2323" s="81"/>
      <c r="H2323" s="78"/>
      <c r="I2323" s="78"/>
      <c r="J2323" s="78"/>
    </row>
    <row r="2324" spans="1:10" x14ac:dyDescent="0.2">
      <c r="A2324" s="84">
        <f t="shared" si="75"/>
        <v>2318</v>
      </c>
      <c r="B2324" s="85" t="e">
        <f>+MATCH(D2324,ARTICULOS!$F$10:$F$699,0)</f>
        <v>#N/A</v>
      </c>
      <c r="C2324" s="86" t="e">
        <f>+VLOOKUP(B2324,ARTICULOS!$D$10:$I$699,6)</f>
        <v>#N/A</v>
      </c>
      <c r="D2324" s="212"/>
      <c r="E2324" s="75" t="e">
        <f t="shared" si="76"/>
        <v>#N/A</v>
      </c>
      <c r="F2324" s="80"/>
      <c r="G2324" s="81"/>
      <c r="H2324" s="78"/>
      <c r="I2324" s="78"/>
      <c r="J2324" s="78"/>
    </row>
    <row r="2325" spans="1:10" x14ac:dyDescent="0.2">
      <c r="A2325" s="84">
        <f t="shared" si="75"/>
        <v>2319</v>
      </c>
      <c r="B2325" s="85" t="e">
        <f>+MATCH(D2325,ARTICULOS!$F$10:$F$699,0)</f>
        <v>#N/A</v>
      </c>
      <c r="C2325" s="86" t="e">
        <f>+VLOOKUP(B2325,ARTICULOS!$D$10:$I$699,6)</f>
        <v>#N/A</v>
      </c>
      <c r="D2325" s="212"/>
      <c r="E2325" s="75" t="e">
        <f t="shared" si="76"/>
        <v>#N/A</v>
      </c>
      <c r="F2325" s="80"/>
      <c r="G2325" s="81"/>
      <c r="H2325" s="78"/>
      <c r="I2325" s="78"/>
      <c r="J2325" s="78"/>
    </row>
    <row r="2326" spans="1:10" x14ac:dyDescent="0.2">
      <c r="A2326" s="84">
        <f t="shared" si="75"/>
        <v>2320</v>
      </c>
      <c r="B2326" s="85" t="e">
        <f>+MATCH(D2326,ARTICULOS!$F$10:$F$699,0)</f>
        <v>#N/A</v>
      </c>
      <c r="C2326" s="86" t="e">
        <f>+VLOOKUP(B2326,ARTICULOS!$D$10:$I$699,6)</f>
        <v>#N/A</v>
      </c>
      <c r="D2326" s="212"/>
      <c r="E2326" s="75" t="e">
        <f t="shared" si="76"/>
        <v>#N/A</v>
      </c>
      <c r="F2326" s="80"/>
      <c r="G2326" s="81"/>
      <c r="H2326" s="78"/>
      <c r="I2326" s="78"/>
      <c r="J2326" s="78"/>
    </row>
    <row r="2327" spans="1:10" x14ac:dyDescent="0.2">
      <c r="A2327" s="84">
        <f t="shared" si="75"/>
        <v>2321</v>
      </c>
      <c r="B2327" s="85" t="e">
        <f>+MATCH(D2327,ARTICULOS!$F$10:$F$699,0)</f>
        <v>#N/A</v>
      </c>
      <c r="C2327" s="86" t="e">
        <f>+VLOOKUP(B2327,ARTICULOS!$D$10:$I$699,6)</f>
        <v>#N/A</v>
      </c>
      <c r="D2327" s="212"/>
      <c r="E2327" s="75" t="e">
        <f t="shared" si="76"/>
        <v>#N/A</v>
      </c>
      <c r="F2327" s="80"/>
      <c r="G2327" s="81"/>
      <c r="H2327" s="78"/>
      <c r="I2327" s="78"/>
      <c r="J2327" s="78"/>
    </row>
    <row r="2328" spans="1:10" x14ac:dyDescent="0.2">
      <c r="A2328" s="84">
        <f t="shared" si="75"/>
        <v>2322</v>
      </c>
      <c r="B2328" s="85" t="e">
        <f>+MATCH(D2328,ARTICULOS!$F$10:$F$699,0)</f>
        <v>#N/A</v>
      </c>
      <c r="C2328" s="86" t="e">
        <f>+VLOOKUP(B2328,ARTICULOS!$D$10:$I$699,6)</f>
        <v>#N/A</v>
      </c>
      <c r="D2328" s="212"/>
      <c r="E2328" s="75" t="e">
        <f t="shared" si="76"/>
        <v>#N/A</v>
      </c>
      <c r="F2328" s="80"/>
      <c r="G2328" s="81"/>
      <c r="H2328" s="78"/>
      <c r="I2328" s="78"/>
      <c r="J2328" s="78"/>
    </row>
    <row r="2329" spans="1:10" x14ac:dyDescent="0.2">
      <c r="A2329" s="84">
        <f t="shared" si="75"/>
        <v>2323</v>
      </c>
      <c r="B2329" s="85" t="e">
        <f>+MATCH(D2329,ARTICULOS!$F$10:$F$699,0)</f>
        <v>#N/A</v>
      </c>
      <c r="C2329" s="86" t="e">
        <f>+VLOOKUP(B2329,ARTICULOS!$D$10:$I$699,6)</f>
        <v>#N/A</v>
      </c>
      <c r="D2329" s="212"/>
      <c r="E2329" s="75" t="e">
        <f t="shared" si="76"/>
        <v>#N/A</v>
      </c>
      <c r="F2329" s="80"/>
      <c r="G2329" s="81"/>
      <c r="H2329" s="78"/>
      <c r="I2329" s="78"/>
      <c r="J2329" s="78"/>
    </row>
    <row r="2330" spans="1:10" x14ac:dyDescent="0.2">
      <c r="A2330" s="84">
        <f t="shared" si="75"/>
        <v>2324</v>
      </c>
      <c r="B2330" s="85" t="e">
        <f>+MATCH(D2330,ARTICULOS!$F$10:$F$699,0)</f>
        <v>#N/A</v>
      </c>
      <c r="C2330" s="86" t="e">
        <f>+VLOOKUP(B2330,ARTICULOS!$D$10:$I$699,6)</f>
        <v>#N/A</v>
      </c>
      <c r="D2330" s="212"/>
      <c r="E2330" s="75" t="e">
        <f t="shared" si="76"/>
        <v>#N/A</v>
      </c>
      <c r="F2330" s="80"/>
      <c r="G2330" s="81"/>
      <c r="H2330" s="78"/>
      <c r="I2330" s="78"/>
      <c r="J2330" s="78"/>
    </row>
    <row r="2331" spans="1:10" x14ac:dyDescent="0.2">
      <c r="A2331" s="84">
        <f t="shared" si="75"/>
        <v>2325</v>
      </c>
      <c r="B2331" s="85" t="e">
        <f>+MATCH(D2331,ARTICULOS!$F$10:$F$699,0)</f>
        <v>#N/A</v>
      </c>
      <c r="C2331" s="86" t="e">
        <f>+VLOOKUP(B2331,ARTICULOS!$D$10:$I$699,6)</f>
        <v>#N/A</v>
      </c>
      <c r="D2331" s="212"/>
      <c r="E2331" s="75" t="e">
        <f t="shared" si="76"/>
        <v>#N/A</v>
      </c>
      <c r="F2331" s="80"/>
      <c r="G2331" s="81"/>
      <c r="H2331" s="78"/>
      <c r="I2331" s="78"/>
      <c r="J2331" s="78"/>
    </row>
    <row r="2332" spans="1:10" x14ac:dyDescent="0.2">
      <c r="A2332" s="84">
        <f t="shared" si="75"/>
        <v>2326</v>
      </c>
      <c r="B2332" s="85" t="e">
        <f>+MATCH(D2332,ARTICULOS!$F$10:$F$699,0)</f>
        <v>#N/A</v>
      </c>
      <c r="C2332" s="86" t="e">
        <f>+VLOOKUP(B2332,ARTICULOS!$D$10:$I$699,6)</f>
        <v>#N/A</v>
      </c>
      <c r="D2332" s="212"/>
      <c r="E2332" s="75" t="e">
        <f t="shared" si="76"/>
        <v>#N/A</v>
      </c>
      <c r="F2332" s="80"/>
      <c r="G2332" s="81"/>
      <c r="H2332" s="78"/>
      <c r="I2332" s="78"/>
      <c r="J2332" s="78"/>
    </row>
    <row r="2333" spans="1:10" x14ac:dyDescent="0.2">
      <c r="A2333" s="84">
        <f t="shared" si="75"/>
        <v>2327</v>
      </c>
      <c r="B2333" s="85" t="e">
        <f>+MATCH(D2333,ARTICULOS!$F$10:$F$699,0)</f>
        <v>#N/A</v>
      </c>
      <c r="C2333" s="86" t="e">
        <f>+VLOOKUP(B2333,ARTICULOS!$D$10:$I$699,6)</f>
        <v>#N/A</v>
      </c>
      <c r="D2333" s="212"/>
      <c r="E2333" s="75" t="e">
        <f t="shared" si="76"/>
        <v>#N/A</v>
      </c>
      <c r="F2333" s="80"/>
      <c r="G2333" s="81"/>
      <c r="H2333" s="78"/>
      <c r="I2333" s="78"/>
      <c r="J2333" s="78"/>
    </row>
    <row r="2334" spans="1:10" x14ac:dyDescent="0.2">
      <c r="A2334" s="84">
        <f t="shared" si="75"/>
        <v>2328</v>
      </c>
      <c r="B2334" s="85" t="e">
        <f>+MATCH(D2334,ARTICULOS!$F$10:$F$699,0)</f>
        <v>#N/A</v>
      </c>
      <c r="C2334" s="86" t="e">
        <f>+VLOOKUP(B2334,ARTICULOS!$D$10:$I$699,6)</f>
        <v>#N/A</v>
      </c>
      <c r="D2334" s="212"/>
      <c r="E2334" s="75" t="e">
        <f t="shared" si="76"/>
        <v>#N/A</v>
      </c>
      <c r="F2334" s="80"/>
      <c r="G2334" s="81"/>
      <c r="H2334" s="78"/>
      <c r="I2334" s="78"/>
      <c r="J2334" s="78"/>
    </row>
    <row r="2335" spans="1:10" x14ac:dyDescent="0.2">
      <c r="A2335" s="84">
        <f t="shared" si="75"/>
        <v>2329</v>
      </c>
      <c r="B2335" s="85" t="e">
        <f>+MATCH(D2335,ARTICULOS!$F$10:$F$699,0)</f>
        <v>#N/A</v>
      </c>
      <c r="C2335" s="86" t="e">
        <f>+VLOOKUP(B2335,ARTICULOS!$D$10:$I$699,6)</f>
        <v>#N/A</v>
      </c>
      <c r="D2335" s="212"/>
      <c r="E2335" s="75" t="e">
        <f t="shared" si="76"/>
        <v>#N/A</v>
      </c>
      <c r="F2335" s="80"/>
      <c r="G2335" s="81"/>
      <c r="H2335" s="78"/>
      <c r="I2335" s="78"/>
      <c r="J2335" s="78"/>
    </row>
    <row r="2336" spans="1:10" x14ac:dyDescent="0.2">
      <c r="A2336" s="84">
        <f t="shared" si="75"/>
        <v>2330</v>
      </c>
      <c r="B2336" s="85" t="e">
        <f>+MATCH(D2336,ARTICULOS!$F$10:$F$699,0)</f>
        <v>#N/A</v>
      </c>
      <c r="C2336" s="86" t="e">
        <f>+VLOOKUP(B2336,ARTICULOS!$D$10:$I$699,6)</f>
        <v>#N/A</v>
      </c>
      <c r="D2336" s="212"/>
      <c r="E2336" s="75" t="e">
        <f t="shared" si="76"/>
        <v>#N/A</v>
      </c>
      <c r="F2336" s="80"/>
      <c r="G2336" s="81"/>
      <c r="H2336" s="78"/>
      <c r="I2336" s="78"/>
      <c r="J2336" s="78"/>
    </row>
    <row r="2337" spans="1:10" x14ac:dyDescent="0.2">
      <c r="A2337" s="84">
        <f t="shared" si="75"/>
        <v>2331</v>
      </c>
      <c r="B2337" s="85" t="e">
        <f>+MATCH(D2337,ARTICULOS!$F$10:$F$699,0)</f>
        <v>#N/A</v>
      </c>
      <c r="C2337" s="86" t="e">
        <f>+VLOOKUP(B2337,ARTICULOS!$D$10:$I$699,6)</f>
        <v>#N/A</v>
      </c>
      <c r="D2337" s="212"/>
      <c r="E2337" s="75" t="e">
        <f t="shared" si="76"/>
        <v>#N/A</v>
      </c>
      <c r="F2337" s="80"/>
      <c r="G2337" s="81"/>
      <c r="H2337" s="78"/>
      <c r="I2337" s="78"/>
      <c r="J2337" s="78"/>
    </row>
    <row r="2338" spans="1:10" x14ac:dyDescent="0.2">
      <c r="A2338" s="84">
        <f t="shared" si="75"/>
        <v>2332</v>
      </c>
      <c r="B2338" s="85" t="e">
        <f>+MATCH(D2338,ARTICULOS!$F$10:$F$699,0)</f>
        <v>#N/A</v>
      </c>
      <c r="C2338" s="86" t="e">
        <f>+VLOOKUP(B2338,ARTICULOS!$D$10:$I$699,6)</f>
        <v>#N/A</v>
      </c>
      <c r="D2338" s="212"/>
      <c r="E2338" s="75" t="e">
        <f t="shared" si="76"/>
        <v>#N/A</v>
      </c>
      <c r="F2338" s="80"/>
      <c r="G2338" s="81"/>
      <c r="H2338" s="78"/>
      <c r="I2338" s="78"/>
      <c r="J2338" s="78"/>
    </row>
    <row r="2339" spans="1:10" x14ac:dyDescent="0.2">
      <c r="A2339" s="84">
        <f t="shared" si="75"/>
        <v>2333</v>
      </c>
      <c r="B2339" s="85" t="e">
        <f>+MATCH(D2339,ARTICULOS!$F$10:$F$699,0)</f>
        <v>#N/A</v>
      </c>
      <c r="C2339" s="86" t="e">
        <f>+VLOOKUP(B2339,ARTICULOS!$D$10:$I$699,6)</f>
        <v>#N/A</v>
      </c>
      <c r="D2339" s="212"/>
      <c r="E2339" s="75" t="e">
        <f t="shared" si="76"/>
        <v>#N/A</v>
      </c>
      <c r="F2339" s="80"/>
      <c r="G2339" s="81"/>
      <c r="H2339" s="78"/>
      <c r="I2339" s="78"/>
      <c r="J2339" s="78"/>
    </row>
    <row r="2340" spans="1:10" x14ac:dyDescent="0.2">
      <c r="A2340" s="84">
        <f t="shared" si="75"/>
        <v>2334</v>
      </c>
      <c r="B2340" s="85" t="e">
        <f>+MATCH(D2340,ARTICULOS!$F$10:$F$699,0)</f>
        <v>#N/A</v>
      </c>
      <c r="C2340" s="86" t="e">
        <f>+VLOOKUP(B2340,ARTICULOS!$D$10:$I$699,6)</f>
        <v>#N/A</v>
      </c>
      <c r="D2340" s="212"/>
      <c r="E2340" s="75" t="e">
        <f t="shared" si="76"/>
        <v>#N/A</v>
      </c>
      <c r="F2340" s="80"/>
      <c r="G2340" s="81"/>
      <c r="H2340" s="78"/>
      <c r="I2340" s="78"/>
      <c r="J2340" s="78"/>
    </row>
    <row r="2341" spans="1:10" x14ac:dyDescent="0.2">
      <c r="A2341" s="84">
        <f t="shared" si="75"/>
        <v>2335</v>
      </c>
      <c r="B2341" s="85" t="e">
        <f>+MATCH(D2341,ARTICULOS!$F$10:$F$699,0)</f>
        <v>#N/A</v>
      </c>
      <c r="C2341" s="86" t="e">
        <f>+VLOOKUP(B2341,ARTICULOS!$D$10:$I$699,6)</f>
        <v>#N/A</v>
      </c>
      <c r="D2341" s="212"/>
      <c r="E2341" s="75" t="e">
        <f t="shared" si="76"/>
        <v>#N/A</v>
      </c>
      <c r="F2341" s="80"/>
      <c r="G2341" s="81"/>
      <c r="H2341" s="78"/>
      <c r="I2341" s="78"/>
      <c r="J2341" s="78"/>
    </row>
    <row r="2342" spans="1:10" x14ac:dyDescent="0.2">
      <c r="A2342" s="84">
        <f t="shared" si="75"/>
        <v>2336</v>
      </c>
      <c r="B2342" s="85" t="e">
        <f>+MATCH(D2342,ARTICULOS!$F$10:$F$699,0)</f>
        <v>#N/A</v>
      </c>
      <c r="C2342" s="86" t="e">
        <f>+VLOOKUP(B2342,ARTICULOS!$D$10:$I$699,6)</f>
        <v>#N/A</v>
      </c>
      <c r="D2342" s="212"/>
      <c r="E2342" s="75" t="e">
        <f t="shared" si="76"/>
        <v>#N/A</v>
      </c>
      <c r="F2342" s="80"/>
      <c r="G2342" s="81"/>
      <c r="H2342" s="78"/>
      <c r="I2342" s="78"/>
      <c r="J2342" s="78"/>
    </row>
    <row r="2343" spans="1:10" x14ac:dyDescent="0.2">
      <c r="A2343" s="84">
        <f t="shared" si="75"/>
        <v>2337</v>
      </c>
      <c r="B2343" s="85" t="e">
        <f>+MATCH(D2343,ARTICULOS!$F$10:$F$699,0)</f>
        <v>#N/A</v>
      </c>
      <c r="C2343" s="86" t="e">
        <f>+VLOOKUP(B2343,ARTICULOS!$D$10:$I$699,6)</f>
        <v>#N/A</v>
      </c>
      <c r="D2343" s="212"/>
      <c r="E2343" s="75" t="e">
        <f t="shared" si="76"/>
        <v>#N/A</v>
      </c>
      <c r="F2343" s="80"/>
      <c r="G2343" s="81"/>
      <c r="H2343" s="78"/>
      <c r="I2343" s="78"/>
      <c r="J2343" s="78"/>
    </row>
    <row r="2344" spans="1:10" x14ac:dyDescent="0.2">
      <c r="A2344" s="84">
        <f t="shared" si="75"/>
        <v>2338</v>
      </c>
      <c r="B2344" s="85" t="e">
        <f>+MATCH(D2344,ARTICULOS!$F$10:$F$699,0)</f>
        <v>#N/A</v>
      </c>
      <c r="C2344" s="86" t="e">
        <f>+VLOOKUP(B2344,ARTICULOS!$D$10:$I$699,6)</f>
        <v>#N/A</v>
      </c>
      <c r="D2344" s="212"/>
      <c r="E2344" s="75" t="e">
        <f t="shared" si="76"/>
        <v>#N/A</v>
      </c>
      <c r="F2344" s="80"/>
      <c r="G2344" s="81"/>
      <c r="H2344" s="78"/>
      <c r="I2344" s="78"/>
      <c r="J2344" s="78"/>
    </row>
    <row r="2345" spans="1:10" x14ac:dyDescent="0.2">
      <c r="A2345" s="84">
        <f t="shared" ref="A2345:A2408" si="77">ROW()-6</f>
        <v>2339</v>
      </c>
      <c r="B2345" s="85" t="e">
        <f>+MATCH(D2345,ARTICULOS!$F$10:$F$699,0)</f>
        <v>#N/A</v>
      </c>
      <c r="C2345" s="86" t="e">
        <f>+VLOOKUP(B2345,ARTICULOS!$D$10:$I$699,6)</f>
        <v>#N/A</v>
      </c>
      <c r="D2345" s="212"/>
      <c r="E2345" s="75" t="e">
        <f t="shared" si="76"/>
        <v>#N/A</v>
      </c>
      <c r="F2345" s="80"/>
      <c r="G2345" s="81"/>
      <c r="H2345" s="78"/>
      <c r="I2345" s="78"/>
      <c r="J2345" s="78"/>
    </row>
    <row r="2346" spans="1:10" x14ac:dyDescent="0.2">
      <c r="A2346" s="84">
        <f t="shared" si="77"/>
        <v>2340</v>
      </c>
      <c r="B2346" s="85" t="e">
        <f>+MATCH(D2346,ARTICULOS!$F$10:$F$699,0)</f>
        <v>#N/A</v>
      </c>
      <c r="C2346" s="86" t="e">
        <f>+VLOOKUP(B2346,ARTICULOS!$D$10:$I$699,6)</f>
        <v>#N/A</v>
      </c>
      <c r="D2346" s="212"/>
      <c r="E2346" s="75" t="e">
        <f t="shared" si="76"/>
        <v>#N/A</v>
      </c>
      <c r="F2346" s="80"/>
      <c r="G2346" s="81"/>
      <c r="H2346" s="78"/>
      <c r="I2346" s="78"/>
      <c r="J2346" s="78"/>
    </row>
    <row r="2347" spans="1:10" x14ac:dyDescent="0.2">
      <c r="A2347" s="84">
        <f t="shared" si="77"/>
        <v>2341</v>
      </c>
      <c r="B2347" s="85" t="e">
        <f>+MATCH(D2347,ARTICULOS!$F$10:$F$699,0)</f>
        <v>#N/A</v>
      </c>
      <c r="C2347" s="86" t="e">
        <f>+VLOOKUP(B2347,ARTICULOS!$D$10:$I$699,6)</f>
        <v>#N/A</v>
      </c>
      <c r="D2347" s="212"/>
      <c r="E2347" s="75" t="e">
        <f t="shared" si="76"/>
        <v>#N/A</v>
      </c>
      <c r="F2347" s="80"/>
      <c r="G2347" s="81"/>
      <c r="H2347" s="78"/>
      <c r="I2347" s="78"/>
      <c r="J2347" s="78"/>
    </row>
    <row r="2348" spans="1:10" x14ac:dyDescent="0.2">
      <c r="A2348" s="84">
        <f t="shared" si="77"/>
        <v>2342</v>
      </c>
      <c r="B2348" s="85" t="e">
        <f>+MATCH(D2348,ARTICULOS!$F$10:$F$699,0)</f>
        <v>#N/A</v>
      </c>
      <c r="C2348" s="86" t="e">
        <f>+VLOOKUP(B2348,ARTICULOS!$D$10:$I$699,6)</f>
        <v>#N/A</v>
      </c>
      <c r="D2348" s="212"/>
      <c r="E2348" s="75" t="e">
        <f t="shared" si="76"/>
        <v>#N/A</v>
      </c>
      <c r="F2348" s="80"/>
      <c r="G2348" s="81"/>
      <c r="H2348" s="78"/>
      <c r="I2348" s="78"/>
      <c r="J2348" s="78"/>
    </row>
    <row r="2349" spans="1:10" x14ac:dyDescent="0.2">
      <c r="A2349" s="84">
        <f t="shared" si="77"/>
        <v>2343</v>
      </c>
      <c r="B2349" s="85" t="e">
        <f>+MATCH(D2349,ARTICULOS!$F$10:$F$699,0)</f>
        <v>#N/A</v>
      </c>
      <c r="C2349" s="86" t="e">
        <f>+VLOOKUP(B2349,ARTICULOS!$D$10:$I$699,6)</f>
        <v>#N/A</v>
      </c>
      <c r="D2349" s="212"/>
      <c r="E2349" s="75" t="e">
        <f t="shared" si="76"/>
        <v>#N/A</v>
      </c>
      <c r="F2349" s="80"/>
      <c r="G2349" s="81"/>
      <c r="H2349" s="78"/>
      <c r="I2349" s="78"/>
      <c r="J2349" s="78"/>
    </row>
    <row r="2350" spans="1:10" x14ac:dyDescent="0.2">
      <c r="A2350" s="84">
        <f t="shared" si="77"/>
        <v>2344</v>
      </c>
      <c r="B2350" s="85" t="e">
        <f>+MATCH(D2350,ARTICULOS!$F$10:$F$699,0)</f>
        <v>#N/A</v>
      </c>
      <c r="C2350" s="86" t="e">
        <f>+VLOOKUP(B2350,ARTICULOS!$D$10:$I$699,6)</f>
        <v>#N/A</v>
      </c>
      <c r="D2350" s="212"/>
      <c r="E2350" s="75" t="e">
        <f t="shared" si="76"/>
        <v>#N/A</v>
      </c>
      <c r="F2350" s="80"/>
      <c r="G2350" s="81"/>
      <c r="H2350" s="78"/>
      <c r="I2350" s="78"/>
      <c r="J2350" s="78"/>
    </row>
    <row r="2351" spans="1:10" x14ac:dyDescent="0.2">
      <c r="A2351" s="84">
        <f t="shared" si="77"/>
        <v>2345</v>
      </c>
      <c r="B2351" s="85" t="e">
        <f>+MATCH(D2351,ARTICULOS!$F$10:$F$699,0)</f>
        <v>#N/A</v>
      </c>
      <c r="C2351" s="86" t="e">
        <f>+VLOOKUP(B2351,ARTICULOS!$D$10:$I$699,6)</f>
        <v>#N/A</v>
      </c>
      <c r="D2351" s="212"/>
      <c r="E2351" s="75" t="e">
        <f t="shared" si="76"/>
        <v>#N/A</v>
      </c>
      <c r="F2351" s="80"/>
      <c r="G2351" s="81"/>
      <c r="H2351" s="78"/>
      <c r="I2351" s="78"/>
      <c r="J2351" s="78"/>
    </row>
    <row r="2352" spans="1:10" x14ac:dyDescent="0.2">
      <c r="A2352" s="84">
        <f t="shared" si="77"/>
        <v>2346</v>
      </c>
      <c r="B2352" s="85" t="e">
        <f>+MATCH(D2352,ARTICULOS!$F$10:$F$699,0)</f>
        <v>#N/A</v>
      </c>
      <c r="C2352" s="86" t="e">
        <f>+VLOOKUP(B2352,ARTICULOS!$D$10:$I$699,6)</f>
        <v>#N/A</v>
      </c>
      <c r="D2352" s="212"/>
      <c r="E2352" s="75" t="e">
        <f t="shared" si="76"/>
        <v>#N/A</v>
      </c>
      <c r="F2352" s="80"/>
      <c r="G2352" s="81"/>
      <c r="H2352" s="78"/>
      <c r="I2352" s="78"/>
      <c r="J2352" s="78"/>
    </row>
    <row r="2353" spans="1:10" x14ac:dyDescent="0.2">
      <c r="A2353" s="84">
        <f t="shared" si="77"/>
        <v>2347</v>
      </c>
      <c r="B2353" s="85" t="e">
        <f>+MATCH(D2353,ARTICULOS!$F$10:$F$699,0)</f>
        <v>#N/A</v>
      </c>
      <c r="C2353" s="86" t="e">
        <f>+VLOOKUP(B2353,ARTICULOS!$D$10:$I$699,6)</f>
        <v>#N/A</v>
      </c>
      <c r="D2353" s="212"/>
      <c r="E2353" s="75" t="e">
        <f t="shared" si="76"/>
        <v>#N/A</v>
      </c>
      <c r="F2353" s="80"/>
      <c r="G2353" s="81"/>
      <c r="H2353" s="78"/>
      <c r="I2353" s="78"/>
      <c r="J2353" s="78"/>
    </row>
    <row r="2354" spans="1:10" x14ac:dyDescent="0.2">
      <c r="A2354" s="84">
        <f t="shared" si="77"/>
        <v>2348</v>
      </c>
      <c r="B2354" s="85" t="e">
        <f>+MATCH(D2354,ARTICULOS!$F$10:$F$699,0)</f>
        <v>#N/A</v>
      </c>
      <c r="C2354" s="86" t="e">
        <f>+VLOOKUP(B2354,ARTICULOS!$D$10:$I$699,6)</f>
        <v>#N/A</v>
      </c>
      <c r="D2354" s="212"/>
      <c r="E2354" s="75" t="e">
        <f t="shared" si="76"/>
        <v>#N/A</v>
      </c>
      <c r="F2354" s="80"/>
      <c r="G2354" s="81"/>
      <c r="H2354" s="78"/>
      <c r="I2354" s="78"/>
      <c r="J2354" s="78"/>
    </row>
    <row r="2355" spans="1:10" x14ac:dyDescent="0.2">
      <c r="A2355" s="84">
        <f t="shared" si="77"/>
        <v>2349</v>
      </c>
      <c r="B2355" s="85" t="e">
        <f>+MATCH(D2355,ARTICULOS!$F$10:$F$699,0)</f>
        <v>#N/A</v>
      </c>
      <c r="C2355" s="86" t="e">
        <f>+VLOOKUP(B2355,ARTICULOS!$D$10:$I$699,6)</f>
        <v>#N/A</v>
      </c>
      <c r="D2355" s="212"/>
      <c r="E2355" s="75" t="e">
        <f t="shared" si="76"/>
        <v>#N/A</v>
      </c>
      <c r="F2355" s="80"/>
      <c r="G2355" s="81"/>
      <c r="H2355" s="78"/>
      <c r="I2355" s="78"/>
      <c r="J2355" s="78"/>
    </row>
    <row r="2356" spans="1:10" x14ac:dyDescent="0.2">
      <c r="A2356" s="84">
        <f t="shared" si="77"/>
        <v>2350</v>
      </c>
      <c r="B2356" s="85" t="e">
        <f>+MATCH(D2356,ARTICULOS!$F$10:$F$699,0)</f>
        <v>#N/A</v>
      </c>
      <c r="C2356" s="86" t="e">
        <f>+VLOOKUP(B2356,ARTICULOS!$D$10:$I$699,6)</f>
        <v>#N/A</v>
      </c>
      <c r="D2356" s="212"/>
      <c r="E2356" s="75" t="e">
        <f t="shared" si="76"/>
        <v>#N/A</v>
      </c>
      <c r="F2356" s="80"/>
      <c r="G2356" s="81"/>
      <c r="H2356" s="78"/>
      <c r="I2356" s="78"/>
      <c r="J2356" s="78"/>
    </row>
    <row r="2357" spans="1:10" x14ac:dyDescent="0.2">
      <c r="A2357" s="84">
        <f t="shared" si="77"/>
        <v>2351</v>
      </c>
      <c r="B2357" s="85" t="e">
        <f>+MATCH(D2357,ARTICULOS!$F$10:$F$699,0)</f>
        <v>#N/A</v>
      </c>
      <c r="C2357" s="86" t="e">
        <f>+VLOOKUP(B2357,ARTICULOS!$D$10:$I$699,6)</f>
        <v>#N/A</v>
      </c>
      <c r="D2357" s="212"/>
      <c r="E2357" s="75" t="e">
        <f t="shared" si="76"/>
        <v>#N/A</v>
      </c>
      <c r="F2357" s="80"/>
      <c r="G2357" s="81"/>
      <c r="H2357" s="78"/>
      <c r="I2357" s="78"/>
      <c r="J2357" s="78"/>
    </row>
    <row r="2358" spans="1:10" x14ac:dyDescent="0.2">
      <c r="A2358" s="84">
        <f t="shared" si="77"/>
        <v>2352</v>
      </c>
      <c r="B2358" s="85" t="e">
        <f>+MATCH(D2358,ARTICULOS!$F$10:$F$699,0)</f>
        <v>#N/A</v>
      </c>
      <c r="C2358" s="86" t="e">
        <f>+VLOOKUP(B2358,ARTICULOS!$D$10:$I$699,6)</f>
        <v>#N/A</v>
      </c>
      <c r="D2358" s="212"/>
      <c r="E2358" s="75" t="e">
        <f t="shared" si="76"/>
        <v>#N/A</v>
      </c>
      <c r="F2358" s="80"/>
      <c r="G2358" s="81"/>
      <c r="H2358" s="78"/>
      <c r="I2358" s="78"/>
      <c r="J2358" s="78"/>
    </row>
    <row r="2359" spans="1:10" x14ac:dyDescent="0.2">
      <c r="A2359" s="84">
        <f t="shared" si="77"/>
        <v>2353</v>
      </c>
      <c r="B2359" s="85" t="e">
        <f>+MATCH(D2359,ARTICULOS!$F$10:$F$699,0)</f>
        <v>#N/A</v>
      </c>
      <c r="C2359" s="86" t="e">
        <f>+VLOOKUP(B2359,ARTICULOS!$D$10:$I$699,6)</f>
        <v>#N/A</v>
      </c>
      <c r="D2359" s="212"/>
      <c r="E2359" s="75" t="e">
        <f t="shared" si="76"/>
        <v>#N/A</v>
      </c>
      <c r="F2359" s="80"/>
      <c r="G2359" s="81"/>
      <c r="H2359" s="78"/>
      <c r="I2359" s="78"/>
      <c r="J2359" s="78"/>
    </row>
    <row r="2360" spans="1:10" x14ac:dyDescent="0.2">
      <c r="A2360" s="84">
        <f t="shared" si="77"/>
        <v>2354</v>
      </c>
      <c r="B2360" s="85" t="e">
        <f>+MATCH(D2360,ARTICULOS!$F$10:$F$699,0)</f>
        <v>#N/A</v>
      </c>
      <c r="C2360" s="86" t="e">
        <f>+VLOOKUP(B2360,ARTICULOS!$D$10:$I$699,6)</f>
        <v>#N/A</v>
      </c>
      <c r="D2360" s="212"/>
      <c r="E2360" s="75" t="e">
        <f t="shared" si="76"/>
        <v>#N/A</v>
      </c>
      <c r="F2360" s="80"/>
      <c r="G2360" s="81"/>
      <c r="H2360" s="78"/>
      <c r="I2360" s="78"/>
      <c r="J2360" s="78"/>
    </row>
    <row r="2361" spans="1:10" x14ac:dyDescent="0.2">
      <c r="A2361" s="84">
        <f t="shared" si="77"/>
        <v>2355</v>
      </c>
      <c r="B2361" s="85" t="e">
        <f>+MATCH(D2361,ARTICULOS!$F$10:$F$699,0)</f>
        <v>#N/A</v>
      </c>
      <c r="C2361" s="86" t="e">
        <f>+VLOOKUP(B2361,ARTICULOS!$D$10:$I$699,6)</f>
        <v>#N/A</v>
      </c>
      <c r="D2361" s="212"/>
      <c r="E2361" s="75" t="e">
        <f t="shared" si="76"/>
        <v>#N/A</v>
      </c>
      <c r="F2361" s="80"/>
      <c r="G2361" s="81"/>
      <c r="H2361" s="78"/>
      <c r="I2361" s="78"/>
      <c r="J2361" s="78"/>
    </row>
    <row r="2362" spans="1:10" x14ac:dyDescent="0.2">
      <c r="A2362" s="84">
        <f t="shared" si="77"/>
        <v>2356</v>
      </c>
      <c r="B2362" s="85" t="e">
        <f>+MATCH(D2362,ARTICULOS!$F$10:$F$699,0)</f>
        <v>#N/A</v>
      </c>
      <c r="C2362" s="86" t="e">
        <f>+VLOOKUP(B2362,ARTICULOS!$D$10:$I$699,6)</f>
        <v>#N/A</v>
      </c>
      <c r="D2362" s="212"/>
      <c r="E2362" s="75" t="e">
        <f t="shared" si="76"/>
        <v>#N/A</v>
      </c>
      <c r="F2362" s="80"/>
      <c r="G2362" s="81"/>
      <c r="H2362" s="78"/>
      <c r="I2362" s="78"/>
      <c r="J2362" s="78"/>
    </row>
    <row r="2363" spans="1:10" x14ac:dyDescent="0.2">
      <c r="A2363" s="84">
        <f t="shared" si="77"/>
        <v>2357</v>
      </c>
      <c r="B2363" s="85" t="e">
        <f>+MATCH(D2363,ARTICULOS!$F$10:$F$699,0)</f>
        <v>#N/A</v>
      </c>
      <c r="C2363" s="86" t="e">
        <f>+VLOOKUP(B2363,ARTICULOS!$D$10:$I$699,6)</f>
        <v>#N/A</v>
      </c>
      <c r="D2363" s="212"/>
      <c r="E2363" s="75" t="e">
        <f t="shared" si="76"/>
        <v>#N/A</v>
      </c>
      <c r="F2363" s="80"/>
      <c r="G2363" s="81"/>
      <c r="H2363" s="78"/>
      <c r="I2363" s="78"/>
      <c r="J2363" s="78"/>
    </row>
    <row r="2364" spans="1:10" x14ac:dyDescent="0.2">
      <c r="A2364" s="84">
        <f t="shared" si="77"/>
        <v>2358</v>
      </c>
      <c r="B2364" s="85" t="e">
        <f>+MATCH(D2364,ARTICULOS!$F$10:$F$699,0)</f>
        <v>#N/A</v>
      </c>
      <c r="C2364" s="86" t="e">
        <f>+VLOOKUP(B2364,ARTICULOS!$D$10:$I$699,6)</f>
        <v>#N/A</v>
      </c>
      <c r="D2364" s="212"/>
      <c r="E2364" s="75" t="e">
        <f t="shared" si="76"/>
        <v>#N/A</v>
      </c>
      <c r="F2364" s="80"/>
      <c r="G2364" s="81"/>
      <c r="H2364" s="78"/>
      <c r="I2364" s="78"/>
      <c r="J2364" s="78"/>
    </row>
    <row r="2365" spans="1:10" x14ac:dyDescent="0.2">
      <c r="A2365" s="84">
        <f t="shared" si="77"/>
        <v>2359</v>
      </c>
      <c r="B2365" s="85" t="e">
        <f>+MATCH(D2365,ARTICULOS!$F$10:$F$699,0)</f>
        <v>#N/A</v>
      </c>
      <c r="C2365" s="86" t="e">
        <f>+VLOOKUP(B2365,ARTICULOS!$D$10:$I$699,6)</f>
        <v>#N/A</v>
      </c>
      <c r="D2365" s="212"/>
      <c r="E2365" s="75" t="e">
        <f t="shared" si="76"/>
        <v>#N/A</v>
      </c>
      <c r="F2365" s="80"/>
      <c r="G2365" s="81"/>
      <c r="H2365" s="78"/>
      <c r="I2365" s="78"/>
      <c r="J2365" s="78"/>
    </row>
    <row r="2366" spans="1:10" x14ac:dyDescent="0.2">
      <c r="A2366" s="84">
        <f t="shared" si="77"/>
        <v>2360</v>
      </c>
      <c r="B2366" s="85" t="e">
        <f>+MATCH(D2366,ARTICULOS!$F$10:$F$699,0)</f>
        <v>#N/A</v>
      </c>
      <c r="C2366" s="86" t="e">
        <f>+VLOOKUP(B2366,ARTICULOS!$D$10:$I$699,6)</f>
        <v>#N/A</v>
      </c>
      <c r="D2366" s="212"/>
      <c r="E2366" s="75" t="e">
        <f t="shared" si="76"/>
        <v>#N/A</v>
      </c>
      <c r="F2366" s="80"/>
      <c r="G2366" s="81"/>
      <c r="H2366" s="78"/>
      <c r="I2366" s="78"/>
      <c r="J2366" s="78"/>
    </row>
    <row r="2367" spans="1:10" x14ac:dyDescent="0.2">
      <c r="A2367" s="84">
        <f t="shared" si="77"/>
        <v>2361</v>
      </c>
      <c r="B2367" s="85" t="e">
        <f>+MATCH(D2367,ARTICULOS!$F$10:$F$699,0)</f>
        <v>#N/A</v>
      </c>
      <c r="C2367" s="86" t="e">
        <f>+VLOOKUP(B2367,ARTICULOS!$D$10:$I$699,6)</f>
        <v>#N/A</v>
      </c>
      <c r="D2367" s="212"/>
      <c r="E2367" s="75" t="e">
        <f t="shared" si="76"/>
        <v>#N/A</v>
      </c>
      <c r="F2367" s="80"/>
      <c r="G2367" s="81"/>
      <c r="H2367" s="78"/>
      <c r="I2367" s="78"/>
      <c r="J2367" s="78"/>
    </row>
    <row r="2368" spans="1:10" x14ac:dyDescent="0.2">
      <c r="A2368" s="84">
        <f t="shared" si="77"/>
        <v>2362</v>
      </c>
      <c r="B2368" s="85" t="e">
        <f>+MATCH(D2368,ARTICULOS!$F$10:$F$699,0)</f>
        <v>#N/A</v>
      </c>
      <c r="C2368" s="86" t="e">
        <f>+VLOOKUP(B2368,ARTICULOS!$D$10:$I$699,6)</f>
        <v>#N/A</v>
      </c>
      <c r="D2368" s="212"/>
      <c r="E2368" s="75" t="e">
        <f t="shared" si="76"/>
        <v>#N/A</v>
      </c>
      <c r="F2368" s="80"/>
      <c r="G2368" s="81"/>
      <c r="H2368" s="78"/>
      <c r="I2368" s="78"/>
      <c r="J2368" s="78"/>
    </row>
    <row r="2369" spans="1:10" x14ac:dyDescent="0.2">
      <c r="A2369" s="84">
        <f t="shared" si="77"/>
        <v>2363</v>
      </c>
      <c r="B2369" s="85" t="e">
        <f>+MATCH(D2369,ARTICULOS!$F$10:$F$699,0)</f>
        <v>#N/A</v>
      </c>
      <c r="C2369" s="86" t="e">
        <f>+VLOOKUP(B2369,ARTICULOS!$D$10:$I$699,6)</f>
        <v>#N/A</v>
      </c>
      <c r="D2369" s="212"/>
      <c r="E2369" s="75" t="e">
        <f t="shared" si="76"/>
        <v>#N/A</v>
      </c>
      <c r="F2369" s="80"/>
      <c r="G2369" s="81"/>
      <c r="H2369" s="78"/>
      <c r="I2369" s="78"/>
      <c r="J2369" s="78"/>
    </row>
    <row r="2370" spans="1:10" x14ac:dyDescent="0.2">
      <c r="A2370" s="84">
        <f t="shared" si="77"/>
        <v>2364</v>
      </c>
      <c r="B2370" s="85" t="e">
        <f>+MATCH(D2370,ARTICULOS!$F$10:$F$699,0)</f>
        <v>#N/A</v>
      </c>
      <c r="C2370" s="86" t="e">
        <f>+VLOOKUP(B2370,ARTICULOS!$D$10:$I$699,6)</f>
        <v>#N/A</v>
      </c>
      <c r="D2370" s="212"/>
      <c r="E2370" s="75" t="e">
        <f t="shared" si="76"/>
        <v>#N/A</v>
      </c>
      <c r="F2370" s="80"/>
      <c r="G2370" s="81"/>
      <c r="H2370" s="78"/>
      <c r="I2370" s="78"/>
      <c r="J2370" s="78"/>
    </row>
    <row r="2371" spans="1:10" x14ac:dyDescent="0.2">
      <c r="A2371" s="84">
        <f t="shared" si="77"/>
        <v>2365</v>
      </c>
      <c r="B2371" s="85" t="e">
        <f>+MATCH(D2371,ARTICULOS!$F$10:$F$699,0)</f>
        <v>#N/A</v>
      </c>
      <c r="C2371" s="86" t="e">
        <f>+VLOOKUP(B2371,ARTICULOS!$D$10:$I$699,6)</f>
        <v>#N/A</v>
      </c>
      <c r="D2371" s="212"/>
      <c r="E2371" s="75" t="e">
        <f t="shared" si="76"/>
        <v>#N/A</v>
      </c>
      <c r="F2371" s="80"/>
      <c r="G2371" s="81"/>
      <c r="H2371" s="78"/>
      <c r="I2371" s="78"/>
      <c r="J2371" s="78"/>
    </row>
    <row r="2372" spans="1:10" x14ac:dyDescent="0.2">
      <c r="A2372" s="84">
        <f t="shared" si="77"/>
        <v>2366</v>
      </c>
      <c r="B2372" s="85" t="e">
        <f>+MATCH(D2372,ARTICULOS!$F$10:$F$699,0)</f>
        <v>#N/A</v>
      </c>
      <c r="C2372" s="86" t="e">
        <f>+VLOOKUP(B2372,ARTICULOS!$D$10:$I$699,6)</f>
        <v>#N/A</v>
      </c>
      <c r="D2372" s="212"/>
      <c r="E2372" s="75" t="e">
        <f t="shared" si="76"/>
        <v>#N/A</v>
      </c>
      <c r="F2372" s="80"/>
      <c r="G2372" s="81"/>
      <c r="H2372" s="78"/>
      <c r="I2372" s="78"/>
      <c r="J2372" s="78"/>
    </row>
    <row r="2373" spans="1:10" x14ac:dyDescent="0.2">
      <c r="A2373" s="84">
        <f t="shared" si="77"/>
        <v>2367</v>
      </c>
      <c r="B2373" s="85" t="e">
        <f>+MATCH(D2373,ARTICULOS!$F$10:$F$699,0)</f>
        <v>#N/A</v>
      </c>
      <c r="C2373" s="86" t="e">
        <f>+VLOOKUP(B2373,ARTICULOS!$D$10:$I$699,6)</f>
        <v>#N/A</v>
      </c>
      <c r="D2373" s="212"/>
      <c r="E2373" s="75" t="e">
        <f t="shared" si="76"/>
        <v>#N/A</v>
      </c>
      <c r="F2373" s="80"/>
      <c r="G2373" s="81"/>
      <c r="H2373" s="78"/>
      <c r="I2373" s="78"/>
      <c r="J2373" s="78"/>
    </row>
    <row r="2374" spans="1:10" x14ac:dyDescent="0.2">
      <c r="A2374" s="84">
        <f t="shared" si="77"/>
        <v>2368</v>
      </c>
      <c r="B2374" s="85" t="e">
        <f>+MATCH(D2374,ARTICULOS!$F$10:$F$699,0)</f>
        <v>#N/A</v>
      </c>
      <c r="C2374" s="86" t="e">
        <f>+VLOOKUP(B2374,ARTICULOS!$D$10:$I$699,6)</f>
        <v>#N/A</v>
      </c>
      <c r="D2374" s="212"/>
      <c r="E2374" s="75" t="e">
        <f t="shared" si="76"/>
        <v>#N/A</v>
      </c>
      <c r="F2374" s="80"/>
      <c r="G2374" s="81"/>
      <c r="H2374" s="78"/>
      <c r="I2374" s="78"/>
      <c r="J2374" s="78"/>
    </row>
    <row r="2375" spans="1:10" x14ac:dyDescent="0.2">
      <c r="A2375" s="84">
        <f t="shared" si="77"/>
        <v>2369</v>
      </c>
      <c r="B2375" s="85" t="e">
        <f>+MATCH(D2375,ARTICULOS!$F$10:$F$699,0)</f>
        <v>#N/A</v>
      </c>
      <c r="C2375" s="86" t="e">
        <f>+VLOOKUP(B2375,ARTICULOS!$D$10:$I$699,6)</f>
        <v>#N/A</v>
      </c>
      <c r="D2375" s="212"/>
      <c r="E2375" s="75" t="e">
        <f t="shared" si="76"/>
        <v>#N/A</v>
      </c>
      <c r="F2375" s="80"/>
      <c r="G2375" s="81"/>
      <c r="H2375" s="78"/>
      <c r="I2375" s="78"/>
      <c r="J2375" s="78"/>
    </row>
    <row r="2376" spans="1:10" x14ac:dyDescent="0.2">
      <c r="A2376" s="84">
        <f t="shared" si="77"/>
        <v>2370</v>
      </c>
      <c r="B2376" s="85" t="e">
        <f>+MATCH(D2376,ARTICULOS!$F$10:$F$699,0)</f>
        <v>#N/A</v>
      </c>
      <c r="C2376" s="86" t="e">
        <f>+VLOOKUP(B2376,ARTICULOS!$D$10:$I$699,6)</f>
        <v>#N/A</v>
      </c>
      <c r="D2376" s="212"/>
      <c r="E2376" s="75" t="e">
        <f t="shared" si="76"/>
        <v>#N/A</v>
      </c>
      <c r="F2376" s="80"/>
      <c r="G2376" s="81"/>
      <c r="H2376" s="78"/>
      <c r="I2376" s="78"/>
      <c r="J2376" s="78"/>
    </row>
    <row r="2377" spans="1:10" x14ac:dyDescent="0.2">
      <c r="A2377" s="84">
        <f t="shared" si="77"/>
        <v>2371</v>
      </c>
      <c r="B2377" s="85" t="e">
        <f>+MATCH(D2377,ARTICULOS!$F$10:$F$699,0)</f>
        <v>#N/A</v>
      </c>
      <c r="C2377" s="86" t="e">
        <f>+VLOOKUP(B2377,ARTICULOS!$D$10:$I$699,6)</f>
        <v>#N/A</v>
      </c>
      <c r="D2377" s="212"/>
      <c r="E2377" s="75" t="e">
        <f t="shared" si="76"/>
        <v>#N/A</v>
      </c>
      <c r="F2377" s="80"/>
      <c r="G2377" s="81"/>
      <c r="H2377" s="78"/>
      <c r="I2377" s="78"/>
      <c r="J2377" s="78"/>
    </row>
    <row r="2378" spans="1:10" x14ac:dyDescent="0.2">
      <c r="A2378" s="84">
        <f t="shared" si="77"/>
        <v>2372</v>
      </c>
      <c r="B2378" s="85" t="e">
        <f>+MATCH(D2378,ARTICULOS!$F$10:$F$699,0)</f>
        <v>#N/A</v>
      </c>
      <c r="C2378" s="86" t="e">
        <f>+VLOOKUP(B2378,ARTICULOS!$D$10:$I$699,6)</f>
        <v>#N/A</v>
      </c>
      <c r="D2378" s="212"/>
      <c r="E2378" s="75" t="e">
        <f t="shared" si="76"/>
        <v>#N/A</v>
      </c>
      <c r="F2378" s="80"/>
      <c r="G2378" s="81"/>
      <c r="H2378" s="78"/>
      <c r="I2378" s="78"/>
      <c r="J2378" s="78"/>
    </row>
    <row r="2379" spans="1:10" x14ac:dyDescent="0.2">
      <c r="A2379" s="84">
        <f t="shared" si="77"/>
        <v>2373</v>
      </c>
      <c r="B2379" s="85" t="e">
        <f>+MATCH(D2379,ARTICULOS!$F$10:$F$699,0)</f>
        <v>#N/A</v>
      </c>
      <c r="C2379" s="86" t="e">
        <f>+VLOOKUP(B2379,ARTICULOS!$D$10:$I$699,6)</f>
        <v>#N/A</v>
      </c>
      <c r="D2379" s="212"/>
      <c r="E2379" s="75" t="e">
        <f t="shared" ref="E2379:E2442" si="78">+C2379&amp;F2379</f>
        <v>#N/A</v>
      </c>
      <c r="F2379" s="80"/>
      <c r="G2379" s="81"/>
      <c r="H2379" s="78"/>
      <c r="I2379" s="78"/>
      <c r="J2379" s="78"/>
    </row>
    <row r="2380" spans="1:10" x14ac:dyDescent="0.2">
      <c r="A2380" s="84">
        <f t="shared" si="77"/>
        <v>2374</v>
      </c>
      <c r="B2380" s="85" t="e">
        <f>+MATCH(D2380,ARTICULOS!$F$10:$F$699,0)</f>
        <v>#N/A</v>
      </c>
      <c r="C2380" s="86" t="e">
        <f>+VLOOKUP(B2380,ARTICULOS!$D$10:$I$699,6)</f>
        <v>#N/A</v>
      </c>
      <c r="D2380" s="212"/>
      <c r="E2380" s="75" t="e">
        <f t="shared" si="78"/>
        <v>#N/A</v>
      </c>
      <c r="F2380" s="80"/>
      <c r="G2380" s="81"/>
      <c r="H2380" s="78"/>
      <c r="I2380" s="78"/>
      <c r="J2380" s="78"/>
    </row>
    <row r="2381" spans="1:10" x14ac:dyDescent="0.2">
      <c r="A2381" s="84">
        <f t="shared" si="77"/>
        <v>2375</v>
      </c>
      <c r="B2381" s="85" t="e">
        <f>+MATCH(D2381,ARTICULOS!$F$10:$F$699,0)</f>
        <v>#N/A</v>
      </c>
      <c r="C2381" s="86" t="e">
        <f>+VLOOKUP(B2381,ARTICULOS!$D$10:$I$699,6)</f>
        <v>#N/A</v>
      </c>
      <c r="D2381" s="212"/>
      <c r="E2381" s="75" t="e">
        <f t="shared" si="78"/>
        <v>#N/A</v>
      </c>
      <c r="F2381" s="80"/>
      <c r="G2381" s="81"/>
      <c r="H2381" s="78"/>
      <c r="I2381" s="78"/>
      <c r="J2381" s="78"/>
    </row>
    <row r="2382" spans="1:10" x14ac:dyDescent="0.2">
      <c r="A2382" s="84">
        <f t="shared" si="77"/>
        <v>2376</v>
      </c>
      <c r="B2382" s="85" t="e">
        <f>+MATCH(D2382,ARTICULOS!$F$10:$F$699,0)</f>
        <v>#N/A</v>
      </c>
      <c r="C2382" s="86" t="e">
        <f>+VLOOKUP(B2382,ARTICULOS!$D$10:$I$699,6)</f>
        <v>#N/A</v>
      </c>
      <c r="D2382" s="212"/>
      <c r="E2382" s="75" t="e">
        <f t="shared" si="78"/>
        <v>#N/A</v>
      </c>
      <c r="F2382" s="80"/>
      <c r="G2382" s="81"/>
      <c r="H2382" s="78"/>
      <c r="I2382" s="78"/>
      <c r="J2382" s="78"/>
    </row>
    <row r="2383" spans="1:10" x14ac:dyDescent="0.2">
      <c r="A2383" s="84">
        <f t="shared" si="77"/>
        <v>2377</v>
      </c>
      <c r="B2383" s="85" t="e">
        <f>+MATCH(D2383,ARTICULOS!$F$10:$F$699,0)</f>
        <v>#N/A</v>
      </c>
      <c r="C2383" s="86" t="e">
        <f>+VLOOKUP(B2383,ARTICULOS!$D$10:$I$699,6)</f>
        <v>#N/A</v>
      </c>
      <c r="D2383" s="212"/>
      <c r="E2383" s="75" t="e">
        <f t="shared" si="78"/>
        <v>#N/A</v>
      </c>
      <c r="F2383" s="80"/>
      <c r="G2383" s="81"/>
      <c r="H2383" s="78"/>
      <c r="I2383" s="78"/>
      <c r="J2383" s="78"/>
    </row>
    <row r="2384" spans="1:10" x14ac:dyDescent="0.2">
      <c r="A2384" s="84">
        <f t="shared" si="77"/>
        <v>2378</v>
      </c>
      <c r="B2384" s="85" t="e">
        <f>+MATCH(D2384,ARTICULOS!$F$10:$F$699,0)</f>
        <v>#N/A</v>
      </c>
      <c r="C2384" s="86" t="e">
        <f>+VLOOKUP(B2384,ARTICULOS!$D$10:$I$699,6)</f>
        <v>#N/A</v>
      </c>
      <c r="D2384" s="212"/>
      <c r="E2384" s="75" t="e">
        <f t="shared" si="78"/>
        <v>#N/A</v>
      </c>
      <c r="F2384" s="80"/>
      <c r="G2384" s="81"/>
      <c r="H2384" s="78"/>
      <c r="I2384" s="78"/>
      <c r="J2384" s="78"/>
    </row>
    <row r="2385" spans="1:10" x14ac:dyDescent="0.2">
      <c r="A2385" s="84">
        <f t="shared" si="77"/>
        <v>2379</v>
      </c>
      <c r="B2385" s="85" t="e">
        <f>+MATCH(D2385,ARTICULOS!$F$10:$F$699,0)</f>
        <v>#N/A</v>
      </c>
      <c r="C2385" s="86" t="e">
        <f>+VLOOKUP(B2385,ARTICULOS!$D$10:$I$699,6)</f>
        <v>#N/A</v>
      </c>
      <c r="D2385" s="212"/>
      <c r="E2385" s="75" t="e">
        <f t="shared" si="78"/>
        <v>#N/A</v>
      </c>
      <c r="F2385" s="80"/>
      <c r="G2385" s="81"/>
      <c r="H2385" s="78"/>
      <c r="I2385" s="78"/>
      <c r="J2385" s="78"/>
    </row>
    <row r="2386" spans="1:10" x14ac:dyDescent="0.2">
      <c r="A2386" s="84">
        <f t="shared" si="77"/>
        <v>2380</v>
      </c>
      <c r="B2386" s="85" t="e">
        <f>+MATCH(D2386,ARTICULOS!$F$10:$F$699,0)</f>
        <v>#N/A</v>
      </c>
      <c r="C2386" s="86" t="e">
        <f>+VLOOKUP(B2386,ARTICULOS!$D$10:$I$699,6)</f>
        <v>#N/A</v>
      </c>
      <c r="D2386" s="212"/>
      <c r="E2386" s="75" t="e">
        <f t="shared" si="78"/>
        <v>#N/A</v>
      </c>
      <c r="F2386" s="80"/>
      <c r="G2386" s="81"/>
      <c r="H2386" s="78"/>
      <c r="I2386" s="78"/>
      <c r="J2386" s="78"/>
    </row>
    <row r="2387" spans="1:10" x14ac:dyDescent="0.2">
      <c r="A2387" s="84">
        <f t="shared" si="77"/>
        <v>2381</v>
      </c>
      <c r="B2387" s="85" t="e">
        <f>+MATCH(D2387,ARTICULOS!$F$10:$F$699,0)</f>
        <v>#N/A</v>
      </c>
      <c r="C2387" s="86" t="e">
        <f>+VLOOKUP(B2387,ARTICULOS!$D$10:$I$699,6)</f>
        <v>#N/A</v>
      </c>
      <c r="D2387" s="212"/>
      <c r="E2387" s="75" t="e">
        <f t="shared" si="78"/>
        <v>#N/A</v>
      </c>
      <c r="F2387" s="80"/>
      <c r="G2387" s="81"/>
      <c r="H2387" s="78"/>
      <c r="I2387" s="78"/>
      <c r="J2387" s="78"/>
    </row>
    <row r="2388" spans="1:10" x14ac:dyDescent="0.2">
      <c r="A2388" s="84">
        <f t="shared" si="77"/>
        <v>2382</v>
      </c>
      <c r="B2388" s="85" t="e">
        <f>+MATCH(D2388,ARTICULOS!$F$10:$F$699,0)</f>
        <v>#N/A</v>
      </c>
      <c r="C2388" s="86" t="e">
        <f>+VLOOKUP(B2388,ARTICULOS!$D$10:$I$699,6)</f>
        <v>#N/A</v>
      </c>
      <c r="D2388" s="212"/>
      <c r="E2388" s="75" t="e">
        <f t="shared" si="78"/>
        <v>#N/A</v>
      </c>
      <c r="F2388" s="80"/>
      <c r="G2388" s="81"/>
      <c r="H2388" s="78"/>
      <c r="I2388" s="78"/>
      <c r="J2388" s="78"/>
    </row>
    <row r="2389" spans="1:10" x14ac:dyDescent="0.2">
      <c r="A2389" s="84">
        <f t="shared" si="77"/>
        <v>2383</v>
      </c>
      <c r="B2389" s="85" t="e">
        <f>+MATCH(D2389,ARTICULOS!$F$10:$F$699,0)</f>
        <v>#N/A</v>
      </c>
      <c r="C2389" s="86" t="e">
        <f>+VLOOKUP(B2389,ARTICULOS!$D$10:$I$699,6)</f>
        <v>#N/A</v>
      </c>
      <c r="D2389" s="212"/>
      <c r="E2389" s="75" t="e">
        <f t="shared" si="78"/>
        <v>#N/A</v>
      </c>
      <c r="F2389" s="80"/>
      <c r="G2389" s="81"/>
      <c r="H2389" s="78"/>
      <c r="I2389" s="78"/>
      <c r="J2389" s="78"/>
    </row>
    <row r="2390" spans="1:10" x14ac:dyDescent="0.2">
      <c r="A2390" s="84">
        <f t="shared" si="77"/>
        <v>2384</v>
      </c>
      <c r="B2390" s="85" t="e">
        <f>+MATCH(D2390,ARTICULOS!$F$10:$F$699,0)</f>
        <v>#N/A</v>
      </c>
      <c r="C2390" s="86" t="e">
        <f>+VLOOKUP(B2390,ARTICULOS!$D$10:$I$699,6)</f>
        <v>#N/A</v>
      </c>
      <c r="D2390" s="212"/>
      <c r="E2390" s="75" t="e">
        <f t="shared" si="78"/>
        <v>#N/A</v>
      </c>
      <c r="F2390" s="80"/>
      <c r="G2390" s="81"/>
      <c r="H2390" s="78"/>
      <c r="I2390" s="78"/>
      <c r="J2390" s="78"/>
    </row>
    <row r="2391" spans="1:10" x14ac:dyDescent="0.2">
      <c r="A2391" s="84">
        <f t="shared" si="77"/>
        <v>2385</v>
      </c>
      <c r="B2391" s="85" t="e">
        <f>+MATCH(D2391,ARTICULOS!$F$10:$F$699,0)</f>
        <v>#N/A</v>
      </c>
      <c r="C2391" s="86" t="e">
        <f>+VLOOKUP(B2391,ARTICULOS!$D$10:$I$699,6)</f>
        <v>#N/A</v>
      </c>
      <c r="D2391" s="212"/>
      <c r="E2391" s="75" t="e">
        <f t="shared" si="78"/>
        <v>#N/A</v>
      </c>
      <c r="F2391" s="80"/>
      <c r="G2391" s="81"/>
      <c r="H2391" s="78"/>
      <c r="I2391" s="78"/>
      <c r="J2391" s="78"/>
    </row>
    <row r="2392" spans="1:10" x14ac:dyDescent="0.2">
      <c r="A2392" s="84">
        <f t="shared" si="77"/>
        <v>2386</v>
      </c>
      <c r="B2392" s="85" t="e">
        <f>+MATCH(D2392,ARTICULOS!$F$10:$F$699,0)</f>
        <v>#N/A</v>
      </c>
      <c r="C2392" s="86" t="e">
        <f>+VLOOKUP(B2392,ARTICULOS!$D$10:$I$699,6)</f>
        <v>#N/A</v>
      </c>
      <c r="D2392" s="212"/>
      <c r="E2392" s="75" t="e">
        <f t="shared" si="78"/>
        <v>#N/A</v>
      </c>
      <c r="F2392" s="80"/>
      <c r="G2392" s="81"/>
      <c r="H2392" s="78"/>
      <c r="I2392" s="78"/>
      <c r="J2392" s="78"/>
    </row>
    <row r="2393" spans="1:10" x14ac:dyDescent="0.2">
      <c r="A2393" s="84">
        <f t="shared" si="77"/>
        <v>2387</v>
      </c>
      <c r="B2393" s="85" t="e">
        <f>+MATCH(D2393,ARTICULOS!$F$10:$F$699,0)</f>
        <v>#N/A</v>
      </c>
      <c r="C2393" s="86" t="e">
        <f>+VLOOKUP(B2393,ARTICULOS!$D$10:$I$699,6)</f>
        <v>#N/A</v>
      </c>
      <c r="D2393" s="212"/>
      <c r="E2393" s="75" t="e">
        <f t="shared" si="78"/>
        <v>#N/A</v>
      </c>
      <c r="F2393" s="80"/>
      <c r="G2393" s="81"/>
      <c r="H2393" s="78"/>
      <c r="I2393" s="78"/>
      <c r="J2393" s="78"/>
    </row>
    <row r="2394" spans="1:10" x14ac:dyDescent="0.2">
      <c r="A2394" s="84">
        <f t="shared" si="77"/>
        <v>2388</v>
      </c>
      <c r="B2394" s="85" t="e">
        <f>+MATCH(D2394,ARTICULOS!$F$10:$F$699,0)</f>
        <v>#N/A</v>
      </c>
      <c r="C2394" s="86" t="e">
        <f>+VLOOKUP(B2394,ARTICULOS!$D$10:$I$699,6)</f>
        <v>#N/A</v>
      </c>
      <c r="D2394" s="212"/>
      <c r="E2394" s="75" t="e">
        <f t="shared" si="78"/>
        <v>#N/A</v>
      </c>
      <c r="F2394" s="80"/>
      <c r="G2394" s="81"/>
      <c r="H2394" s="78"/>
      <c r="I2394" s="78"/>
      <c r="J2394" s="78"/>
    </row>
    <row r="2395" spans="1:10" x14ac:dyDescent="0.2">
      <c r="A2395" s="84">
        <f t="shared" si="77"/>
        <v>2389</v>
      </c>
      <c r="B2395" s="85" t="e">
        <f>+MATCH(D2395,ARTICULOS!$F$10:$F$699,0)</f>
        <v>#N/A</v>
      </c>
      <c r="C2395" s="86" t="e">
        <f>+VLOOKUP(B2395,ARTICULOS!$D$10:$I$699,6)</f>
        <v>#N/A</v>
      </c>
      <c r="D2395" s="212"/>
      <c r="E2395" s="75" t="e">
        <f t="shared" si="78"/>
        <v>#N/A</v>
      </c>
      <c r="F2395" s="80"/>
      <c r="G2395" s="81"/>
      <c r="H2395" s="78"/>
      <c r="I2395" s="78"/>
      <c r="J2395" s="78"/>
    </row>
    <row r="2396" spans="1:10" x14ac:dyDescent="0.2">
      <c r="A2396" s="84">
        <f t="shared" si="77"/>
        <v>2390</v>
      </c>
      <c r="B2396" s="85" t="e">
        <f>+MATCH(D2396,ARTICULOS!$F$10:$F$699,0)</f>
        <v>#N/A</v>
      </c>
      <c r="C2396" s="86" t="e">
        <f>+VLOOKUP(B2396,ARTICULOS!$D$10:$I$699,6)</f>
        <v>#N/A</v>
      </c>
      <c r="D2396" s="212"/>
      <c r="E2396" s="75" t="e">
        <f t="shared" si="78"/>
        <v>#N/A</v>
      </c>
      <c r="F2396" s="80"/>
      <c r="G2396" s="81"/>
      <c r="H2396" s="78"/>
      <c r="I2396" s="78"/>
      <c r="J2396" s="78"/>
    </row>
    <row r="2397" spans="1:10" x14ac:dyDescent="0.2">
      <c r="A2397" s="84">
        <f t="shared" si="77"/>
        <v>2391</v>
      </c>
      <c r="B2397" s="85" t="e">
        <f>+MATCH(D2397,ARTICULOS!$F$10:$F$699,0)</f>
        <v>#N/A</v>
      </c>
      <c r="C2397" s="86" t="e">
        <f>+VLOOKUP(B2397,ARTICULOS!$D$10:$I$699,6)</f>
        <v>#N/A</v>
      </c>
      <c r="D2397" s="212"/>
      <c r="E2397" s="75" t="e">
        <f t="shared" si="78"/>
        <v>#N/A</v>
      </c>
      <c r="F2397" s="80"/>
      <c r="G2397" s="81"/>
      <c r="H2397" s="78"/>
      <c r="I2397" s="78"/>
      <c r="J2397" s="78"/>
    </row>
    <row r="2398" spans="1:10" x14ac:dyDescent="0.2">
      <c r="A2398" s="84">
        <f t="shared" si="77"/>
        <v>2392</v>
      </c>
      <c r="B2398" s="85" t="e">
        <f>+MATCH(D2398,ARTICULOS!$F$10:$F$699,0)</f>
        <v>#N/A</v>
      </c>
      <c r="C2398" s="86" t="e">
        <f>+VLOOKUP(B2398,ARTICULOS!$D$10:$I$699,6)</f>
        <v>#N/A</v>
      </c>
      <c r="D2398" s="212"/>
      <c r="E2398" s="75" t="e">
        <f t="shared" si="78"/>
        <v>#N/A</v>
      </c>
      <c r="F2398" s="80"/>
      <c r="G2398" s="81"/>
      <c r="H2398" s="78"/>
      <c r="I2398" s="78"/>
      <c r="J2398" s="78"/>
    </row>
    <row r="2399" spans="1:10" x14ac:dyDescent="0.2">
      <c r="A2399" s="84">
        <f t="shared" si="77"/>
        <v>2393</v>
      </c>
      <c r="B2399" s="85" t="e">
        <f>+MATCH(D2399,ARTICULOS!$F$10:$F$699,0)</f>
        <v>#N/A</v>
      </c>
      <c r="C2399" s="86" t="e">
        <f>+VLOOKUP(B2399,ARTICULOS!$D$10:$I$699,6)</f>
        <v>#N/A</v>
      </c>
      <c r="D2399" s="212"/>
      <c r="E2399" s="75" t="e">
        <f t="shared" si="78"/>
        <v>#N/A</v>
      </c>
      <c r="F2399" s="80"/>
      <c r="G2399" s="81"/>
      <c r="H2399" s="78"/>
      <c r="I2399" s="78"/>
      <c r="J2399" s="78"/>
    </row>
    <row r="2400" spans="1:10" x14ac:dyDescent="0.2">
      <c r="A2400" s="84">
        <f t="shared" si="77"/>
        <v>2394</v>
      </c>
      <c r="B2400" s="85" t="e">
        <f>+MATCH(D2400,ARTICULOS!$F$10:$F$699,0)</f>
        <v>#N/A</v>
      </c>
      <c r="C2400" s="86" t="e">
        <f>+VLOOKUP(B2400,ARTICULOS!$D$10:$I$699,6)</f>
        <v>#N/A</v>
      </c>
      <c r="D2400" s="212"/>
      <c r="E2400" s="75" t="e">
        <f t="shared" si="78"/>
        <v>#N/A</v>
      </c>
      <c r="F2400" s="80"/>
      <c r="G2400" s="81"/>
      <c r="H2400" s="78"/>
      <c r="I2400" s="78"/>
      <c r="J2400" s="78"/>
    </row>
    <row r="2401" spans="1:10" x14ac:dyDescent="0.2">
      <c r="A2401" s="84">
        <f t="shared" si="77"/>
        <v>2395</v>
      </c>
      <c r="B2401" s="85" t="e">
        <f>+MATCH(D2401,ARTICULOS!$F$10:$F$699,0)</f>
        <v>#N/A</v>
      </c>
      <c r="C2401" s="86" t="e">
        <f>+VLOOKUP(B2401,ARTICULOS!$D$10:$I$699,6)</f>
        <v>#N/A</v>
      </c>
      <c r="D2401" s="212"/>
      <c r="E2401" s="75" t="e">
        <f t="shared" si="78"/>
        <v>#N/A</v>
      </c>
      <c r="F2401" s="80"/>
      <c r="G2401" s="81"/>
      <c r="H2401" s="78"/>
      <c r="I2401" s="78"/>
      <c r="J2401" s="78"/>
    </row>
    <row r="2402" spans="1:10" x14ac:dyDescent="0.2">
      <c r="A2402" s="84">
        <f t="shared" si="77"/>
        <v>2396</v>
      </c>
      <c r="B2402" s="85" t="e">
        <f>+MATCH(D2402,ARTICULOS!$F$10:$F$699,0)</f>
        <v>#N/A</v>
      </c>
      <c r="C2402" s="86" t="e">
        <f>+VLOOKUP(B2402,ARTICULOS!$D$10:$I$699,6)</f>
        <v>#N/A</v>
      </c>
      <c r="D2402" s="212"/>
      <c r="E2402" s="75" t="e">
        <f t="shared" si="78"/>
        <v>#N/A</v>
      </c>
      <c r="F2402" s="80"/>
      <c r="G2402" s="81"/>
      <c r="H2402" s="78"/>
      <c r="I2402" s="78"/>
      <c r="J2402" s="78"/>
    </row>
    <row r="2403" spans="1:10" x14ac:dyDescent="0.2">
      <c r="A2403" s="84">
        <f t="shared" si="77"/>
        <v>2397</v>
      </c>
      <c r="B2403" s="85" t="e">
        <f>+MATCH(D2403,ARTICULOS!$F$10:$F$699,0)</f>
        <v>#N/A</v>
      </c>
      <c r="C2403" s="86" t="e">
        <f>+VLOOKUP(B2403,ARTICULOS!$D$10:$I$699,6)</f>
        <v>#N/A</v>
      </c>
      <c r="D2403" s="212"/>
      <c r="E2403" s="75" t="e">
        <f t="shared" si="78"/>
        <v>#N/A</v>
      </c>
      <c r="F2403" s="80"/>
      <c r="G2403" s="81"/>
      <c r="H2403" s="78"/>
      <c r="I2403" s="78"/>
      <c r="J2403" s="78"/>
    </row>
    <row r="2404" spans="1:10" x14ac:dyDescent="0.2">
      <c r="A2404" s="84">
        <f t="shared" si="77"/>
        <v>2398</v>
      </c>
      <c r="B2404" s="85" t="e">
        <f>+MATCH(D2404,ARTICULOS!$F$10:$F$699,0)</f>
        <v>#N/A</v>
      </c>
      <c r="C2404" s="86" t="e">
        <f>+VLOOKUP(B2404,ARTICULOS!$D$10:$I$699,6)</f>
        <v>#N/A</v>
      </c>
      <c r="D2404" s="212"/>
      <c r="E2404" s="75" t="e">
        <f t="shared" si="78"/>
        <v>#N/A</v>
      </c>
      <c r="F2404" s="80"/>
      <c r="G2404" s="81"/>
      <c r="H2404" s="78"/>
      <c r="I2404" s="78"/>
      <c r="J2404" s="78"/>
    </row>
    <row r="2405" spans="1:10" x14ac:dyDescent="0.2">
      <c r="A2405" s="84">
        <f t="shared" si="77"/>
        <v>2399</v>
      </c>
      <c r="B2405" s="85" t="e">
        <f>+MATCH(D2405,ARTICULOS!$F$10:$F$699,0)</f>
        <v>#N/A</v>
      </c>
      <c r="C2405" s="86" t="e">
        <f>+VLOOKUP(B2405,ARTICULOS!$D$10:$I$699,6)</f>
        <v>#N/A</v>
      </c>
      <c r="D2405" s="212"/>
      <c r="E2405" s="75" t="e">
        <f t="shared" si="78"/>
        <v>#N/A</v>
      </c>
      <c r="F2405" s="80"/>
      <c r="G2405" s="81"/>
      <c r="H2405" s="78"/>
      <c r="I2405" s="78"/>
      <c r="J2405" s="78"/>
    </row>
    <row r="2406" spans="1:10" x14ac:dyDescent="0.2">
      <c r="A2406" s="84">
        <f t="shared" si="77"/>
        <v>2400</v>
      </c>
      <c r="B2406" s="85" t="e">
        <f>+MATCH(D2406,ARTICULOS!$F$10:$F$699,0)</f>
        <v>#N/A</v>
      </c>
      <c r="C2406" s="86" t="e">
        <f>+VLOOKUP(B2406,ARTICULOS!$D$10:$I$699,6)</f>
        <v>#N/A</v>
      </c>
      <c r="D2406" s="212"/>
      <c r="E2406" s="75" t="e">
        <f t="shared" si="78"/>
        <v>#N/A</v>
      </c>
      <c r="F2406" s="80"/>
      <c r="G2406" s="81"/>
      <c r="H2406" s="78"/>
      <c r="I2406" s="78"/>
      <c r="J2406" s="78"/>
    </row>
    <row r="2407" spans="1:10" x14ac:dyDescent="0.2">
      <c r="A2407" s="84">
        <f t="shared" si="77"/>
        <v>2401</v>
      </c>
      <c r="B2407" s="85" t="e">
        <f>+MATCH(D2407,ARTICULOS!$F$10:$F$699,0)</f>
        <v>#N/A</v>
      </c>
      <c r="C2407" s="86" t="e">
        <f>+VLOOKUP(B2407,ARTICULOS!$D$10:$I$699,6)</f>
        <v>#N/A</v>
      </c>
      <c r="D2407" s="212"/>
      <c r="E2407" s="75" t="e">
        <f t="shared" si="78"/>
        <v>#N/A</v>
      </c>
      <c r="F2407" s="80"/>
      <c r="G2407" s="81"/>
      <c r="H2407" s="78"/>
      <c r="I2407" s="78"/>
      <c r="J2407" s="78"/>
    </row>
    <row r="2408" spans="1:10" x14ac:dyDescent="0.2">
      <c r="A2408" s="84">
        <f t="shared" si="77"/>
        <v>2402</v>
      </c>
      <c r="B2408" s="85" t="e">
        <f>+MATCH(D2408,ARTICULOS!$F$10:$F$699,0)</f>
        <v>#N/A</v>
      </c>
      <c r="C2408" s="86" t="e">
        <f>+VLOOKUP(B2408,ARTICULOS!$D$10:$I$699,6)</f>
        <v>#N/A</v>
      </c>
      <c r="D2408" s="212"/>
      <c r="E2408" s="75" t="e">
        <f t="shared" si="78"/>
        <v>#N/A</v>
      </c>
      <c r="F2408" s="80"/>
      <c r="G2408" s="81"/>
      <c r="H2408" s="78"/>
      <c r="I2408" s="78"/>
      <c r="J2408" s="78"/>
    </row>
    <row r="2409" spans="1:10" x14ac:dyDescent="0.2">
      <c r="A2409" s="84">
        <f t="shared" ref="A2409:A2472" si="79">ROW()-6</f>
        <v>2403</v>
      </c>
      <c r="B2409" s="85" t="e">
        <f>+MATCH(D2409,ARTICULOS!$F$10:$F$699,0)</f>
        <v>#N/A</v>
      </c>
      <c r="C2409" s="86" t="e">
        <f>+VLOOKUP(B2409,ARTICULOS!$D$10:$I$699,6)</f>
        <v>#N/A</v>
      </c>
      <c r="D2409" s="212"/>
      <c r="E2409" s="75" t="e">
        <f t="shared" si="78"/>
        <v>#N/A</v>
      </c>
      <c r="F2409" s="80"/>
      <c r="G2409" s="81"/>
      <c r="H2409" s="78"/>
      <c r="I2409" s="78"/>
      <c r="J2409" s="78"/>
    </row>
    <row r="2410" spans="1:10" x14ac:dyDescent="0.2">
      <c r="A2410" s="84">
        <f t="shared" si="79"/>
        <v>2404</v>
      </c>
      <c r="B2410" s="85" t="e">
        <f>+MATCH(D2410,ARTICULOS!$F$10:$F$699,0)</f>
        <v>#N/A</v>
      </c>
      <c r="C2410" s="86" t="e">
        <f>+VLOOKUP(B2410,ARTICULOS!$D$10:$I$699,6)</f>
        <v>#N/A</v>
      </c>
      <c r="D2410" s="212"/>
      <c r="E2410" s="75" t="e">
        <f t="shared" si="78"/>
        <v>#N/A</v>
      </c>
      <c r="F2410" s="80"/>
      <c r="G2410" s="81"/>
      <c r="H2410" s="78"/>
      <c r="I2410" s="78"/>
      <c r="J2410" s="78"/>
    </row>
    <row r="2411" spans="1:10" x14ac:dyDescent="0.2">
      <c r="A2411" s="84">
        <f t="shared" si="79"/>
        <v>2405</v>
      </c>
      <c r="B2411" s="85" t="e">
        <f>+MATCH(D2411,ARTICULOS!$F$10:$F$699,0)</f>
        <v>#N/A</v>
      </c>
      <c r="C2411" s="86" t="e">
        <f>+VLOOKUP(B2411,ARTICULOS!$D$10:$I$699,6)</f>
        <v>#N/A</v>
      </c>
      <c r="D2411" s="212"/>
      <c r="E2411" s="75" t="e">
        <f t="shared" si="78"/>
        <v>#N/A</v>
      </c>
      <c r="F2411" s="80"/>
      <c r="G2411" s="81"/>
      <c r="H2411" s="78"/>
      <c r="I2411" s="78"/>
      <c r="J2411" s="78"/>
    </row>
    <row r="2412" spans="1:10" x14ac:dyDescent="0.2">
      <c r="A2412" s="84">
        <f t="shared" si="79"/>
        <v>2406</v>
      </c>
      <c r="B2412" s="85" t="e">
        <f>+MATCH(D2412,ARTICULOS!$F$10:$F$699,0)</f>
        <v>#N/A</v>
      </c>
      <c r="C2412" s="86" t="e">
        <f>+VLOOKUP(B2412,ARTICULOS!$D$10:$I$699,6)</f>
        <v>#N/A</v>
      </c>
      <c r="D2412" s="212"/>
      <c r="E2412" s="75" t="e">
        <f t="shared" si="78"/>
        <v>#N/A</v>
      </c>
      <c r="F2412" s="80"/>
      <c r="G2412" s="81"/>
      <c r="H2412" s="78"/>
      <c r="I2412" s="78"/>
      <c r="J2412" s="78"/>
    </row>
    <row r="2413" spans="1:10" x14ac:dyDescent="0.2">
      <c r="A2413" s="84">
        <f t="shared" si="79"/>
        <v>2407</v>
      </c>
      <c r="B2413" s="85" t="e">
        <f>+MATCH(D2413,ARTICULOS!$F$10:$F$699,0)</f>
        <v>#N/A</v>
      </c>
      <c r="C2413" s="86" t="e">
        <f>+VLOOKUP(B2413,ARTICULOS!$D$10:$I$699,6)</f>
        <v>#N/A</v>
      </c>
      <c r="D2413" s="212"/>
      <c r="E2413" s="75" t="e">
        <f t="shared" si="78"/>
        <v>#N/A</v>
      </c>
      <c r="F2413" s="80"/>
      <c r="G2413" s="81"/>
      <c r="H2413" s="78"/>
      <c r="I2413" s="78"/>
      <c r="J2413" s="78"/>
    </row>
    <row r="2414" spans="1:10" x14ac:dyDescent="0.2">
      <c r="A2414" s="84">
        <f t="shared" si="79"/>
        <v>2408</v>
      </c>
      <c r="B2414" s="85" t="e">
        <f>+MATCH(D2414,ARTICULOS!$F$10:$F$699,0)</f>
        <v>#N/A</v>
      </c>
      <c r="C2414" s="86" t="e">
        <f>+VLOOKUP(B2414,ARTICULOS!$D$10:$I$699,6)</f>
        <v>#N/A</v>
      </c>
      <c r="D2414" s="212"/>
      <c r="E2414" s="75" t="e">
        <f t="shared" si="78"/>
        <v>#N/A</v>
      </c>
      <c r="F2414" s="80"/>
      <c r="G2414" s="81"/>
      <c r="H2414" s="78"/>
      <c r="I2414" s="78"/>
      <c r="J2414" s="78"/>
    </row>
    <row r="2415" spans="1:10" x14ac:dyDescent="0.2">
      <c r="A2415" s="84">
        <f t="shared" si="79"/>
        <v>2409</v>
      </c>
      <c r="B2415" s="85" t="e">
        <f>+MATCH(D2415,ARTICULOS!$F$10:$F$699,0)</f>
        <v>#N/A</v>
      </c>
      <c r="C2415" s="86" t="e">
        <f>+VLOOKUP(B2415,ARTICULOS!$D$10:$I$699,6)</f>
        <v>#N/A</v>
      </c>
      <c r="D2415" s="212"/>
      <c r="E2415" s="75" t="e">
        <f t="shared" si="78"/>
        <v>#N/A</v>
      </c>
      <c r="F2415" s="80"/>
      <c r="G2415" s="81"/>
      <c r="H2415" s="78"/>
      <c r="I2415" s="78"/>
      <c r="J2415" s="78"/>
    </row>
    <row r="2416" spans="1:10" x14ac:dyDescent="0.2">
      <c r="A2416" s="84">
        <f t="shared" si="79"/>
        <v>2410</v>
      </c>
      <c r="B2416" s="85" t="e">
        <f>+MATCH(D2416,ARTICULOS!$F$10:$F$699,0)</f>
        <v>#N/A</v>
      </c>
      <c r="C2416" s="86" t="e">
        <f>+VLOOKUP(B2416,ARTICULOS!$D$10:$I$699,6)</f>
        <v>#N/A</v>
      </c>
      <c r="D2416" s="212"/>
      <c r="E2416" s="75" t="e">
        <f t="shared" si="78"/>
        <v>#N/A</v>
      </c>
      <c r="F2416" s="80"/>
      <c r="G2416" s="81"/>
      <c r="H2416" s="78"/>
      <c r="I2416" s="78"/>
      <c r="J2416" s="78"/>
    </row>
    <row r="2417" spans="1:10" x14ac:dyDescent="0.2">
      <c r="A2417" s="84">
        <f t="shared" si="79"/>
        <v>2411</v>
      </c>
      <c r="B2417" s="85" t="e">
        <f>+MATCH(D2417,ARTICULOS!$F$10:$F$699,0)</f>
        <v>#N/A</v>
      </c>
      <c r="C2417" s="86" t="e">
        <f>+VLOOKUP(B2417,ARTICULOS!$D$10:$I$699,6)</f>
        <v>#N/A</v>
      </c>
      <c r="D2417" s="212"/>
      <c r="E2417" s="75" t="e">
        <f t="shared" si="78"/>
        <v>#N/A</v>
      </c>
      <c r="F2417" s="80"/>
      <c r="G2417" s="81"/>
      <c r="H2417" s="78"/>
      <c r="I2417" s="78"/>
      <c r="J2417" s="78"/>
    </row>
    <row r="2418" spans="1:10" x14ac:dyDescent="0.2">
      <c r="A2418" s="84">
        <f t="shared" si="79"/>
        <v>2412</v>
      </c>
      <c r="B2418" s="85" t="e">
        <f>+MATCH(D2418,ARTICULOS!$F$10:$F$699,0)</f>
        <v>#N/A</v>
      </c>
      <c r="C2418" s="86" t="e">
        <f>+VLOOKUP(B2418,ARTICULOS!$D$10:$I$699,6)</f>
        <v>#N/A</v>
      </c>
      <c r="D2418" s="212"/>
      <c r="E2418" s="75" t="e">
        <f t="shared" si="78"/>
        <v>#N/A</v>
      </c>
      <c r="F2418" s="80"/>
      <c r="G2418" s="81"/>
      <c r="H2418" s="78"/>
      <c r="I2418" s="78"/>
      <c r="J2418" s="78"/>
    </row>
    <row r="2419" spans="1:10" x14ac:dyDescent="0.2">
      <c r="A2419" s="84">
        <f t="shared" si="79"/>
        <v>2413</v>
      </c>
      <c r="B2419" s="85" t="e">
        <f>+MATCH(D2419,ARTICULOS!$F$10:$F$699,0)</f>
        <v>#N/A</v>
      </c>
      <c r="C2419" s="86" t="e">
        <f>+VLOOKUP(B2419,ARTICULOS!$D$10:$I$699,6)</f>
        <v>#N/A</v>
      </c>
      <c r="D2419" s="212"/>
      <c r="E2419" s="75" t="e">
        <f t="shared" si="78"/>
        <v>#N/A</v>
      </c>
      <c r="F2419" s="80"/>
      <c r="G2419" s="81"/>
      <c r="H2419" s="78"/>
      <c r="I2419" s="78"/>
      <c r="J2419" s="78"/>
    </row>
    <row r="2420" spans="1:10" x14ac:dyDescent="0.2">
      <c r="A2420" s="84">
        <f t="shared" si="79"/>
        <v>2414</v>
      </c>
      <c r="B2420" s="85" t="e">
        <f>+MATCH(D2420,ARTICULOS!$F$10:$F$699,0)</f>
        <v>#N/A</v>
      </c>
      <c r="C2420" s="86" t="e">
        <f>+VLOOKUP(B2420,ARTICULOS!$D$10:$I$699,6)</f>
        <v>#N/A</v>
      </c>
      <c r="D2420" s="212"/>
      <c r="E2420" s="75" t="e">
        <f t="shared" si="78"/>
        <v>#N/A</v>
      </c>
      <c r="F2420" s="80"/>
      <c r="G2420" s="81"/>
      <c r="H2420" s="78"/>
      <c r="I2420" s="78"/>
      <c r="J2420" s="78"/>
    </row>
    <row r="2421" spans="1:10" x14ac:dyDescent="0.2">
      <c r="A2421" s="84">
        <f t="shared" si="79"/>
        <v>2415</v>
      </c>
      <c r="B2421" s="85" t="e">
        <f>+MATCH(D2421,ARTICULOS!$F$10:$F$699,0)</f>
        <v>#N/A</v>
      </c>
      <c r="C2421" s="86" t="e">
        <f>+VLOOKUP(B2421,ARTICULOS!$D$10:$I$699,6)</f>
        <v>#N/A</v>
      </c>
      <c r="D2421" s="212"/>
      <c r="E2421" s="75" t="e">
        <f t="shared" si="78"/>
        <v>#N/A</v>
      </c>
      <c r="F2421" s="80"/>
      <c r="G2421" s="81"/>
      <c r="H2421" s="78"/>
      <c r="I2421" s="78"/>
      <c r="J2421" s="78"/>
    </row>
    <row r="2422" spans="1:10" x14ac:dyDescent="0.2">
      <c r="A2422" s="84">
        <f t="shared" si="79"/>
        <v>2416</v>
      </c>
      <c r="B2422" s="85" t="e">
        <f>+MATCH(D2422,ARTICULOS!$F$10:$F$699,0)</f>
        <v>#N/A</v>
      </c>
      <c r="C2422" s="86" t="e">
        <f>+VLOOKUP(B2422,ARTICULOS!$D$10:$I$699,6)</f>
        <v>#N/A</v>
      </c>
      <c r="D2422" s="212"/>
      <c r="E2422" s="75" t="e">
        <f t="shared" si="78"/>
        <v>#N/A</v>
      </c>
      <c r="F2422" s="80"/>
      <c r="G2422" s="81"/>
      <c r="H2422" s="78"/>
      <c r="I2422" s="78"/>
      <c r="J2422" s="78"/>
    </row>
    <row r="2423" spans="1:10" x14ac:dyDescent="0.2">
      <c r="A2423" s="84">
        <f t="shared" si="79"/>
        <v>2417</v>
      </c>
      <c r="B2423" s="85" t="e">
        <f>+MATCH(D2423,ARTICULOS!$F$10:$F$699,0)</f>
        <v>#N/A</v>
      </c>
      <c r="C2423" s="86" t="e">
        <f>+VLOOKUP(B2423,ARTICULOS!$D$10:$I$699,6)</f>
        <v>#N/A</v>
      </c>
      <c r="D2423" s="212"/>
      <c r="E2423" s="75" t="e">
        <f t="shared" si="78"/>
        <v>#N/A</v>
      </c>
      <c r="F2423" s="80"/>
      <c r="G2423" s="81"/>
      <c r="H2423" s="78"/>
      <c r="I2423" s="78"/>
      <c r="J2423" s="78"/>
    </row>
    <row r="2424" spans="1:10" x14ac:dyDescent="0.2">
      <c r="A2424" s="84">
        <f t="shared" si="79"/>
        <v>2418</v>
      </c>
      <c r="B2424" s="85" t="e">
        <f>+MATCH(D2424,ARTICULOS!$F$10:$F$699,0)</f>
        <v>#N/A</v>
      </c>
      <c r="C2424" s="86" t="e">
        <f>+VLOOKUP(B2424,ARTICULOS!$D$10:$I$699,6)</f>
        <v>#N/A</v>
      </c>
      <c r="D2424" s="212"/>
      <c r="E2424" s="75" t="e">
        <f t="shared" si="78"/>
        <v>#N/A</v>
      </c>
      <c r="F2424" s="80"/>
      <c r="G2424" s="81"/>
      <c r="H2424" s="78"/>
      <c r="I2424" s="78"/>
      <c r="J2424" s="78"/>
    </row>
    <row r="2425" spans="1:10" x14ac:dyDescent="0.2">
      <c r="A2425" s="84">
        <f t="shared" si="79"/>
        <v>2419</v>
      </c>
      <c r="B2425" s="85" t="e">
        <f>+MATCH(D2425,ARTICULOS!$F$10:$F$699,0)</f>
        <v>#N/A</v>
      </c>
      <c r="C2425" s="86" t="e">
        <f>+VLOOKUP(B2425,ARTICULOS!$D$10:$I$699,6)</f>
        <v>#N/A</v>
      </c>
      <c r="D2425" s="212"/>
      <c r="E2425" s="75" t="e">
        <f t="shared" si="78"/>
        <v>#N/A</v>
      </c>
      <c r="F2425" s="80"/>
      <c r="G2425" s="81"/>
      <c r="H2425" s="78"/>
      <c r="I2425" s="78"/>
      <c r="J2425" s="78"/>
    </row>
    <row r="2426" spans="1:10" x14ac:dyDescent="0.2">
      <c r="A2426" s="84">
        <f t="shared" si="79"/>
        <v>2420</v>
      </c>
      <c r="B2426" s="85" t="e">
        <f>+MATCH(D2426,ARTICULOS!$F$10:$F$699,0)</f>
        <v>#N/A</v>
      </c>
      <c r="C2426" s="86" t="e">
        <f>+VLOOKUP(B2426,ARTICULOS!$D$10:$I$699,6)</f>
        <v>#N/A</v>
      </c>
      <c r="D2426" s="212"/>
      <c r="E2426" s="75" t="e">
        <f t="shared" si="78"/>
        <v>#N/A</v>
      </c>
      <c r="F2426" s="80"/>
      <c r="G2426" s="81"/>
      <c r="H2426" s="78"/>
      <c r="I2426" s="78"/>
      <c r="J2426" s="78"/>
    </row>
    <row r="2427" spans="1:10" x14ac:dyDescent="0.2">
      <c r="A2427" s="84">
        <f t="shared" si="79"/>
        <v>2421</v>
      </c>
      <c r="B2427" s="85" t="e">
        <f>+MATCH(D2427,ARTICULOS!$F$10:$F$699,0)</f>
        <v>#N/A</v>
      </c>
      <c r="C2427" s="86" t="e">
        <f>+VLOOKUP(B2427,ARTICULOS!$D$10:$I$699,6)</f>
        <v>#N/A</v>
      </c>
      <c r="D2427" s="212"/>
      <c r="E2427" s="75" t="e">
        <f t="shared" si="78"/>
        <v>#N/A</v>
      </c>
      <c r="F2427" s="80"/>
      <c r="G2427" s="81"/>
      <c r="H2427" s="78"/>
      <c r="I2427" s="78"/>
      <c r="J2427" s="78"/>
    </row>
    <row r="2428" spans="1:10" x14ac:dyDescent="0.2">
      <c r="A2428" s="84">
        <f t="shared" si="79"/>
        <v>2422</v>
      </c>
      <c r="B2428" s="85" t="e">
        <f>+MATCH(D2428,ARTICULOS!$F$10:$F$699,0)</f>
        <v>#N/A</v>
      </c>
      <c r="C2428" s="86" t="e">
        <f>+VLOOKUP(B2428,ARTICULOS!$D$10:$I$699,6)</f>
        <v>#N/A</v>
      </c>
      <c r="D2428" s="212"/>
      <c r="E2428" s="75" t="e">
        <f t="shared" si="78"/>
        <v>#N/A</v>
      </c>
      <c r="F2428" s="80"/>
      <c r="G2428" s="81"/>
      <c r="H2428" s="78"/>
      <c r="I2428" s="78"/>
      <c r="J2428" s="78"/>
    </row>
    <row r="2429" spans="1:10" x14ac:dyDescent="0.2">
      <c r="A2429" s="84">
        <f t="shared" si="79"/>
        <v>2423</v>
      </c>
      <c r="B2429" s="85" t="e">
        <f>+MATCH(D2429,ARTICULOS!$F$10:$F$699,0)</f>
        <v>#N/A</v>
      </c>
      <c r="C2429" s="86" t="e">
        <f>+VLOOKUP(B2429,ARTICULOS!$D$10:$I$699,6)</f>
        <v>#N/A</v>
      </c>
      <c r="D2429" s="212"/>
      <c r="E2429" s="75" t="e">
        <f t="shared" si="78"/>
        <v>#N/A</v>
      </c>
      <c r="F2429" s="80"/>
      <c r="G2429" s="81"/>
      <c r="H2429" s="78"/>
      <c r="I2429" s="78"/>
      <c r="J2429" s="78"/>
    </row>
    <row r="2430" spans="1:10" x14ac:dyDescent="0.2">
      <c r="A2430" s="84">
        <f t="shared" si="79"/>
        <v>2424</v>
      </c>
      <c r="B2430" s="85" t="e">
        <f>+MATCH(D2430,ARTICULOS!$F$10:$F$699,0)</f>
        <v>#N/A</v>
      </c>
      <c r="C2430" s="86" t="e">
        <f>+VLOOKUP(B2430,ARTICULOS!$D$10:$I$699,6)</f>
        <v>#N/A</v>
      </c>
      <c r="D2430" s="212"/>
      <c r="E2430" s="75" t="e">
        <f t="shared" si="78"/>
        <v>#N/A</v>
      </c>
      <c r="F2430" s="80"/>
      <c r="G2430" s="81"/>
      <c r="H2430" s="78"/>
      <c r="I2430" s="78"/>
      <c r="J2430" s="78"/>
    </row>
    <row r="2431" spans="1:10" x14ac:dyDescent="0.2">
      <c r="A2431" s="84">
        <f t="shared" si="79"/>
        <v>2425</v>
      </c>
      <c r="B2431" s="85" t="e">
        <f>+MATCH(D2431,ARTICULOS!$F$10:$F$699,0)</f>
        <v>#N/A</v>
      </c>
      <c r="C2431" s="86" t="e">
        <f>+VLOOKUP(B2431,ARTICULOS!$D$10:$I$699,6)</f>
        <v>#N/A</v>
      </c>
      <c r="D2431" s="212"/>
      <c r="E2431" s="75" t="e">
        <f t="shared" si="78"/>
        <v>#N/A</v>
      </c>
      <c r="F2431" s="80"/>
      <c r="G2431" s="81"/>
      <c r="H2431" s="78"/>
      <c r="I2431" s="78"/>
      <c r="J2431" s="78"/>
    </row>
    <row r="2432" spans="1:10" x14ac:dyDescent="0.2">
      <c r="A2432" s="84">
        <f t="shared" si="79"/>
        <v>2426</v>
      </c>
      <c r="B2432" s="85" t="e">
        <f>+MATCH(D2432,ARTICULOS!$F$10:$F$699,0)</f>
        <v>#N/A</v>
      </c>
      <c r="C2432" s="86" t="e">
        <f>+VLOOKUP(B2432,ARTICULOS!$D$10:$I$699,6)</f>
        <v>#N/A</v>
      </c>
      <c r="D2432" s="212"/>
      <c r="E2432" s="75" t="e">
        <f t="shared" si="78"/>
        <v>#N/A</v>
      </c>
      <c r="F2432" s="80"/>
      <c r="G2432" s="81"/>
      <c r="H2432" s="78"/>
      <c r="I2432" s="78"/>
      <c r="J2432" s="78"/>
    </row>
    <row r="2433" spans="1:10" x14ac:dyDescent="0.2">
      <c r="A2433" s="84">
        <f t="shared" si="79"/>
        <v>2427</v>
      </c>
      <c r="B2433" s="85" t="e">
        <f>+MATCH(D2433,ARTICULOS!$F$10:$F$699,0)</f>
        <v>#N/A</v>
      </c>
      <c r="C2433" s="86" t="e">
        <f>+VLOOKUP(B2433,ARTICULOS!$D$10:$I$699,6)</f>
        <v>#N/A</v>
      </c>
      <c r="D2433" s="212"/>
      <c r="E2433" s="75" t="e">
        <f t="shared" si="78"/>
        <v>#N/A</v>
      </c>
      <c r="F2433" s="80"/>
      <c r="G2433" s="81"/>
      <c r="H2433" s="78"/>
      <c r="I2433" s="78"/>
      <c r="J2433" s="78"/>
    </row>
    <row r="2434" spans="1:10" x14ac:dyDescent="0.2">
      <c r="A2434" s="84">
        <f t="shared" si="79"/>
        <v>2428</v>
      </c>
      <c r="B2434" s="85" t="e">
        <f>+MATCH(D2434,ARTICULOS!$F$10:$F$699,0)</f>
        <v>#N/A</v>
      </c>
      <c r="C2434" s="86" t="e">
        <f>+VLOOKUP(B2434,ARTICULOS!$D$10:$I$699,6)</f>
        <v>#N/A</v>
      </c>
      <c r="D2434" s="212"/>
      <c r="E2434" s="75" t="e">
        <f t="shared" si="78"/>
        <v>#N/A</v>
      </c>
      <c r="F2434" s="80"/>
      <c r="G2434" s="81"/>
      <c r="H2434" s="78"/>
      <c r="I2434" s="78"/>
      <c r="J2434" s="78"/>
    </row>
    <row r="2435" spans="1:10" x14ac:dyDescent="0.2">
      <c r="A2435" s="84">
        <f t="shared" si="79"/>
        <v>2429</v>
      </c>
      <c r="B2435" s="85" t="e">
        <f>+MATCH(D2435,ARTICULOS!$F$10:$F$699,0)</f>
        <v>#N/A</v>
      </c>
      <c r="C2435" s="86" t="e">
        <f>+VLOOKUP(B2435,ARTICULOS!$D$10:$I$699,6)</f>
        <v>#N/A</v>
      </c>
      <c r="D2435" s="212"/>
      <c r="E2435" s="75" t="e">
        <f t="shared" si="78"/>
        <v>#N/A</v>
      </c>
      <c r="F2435" s="80"/>
      <c r="G2435" s="81"/>
      <c r="H2435" s="78"/>
      <c r="I2435" s="78"/>
      <c r="J2435" s="78"/>
    </row>
    <row r="2436" spans="1:10" x14ac:dyDescent="0.2">
      <c r="A2436" s="84">
        <f t="shared" si="79"/>
        <v>2430</v>
      </c>
      <c r="B2436" s="85" t="e">
        <f>+MATCH(D2436,ARTICULOS!$F$10:$F$699,0)</f>
        <v>#N/A</v>
      </c>
      <c r="C2436" s="86" t="e">
        <f>+VLOOKUP(B2436,ARTICULOS!$D$10:$I$699,6)</f>
        <v>#N/A</v>
      </c>
      <c r="D2436" s="212"/>
      <c r="E2436" s="75" t="e">
        <f t="shared" si="78"/>
        <v>#N/A</v>
      </c>
      <c r="F2436" s="80"/>
      <c r="G2436" s="81"/>
      <c r="H2436" s="78"/>
      <c r="I2436" s="78"/>
      <c r="J2436" s="78"/>
    </row>
    <row r="2437" spans="1:10" x14ac:dyDescent="0.2">
      <c r="A2437" s="84">
        <f t="shared" si="79"/>
        <v>2431</v>
      </c>
      <c r="B2437" s="85" t="e">
        <f>+MATCH(D2437,ARTICULOS!$F$10:$F$699,0)</f>
        <v>#N/A</v>
      </c>
      <c r="C2437" s="86" t="e">
        <f>+VLOOKUP(B2437,ARTICULOS!$D$10:$I$699,6)</f>
        <v>#N/A</v>
      </c>
      <c r="D2437" s="212"/>
      <c r="E2437" s="75" t="e">
        <f t="shared" si="78"/>
        <v>#N/A</v>
      </c>
      <c r="F2437" s="80"/>
      <c r="G2437" s="81"/>
      <c r="H2437" s="78"/>
      <c r="I2437" s="78"/>
      <c r="J2437" s="78"/>
    </row>
    <row r="2438" spans="1:10" x14ac:dyDescent="0.2">
      <c r="A2438" s="84">
        <f t="shared" si="79"/>
        <v>2432</v>
      </c>
      <c r="B2438" s="85" t="e">
        <f>+MATCH(D2438,ARTICULOS!$F$10:$F$699,0)</f>
        <v>#N/A</v>
      </c>
      <c r="C2438" s="86" t="e">
        <f>+VLOOKUP(B2438,ARTICULOS!$D$10:$I$699,6)</f>
        <v>#N/A</v>
      </c>
      <c r="D2438" s="212"/>
      <c r="E2438" s="75" t="e">
        <f t="shared" si="78"/>
        <v>#N/A</v>
      </c>
      <c r="F2438" s="80"/>
      <c r="G2438" s="81"/>
      <c r="H2438" s="78"/>
      <c r="I2438" s="78"/>
      <c r="J2438" s="78"/>
    </row>
    <row r="2439" spans="1:10" x14ac:dyDescent="0.2">
      <c r="A2439" s="84">
        <f t="shared" si="79"/>
        <v>2433</v>
      </c>
      <c r="B2439" s="85" t="e">
        <f>+MATCH(D2439,ARTICULOS!$F$10:$F$699,0)</f>
        <v>#N/A</v>
      </c>
      <c r="C2439" s="86" t="e">
        <f>+VLOOKUP(B2439,ARTICULOS!$D$10:$I$699,6)</f>
        <v>#N/A</v>
      </c>
      <c r="D2439" s="212"/>
      <c r="E2439" s="75" t="e">
        <f t="shared" si="78"/>
        <v>#N/A</v>
      </c>
      <c r="F2439" s="80"/>
      <c r="G2439" s="81"/>
      <c r="H2439" s="78"/>
      <c r="I2439" s="78"/>
      <c r="J2439" s="78"/>
    </row>
    <row r="2440" spans="1:10" x14ac:dyDescent="0.2">
      <c r="A2440" s="84">
        <f t="shared" si="79"/>
        <v>2434</v>
      </c>
      <c r="B2440" s="85" t="e">
        <f>+MATCH(D2440,ARTICULOS!$F$10:$F$699,0)</f>
        <v>#N/A</v>
      </c>
      <c r="C2440" s="86" t="e">
        <f>+VLOOKUP(B2440,ARTICULOS!$D$10:$I$699,6)</f>
        <v>#N/A</v>
      </c>
      <c r="D2440" s="212"/>
      <c r="E2440" s="75" t="e">
        <f t="shared" si="78"/>
        <v>#N/A</v>
      </c>
      <c r="F2440" s="80"/>
      <c r="G2440" s="81"/>
      <c r="H2440" s="78"/>
      <c r="I2440" s="78"/>
      <c r="J2440" s="78"/>
    </row>
    <row r="2441" spans="1:10" x14ac:dyDescent="0.2">
      <c r="A2441" s="84">
        <f t="shared" si="79"/>
        <v>2435</v>
      </c>
      <c r="B2441" s="85" t="e">
        <f>+MATCH(D2441,ARTICULOS!$F$10:$F$699,0)</f>
        <v>#N/A</v>
      </c>
      <c r="C2441" s="86" t="e">
        <f>+VLOOKUP(B2441,ARTICULOS!$D$10:$I$699,6)</f>
        <v>#N/A</v>
      </c>
      <c r="D2441" s="212"/>
      <c r="E2441" s="75" t="e">
        <f t="shared" si="78"/>
        <v>#N/A</v>
      </c>
      <c r="F2441" s="80"/>
      <c r="G2441" s="81"/>
      <c r="H2441" s="78"/>
      <c r="I2441" s="78"/>
      <c r="J2441" s="78"/>
    </row>
    <row r="2442" spans="1:10" x14ac:dyDescent="0.2">
      <c r="A2442" s="84">
        <f t="shared" si="79"/>
        <v>2436</v>
      </c>
      <c r="B2442" s="85" t="e">
        <f>+MATCH(D2442,ARTICULOS!$F$10:$F$699,0)</f>
        <v>#N/A</v>
      </c>
      <c r="C2442" s="86" t="e">
        <f>+VLOOKUP(B2442,ARTICULOS!$D$10:$I$699,6)</f>
        <v>#N/A</v>
      </c>
      <c r="D2442" s="212"/>
      <c r="E2442" s="75" t="e">
        <f t="shared" si="78"/>
        <v>#N/A</v>
      </c>
      <c r="F2442" s="80"/>
      <c r="G2442" s="81"/>
      <c r="H2442" s="78"/>
      <c r="I2442" s="78"/>
      <c r="J2442" s="78"/>
    </row>
    <row r="2443" spans="1:10" x14ac:dyDescent="0.2">
      <c r="A2443" s="84">
        <f t="shared" si="79"/>
        <v>2437</v>
      </c>
      <c r="B2443" s="85" t="e">
        <f>+MATCH(D2443,ARTICULOS!$F$10:$F$699,0)</f>
        <v>#N/A</v>
      </c>
      <c r="C2443" s="86" t="e">
        <f>+VLOOKUP(B2443,ARTICULOS!$D$10:$I$699,6)</f>
        <v>#N/A</v>
      </c>
      <c r="D2443" s="212"/>
      <c r="E2443" s="75" t="e">
        <f t="shared" ref="E2443:E2506" si="80">+C2443&amp;F2443</f>
        <v>#N/A</v>
      </c>
      <c r="F2443" s="80"/>
      <c r="G2443" s="81"/>
      <c r="H2443" s="78"/>
      <c r="I2443" s="78"/>
      <c r="J2443" s="78"/>
    </row>
    <row r="2444" spans="1:10" x14ac:dyDescent="0.2">
      <c r="A2444" s="84">
        <f t="shared" si="79"/>
        <v>2438</v>
      </c>
      <c r="B2444" s="85" t="e">
        <f>+MATCH(D2444,ARTICULOS!$F$10:$F$699,0)</f>
        <v>#N/A</v>
      </c>
      <c r="C2444" s="86" t="e">
        <f>+VLOOKUP(B2444,ARTICULOS!$D$10:$I$699,6)</f>
        <v>#N/A</v>
      </c>
      <c r="D2444" s="212"/>
      <c r="E2444" s="75" t="e">
        <f t="shared" si="80"/>
        <v>#N/A</v>
      </c>
      <c r="F2444" s="80"/>
      <c r="G2444" s="81"/>
      <c r="H2444" s="78"/>
      <c r="I2444" s="78"/>
      <c r="J2444" s="78"/>
    </row>
    <row r="2445" spans="1:10" x14ac:dyDescent="0.2">
      <c r="A2445" s="84">
        <f t="shared" si="79"/>
        <v>2439</v>
      </c>
      <c r="B2445" s="85" t="e">
        <f>+MATCH(D2445,ARTICULOS!$F$10:$F$699,0)</f>
        <v>#N/A</v>
      </c>
      <c r="C2445" s="86" t="e">
        <f>+VLOOKUP(B2445,ARTICULOS!$D$10:$I$699,6)</f>
        <v>#N/A</v>
      </c>
      <c r="D2445" s="212"/>
      <c r="E2445" s="75" t="e">
        <f t="shared" si="80"/>
        <v>#N/A</v>
      </c>
      <c r="F2445" s="80"/>
      <c r="G2445" s="81"/>
      <c r="H2445" s="78"/>
      <c r="I2445" s="78"/>
      <c r="J2445" s="78"/>
    </row>
    <row r="2446" spans="1:10" x14ac:dyDescent="0.2">
      <c r="A2446" s="84">
        <f t="shared" si="79"/>
        <v>2440</v>
      </c>
      <c r="B2446" s="85" t="e">
        <f>+MATCH(D2446,ARTICULOS!$F$10:$F$699,0)</f>
        <v>#N/A</v>
      </c>
      <c r="C2446" s="86" t="e">
        <f>+VLOOKUP(B2446,ARTICULOS!$D$10:$I$699,6)</f>
        <v>#N/A</v>
      </c>
      <c r="D2446" s="212"/>
      <c r="E2446" s="75" t="e">
        <f t="shared" si="80"/>
        <v>#N/A</v>
      </c>
      <c r="F2446" s="80"/>
      <c r="G2446" s="81"/>
      <c r="H2446" s="78"/>
      <c r="I2446" s="78"/>
      <c r="J2446" s="78"/>
    </row>
    <row r="2447" spans="1:10" x14ac:dyDescent="0.2">
      <c r="A2447" s="84">
        <f t="shared" si="79"/>
        <v>2441</v>
      </c>
      <c r="B2447" s="85" t="e">
        <f>+MATCH(D2447,ARTICULOS!$F$10:$F$699,0)</f>
        <v>#N/A</v>
      </c>
      <c r="C2447" s="86" t="e">
        <f>+VLOOKUP(B2447,ARTICULOS!$D$10:$I$699,6)</f>
        <v>#N/A</v>
      </c>
      <c r="D2447" s="212"/>
      <c r="E2447" s="75" t="e">
        <f t="shared" si="80"/>
        <v>#N/A</v>
      </c>
      <c r="F2447" s="80"/>
      <c r="G2447" s="81"/>
      <c r="H2447" s="78"/>
      <c r="I2447" s="78"/>
      <c r="J2447" s="78"/>
    </row>
    <row r="2448" spans="1:10" x14ac:dyDescent="0.2">
      <c r="A2448" s="84">
        <f t="shared" si="79"/>
        <v>2442</v>
      </c>
      <c r="B2448" s="85" t="e">
        <f>+MATCH(D2448,ARTICULOS!$F$10:$F$699,0)</f>
        <v>#N/A</v>
      </c>
      <c r="C2448" s="86" t="e">
        <f>+VLOOKUP(B2448,ARTICULOS!$D$10:$I$699,6)</f>
        <v>#N/A</v>
      </c>
      <c r="D2448" s="212"/>
      <c r="E2448" s="75" t="e">
        <f t="shared" si="80"/>
        <v>#N/A</v>
      </c>
      <c r="F2448" s="80"/>
      <c r="G2448" s="81"/>
      <c r="H2448" s="78"/>
      <c r="I2448" s="78"/>
      <c r="J2448" s="78"/>
    </row>
    <row r="2449" spans="1:10" x14ac:dyDescent="0.2">
      <c r="A2449" s="84">
        <f t="shared" si="79"/>
        <v>2443</v>
      </c>
      <c r="B2449" s="85" t="e">
        <f>+MATCH(D2449,ARTICULOS!$F$10:$F$699,0)</f>
        <v>#N/A</v>
      </c>
      <c r="C2449" s="86" t="e">
        <f>+VLOOKUP(B2449,ARTICULOS!$D$10:$I$699,6)</f>
        <v>#N/A</v>
      </c>
      <c r="D2449" s="212"/>
      <c r="E2449" s="75" t="e">
        <f t="shared" si="80"/>
        <v>#N/A</v>
      </c>
      <c r="F2449" s="80"/>
      <c r="G2449" s="81"/>
      <c r="H2449" s="78"/>
      <c r="I2449" s="78"/>
      <c r="J2449" s="78"/>
    </row>
    <row r="2450" spans="1:10" x14ac:dyDescent="0.2">
      <c r="A2450" s="84">
        <f t="shared" si="79"/>
        <v>2444</v>
      </c>
      <c r="B2450" s="85" t="e">
        <f>+MATCH(D2450,ARTICULOS!$F$10:$F$699,0)</f>
        <v>#N/A</v>
      </c>
      <c r="C2450" s="86" t="e">
        <f>+VLOOKUP(B2450,ARTICULOS!$D$10:$I$699,6)</f>
        <v>#N/A</v>
      </c>
      <c r="D2450" s="212"/>
      <c r="E2450" s="75" t="e">
        <f t="shared" si="80"/>
        <v>#N/A</v>
      </c>
      <c r="F2450" s="80"/>
      <c r="G2450" s="81"/>
      <c r="H2450" s="78"/>
      <c r="I2450" s="78"/>
      <c r="J2450" s="78"/>
    </row>
    <row r="2451" spans="1:10" x14ac:dyDescent="0.2">
      <c r="A2451" s="84">
        <f t="shared" si="79"/>
        <v>2445</v>
      </c>
      <c r="B2451" s="85" t="e">
        <f>+MATCH(D2451,ARTICULOS!$F$10:$F$699,0)</f>
        <v>#N/A</v>
      </c>
      <c r="C2451" s="86" t="e">
        <f>+VLOOKUP(B2451,ARTICULOS!$D$10:$I$699,6)</f>
        <v>#N/A</v>
      </c>
      <c r="D2451" s="212"/>
      <c r="E2451" s="75" t="e">
        <f t="shared" si="80"/>
        <v>#N/A</v>
      </c>
      <c r="F2451" s="80"/>
      <c r="G2451" s="81"/>
      <c r="H2451" s="78"/>
      <c r="I2451" s="78"/>
      <c r="J2451" s="78"/>
    </row>
    <row r="2452" spans="1:10" x14ac:dyDescent="0.2">
      <c r="A2452" s="84">
        <f t="shared" si="79"/>
        <v>2446</v>
      </c>
      <c r="B2452" s="85" t="e">
        <f>+MATCH(D2452,ARTICULOS!$F$10:$F$699,0)</f>
        <v>#N/A</v>
      </c>
      <c r="C2452" s="86" t="e">
        <f>+VLOOKUP(B2452,ARTICULOS!$D$10:$I$699,6)</f>
        <v>#N/A</v>
      </c>
      <c r="D2452" s="212"/>
      <c r="E2452" s="75" t="e">
        <f t="shared" si="80"/>
        <v>#N/A</v>
      </c>
      <c r="F2452" s="80"/>
      <c r="G2452" s="81"/>
      <c r="H2452" s="78"/>
      <c r="I2452" s="78"/>
      <c r="J2452" s="78"/>
    </row>
    <row r="2453" spans="1:10" x14ac:dyDescent="0.2">
      <c r="A2453" s="84">
        <f t="shared" si="79"/>
        <v>2447</v>
      </c>
      <c r="B2453" s="85" t="e">
        <f>+MATCH(D2453,ARTICULOS!$F$10:$F$699,0)</f>
        <v>#N/A</v>
      </c>
      <c r="C2453" s="86" t="e">
        <f>+VLOOKUP(B2453,ARTICULOS!$D$10:$I$699,6)</f>
        <v>#N/A</v>
      </c>
      <c r="D2453" s="212"/>
      <c r="E2453" s="75" t="e">
        <f t="shared" si="80"/>
        <v>#N/A</v>
      </c>
      <c r="F2453" s="80"/>
      <c r="G2453" s="81"/>
      <c r="H2453" s="78"/>
      <c r="I2453" s="78"/>
      <c r="J2453" s="78"/>
    </row>
    <row r="2454" spans="1:10" x14ac:dyDescent="0.2">
      <c r="A2454" s="84">
        <f t="shared" si="79"/>
        <v>2448</v>
      </c>
      <c r="B2454" s="85" t="e">
        <f>+MATCH(D2454,ARTICULOS!$F$10:$F$699,0)</f>
        <v>#N/A</v>
      </c>
      <c r="C2454" s="86" t="e">
        <f>+VLOOKUP(B2454,ARTICULOS!$D$10:$I$699,6)</f>
        <v>#N/A</v>
      </c>
      <c r="D2454" s="212"/>
      <c r="E2454" s="75" t="e">
        <f t="shared" si="80"/>
        <v>#N/A</v>
      </c>
      <c r="F2454" s="80"/>
      <c r="G2454" s="81"/>
      <c r="H2454" s="78"/>
      <c r="I2454" s="78"/>
      <c r="J2454" s="78"/>
    </row>
    <row r="2455" spans="1:10" x14ac:dyDescent="0.2">
      <c r="A2455" s="84">
        <f t="shared" si="79"/>
        <v>2449</v>
      </c>
      <c r="B2455" s="85" t="e">
        <f>+MATCH(D2455,ARTICULOS!$F$10:$F$699,0)</f>
        <v>#N/A</v>
      </c>
      <c r="C2455" s="86" t="e">
        <f>+VLOOKUP(B2455,ARTICULOS!$D$10:$I$699,6)</f>
        <v>#N/A</v>
      </c>
      <c r="D2455" s="212"/>
      <c r="E2455" s="75" t="e">
        <f t="shared" si="80"/>
        <v>#N/A</v>
      </c>
      <c r="F2455" s="80"/>
      <c r="G2455" s="81"/>
      <c r="H2455" s="78"/>
      <c r="I2455" s="78"/>
      <c r="J2455" s="78"/>
    </row>
    <row r="2456" spans="1:10" x14ac:dyDescent="0.2">
      <c r="A2456" s="84">
        <f t="shared" si="79"/>
        <v>2450</v>
      </c>
      <c r="B2456" s="85" t="e">
        <f>+MATCH(D2456,ARTICULOS!$F$10:$F$699,0)</f>
        <v>#N/A</v>
      </c>
      <c r="C2456" s="86" t="e">
        <f>+VLOOKUP(B2456,ARTICULOS!$D$10:$I$699,6)</f>
        <v>#N/A</v>
      </c>
      <c r="D2456" s="212"/>
      <c r="E2456" s="75" t="e">
        <f t="shared" si="80"/>
        <v>#N/A</v>
      </c>
      <c r="F2456" s="80"/>
      <c r="G2456" s="81"/>
      <c r="H2456" s="78"/>
      <c r="I2456" s="78"/>
      <c r="J2456" s="78"/>
    </row>
    <row r="2457" spans="1:10" x14ac:dyDescent="0.2">
      <c r="A2457" s="84">
        <f t="shared" si="79"/>
        <v>2451</v>
      </c>
      <c r="B2457" s="85" t="e">
        <f>+MATCH(D2457,ARTICULOS!$F$10:$F$699,0)</f>
        <v>#N/A</v>
      </c>
      <c r="C2457" s="86" t="e">
        <f>+VLOOKUP(B2457,ARTICULOS!$D$10:$I$699,6)</f>
        <v>#N/A</v>
      </c>
      <c r="D2457" s="212"/>
      <c r="E2457" s="75" t="e">
        <f t="shared" si="80"/>
        <v>#N/A</v>
      </c>
      <c r="F2457" s="80"/>
      <c r="G2457" s="81"/>
      <c r="H2457" s="78"/>
      <c r="I2457" s="78"/>
      <c r="J2457" s="78"/>
    </row>
    <row r="2458" spans="1:10" x14ac:dyDescent="0.2">
      <c r="A2458" s="84">
        <f t="shared" si="79"/>
        <v>2452</v>
      </c>
      <c r="B2458" s="85" t="e">
        <f>+MATCH(D2458,ARTICULOS!$F$10:$F$699,0)</f>
        <v>#N/A</v>
      </c>
      <c r="C2458" s="86" t="e">
        <f>+VLOOKUP(B2458,ARTICULOS!$D$10:$I$699,6)</f>
        <v>#N/A</v>
      </c>
      <c r="D2458" s="212"/>
      <c r="E2458" s="75" t="e">
        <f t="shared" si="80"/>
        <v>#N/A</v>
      </c>
      <c r="F2458" s="80"/>
      <c r="G2458" s="81"/>
      <c r="H2458" s="78"/>
      <c r="I2458" s="78"/>
      <c r="J2458" s="78"/>
    </row>
    <row r="2459" spans="1:10" x14ac:dyDescent="0.2">
      <c r="A2459" s="84">
        <f t="shared" si="79"/>
        <v>2453</v>
      </c>
      <c r="B2459" s="85" t="e">
        <f>+MATCH(D2459,ARTICULOS!$F$10:$F$699,0)</f>
        <v>#N/A</v>
      </c>
      <c r="C2459" s="86" t="e">
        <f>+VLOOKUP(B2459,ARTICULOS!$D$10:$I$699,6)</f>
        <v>#N/A</v>
      </c>
      <c r="D2459" s="212"/>
      <c r="E2459" s="75" t="e">
        <f t="shared" si="80"/>
        <v>#N/A</v>
      </c>
      <c r="F2459" s="80"/>
      <c r="G2459" s="81"/>
      <c r="H2459" s="78"/>
      <c r="I2459" s="78"/>
      <c r="J2459" s="78"/>
    </row>
    <row r="2460" spans="1:10" x14ac:dyDescent="0.2">
      <c r="A2460" s="84">
        <f t="shared" si="79"/>
        <v>2454</v>
      </c>
      <c r="B2460" s="85" t="e">
        <f>+MATCH(D2460,ARTICULOS!$F$10:$F$699,0)</f>
        <v>#N/A</v>
      </c>
      <c r="C2460" s="86" t="e">
        <f>+VLOOKUP(B2460,ARTICULOS!$D$10:$I$699,6)</f>
        <v>#N/A</v>
      </c>
      <c r="D2460" s="212"/>
      <c r="E2460" s="75" t="e">
        <f t="shared" si="80"/>
        <v>#N/A</v>
      </c>
      <c r="F2460" s="80"/>
      <c r="G2460" s="81"/>
      <c r="H2460" s="78"/>
      <c r="I2460" s="78"/>
      <c r="J2460" s="78"/>
    </row>
    <row r="2461" spans="1:10" x14ac:dyDescent="0.2">
      <c r="A2461" s="84">
        <f t="shared" si="79"/>
        <v>2455</v>
      </c>
      <c r="B2461" s="85" t="e">
        <f>+MATCH(D2461,ARTICULOS!$F$10:$F$699,0)</f>
        <v>#N/A</v>
      </c>
      <c r="C2461" s="86" t="e">
        <f>+VLOOKUP(B2461,ARTICULOS!$D$10:$I$699,6)</f>
        <v>#N/A</v>
      </c>
      <c r="D2461" s="212"/>
      <c r="E2461" s="75" t="e">
        <f t="shared" si="80"/>
        <v>#N/A</v>
      </c>
      <c r="F2461" s="80"/>
      <c r="G2461" s="81"/>
      <c r="H2461" s="78"/>
      <c r="I2461" s="78"/>
      <c r="J2461" s="78"/>
    </row>
    <row r="2462" spans="1:10" x14ac:dyDescent="0.2">
      <c r="A2462" s="84">
        <f t="shared" si="79"/>
        <v>2456</v>
      </c>
      <c r="B2462" s="85" t="e">
        <f>+MATCH(D2462,ARTICULOS!$F$10:$F$699,0)</f>
        <v>#N/A</v>
      </c>
      <c r="C2462" s="86" t="e">
        <f>+VLOOKUP(B2462,ARTICULOS!$D$10:$I$699,6)</f>
        <v>#N/A</v>
      </c>
      <c r="D2462" s="212"/>
      <c r="E2462" s="75" t="e">
        <f t="shared" si="80"/>
        <v>#N/A</v>
      </c>
      <c r="F2462" s="80"/>
      <c r="G2462" s="81"/>
      <c r="H2462" s="78"/>
      <c r="I2462" s="78"/>
      <c r="J2462" s="78"/>
    </row>
    <row r="2463" spans="1:10" x14ac:dyDescent="0.2">
      <c r="A2463" s="84">
        <f t="shared" si="79"/>
        <v>2457</v>
      </c>
      <c r="B2463" s="85" t="e">
        <f>+MATCH(D2463,ARTICULOS!$F$10:$F$699,0)</f>
        <v>#N/A</v>
      </c>
      <c r="C2463" s="86" t="e">
        <f>+VLOOKUP(B2463,ARTICULOS!$D$10:$I$699,6)</f>
        <v>#N/A</v>
      </c>
      <c r="D2463" s="212"/>
      <c r="E2463" s="75" t="e">
        <f t="shared" si="80"/>
        <v>#N/A</v>
      </c>
      <c r="F2463" s="80"/>
      <c r="G2463" s="81"/>
      <c r="H2463" s="78"/>
      <c r="I2463" s="78"/>
      <c r="J2463" s="78"/>
    </row>
    <row r="2464" spans="1:10" x14ac:dyDescent="0.2">
      <c r="A2464" s="84">
        <f t="shared" si="79"/>
        <v>2458</v>
      </c>
      <c r="B2464" s="85" t="e">
        <f>+MATCH(D2464,ARTICULOS!$F$10:$F$699,0)</f>
        <v>#N/A</v>
      </c>
      <c r="C2464" s="86" t="e">
        <f>+VLOOKUP(B2464,ARTICULOS!$D$10:$I$699,6)</f>
        <v>#N/A</v>
      </c>
      <c r="D2464" s="212"/>
      <c r="E2464" s="75" t="e">
        <f t="shared" si="80"/>
        <v>#N/A</v>
      </c>
      <c r="F2464" s="80"/>
      <c r="G2464" s="81"/>
      <c r="H2464" s="78"/>
      <c r="I2464" s="78"/>
      <c r="J2464" s="78"/>
    </row>
    <row r="2465" spans="1:10" x14ac:dyDescent="0.2">
      <c r="A2465" s="84">
        <f t="shared" si="79"/>
        <v>2459</v>
      </c>
      <c r="B2465" s="85" t="e">
        <f>+MATCH(D2465,ARTICULOS!$F$10:$F$699,0)</f>
        <v>#N/A</v>
      </c>
      <c r="C2465" s="86" t="e">
        <f>+VLOOKUP(B2465,ARTICULOS!$D$10:$I$699,6)</f>
        <v>#N/A</v>
      </c>
      <c r="D2465" s="212"/>
      <c r="E2465" s="75" t="e">
        <f t="shared" si="80"/>
        <v>#N/A</v>
      </c>
      <c r="F2465" s="80"/>
      <c r="G2465" s="81"/>
      <c r="H2465" s="78"/>
      <c r="I2465" s="78"/>
      <c r="J2465" s="78"/>
    </row>
    <row r="2466" spans="1:10" x14ac:dyDescent="0.2">
      <c r="A2466" s="84">
        <f t="shared" si="79"/>
        <v>2460</v>
      </c>
      <c r="B2466" s="85" t="e">
        <f>+MATCH(D2466,ARTICULOS!$F$10:$F$699,0)</f>
        <v>#N/A</v>
      </c>
      <c r="C2466" s="86" t="e">
        <f>+VLOOKUP(B2466,ARTICULOS!$D$10:$I$699,6)</f>
        <v>#N/A</v>
      </c>
      <c r="D2466" s="212"/>
      <c r="E2466" s="75" t="e">
        <f t="shared" si="80"/>
        <v>#N/A</v>
      </c>
      <c r="F2466" s="80"/>
      <c r="G2466" s="81"/>
      <c r="H2466" s="78"/>
      <c r="I2466" s="78"/>
      <c r="J2466" s="78"/>
    </row>
    <row r="2467" spans="1:10" x14ac:dyDescent="0.2">
      <c r="A2467" s="84">
        <f t="shared" si="79"/>
        <v>2461</v>
      </c>
      <c r="B2467" s="85" t="e">
        <f>+MATCH(D2467,ARTICULOS!$F$10:$F$699,0)</f>
        <v>#N/A</v>
      </c>
      <c r="C2467" s="86" t="e">
        <f>+VLOOKUP(B2467,ARTICULOS!$D$10:$I$699,6)</f>
        <v>#N/A</v>
      </c>
      <c r="D2467" s="212"/>
      <c r="E2467" s="75" t="e">
        <f t="shared" si="80"/>
        <v>#N/A</v>
      </c>
      <c r="F2467" s="80"/>
      <c r="G2467" s="81"/>
      <c r="H2467" s="78"/>
      <c r="I2467" s="78"/>
      <c r="J2467" s="78"/>
    </row>
    <row r="2468" spans="1:10" x14ac:dyDescent="0.2">
      <c r="A2468" s="84">
        <f t="shared" si="79"/>
        <v>2462</v>
      </c>
      <c r="B2468" s="85" t="e">
        <f>+MATCH(D2468,ARTICULOS!$F$10:$F$699,0)</f>
        <v>#N/A</v>
      </c>
      <c r="C2468" s="86" t="e">
        <f>+VLOOKUP(B2468,ARTICULOS!$D$10:$I$699,6)</f>
        <v>#N/A</v>
      </c>
      <c r="D2468" s="212"/>
      <c r="E2468" s="75" t="e">
        <f t="shared" si="80"/>
        <v>#N/A</v>
      </c>
      <c r="F2468" s="80"/>
      <c r="G2468" s="81"/>
      <c r="H2468" s="78"/>
      <c r="I2468" s="78"/>
      <c r="J2468" s="78"/>
    </row>
    <row r="2469" spans="1:10" x14ac:dyDescent="0.2">
      <c r="A2469" s="84">
        <f t="shared" si="79"/>
        <v>2463</v>
      </c>
      <c r="B2469" s="85" t="e">
        <f>+MATCH(D2469,ARTICULOS!$F$10:$F$699,0)</f>
        <v>#N/A</v>
      </c>
      <c r="C2469" s="86" t="e">
        <f>+VLOOKUP(B2469,ARTICULOS!$D$10:$I$699,6)</f>
        <v>#N/A</v>
      </c>
      <c r="D2469" s="212"/>
      <c r="E2469" s="75" t="e">
        <f t="shared" si="80"/>
        <v>#N/A</v>
      </c>
      <c r="F2469" s="80"/>
      <c r="G2469" s="81"/>
      <c r="H2469" s="78"/>
      <c r="I2469" s="78"/>
      <c r="J2469" s="78"/>
    </row>
    <row r="2470" spans="1:10" x14ac:dyDescent="0.2">
      <c r="A2470" s="84">
        <f t="shared" si="79"/>
        <v>2464</v>
      </c>
      <c r="B2470" s="85" t="e">
        <f>+MATCH(D2470,ARTICULOS!$F$10:$F$699,0)</f>
        <v>#N/A</v>
      </c>
      <c r="C2470" s="86" t="e">
        <f>+VLOOKUP(B2470,ARTICULOS!$D$10:$I$699,6)</f>
        <v>#N/A</v>
      </c>
      <c r="D2470" s="212"/>
      <c r="E2470" s="75" t="e">
        <f t="shared" si="80"/>
        <v>#N/A</v>
      </c>
      <c r="F2470" s="80"/>
      <c r="G2470" s="81"/>
      <c r="H2470" s="78"/>
      <c r="I2470" s="78"/>
      <c r="J2470" s="78"/>
    </row>
    <row r="2471" spans="1:10" x14ac:dyDescent="0.2">
      <c r="A2471" s="84">
        <f t="shared" si="79"/>
        <v>2465</v>
      </c>
      <c r="B2471" s="85" t="e">
        <f>+MATCH(D2471,ARTICULOS!$F$10:$F$699,0)</f>
        <v>#N/A</v>
      </c>
      <c r="C2471" s="86" t="e">
        <f>+VLOOKUP(B2471,ARTICULOS!$D$10:$I$699,6)</f>
        <v>#N/A</v>
      </c>
      <c r="D2471" s="212"/>
      <c r="E2471" s="75" t="e">
        <f t="shared" si="80"/>
        <v>#N/A</v>
      </c>
      <c r="F2471" s="80"/>
      <c r="G2471" s="81"/>
      <c r="H2471" s="78"/>
      <c r="I2471" s="78"/>
      <c r="J2471" s="78"/>
    </row>
    <row r="2472" spans="1:10" x14ac:dyDescent="0.2">
      <c r="A2472" s="84">
        <f t="shared" si="79"/>
        <v>2466</v>
      </c>
      <c r="B2472" s="85" t="e">
        <f>+MATCH(D2472,ARTICULOS!$F$10:$F$699,0)</f>
        <v>#N/A</v>
      </c>
      <c r="C2472" s="86" t="e">
        <f>+VLOOKUP(B2472,ARTICULOS!$D$10:$I$699,6)</f>
        <v>#N/A</v>
      </c>
      <c r="D2472" s="212"/>
      <c r="E2472" s="75" t="e">
        <f t="shared" si="80"/>
        <v>#N/A</v>
      </c>
      <c r="F2472" s="80"/>
      <c r="G2472" s="81"/>
      <c r="H2472" s="78"/>
      <c r="I2472" s="78"/>
      <c r="J2472" s="78"/>
    </row>
    <row r="2473" spans="1:10" x14ac:dyDescent="0.2">
      <c r="A2473" s="84">
        <f t="shared" ref="A2473:A2536" si="81">ROW()-6</f>
        <v>2467</v>
      </c>
      <c r="B2473" s="85" t="e">
        <f>+MATCH(D2473,ARTICULOS!$F$10:$F$699,0)</f>
        <v>#N/A</v>
      </c>
      <c r="C2473" s="86" t="e">
        <f>+VLOOKUP(B2473,ARTICULOS!$D$10:$I$699,6)</f>
        <v>#N/A</v>
      </c>
      <c r="D2473" s="212"/>
      <c r="E2473" s="75" t="e">
        <f t="shared" si="80"/>
        <v>#N/A</v>
      </c>
      <c r="F2473" s="80"/>
      <c r="G2473" s="81"/>
      <c r="H2473" s="78"/>
      <c r="I2473" s="78"/>
      <c r="J2473" s="78"/>
    </row>
    <row r="2474" spans="1:10" x14ac:dyDescent="0.2">
      <c r="A2474" s="84">
        <f t="shared" si="81"/>
        <v>2468</v>
      </c>
      <c r="B2474" s="85" t="e">
        <f>+MATCH(D2474,ARTICULOS!$F$10:$F$699,0)</f>
        <v>#N/A</v>
      </c>
      <c r="C2474" s="86" t="e">
        <f>+VLOOKUP(B2474,ARTICULOS!$D$10:$I$699,6)</f>
        <v>#N/A</v>
      </c>
      <c r="D2474" s="212"/>
      <c r="E2474" s="75" t="e">
        <f t="shared" si="80"/>
        <v>#N/A</v>
      </c>
      <c r="F2474" s="80"/>
      <c r="G2474" s="81"/>
      <c r="H2474" s="78"/>
      <c r="I2474" s="78"/>
      <c r="J2474" s="78"/>
    </row>
    <row r="2475" spans="1:10" x14ac:dyDescent="0.2">
      <c r="A2475" s="84">
        <f t="shared" si="81"/>
        <v>2469</v>
      </c>
      <c r="B2475" s="85" t="e">
        <f>+MATCH(D2475,ARTICULOS!$F$10:$F$699,0)</f>
        <v>#N/A</v>
      </c>
      <c r="C2475" s="86" t="e">
        <f>+VLOOKUP(B2475,ARTICULOS!$D$10:$I$699,6)</f>
        <v>#N/A</v>
      </c>
      <c r="D2475" s="212"/>
      <c r="E2475" s="75" t="e">
        <f t="shared" si="80"/>
        <v>#N/A</v>
      </c>
      <c r="F2475" s="80"/>
      <c r="G2475" s="81"/>
      <c r="H2475" s="78"/>
      <c r="I2475" s="78"/>
      <c r="J2475" s="78"/>
    </row>
    <row r="2476" spans="1:10" x14ac:dyDescent="0.2">
      <c r="A2476" s="84">
        <f t="shared" si="81"/>
        <v>2470</v>
      </c>
      <c r="B2476" s="85" t="e">
        <f>+MATCH(D2476,ARTICULOS!$F$10:$F$699,0)</f>
        <v>#N/A</v>
      </c>
      <c r="C2476" s="86" t="e">
        <f>+VLOOKUP(B2476,ARTICULOS!$D$10:$I$699,6)</f>
        <v>#N/A</v>
      </c>
      <c r="D2476" s="212"/>
      <c r="E2476" s="75" t="e">
        <f t="shared" si="80"/>
        <v>#N/A</v>
      </c>
      <c r="F2476" s="80"/>
      <c r="G2476" s="81"/>
      <c r="H2476" s="78"/>
      <c r="I2476" s="78"/>
      <c r="J2476" s="78"/>
    </row>
    <row r="2477" spans="1:10" x14ac:dyDescent="0.2">
      <c r="A2477" s="84">
        <f t="shared" si="81"/>
        <v>2471</v>
      </c>
      <c r="B2477" s="85" t="e">
        <f>+MATCH(D2477,ARTICULOS!$F$10:$F$699,0)</f>
        <v>#N/A</v>
      </c>
      <c r="C2477" s="86" t="e">
        <f>+VLOOKUP(B2477,ARTICULOS!$D$10:$I$699,6)</f>
        <v>#N/A</v>
      </c>
      <c r="D2477" s="212"/>
      <c r="E2477" s="75" t="e">
        <f t="shared" si="80"/>
        <v>#N/A</v>
      </c>
      <c r="F2477" s="80"/>
      <c r="G2477" s="81"/>
      <c r="H2477" s="78"/>
      <c r="I2477" s="78"/>
      <c r="J2477" s="78"/>
    </row>
    <row r="2478" spans="1:10" x14ac:dyDescent="0.2">
      <c r="A2478" s="84">
        <f t="shared" si="81"/>
        <v>2472</v>
      </c>
      <c r="B2478" s="85" t="e">
        <f>+MATCH(D2478,ARTICULOS!$F$10:$F$699,0)</f>
        <v>#N/A</v>
      </c>
      <c r="C2478" s="86" t="e">
        <f>+VLOOKUP(B2478,ARTICULOS!$D$10:$I$699,6)</f>
        <v>#N/A</v>
      </c>
      <c r="D2478" s="212"/>
      <c r="E2478" s="75" t="e">
        <f t="shared" si="80"/>
        <v>#N/A</v>
      </c>
      <c r="F2478" s="80"/>
      <c r="G2478" s="81"/>
      <c r="H2478" s="78"/>
      <c r="I2478" s="78"/>
      <c r="J2478" s="78"/>
    </row>
    <row r="2479" spans="1:10" x14ac:dyDescent="0.2">
      <c r="A2479" s="84">
        <f t="shared" si="81"/>
        <v>2473</v>
      </c>
      <c r="B2479" s="85" t="e">
        <f>+MATCH(D2479,ARTICULOS!$F$10:$F$699,0)</f>
        <v>#N/A</v>
      </c>
      <c r="C2479" s="86" t="e">
        <f>+VLOOKUP(B2479,ARTICULOS!$D$10:$I$699,6)</f>
        <v>#N/A</v>
      </c>
      <c r="D2479" s="212"/>
      <c r="E2479" s="75" t="e">
        <f t="shared" si="80"/>
        <v>#N/A</v>
      </c>
      <c r="F2479" s="80"/>
      <c r="G2479" s="81"/>
      <c r="H2479" s="78"/>
      <c r="I2479" s="78"/>
      <c r="J2479" s="78"/>
    </row>
    <row r="2480" spans="1:10" x14ac:dyDescent="0.2">
      <c r="A2480" s="84">
        <f t="shared" si="81"/>
        <v>2474</v>
      </c>
      <c r="B2480" s="85" t="e">
        <f>+MATCH(D2480,ARTICULOS!$F$10:$F$699,0)</f>
        <v>#N/A</v>
      </c>
      <c r="C2480" s="86" t="e">
        <f>+VLOOKUP(B2480,ARTICULOS!$D$10:$I$699,6)</f>
        <v>#N/A</v>
      </c>
      <c r="D2480" s="212"/>
      <c r="E2480" s="75" t="e">
        <f t="shared" si="80"/>
        <v>#N/A</v>
      </c>
      <c r="F2480" s="80"/>
      <c r="G2480" s="81"/>
      <c r="H2480" s="78"/>
      <c r="I2480" s="78"/>
      <c r="J2480" s="78"/>
    </row>
    <row r="2481" spans="1:10" x14ac:dyDescent="0.2">
      <c r="A2481" s="84">
        <f t="shared" si="81"/>
        <v>2475</v>
      </c>
      <c r="B2481" s="85" t="e">
        <f>+MATCH(D2481,ARTICULOS!$F$10:$F$699,0)</f>
        <v>#N/A</v>
      </c>
      <c r="C2481" s="86" t="e">
        <f>+VLOOKUP(B2481,ARTICULOS!$D$10:$I$699,6)</f>
        <v>#N/A</v>
      </c>
      <c r="D2481" s="212"/>
      <c r="E2481" s="75" t="e">
        <f t="shared" si="80"/>
        <v>#N/A</v>
      </c>
      <c r="F2481" s="80"/>
      <c r="G2481" s="81"/>
      <c r="H2481" s="78"/>
      <c r="I2481" s="78"/>
      <c r="J2481" s="78"/>
    </row>
    <row r="2482" spans="1:10" x14ac:dyDescent="0.2">
      <c r="A2482" s="84">
        <f t="shared" si="81"/>
        <v>2476</v>
      </c>
      <c r="B2482" s="85" t="e">
        <f>+MATCH(D2482,ARTICULOS!$F$10:$F$699,0)</f>
        <v>#N/A</v>
      </c>
      <c r="C2482" s="86" t="e">
        <f>+VLOOKUP(B2482,ARTICULOS!$D$10:$I$699,6)</f>
        <v>#N/A</v>
      </c>
      <c r="D2482" s="212"/>
      <c r="E2482" s="75" t="e">
        <f t="shared" si="80"/>
        <v>#N/A</v>
      </c>
      <c r="F2482" s="80"/>
      <c r="G2482" s="81"/>
      <c r="H2482" s="78"/>
      <c r="I2482" s="78"/>
      <c r="J2482" s="78"/>
    </row>
    <row r="2483" spans="1:10" x14ac:dyDescent="0.2">
      <c r="A2483" s="84">
        <f t="shared" si="81"/>
        <v>2477</v>
      </c>
      <c r="B2483" s="85" t="e">
        <f>+MATCH(D2483,ARTICULOS!$F$10:$F$699,0)</f>
        <v>#N/A</v>
      </c>
      <c r="C2483" s="86" t="e">
        <f>+VLOOKUP(B2483,ARTICULOS!$D$10:$I$699,6)</f>
        <v>#N/A</v>
      </c>
      <c r="D2483" s="212"/>
      <c r="E2483" s="75" t="e">
        <f t="shared" si="80"/>
        <v>#N/A</v>
      </c>
      <c r="F2483" s="80"/>
      <c r="G2483" s="81"/>
      <c r="H2483" s="78"/>
      <c r="I2483" s="78"/>
      <c r="J2483" s="78"/>
    </row>
    <row r="2484" spans="1:10" x14ac:dyDescent="0.2">
      <c r="A2484" s="84">
        <f t="shared" si="81"/>
        <v>2478</v>
      </c>
      <c r="B2484" s="85" t="e">
        <f>+MATCH(D2484,ARTICULOS!$F$10:$F$699,0)</f>
        <v>#N/A</v>
      </c>
      <c r="C2484" s="86" t="e">
        <f>+VLOOKUP(B2484,ARTICULOS!$D$10:$I$699,6)</f>
        <v>#N/A</v>
      </c>
      <c r="D2484" s="212"/>
      <c r="E2484" s="75" t="e">
        <f t="shared" si="80"/>
        <v>#N/A</v>
      </c>
      <c r="F2484" s="80"/>
      <c r="G2484" s="81"/>
      <c r="H2484" s="78"/>
      <c r="I2484" s="78"/>
      <c r="J2484" s="78"/>
    </row>
    <row r="2485" spans="1:10" x14ac:dyDescent="0.2">
      <c r="A2485" s="84">
        <f t="shared" si="81"/>
        <v>2479</v>
      </c>
      <c r="B2485" s="85" t="e">
        <f>+MATCH(D2485,ARTICULOS!$F$10:$F$699,0)</f>
        <v>#N/A</v>
      </c>
      <c r="C2485" s="86" t="e">
        <f>+VLOOKUP(B2485,ARTICULOS!$D$10:$I$699,6)</f>
        <v>#N/A</v>
      </c>
      <c r="D2485" s="212"/>
      <c r="E2485" s="75" t="e">
        <f t="shared" si="80"/>
        <v>#N/A</v>
      </c>
      <c r="F2485" s="80"/>
      <c r="G2485" s="81"/>
      <c r="H2485" s="78"/>
      <c r="I2485" s="78"/>
      <c r="J2485" s="78"/>
    </row>
    <row r="2486" spans="1:10" x14ac:dyDescent="0.2">
      <c r="A2486" s="84">
        <f t="shared" si="81"/>
        <v>2480</v>
      </c>
      <c r="B2486" s="85" t="e">
        <f>+MATCH(D2486,ARTICULOS!$F$10:$F$699,0)</f>
        <v>#N/A</v>
      </c>
      <c r="C2486" s="86" t="e">
        <f>+VLOOKUP(B2486,ARTICULOS!$D$10:$I$699,6)</f>
        <v>#N/A</v>
      </c>
      <c r="D2486" s="212"/>
      <c r="E2486" s="75" t="e">
        <f t="shared" si="80"/>
        <v>#N/A</v>
      </c>
      <c r="F2486" s="80"/>
      <c r="G2486" s="81"/>
      <c r="H2486" s="78"/>
      <c r="I2486" s="78"/>
      <c r="J2486" s="78"/>
    </row>
    <row r="2487" spans="1:10" x14ac:dyDescent="0.2">
      <c r="A2487" s="84">
        <f t="shared" si="81"/>
        <v>2481</v>
      </c>
      <c r="B2487" s="85" t="e">
        <f>+MATCH(D2487,ARTICULOS!$F$10:$F$699,0)</f>
        <v>#N/A</v>
      </c>
      <c r="C2487" s="86" t="e">
        <f>+VLOOKUP(B2487,ARTICULOS!$D$10:$I$699,6)</f>
        <v>#N/A</v>
      </c>
      <c r="D2487" s="212"/>
      <c r="E2487" s="75" t="e">
        <f t="shared" si="80"/>
        <v>#N/A</v>
      </c>
      <c r="F2487" s="80"/>
      <c r="G2487" s="81"/>
      <c r="H2487" s="78"/>
      <c r="I2487" s="78"/>
      <c r="J2487" s="78"/>
    </row>
    <row r="2488" spans="1:10" x14ac:dyDescent="0.2">
      <c r="A2488" s="84">
        <f t="shared" si="81"/>
        <v>2482</v>
      </c>
      <c r="B2488" s="85" t="e">
        <f>+MATCH(D2488,ARTICULOS!$F$10:$F$699,0)</f>
        <v>#N/A</v>
      </c>
      <c r="C2488" s="86" t="e">
        <f>+VLOOKUP(B2488,ARTICULOS!$D$10:$I$699,6)</f>
        <v>#N/A</v>
      </c>
      <c r="D2488" s="212"/>
      <c r="E2488" s="75" t="e">
        <f t="shared" si="80"/>
        <v>#N/A</v>
      </c>
      <c r="F2488" s="80"/>
      <c r="G2488" s="81"/>
      <c r="H2488" s="78"/>
      <c r="I2488" s="78"/>
      <c r="J2488" s="78"/>
    </row>
    <row r="2489" spans="1:10" x14ac:dyDescent="0.2">
      <c r="A2489" s="84">
        <f t="shared" si="81"/>
        <v>2483</v>
      </c>
      <c r="B2489" s="85" t="e">
        <f>+MATCH(D2489,ARTICULOS!$F$10:$F$699,0)</f>
        <v>#N/A</v>
      </c>
      <c r="C2489" s="86" t="e">
        <f>+VLOOKUP(B2489,ARTICULOS!$D$10:$I$699,6)</f>
        <v>#N/A</v>
      </c>
      <c r="D2489" s="212"/>
      <c r="E2489" s="75" t="e">
        <f t="shared" si="80"/>
        <v>#N/A</v>
      </c>
      <c r="F2489" s="80"/>
      <c r="G2489" s="81"/>
      <c r="H2489" s="78"/>
      <c r="I2489" s="78"/>
      <c r="J2489" s="78"/>
    </row>
    <row r="2490" spans="1:10" x14ac:dyDescent="0.2">
      <c r="A2490" s="84">
        <f t="shared" si="81"/>
        <v>2484</v>
      </c>
      <c r="B2490" s="85" t="e">
        <f>+MATCH(D2490,ARTICULOS!$F$10:$F$699,0)</f>
        <v>#N/A</v>
      </c>
      <c r="C2490" s="86" t="e">
        <f>+VLOOKUP(B2490,ARTICULOS!$D$10:$I$699,6)</f>
        <v>#N/A</v>
      </c>
      <c r="D2490" s="212"/>
      <c r="E2490" s="75" t="e">
        <f t="shared" si="80"/>
        <v>#N/A</v>
      </c>
      <c r="F2490" s="80"/>
      <c r="G2490" s="81"/>
      <c r="H2490" s="78"/>
      <c r="I2490" s="78"/>
      <c r="J2490" s="78"/>
    </row>
    <row r="2491" spans="1:10" x14ac:dyDescent="0.2">
      <c r="A2491" s="84">
        <f t="shared" si="81"/>
        <v>2485</v>
      </c>
      <c r="B2491" s="85" t="e">
        <f>+MATCH(D2491,ARTICULOS!$F$10:$F$699,0)</f>
        <v>#N/A</v>
      </c>
      <c r="C2491" s="86" t="e">
        <f>+VLOOKUP(B2491,ARTICULOS!$D$10:$I$699,6)</f>
        <v>#N/A</v>
      </c>
      <c r="D2491" s="212"/>
      <c r="E2491" s="75" t="e">
        <f t="shared" si="80"/>
        <v>#N/A</v>
      </c>
      <c r="F2491" s="80"/>
      <c r="G2491" s="81"/>
      <c r="H2491" s="78"/>
      <c r="I2491" s="78"/>
      <c r="J2491" s="78"/>
    </row>
    <row r="2492" spans="1:10" x14ac:dyDescent="0.2">
      <c r="A2492" s="84">
        <f t="shared" si="81"/>
        <v>2486</v>
      </c>
      <c r="B2492" s="85" t="e">
        <f>+MATCH(D2492,ARTICULOS!$F$10:$F$699,0)</f>
        <v>#N/A</v>
      </c>
      <c r="C2492" s="86" t="e">
        <f>+VLOOKUP(B2492,ARTICULOS!$D$10:$I$699,6)</f>
        <v>#N/A</v>
      </c>
      <c r="D2492" s="212"/>
      <c r="E2492" s="75" t="e">
        <f t="shared" si="80"/>
        <v>#N/A</v>
      </c>
      <c r="F2492" s="80"/>
      <c r="G2492" s="81"/>
      <c r="H2492" s="78"/>
      <c r="I2492" s="78"/>
      <c r="J2492" s="78"/>
    </row>
    <row r="2493" spans="1:10" x14ac:dyDescent="0.2">
      <c r="A2493" s="84">
        <f t="shared" si="81"/>
        <v>2487</v>
      </c>
      <c r="B2493" s="85" t="e">
        <f>+MATCH(D2493,ARTICULOS!$F$10:$F$699,0)</f>
        <v>#N/A</v>
      </c>
      <c r="C2493" s="86" t="e">
        <f>+VLOOKUP(B2493,ARTICULOS!$D$10:$I$699,6)</f>
        <v>#N/A</v>
      </c>
      <c r="D2493" s="212"/>
      <c r="E2493" s="75" t="e">
        <f t="shared" si="80"/>
        <v>#N/A</v>
      </c>
      <c r="F2493" s="80"/>
      <c r="G2493" s="81"/>
      <c r="H2493" s="78"/>
      <c r="I2493" s="78"/>
      <c r="J2493" s="78"/>
    </row>
    <row r="2494" spans="1:10" x14ac:dyDescent="0.2">
      <c r="A2494" s="84">
        <f t="shared" si="81"/>
        <v>2488</v>
      </c>
      <c r="B2494" s="85" t="e">
        <f>+MATCH(D2494,ARTICULOS!$F$10:$F$699,0)</f>
        <v>#N/A</v>
      </c>
      <c r="C2494" s="86" t="e">
        <f>+VLOOKUP(B2494,ARTICULOS!$D$10:$I$699,6)</f>
        <v>#N/A</v>
      </c>
      <c r="D2494" s="212"/>
      <c r="E2494" s="75" t="e">
        <f t="shared" si="80"/>
        <v>#N/A</v>
      </c>
      <c r="F2494" s="80"/>
      <c r="G2494" s="81"/>
      <c r="H2494" s="78"/>
      <c r="I2494" s="78"/>
      <c r="J2494" s="78"/>
    </row>
    <row r="2495" spans="1:10" x14ac:dyDescent="0.2">
      <c r="A2495" s="84">
        <f t="shared" si="81"/>
        <v>2489</v>
      </c>
      <c r="B2495" s="85" t="e">
        <f>+MATCH(D2495,ARTICULOS!$F$10:$F$699,0)</f>
        <v>#N/A</v>
      </c>
      <c r="C2495" s="86" t="e">
        <f>+VLOOKUP(B2495,ARTICULOS!$D$10:$I$699,6)</f>
        <v>#N/A</v>
      </c>
      <c r="D2495" s="212"/>
      <c r="E2495" s="75" t="e">
        <f t="shared" si="80"/>
        <v>#N/A</v>
      </c>
      <c r="F2495" s="80"/>
      <c r="G2495" s="81"/>
      <c r="H2495" s="78"/>
      <c r="I2495" s="78"/>
      <c r="J2495" s="78"/>
    </row>
    <row r="2496" spans="1:10" x14ac:dyDescent="0.2">
      <c r="A2496" s="84">
        <f t="shared" si="81"/>
        <v>2490</v>
      </c>
      <c r="B2496" s="85" t="e">
        <f>+MATCH(D2496,ARTICULOS!$F$10:$F$699,0)</f>
        <v>#N/A</v>
      </c>
      <c r="C2496" s="86" t="e">
        <f>+VLOOKUP(B2496,ARTICULOS!$D$10:$I$699,6)</f>
        <v>#N/A</v>
      </c>
      <c r="D2496" s="212"/>
      <c r="E2496" s="75" t="e">
        <f t="shared" si="80"/>
        <v>#N/A</v>
      </c>
      <c r="F2496" s="80"/>
      <c r="G2496" s="81"/>
      <c r="H2496" s="78"/>
      <c r="I2496" s="78"/>
      <c r="J2496" s="78"/>
    </row>
    <row r="2497" spans="1:10" x14ac:dyDescent="0.2">
      <c r="A2497" s="84">
        <f t="shared" si="81"/>
        <v>2491</v>
      </c>
      <c r="B2497" s="85" t="e">
        <f>+MATCH(D2497,ARTICULOS!$F$10:$F$699,0)</f>
        <v>#N/A</v>
      </c>
      <c r="C2497" s="86" t="e">
        <f>+VLOOKUP(B2497,ARTICULOS!$D$10:$I$699,6)</f>
        <v>#N/A</v>
      </c>
      <c r="D2497" s="212"/>
      <c r="E2497" s="75" t="e">
        <f t="shared" si="80"/>
        <v>#N/A</v>
      </c>
      <c r="F2497" s="80"/>
      <c r="G2497" s="81"/>
      <c r="H2497" s="78"/>
      <c r="I2497" s="78"/>
      <c r="J2497" s="78"/>
    </row>
    <row r="2498" spans="1:10" x14ac:dyDescent="0.2">
      <c r="A2498" s="84">
        <f t="shared" si="81"/>
        <v>2492</v>
      </c>
      <c r="B2498" s="85" t="e">
        <f>+MATCH(D2498,ARTICULOS!$F$10:$F$699,0)</f>
        <v>#N/A</v>
      </c>
      <c r="C2498" s="86" t="e">
        <f>+VLOOKUP(B2498,ARTICULOS!$D$10:$I$699,6)</f>
        <v>#N/A</v>
      </c>
      <c r="D2498" s="212"/>
      <c r="E2498" s="75" t="e">
        <f t="shared" si="80"/>
        <v>#N/A</v>
      </c>
      <c r="F2498" s="80"/>
      <c r="G2498" s="81"/>
      <c r="H2498" s="78"/>
      <c r="I2498" s="78"/>
      <c r="J2498" s="78"/>
    </row>
    <row r="2499" spans="1:10" x14ac:dyDescent="0.2">
      <c r="A2499" s="84">
        <f t="shared" si="81"/>
        <v>2493</v>
      </c>
      <c r="B2499" s="85" t="e">
        <f>+MATCH(D2499,ARTICULOS!$F$10:$F$699,0)</f>
        <v>#N/A</v>
      </c>
      <c r="C2499" s="86" t="e">
        <f>+VLOOKUP(B2499,ARTICULOS!$D$10:$I$699,6)</f>
        <v>#N/A</v>
      </c>
      <c r="D2499" s="212"/>
      <c r="E2499" s="75" t="e">
        <f t="shared" si="80"/>
        <v>#N/A</v>
      </c>
      <c r="F2499" s="80"/>
      <c r="G2499" s="81"/>
      <c r="H2499" s="78"/>
      <c r="I2499" s="78"/>
      <c r="J2499" s="78"/>
    </row>
    <row r="2500" spans="1:10" x14ac:dyDescent="0.2">
      <c r="A2500" s="84">
        <f t="shared" si="81"/>
        <v>2494</v>
      </c>
      <c r="B2500" s="85" t="e">
        <f>+MATCH(D2500,ARTICULOS!$F$10:$F$699,0)</f>
        <v>#N/A</v>
      </c>
      <c r="C2500" s="86" t="e">
        <f>+VLOOKUP(B2500,ARTICULOS!$D$10:$I$699,6)</f>
        <v>#N/A</v>
      </c>
      <c r="D2500" s="212"/>
      <c r="E2500" s="75" t="e">
        <f t="shared" si="80"/>
        <v>#N/A</v>
      </c>
      <c r="F2500" s="80"/>
      <c r="G2500" s="81"/>
      <c r="H2500" s="78"/>
      <c r="I2500" s="78"/>
      <c r="J2500" s="78"/>
    </row>
    <row r="2501" spans="1:10" x14ac:dyDescent="0.2">
      <c r="A2501" s="84">
        <f t="shared" si="81"/>
        <v>2495</v>
      </c>
      <c r="B2501" s="85" t="e">
        <f>+MATCH(D2501,ARTICULOS!$F$10:$F$699,0)</f>
        <v>#N/A</v>
      </c>
      <c r="C2501" s="86" t="e">
        <f>+VLOOKUP(B2501,ARTICULOS!$D$10:$I$699,6)</f>
        <v>#N/A</v>
      </c>
      <c r="D2501" s="212"/>
      <c r="E2501" s="75" t="e">
        <f t="shared" si="80"/>
        <v>#N/A</v>
      </c>
      <c r="F2501" s="80"/>
      <c r="G2501" s="81"/>
      <c r="H2501" s="78"/>
      <c r="I2501" s="78"/>
      <c r="J2501" s="78"/>
    </row>
    <row r="2502" spans="1:10" x14ac:dyDescent="0.2">
      <c r="A2502" s="84">
        <f t="shared" si="81"/>
        <v>2496</v>
      </c>
      <c r="B2502" s="85" t="e">
        <f>+MATCH(D2502,ARTICULOS!$F$10:$F$699,0)</f>
        <v>#N/A</v>
      </c>
      <c r="C2502" s="86" t="e">
        <f>+VLOOKUP(B2502,ARTICULOS!$D$10:$I$699,6)</f>
        <v>#N/A</v>
      </c>
      <c r="D2502" s="212"/>
      <c r="E2502" s="75" t="e">
        <f t="shared" si="80"/>
        <v>#N/A</v>
      </c>
      <c r="F2502" s="80"/>
      <c r="G2502" s="81"/>
      <c r="H2502" s="78"/>
      <c r="I2502" s="78"/>
      <c r="J2502" s="78"/>
    </row>
    <row r="2503" spans="1:10" x14ac:dyDescent="0.2">
      <c r="A2503" s="84">
        <f t="shared" si="81"/>
        <v>2497</v>
      </c>
      <c r="B2503" s="85" t="e">
        <f>+MATCH(D2503,ARTICULOS!$F$10:$F$699,0)</f>
        <v>#N/A</v>
      </c>
      <c r="C2503" s="86" t="e">
        <f>+VLOOKUP(B2503,ARTICULOS!$D$10:$I$699,6)</f>
        <v>#N/A</v>
      </c>
      <c r="D2503" s="212"/>
      <c r="E2503" s="75" t="e">
        <f t="shared" si="80"/>
        <v>#N/A</v>
      </c>
      <c r="F2503" s="80"/>
      <c r="G2503" s="81"/>
      <c r="H2503" s="78"/>
      <c r="I2503" s="78"/>
      <c r="J2503" s="78"/>
    </row>
    <row r="2504" spans="1:10" x14ac:dyDescent="0.2">
      <c r="A2504" s="84">
        <f t="shared" si="81"/>
        <v>2498</v>
      </c>
      <c r="B2504" s="85" t="e">
        <f>+MATCH(D2504,ARTICULOS!$F$10:$F$699,0)</f>
        <v>#N/A</v>
      </c>
      <c r="C2504" s="86" t="e">
        <f>+VLOOKUP(B2504,ARTICULOS!$D$10:$I$699,6)</f>
        <v>#N/A</v>
      </c>
      <c r="D2504" s="212"/>
      <c r="E2504" s="75" t="e">
        <f t="shared" si="80"/>
        <v>#N/A</v>
      </c>
      <c r="F2504" s="80"/>
      <c r="G2504" s="81"/>
      <c r="H2504" s="78"/>
      <c r="I2504" s="78"/>
      <c r="J2504" s="78"/>
    </row>
    <row r="2505" spans="1:10" x14ac:dyDescent="0.2">
      <c r="A2505" s="84">
        <f t="shared" si="81"/>
        <v>2499</v>
      </c>
      <c r="B2505" s="85" t="e">
        <f>+MATCH(D2505,ARTICULOS!$F$10:$F$699,0)</f>
        <v>#N/A</v>
      </c>
      <c r="C2505" s="86" t="e">
        <f>+VLOOKUP(B2505,ARTICULOS!$D$10:$I$699,6)</f>
        <v>#N/A</v>
      </c>
      <c r="D2505" s="212"/>
      <c r="E2505" s="75" t="e">
        <f t="shared" si="80"/>
        <v>#N/A</v>
      </c>
      <c r="F2505" s="80"/>
      <c r="G2505" s="81"/>
      <c r="H2505" s="78"/>
      <c r="I2505" s="78"/>
      <c r="J2505" s="78"/>
    </row>
    <row r="2506" spans="1:10" x14ac:dyDescent="0.2">
      <c r="A2506" s="84">
        <f t="shared" si="81"/>
        <v>2500</v>
      </c>
      <c r="B2506" s="85" t="e">
        <f>+MATCH(D2506,ARTICULOS!$F$10:$F$699,0)</f>
        <v>#N/A</v>
      </c>
      <c r="C2506" s="86" t="e">
        <f>+VLOOKUP(B2506,ARTICULOS!$D$10:$I$699,6)</f>
        <v>#N/A</v>
      </c>
      <c r="D2506" s="212"/>
      <c r="E2506" s="75" t="e">
        <f t="shared" si="80"/>
        <v>#N/A</v>
      </c>
      <c r="F2506" s="80"/>
      <c r="G2506" s="81"/>
      <c r="H2506" s="78"/>
      <c r="I2506" s="78"/>
      <c r="J2506" s="78"/>
    </row>
    <row r="2507" spans="1:10" x14ac:dyDescent="0.2">
      <c r="A2507" s="84">
        <f t="shared" si="81"/>
        <v>2501</v>
      </c>
      <c r="B2507" s="85" t="e">
        <f>+MATCH(D2507,ARTICULOS!$F$10:$F$699,0)</f>
        <v>#N/A</v>
      </c>
      <c r="C2507" s="86" t="e">
        <f>+VLOOKUP(B2507,ARTICULOS!$D$10:$I$699,6)</f>
        <v>#N/A</v>
      </c>
      <c r="D2507" s="212"/>
      <c r="E2507" s="75" t="e">
        <f t="shared" ref="E2507:E2570" si="82">+C2507&amp;F2507</f>
        <v>#N/A</v>
      </c>
      <c r="F2507" s="80"/>
      <c r="G2507" s="81"/>
      <c r="H2507" s="78"/>
      <c r="I2507" s="78"/>
      <c r="J2507" s="78"/>
    </row>
    <row r="2508" spans="1:10" x14ac:dyDescent="0.2">
      <c r="A2508" s="84">
        <f t="shared" si="81"/>
        <v>2502</v>
      </c>
      <c r="B2508" s="85" t="e">
        <f>+MATCH(D2508,ARTICULOS!$F$10:$F$699,0)</f>
        <v>#N/A</v>
      </c>
      <c r="C2508" s="86" t="e">
        <f>+VLOOKUP(B2508,ARTICULOS!$D$10:$I$699,6)</f>
        <v>#N/A</v>
      </c>
      <c r="D2508" s="212"/>
      <c r="E2508" s="75" t="e">
        <f t="shared" si="82"/>
        <v>#N/A</v>
      </c>
      <c r="F2508" s="80"/>
      <c r="G2508" s="81"/>
      <c r="H2508" s="78"/>
      <c r="I2508" s="78"/>
      <c r="J2508" s="78"/>
    </row>
    <row r="2509" spans="1:10" x14ac:dyDescent="0.2">
      <c r="A2509" s="84">
        <f t="shared" si="81"/>
        <v>2503</v>
      </c>
      <c r="B2509" s="85" t="e">
        <f>+MATCH(D2509,ARTICULOS!$F$10:$F$699,0)</f>
        <v>#N/A</v>
      </c>
      <c r="C2509" s="86" t="e">
        <f>+VLOOKUP(B2509,ARTICULOS!$D$10:$I$699,6)</f>
        <v>#N/A</v>
      </c>
      <c r="D2509" s="212"/>
      <c r="E2509" s="75" t="e">
        <f t="shared" si="82"/>
        <v>#N/A</v>
      </c>
      <c r="F2509" s="80"/>
      <c r="G2509" s="81"/>
      <c r="H2509" s="78"/>
      <c r="I2509" s="78"/>
      <c r="J2509" s="78"/>
    </row>
    <row r="2510" spans="1:10" x14ac:dyDescent="0.2">
      <c r="A2510" s="84">
        <f t="shared" si="81"/>
        <v>2504</v>
      </c>
      <c r="B2510" s="85" t="e">
        <f>+MATCH(D2510,ARTICULOS!$F$10:$F$699,0)</f>
        <v>#N/A</v>
      </c>
      <c r="C2510" s="86" t="e">
        <f>+VLOOKUP(B2510,ARTICULOS!$D$10:$I$699,6)</f>
        <v>#N/A</v>
      </c>
      <c r="D2510" s="212"/>
      <c r="E2510" s="75" t="e">
        <f t="shared" si="82"/>
        <v>#N/A</v>
      </c>
      <c r="F2510" s="80"/>
      <c r="G2510" s="81"/>
      <c r="H2510" s="78"/>
      <c r="I2510" s="78"/>
      <c r="J2510" s="78"/>
    </row>
    <row r="2511" spans="1:10" x14ac:dyDescent="0.2">
      <c r="A2511" s="84">
        <f t="shared" si="81"/>
        <v>2505</v>
      </c>
      <c r="B2511" s="85" t="e">
        <f>+MATCH(D2511,ARTICULOS!$F$10:$F$699,0)</f>
        <v>#N/A</v>
      </c>
      <c r="C2511" s="86" t="e">
        <f>+VLOOKUP(B2511,ARTICULOS!$D$10:$I$699,6)</f>
        <v>#N/A</v>
      </c>
      <c r="D2511" s="212"/>
      <c r="E2511" s="75" t="e">
        <f t="shared" si="82"/>
        <v>#N/A</v>
      </c>
      <c r="F2511" s="80"/>
      <c r="G2511" s="81"/>
      <c r="H2511" s="78"/>
      <c r="I2511" s="78"/>
      <c r="J2511" s="78"/>
    </row>
    <row r="2512" spans="1:10" x14ac:dyDescent="0.2">
      <c r="A2512" s="84">
        <f t="shared" si="81"/>
        <v>2506</v>
      </c>
      <c r="B2512" s="85" t="e">
        <f>+MATCH(D2512,ARTICULOS!$F$10:$F$699,0)</f>
        <v>#N/A</v>
      </c>
      <c r="C2512" s="86" t="e">
        <f>+VLOOKUP(B2512,ARTICULOS!$D$10:$I$699,6)</f>
        <v>#N/A</v>
      </c>
      <c r="D2512" s="212"/>
      <c r="E2512" s="75" t="e">
        <f t="shared" si="82"/>
        <v>#N/A</v>
      </c>
      <c r="F2512" s="80"/>
      <c r="G2512" s="81"/>
      <c r="H2512" s="78"/>
      <c r="I2512" s="78"/>
      <c r="J2512" s="78"/>
    </row>
    <row r="2513" spans="1:10" x14ac:dyDescent="0.2">
      <c r="A2513" s="84">
        <f t="shared" si="81"/>
        <v>2507</v>
      </c>
      <c r="B2513" s="85" t="e">
        <f>+MATCH(D2513,ARTICULOS!$F$10:$F$699,0)</f>
        <v>#N/A</v>
      </c>
      <c r="C2513" s="86" t="e">
        <f>+VLOOKUP(B2513,ARTICULOS!$D$10:$I$699,6)</f>
        <v>#N/A</v>
      </c>
      <c r="D2513" s="212"/>
      <c r="E2513" s="75" t="e">
        <f t="shared" si="82"/>
        <v>#N/A</v>
      </c>
      <c r="F2513" s="80"/>
      <c r="G2513" s="81"/>
      <c r="H2513" s="78"/>
      <c r="I2513" s="78"/>
      <c r="J2513" s="78"/>
    </row>
    <row r="2514" spans="1:10" x14ac:dyDescent="0.2">
      <c r="A2514" s="84">
        <f t="shared" si="81"/>
        <v>2508</v>
      </c>
      <c r="B2514" s="85" t="e">
        <f>+MATCH(D2514,ARTICULOS!$F$10:$F$699,0)</f>
        <v>#N/A</v>
      </c>
      <c r="C2514" s="86" t="e">
        <f>+VLOOKUP(B2514,ARTICULOS!$D$10:$I$699,6)</f>
        <v>#N/A</v>
      </c>
      <c r="D2514" s="212"/>
      <c r="E2514" s="75" t="e">
        <f t="shared" si="82"/>
        <v>#N/A</v>
      </c>
      <c r="F2514" s="80"/>
      <c r="G2514" s="81"/>
      <c r="H2514" s="78"/>
      <c r="I2514" s="78"/>
      <c r="J2514" s="78"/>
    </row>
    <row r="2515" spans="1:10" x14ac:dyDescent="0.2">
      <c r="A2515" s="84">
        <f t="shared" si="81"/>
        <v>2509</v>
      </c>
      <c r="B2515" s="85" t="e">
        <f>+MATCH(D2515,ARTICULOS!$F$10:$F$699,0)</f>
        <v>#N/A</v>
      </c>
      <c r="C2515" s="86" t="e">
        <f>+VLOOKUP(B2515,ARTICULOS!$D$10:$I$699,6)</f>
        <v>#N/A</v>
      </c>
      <c r="D2515" s="212"/>
      <c r="E2515" s="75" t="e">
        <f t="shared" si="82"/>
        <v>#N/A</v>
      </c>
      <c r="F2515" s="80"/>
      <c r="G2515" s="81"/>
      <c r="H2515" s="78"/>
      <c r="I2515" s="78"/>
      <c r="J2515" s="78"/>
    </row>
    <row r="2516" spans="1:10" x14ac:dyDescent="0.2">
      <c r="A2516" s="84">
        <f t="shared" si="81"/>
        <v>2510</v>
      </c>
      <c r="B2516" s="85" t="e">
        <f>+MATCH(D2516,ARTICULOS!$F$10:$F$699,0)</f>
        <v>#N/A</v>
      </c>
      <c r="C2516" s="86" t="e">
        <f>+VLOOKUP(B2516,ARTICULOS!$D$10:$I$699,6)</f>
        <v>#N/A</v>
      </c>
      <c r="D2516" s="212"/>
      <c r="E2516" s="75" t="e">
        <f t="shared" si="82"/>
        <v>#N/A</v>
      </c>
      <c r="F2516" s="80"/>
      <c r="G2516" s="81"/>
      <c r="H2516" s="78"/>
      <c r="I2516" s="78"/>
      <c r="J2516" s="78"/>
    </row>
    <row r="2517" spans="1:10" x14ac:dyDescent="0.2">
      <c r="A2517" s="84">
        <f t="shared" si="81"/>
        <v>2511</v>
      </c>
      <c r="B2517" s="85" t="e">
        <f>+MATCH(D2517,ARTICULOS!$F$10:$F$699,0)</f>
        <v>#N/A</v>
      </c>
      <c r="C2517" s="86" t="e">
        <f>+VLOOKUP(B2517,ARTICULOS!$D$10:$I$699,6)</f>
        <v>#N/A</v>
      </c>
      <c r="D2517" s="212"/>
      <c r="E2517" s="75" t="e">
        <f t="shared" si="82"/>
        <v>#N/A</v>
      </c>
      <c r="F2517" s="80"/>
      <c r="G2517" s="81"/>
      <c r="H2517" s="78"/>
      <c r="I2517" s="78"/>
      <c r="J2517" s="78"/>
    </row>
    <row r="2518" spans="1:10" x14ac:dyDescent="0.2">
      <c r="A2518" s="84">
        <f t="shared" si="81"/>
        <v>2512</v>
      </c>
      <c r="B2518" s="85" t="e">
        <f>+MATCH(D2518,ARTICULOS!$F$10:$F$699,0)</f>
        <v>#N/A</v>
      </c>
      <c r="C2518" s="86" t="e">
        <f>+VLOOKUP(B2518,ARTICULOS!$D$10:$I$699,6)</f>
        <v>#N/A</v>
      </c>
      <c r="D2518" s="212"/>
      <c r="E2518" s="75" t="e">
        <f t="shared" si="82"/>
        <v>#N/A</v>
      </c>
      <c r="F2518" s="80"/>
      <c r="G2518" s="81"/>
      <c r="H2518" s="78"/>
      <c r="I2518" s="78"/>
      <c r="J2518" s="78"/>
    </row>
    <row r="2519" spans="1:10" x14ac:dyDescent="0.2">
      <c r="A2519" s="84">
        <f t="shared" si="81"/>
        <v>2513</v>
      </c>
      <c r="B2519" s="85" t="e">
        <f>+MATCH(D2519,ARTICULOS!$F$10:$F$699,0)</f>
        <v>#N/A</v>
      </c>
      <c r="C2519" s="86" t="e">
        <f>+VLOOKUP(B2519,ARTICULOS!$D$10:$I$699,6)</f>
        <v>#N/A</v>
      </c>
      <c r="D2519" s="212"/>
      <c r="E2519" s="75" t="e">
        <f t="shared" si="82"/>
        <v>#N/A</v>
      </c>
      <c r="F2519" s="80"/>
      <c r="G2519" s="81"/>
      <c r="H2519" s="78"/>
      <c r="I2519" s="78"/>
      <c r="J2519" s="78"/>
    </row>
    <row r="2520" spans="1:10" x14ac:dyDescent="0.2">
      <c r="A2520" s="84">
        <f t="shared" si="81"/>
        <v>2514</v>
      </c>
      <c r="B2520" s="85" t="e">
        <f>+MATCH(D2520,ARTICULOS!$F$10:$F$699,0)</f>
        <v>#N/A</v>
      </c>
      <c r="C2520" s="86" t="e">
        <f>+VLOOKUP(B2520,ARTICULOS!$D$10:$I$699,6)</f>
        <v>#N/A</v>
      </c>
      <c r="D2520" s="212"/>
      <c r="E2520" s="75" t="e">
        <f t="shared" si="82"/>
        <v>#N/A</v>
      </c>
      <c r="F2520" s="80"/>
      <c r="G2520" s="81"/>
      <c r="H2520" s="78"/>
      <c r="I2520" s="78"/>
      <c r="J2520" s="78"/>
    </row>
    <row r="2521" spans="1:10" x14ac:dyDescent="0.2">
      <c r="A2521" s="84">
        <f t="shared" si="81"/>
        <v>2515</v>
      </c>
      <c r="B2521" s="85" t="e">
        <f>+MATCH(D2521,ARTICULOS!$F$10:$F$699,0)</f>
        <v>#N/A</v>
      </c>
      <c r="C2521" s="86" t="e">
        <f>+VLOOKUP(B2521,ARTICULOS!$D$10:$I$699,6)</f>
        <v>#N/A</v>
      </c>
      <c r="D2521" s="212"/>
      <c r="E2521" s="75" t="e">
        <f t="shared" si="82"/>
        <v>#N/A</v>
      </c>
      <c r="F2521" s="80"/>
      <c r="G2521" s="81"/>
      <c r="H2521" s="78"/>
      <c r="I2521" s="78"/>
      <c r="J2521" s="78"/>
    </row>
    <row r="2522" spans="1:10" x14ac:dyDescent="0.2">
      <c r="A2522" s="84">
        <f t="shared" si="81"/>
        <v>2516</v>
      </c>
      <c r="B2522" s="85" t="e">
        <f>+MATCH(D2522,ARTICULOS!$F$10:$F$699,0)</f>
        <v>#N/A</v>
      </c>
      <c r="C2522" s="86" t="e">
        <f>+VLOOKUP(B2522,ARTICULOS!$D$10:$I$699,6)</f>
        <v>#N/A</v>
      </c>
      <c r="D2522" s="212"/>
      <c r="E2522" s="75" t="e">
        <f t="shared" si="82"/>
        <v>#N/A</v>
      </c>
      <c r="F2522" s="80"/>
      <c r="G2522" s="81"/>
      <c r="H2522" s="78"/>
      <c r="I2522" s="78"/>
      <c r="J2522" s="78"/>
    </row>
    <row r="2523" spans="1:10" x14ac:dyDescent="0.2">
      <c r="A2523" s="84">
        <f t="shared" si="81"/>
        <v>2517</v>
      </c>
      <c r="B2523" s="85" t="e">
        <f>+MATCH(D2523,ARTICULOS!$F$10:$F$699,0)</f>
        <v>#N/A</v>
      </c>
      <c r="C2523" s="86" t="e">
        <f>+VLOOKUP(B2523,ARTICULOS!$D$10:$I$699,6)</f>
        <v>#N/A</v>
      </c>
      <c r="D2523" s="212"/>
      <c r="E2523" s="75" t="e">
        <f t="shared" si="82"/>
        <v>#N/A</v>
      </c>
      <c r="F2523" s="80"/>
      <c r="G2523" s="81"/>
      <c r="H2523" s="78"/>
      <c r="I2523" s="78"/>
      <c r="J2523" s="78"/>
    </row>
    <row r="2524" spans="1:10" x14ac:dyDescent="0.2">
      <c r="A2524" s="84">
        <f t="shared" si="81"/>
        <v>2518</v>
      </c>
      <c r="B2524" s="85" t="e">
        <f>+MATCH(D2524,ARTICULOS!$F$10:$F$699,0)</f>
        <v>#N/A</v>
      </c>
      <c r="C2524" s="86" t="e">
        <f>+VLOOKUP(B2524,ARTICULOS!$D$10:$I$699,6)</f>
        <v>#N/A</v>
      </c>
      <c r="D2524" s="212"/>
      <c r="E2524" s="75" t="e">
        <f t="shared" si="82"/>
        <v>#N/A</v>
      </c>
      <c r="F2524" s="80"/>
      <c r="G2524" s="81"/>
      <c r="H2524" s="78"/>
      <c r="I2524" s="78"/>
      <c r="J2524" s="78"/>
    </row>
    <row r="2525" spans="1:10" x14ac:dyDescent="0.2">
      <c r="A2525" s="84">
        <f t="shared" si="81"/>
        <v>2519</v>
      </c>
      <c r="B2525" s="85" t="e">
        <f>+MATCH(D2525,ARTICULOS!$F$10:$F$699,0)</f>
        <v>#N/A</v>
      </c>
      <c r="C2525" s="86" t="e">
        <f>+VLOOKUP(B2525,ARTICULOS!$D$10:$I$699,6)</f>
        <v>#N/A</v>
      </c>
      <c r="D2525" s="212"/>
      <c r="E2525" s="75" t="e">
        <f t="shared" si="82"/>
        <v>#N/A</v>
      </c>
      <c r="F2525" s="80"/>
      <c r="G2525" s="81"/>
      <c r="H2525" s="78"/>
      <c r="I2525" s="78"/>
      <c r="J2525" s="78"/>
    </row>
    <row r="2526" spans="1:10" x14ac:dyDescent="0.2">
      <c r="A2526" s="84">
        <f t="shared" si="81"/>
        <v>2520</v>
      </c>
      <c r="B2526" s="85" t="e">
        <f>+MATCH(D2526,ARTICULOS!$F$10:$F$699,0)</f>
        <v>#N/A</v>
      </c>
      <c r="C2526" s="86" t="e">
        <f>+VLOOKUP(B2526,ARTICULOS!$D$10:$I$699,6)</f>
        <v>#N/A</v>
      </c>
      <c r="D2526" s="212"/>
      <c r="E2526" s="75" t="e">
        <f t="shared" si="82"/>
        <v>#N/A</v>
      </c>
      <c r="F2526" s="80"/>
      <c r="G2526" s="81"/>
      <c r="H2526" s="78"/>
      <c r="I2526" s="78"/>
      <c r="J2526" s="78"/>
    </row>
    <row r="2527" spans="1:10" x14ac:dyDescent="0.2">
      <c r="A2527" s="84">
        <f t="shared" si="81"/>
        <v>2521</v>
      </c>
      <c r="B2527" s="85" t="e">
        <f>+MATCH(D2527,ARTICULOS!$F$10:$F$699,0)</f>
        <v>#N/A</v>
      </c>
      <c r="C2527" s="86" t="e">
        <f>+VLOOKUP(B2527,ARTICULOS!$D$10:$I$699,6)</f>
        <v>#N/A</v>
      </c>
      <c r="D2527" s="212"/>
      <c r="E2527" s="75" t="e">
        <f t="shared" si="82"/>
        <v>#N/A</v>
      </c>
      <c r="F2527" s="80"/>
      <c r="G2527" s="81"/>
      <c r="H2527" s="78"/>
      <c r="I2527" s="78"/>
      <c r="J2527" s="78"/>
    </row>
    <row r="2528" spans="1:10" x14ac:dyDescent="0.2">
      <c r="A2528" s="84">
        <f t="shared" si="81"/>
        <v>2522</v>
      </c>
      <c r="B2528" s="85" t="e">
        <f>+MATCH(D2528,ARTICULOS!$F$10:$F$699,0)</f>
        <v>#N/A</v>
      </c>
      <c r="C2528" s="86" t="e">
        <f>+VLOOKUP(B2528,ARTICULOS!$D$10:$I$699,6)</f>
        <v>#N/A</v>
      </c>
      <c r="D2528" s="212"/>
      <c r="E2528" s="75" t="e">
        <f t="shared" si="82"/>
        <v>#N/A</v>
      </c>
      <c r="F2528" s="80"/>
      <c r="G2528" s="81"/>
      <c r="H2528" s="78"/>
      <c r="I2528" s="78"/>
      <c r="J2528" s="78"/>
    </row>
    <row r="2529" spans="1:10" x14ac:dyDescent="0.2">
      <c r="A2529" s="84">
        <f t="shared" si="81"/>
        <v>2523</v>
      </c>
      <c r="B2529" s="85" t="e">
        <f>+MATCH(D2529,ARTICULOS!$F$10:$F$699,0)</f>
        <v>#N/A</v>
      </c>
      <c r="C2529" s="86" t="e">
        <f>+VLOOKUP(B2529,ARTICULOS!$D$10:$I$699,6)</f>
        <v>#N/A</v>
      </c>
      <c r="D2529" s="212"/>
      <c r="E2529" s="75" t="e">
        <f t="shared" si="82"/>
        <v>#N/A</v>
      </c>
      <c r="F2529" s="80"/>
      <c r="G2529" s="81"/>
      <c r="H2529" s="78"/>
      <c r="I2529" s="78"/>
      <c r="J2529" s="78"/>
    </row>
    <row r="2530" spans="1:10" x14ac:dyDescent="0.2">
      <c r="A2530" s="84">
        <f t="shared" si="81"/>
        <v>2524</v>
      </c>
      <c r="B2530" s="85" t="e">
        <f>+MATCH(D2530,ARTICULOS!$F$10:$F$699,0)</f>
        <v>#N/A</v>
      </c>
      <c r="C2530" s="86" t="e">
        <f>+VLOOKUP(B2530,ARTICULOS!$D$10:$I$699,6)</f>
        <v>#N/A</v>
      </c>
      <c r="D2530" s="212"/>
      <c r="E2530" s="75" t="e">
        <f t="shared" si="82"/>
        <v>#N/A</v>
      </c>
      <c r="F2530" s="80"/>
      <c r="G2530" s="81"/>
      <c r="H2530" s="78"/>
      <c r="I2530" s="78"/>
      <c r="J2530" s="78"/>
    </row>
    <row r="2531" spans="1:10" x14ac:dyDescent="0.2">
      <c r="A2531" s="84">
        <f t="shared" si="81"/>
        <v>2525</v>
      </c>
      <c r="B2531" s="85" t="e">
        <f>+MATCH(D2531,ARTICULOS!$F$10:$F$699,0)</f>
        <v>#N/A</v>
      </c>
      <c r="C2531" s="86" t="e">
        <f>+VLOOKUP(B2531,ARTICULOS!$D$10:$I$699,6)</f>
        <v>#N/A</v>
      </c>
      <c r="D2531" s="212"/>
      <c r="E2531" s="75" t="e">
        <f t="shared" si="82"/>
        <v>#N/A</v>
      </c>
      <c r="F2531" s="80"/>
      <c r="G2531" s="81"/>
      <c r="H2531" s="78"/>
      <c r="I2531" s="78"/>
      <c r="J2531" s="78"/>
    </row>
    <row r="2532" spans="1:10" x14ac:dyDescent="0.2">
      <c r="A2532" s="84">
        <f t="shared" si="81"/>
        <v>2526</v>
      </c>
      <c r="B2532" s="85" t="e">
        <f>+MATCH(D2532,ARTICULOS!$F$10:$F$699,0)</f>
        <v>#N/A</v>
      </c>
      <c r="C2532" s="86" t="e">
        <f>+VLOOKUP(B2532,ARTICULOS!$D$10:$I$699,6)</f>
        <v>#N/A</v>
      </c>
      <c r="D2532" s="212"/>
      <c r="E2532" s="75" t="e">
        <f t="shared" si="82"/>
        <v>#N/A</v>
      </c>
      <c r="F2532" s="80"/>
      <c r="G2532" s="81"/>
      <c r="H2532" s="78"/>
      <c r="I2532" s="78"/>
      <c r="J2532" s="78"/>
    </row>
    <row r="2533" spans="1:10" x14ac:dyDescent="0.2">
      <c r="A2533" s="84">
        <f t="shared" si="81"/>
        <v>2527</v>
      </c>
      <c r="B2533" s="85" t="e">
        <f>+MATCH(D2533,ARTICULOS!$F$10:$F$699,0)</f>
        <v>#N/A</v>
      </c>
      <c r="C2533" s="86" t="e">
        <f>+VLOOKUP(B2533,ARTICULOS!$D$10:$I$699,6)</f>
        <v>#N/A</v>
      </c>
      <c r="D2533" s="212"/>
      <c r="E2533" s="75" t="e">
        <f t="shared" si="82"/>
        <v>#N/A</v>
      </c>
      <c r="F2533" s="80"/>
      <c r="G2533" s="81"/>
      <c r="H2533" s="78"/>
      <c r="I2533" s="78"/>
      <c r="J2533" s="78"/>
    </row>
    <row r="2534" spans="1:10" x14ac:dyDescent="0.2">
      <c r="A2534" s="84">
        <f t="shared" si="81"/>
        <v>2528</v>
      </c>
      <c r="B2534" s="85" t="e">
        <f>+MATCH(D2534,ARTICULOS!$F$10:$F$699,0)</f>
        <v>#N/A</v>
      </c>
      <c r="C2534" s="86" t="e">
        <f>+VLOOKUP(B2534,ARTICULOS!$D$10:$I$699,6)</f>
        <v>#N/A</v>
      </c>
      <c r="D2534" s="212"/>
      <c r="E2534" s="75" t="e">
        <f t="shared" si="82"/>
        <v>#N/A</v>
      </c>
      <c r="F2534" s="80"/>
      <c r="G2534" s="81"/>
      <c r="H2534" s="78"/>
      <c r="I2534" s="78"/>
      <c r="J2534" s="78"/>
    </row>
    <row r="2535" spans="1:10" x14ac:dyDescent="0.2">
      <c r="A2535" s="84">
        <f t="shared" si="81"/>
        <v>2529</v>
      </c>
      <c r="B2535" s="85" t="e">
        <f>+MATCH(D2535,ARTICULOS!$F$10:$F$699,0)</f>
        <v>#N/A</v>
      </c>
      <c r="C2535" s="86" t="e">
        <f>+VLOOKUP(B2535,ARTICULOS!$D$10:$I$699,6)</f>
        <v>#N/A</v>
      </c>
      <c r="D2535" s="212"/>
      <c r="E2535" s="75" t="e">
        <f t="shared" si="82"/>
        <v>#N/A</v>
      </c>
      <c r="F2535" s="80"/>
      <c r="G2535" s="81"/>
      <c r="H2535" s="78"/>
      <c r="I2535" s="78"/>
      <c r="J2535" s="78"/>
    </row>
    <row r="2536" spans="1:10" x14ac:dyDescent="0.2">
      <c r="A2536" s="84">
        <f t="shared" si="81"/>
        <v>2530</v>
      </c>
      <c r="B2536" s="85" t="e">
        <f>+MATCH(D2536,ARTICULOS!$F$10:$F$699,0)</f>
        <v>#N/A</v>
      </c>
      <c r="C2536" s="86" t="e">
        <f>+VLOOKUP(B2536,ARTICULOS!$D$10:$I$699,6)</f>
        <v>#N/A</v>
      </c>
      <c r="D2536" s="212"/>
      <c r="E2536" s="75" t="e">
        <f t="shared" si="82"/>
        <v>#N/A</v>
      </c>
      <c r="F2536" s="80"/>
      <c r="G2536" s="81"/>
      <c r="H2536" s="78"/>
      <c r="I2536" s="78"/>
      <c r="J2536" s="78"/>
    </row>
    <row r="2537" spans="1:10" x14ac:dyDescent="0.2">
      <c r="A2537" s="84">
        <f t="shared" ref="A2537:A2600" si="83">ROW()-6</f>
        <v>2531</v>
      </c>
      <c r="B2537" s="85" t="e">
        <f>+MATCH(D2537,ARTICULOS!$F$10:$F$699,0)</f>
        <v>#N/A</v>
      </c>
      <c r="C2537" s="86" t="e">
        <f>+VLOOKUP(B2537,ARTICULOS!$D$10:$I$699,6)</f>
        <v>#N/A</v>
      </c>
      <c r="D2537" s="212"/>
      <c r="E2537" s="75" t="e">
        <f t="shared" si="82"/>
        <v>#N/A</v>
      </c>
      <c r="F2537" s="80"/>
      <c r="G2537" s="81"/>
      <c r="H2537" s="78"/>
      <c r="I2537" s="78"/>
      <c r="J2537" s="78"/>
    </row>
    <row r="2538" spans="1:10" x14ac:dyDescent="0.2">
      <c r="A2538" s="84">
        <f t="shared" si="83"/>
        <v>2532</v>
      </c>
      <c r="B2538" s="85" t="e">
        <f>+MATCH(D2538,ARTICULOS!$F$10:$F$699,0)</f>
        <v>#N/A</v>
      </c>
      <c r="C2538" s="86" t="e">
        <f>+VLOOKUP(B2538,ARTICULOS!$D$10:$I$699,6)</f>
        <v>#N/A</v>
      </c>
      <c r="D2538" s="212"/>
      <c r="E2538" s="75" t="e">
        <f t="shared" si="82"/>
        <v>#N/A</v>
      </c>
      <c r="F2538" s="80"/>
      <c r="G2538" s="81"/>
      <c r="H2538" s="78"/>
      <c r="I2538" s="78"/>
      <c r="J2538" s="78"/>
    </row>
    <row r="2539" spans="1:10" x14ac:dyDescent="0.2">
      <c r="A2539" s="84">
        <f t="shared" si="83"/>
        <v>2533</v>
      </c>
      <c r="B2539" s="85" t="e">
        <f>+MATCH(D2539,ARTICULOS!$F$10:$F$699,0)</f>
        <v>#N/A</v>
      </c>
      <c r="C2539" s="86" t="e">
        <f>+VLOOKUP(B2539,ARTICULOS!$D$10:$I$699,6)</f>
        <v>#N/A</v>
      </c>
      <c r="D2539" s="212"/>
      <c r="E2539" s="75" t="e">
        <f t="shared" si="82"/>
        <v>#N/A</v>
      </c>
      <c r="F2539" s="80"/>
      <c r="G2539" s="81"/>
      <c r="H2539" s="78"/>
      <c r="I2539" s="78"/>
      <c r="J2539" s="78"/>
    </row>
    <row r="2540" spans="1:10" x14ac:dyDescent="0.2">
      <c r="A2540" s="84">
        <f t="shared" si="83"/>
        <v>2534</v>
      </c>
      <c r="B2540" s="85" t="e">
        <f>+MATCH(D2540,ARTICULOS!$F$10:$F$699,0)</f>
        <v>#N/A</v>
      </c>
      <c r="C2540" s="86" t="e">
        <f>+VLOOKUP(B2540,ARTICULOS!$D$10:$I$699,6)</f>
        <v>#N/A</v>
      </c>
      <c r="D2540" s="212"/>
      <c r="E2540" s="75" t="e">
        <f t="shared" si="82"/>
        <v>#N/A</v>
      </c>
      <c r="F2540" s="80"/>
      <c r="G2540" s="81"/>
      <c r="H2540" s="78"/>
      <c r="I2540" s="78"/>
      <c r="J2540" s="78"/>
    </row>
    <row r="2541" spans="1:10" x14ac:dyDescent="0.2">
      <c r="A2541" s="84">
        <f t="shared" si="83"/>
        <v>2535</v>
      </c>
      <c r="B2541" s="85" t="e">
        <f>+MATCH(D2541,ARTICULOS!$F$10:$F$699,0)</f>
        <v>#N/A</v>
      </c>
      <c r="C2541" s="86" t="e">
        <f>+VLOOKUP(B2541,ARTICULOS!$D$10:$I$699,6)</f>
        <v>#N/A</v>
      </c>
      <c r="D2541" s="212"/>
      <c r="E2541" s="75" t="e">
        <f t="shared" si="82"/>
        <v>#N/A</v>
      </c>
      <c r="F2541" s="80"/>
      <c r="G2541" s="81"/>
      <c r="H2541" s="78"/>
      <c r="I2541" s="78"/>
      <c r="J2541" s="78"/>
    </row>
    <row r="2542" spans="1:10" x14ac:dyDescent="0.2">
      <c r="A2542" s="84">
        <f t="shared" si="83"/>
        <v>2536</v>
      </c>
      <c r="B2542" s="85" t="e">
        <f>+MATCH(D2542,ARTICULOS!$F$10:$F$699,0)</f>
        <v>#N/A</v>
      </c>
      <c r="C2542" s="86" t="e">
        <f>+VLOOKUP(B2542,ARTICULOS!$D$10:$I$699,6)</f>
        <v>#N/A</v>
      </c>
      <c r="D2542" s="212"/>
      <c r="E2542" s="75" t="e">
        <f t="shared" si="82"/>
        <v>#N/A</v>
      </c>
      <c r="F2542" s="80"/>
      <c r="G2542" s="81"/>
      <c r="H2542" s="78"/>
      <c r="I2542" s="78"/>
      <c r="J2542" s="78"/>
    </row>
    <row r="2543" spans="1:10" x14ac:dyDescent="0.2">
      <c r="A2543" s="84">
        <f t="shared" si="83"/>
        <v>2537</v>
      </c>
      <c r="B2543" s="85" t="e">
        <f>+MATCH(D2543,ARTICULOS!$F$10:$F$699,0)</f>
        <v>#N/A</v>
      </c>
      <c r="C2543" s="86" t="e">
        <f>+VLOOKUP(B2543,ARTICULOS!$D$10:$I$699,6)</f>
        <v>#N/A</v>
      </c>
      <c r="D2543" s="212"/>
      <c r="E2543" s="75" t="e">
        <f t="shared" si="82"/>
        <v>#N/A</v>
      </c>
      <c r="F2543" s="80"/>
      <c r="G2543" s="81"/>
      <c r="H2543" s="78"/>
      <c r="I2543" s="78"/>
      <c r="J2543" s="78"/>
    </row>
    <row r="2544" spans="1:10" x14ac:dyDescent="0.2">
      <c r="A2544" s="84">
        <f t="shared" si="83"/>
        <v>2538</v>
      </c>
      <c r="B2544" s="85" t="e">
        <f>+MATCH(D2544,ARTICULOS!$F$10:$F$699,0)</f>
        <v>#N/A</v>
      </c>
      <c r="C2544" s="86" t="e">
        <f>+VLOOKUP(B2544,ARTICULOS!$D$10:$I$699,6)</f>
        <v>#N/A</v>
      </c>
      <c r="D2544" s="212"/>
      <c r="E2544" s="75" t="e">
        <f t="shared" si="82"/>
        <v>#N/A</v>
      </c>
      <c r="F2544" s="80"/>
      <c r="G2544" s="81"/>
      <c r="H2544" s="78"/>
      <c r="I2544" s="78"/>
      <c r="J2544" s="78"/>
    </row>
    <row r="2545" spans="1:10" x14ac:dyDescent="0.2">
      <c r="A2545" s="84">
        <f t="shared" si="83"/>
        <v>2539</v>
      </c>
      <c r="B2545" s="85" t="e">
        <f>+MATCH(D2545,ARTICULOS!$F$10:$F$699,0)</f>
        <v>#N/A</v>
      </c>
      <c r="C2545" s="86" t="e">
        <f>+VLOOKUP(B2545,ARTICULOS!$D$10:$I$699,6)</f>
        <v>#N/A</v>
      </c>
      <c r="D2545" s="212"/>
      <c r="E2545" s="75" t="e">
        <f t="shared" si="82"/>
        <v>#N/A</v>
      </c>
      <c r="F2545" s="80"/>
      <c r="G2545" s="81"/>
      <c r="H2545" s="78"/>
      <c r="I2545" s="78"/>
      <c r="J2545" s="78"/>
    </row>
    <row r="2546" spans="1:10" x14ac:dyDescent="0.2">
      <c r="A2546" s="84">
        <f t="shared" si="83"/>
        <v>2540</v>
      </c>
      <c r="B2546" s="85" t="e">
        <f>+MATCH(D2546,ARTICULOS!$F$10:$F$699,0)</f>
        <v>#N/A</v>
      </c>
      <c r="C2546" s="86" t="e">
        <f>+VLOOKUP(B2546,ARTICULOS!$D$10:$I$699,6)</f>
        <v>#N/A</v>
      </c>
      <c r="D2546" s="212"/>
      <c r="E2546" s="75" t="e">
        <f t="shared" si="82"/>
        <v>#N/A</v>
      </c>
      <c r="F2546" s="80"/>
      <c r="G2546" s="81"/>
      <c r="H2546" s="78"/>
      <c r="I2546" s="78"/>
      <c r="J2546" s="78"/>
    </row>
    <row r="2547" spans="1:10" x14ac:dyDescent="0.2">
      <c r="A2547" s="84">
        <f t="shared" si="83"/>
        <v>2541</v>
      </c>
      <c r="B2547" s="85" t="e">
        <f>+MATCH(D2547,ARTICULOS!$F$10:$F$699,0)</f>
        <v>#N/A</v>
      </c>
      <c r="C2547" s="86" t="e">
        <f>+VLOOKUP(B2547,ARTICULOS!$D$10:$I$699,6)</f>
        <v>#N/A</v>
      </c>
      <c r="D2547" s="212"/>
      <c r="E2547" s="75" t="e">
        <f t="shared" si="82"/>
        <v>#N/A</v>
      </c>
      <c r="F2547" s="80"/>
      <c r="G2547" s="81"/>
      <c r="H2547" s="78"/>
      <c r="I2547" s="78"/>
      <c r="J2547" s="78"/>
    </row>
    <row r="2548" spans="1:10" x14ac:dyDescent="0.2">
      <c r="A2548" s="84">
        <f t="shared" si="83"/>
        <v>2542</v>
      </c>
      <c r="B2548" s="85" t="e">
        <f>+MATCH(D2548,ARTICULOS!$F$10:$F$699,0)</f>
        <v>#N/A</v>
      </c>
      <c r="C2548" s="86" t="e">
        <f>+VLOOKUP(B2548,ARTICULOS!$D$10:$I$699,6)</f>
        <v>#N/A</v>
      </c>
      <c r="D2548" s="212"/>
      <c r="E2548" s="75" t="e">
        <f t="shared" si="82"/>
        <v>#N/A</v>
      </c>
      <c r="F2548" s="80"/>
      <c r="G2548" s="81"/>
      <c r="H2548" s="78"/>
      <c r="I2548" s="78"/>
      <c r="J2548" s="78"/>
    </row>
    <row r="2549" spans="1:10" x14ac:dyDescent="0.2">
      <c r="A2549" s="84">
        <f t="shared" si="83"/>
        <v>2543</v>
      </c>
      <c r="B2549" s="85" t="e">
        <f>+MATCH(D2549,ARTICULOS!$F$10:$F$699,0)</f>
        <v>#N/A</v>
      </c>
      <c r="C2549" s="86" t="e">
        <f>+VLOOKUP(B2549,ARTICULOS!$D$10:$I$699,6)</f>
        <v>#N/A</v>
      </c>
      <c r="D2549" s="212"/>
      <c r="E2549" s="75" t="e">
        <f t="shared" si="82"/>
        <v>#N/A</v>
      </c>
      <c r="F2549" s="80"/>
      <c r="G2549" s="81"/>
      <c r="H2549" s="78"/>
      <c r="I2549" s="78"/>
      <c r="J2549" s="78"/>
    </row>
    <row r="2550" spans="1:10" x14ac:dyDescent="0.2">
      <c r="A2550" s="84">
        <f t="shared" si="83"/>
        <v>2544</v>
      </c>
      <c r="B2550" s="85" t="e">
        <f>+MATCH(D2550,ARTICULOS!$F$10:$F$699,0)</f>
        <v>#N/A</v>
      </c>
      <c r="C2550" s="86" t="e">
        <f>+VLOOKUP(B2550,ARTICULOS!$D$10:$I$699,6)</f>
        <v>#N/A</v>
      </c>
      <c r="D2550" s="212"/>
      <c r="E2550" s="75" t="e">
        <f t="shared" si="82"/>
        <v>#N/A</v>
      </c>
      <c r="F2550" s="80"/>
      <c r="G2550" s="81"/>
      <c r="H2550" s="78"/>
      <c r="I2550" s="78"/>
      <c r="J2550" s="78"/>
    </row>
    <row r="2551" spans="1:10" x14ac:dyDescent="0.2">
      <c r="A2551" s="84">
        <f t="shared" si="83"/>
        <v>2545</v>
      </c>
      <c r="B2551" s="85" t="e">
        <f>+MATCH(D2551,ARTICULOS!$F$10:$F$699,0)</f>
        <v>#N/A</v>
      </c>
      <c r="C2551" s="86" t="e">
        <f>+VLOOKUP(B2551,ARTICULOS!$D$10:$I$699,6)</f>
        <v>#N/A</v>
      </c>
      <c r="D2551" s="212"/>
      <c r="E2551" s="75" t="e">
        <f t="shared" si="82"/>
        <v>#N/A</v>
      </c>
      <c r="F2551" s="80"/>
      <c r="G2551" s="81"/>
      <c r="H2551" s="78"/>
      <c r="I2551" s="78"/>
      <c r="J2551" s="78"/>
    </row>
    <row r="2552" spans="1:10" x14ac:dyDescent="0.2">
      <c r="A2552" s="84">
        <f t="shared" si="83"/>
        <v>2546</v>
      </c>
      <c r="B2552" s="85" t="e">
        <f>+MATCH(D2552,ARTICULOS!$F$10:$F$699,0)</f>
        <v>#N/A</v>
      </c>
      <c r="C2552" s="86" t="e">
        <f>+VLOOKUP(B2552,ARTICULOS!$D$10:$I$699,6)</f>
        <v>#N/A</v>
      </c>
      <c r="D2552" s="212"/>
      <c r="E2552" s="75" t="e">
        <f t="shared" si="82"/>
        <v>#N/A</v>
      </c>
      <c r="F2552" s="80"/>
      <c r="G2552" s="81"/>
      <c r="H2552" s="78"/>
      <c r="I2552" s="78"/>
      <c r="J2552" s="78"/>
    </row>
    <row r="2553" spans="1:10" x14ac:dyDescent="0.2">
      <c r="A2553" s="84">
        <f t="shared" si="83"/>
        <v>2547</v>
      </c>
      <c r="B2553" s="85" t="e">
        <f>+MATCH(D2553,ARTICULOS!$F$10:$F$699,0)</f>
        <v>#N/A</v>
      </c>
      <c r="C2553" s="86" t="e">
        <f>+VLOOKUP(B2553,ARTICULOS!$D$10:$I$699,6)</f>
        <v>#N/A</v>
      </c>
      <c r="D2553" s="212"/>
      <c r="E2553" s="75" t="e">
        <f t="shared" si="82"/>
        <v>#N/A</v>
      </c>
      <c r="F2553" s="80"/>
      <c r="G2553" s="81"/>
      <c r="H2553" s="78"/>
      <c r="I2553" s="78"/>
      <c r="J2553" s="78"/>
    </row>
    <row r="2554" spans="1:10" x14ac:dyDescent="0.2">
      <c r="A2554" s="84">
        <f t="shared" si="83"/>
        <v>2548</v>
      </c>
      <c r="B2554" s="85" t="e">
        <f>+MATCH(D2554,ARTICULOS!$F$10:$F$699,0)</f>
        <v>#N/A</v>
      </c>
      <c r="C2554" s="86" t="e">
        <f>+VLOOKUP(B2554,ARTICULOS!$D$10:$I$699,6)</f>
        <v>#N/A</v>
      </c>
      <c r="D2554" s="212"/>
      <c r="E2554" s="75" t="e">
        <f t="shared" si="82"/>
        <v>#N/A</v>
      </c>
      <c r="F2554" s="80"/>
      <c r="G2554" s="81"/>
      <c r="H2554" s="78"/>
      <c r="I2554" s="78"/>
      <c r="J2554" s="78"/>
    </row>
    <row r="2555" spans="1:10" x14ac:dyDescent="0.2">
      <c r="A2555" s="84">
        <f t="shared" si="83"/>
        <v>2549</v>
      </c>
      <c r="B2555" s="85" t="e">
        <f>+MATCH(D2555,ARTICULOS!$F$10:$F$699,0)</f>
        <v>#N/A</v>
      </c>
      <c r="C2555" s="86" t="e">
        <f>+VLOOKUP(B2555,ARTICULOS!$D$10:$I$699,6)</f>
        <v>#N/A</v>
      </c>
      <c r="D2555" s="212"/>
      <c r="E2555" s="75" t="e">
        <f t="shared" si="82"/>
        <v>#N/A</v>
      </c>
      <c r="F2555" s="80"/>
      <c r="G2555" s="81"/>
      <c r="H2555" s="78"/>
      <c r="I2555" s="78"/>
      <c r="J2555" s="78"/>
    </row>
    <row r="2556" spans="1:10" x14ac:dyDescent="0.2">
      <c r="A2556" s="84">
        <f t="shared" si="83"/>
        <v>2550</v>
      </c>
      <c r="B2556" s="85" t="e">
        <f>+MATCH(D2556,ARTICULOS!$F$10:$F$699,0)</f>
        <v>#N/A</v>
      </c>
      <c r="C2556" s="86" t="e">
        <f>+VLOOKUP(B2556,ARTICULOS!$D$10:$I$699,6)</f>
        <v>#N/A</v>
      </c>
      <c r="D2556" s="212"/>
      <c r="E2556" s="75" t="e">
        <f t="shared" si="82"/>
        <v>#N/A</v>
      </c>
      <c r="F2556" s="80"/>
      <c r="G2556" s="81"/>
      <c r="H2556" s="78"/>
      <c r="I2556" s="78"/>
      <c r="J2556" s="78"/>
    </row>
    <row r="2557" spans="1:10" x14ac:dyDescent="0.2">
      <c r="A2557" s="84">
        <f t="shared" si="83"/>
        <v>2551</v>
      </c>
      <c r="B2557" s="85" t="e">
        <f>+MATCH(D2557,ARTICULOS!$F$10:$F$699,0)</f>
        <v>#N/A</v>
      </c>
      <c r="C2557" s="86" t="e">
        <f>+VLOOKUP(B2557,ARTICULOS!$D$10:$I$699,6)</f>
        <v>#N/A</v>
      </c>
      <c r="D2557" s="212"/>
      <c r="E2557" s="75" t="e">
        <f t="shared" si="82"/>
        <v>#N/A</v>
      </c>
      <c r="F2557" s="80"/>
      <c r="G2557" s="81"/>
      <c r="H2557" s="78"/>
      <c r="I2557" s="78"/>
      <c r="J2557" s="78"/>
    </row>
    <row r="2558" spans="1:10" x14ac:dyDescent="0.2">
      <c r="A2558" s="84">
        <f t="shared" si="83"/>
        <v>2552</v>
      </c>
      <c r="B2558" s="85" t="e">
        <f>+MATCH(D2558,ARTICULOS!$F$10:$F$699,0)</f>
        <v>#N/A</v>
      </c>
      <c r="C2558" s="86" t="e">
        <f>+VLOOKUP(B2558,ARTICULOS!$D$10:$I$699,6)</f>
        <v>#N/A</v>
      </c>
      <c r="D2558" s="212"/>
      <c r="E2558" s="75" t="e">
        <f t="shared" si="82"/>
        <v>#N/A</v>
      </c>
      <c r="F2558" s="80"/>
      <c r="G2558" s="81"/>
      <c r="H2558" s="78"/>
      <c r="I2558" s="78"/>
      <c r="J2558" s="78"/>
    </row>
    <row r="2559" spans="1:10" x14ac:dyDescent="0.2">
      <c r="A2559" s="84">
        <f t="shared" si="83"/>
        <v>2553</v>
      </c>
      <c r="B2559" s="85" t="e">
        <f>+MATCH(D2559,ARTICULOS!$F$10:$F$699,0)</f>
        <v>#N/A</v>
      </c>
      <c r="C2559" s="86" t="e">
        <f>+VLOOKUP(B2559,ARTICULOS!$D$10:$I$699,6)</f>
        <v>#N/A</v>
      </c>
      <c r="D2559" s="212"/>
      <c r="E2559" s="75" t="e">
        <f t="shared" si="82"/>
        <v>#N/A</v>
      </c>
      <c r="F2559" s="80"/>
      <c r="G2559" s="81"/>
      <c r="H2559" s="78"/>
      <c r="I2559" s="78"/>
      <c r="J2559" s="78"/>
    </row>
    <row r="2560" spans="1:10" x14ac:dyDescent="0.2">
      <c r="A2560" s="84">
        <f t="shared" si="83"/>
        <v>2554</v>
      </c>
      <c r="B2560" s="85" t="e">
        <f>+MATCH(D2560,ARTICULOS!$F$10:$F$699,0)</f>
        <v>#N/A</v>
      </c>
      <c r="C2560" s="86" t="e">
        <f>+VLOOKUP(B2560,ARTICULOS!$D$10:$I$699,6)</f>
        <v>#N/A</v>
      </c>
      <c r="D2560" s="212"/>
      <c r="E2560" s="75" t="e">
        <f t="shared" si="82"/>
        <v>#N/A</v>
      </c>
      <c r="F2560" s="80"/>
      <c r="G2560" s="81"/>
      <c r="H2560" s="78"/>
      <c r="I2560" s="78"/>
      <c r="J2560" s="78"/>
    </row>
    <row r="2561" spans="1:10" x14ac:dyDescent="0.2">
      <c r="A2561" s="84">
        <f t="shared" si="83"/>
        <v>2555</v>
      </c>
      <c r="B2561" s="85" t="e">
        <f>+MATCH(D2561,ARTICULOS!$F$10:$F$699,0)</f>
        <v>#N/A</v>
      </c>
      <c r="C2561" s="86" t="e">
        <f>+VLOOKUP(B2561,ARTICULOS!$D$10:$I$699,6)</f>
        <v>#N/A</v>
      </c>
      <c r="D2561" s="212"/>
      <c r="E2561" s="75" t="e">
        <f t="shared" si="82"/>
        <v>#N/A</v>
      </c>
      <c r="F2561" s="80"/>
      <c r="G2561" s="81"/>
      <c r="H2561" s="78"/>
      <c r="I2561" s="78"/>
      <c r="J2561" s="78"/>
    </row>
    <row r="2562" spans="1:10" x14ac:dyDescent="0.2">
      <c r="A2562" s="84">
        <f t="shared" si="83"/>
        <v>2556</v>
      </c>
      <c r="B2562" s="85" t="e">
        <f>+MATCH(D2562,ARTICULOS!$F$10:$F$699,0)</f>
        <v>#N/A</v>
      </c>
      <c r="C2562" s="86" t="e">
        <f>+VLOOKUP(B2562,ARTICULOS!$D$10:$I$699,6)</f>
        <v>#N/A</v>
      </c>
      <c r="D2562" s="212"/>
      <c r="E2562" s="75" t="e">
        <f t="shared" si="82"/>
        <v>#N/A</v>
      </c>
      <c r="F2562" s="80"/>
      <c r="G2562" s="81"/>
      <c r="H2562" s="78"/>
      <c r="I2562" s="78"/>
      <c r="J2562" s="78"/>
    </row>
    <row r="2563" spans="1:10" x14ac:dyDescent="0.2">
      <c r="A2563" s="84">
        <f t="shared" si="83"/>
        <v>2557</v>
      </c>
      <c r="B2563" s="85" t="e">
        <f>+MATCH(D2563,ARTICULOS!$F$10:$F$699,0)</f>
        <v>#N/A</v>
      </c>
      <c r="C2563" s="86" t="e">
        <f>+VLOOKUP(B2563,ARTICULOS!$D$10:$I$699,6)</f>
        <v>#N/A</v>
      </c>
      <c r="D2563" s="212"/>
      <c r="E2563" s="75" t="e">
        <f t="shared" si="82"/>
        <v>#N/A</v>
      </c>
      <c r="F2563" s="80"/>
      <c r="G2563" s="81"/>
      <c r="H2563" s="78"/>
      <c r="I2563" s="78"/>
      <c r="J2563" s="78"/>
    </row>
    <row r="2564" spans="1:10" x14ac:dyDescent="0.2">
      <c r="A2564" s="84">
        <f t="shared" si="83"/>
        <v>2558</v>
      </c>
      <c r="B2564" s="85" t="e">
        <f>+MATCH(D2564,ARTICULOS!$F$10:$F$699,0)</f>
        <v>#N/A</v>
      </c>
      <c r="C2564" s="86" t="e">
        <f>+VLOOKUP(B2564,ARTICULOS!$D$10:$I$699,6)</f>
        <v>#N/A</v>
      </c>
      <c r="D2564" s="212"/>
      <c r="E2564" s="75" t="e">
        <f t="shared" si="82"/>
        <v>#N/A</v>
      </c>
      <c r="F2564" s="80"/>
      <c r="G2564" s="81"/>
      <c r="H2564" s="78"/>
      <c r="I2564" s="78"/>
      <c r="J2564" s="78"/>
    </row>
    <row r="2565" spans="1:10" x14ac:dyDescent="0.2">
      <c r="A2565" s="84">
        <f t="shared" si="83"/>
        <v>2559</v>
      </c>
      <c r="B2565" s="85" t="e">
        <f>+MATCH(D2565,ARTICULOS!$F$10:$F$699,0)</f>
        <v>#N/A</v>
      </c>
      <c r="C2565" s="86" t="e">
        <f>+VLOOKUP(B2565,ARTICULOS!$D$10:$I$699,6)</f>
        <v>#N/A</v>
      </c>
      <c r="D2565" s="212"/>
      <c r="E2565" s="75" t="e">
        <f t="shared" si="82"/>
        <v>#N/A</v>
      </c>
      <c r="F2565" s="80"/>
      <c r="G2565" s="81"/>
      <c r="H2565" s="78"/>
      <c r="I2565" s="78"/>
      <c r="J2565" s="78"/>
    </row>
    <row r="2566" spans="1:10" x14ac:dyDescent="0.2">
      <c r="A2566" s="84">
        <f t="shared" si="83"/>
        <v>2560</v>
      </c>
      <c r="B2566" s="85" t="e">
        <f>+MATCH(D2566,ARTICULOS!$F$10:$F$699,0)</f>
        <v>#N/A</v>
      </c>
      <c r="C2566" s="86" t="e">
        <f>+VLOOKUP(B2566,ARTICULOS!$D$10:$I$699,6)</f>
        <v>#N/A</v>
      </c>
      <c r="D2566" s="212"/>
      <c r="E2566" s="75" t="e">
        <f t="shared" si="82"/>
        <v>#N/A</v>
      </c>
      <c r="F2566" s="80"/>
      <c r="G2566" s="81"/>
      <c r="H2566" s="78"/>
      <c r="I2566" s="78"/>
      <c r="J2566" s="78"/>
    </row>
    <row r="2567" spans="1:10" x14ac:dyDescent="0.2">
      <c r="A2567" s="84">
        <f t="shared" si="83"/>
        <v>2561</v>
      </c>
      <c r="B2567" s="85" t="e">
        <f>+MATCH(D2567,ARTICULOS!$F$10:$F$699,0)</f>
        <v>#N/A</v>
      </c>
      <c r="C2567" s="86" t="e">
        <f>+VLOOKUP(B2567,ARTICULOS!$D$10:$I$699,6)</f>
        <v>#N/A</v>
      </c>
      <c r="D2567" s="212"/>
      <c r="E2567" s="75" t="e">
        <f t="shared" si="82"/>
        <v>#N/A</v>
      </c>
      <c r="F2567" s="80"/>
      <c r="G2567" s="81"/>
      <c r="H2567" s="78"/>
      <c r="I2567" s="78"/>
      <c r="J2567" s="78"/>
    </row>
    <row r="2568" spans="1:10" x14ac:dyDescent="0.2">
      <c r="A2568" s="84">
        <f t="shared" si="83"/>
        <v>2562</v>
      </c>
      <c r="B2568" s="85" t="e">
        <f>+MATCH(D2568,ARTICULOS!$F$10:$F$699,0)</f>
        <v>#N/A</v>
      </c>
      <c r="C2568" s="86" t="e">
        <f>+VLOOKUP(B2568,ARTICULOS!$D$10:$I$699,6)</f>
        <v>#N/A</v>
      </c>
      <c r="D2568" s="212"/>
      <c r="E2568" s="75" t="e">
        <f t="shared" si="82"/>
        <v>#N/A</v>
      </c>
      <c r="F2568" s="80"/>
      <c r="G2568" s="81"/>
      <c r="H2568" s="78"/>
      <c r="I2568" s="78"/>
      <c r="J2568" s="78"/>
    </row>
    <row r="2569" spans="1:10" x14ac:dyDescent="0.2">
      <c r="A2569" s="84">
        <f t="shared" si="83"/>
        <v>2563</v>
      </c>
      <c r="B2569" s="85" t="e">
        <f>+MATCH(D2569,ARTICULOS!$F$10:$F$699,0)</f>
        <v>#N/A</v>
      </c>
      <c r="C2569" s="86" t="e">
        <f>+VLOOKUP(B2569,ARTICULOS!$D$10:$I$699,6)</f>
        <v>#N/A</v>
      </c>
      <c r="D2569" s="212"/>
      <c r="E2569" s="75" t="e">
        <f t="shared" si="82"/>
        <v>#N/A</v>
      </c>
      <c r="F2569" s="80"/>
      <c r="G2569" s="81"/>
      <c r="H2569" s="78"/>
      <c r="I2569" s="78"/>
      <c r="J2569" s="78"/>
    </row>
    <row r="2570" spans="1:10" x14ac:dyDescent="0.2">
      <c r="A2570" s="84">
        <f t="shared" si="83"/>
        <v>2564</v>
      </c>
      <c r="B2570" s="85" t="e">
        <f>+MATCH(D2570,ARTICULOS!$F$10:$F$699,0)</f>
        <v>#N/A</v>
      </c>
      <c r="C2570" s="86" t="e">
        <f>+VLOOKUP(B2570,ARTICULOS!$D$10:$I$699,6)</f>
        <v>#N/A</v>
      </c>
      <c r="D2570" s="212"/>
      <c r="E2570" s="75" t="e">
        <f t="shared" si="82"/>
        <v>#N/A</v>
      </c>
      <c r="F2570" s="80"/>
      <c r="G2570" s="81"/>
      <c r="H2570" s="78"/>
      <c r="I2570" s="78"/>
      <c r="J2570" s="78"/>
    </row>
    <row r="2571" spans="1:10" x14ac:dyDescent="0.2">
      <c r="A2571" s="84">
        <f t="shared" si="83"/>
        <v>2565</v>
      </c>
      <c r="B2571" s="85" t="e">
        <f>+MATCH(D2571,ARTICULOS!$F$10:$F$699,0)</f>
        <v>#N/A</v>
      </c>
      <c r="C2571" s="86" t="e">
        <f>+VLOOKUP(B2571,ARTICULOS!$D$10:$I$699,6)</f>
        <v>#N/A</v>
      </c>
      <c r="D2571" s="212"/>
      <c r="E2571" s="75" t="e">
        <f t="shared" ref="E2571:E2634" si="84">+C2571&amp;F2571</f>
        <v>#N/A</v>
      </c>
      <c r="F2571" s="80"/>
      <c r="G2571" s="81"/>
      <c r="H2571" s="78"/>
      <c r="I2571" s="78"/>
      <c r="J2571" s="78"/>
    </row>
    <row r="2572" spans="1:10" x14ac:dyDescent="0.2">
      <c r="A2572" s="84">
        <f t="shared" si="83"/>
        <v>2566</v>
      </c>
      <c r="B2572" s="85" t="e">
        <f>+MATCH(D2572,ARTICULOS!$F$10:$F$699,0)</f>
        <v>#N/A</v>
      </c>
      <c r="C2572" s="86" t="e">
        <f>+VLOOKUP(B2572,ARTICULOS!$D$10:$I$699,6)</f>
        <v>#N/A</v>
      </c>
      <c r="D2572" s="212"/>
      <c r="E2572" s="75" t="e">
        <f t="shared" si="84"/>
        <v>#N/A</v>
      </c>
      <c r="F2572" s="80"/>
      <c r="G2572" s="81"/>
      <c r="H2572" s="78"/>
      <c r="I2572" s="78"/>
      <c r="J2572" s="78"/>
    </row>
    <row r="2573" spans="1:10" x14ac:dyDescent="0.2">
      <c r="A2573" s="84">
        <f t="shared" si="83"/>
        <v>2567</v>
      </c>
      <c r="B2573" s="85" t="e">
        <f>+MATCH(D2573,ARTICULOS!$F$10:$F$699,0)</f>
        <v>#N/A</v>
      </c>
      <c r="C2573" s="86" t="e">
        <f>+VLOOKUP(B2573,ARTICULOS!$D$10:$I$699,6)</f>
        <v>#N/A</v>
      </c>
      <c r="D2573" s="212"/>
      <c r="E2573" s="75" t="e">
        <f t="shared" si="84"/>
        <v>#N/A</v>
      </c>
      <c r="F2573" s="80"/>
      <c r="G2573" s="81"/>
      <c r="H2573" s="78"/>
      <c r="I2573" s="78"/>
      <c r="J2573" s="78"/>
    </row>
    <row r="2574" spans="1:10" x14ac:dyDescent="0.2">
      <c r="A2574" s="84">
        <f t="shared" si="83"/>
        <v>2568</v>
      </c>
      <c r="B2574" s="85" t="e">
        <f>+MATCH(D2574,ARTICULOS!$F$10:$F$699,0)</f>
        <v>#N/A</v>
      </c>
      <c r="C2574" s="86" t="e">
        <f>+VLOOKUP(B2574,ARTICULOS!$D$10:$I$699,6)</f>
        <v>#N/A</v>
      </c>
      <c r="D2574" s="212"/>
      <c r="E2574" s="75" t="e">
        <f t="shared" si="84"/>
        <v>#N/A</v>
      </c>
      <c r="F2574" s="80"/>
      <c r="G2574" s="81"/>
      <c r="H2574" s="78"/>
      <c r="I2574" s="78"/>
      <c r="J2574" s="78"/>
    </row>
    <row r="2575" spans="1:10" x14ac:dyDescent="0.2">
      <c r="A2575" s="84">
        <f t="shared" si="83"/>
        <v>2569</v>
      </c>
      <c r="B2575" s="85" t="e">
        <f>+MATCH(D2575,ARTICULOS!$F$10:$F$699,0)</f>
        <v>#N/A</v>
      </c>
      <c r="C2575" s="86" t="e">
        <f>+VLOOKUP(B2575,ARTICULOS!$D$10:$I$699,6)</f>
        <v>#N/A</v>
      </c>
      <c r="D2575" s="212"/>
      <c r="E2575" s="75" t="e">
        <f t="shared" si="84"/>
        <v>#N/A</v>
      </c>
      <c r="F2575" s="80"/>
      <c r="G2575" s="81"/>
      <c r="H2575" s="78"/>
      <c r="I2575" s="78"/>
      <c r="J2575" s="78"/>
    </row>
    <row r="2576" spans="1:10" x14ac:dyDescent="0.2">
      <c r="A2576" s="84">
        <f t="shared" si="83"/>
        <v>2570</v>
      </c>
      <c r="B2576" s="85" t="e">
        <f>+MATCH(D2576,ARTICULOS!$F$10:$F$699,0)</f>
        <v>#N/A</v>
      </c>
      <c r="C2576" s="86" t="e">
        <f>+VLOOKUP(B2576,ARTICULOS!$D$10:$I$699,6)</f>
        <v>#N/A</v>
      </c>
      <c r="D2576" s="212"/>
      <c r="E2576" s="75" t="e">
        <f t="shared" si="84"/>
        <v>#N/A</v>
      </c>
      <c r="F2576" s="80"/>
      <c r="G2576" s="81"/>
      <c r="H2576" s="78"/>
      <c r="I2576" s="78"/>
      <c r="J2576" s="78"/>
    </row>
    <row r="2577" spans="1:10" x14ac:dyDescent="0.2">
      <c r="A2577" s="84">
        <f t="shared" si="83"/>
        <v>2571</v>
      </c>
      <c r="B2577" s="85" t="e">
        <f>+MATCH(D2577,ARTICULOS!$F$10:$F$699,0)</f>
        <v>#N/A</v>
      </c>
      <c r="C2577" s="86" t="e">
        <f>+VLOOKUP(B2577,ARTICULOS!$D$10:$I$699,6)</f>
        <v>#N/A</v>
      </c>
      <c r="D2577" s="212"/>
      <c r="E2577" s="75" t="e">
        <f t="shared" si="84"/>
        <v>#N/A</v>
      </c>
      <c r="F2577" s="80"/>
      <c r="G2577" s="81"/>
      <c r="H2577" s="78"/>
      <c r="I2577" s="78"/>
      <c r="J2577" s="78"/>
    </row>
    <row r="2578" spans="1:10" x14ac:dyDescent="0.2">
      <c r="A2578" s="84">
        <f t="shared" si="83"/>
        <v>2572</v>
      </c>
      <c r="B2578" s="85" t="e">
        <f>+MATCH(D2578,ARTICULOS!$F$10:$F$699,0)</f>
        <v>#N/A</v>
      </c>
      <c r="C2578" s="86" t="e">
        <f>+VLOOKUP(B2578,ARTICULOS!$D$10:$I$699,6)</f>
        <v>#N/A</v>
      </c>
      <c r="D2578" s="212"/>
      <c r="E2578" s="75" t="e">
        <f t="shared" si="84"/>
        <v>#N/A</v>
      </c>
      <c r="F2578" s="80"/>
      <c r="G2578" s="81"/>
      <c r="H2578" s="78"/>
      <c r="I2578" s="78"/>
      <c r="J2578" s="78"/>
    </row>
    <row r="2579" spans="1:10" x14ac:dyDescent="0.2">
      <c r="A2579" s="84">
        <f t="shared" si="83"/>
        <v>2573</v>
      </c>
      <c r="B2579" s="85" t="e">
        <f>+MATCH(D2579,ARTICULOS!$F$10:$F$699,0)</f>
        <v>#N/A</v>
      </c>
      <c r="C2579" s="86" t="e">
        <f>+VLOOKUP(B2579,ARTICULOS!$D$10:$I$699,6)</f>
        <v>#N/A</v>
      </c>
      <c r="D2579" s="212"/>
      <c r="E2579" s="75" t="e">
        <f t="shared" si="84"/>
        <v>#N/A</v>
      </c>
      <c r="F2579" s="80"/>
      <c r="G2579" s="81"/>
      <c r="H2579" s="78"/>
      <c r="I2579" s="78"/>
      <c r="J2579" s="78"/>
    </row>
    <row r="2580" spans="1:10" x14ac:dyDescent="0.2">
      <c r="A2580" s="84">
        <f t="shared" si="83"/>
        <v>2574</v>
      </c>
      <c r="B2580" s="85" t="e">
        <f>+MATCH(D2580,ARTICULOS!$F$10:$F$699,0)</f>
        <v>#N/A</v>
      </c>
      <c r="C2580" s="86" t="e">
        <f>+VLOOKUP(B2580,ARTICULOS!$D$10:$I$699,6)</f>
        <v>#N/A</v>
      </c>
      <c r="D2580" s="212"/>
      <c r="E2580" s="75" t="e">
        <f t="shared" si="84"/>
        <v>#N/A</v>
      </c>
      <c r="F2580" s="80"/>
      <c r="G2580" s="81"/>
      <c r="H2580" s="78"/>
      <c r="I2580" s="78"/>
      <c r="J2580" s="78"/>
    </row>
    <row r="2581" spans="1:10" x14ac:dyDescent="0.2">
      <c r="A2581" s="84">
        <f t="shared" si="83"/>
        <v>2575</v>
      </c>
      <c r="B2581" s="85" t="e">
        <f>+MATCH(D2581,ARTICULOS!$F$10:$F$699,0)</f>
        <v>#N/A</v>
      </c>
      <c r="C2581" s="86" t="e">
        <f>+VLOOKUP(B2581,ARTICULOS!$D$10:$I$699,6)</f>
        <v>#N/A</v>
      </c>
      <c r="D2581" s="212"/>
      <c r="E2581" s="75" t="e">
        <f t="shared" si="84"/>
        <v>#N/A</v>
      </c>
      <c r="F2581" s="80"/>
      <c r="G2581" s="81"/>
      <c r="H2581" s="78"/>
      <c r="I2581" s="78"/>
      <c r="J2581" s="78"/>
    </row>
    <row r="2582" spans="1:10" x14ac:dyDescent="0.2">
      <c r="A2582" s="84">
        <f t="shared" si="83"/>
        <v>2576</v>
      </c>
      <c r="B2582" s="85" t="e">
        <f>+MATCH(D2582,ARTICULOS!$F$10:$F$699,0)</f>
        <v>#N/A</v>
      </c>
      <c r="C2582" s="86" t="e">
        <f>+VLOOKUP(B2582,ARTICULOS!$D$10:$I$699,6)</f>
        <v>#N/A</v>
      </c>
      <c r="D2582" s="212"/>
      <c r="E2582" s="75" t="e">
        <f t="shared" si="84"/>
        <v>#N/A</v>
      </c>
      <c r="F2582" s="80"/>
      <c r="G2582" s="81"/>
      <c r="H2582" s="78"/>
      <c r="I2582" s="78"/>
      <c r="J2582" s="78"/>
    </row>
    <row r="2583" spans="1:10" x14ac:dyDescent="0.2">
      <c r="A2583" s="84">
        <f t="shared" si="83"/>
        <v>2577</v>
      </c>
      <c r="B2583" s="85" t="e">
        <f>+MATCH(D2583,ARTICULOS!$F$10:$F$699,0)</f>
        <v>#N/A</v>
      </c>
      <c r="C2583" s="86" t="e">
        <f>+VLOOKUP(B2583,ARTICULOS!$D$10:$I$699,6)</f>
        <v>#N/A</v>
      </c>
      <c r="D2583" s="212"/>
      <c r="E2583" s="75" t="e">
        <f t="shared" si="84"/>
        <v>#N/A</v>
      </c>
      <c r="F2583" s="80"/>
      <c r="G2583" s="81"/>
      <c r="H2583" s="78"/>
      <c r="I2583" s="78"/>
      <c r="J2583" s="78"/>
    </row>
    <row r="2584" spans="1:10" x14ac:dyDescent="0.2">
      <c r="A2584" s="84">
        <f t="shared" si="83"/>
        <v>2578</v>
      </c>
      <c r="B2584" s="85" t="e">
        <f>+MATCH(D2584,ARTICULOS!$F$10:$F$699,0)</f>
        <v>#N/A</v>
      </c>
      <c r="C2584" s="86" t="e">
        <f>+VLOOKUP(B2584,ARTICULOS!$D$10:$I$699,6)</f>
        <v>#N/A</v>
      </c>
      <c r="D2584" s="212"/>
      <c r="E2584" s="75" t="e">
        <f t="shared" si="84"/>
        <v>#N/A</v>
      </c>
      <c r="F2584" s="80"/>
      <c r="G2584" s="81"/>
      <c r="H2584" s="78"/>
      <c r="I2584" s="78"/>
      <c r="J2584" s="78"/>
    </row>
    <row r="2585" spans="1:10" x14ac:dyDescent="0.2">
      <c r="A2585" s="84">
        <f t="shared" si="83"/>
        <v>2579</v>
      </c>
      <c r="B2585" s="85" t="e">
        <f>+MATCH(D2585,ARTICULOS!$F$10:$F$699,0)</f>
        <v>#N/A</v>
      </c>
      <c r="C2585" s="86" t="e">
        <f>+VLOOKUP(B2585,ARTICULOS!$D$10:$I$699,6)</f>
        <v>#N/A</v>
      </c>
      <c r="D2585" s="212"/>
      <c r="E2585" s="75" t="e">
        <f t="shared" si="84"/>
        <v>#N/A</v>
      </c>
      <c r="F2585" s="80"/>
      <c r="G2585" s="81"/>
      <c r="H2585" s="78"/>
      <c r="I2585" s="78"/>
      <c r="J2585" s="78"/>
    </row>
    <row r="2586" spans="1:10" x14ac:dyDescent="0.2">
      <c r="A2586" s="84">
        <f t="shared" si="83"/>
        <v>2580</v>
      </c>
      <c r="B2586" s="85" t="e">
        <f>+MATCH(D2586,ARTICULOS!$F$10:$F$699,0)</f>
        <v>#N/A</v>
      </c>
      <c r="C2586" s="86" t="e">
        <f>+VLOOKUP(B2586,ARTICULOS!$D$10:$I$699,6)</f>
        <v>#N/A</v>
      </c>
      <c r="D2586" s="212"/>
      <c r="E2586" s="75" t="e">
        <f t="shared" si="84"/>
        <v>#N/A</v>
      </c>
      <c r="F2586" s="80"/>
      <c r="G2586" s="81"/>
      <c r="H2586" s="78"/>
      <c r="I2586" s="78"/>
      <c r="J2586" s="78"/>
    </row>
    <row r="2587" spans="1:10" x14ac:dyDescent="0.2">
      <c r="A2587" s="84">
        <f t="shared" si="83"/>
        <v>2581</v>
      </c>
      <c r="B2587" s="85" t="e">
        <f>+MATCH(D2587,ARTICULOS!$F$10:$F$699,0)</f>
        <v>#N/A</v>
      </c>
      <c r="C2587" s="86" t="e">
        <f>+VLOOKUP(B2587,ARTICULOS!$D$10:$I$699,6)</f>
        <v>#N/A</v>
      </c>
      <c r="D2587" s="212"/>
      <c r="E2587" s="75" t="e">
        <f t="shared" si="84"/>
        <v>#N/A</v>
      </c>
      <c r="F2587" s="80"/>
      <c r="G2587" s="81"/>
      <c r="H2587" s="78"/>
      <c r="I2587" s="78"/>
      <c r="J2587" s="78"/>
    </row>
    <row r="2588" spans="1:10" x14ac:dyDescent="0.2">
      <c r="A2588" s="84">
        <f t="shared" si="83"/>
        <v>2582</v>
      </c>
      <c r="B2588" s="85" t="e">
        <f>+MATCH(D2588,ARTICULOS!$F$10:$F$699,0)</f>
        <v>#N/A</v>
      </c>
      <c r="C2588" s="86" t="e">
        <f>+VLOOKUP(B2588,ARTICULOS!$D$10:$I$699,6)</f>
        <v>#N/A</v>
      </c>
      <c r="D2588" s="212"/>
      <c r="E2588" s="75" t="e">
        <f t="shared" si="84"/>
        <v>#N/A</v>
      </c>
      <c r="F2588" s="80"/>
      <c r="G2588" s="81"/>
      <c r="H2588" s="78"/>
      <c r="I2588" s="78"/>
      <c r="J2588" s="78"/>
    </row>
    <row r="2589" spans="1:10" x14ac:dyDescent="0.2">
      <c r="A2589" s="84">
        <f t="shared" si="83"/>
        <v>2583</v>
      </c>
      <c r="B2589" s="85" t="e">
        <f>+MATCH(D2589,ARTICULOS!$F$10:$F$699,0)</f>
        <v>#N/A</v>
      </c>
      <c r="C2589" s="86" t="e">
        <f>+VLOOKUP(B2589,ARTICULOS!$D$10:$I$699,6)</f>
        <v>#N/A</v>
      </c>
      <c r="D2589" s="212"/>
      <c r="E2589" s="75" t="e">
        <f t="shared" si="84"/>
        <v>#N/A</v>
      </c>
      <c r="F2589" s="80"/>
      <c r="G2589" s="81"/>
      <c r="H2589" s="78"/>
      <c r="I2589" s="78"/>
      <c r="J2589" s="78"/>
    </row>
    <row r="2590" spans="1:10" x14ac:dyDescent="0.2">
      <c r="A2590" s="84">
        <f t="shared" si="83"/>
        <v>2584</v>
      </c>
      <c r="B2590" s="85" t="e">
        <f>+MATCH(D2590,ARTICULOS!$F$10:$F$699,0)</f>
        <v>#N/A</v>
      </c>
      <c r="C2590" s="86" t="e">
        <f>+VLOOKUP(B2590,ARTICULOS!$D$10:$I$699,6)</f>
        <v>#N/A</v>
      </c>
      <c r="D2590" s="212"/>
      <c r="E2590" s="75" t="e">
        <f t="shared" si="84"/>
        <v>#N/A</v>
      </c>
      <c r="F2590" s="80"/>
      <c r="G2590" s="81"/>
      <c r="H2590" s="78"/>
      <c r="I2590" s="78"/>
      <c r="J2590" s="78"/>
    </row>
    <row r="2591" spans="1:10" x14ac:dyDescent="0.2">
      <c r="A2591" s="84">
        <f t="shared" si="83"/>
        <v>2585</v>
      </c>
      <c r="B2591" s="85" t="e">
        <f>+MATCH(D2591,ARTICULOS!$F$10:$F$699,0)</f>
        <v>#N/A</v>
      </c>
      <c r="C2591" s="86" t="e">
        <f>+VLOOKUP(B2591,ARTICULOS!$D$10:$I$699,6)</f>
        <v>#N/A</v>
      </c>
      <c r="D2591" s="212"/>
      <c r="E2591" s="75" t="e">
        <f t="shared" si="84"/>
        <v>#N/A</v>
      </c>
      <c r="F2591" s="80"/>
      <c r="G2591" s="81"/>
      <c r="H2591" s="78"/>
      <c r="I2591" s="78"/>
      <c r="J2591" s="78"/>
    </row>
    <row r="2592" spans="1:10" x14ac:dyDescent="0.2">
      <c r="A2592" s="84">
        <f t="shared" si="83"/>
        <v>2586</v>
      </c>
      <c r="B2592" s="85" t="e">
        <f>+MATCH(D2592,ARTICULOS!$F$10:$F$699,0)</f>
        <v>#N/A</v>
      </c>
      <c r="C2592" s="86" t="e">
        <f>+VLOOKUP(B2592,ARTICULOS!$D$10:$I$699,6)</f>
        <v>#N/A</v>
      </c>
      <c r="D2592" s="212"/>
      <c r="E2592" s="75" t="e">
        <f t="shared" si="84"/>
        <v>#N/A</v>
      </c>
      <c r="F2592" s="80"/>
      <c r="G2592" s="81"/>
      <c r="H2592" s="78"/>
      <c r="I2592" s="78"/>
      <c r="J2592" s="78"/>
    </row>
    <row r="2593" spans="1:10" x14ac:dyDescent="0.2">
      <c r="A2593" s="84">
        <f t="shared" si="83"/>
        <v>2587</v>
      </c>
      <c r="B2593" s="85" t="e">
        <f>+MATCH(D2593,ARTICULOS!$F$10:$F$699,0)</f>
        <v>#N/A</v>
      </c>
      <c r="C2593" s="86" t="e">
        <f>+VLOOKUP(B2593,ARTICULOS!$D$10:$I$699,6)</f>
        <v>#N/A</v>
      </c>
      <c r="D2593" s="212"/>
      <c r="E2593" s="75" t="e">
        <f t="shared" si="84"/>
        <v>#N/A</v>
      </c>
      <c r="F2593" s="80"/>
      <c r="G2593" s="81"/>
      <c r="H2593" s="78"/>
      <c r="I2593" s="78"/>
      <c r="J2593" s="78"/>
    </row>
    <row r="2594" spans="1:10" x14ac:dyDescent="0.2">
      <c r="A2594" s="84">
        <f t="shared" si="83"/>
        <v>2588</v>
      </c>
      <c r="B2594" s="85" t="e">
        <f>+MATCH(D2594,ARTICULOS!$F$10:$F$699,0)</f>
        <v>#N/A</v>
      </c>
      <c r="C2594" s="86" t="e">
        <f>+VLOOKUP(B2594,ARTICULOS!$D$10:$I$699,6)</f>
        <v>#N/A</v>
      </c>
      <c r="D2594" s="212"/>
      <c r="E2594" s="75" t="e">
        <f t="shared" si="84"/>
        <v>#N/A</v>
      </c>
      <c r="F2594" s="80"/>
      <c r="G2594" s="81"/>
      <c r="H2594" s="78"/>
      <c r="I2594" s="78"/>
      <c r="J2594" s="78"/>
    </row>
    <row r="2595" spans="1:10" x14ac:dyDescent="0.2">
      <c r="A2595" s="84">
        <f t="shared" si="83"/>
        <v>2589</v>
      </c>
      <c r="B2595" s="85" t="e">
        <f>+MATCH(D2595,ARTICULOS!$F$10:$F$699,0)</f>
        <v>#N/A</v>
      </c>
      <c r="C2595" s="86" t="e">
        <f>+VLOOKUP(B2595,ARTICULOS!$D$10:$I$699,6)</f>
        <v>#N/A</v>
      </c>
      <c r="D2595" s="212"/>
      <c r="E2595" s="75" t="e">
        <f t="shared" si="84"/>
        <v>#N/A</v>
      </c>
      <c r="F2595" s="80"/>
      <c r="G2595" s="81"/>
      <c r="H2595" s="78"/>
      <c r="I2595" s="78"/>
      <c r="J2595" s="78"/>
    </row>
    <row r="2596" spans="1:10" x14ac:dyDescent="0.2">
      <c r="A2596" s="84">
        <f t="shared" si="83"/>
        <v>2590</v>
      </c>
      <c r="B2596" s="85" t="e">
        <f>+MATCH(D2596,ARTICULOS!$F$10:$F$699,0)</f>
        <v>#N/A</v>
      </c>
      <c r="C2596" s="86" t="e">
        <f>+VLOOKUP(B2596,ARTICULOS!$D$10:$I$699,6)</f>
        <v>#N/A</v>
      </c>
      <c r="D2596" s="212"/>
      <c r="E2596" s="75" t="e">
        <f t="shared" si="84"/>
        <v>#N/A</v>
      </c>
      <c r="F2596" s="80"/>
      <c r="G2596" s="81"/>
      <c r="H2596" s="78"/>
      <c r="I2596" s="78"/>
      <c r="J2596" s="78"/>
    </row>
    <row r="2597" spans="1:10" x14ac:dyDescent="0.2">
      <c r="A2597" s="84">
        <f t="shared" si="83"/>
        <v>2591</v>
      </c>
      <c r="B2597" s="85" t="e">
        <f>+MATCH(D2597,ARTICULOS!$F$10:$F$699,0)</f>
        <v>#N/A</v>
      </c>
      <c r="C2597" s="86" t="e">
        <f>+VLOOKUP(B2597,ARTICULOS!$D$10:$I$699,6)</f>
        <v>#N/A</v>
      </c>
      <c r="D2597" s="212"/>
      <c r="E2597" s="75" t="e">
        <f t="shared" si="84"/>
        <v>#N/A</v>
      </c>
      <c r="F2597" s="80"/>
      <c r="G2597" s="81"/>
      <c r="H2597" s="78"/>
      <c r="I2597" s="78"/>
      <c r="J2597" s="78"/>
    </row>
    <row r="2598" spans="1:10" x14ac:dyDescent="0.2">
      <c r="A2598" s="84">
        <f t="shared" si="83"/>
        <v>2592</v>
      </c>
      <c r="B2598" s="85" t="e">
        <f>+MATCH(D2598,ARTICULOS!$F$10:$F$699,0)</f>
        <v>#N/A</v>
      </c>
      <c r="C2598" s="86" t="e">
        <f>+VLOOKUP(B2598,ARTICULOS!$D$10:$I$699,6)</f>
        <v>#N/A</v>
      </c>
      <c r="D2598" s="212"/>
      <c r="E2598" s="75" t="e">
        <f t="shared" si="84"/>
        <v>#N/A</v>
      </c>
      <c r="F2598" s="80"/>
      <c r="G2598" s="81"/>
      <c r="H2598" s="78"/>
      <c r="I2598" s="78"/>
      <c r="J2598" s="78"/>
    </row>
    <row r="2599" spans="1:10" x14ac:dyDescent="0.2">
      <c r="A2599" s="84">
        <f t="shared" si="83"/>
        <v>2593</v>
      </c>
      <c r="B2599" s="85" t="e">
        <f>+MATCH(D2599,ARTICULOS!$F$10:$F$699,0)</f>
        <v>#N/A</v>
      </c>
      <c r="C2599" s="86" t="e">
        <f>+VLOOKUP(B2599,ARTICULOS!$D$10:$I$699,6)</f>
        <v>#N/A</v>
      </c>
      <c r="D2599" s="212"/>
      <c r="E2599" s="75" t="e">
        <f t="shared" si="84"/>
        <v>#N/A</v>
      </c>
      <c r="F2599" s="80"/>
      <c r="G2599" s="81"/>
      <c r="H2599" s="78"/>
      <c r="I2599" s="78"/>
      <c r="J2599" s="78"/>
    </row>
    <row r="2600" spans="1:10" x14ac:dyDescent="0.2">
      <c r="A2600" s="84">
        <f t="shared" si="83"/>
        <v>2594</v>
      </c>
      <c r="B2600" s="85" t="e">
        <f>+MATCH(D2600,ARTICULOS!$F$10:$F$699,0)</f>
        <v>#N/A</v>
      </c>
      <c r="C2600" s="86" t="e">
        <f>+VLOOKUP(B2600,ARTICULOS!$D$10:$I$699,6)</f>
        <v>#N/A</v>
      </c>
      <c r="D2600" s="212"/>
      <c r="E2600" s="75" t="e">
        <f t="shared" si="84"/>
        <v>#N/A</v>
      </c>
      <c r="F2600" s="80"/>
      <c r="G2600" s="81"/>
      <c r="H2600" s="78"/>
      <c r="I2600" s="78"/>
      <c r="J2600" s="78"/>
    </row>
    <row r="2601" spans="1:10" x14ac:dyDescent="0.2">
      <c r="A2601" s="84">
        <f t="shared" ref="A2601:A2664" si="85">ROW()-6</f>
        <v>2595</v>
      </c>
      <c r="B2601" s="85" t="e">
        <f>+MATCH(D2601,ARTICULOS!$F$10:$F$699,0)</f>
        <v>#N/A</v>
      </c>
      <c r="C2601" s="86" t="e">
        <f>+VLOOKUP(B2601,ARTICULOS!$D$10:$I$699,6)</f>
        <v>#N/A</v>
      </c>
      <c r="D2601" s="212"/>
      <c r="E2601" s="75" t="e">
        <f t="shared" si="84"/>
        <v>#N/A</v>
      </c>
      <c r="F2601" s="80"/>
      <c r="G2601" s="81"/>
      <c r="H2601" s="78"/>
      <c r="I2601" s="78"/>
      <c r="J2601" s="78"/>
    </row>
    <row r="2602" spans="1:10" x14ac:dyDescent="0.2">
      <c r="A2602" s="84">
        <f t="shared" si="85"/>
        <v>2596</v>
      </c>
      <c r="B2602" s="85" t="e">
        <f>+MATCH(D2602,ARTICULOS!$F$10:$F$699,0)</f>
        <v>#N/A</v>
      </c>
      <c r="C2602" s="86" t="e">
        <f>+VLOOKUP(B2602,ARTICULOS!$D$10:$I$699,6)</f>
        <v>#N/A</v>
      </c>
      <c r="D2602" s="212"/>
      <c r="E2602" s="75" t="e">
        <f t="shared" si="84"/>
        <v>#N/A</v>
      </c>
      <c r="F2602" s="80"/>
      <c r="G2602" s="81"/>
      <c r="H2602" s="78"/>
      <c r="I2602" s="78"/>
      <c r="J2602" s="78"/>
    </row>
    <row r="2603" spans="1:10" x14ac:dyDescent="0.2">
      <c r="A2603" s="84">
        <f t="shared" si="85"/>
        <v>2597</v>
      </c>
      <c r="B2603" s="85" t="e">
        <f>+MATCH(D2603,ARTICULOS!$F$10:$F$699,0)</f>
        <v>#N/A</v>
      </c>
      <c r="C2603" s="86" t="e">
        <f>+VLOOKUP(B2603,ARTICULOS!$D$10:$I$699,6)</f>
        <v>#N/A</v>
      </c>
      <c r="D2603" s="212"/>
      <c r="E2603" s="75" t="e">
        <f t="shared" si="84"/>
        <v>#N/A</v>
      </c>
      <c r="F2603" s="80"/>
      <c r="G2603" s="81"/>
      <c r="H2603" s="78"/>
      <c r="I2603" s="78"/>
      <c r="J2603" s="78"/>
    </row>
    <row r="2604" spans="1:10" x14ac:dyDescent="0.2">
      <c r="A2604" s="84">
        <f t="shared" si="85"/>
        <v>2598</v>
      </c>
      <c r="B2604" s="85" t="e">
        <f>+MATCH(D2604,ARTICULOS!$F$10:$F$699,0)</f>
        <v>#N/A</v>
      </c>
      <c r="C2604" s="86" t="e">
        <f>+VLOOKUP(B2604,ARTICULOS!$D$10:$I$699,6)</f>
        <v>#N/A</v>
      </c>
      <c r="D2604" s="212"/>
      <c r="E2604" s="75" t="e">
        <f t="shared" si="84"/>
        <v>#N/A</v>
      </c>
      <c r="F2604" s="80"/>
      <c r="G2604" s="81"/>
      <c r="H2604" s="78"/>
      <c r="I2604" s="78"/>
      <c r="J2604" s="78"/>
    </row>
    <row r="2605" spans="1:10" x14ac:dyDescent="0.2">
      <c r="A2605" s="84">
        <f t="shared" si="85"/>
        <v>2599</v>
      </c>
      <c r="B2605" s="85" t="e">
        <f>+MATCH(D2605,ARTICULOS!$F$10:$F$699,0)</f>
        <v>#N/A</v>
      </c>
      <c r="C2605" s="86" t="e">
        <f>+VLOOKUP(B2605,ARTICULOS!$D$10:$I$699,6)</f>
        <v>#N/A</v>
      </c>
      <c r="D2605" s="212"/>
      <c r="E2605" s="75" t="e">
        <f t="shared" si="84"/>
        <v>#N/A</v>
      </c>
      <c r="F2605" s="80"/>
      <c r="G2605" s="81"/>
      <c r="H2605" s="78"/>
      <c r="I2605" s="78"/>
      <c r="J2605" s="78"/>
    </row>
    <row r="2606" spans="1:10" x14ac:dyDescent="0.2">
      <c r="A2606" s="84">
        <f t="shared" si="85"/>
        <v>2600</v>
      </c>
      <c r="B2606" s="85" t="e">
        <f>+MATCH(D2606,ARTICULOS!$F$10:$F$699,0)</f>
        <v>#N/A</v>
      </c>
      <c r="C2606" s="86" t="e">
        <f>+VLOOKUP(B2606,ARTICULOS!$D$10:$I$699,6)</f>
        <v>#N/A</v>
      </c>
      <c r="D2606" s="212"/>
      <c r="E2606" s="75" t="e">
        <f t="shared" si="84"/>
        <v>#N/A</v>
      </c>
      <c r="F2606" s="80"/>
      <c r="G2606" s="81"/>
      <c r="H2606" s="78"/>
      <c r="I2606" s="78"/>
      <c r="J2606" s="78"/>
    </row>
    <row r="2607" spans="1:10" x14ac:dyDescent="0.2">
      <c r="A2607" s="84">
        <f t="shared" si="85"/>
        <v>2601</v>
      </c>
      <c r="B2607" s="85" t="e">
        <f>+MATCH(D2607,ARTICULOS!$F$10:$F$699,0)</f>
        <v>#N/A</v>
      </c>
      <c r="C2607" s="86" t="e">
        <f>+VLOOKUP(B2607,ARTICULOS!$D$10:$I$699,6)</f>
        <v>#N/A</v>
      </c>
      <c r="D2607" s="212"/>
      <c r="E2607" s="75" t="e">
        <f t="shared" si="84"/>
        <v>#N/A</v>
      </c>
      <c r="F2607" s="80"/>
      <c r="G2607" s="81"/>
      <c r="H2607" s="78"/>
      <c r="I2607" s="78"/>
      <c r="J2607" s="78"/>
    </row>
    <row r="2608" spans="1:10" x14ac:dyDescent="0.2">
      <c r="A2608" s="84">
        <f t="shared" si="85"/>
        <v>2602</v>
      </c>
      <c r="B2608" s="85" t="e">
        <f>+MATCH(D2608,ARTICULOS!$F$10:$F$699,0)</f>
        <v>#N/A</v>
      </c>
      <c r="C2608" s="86" t="e">
        <f>+VLOOKUP(B2608,ARTICULOS!$D$10:$I$699,6)</f>
        <v>#N/A</v>
      </c>
      <c r="D2608" s="212"/>
      <c r="E2608" s="75" t="e">
        <f t="shared" si="84"/>
        <v>#N/A</v>
      </c>
      <c r="F2608" s="80"/>
      <c r="G2608" s="81"/>
      <c r="H2608" s="78"/>
      <c r="I2608" s="78"/>
      <c r="J2608" s="78"/>
    </row>
    <row r="2609" spans="1:10" x14ac:dyDescent="0.2">
      <c r="A2609" s="84">
        <f t="shared" si="85"/>
        <v>2603</v>
      </c>
      <c r="B2609" s="85" t="e">
        <f>+MATCH(D2609,ARTICULOS!$F$10:$F$699,0)</f>
        <v>#N/A</v>
      </c>
      <c r="C2609" s="86" t="e">
        <f>+VLOOKUP(B2609,ARTICULOS!$D$10:$I$699,6)</f>
        <v>#N/A</v>
      </c>
      <c r="D2609" s="212"/>
      <c r="E2609" s="75" t="e">
        <f t="shared" si="84"/>
        <v>#N/A</v>
      </c>
      <c r="F2609" s="80"/>
      <c r="G2609" s="81"/>
      <c r="H2609" s="78"/>
      <c r="I2609" s="78"/>
      <c r="J2609" s="78"/>
    </row>
    <row r="2610" spans="1:10" x14ac:dyDescent="0.2">
      <c r="A2610" s="84">
        <f t="shared" si="85"/>
        <v>2604</v>
      </c>
      <c r="B2610" s="85" t="e">
        <f>+MATCH(D2610,ARTICULOS!$F$10:$F$699,0)</f>
        <v>#N/A</v>
      </c>
      <c r="C2610" s="86" t="e">
        <f>+VLOOKUP(B2610,ARTICULOS!$D$10:$I$699,6)</f>
        <v>#N/A</v>
      </c>
      <c r="D2610" s="212"/>
      <c r="E2610" s="75" t="e">
        <f t="shared" si="84"/>
        <v>#N/A</v>
      </c>
      <c r="F2610" s="80"/>
      <c r="G2610" s="81"/>
      <c r="H2610" s="78"/>
      <c r="I2610" s="78"/>
      <c r="J2610" s="78"/>
    </row>
    <row r="2611" spans="1:10" x14ac:dyDescent="0.2">
      <c r="A2611" s="84">
        <f t="shared" si="85"/>
        <v>2605</v>
      </c>
      <c r="B2611" s="85" t="e">
        <f>+MATCH(D2611,ARTICULOS!$F$10:$F$699,0)</f>
        <v>#N/A</v>
      </c>
      <c r="C2611" s="86" t="e">
        <f>+VLOOKUP(B2611,ARTICULOS!$D$10:$I$699,6)</f>
        <v>#N/A</v>
      </c>
      <c r="D2611" s="212"/>
      <c r="E2611" s="75" t="e">
        <f t="shared" si="84"/>
        <v>#N/A</v>
      </c>
      <c r="F2611" s="80"/>
      <c r="G2611" s="81"/>
      <c r="H2611" s="78"/>
      <c r="I2611" s="78"/>
      <c r="J2611" s="78"/>
    </row>
    <row r="2612" spans="1:10" x14ac:dyDescent="0.2">
      <c r="A2612" s="84">
        <f t="shared" si="85"/>
        <v>2606</v>
      </c>
      <c r="B2612" s="85" t="e">
        <f>+MATCH(D2612,ARTICULOS!$F$10:$F$699,0)</f>
        <v>#N/A</v>
      </c>
      <c r="C2612" s="86" t="e">
        <f>+VLOOKUP(B2612,ARTICULOS!$D$10:$I$699,6)</f>
        <v>#N/A</v>
      </c>
      <c r="D2612" s="212"/>
      <c r="E2612" s="75" t="e">
        <f t="shared" si="84"/>
        <v>#N/A</v>
      </c>
      <c r="F2612" s="80"/>
      <c r="G2612" s="81"/>
      <c r="H2612" s="78"/>
      <c r="I2612" s="78"/>
      <c r="J2612" s="78"/>
    </row>
    <row r="2613" spans="1:10" x14ac:dyDescent="0.2">
      <c r="A2613" s="84">
        <f t="shared" si="85"/>
        <v>2607</v>
      </c>
      <c r="B2613" s="85" t="e">
        <f>+MATCH(D2613,ARTICULOS!$F$10:$F$699,0)</f>
        <v>#N/A</v>
      </c>
      <c r="C2613" s="86" t="e">
        <f>+VLOOKUP(B2613,ARTICULOS!$D$10:$I$699,6)</f>
        <v>#N/A</v>
      </c>
      <c r="D2613" s="212"/>
      <c r="E2613" s="75" t="e">
        <f t="shared" si="84"/>
        <v>#N/A</v>
      </c>
      <c r="F2613" s="80"/>
      <c r="G2613" s="81"/>
      <c r="H2613" s="78"/>
      <c r="I2613" s="78"/>
      <c r="J2613" s="78"/>
    </row>
    <row r="2614" spans="1:10" x14ac:dyDescent="0.2">
      <c r="A2614" s="84">
        <f t="shared" si="85"/>
        <v>2608</v>
      </c>
      <c r="B2614" s="85" t="e">
        <f>+MATCH(D2614,ARTICULOS!$F$10:$F$699,0)</f>
        <v>#N/A</v>
      </c>
      <c r="C2614" s="86" t="e">
        <f>+VLOOKUP(B2614,ARTICULOS!$D$10:$I$699,6)</f>
        <v>#N/A</v>
      </c>
      <c r="D2614" s="212"/>
      <c r="E2614" s="75" t="e">
        <f t="shared" si="84"/>
        <v>#N/A</v>
      </c>
      <c r="F2614" s="80"/>
      <c r="G2614" s="81"/>
      <c r="H2614" s="78"/>
      <c r="I2614" s="78"/>
      <c r="J2614" s="78"/>
    </row>
    <row r="2615" spans="1:10" x14ac:dyDescent="0.2">
      <c r="A2615" s="84">
        <f t="shared" si="85"/>
        <v>2609</v>
      </c>
      <c r="B2615" s="85" t="e">
        <f>+MATCH(D2615,ARTICULOS!$F$10:$F$699,0)</f>
        <v>#N/A</v>
      </c>
      <c r="C2615" s="86" t="e">
        <f>+VLOOKUP(B2615,ARTICULOS!$D$10:$I$699,6)</f>
        <v>#N/A</v>
      </c>
      <c r="D2615" s="212"/>
      <c r="E2615" s="75" t="e">
        <f t="shared" si="84"/>
        <v>#N/A</v>
      </c>
      <c r="F2615" s="80"/>
      <c r="G2615" s="81"/>
      <c r="H2615" s="78"/>
      <c r="I2615" s="78"/>
      <c r="J2615" s="78"/>
    </row>
    <row r="2616" spans="1:10" x14ac:dyDescent="0.2">
      <c r="A2616" s="84">
        <f t="shared" si="85"/>
        <v>2610</v>
      </c>
      <c r="B2616" s="85" t="e">
        <f>+MATCH(D2616,ARTICULOS!$F$10:$F$699,0)</f>
        <v>#N/A</v>
      </c>
      <c r="C2616" s="86" t="e">
        <f>+VLOOKUP(B2616,ARTICULOS!$D$10:$I$699,6)</f>
        <v>#N/A</v>
      </c>
      <c r="D2616" s="212"/>
      <c r="E2616" s="75" t="e">
        <f t="shared" si="84"/>
        <v>#N/A</v>
      </c>
      <c r="F2616" s="80"/>
      <c r="G2616" s="81"/>
      <c r="H2616" s="78"/>
      <c r="I2616" s="78"/>
      <c r="J2616" s="78"/>
    </row>
    <row r="2617" spans="1:10" x14ac:dyDescent="0.2">
      <c r="A2617" s="84">
        <f t="shared" si="85"/>
        <v>2611</v>
      </c>
      <c r="B2617" s="85" t="e">
        <f>+MATCH(D2617,ARTICULOS!$F$10:$F$699,0)</f>
        <v>#N/A</v>
      </c>
      <c r="C2617" s="86" t="e">
        <f>+VLOOKUP(B2617,ARTICULOS!$D$10:$I$699,6)</f>
        <v>#N/A</v>
      </c>
      <c r="D2617" s="212"/>
      <c r="E2617" s="75" t="e">
        <f t="shared" si="84"/>
        <v>#N/A</v>
      </c>
      <c r="F2617" s="80"/>
      <c r="G2617" s="81"/>
      <c r="H2617" s="78"/>
      <c r="I2617" s="78"/>
      <c r="J2617" s="78"/>
    </row>
    <row r="2618" spans="1:10" x14ac:dyDescent="0.2">
      <c r="A2618" s="84">
        <f t="shared" si="85"/>
        <v>2612</v>
      </c>
      <c r="B2618" s="85" t="e">
        <f>+MATCH(D2618,ARTICULOS!$F$10:$F$699,0)</f>
        <v>#N/A</v>
      </c>
      <c r="C2618" s="86" t="e">
        <f>+VLOOKUP(B2618,ARTICULOS!$D$10:$I$699,6)</f>
        <v>#N/A</v>
      </c>
      <c r="D2618" s="212"/>
      <c r="E2618" s="75" t="e">
        <f t="shared" si="84"/>
        <v>#N/A</v>
      </c>
      <c r="F2618" s="80"/>
      <c r="G2618" s="81"/>
      <c r="H2618" s="78"/>
      <c r="I2618" s="78"/>
      <c r="J2618" s="78"/>
    </row>
    <row r="2619" spans="1:10" x14ac:dyDescent="0.2">
      <c r="A2619" s="84">
        <f t="shared" si="85"/>
        <v>2613</v>
      </c>
      <c r="B2619" s="85" t="e">
        <f>+MATCH(D2619,ARTICULOS!$F$10:$F$699,0)</f>
        <v>#N/A</v>
      </c>
      <c r="C2619" s="86" t="e">
        <f>+VLOOKUP(B2619,ARTICULOS!$D$10:$I$699,6)</f>
        <v>#N/A</v>
      </c>
      <c r="D2619" s="212"/>
      <c r="E2619" s="75" t="e">
        <f t="shared" si="84"/>
        <v>#N/A</v>
      </c>
      <c r="F2619" s="80"/>
      <c r="G2619" s="81"/>
      <c r="H2619" s="78"/>
      <c r="I2619" s="78"/>
      <c r="J2619" s="78"/>
    </row>
    <row r="2620" spans="1:10" x14ac:dyDescent="0.2">
      <c r="A2620" s="84">
        <f t="shared" si="85"/>
        <v>2614</v>
      </c>
      <c r="B2620" s="85" t="e">
        <f>+MATCH(D2620,ARTICULOS!$F$10:$F$699,0)</f>
        <v>#N/A</v>
      </c>
      <c r="C2620" s="86" t="e">
        <f>+VLOOKUP(B2620,ARTICULOS!$D$10:$I$699,6)</f>
        <v>#N/A</v>
      </c>
      <c r="D2620" s="212"/>
      <c r="E2620" s="75" t="e">
        <f t="shared" si="84"/>
        <v>#N/A</v>
      </c>
      <c r="F2620" s="80"/>
      <c r="G2620" s="81"/>
      <c r="H2620" s="78"/>
      <c r="I2620" s="78"/>
      <c r="J2620" s="78"/>
    </row>
    <row r="2621" spans="1:10" x14ac:dyDescent="0.2">
      <c r="A2621" s="84">
        <f t="shared" si="85"/>
        <v>2615</v>
      </c>
      <c r="B2621" s="85" t="e">
        <f>+MATCH(D2621,ARTICULOS!$F$10:$F$699,0)</f>
        <v>#N/A</v>
      </c>
      <c r="C2621" s="86" t="e">
        <f>+VLOOKUP(B2621,ARTICULOS!$D$10:$I$699,6)</f>
        <v>#N/A</v>
      </c>
      <c r="D2621" s="212"/>
      <c r="E2621" s="75" t="e">
        <f t="shared" si="84"/>
        <v>#N/A</v>
      </c>
      <c r="F2621" s="80"/>
      <c r="G2621" s="81"/>
      <c r="H2621" s="78"/>
      <c r="I2621" s="78"/>
      <c r="J2621" s="78"/>
    </row>
    <row r="2622" spans="1:10" x14ac:dyDescent="0.2">
      <c r="A2622" s="84">
        <f t="shared" si="85"/>
        <v>2616</v>
      </c>
      <c r="B2622" s="85" t="e">
        <f>+MATCH(D2622,ARTICULOS!$F$10:$F$699,0)</f>
        <v>#N/A</v>
      </c>
      <c r="C2622" s="86" t="e">
        <f>+VLOOKUP(B2622,ARTICULOS!$D$10:$I$699,6)</f>
        <v>#N/A</v>
      </c>
      <c r="D2622" s="212"/>
      <c r="E2622" s="75" t="e">
        <f t="shared" si="84"/>
        <v>#N/A</v>
      </c>
      <c r="F2622" s="80"/>
      <c r="G2622" s="81"/>
      <c r="H2622" s="78"/>
      <c r="I2622" s="78"/>
      <c r="J2622" s="78"/>
    </row>
    <row r="2623" spans="1:10" x14ac:dyDescent="0.2">
      <c r="A2623" s="84">
        <f t="shared" si="85"/>
        <v>2617</v>
      </c>
      <c r="B2623" s="85" t="e">
        <f>+MATCH(D2623,ARTICULOS!$F$10:$F$699,0)</f>
        <v>#N/A</v>
      </c>
      <c r="C2623" s="86" t="e">
        <f>+VLOOKUP(B2623,ARTICULOS!$D$10:$I$699,6)</f>
        <v>#N/A</v>
      </c>
      <c r="D2623" s="212"/>
      <c r="E2623" s="75" t="e">
        <f t="shared" si="84"/>
        <v>#N/A</v>
      </c>
      <c r="F2623" s="80"/>
      <c r="G2623" s="81"/>
      <c r="H2623" s="78"/>
      <c r="I2623" s="78"/>
      <c r="J2623" s="78"/>
    </row>
    <row r="2624" spans="1:10" x14ac:dyDescent="0.2">
      <c r="A2624" s="84">
        <f t="shared" si="85"/>
        <v>2618</v>
      </c>
      <c r="B2624" s="85" t="e">
        <f>+MATCH(D2624,ARTICULOS!$F$10:$F$699,0)</f>
        <v>#N/A</v>
      </c>
      <c r="C2624" s="86" t="e">
        <f>+VLOOKUP(B2624,ARTICULOS!$D$10:$I$699,6)</f>
        <v>#N/A</v>
      </c>
      <c r="D2624" s="212"/>
      <c r="E2624" s="75" t="e">
        <f t="shared" si="84"/>
        <v>#N/A</v>
      </c>
      <c r="F2624" s="80"/>
      <c r="G2624" s="81"/>
      <c r="H2624" s="78"/>
      <c r="I2624" s="78"/>
      <c r="J2624" s="78"/>
    </row>
    <row r="2625" spans="1:10" x14ac:dyDescent="0.2">
      <c r="A2625" s="84">
        <f t="shared" si="85"/>
        <v>2619</v>
      </c>
      <c r="B2625" s="85" t="e">
        <f>+MATCH(D2625,ARTICULOS!$F$10:$F$699,0)</f>
        <v>#N/A</v>
      </c>
      <c r="C2625" s="86" t="e">
        <f>+VLOOKUP(B2625,ARTICULOS!$D$10:$I$699,6)</f>
        <v>#N/A</v>
      </c>
      <c r="D2625" s="212"/>
      <c r="E2625" s="75" t="e">
        <f t="shared" si="84"/>
        <v>#N/A</v>
      </c>
      <c r="F2625" s="80"/>
      <c r="G2625" s="81"/>
      <c r="H2625" s="78"/>
      <c r="I2625" s="78"/>
      <c r="J2625" s="78"/>
    </row>
    <row r="2626" spans="1:10" x14ac:dyDescent="0.2">
      <c r="A2626" s="84">
        <f t="shared" si="85"/>
        <v>2620</v>
      </c>
      <c r="B2626" s="85" t="e">
        <f>+MATCH(D2626,ARTICULOS!$F$10:$F$699,0)</f>
        <v>#N/A</v>
      </c>
      <c r="C2626" s="86" t="e">
        <f>+VLOOKUP(B2626,ARTICULOS!$D$10:$I$699,6)</f>
        <v>#N/A</v>
      </c>
      <c r="D2626" s="212"/>
      <c r="E2626" s="75" t="e">
        <f t="shared" si="84"/>
        <v>#N/A</v>
      </c>
      <c r="F2626" s="80"/>
      <c r="G2626" s="81"/>
      <c r="H2626" s="78"/>
      <c r="I2626" s="78"/>
      <c r="J2626" s="78"/>
    </row>
    <row r="2627" spans="1:10" x14ac:dyDescent="0.2">
      <c r="A2627" s="84">
        <f t="shared" si="85"/>
        <v>2621</v>
      </c>
      <c r="B2627" s="85" t="e">
        <f>+MATCH(D2627,ARTICULOS!$F$10:$F$699,0)</f>
        <v>#N/A</v>
      </c>
      <c r="C2627" s="86" t="e">
        <f>+VLOOKUP(B2627,ARTICULOS!$D$10:$I$699,6)</f>
        <v>#N/A</v>
      </c>
      <c r="D2627" s="212"/>
      <c r="E2627" s="75" t="e">
        <f t="shared" si="84"/>
        <v>#N/A</v>
      </c>
      <c r="F2627" s="80"/>
      <c r="G2627" s="81"/>
      <c r="H2627" s="78"/>
      <c r="I2627" s="78"/>
      <c r="J2627" s="78"/>
    </row>
    <row r="2628" spans="1:10" x14ac:dyDescent="0.2">
      <c r="A2628" s="84">
        <f t="shared" si="85"/>
        <v>2622</v>
      </c>
      <c r="B2628" s="85" t="e">
        <f>+MATCH(D2628,ARTICULOS!$F$10:$F$699,0)</f>
        <v>#N/A</v>
      </c>
      <c r="C2628" s="86" t="e">
        <f>+VLOOKUP(B2628,ARTICULOS!$D$10:$I$699,6)</f>
        <v>#N/A</v>
      </c>
      <c r="D2628" s="212"/>
      <c r="E2628" s="75" t="e">
        <f t="shared" si="84"/>
        <v>#N/A</v>
      </c>
      <c r="F2628" s="80"/>
      <c r="G2628" s="81"/>
      <c r="H2628" s="78"/>
      <c r="I2628" s="78"/>
      <c r="J2628" s="78"/>
    </row>
    <row r="2629" spans="1:10" x14ac:dyDescent="0.2">
      <c r="A2629" s="84">
        <f t="shared" si="85"/>
        <v>2623</v>
      </c>
      <c r="B2629" s="85" t="e">
        <f>+MATCH(D2629,ARTICULOS!$F$10:$F$699,0)</f>
        <v>#N/A</v>
      </c>
      <c r="C2629" s="86" t="e">
        <f>+VLOOKUP(B2629,ARTICULOS!$D$10:$I$699,6)</f>
        <v>#N/A</v>
      </c>
      <c r="D2629" s="212"/>
      <c r="E2629" s="75" t="e">
        <f t="shared" si="84"/>
        <v>#N/A</v>
      </c>
      <c r="F2629" s="80"/>
      <c r="G2629" s="81"/>
      <c r="H2629" s="78"/>
      <c r="I2629" s="78"/>
      <c r="J2629" s="78"/>
    </row>
    <row r="2630" spans="1:10" x14ac:dyDescent="0.2">
      <c r="A2630" s="84">
        <f t="shared" si="85"/>
        <v>2624</v>
      </c>
      <c r="B2630" s="85" t="e">
        <f>+MATCH(D2630,ARTICULOS!$F$10:$F$699,0)</f>
        <v>#N/A</v>
      </c>
      <c r="C2630" s="86" t="e">
        <f>+VLOOKUP(B2630,ARTICULOS!$D$10:$I$699,6)</f>
        <v>#N/A</v>
      </c>
      <c r="D2630" s="212"/>
      <c r="E2630" s="75" t="e">
        <f t="shared" si="84"/>
        <v>#N/A</v>
      </c>
      <c r="F2630" s="80"/>
      <c r="G2630" s="81"/>
      <c r="H2630" s="78"/>
      <c r="I2630" s="78"/>
      <c r="J2630" s="78"/>
    </row>
    <row r="2631" spans="1:10" x14ac:dyDescent="0.2">
      <c r="A2631" s="84">
        <f t="shared" si="85"/>
        <v>2625</v>
      </c>
      <c r="B2631" s="85" t="e">
        <f>+MATCH(D2631,ARTICULOS!$F$10:$F$699,0)</f>
        <v>#N/A</v>
      </c>
      <c r="C2631" s="86" t="e">
        <f>+VLOOKUP(B2631,ARTICULOS!$D$10:$I$699,6)</f>
        <v>#N/A</v>
      </c>
      <c r="D2631" s="212"/>
      <c r="E2631" s="75" t="e">
        <f t="shared" si="84"/>
        <v>#N/A</v>
      </c>
      <c r="F2631" s="80"/>
      <c r="G2631" s="81"/>
      <c r="H2631" s="78"/>
      <c r="I2631" s="78"/>
      <c r="J2631" s="78"/>
    </row>
    <row r="2632" spans="1:10" x14ac:dyDescent="0.2">
      <c r="A2632" s="84">
        <f t="shared" si="85"/>
        <v>2626</v>
      </c>
      <c r="B2632" s="85" t="e">
        <f>+MATCH(D2632,ARTICULOS!$F$10:$F$699,0)</f>
        <v>#N/A</v>
      </c>
      <c r="C2632" s="86" t="e">
        <f>+VLOOKUP(B2632,ARTICULOS!$D$10:$I$699,6)</f>
        <v>#N/A</v>
      </c>
      <c r="D2632" s="212"/>
      <c r="E2632" s="75" t="e">
        <f t="shared" si="84"/>
        <v>#N/A</v>
      </c>
      <c r="F2632" s="80"/>
      <c r="G2632" s="81"/>
      <c r="H2632" s="78"/>
      <c r="I2632" s="78"/>
      <c r="J2632" s="78"/>
    </row>
    <row r="2633" spans="1:10" x14ac:dyDescent="0.2">
      <c r="A2633" s="84">
        <f t="shared" si="85"/>
        <v>2627</v>
      </c>
      <c r="B2633" s="85" t="e">
        <f>+MATCH(D2633,ARTICULOS!$F$10:$F$699,0)</f>
        <v>#N/A</v>
      </c>
      <c r="C2633" s="86" t="e">
        <f>+VLOOKUP(B2633,ARTICULOS!$D$10:$I$699,6)</f>
        <v>#N/A</v>
      </c>
      <c r="D2633" s="212"/>
      <c r="E2633" s="75" t="e">
        <f t="shared" si="84"/>
        <v>#N/A</v>
      </c>
      <c r="F2633" s="80"/>
      <c r="G2633" s="81"/>
      <c r="H2633" s="78"/>
      <c r="I2633" s="78"/>
      <c r="J2633" s="78"/>
    </row>
    <row r="2634" spans="1:10" x14ac:dyDescent="0.2">
      <c r="A2634" s="84">
        <f t="shared" si="85"/>
        <v>2628</v>
      </c>
      <c r="B2634" s="85" t="e">
        <f>+MATCH(D2634,ARTICULOS!$F$10:$F$699,0)</f>
        <v>#N/A</v>
      </c>
      <c r="C2634" s="86" t="e">
        <f>+VLOOKUP(B2634,ARTICULOS!$D$10:$I$699,6)</f>
        <v>#N/A</v>
      </c>
      <c r="D2634" s="212"/>
      <c r="E2634" s="75" t="e">
        <f t="shared" si="84"/>
        <v>#N/A</v>
      </c>
      <c r="F2634" s="80"/>
      <c r="G2634" s="81"/>
      <c r="H2634" s="78"/>
      <c r="I2634" s="78"/>
      <c r="J2634" s="78"/>
    </row>
    <row r="2635" spans="1:10" x14ac:dyDescent="0.2">
      <c r="A2635" s="84">
        <f t="shared" si="85"/>
        <v>2629</v>
      </c>
      <c r="B2635" s="85" t="e">
        <f>+MATCH(D2635,ARTICULOS!$F$10:$F$699,0)</f>
        <v>#N/A</v>
      </c>
      <c r="C2635" s="86" t="e">
        <f>+VLOOKUP(B2635,ARTICULOS!$D$10:$I$699,6)</f>
        <v>#N/A</v>
      </c>
      <c r="D2635" s="212"/>
      <c r="E2635" s="75" t="e">
        <f t="shared" ref="E2635:E2698" si="86">+C2635&amp;F2635</f>
        <v>#N/A</v>
      </c>
      <c r="F2635" s="80"/>
      <c r="G2635" s="81"/>
      <c r="H2635" s="78"/>
      <c r="I2635" s="78"/>
      <c r="J2635" s="78"/>
    </row>
    <row r="2636" spans="1:10" x14ac:dyDescent="0.2">
      <c r="A2636" s="84">
        <f t="shared" si="85"/>
        <v>2630</v>
      </c>
      <c r="B2636" s="85" t="e">
        <f>+MATCH(D2636,ARTICULOS!$F$10:$F$699,0)</f>
        <v>#N/A</v>
      </c>
      <c r="C2636" s="86" t="e">
        <f>+VLOOKUP(B2636,ARTICULOS!$D$10:$I$699,6)</f>
        <v>#N/A</v>
      </c>
      <c r="D2636" s="212"/>
      <c r="E2636" s="75" t="e">
        <f t="shared" si="86"/>
        <v>#N/A</v>
      </c>
      <c r="F2636" s="80"/>
      <c r="G2636" s="81"/>
      <c r="H2636" s="78"/>
      <c r="I2636" s="78"/>
      <c r="J2636" s="78"/>
    </row>
    <row r="2637" spans="1:10" x14ac:dyDescent="0.2">
      <c r="A2637" s="84">
        <f t="shared" si="85"/>
        <v>2631</v>
      </c>
      <c r="B2637" s="85" t="e">
        <f>+MATCH(D2637,ARTICULOS!$F$10:$F$699,0)</f>
        <v>#N/A</v>
      </c>
      <c r="C2637" s="86" t="e">
        <f>+VLOOKUP(B2637,ARTICULOS!$D$10:$I$699,6)</f>
        <v>#N/A</v>
      </c>
      <c r="D2637" s="212"/>
      <c r="E2637" s="75" t="e">
        <f t="shared" si="86"/>
        <v>#N/A</v>
      </c>
      <c r="F2637" s="80"/>
      <c r="G2637" s="81"/>
      <c r="H2637" s="78"/>
      <c r="I2637" s="78"/>
      <c r="J2637" s="78"/>
    </row>
    <row r="2638" spans="1:10" x14ac:dyDescent="0.2">
      <c r="A2638" s="84">
        <f t="shared" si="85"/>
        <v>2632</v>
      </c>
      <c r="B2638" s="85" t="e">
        <f>+MATCH(D2638,ARTICULOS!$F$10:$F$699,0)</f>
        <v>#N/A</v>
      </c>
      <c r="C2638" s="86" t="e">
        <f>+VLOOKUP(B2638,ARTICULOS!$D$10:$I$699,6)</f>
        <v>#N/A</v>
      </c>
      <c r="D2638" s="212"/>
      <c r="E2638" s="75" t="e">
        <f t="shared" si="86"/>
        <v>#N/A</v>
      </c>
      <c r="F2638" s="80"/>
      <c r="G2638" s="81"/>
      <c r="H2638" s="78"/>
      <c r="I2638" s="78"/>
      <c r="J2638" s="78"/>
    </row>
    <row r="2639" spans="1:10" x14ac:dyDescent="0.2">
      <c r="A2639" s="84">
        <f t="shared" si="85"/>
        <v>2633</v>
      </c>
      <c r="B2639" s="85" t="e">
        <f>+MATCH(D2639,ARTICULOS!$F$10:$F$699,0)</f>
        <v>#N/A</v>
      </c>
      <c r="C2639" s="86" t="e">
        <f>+VLOOKUP(B2639,ARTICULOS!$D$10:$I$699,6)</f>
        <v>#N/A</v>
      </c>
      <c r="D2639" s="212"/>
      <c r="E2639" s="75" t="e">
        <f t="shared" si="86"/>
        <v>#N/A</v>
      </c>
      <c r="F2639" s="80"/>
      <c r="G2639" s="81"/>
      <c r="H2639" s="78"/>
      <c r="I2639" s="78"/>
      <c r="J2639" s="78"/>
    </row>
    <row r="2640" spans="1:10" x14ac:dyDescent="0.2">
      <c r="A2640" s="84">
        <f t="shared" si="85"/>
        <v>2634</v>
      </c>
      <c r="B2640" s="85" t="e">
        <f>+MATCH(D2640,ARTICULOS!$F$10:$F$699,0)</f>
        <v>#N/A</v>
      </c>
      <c r="C2640" s="86" t="e">
        <f>+VLOOKUP(B2640,ARTICULOS!$D$10:$I$699,6)</f>
        <v>#N/A</v>
      </c>
      <c r="D2640" s="212"/>
      <c r="E2640" s="75" t="e">
        <f t="shared" si="86"/>
        <v>#N/A</v>
      </c>
      <c r="F2640" s="80"/>
      <c r="G2640" s="81"/>
      <c r="H2640" s="78"/>
      <c r="I2640" s="78"/>
      <c r="J2640" s="78"/>
    </row>
    <row r="2641" spans="1:10" x14ac:dyDescent="0.2">
      <c r="A2641" s="84">
        <f t="shared" si="85"/>
        <v>2635</v>
      </c>
      <c r="B2641" s="85" t="e">
        <f>+MATCH(D2641,ARTICULOS!$F$10:$F$699,0)</f>
        <v>#N/A</v>
      </c>
      <c r="C2641" s="86" t="e">
        <f>+VLOOKUP(B2641,ARTICULOS!$D$10:$I$699,6)</f>
        <v>#N/A</v>
      </c>
      <c r="D2641" s="212"/>
      <c r="E2641" s="75" t="e">
        <f t="shared" si="86"/>
        <v>#N/A</v>
      </c>
      <c r="F2641" s="80"/>
      <c r="G2641" s="81"/>
      <c r="H2641" s="78"/>
      <c r="I2641" s="78"/>
      <c r="J2641" s="78"/>
    </row>
    <row r="2642" spans="1:10" x14ac:dyDescent="0.2">
      <c r="A2642" s="84">
        <f t="shared" si="85"/>
        <v>2636</v>
      </c>
      <c r="B2642" s="85" t="e">
        <f>+MATCH(D2642,ARTICULOS!$F$10:$F$699,0)</f>
        <v>#N/A</v>
      </c>
      <c r="C2642" s="86" t="e">
        <f>+VLOOKUP(B2642,ARTICULOS!$D$10:$I$699,6)</f>
        <v>#N/A</v>
      </c>
      <c r="D2642" s="212"/>
      <c r="E2642" s="75" t="e">
        <f t="shared" si="86"/>
        <v>#N/A</v>
      </c>
      <c r="F2642" s="80"/>
      <c r="G2642" s="81"/>
      <c r="H2642" s="78"/>
      <c r="I2642" s="78"/>
      <c r="J2642" s="78"/>
    </row>
    <row r="2643" spans="1:10" x14ac:dyDescent="0.2">
      <c r="A2643" s="84">
        <f t="shared" si="85"/>
        <v>2637</v>
      </c>
      <c r="B2643" s="85" t="e">
        <f>+MATCH(D2643,ARTICULOS!$F$10:$F$699,0)</f>
        <v>#N/A</v>
      </c>
      <c r="C2643" s="86" t="e">
        <f>+VLOOKUP(B2643,ARTICULOS!$D$10:$I$699,6)</f>
        <v>#N/A</v>
      </c>
      <c r="D2643" s="212"/>
      <c r="E2643" s="75" t="e">
        <f t="shared" si="86"/>
        <v>#N/A</v>
      </c>
      <c r="F2643" s="80"/>
      <c r="G2643" s="81"/>
      <c r="H2643" s="78"/>
      <c r="I2643" s="78"/>
      <c r="J2643" s="78"/>
    </row>
    <row r="2644" spans="1:10" x14ac:dyDescent="0.2">
      <c r="A2644" s="84">
        <f t="shared" si="85"/>
        <v>2638</v>
      </c>
      <c r="B2644" s="85" t="e">
        <f>+MATCH(D2644,ARTICULOS!$F$10:$F$699,0)</f>
        <v>#N/A</v>
      </c>
      <c r="C2644" s="86" t="e">
        <f>+VLOOKUP(B2644,ARTICULOS!$D$10:$I$699,6)</f>
        <v>#N/A</v>
      </c>
      <c r="D2644" s="212"/>
      <c r="E2644" s="75" t="e">
        <f t="shared" si="86"/>
        <v>#N/A</v>
      </c>
      <c r="F2644" s="80"/>
      <c r="G2644" s="81"/>
      <c r="H2644" s="78"/>
      <c r="I2644" s="78"/>
      <c r="J2644" s="78"/>
    </row>
    <row r="2645" spans="1:10" x14ac:dyDescent="0.2">
      <c r="A2645" s="84">
        <f t="shared" si="85"/>
        <v>2639</v>
      </c>
      <c r="B2645" s="85" t="e">
        <f>+MATCH(D2645,ARTICULOS!$F$10:$F$699,0)</f>
        <v>#N/A</v>
      </c>
      <c r="C2645" s="86" t="e">
        <f>+VLOOKUP(B2645,ARTICULOS!$D$10:$I$699,6)</f>
        <v>#N/A</v>
      </c>
      <c r="D2645" s="212"/>
      <c r="E2645" s="75" t="e">
        <f t="shared" si="86"/>
        <v>#N/A</v>
      </c>
      <c r="F2645" s="80"/>
      <c r="G2645" s="81"/>
      <c r="H2645" s="78"/>
      <c r="I2645" s="78"/>
      <c r="J2645" s="78"/>
    </row>
    <row r="2646" spans="1:10" x14ac:dyDescent="0.2">
      <c r="A2646" s="84">
        <f t="shared" si="85"/>
        <v>2640</v>
      </c>
      <c r="B2646" s="85" t="e">
        <f>+MATCH(D2646,ARTICULOS!$F$10:$F$699,0)</f>
        <v>#N/A</v>
      </c>
      <c r="C2646" s="86" t="e">
        <f>+VLOOKUP(B2646,ARTICULOS!$D$10:$I$699,6)</f>
        <v>#N/A</v>
      </c>
      <c r="D2646" s="212"/>
      <c r="E2646" s="75" t="e">
        <f t="shared" si="86"/>
        <v>#N/A</v>
      </c>
      <c r="F2646" s="80"/>
      <c r="G2646" s="81"/>
      <c r="H2646" s="78"/>
      <c r="I2646" s="78"/>
      <c r="J2646" s="78"/>
    </row>
    <row r="2647" spans="1:10" x14ac:dyDescent="0.2">
      <c r="A2647" s="84">
        <f t="shared" si="85"/>
        <v>2641</v>
      </c>
      <c r="B2647" s="85" t="e">
        <f>+MATCH(D2647,ARTICULOS!$F$10:$F$699,0)</f>
        <v>#N/A</v>
      </c>
      <c r="C2647" s="86" t="e">
        <f>+VLOOKUP(B2647,ARTICULOS!$D$10:$I$699,6)</f>
        <v>#N/A</v>
      </c>
      <c r="D2647" s="212"/>
      <c r="E2647" s="75" t="e">
        <f t="shared" si="86"/>
        <v>#N/A</v>
      </c>
      <c r="F2647" s="80"/>
      <c r="G2647" s="81"/>
      <c r="H2647" s="78"/>
      <c r="I2647" s="78"/>
      <c r="J2647" s="78"/>
    </row>
    <row r="2648" spans="1:10" x14ac:dyDescent="0.2">
      <c r="A2648" s="84">
        <f t="shared" si="85"/>
        <v>2642</v>
      </c>
      <c r="B2648" s="85" t="e">
        <f>+MATCH(D2648,ARTICULOS!$F$10:$F$699,0)</f>
        <v>#N/A</v>
      </c>
      <c r="C2648" s="86" t="e">
        <f>+VLOOKUP(B2648,ARTICULOS!$D$10:$I$699,6)</f>
        <v>#N/A</v>
      </c>
      <c r="D2648" s="212"/>
      <c r="E2648" s="75" t="e">
        <f t="shared" si="86"/>
        <v>#N/A</v>
      </c>
      <c r="F2648" s="80"/>
      <c r="G2648" s="81"/>
      <c r="H2648" s="78"/>
      <c r="I2648" s="78"/>
      <c r="J2648" s="78"/>
    </row>
    <row r="2649" spans="1:10" x14ac:dyDescent="0.2">
      <c r="A2649" s="84">
        <f t="shared" si="85"/>
        <v>2643</v>
      </c>
      <c r="B2649" s="85" t="e">
        <f>+MATCH(D2649,ARTICULOS!$F$10:$F$699,0)</f>
        <v>#N/A</v>
      </c>
      <c r="C2649" s="86" t="e">
        <f>+VLOOKUP(B2649,ARTICULOS!$D$10:$I$699,6)</f>
        <v>#N/A</v>
      </c>
      <c r="D2649" s="212"/>
      <c r="E2649" s="75" t="e">
        <f t="shared" si="86"/>
        <v>#N/A</v>
      </c>
      <c r="F2649" s="80"/>
      <c r="G2649" s="81"/>
      <c r="H2649" s="78"/>
      <c r="I2649" s="78"/>
      <c r="J2649" s="78"/>
    </row>
    <row r="2650" spans="1:10" x14ac:dyDescent="0.2">
      <c r="A2650" s="84">
        <f t="shared" si="85"/>
        <v>2644</v>
      </c>
      <c r="B2650" s="85" t="e">
        <f>+MATCH(D2650,ARTICULOS!$F$10:$F$699,0)</f>
        <v>#N/A</v>
      </c>
      <c r="C2650" s="86" t="e">
        <f>+VLOOKUP(B2650,ARTICULOS!$D$10:$I$699,6)</f>
        <v>#N/A</v>
      </c>
      <c r="D2650" s="212"/>
      <c r="E2650" s="75" t="e">
        <f t="shared" si="86"/>
        <v>#N/A</v>
      </c>
      <c r="F2650" s="80"/>
      <c r="G2650" s="81"/>
      <c r="H2650" s="78"/>
      <c r="I2650" s="78"/>
      <c r="J2650" s="78"/>
    </row>
    <row r="2651" spans="1:10" x14ac:dyDescent="0.2">
      <c r="A2651" s="84">
        <f t="shared" si="85"/>
        <v>2645</v>
      </c>
      <c r="B2651" s="85" t="e">
        <f>+MATCH(D2651,ARTICULOS!$F$10:$F$699,0)</f>
        <v>#N/A</v>
      </c>
      <c r="C2651" s="86" t="e">
        <f>+VLOOKUP(B2651,ARTICULOS!$D$10:$I$699,6)</f>
        <v>#N/A</v>
      </c>
      <c r="D2651" s="212"/>
      <c r="E2651" s="75" t="e">
        <f t="shared" si="86"/>
        <v>#N/A</v>
      </c>
      <c r="F2651" s="80"/>
      <c r="G2651" s="81"/>
      <c r="H2651" s="78"/>
      <c r="I2651" s="78"/>
      <c r="J2651" s="78"/>
    </row>
    <row r="2652" spans="1:10" x14ac:dyDescent="0.2">
      <c r="A2652" s="84">
        <f t="shared" si="85"/>
        <v>2646</v>
      </c>
      <c r="B2652" s="85" t="e">
        <f>+MATCH(D2652,ARTICULOS!$F$10:$F$699,0)</f>
        <v>#N/A</v>
      </c>
      <c r="C2652" s="86" t="e">
        <f>+VLOOKUP(B2652,ARTICULOS!$D$10:$I$699,6)</f>
        <v>#N/A</v>
      </c>
      <c r="D2652" s="212"/>
      <c r="E2652" s="75" t="e">
        <f t="shared" si="86"/>
        <v>#N/A</v>
      </c>
      <c r="F2652" s="80"/>
      <c r="G2652" s="81"/>
      <c r="H2652" s="78"/>
      <c r="I2652" s="78"/>
      <c r="J2652" s="78"/>
    </row>
    <row r="2653" spans="1:10" x14ac:dyDescent="0.2">
      <c r="A2653" s="84">
        <f t="shared" si="85"/>
        <v>2647</v>
      </c>
      <c r="B2653" s="85" t="e">
        <f>+MATCH(D2653,ARTICULOS!$F$10:$F$699,0)</f>
        <v>#N/A</v>
      </c>
      <c r="C2653" s="86" t="e">
        <f>+VLOOKUP(B2653,ARTICULOS!$D$10:$I$699,6)</f>
        <v>#N/A</v>
      </c>
      <c r="D2653" s="212"/>
      <c r="E2653" s="75" t="e">
        <f t="shared" si="86"/>
        <v>#N/A</v>
      </c>
      <c r="F2653" s="80"/>
      <c r="G2653" s="81"/>
      <c r="H2653" s="78"/>
      <c r="I2653" s="78"/>
      <c r="J2653" s="78"/>
    </row>
    <row r="2654" spans="1:10" x14ac:dyDescent="0.2">
      <c r="A2654" s="84">
        <f t="shared" si="85"/>
        <v>2648</v>
      </c>
      <c r="B2654" s="85" t="e">
        <f>+MATCH(D2654,ARTICULOS!$F$10:$F$699,0)</f>
        <v>#N/A</v>
      </c>
      <c r="C2654" s="86" t="e">
        <f>+VLOOKUP(B2654,ARTICULOS!$D$10:$I$699,6)</f>
        <v>#N/A</v>
      </c>
      <c r="D2654" s="212"/>
      <c r="E2654" s="75" t="e">
        <f t="shared" si="86"/>
        <v>#N/A</v>
      </c>
      <c r="F2654" s="80"/>
      <c r="G2654" s="81"/>
      <c r="H2654" s="78"/>
      <c r="I2654" s="78"/>
      <c r="J2654" s="78"/>
    </row>
    <row r="2655" spans="1:10" x14ac:dyDescent="0.2">
      <c r="A2655" s="84">
        <f t="shared" si="85"/>
        <v>2649</v>
      </c>
      <c r="B2655" s="85" t="e">
        <f>+MATCH(D2655,ARTICULOS!$F$10:$F$699,0)</f>
        <v>#N/A</v>
      </c>
      <c r="C2655" s="86" t="e">
        <f>+VLOOKUP(B2655,ARTICULOS!$D$10:$I$699,6)</f>
        <v>#N/A</v>
      </c>
      <c r="D2655" s="212"/>
      <c r="E2655" s="75" t="e">
        <f t="shared" si="86"/>
        <v>#N/A</v>
      </c>
      <c r="F2655" s="80"/>
      <c r="G2655" s="81"/>
      <c r="H2655" s="78"/>
      <c r="I2655" s="78"/>
      <c r="J2655" s="78"/>
    </row>
    <row r="2656" spans="1:10" x14ac:dyDescent="0.2">
      <c r="A2656" s="84">
        <f t="shared" si="85"/>
        <v>2650</v>
      </c>
      <c r="B2656" s="85" t="e">
        <f>+MATCH(D2656,ARTICULOS!$F$10:$F$699,0)</f>
        <v>#N/A</v>
      </c>
      <c r="C2656" s="86" t="e">
        <f>+VLOOKUP(B2656,ARTICULOS!$D$10:$I$699,6)</f>
        <v>#N/A</v>
      </c>
      <c r="D2656" s="212"/>
      <c r="E2656" s="75" t="e">
        <f t="shared" si="86"/>
        <v>#N/A</v>
      </c>
      <c r="F2656" s="80"/>
      <c r="G2656" s="81"/>
      <c r="H2656" s="78"/>
      <c r="I2656" s="78"/>
      <c r="J2656" s="78"/>
    </row>
    <row r="2657" spans="1:10" x14ac:dyDescent="0.2">
      <c r="A2657" s="84">
        <f t="shared" si="85"/>
        <v>2651</v>
      </c>
      <c r="B2657" s="85" t="e">
        <f>+MATCH(D2657,ARTICULOS!$F$10:$F$699,0)</f>
        <v>#N/A</v>
      </c>
      <c r="C2657" s="86" t="e">
        <f>+VLOOKUP(B2657,ARTICULOS!$D$10:$I$699,6)</f>
        <v>#N/A</v>
      </c>
      <c r="D2657" s="212"/>
      <c r="E2657" s="75" t="e">
        <f t="shared" si="86"/>
        <v>#N/A</v>
      </c>
      <c r="F2657" s="80"/>
      <c r="G2657" s="81"/>
      <c r="H2657" s="78"/>
      <c r="I2657" s="78"/>
      <c r="J2657" s="78"/>
    </row>
    <row r="2658" spans="1:10" x14ac:dyDescent="0.2">
      <c r="A2658" s="84">
        <f t="shared" si="85"/>
        <v>2652</v>
      </c>
      <c r="B2658" s="85" t="e">
        <f>+MATCH(D2658,ARTICULOS!$F$10:$F$699,0)</f>
        <v>#N/A</v>
      </c>
      <c r="C2658" s="86" t="e">
        <f>+VLOOKUP(B2658,ARTICULOS!$D$10:$I$699,6)</f>
        <v>#N/A</v>
      </c>
      <c r="D2658" s="212"/>
      <c r="E2658" s="75" t="e">
        <f t="shared" si="86"/>
        <v>#N/A</v>
      </c>
      <c r="F2658" s="80"/>
      <c r="G2658" s="81"/>
      <c r="H2658" s="78"/>
      <c r="I2658" s="78"/>
      <c r="J2658" s="78"/>
    </row>
    <row r="2659" spans="1:10" x14ac:dyDescent="0.2">
      <c r="A2659" s="84">
        <f t="shared" si="85"/>
        <v>2653</v>
      </c>
      <c r="B2659" s="85" t="e">
        <f>+MATCH(D2659,ARTICULOS!$F$10:$F$699,0)</f>
        <v>#N/A</v>
      </c>
      <c r="C2659" s="86" t="e">
        <f>+VLOOKUP(B2659,ARTICULOS!$D$10:$I$699,6)</f>
        <v>#N/A</v>
      </c>
      <c r="D2659" s="212"/>
      <c r="E2659" s="75" t="e">
        <f t="shared" si="86"/>
        <v>#N/A</v>
      </c>
      <c r="F2659" s="80"/>
      <c r="G2659" s="81"/>
      <c r="H2659" s="78"/>
      <c r="I2659" s="78"/>
      <c r="J2659" s="78"/>
    </row>
    <row r="2660" spans="1:10" x14ac:dyDescent="0.2">
      <c r="A2660" s="84">
        <f t="shared" si="85"/>
        <v>2654</v>
      </c>
      <c r="B2660" s="85" t="e">
        <f>+MATCH(D2660,ARTICULOS!$F$10:$F$699,0)</f>
        <v>#N/A</v>
      </c>
      <c r="C2660" s="86" t="e">
        <f>+VLOOKUP(B2660,ARTICULOS!$D$10:$I$699,6)</f>
        <v>#N/A</v>
      </c>
      <c r="D2660" s="212"/>
      <c r="E2660" s="75" t="e">
        <f t="shared" si="86"/>
        <v>#N/A</v>
      </c>
      <c r="F2660" s="80"/>
      <c r="G2660" s="81"/>
      <c r="H2660" s="78"/>
      <c r="I2660" s="78"/>
      <c r="J2660" s="78"/>
    </row>
    <row r="2661" spans="1:10" x14ac:dyDescent="0.2">
      <c r="A2661" s="84">
        <f t="shared" si="85"/>
        <v>2655</v>
      </c>
      <c r="B2661" s="85" t="e">
        <f>+MATCH(D2661,ARTICULOS!$F$10:$F$699,0)</f>
        <v>#N/A</v>
      </c>
      <c r="C2661" s="86" t="e">
        <f>+VLOOKUP(B2661,ARTICULOS!$D$10:$I$699,6)</f>
        <v>#N/A</v>
      </c>
      <c r="D2661" s="212"/>
      <c r="E2661" s="75" t="e">
        <f t="shared" si="86"/>
        <v>#N/A</v>
      </c>
      <c r="F2661" s="80"/>
      <c r="G2661" s="81"/>
      <c r="H2661" s="78"/>
      <c r="I2661" s="78"/>
      <c r="J2661" s="78"/>
    </row>
    <row r="2662" spans="1:10" x14ac:dyDescent="0.2">
      <c r="A2662" s="84">
        <f t="shared" si="85"/>
        <v>2656</v>
      </c>
      <c r="B2662" s="85" t="e">
        <f>+MATCH(D2662,ARTICULOS!$F$10:$F$699,0)</f>
        <v>#N/A</v>
      </c>
      <c r="C2662" s="86" t="e">
        <f>+VLOOKUP(B2662,ARTICULOS!$D$10:$I$699,6)</f>
        <v>#N/A</v>
      </c>
      <c r="D2662" s="212"/>
      <c r="E2662" s="75" t="e">
        <f t="shared" si="86"/>
        <v>#N/A</v>
      </c>
      <c r="F2662" s="80"/>
      <c r="G2662" s="81"/>
      <c r="H2662" s="78"/>
      <c r="I2662" s="78"/>
      <c r="J2662" s="78"/>
    </row>
    <row r="2663" spans="1:10" x14ac:dyDescent="0.2">
      <c r="A2663" s="84">
        <f t="shared" si="85"/>
        <v>2657</v>
      </c>
      <c r="B2663" s="85" t="e">
        <f>+MATCH(D2663,ARTICULOS!$F$10:$F$699,0)</f>
        <v>#N/A</v>
      </c>
      <c r="C2663" s="86" t="e">
        <f>+VLOOKUP(B2663,ARTICULOS!$D$10:$I$699,6)</f>
        <v>#N/A</v>
      </c>
      <c r="D2663" s="212"/>
      <c r="E2663" s="75" t="e">
        <f t="shared" si="86"/>
        <v>#N/A</v>
      </c>
      <c r="F2663" s="80"/>
      <c r="G2663" s="81"/>
      <c r="H2663" s="78"/>
      <c r="I2663" s="78"/>
      <c r="J2663" s="78"/>
    </row>
    <row r="2664" spans="1:10" x14ac:dyDescent="0.2">
      <c r="A2664" s="84">
        <f t="shared" si="85"/>
        <v>2658</v>
      </c>
      <c r="B2664" s="85" t="e">
        <f>+MATCH(D2664,ARTICULOS!$F$10:$F$699,0)</f>
        <v>#N/A</v>
      </c>
      <c r="C2664" s="86" t="e">
        <f>+VLOOKUP(B2664,ARTICULOS!$D$10:$I$699,6)</f>
        <v>#N/A</v>
      </c>
      <c r="D2664" s="212"/>
      <c r="E2664" s="75" t="e">
        <f t="shared" si="86"/>
        <v>#N/A</v>
      </c>
      <c r="F2664" s="80"/>
      <c r="G2664" s="81"/>
      <c r="H2664" s="78"/>
      <c r="I2664" s="78"/>
      <c r="J2664" s="78"/>
    </row>
    <row r="2665" spans="1:10" x14ac:dyDescent="0.2">
      <c r="A2665" s="84">
        <f t="shared" ref="A2665:A2728" si="87">ROW()-6</f>
        <v>2659</v>
      </c>
      <c r="B2665" s="85" t="e">
        <f>+MATCH(D2665,ARTICULOS!$F$10:$F$699,0)</f>
        <v>#N/A</v>
      </c>
      <c r="C2665" s="86" t="e">
        <f>+VLOOKUP(B2665,ARTICULOS!$D$10:$I$699,6)</f>
        <v>#N/A</v>
      </c>
      <c r="D2665" s="212"/>
      <c r="E2665" s="75" t="e">
        <f t="shared" si="86"/>
        <v>#N/A</v>
      </c>
      <c r="F2665" s="80"/>
      <c r="G2665" s="81"/>
      <c r="H2665" s="78"/>
      <c r="I2665" s="78"/>
      <c r="J2665" s="78"/>
    </row>
    <row r="2666" spans="1:10" x14ac:dyDescent="0.2">
      <c r="A2666" s="84">
        <f t="shared" si="87"/>
        <v>2660</v>
      </c>
      <c r="B2666" s="85" t="e">
        <f>+MATCH(D2666,ARTICULOS!$F$10:$F$699,0)</f>
        <v>#N/A</v>
      </c>
      <c r="C2666" s="86" t="e">
        <f>+VLOOKUP(B2666,ARTICULOS!$D$10:$I$699,6)</f>
        <v>#N/A</v>
      </c>
      <c r="D2666" s="212"/>
      <c r="E2666" s="75" t="e">
        <f t="shared" si="86"/>
        <v>#N/A</v>
      </c>
      <c r="F2666" s="80"/>
      <c r="G2666" s="81"/>
      <c r="H2666" s="78"/>
      <c r="I2666" s="78"/>
      <c r="J2666" s="78"/>
    </row>
    <row r="2667" spans="1:10" x14ac:dyDescent="0.2">
      <c r="A2667" s="84">
        <f t="shared" si="87"/>
        <v>2661</v>
      </c>
      <c r="B2667" s="85" t="e">
        <f>+MATCH(D2667,ARTICULOS!$F$10:$F$699,0)</f>
        <v>#N/A</v>
      </c>
      <c r="C2667" s="86" t="e">
        <f>+VLOOKUP(B2667,ARTICULOS!$D$10:$I$699,6)</f>
        <v>#N/A</v>
      </c>
      <c r="D2667" s="212"/>
      <c r="E2667" s="75" t="e">
        <f t="shared" si="86"/>
        <v>#N/A</v>
      </c>
      <c r="F2667" s="80"/>
      <c r="G2667" s="81"/>
      <c r="H2667" s="78"/>
      <c r="I2667" s="78"/>
      <c r="J2667" s="78"/>
    </row>
    <row r="2668" spans="1:10" x14ac:dyDescent="0.2">
      <c r="A2668" s="84">
        <f t="shared" si="87"/>
        <v>2662</v>
      </c>
      <c r="B2668" s="85" t="e">
        <f>+MATCH(D2668,ARTICULOS!$F$10:$F$699,0)</f>
        <v>#N/A</v>
      </c>
      <c r="C2668" s="86" t="e">
        <f>+VLOOKUP(B2668,ARTICULOS!$D$10:$I$699,6)</f>
        <v>#N/A</v>
      </c>
      <c r="D2668" s="212"/>
      <c r="E2668" s="75" t="e">
        <f t="shared" si="86"/>
        <v>#N/A</v>
      </c>
      <c r="F2668" s="80"/>
      <c r="G2668" s="81"/>
      <c r="H2668" s="78"/>
      <c r="I2668" s="78"/>
      <c r="J2668" s="78"/>
    </row>
    <row r="2669" spans="1:10" x14ac:dyDescent="0.2">
      <c r="A2669" s="84">
        <f t="shared" si="87"/>
        <v>2663</v>
      </c>
      <c r="B2669" s="85" t="e">
        <f>+MATCH(D2669,ARTICULOS!$F$10:$F$699,0)</f>
        <v>#N/A</v>
      </c>
      <c r="C2669" s="86" t="e">
        <f>+VLOOKUP(B2669,ARTICULOS!$D$10:$I$699,6)</f>
        <v>#N/A</v>
      </c>
      <c r="D2669" s="212"/>
      <c r="E2669" s="75" t="e">
        <f t="shared" si="86"/>
        <v>#N/A</v>
      </c>
      <c r="F2669" s="80"/>
      <c r="G2669" s="81"/>
      <c r="H2669" s="78"/>
      <c r="I2669" s="78"/>
      <c r="J2669" s="78"/>
    </row>
    <row r="2670" spans="1:10" x14ac:dyDescent="0.2">
      <c r="A2670" s="84">
        <f t="shared" si="87"/>
        <v>2664</v>
      </c>
      <c r="B2670" s="85" t="e">
        <f>+MATCH(D2670,ARTICULOS!$F$10:$F$699,0)</f>
        <v>#N/A</v>
      </c>
      <c r="C2670" s="86" t="e">
        <f>+VLOOKUP(B2670,ARTICULOS!$D$10:$I$699,6)</f>
        <v>#N/A</v>
      </c>
      <c r="D2670" s="212"/>
      <c r="E2670" s="75" t="e">
        <f t="shared" si="86"/>
        <v>#N/A</v>
      </c>
      <c r="F2670" s="80"/>
      <c r="G2670" s="81"/>
      <c r="H2670" s="78"/>
      <c r="I2670" s="78"/>
      <c r="J2670" s="78"/>
    </row>
    <row r="2671" spans="1:10" x14ac:dyDescent="0.2">
      <c r="A2671" s="84">
        <f t="shared" si="87"/>
        <v>2665</v>
      </c>
      <c r="B2671" s="85" t="e">
        <f>+MATCH(D2671,ARTICULOS!$F$10:$F$699,0)</f>
        <v>#N/A</v>
      </c>
      <c r="C2671" s="86" t="e">
        <f>+VLOOKUP(B2671,ARTICULOS!$D$10:$I$699,6)</f>
        <v>#N/A</v>
      </c>
      <c r="D2671" s="212"/>
      <c r="E2671" s="75" t="e">
        <f t="shared" si="86"/>
        <v>#N/A</v>
      </c>
      <c r="F2671" s="80"/>
      <c r="G2671" s="81"/>
      <c r="H2671" s="78"/>
      <c r="I2671" s="78"/>
      <c r="J2671" s="78"/>
    </row>
    <row r="2672" spans="1:10" x14ac:dyDescent="0.2">
      <c r="A2672" s="84">
        <f t="shared" si="87"/>
        <v>2666</v>
      </c>
      <c r="B2672" s="85" t="e">
        <f>+MATCH(D2672,ARTICULOS!$F$10:$F$699,0)</f>
        <v>#N/A</v>
      </c>
      <c r="C2672" s="86" t="e">
        <f>+VLOOKUP(B2672,ARTICULOS!$D$10:$I$699,6)</f>
        <v>#N/A</v>
      </c>
      <c r="D2672" s="212"/>
      <c r="E2672" s="75" t="e">
        <f t="shared" si="86"/>
        <v>#N/A</v>
      </c>
      <c r="F2672" s="80"/>
      <c r="G2672" s="81"/>
      <c r="H2672" s="78"/>
      <c r="I2672" s="78"/>
      <c r="J2672" s="78"/>
    </row>
    <row r="2673" spans="1:10" x14ac:dyDescent="0.2">
      <c r="A2673" s="84">
        <f t="shared" si="87"/>
        <v>2667</v>
      </c>
      <c r="B2673" s="85" t="e">
        <f>+MATCH(D2673,ARTICULOS!$F$10:$F$699,0)</f>
        <v>#N/A</v>
      </c>
      <c r="C2673" s="86" t="e">
        <f>+VLOOKUP(B2673,ARTICULOS!$D$10:$I$699,6)</f>
        <v>#N/A</v>
      </c>
      <c r="D2673" s="212"/>
      <c r="E2673" s="75" t="e">
        <f t="shared" si="86"/>
        <v>#N/A</v>
      </c>
      <c r="F2673" s="80"/>
      <c r="G2673" s="81"/>
      <c r="H2673" s="78"/>
      <c r="I2673" s="78"/>
      <c r="J2673" s="78"/>
    </row>
    <row r="2674" spans="1:10" x14ac:dyDescent="0.2">
      <c r="A2674" s="84">
        <f t="shared" si="87"/>
        <v>2668</v>
      </c>
      <c r="B2674" s="85" t="e">
        <f>+MATCH(D2674,ARTICULOS!$F$10:$F$699,0)</f>
        <v>#N/A</v>
      </c>
      <c r="C2674" s="86" t="e">
        <f>+VLOOKUP(B2674,ARTICULOS!$D$10:$I$699,6)</f>
        <v>#N/A</v>
      </c>
      <c r="D2674" s="212"/>
      <c r="E2674" s="75" t="e">
        <f t="shared" si="86"/>
        <v>#N/A</v>
      </c>
      <c r="F2674" s="80"/>
      <c r="G2674" s="81"/>
      <c r="H2674" s="78"/>
      <c r="I2674" s="78"/>
      <c r="J2674" s="78"/>
    </row>
    <row r="2675" spans="1:10" x14ac:dyDescent="0.2">
      <c r="A2675" s="84">
        <f t="shared" si="87"/>
        <v>2669</v>
      </c>
      <c r="B2675" s="85" t="e">
        <f>+MATCH(D2675,ARTICULOS!$F$10:$F$699,0)</f>
        <v>#N/A</v>
      </c>
      <c r="C2675" s="86" t="e">
        <f>+VLOOKUP(B2675,ARTICULOS!$D$10:$I$699,6)</f>
        <v>#N/A</v>
      </c>
      <c r="D2675" s="212"/>
      <c r="E2675" s="75" t="e">
        <f t="shared" si="86"/>
        <v>#N/A</v>
      </c>
      <c r="F2675" s="80"/>
      <c r="G2675" s="81"/>
      <c r="H2675" s="78"/>
      <c r="I2675" s="78"/>
      <c r="J2675" s="78"/>
    </row>
    <row r="2676" spans="1:10" x14ac:dyDescent="0.2">
      <c r="A2676" s="84">
        <f t="shared" si="87"/>
        <v>2670</v>
      </c>
      <c r="B2676" s="85" t="e">
        <f>+MATCH(D2676,ARTICULOS!$F$10:$F$699,0)</f>
        <v>#N/A</v>
      </c>
      <c r="C2676" s="86" t="e">
        <f>+VLOOKUP(B2676,ARTICULOS!$D$10:$I$699,6)</f>
        <v>#N/A</v>
      </c>
      <c r="D2676" s="212"/>
      <c r="E2676" s="75" t="e">
        <f t="shared" si="86"/>
        <v>#N/A</v>
      </c>
      <c r="F2676" s="80"/>
      <c r="G2676" s="81"/>
      <c r="H2676" s="78"/>
      <c r="I2676" s="78"/>
      <c r="J2676" s="78"/>
    </row>
    <row r="2677" spans="1:10" x14ac:dyDescent="0.2">
      <c r="A2677" s="84">
        <f t="shared" si="87"/>
        <v>2671</v>
      </c>
      <c r="B2677" s="85" t="e">
        <f>+MATCH(D2677,ARTICULOS!$F$10:$F$699,0)</f>
        <v>#N/A</v>
      </c>
      <c r="C2677" s="86" t="e">
        <f>+VLOOKUP(B2677,ARTICULOS!$D$10:$I$699,6)</f>
        <v>#N/A</v>
      </c>
      <c r="D2677" s="212"/>
      <c r="E2677" s="75" t="e">
        <f t="shared" si="86"/>
        <v>#N/A</v>
      </c>
      <c r="F2677" s="80"/>
      <c r="G2677" s="81"/>
      <c r="H2677" s="78"/>
      <c r="I2677" s="78"/>
      <c r="J2677" s="78"/>
    </row>
    <row r="2678" spans="1:10" x14ac:dyDescent="0.2">
      <c r="A2678" s="84">
        <f t="shared" si="87"/>
        <v>2672</v>
      </c>
      <c r="B2678" s="85" t="e">
        <f>+MATCH(D2678,ARTICULOS!$F$10:$F$699,0)</f>
        <v>#N/A</v>
      </c>
      <c r="C2678" s="86" t="e">
        <f>+VLOOKUP(B2678,ARTICULOS!$D$10:$I$699,6)</f>
        <v>#N/A</v>
      </c>
      <c r="D2678" s="212"/>
      <c r="E2678" s="75" t="e">
        <f t="shared" si="86"/>
        <v>#N/A</v>
      </c>
      <c r="F2678" s="80"/>
      <c r="G2678" s="81"/>
      <c r="H2678" s="78"/>
      <c r="I2678" s="78"/>
      <c r="J2678" s="78"/>
    </row>
    <row r="2679" spans="1:10" x14ac:dyDescent="0.2">
      <c r="A2679" s="84">
        <f t="shared" si="87"/>
        <v>2673</v>
      </c>
      <c r="B2679" s="85" t="e">
        <f>+MATCH(D2679,ARTICULOS!$F$10:$F$699,0)</f>
        <v>#N/A</v>
      </c>
      <c r="C2679" s="86" t="e">
        <f>+VLOOKUP(B2679,ARTICULOS!$D$10:$I$699,6)</f>
        <v>#N/A</v>
      </c>
      <c r="D2679" s="212"/>
      <c r="E2679" s="75" t="e">
        <f t="shared" si="86"/>
        <v>#N/A</v>
      </c>
      <c r="F2679" s="80"/>
      <c r="G2679" s="81"/>
      <c r="H2679" s="78"/>
      <c r="I2679" s="78"/>
      <c r="J2679" s="78"/>
    </row>
    <row r="2680" spans="1:10" x14ac:dyDescent="0.2">
      <c r="A2680" s="84">
        <f t="shared" si="87"/>
        <v>2674</v>
      </c>
      <c r="B2680" s="85" t="e">
        <f>+MATCH(D2680,ARTICULOS!$F$10:$F$699,0)</f>
        <v>#N/A</v>
      </c>
      <c r="C2680" s="86" t="e">
        <f>+VLOOKUP(B2680,ARTICULOS!$D$10:$I$699,6)</f>
        <v>#N/A</v>
      </c>
      <c r="D2680" s="212"/>
      <c r="E2680" s="75" t="e">
        <f t="shared" si="86"/>
        <v>#N/A</v>
      </c>
      <c r="F2680" s="80"/>
      <c r="G2680" s="81"/>
      <c r="H2680" s="78"/>
      <c r="I2680" s="78"/>
      <c r="J2680" s="78"/>
    </row>
    <row r="2681" spans="1:10" x14ac:dyDescent="0.2">
      <c r="A2681" s="84">
        <f t="shared" si="87"/>
        <v>2675</v>
      </c>
      <c r="B2681" s="85" t="e">
        <f>+MATCH(D2681,ARTICULOS!$F$10:$F$699,0)</f>
        <v>#N/A</v>
      </c>
      <c r="C2681" s="86" t="e">
        <f>+VLOOKUP(B2681,ARTICULOS!$D$10:$I$699,6)</f>
        <v>#N/A</v>
      </c>
      <c r="D2681" s="212"/>
      <c r="E2681" s="75" t="e">
        <f t="shared" si="86"/>
        <v>#N/A</v>
      </c>
      <c r="F2681" s="80"/>
      <c r="G2681" s="81"/>
      <c r="H2681" s="78"/>
      <c r="I2681" s="78"/>
      <c r="J2681" s="78"/>
    </row>
    <row r="2682" spans="1:10" x14ac:dyDescent="0.2">
      <c r="A2682" s="84">
        <f t="shared" si="87"/>
        <v>2676</v>
      </c>
      <c r="B2682" s="85" t="e">
        <f>+MATCH(D2682,ARTICULOS!$F$10:$F$699,0)</f>
        <v>#N/A</v>
      </c>
      <c r="C2682" s="86" t="e">
        <f>+VLOOKUP(B2682,ARTICULOS!$D$10:$I$699,6)</f>
        <v>#N/A</v>
      </c>
      <c r="D2682" s="212"/>
      <c r="E2682" s="75" t="e">
        <f t="shared" si="86"/>
        <v>#N/A</v>
      </c>
      <c r="F2682" s="80"/>
      <c r="G2682" s="81"/>
      <c r="H2682" s="78"/>
      <c r="I2682" s="78"/>
      <c r="J2682" s="78"/>
    </row>
    <row r="2683" spans="1:10" x14ac:dyDescent="0.2">
      <c r="A2683" s="84">
        <f t="shared" si="87"/>
        <v>2677</v>
      </c>
      <c r="B2683" s="85" t="e">
        <f>+MATCH(D2683,ARTICULOS!$F$10:$F$699,0)</f>
        <v>#N/A</v>
      </c>
      <c r="C2683" s="86" t="e">
        <f>+VLOOKUP(B2683,ARTICULOS!$D$10:$I$699,6)</f>
        <v>#N/A</v>
      </c>
      <c r="D2683" s="212"/>
      <c r="E2683" s="75" t="e">
        <f t="shared" si="86"/>
        <v>#N/A</v>
      </c>
      <c r="F2683" s="80"/>
      <c r="G2683" s="81"/>
      <c r="H2683" s="78"/>
      <c r="I2683" s="78"/>
      <c r="J2683" s="78"/>
    </row>
    <row r="2684" spans="1:10" x14ac:dyDescent="0.2">
      <c r="A2684" s="84">
        <f t="shared" si="87"/>
        <v>2678</v>
      </c>
      <c r="B2684" s="85" t="e">
        <f>+MATCH(D2684,ARTICULOS!$F$10:$F$699,0)</f>
        <v>#N/A</v>
      </c>
      <c r="C2684" s="86" t="e">
        <f>+VLOOKUP(B2684,ARTICULOS!$D$10:$I$699,6)</f>
        <v>#N/A</v>
      </c>
      <c r="D2684" s="212"/>
      <c r="E2684" s="75" t="e">
        <f t="shared" si="86"/>
        <v>#N/A</v>
      </c>
      <c r="F2684" s="80"/>
      <c r="G2684" s="81"/>
      <c r="H2684" s="78"/>
      <c r="I2684" s="78"/>
      <c r="J2684" s="78"/>
    </row>
    <row r="2685" spans="1:10" x14ac:dyDescent="0.2">
      <c r="A2685" s="84">
        <f t="shared" si="87"/>
        <v>2679</v>
      </c>
      <c r="B2685" s="85" t="e">
        <f>+MATCH(D2685,ARTICULOS!$F$10:$F$699,0)</f>
        <v>#N/A</v>
      </c>
      <c r="C2685" s="86" t="e">
        <f>+VLOOKUP(B2685,ARTICULOS!$D$10:$I$699,6)</f>
        <v>#N/A</v>
      </c>
      <c r="D2685" s="212"/>
      <c r="E2685" s="75" t="e">
        <f t="shared" si="86"/>
        <v>#N/A</v>
      </c>
      <c r="F2685" s="80"/>
      <c r="G2685" s="81"/>
      <c r="H2685" s="78"/>
      <c r="I2685" s="78"/>
      <c r="J2685" s="78"/>
    </row>
    <row r="2686" spans="1:10" x14ac:dyDescent="0.2">
      <c r="A2686" s="84">
        <f t="shared" si="87"/>
        <v>2680</v>
      </c>
      <c r="B2686" s="85" t="e">
        <f>+MATCH(D2686,ARTICULOS!$F$10:$F$699,0)</f>
        <v>#N/A</v>
      </c>
      <c r="C2686" s="86" t="e">
        <f>+VLOOKUP(B2686,ARTICULOS!$D$10:$I$699,6)</f>
        <v>#N/A</v>
      </c>
      <c r="D2686" s="212"/>
      <c r="E2686" s="75" t="e">
        <f t="shared" si="86"/>
        <v>#N/A</v>
      </c>
      <c r="F2686" s="80"/>
      <c r="G2686" s="81"/>
      <c r="H2686" s="78"/>
      <c r="I2686" s="78"/>
      <c r="J2686" s="78"/>
    </row>
    <row r="2687" spans="1:10" x14ac:dyDescent="0.2">
      <c r="A2687" s="84">
        <f t="shared" si="87"/>
        <v>2681</v>
      </c>
      <c r="B2687" s="85" t="e">
        <f>+MATCH(D2687,ARTICULOS!$F$10:$F$699,0)</f>
        <v>#N/A</v>
      </c>
      <c r="C2687" s="86" t="e">
        <f>+VLOOKUP(B2687,ARTICULOS!$D$10:$I$699,6)</f>
        <v>#N/A</v>
      </c>
      <c r="D2687" s="212"/>
      <c r="E2687" s="75" t="e">
        <f t="shared" si="86"/>
        <v>#N/A</v>
      </c>
      <c r="F2687" s="80"/>
      <c r="G2687" s="81"/>
      <c r="H2687" s="78"/>
      <c r="I2687" s="78"/>
      <c r="J2687" s="78"/>
    </row>
    <row r="2688" spans="1:10" x14ac:dyDescent="0.2">
      <c r="A2688" s="84">
        <f t="shared" si="87"/>
        <v>2682</v>
      </c>
      <c r="B2688" s="85" t="e">
        <f>+MATCH(D2688,ARTICULOS!$F$10:$F$699,0)</f>
        <v>#N/A</v>
      </c>
      <c r="C2688" s="86" t="e">
        <f>+VLOOKUP(B2688,ARTICULOS!$D$10:$I$699,6)</f>
        <v>#N/A</v>
      </c>
      <c r="D2688" s="212"/>
      <c r="E2688" s="75" t="e">
        <f t="shared" si="86"/>
        <v>#N/A</v>
      </c>
      <c r="F2688" s="80"/>
      <c r="G2688" s="81"/>
      <c r="H2688" s="78"/>
      <c r="I2688" s="78"/>
      <c r="J2688" s="78"/>
    </row>
    <row r="2689" spans="1:10" x14ac:dyDescent="0.2">
      <c r="A2689" s="84">
        <f t="shared" si="87"/>
        <v>2683</v>
      </c>
      <c r="B2689" s="85" t="e">
        <f>+MATCH(D2689,ARTICULOS!$F$10:$F$699,0)</f>
        <v>#N/A</v>
      </c>
      <c r="C2689" s="86" t="e">
        <f>+VLOOKUP(B2689,ARTICULOS!$D$10:$I$699,6)</f>
        <v>#N/A</v>
      </c>
      <c r="D2689" s="212"/>
      <c r="E2689" s="75" t="e">
        <f t="shared" si="86"/>
        <v>#N/A</v>
      </c>
      <c r="F2689" s="80"/>
      <c r="G2689" s="81"/>
      <c r="H2689" s="78"/>
      <c r="I2689" s="78"/>
      <c r="J2689" s="78"/>
    </row>
    <row r="2690" spans="1:10" x14ac:dyDescent="0.2">
      <c r="A2690" s="84">
        <f t="shared" si="87"/>
        <v>2684</v>
      </c>
      <c r="B2690" s="85" t="e">
        <f>+MATCH(D2690,ARTICULOS!$F$10:$F$699,0)</f>
        <v>#N/A</v>
      </c>
      <c r="C2690" s="86" t="e">
        <f>+VLOOKUP(B2690,ARTICULOS!$D$10:$I$699,6)</f>
        <v>#N/A</v>
      </c>
      <c r="D2690" s="212"/>
      <c r="E2690" s="75" t="e">
        <f t="shared" si="86"/>
        <v>#N/A</v>
      </c>
      <c r="F2690" s="80"/>
      <c r="G2690" s="81"/>
      <c r="H2690" s="78"/>
      <c r="I2690" s="78"/>
      <c r="J2690" s="78"/>
    </row>
    <row r="2691" spans="1:10" x14ac:dyDescent="0.2">
      <c r="A2691" s="84">
        <f t="shared" si="87"/>
        <v>2685</v>
      </c>
      <c r="B2691" s="85" t="e">
        <f>+MATCH(D2691,ARTICULOS!$F$10:$F$699,0)</f>
        <v>#N/A</v>
      </c>
      <c r="C2691" s="86" t="e">
        <f>+VLOOKUP(B2691,ARTICULOS!$D$10:$I$699,6)</f>
        <v>#N/A</v>
      </c>
      <c r="D2691" s="212"/>
      <c r="E2691" s="75" t="e">
        <f t="shared" si="86"/>
        <v>#N/A</v>
      </c>
      <c r="F2691" s="80"/>
      <c r="G2691" s="81"/>
      <c r="H2691" s="78"/>
      <c r="I2691" s="78"/>
      <c r="J2691" s="78"/>
    </row>
    <row r="2692" spans="1:10" x14ac:dyDescent="0.2">
      <c r="A2692" s="84">
        <f t="shared" si="87"/>
        <v>2686</v>
      </c>
      <c r="B2692" s="85" t="e">
        <f>+MATCH(D2692,ARTICULOS!$F$10:$F$699,0)</f>
        <v>#N/A</v>
      </c>
      <c r="C2692" s="86" t="e">
        <f>+VLOOKUP(B2692,ARTICULOS!$D$10:$I$699,6)</f>
        <v>#N/A</v>
      </c>
      <c r="D2692" s="212"/>
      <c r="E2692" s="75" t="e">
        <f t="shared" si="86"/>
        <v>#N/A</v>
      </c>
      <c r="F2692" s="80"/>
      <c r="G2692" s="81"/>
      <c r="H2692" s="78"/>
      <c r="I2692" s="78"/>
      <c r="J2692" s="78"/>
    </row>
    <row r="2693" spans="1:10" x14ac:dyDescent="0.2">
      <c r="A2693" s="84">
        <f t="shared" si="87"/>
        <v>2687</v>
      </c>
      <c r="B2693" s="85" t="e">
        <f>+MATCH(D2693,ARTICULOS!$F$10:$F$699,0)</f>
        <v>#N/A</v>
      </c>
      <c r="C2693" s="86" t="e">
        <f>+VLOOKUP(B2693,ARTICULOS!$D$10:$I$699,6)</f>
        <v>#N/A</v>
      </c>
      <c r="D2693" s="212"/>
      <c r="E2693" s="75" t="e">
        <f t="shared" si="86"/>
        <v>#N/A</v>
      </c>
      <c r="F2693" s="80"/>
      <c r="G2693" s="81"/>
      <c r="H2693" s="78"/>
      <c r="I2693" s="78"/>
      <c r="J2693" s="78"/>
    </row>
    <row r="2694" spans="1:10" x14ac:dyDescent="0.2">
      <c r="A2694" s="84">
        <f t="shared" si="87"/>
        <v>2688</v>
      </c>
      <c r="B2694" s="85" t="e">
        <f>+MATCH(D2694,ARTICULOS!$F$10:$F$699,0)</f>
        <v>#N/A</v>
      </c>
      <c r="C2694" s="86" t="e">
        <f>+VLOOKUP(B2694,ARTICULOS!$D$10:$I$699,6)</f>
        <v>#N/A</v>
      </c>
      <c r="D2694" s="212"/>
      <c r="E2694" s="75" t="e">
        <f t="shared" si="86"/>
        <v>#N/A</v>
      </c>
      <c r="F2694" s="80"/>
      <c r="G2694" s="81"/>
      <c r="H2694" s="78"/>
      <c r="I2694" s="78"/>
      <c r="J2694" s="78"/>
    </row>
    <row r="2695" spans="1:10" x14ac:dyDescent="0.2">
      <c r="A2695" s="84">
        <f t="shared" si="87"/>
        <v>2689</v>
      </c>
      <c r="B2695" s="85" t="e">
        <f>+MATCH(D2695,ARTICULOS!$F$10:$F$699,0)</f>
        <v>#N/A</v>
      </c>
      <c r="C2695" s="86" t="e">
        <f>+VLOOKUP(B2695,ARTICULOS!$D$10:$I$699,6)</f>
        <v>#N/A</v>
      </c>
      <c r="D2695" s="212"/>
      <c r="E2695" s="75" t="e">
        <f t="shared" si="86"/>
        <v>#N/A</v>
      </c>
      <c r="F2695" s="80"/>
      <c r="G2695" s="81"/>
      <c r="H2695" s="78"/>
      <c r="I2695" s="78"/>
      <c r="J2695" s="78"/>
    </row>
    <row r="2696" spans="1:10" x14ac:dyDescent="0.2">
      <c r="A2696" s="84">
        <f t="shared" si="87"/>
        <v>2690</v>
      </c>
      <c r="B2696" s="85" t="e">
        <f>+MATCH(D2696,ARTICULOS!$F$10:$F$699,0)</f>
        <v>#N/A</v>
      </c>
      <c r="C2696" s="86" t="e">
        <f>+VLOOKUP(B2696,ARTICULOS!$D$10:$I$699,6)</f>
        <v>#N/A</v>
      </c>
      <c r="D2696" s="212"/>
      <c r="E2696" s="75" t="e">
        <f t="shared" si="86"/>
        <v>#N/A</v>
      </c>
      <c r="F2696" s="80"/>
      <c r="G2696" s="81"/>
      <c r="H2696" s="78"/>
      <c r="I2696" s="78"/>
      <c r="J2696" s="78"/>
    </row>
    <row r="2697" spans="1:10" x14ac:dyDescent="0.2">
      <c r="A2697" s="84">
        <f t="shared" si="87"/>
        <v>2691</v>
      </c>
      <c r="B2697" s="85" t="e">
        <f>+MATCH(D2697,ARTICULOS!$F$10:$F$699,0)</f>
        <v>#N/A</v>
      </c>
      <c r="C2697" s="86" t="e">
        <f>+VLOOKUP(B2697,ARTICULOS!$D$10:$I$699,6)</f>
        <v>#N/A</v>
      </c>
      <c r="D2697" s="212"/>
      <c r="E2697" s="75" t="e">
        <f t="shared" si="86"/>
        <v>#N/A</v>
      </c>
      <c r="F2697" s="80"/>
      <c r="G2697" s="81"/>
      <c r="H2697" s="78"/>
      <c r="I2697" s="78"/>
      <c r="J2697" s="78"/>
    </row>
    <row r="2698" spans="1:10" x14ac:dyDescent="0.2">
      <c r="A2698" s="84">
        <f t="shared" si="87"/>
        <v>2692</v>
      </c>
      <c r="B2698" s="85" t="e">
        <f>+MATCH(D2698,ARTICULOS!$F$10:$F$699,0)</f>
        <v>#N/A</v>
      </c>
      <c r="C2698" s="86" t="e">
        <f>+VLOOKUP(B2698,ARTICULOS!$D$10:$I$699,6)</f>
        <v>#N/A</v>
      </c>
      <c r="D2698" s="212"/>
      <c r="E2698" s="75" t="e">
        <f t="shared" si="86"/>
        <v>#N/A</v>
      </c>
      <c r="F2698" s="80"/>
      <c r="G2698" s="81"/>
      <c r="H2698" s="78"/>
      <c r="I2698" s="78"/>
      <c r="J2698" s="78"/>
    </row>
    <row r="2699" spans="1:10" x14ac:dyDescent="0.2">
      <c r="A2699" s="84">
        <f t="shared" si="87"/>
        <v>2693</v>
      </c>
      <c r="B2699" s="85" t="e">
        <f>+MATCH(D2699,ARTICULOS!$F$10:$F$699,0)</f>
        <v>#N/A</v>
      </c>
      <c r="C2699" s="86" t="e">
        <f>+VLOOKUP(B2699,ARTICULOS!$D$10:$I$699,6)</f>
        <v>#N/A</v>
      </c>
      <c r="D2699" s="212"/>
      <c r="E2699" s="75" t="e">
        <f t="shared" ref="E2699:E2762" si="88">+C2699&amp;F2699</f>
        <v>#N/A</v>
      </c>
      <c r="F2699" s="80"/>
      <c r="G2699" s="81"/>
      <c r="H2699" s="78"/>
      <c r="I2699" s="78"/>
      <c r="J2699" s="78"/>
    </row>
    <row r="2700" spans="1:10" x14ac:dyDescent="0.2">
      <c r="A2700" s="84">
        <f t="shared" si="87"/>
        <v>2694</v>
      </c>
      <c r="B2700" s="85" t="e">
        <f>+MATCH(D2700,ARTICULOS!$F$10:$F$699,0)</f>
        <v>#N/A</v>
      </c>
      <c r="C2700" s="86" t="e">
        <f>+VLOOKUP(B2700,ARTICULOS!$D$10:$I$699,6)</f>
        <v>#N/A</v>
      </c>
      <c r="D2700" s="212"/>
      <c r="E2700" s="75" t="e">
        <f t="shared" si="88"/>
        <v>#N/A</v>
      </c>
      <c r="F2700" s="80"/>
      <c r="G2700" s="81"/>
      <c r="H2700" s="78"/>
      <c r="I2700" s="78"/>
      <c r="J2700" s="78"/>
    </row>
    <row r="2701" spans="1:10" x14ac:dyDescent="0.2">
      <c r="A2701" s="84">
        <f t="shared" si="87"/>
        <v>2695</v>
      </c>
      <c r="B2701" s="85" t="e">
        <f>+MATCH(D2701,ARTICULOS!$F$10:$F$699,0)</f>
        <v>#N/A</v>
      </c>
      <c r="C2701" s="86" t="e">
        <f>+VLOOKUP(B2701,ARTICULOS!$D$10:$I$699,6)</f>
        <v>#N/A</v>
      </c>
      <c r="D2701" s="212"/>
      <c r="E2701" s="75" t="e">
        <f t="shared" si="88"/>
        <v>#N/A</v>
      </c>
      <c r="F2701" s="80"/>
      <c r="G2701" s="81"/>
      <c r="H2701" s="78"/>
      <c r="I2701" s="78"/>
      <c r="J2701" s="78"/>
    </row>
    <row r="2702" spans="1:10" x14ac:dyDescent="0.2">
      <c r="A2702" s="84">
        <f t="shared" si="87"/>
        <v>2696</v>
      </c>
      <c r="B2702" s="85" t="e">
        <f>+MATCH(D2702,ARTICULOS!$F$10:$F$699,0)</f>
        <v>#N/A</v>
      </c>
      <c r="C2702" s="86" t="e">
        <f>+VLOOKUP(B2702,ARTICULOS!$D$10:$I$699,6)</f>
        <v>#N/A</v>
      </c>
      <c r="D2702" s="212"/>
      <c r="E2702" s="75" t="e">
        <f t="shared" si="88"/>
        <v>#N/A</v>
      </c>
      <c r="F2702" s="80"/>
      <c r="G2702" s="81"/>
      <c r="H2702" s="78"/>
      <c r="I2702" s="78"/>
      <c r="J2702" s="78"/>
    </row>
    <row r="2703" spans="1:10" x14ac:dyDescent="0.2">
      <c r="A2703" s="84">
        <f t="shared" si="87"/>
        <v>2697</v>
      </c>
      <c r="B2703" s="85" t="e">
        <f>+MATCH(D2703,ARTICULOS!$F$10:$F$699,0)</f>
        <v>#N/A</v>
      </c>
      <c r="C2703" s="86" t="e">
        <f>+VLOOKUP(B2703,ARTICULOS!$D$10:$I$699,6)</f>
        <v>#N/A</v>
      </c>
      <c r="D2703" s="212"/>
      <c r="E2703" s="75" t="e">
        <f t="shared" si="88"/>
        <v>#N/A</v>
      </c>
      <c r="F2703" s="80"/>
      <c r="G2703" s="81"/>
      <c r="H2703" s="78"/>
      <c r="I2703" s="78"/>
      <c r="J2703" s="78"/>
    </row>
    <row r="2704" spans="1:10" x14ac:dyDescent="0.2">
      <c r="A2704" s="84">
        <f t="shared" si="87"/>
        <v>2698</v>
      </c>
      <c r="B2704" s="85" t="e">
        <f>+MATCH(D2704,ARTICULOS!$F$10:$F$699,0)</f>
        <v>#N/A</v>
      </c>
      <c r="C2704" s="86" t="e">
        <f>+VLOOKUP(B2704,ARTICULOS!$D$10:$I$699,6)</f>
        <v>#N/A</v>
      </c>
      <c r="D2704" s="212"/>
      <c r="E2704" s="75" t="e">
        <f t="shared" si="88"/>
        <v>#N/A</v>
      </c>
      <c r="F2704" s="80"/>
      <c r="G2704" s="81"/>
      <c r="H2704" s="78"/>
      <c r="I2704" s="78"/>
      <c r="J2704" s="78"/>
    </row>
    <row r="2705" spans="1:10" x14ac:dyDescent="0.2">
      <c r="A2705" s="84">
        <f t="shared" si="87"/>
        <v>2699</v>
      </c>
      <c r="B2705" s="85" t="e">
        <f>+MATCH(D2705,ARTICULOS!$F$10:$F$699,0)</f>
        <v>#N/A</v>
      </c>
      <c r="C2705" s="86" t="e">
        <f>+VLOOKUP(B2705,ARTICULOS!$D$10:$I$699,6)</f>
        <v>#N/A</v>
      </c>
      <c r="D2705" s="212"/>
      <c r="E2705" s="75" t="e">
        <f t="shared" si="88"/>
        <v>#N/A</v>
      </c>
      <c r="F2705" s="80"/>
      <c r="G2705" s="81"/>
      <c r="H2705" s="78"/>
      <c r="I2705" s="78"/>
      <c r="J2705" s="78"/>
    </row>
    <row r="2706" spans="1:10" x14ac:dyDescent="0.2">
      <c r="A2706" s="84">
        <f t="shared" si="87"/>
        <v>2700</v>
      </c>
      <c r="B2706" s="85" t="e">
        <f>+MATCH(D2706,ARTICULOS!$F$10:$F$699,0)</f>
        <v>#N/A</v>
      </c>
      <c r="C2706" s="86" t="e">
        <f>+VLOOKUP(B2706,ARTICULOS!$D$10:$I$699,6)</f>
        <v>#N/A</v>
      </c>
      <c r="D2706" s="212"/>
      <c r="E2706" s="75" t="e">
        <f t="shared" si="88"/>
        <v>#N/A</v>
      </c>
      <c r="F2706" s="80"/>
      <c r="G2706" s="81"/>
      <c r="H2706" s="78"/>
      <c r="I2706" s="78"/>
      <c r="J2706" s="78"/>
    </row>
    <row r="2707" spans="1:10" x14ac:dyDescent="0.2">
      <c r="A2707" s="84">
        <f t="shared" si="87"/>
        <v>2701</v>
      </c>
      <c r="B2707" s="85" t="e">
        <f>+MATCH(D2707,ARTICULOS!$F$10:$F$699,0)</f>
        <v>#N/A</v>
      </c>
      <c r="C2707" s="86" t="e">
        <f>+VLOOKUP(B2707,ARTICULOS!$D$10:$I$699,6)</f>
        <v>#N/A</v>
      </c>
      <c r="D2707" s="212"/>
      <c r="E2707" s="75" t="e">
        <f t="shared" si="88"/>
        <v>#N/A</v>
      </c>
      <c r="F2707" s="80"/>
      <c r="G2707" s="81"/>
      <c r="H2707" s="78"/>
      <c r="I2707" s="78"/>
      <c r="J2707" s="78"/>
    </row>
    <row r="2708" spans="1:10" x14ac:dyDescent="0.2">
      <c r="A2708" s="84">
        <f t="shared" si="87"/>
        <v>2702</v>
      </c>
      <c r="B2708" s="85" t="e">
        <f>+MATCH(D2708,ARTICULOS!$F$10:$F$699,0)</f>
        <v>#N/A</v>
      </c>
      <c r="C2708" s="86" t="e">
        <f>+VLOOKUP(B2708,ARTICULOS!$D$10:$I$699,6)</f>
        <v>#N/A</v>
      </c>
      <c r="D2708" s="212"/>
      <c r="E2708" s="75" t="e">
        <f t="shared" si="88"/>
        <v>#N/A</v>
      </c>
      <c r="F2708" s="80"/>
      <c r="G2708" s="81"/>
      <c r="H2708" s="78"/>
      <c r="I2708" s="78"/>
      <c r="J2708" s="78"/>
    </row>
    <row r="2709" spans="1:10" x14ac:dyDescent="0.2">
      <c r="A2709" s="84">
        <f t="shared" si="87"/>
        <v>2703</v>
      </c>
      <c r="B2709" s="85" t="e">
        <f>+MATCH(D2709,ARTICULOS!$F$10:$F$699,0)</f>
        <v>#N/A</v>
      </c>
      <c r="C2709" s="86" t="e">
        <f>+VLOOKUP(B2709,ARTICULOS!$D$10:$I$699,6)</f>
        <v>#N/A</v>
      </c>
      <c r="D2709" s="212"/>
      <c r="E2709" s="75" t="e">
        <f t="shared" si="88"/>
        <v>#N/A</v>
      </c>
      <c r="F2709" s="80"/>
      <c r="G2709" s="81"/>
      <c r="H2709" s="78"/>
      <c r="I2709" s="78"/>
      <c r="J2709" s="78"/>
    </row>
    <row r="2710" spans="1:10" x14ac:dyDescent="0.2">
      <c r="A2710" s="84">
        <f t="shared" si="87"/>
        <v>2704</v>
      </c>
      <c r="B2710" s="85" t="e">
        <f>+MATCH(D2710,ARTICULOS!$F$10:$F$699,0)</f>
        <v>#N/A</v>
      </c>
      <c r="C2710" s="86" t="e">
        <f>+VLOOKUP(B2710,ARTICULOS!$D$10:$I$699,6)</f>
        <v>#N/A</v>
      </c>
      <c r="D2710" s="212"/>
      <c r="E2710" s="75" t="e">
        <f t="shared" si="88"/>
        <v>#N/A</v>
      </c>
      <c r="F2710" s="80"/>
      <c r="G2710" s="81"/>
      <c r="H2710" s="78"/>
      <c r="I2710" s="78"/>
      <c r="J2710" s="78"/>
    </row>
    <row r="2711" spans="1:10" x14ac:dyDescent="0.2">
      <c r="A2711" s="84">
        <f t="shared" si="87"/>
        <v>2705</v>
      </c>
      <c r="B2711" s="85" t="e">
        <f>+MATCH(D2711,ARTICULOS!$F$10:$F$699,0)</f>
        <v>#N/A</v>
      </c>
      <c r="C2711" s="86" t="e">
        <f>+VLOOKUP(B2711,ARTICULOS!$D$10:$I$699,6)</f>
        <v>#N/A</v>
      </c>
      <c r="D2711" s="212"/>
      <c r="E2711" s="75" t="e">
        <f t="shared" si="88"/>
        <v>#N/A</v>
      </c>
      <c r="F2711" s="80"/>
      <c r="G2711" s="81"/>
      <c r="H2711" s="78"/>
      <c r="I2711" s="78"/>
      <c r="J2711" s="78"/>
    </row>
    <row r="2712" spans="1:10" x14ac:dyDescent="0.2">
      <c r="A2712" s="84">
        <f t="shared" si="87"/>
        <v>2706</v>
      </c>
      <c r="B2712" s="85" t="e">
        <f>+MATCH(D2712,ARTICULOS!$F$10:$F$699,0)</f>
        <v>#N/A</v>
      </c>
      <c r="C2712" s="86" t="e">
        <f>+VLOOKUP(B2712,ARTICULOS!$D$10:$I$699,6)</f>
        <v>#N/A</v>
      </c>
      <c r="D2712" s="212"/>
      <c r="E2712" s="75" t="e">
        <f t="shared" si="88"/>
        <v>#N/A</v>
      </c>
      <c r="F2712" s="80"/>
      <c r="G2712" s="81"/>
      <c r="H2712" s="78"/>
      <c r="I2712" s="78"/>
      <c r="J2712" s="78"/>
    </row>
    <row r="2713" spans="1:10" x14ac:dyDescent="0.2">
      <c r="A2713" s="84">
        <f t="shared" si="87"/>
        <v>2707</v>
      </c>
      <c r="B2713" s="85" t="e">
        <f>+MATCH(D2713,ARTICULOS!$F$10:$F$699,0)</f>
        <v>#N/A</v>
      </c>
      <c r="C2713" s="86" t="e">
        <f>+VLOOKUP(B2713,ARTICULOS!$D$10:$I$699,6)</f>
        <v>#N/A</v>
      </c>
      <c r="D2713" s="212"/>
      <c r="E2713" s="75" t="e">
        <f t="shared" si="88"/>
        <v>#N/A</v>
      </c>
      <c r="F2713" s="80"/>
      <c r="G2713" s="81"/>
      <c r="H2713" s="78"/>
      <c r="I2713" s="78"/>
      <c r="J2713" s="78"/>
    </row>
    <row r="2714" spans="1:10" x14ac:dyDescent="0.2">
      <c r="A2714" s="84">
        <f t="shared" si="87"/>
        <v>2708</v>
      </c>
      <c r="B2714" s="85" t="e">
        <f>+MATCH(D2714,ARTICULOS!$F$10:$F$699,0)</f>
        <v>#N/A</v>
      </c>
      <c r="C2714" s="86" t="e">
        <f>+VLOOKUP(B2714,ARTICULOS!$D$10:$I$699,6)</f>
        <v>#N/A</v>
      </c>
      <c r="D2714" s="212"/>
      <c r="E2714" s="75" t="e">
        <f t="shared" si="88"/>
        <v>#N/A</v>
      </c>
      <c r="F2714" s="80"/>
      <c r="G2714" s="81"/>
      <c r="H2714" s="78"/>
      <c r="I2714" s="78"/>
      <c r="J2714" s="78"/>
    </row>
    <row r="2715" spans="1:10" x14ac:dyDescent="0.2">
      <c r="A2715" s="84">
        <f t="shared" si="87"/>
        <v>2709</v>
      </c>
      <c r="B2715" s="85" t="e">
        <f>+MATCH(D2715,ARTICULOS!$F$10:$F$699,0)</f>
        <v>#N/A</v>
      </c>
      <c r="C2715" s="86" t="e">
        <f>+VLOOKUP(B2715,ARTICULOS!$D$10:$I$699,6)</f>
        <v>#N/A</v>
      </c>
      <c r="D2715" s="212"/>
      <c r="E2715" s="75" t="e">
        <f t="shared" si="88"/>
        <v>#N/A</v>
      </c>
      <c r="F2715" s="80"/>
      <c r="G2715" s="81"/>
      <c r="H2715" s="78"/>
      <c r="I2715" s="78"/>
      <c r="J2715" s="78"/>
    </row>
    <row r="2716" spans="1:10" x14ac:dyDescent="0.2">
      <c r="A2716" s="84">
        <f t="shared" si="87"/>
        <v>2710</v>
      </c>
      <c r="B2716" s="85" t="e">
        <f>+MATCH(D2716,ARTICULOS!$F$10:$F$699,0)</f>
        <v>#N/A</v>
      </c>
      <c r="C2716" s="86" t="e">
        <f>+VLOOKUP(B2716,ARTICULOS!$D$10:$I$699,6)</f>
        <v>#N/A</v>
      </c>
      <c r="D2716" s="212"/>
      <c r="E2716" s="75" t="e">
        <f t="shared" si="88"/>
        <v>#N/A</v>
      </c>
      <c r="F2716" s="80"/>
      <c r="G2716" s="81"/>
      <c r="H2716" s="78"/>
      <c r="I2716" s="78"/>
      <c r="J2716" s="78"/>
    </row>
    <row r="2717" spans="1:10" x14ac:dyDescent="0.2">
      <c r="A2717" s="84">
        <f t="shared" si="87"/>
        <v>2711</v>
      </c>
      <c r="B2717" s="85" t="e">
        <f>+MATCH(D2717,ARTICULOS!$F$10:$F$699,0)</f>
        <v>#N/A</v>
      </c>
      <c r="C2717" s="86" t="e">
        <f>+VLOOKUP(B2717,ARTICULOS!$D$10:$I$699,6)</f>
        <v>#N/A</v>
      </c>
      <c r="D2717" s="212"/>
      <c r="E2717" s="75" t="e">
        <f t="shared" si="88"/>
        <v>#N/A</v>
      </c>
      <c r="F2717" s="80"/>
      <c r="G2717" s="81"/>
      <c r="H2717" s="78"/>
      <c r="I2717" s="78"/>
      <c r="J2717" s="78"/>
    </row>
    <row r="2718" spans="1:10" x14ac:dyDescent="0.2">
      <c r="A2718" s="84">
        <f t="shared" si="87"/>
        <v>2712</v>
      </c>
      <c r="B2718" s="85" t="e">
        <f>+MATCH(D2718,ARTICULOS!$F$10:$F$699,0)</f>
        <v>#N/A</v>
      </c>
      <c r="C2718" s="86" t="e">
        <f>+VLOOKUP(B2718,ARTICULOS!$D$10:$I$699,6)</f>
        <v>#N/A</v>
      </c>
      <c r="D2718" s="212"/>
      <c r="E2718" s="75" t="e">
        <f t="shared" si="88"/>
        <v>#N/A</v>
      </c>
      <c r="F2718" s="80"/>
      <c r="G2718" s="81"/>
      <c r="H2718" s="78"/>
      <c r="I2718" s="78"/>
      <c r="J2718" s="78"/>
    </row>
    <row r="2719" spans="1:10" x14ac:dyDescent="0.2">
      <c r="A2719" s="84">
        <f t="shared" si="87"/>
        <v>2713</v>
      </c>
      <c r="B2719" s="85" t="e">
        <f>+MATCH(D2719,ARTICULOS!$F$10:$F$699,0)</f>
        <v>#N/A</v>
      </c>
      <c r="C2719" s="86" t="e">
        <f>+VLOOKUP(B2719,ARTICULOS!$D$10:$I$699,6)</f>
        <v>#N/A</v>
      </c>
      <c r="D2719" s="212"/>
      <c r="E2719" s="75" t="e">
        <f t="shared" si="88"/>
        <v>#N/A</v>
      </c>
      <c r="F2719" s="80"/>
      <c r="G2719" s="81"/>
      <c r="H2719" s="78"/>
      <c r="I2719" s="78"/>
      <c r="J2719" s="78"/>
    </row>
    <row r="2720" spans="1:10" x14ac:dyDescent="0.2">
      <c r="A2720" s="84">
        <f t="shared" si="87"/>
        <v>2714</v>
      </c>
      <c r="B2720" s="85" t="e">
        <f>+MATCH(D2720,ARTICULOS!$F$10:$F$699,0)</f>
        <v>#N/A</v>
      </c>
      <c r="C2720" s="86" t="e">
        <f>+VLOOKUP(B2720,ARTICULOS!$D$10:$I$699,6)</f>
        <v>#N/A</v>
      </c>
      <c r="D2720" s="212"/>
      <c r="E2720" s="75" t="e">
        <f t="shared" si="88"/>
        <v>#N/A</v>
      </c>
      <c r="F2720" s="80"/>
      <c r="G2720" s="81"/>
      <c r="H2720" s="78"/>
      <c r="I2720" s="78"/>
      <c r="J2720" s="78"/>
    </row>
    <row r="2721" spans="1:10" x14ac:dyDescent="0.2">
      <c r="A2721" s="84">
        <f t="shared" si="87"/>
        <v>2715</v>
      </c>
      <c r="B2721" s="85" t="e">
        <f>+MATCH(D2721,ARTICULOS!$F$10:$F$699,0)</f>
        <v>#N/A</v>
      </c>
      <c r="C2721" s="86" t="e">
        <f>+VLOOKUP(B2721,ARTICULOS!$D$10:$I$699,6)</f>
        <v>#N/A</v>
      </c>
      <c r="D2721" s="212"/>
      <c r="E2721" s="75" t="e">
        <f t="shared" si="88"/>
        <v>#N/A</v>
      </c>
      <c r="F2721" s="80"/>
      <c r="G2721" s="81"/>
      <c r="H2721" s="78"/>
      <c r="I2721" s="78"/>
      <c r="J2721" s="78"/>
    </row>
    <row r="2722" spans="1:10" x14ac:dyDescent="0.2">
      <c r="A2722" s="84">
        <f t="shared" si="87"/>
        <v>2716</v>
      </c>
      <c r="B2722" s="85" t="e">
        <f>+MATCH(D2722,ARTICULOS!$F$10:$F$699,0)</f>
        <v>#N/A</v>
      </c>
      <c r="C2722" s="86" t="e">
        <f>+VLOOKUP(B2722,ARTICULOS!$D$10:$I$699,6)</f>
        <v>#N/A</v>
      </c>
      <c r="D2722" s="212"/>
      <c r="E2722" s="75" t="e">
        <f t="shared" si="88"/>
        <v>#N/A</v>
      </c>
      <c r="F2722" s="80"/>
      <c r="G2722" s="81"/>
      <c r="H2722" s="78"/>
      <c r="I2722" s="78"/>
      <c r="J2722" s="78"/>
    </row>
    <row r="2723" spans="1:10" x14ac:dyDescent="0.2">
      <c r="A2723" s="84">
        <f t="shared" si="87"/>
        <v>2717</v>
      </c>
      <c r="B2723" s="85" t="e">
        <f>+MATCH(D2723,ARTICULOS!$F$10:$F$699,0)</f>
        <v>#N/A</v>
      </c>
      <c r="C2723" s="86" t="e">
        <f>+VLOOKUP(B2723,ARTICULOS!$D$10:$I$699,6)</f>
        <v>#N/A</v>
      </c>
      <c r="D2723" s="212"/>
      <c r="E2723" s="75" t="e">
        <f t="shared" si="88"/>
        <v>#N/A</v>
      </c>
      <c r="F2723" s="80"/>
      <c r="G2723" s="81"/>
      <c r="H2723" s="78"/>
      <c r="I2723" s="78"/>
      <c r="J2723" s="78"/>
    </row>
    <row r="2724" spans="1:10" x14ac:dyDescent="0.2">
      <c r="A2724" s="84">
        <f t="shared" si="87"/>
        <v>2718</v>
      </c>
      <c r="B2724" s="85" t="e">
        <f>+MATCH(D2724,ARTICULOS!$F$10:$F$699,0)</f>
        <v>#N/A</v>
      </c>
      <c r="C2724" s="86" t="e">
        <f>+VLOOKUP(B2724,ARTICULOS!$D$10:$I$699,6)</f>
        <v>#N/A</v>
      </c>
      <c r="D2724" s="212"/>
      <c r="E2724" s="75" t="e">
        <f t="shared" si="88"/>
        <v>#N/A</v>
      </c>
      <c r="F2724" s="80"/>
      <c r="G2724" s="81"/>
      <c r="H2724" s="78"/>
      <c r="I2724" s="78"/>
      <c r="J2724" s="78"/>
    </row>
    <row r="2725" spans="1:10" x14ac:dyDescent="0.2">
      <c r="A2725" s="84">
        <f t="shared" si="87"/>
        <v>2719</v>
      </c>
      <c r="B2725" s="85" t="e">
        <f>+MATCH(D2725,ARTICULOS!$F$10:$F$699,0)</f>
        <v>#N/A</v>
      </c>
      <c r="C2725" s="86" t="e">
        <f>+VLOOKUP(B2725,ARTICULOS!$D$10:$I$699,6)</f>
        <v>#N/A</v>
      </c>
      <c r="D2725" s="212"/>
      <c r="E2725" s="75" t="e">
        <f t="shared" si="88"/>
        <v>#N/A</v>
      </c>
      <c r="F2725" s="80"/>
      <c r="G2725" s="81"/>
      <c r="H2725" s="78"/>
      <c r="I2725" s="78"/>
      <c r="J2725" s="78"/>
    </row>
    <row r="2726" spans="1:10" x14ac:dyDescent="0.2">
      <c r="A2726" s="84">
        <f t="shared" si="87"/>
        <v>2720</v>
      </c>
      <c r="B2726" s="85" t="e">
        <f>+MATCH(D2726,ARTICULOS!$F$10:$F$699,0)</f>
        <v>#N/A</v>
      </c>
      <c r="C2726" s="86" t="e">
        <f>+VLOOKUP(B2726,ARTICULOS!$D$10:$I$699,6)</f>
        <v>#N/A</v>
      </c>
      <c r="D2726" s="212"/>
      <c r="E2726" s="75" t="e">
        <f t="shared" si="88"/>
        <v>#N/A</v>
      </c>
      <c r="F2726" s="80"/>
      <c r="G2726" s="81"/>
      <c r="H2726" s="78"/>
      <c r="I2726" s="78"/>
      <c r="J2726" s="78"/>
    </row>
    <row r="2727" spans="1:10" x14ac:dyDescent="0.2">
      <c r="A2727" s="84">
        <f t="shared" si="87"/>
        <v>2721</v>
      </c>
      <c r="B2727" s="85" t="e">
        <f>+MATCH(D2727,ARTICULOS!$F$10:$F$699,0)</f>
        <v>#N/A</v>
      </c>
      <c r="C2727" s="86" t="e">
        <f>+VLOOKUP(B2727,ARTICULOS!$D$10:$I$699,6)</f>
        <v>#N/A</v>
      </c>
      <c r="D2727" s="212"/>
      <c r="E2727" s="75" t="e">
        <f t="shared" si="88"/>
        <v>#N/A</v>
      </c>
      <c r="F2727" s="80"/>
      <c r="G2727" s="81"/>
      <c r="H2727" s="78"/>
      <c r="I2727" s="78"/>
      <c r="J2727" s="78"/>
    </row>
    <row r="2728" spans="1:10" x14ac:dyDescent="0.2">
      <c r="A2728" s="84">
        <f t="shared" si="87"/>
        <v>2722</v>
      </c>
      <c r="B2728" s="85" t="e">
        <f>+MATCH(D2728,ARTICULOS!$F$10:$F$699,0)</f>
        <v>#N/A</v>
      </c>
      <c r="C2728" s="86" t="e">
        <f>+VLOOKUP(B2728,ARTICULOS!$D$10:$I$699,6)</f>
        <v>#N/A</v>
      </c>
      <c r="D2728" s="212"/>
      <c r="E2728" s="75" t="e">
        <f t="shared" si="88"/>
        <v>#N/A</v>
      </c>
      <c r="F2728" s="80"/>
      <c r="G2728" s="81"/>
      <c r="H2728" s="78"/>
      <c r="I2728" s="78"/>
      <c r="J2728" s="78"/>
    </row>
    <row r="2729" spans="1:10" x14ac:dyDescent="0.2">
      <c r="A2729" s="84">
        <f t="shared" ref="A2729:A2792" si="89">ROW()-6</f>
        <v>2723</v>
      </c>
      <c r="B2729" s="85" t="e">
        <f>+MATCH(D2729,ARTICULOS!$F$10:$F$699,0)</f>
        <v>#N/A</v>
      </c>
      <c r="C2729" s="86" t="e">
        <f>+VLOOKUP(B2729,ARTICULOS!$D$10:$I$699,6)</f>
        <v>#N/A</v>
      </c>
      <c r="D2729" s="212"/>
      <c r="E2729" s="75" t="e">
        <f t="shared" si="88"/>
        <v>#N/A</v>
      </c>
      <c r="F2729" s="80"/>
      <c r="G2729" s="81"/>
      <c r="H2729" s="78"/>
      <c r="I2729" s="78"/>
      <c r="J2729" s="78"/>
    </row>
    <row r="2730" spans="1:10" x14ac:dyDescent="0.2">
      <c r="A2730" s="84">
        <f t="shared" si="89"/>
        <v>2724</v>
      </c>
      <c r="B2730" s="85" t="e">
        <f>+MATCH(D2730,ARTICULOS!$F$10:$F$699,0)</f>
        <v>#N/A</v>
      </c>
      <c r="C2730" s="86" t="e">
        <f>+VLOOKUP(B2730,ARTICULOS!$D$10:$I$699,6)</f>
        <v>#N/A</v>
      </c>
      <c r="D2730" s="212"/>
      <c r="E2730" s="75" t="e">
        <f t="shared" si="88"/>
        <v>#N/A</v>
      </c>
      <c r="F2730" s="80"/>
      <c r="G2730" s="81"/>
      <c r="H2730" s="78"/>
      <c r="I2730" s="78"/>
      <c r="J2730" s="78"/>
    </row>
    <row r="2731" spans="1:10" x14ac:dyDescent="0.2">
      <c r="A2731" s="84">
        <f t="shared" si="89"/>
        <v>2725</v>
      </c>
      <c r="B2731" s="85" t="e">
        <f>+MATCH(D2731,ARTICULOS!$F$10:$F$699,0)</f>
        <v>#N/A</v>
      </c>
      <c r="C2731" s="86" t="e">
        <f>+VLOOKUP(B2731,ARTICULOS!$D$10:$I$699,6)</f>
        <v>#N/A</v>
      </c>
      <c r="D2731" s="212"/>
      <c r="E2731" s="75" t="e">
        <f t="shared" si="88"/>
        <v>#N/A</v>
      </c>
      <c r="F2731" s="80"/>
      <c r="G2731" s="81"/>
      <c r="H2731" s="78"/>
      <c r="I2731" s="78"/>
      <c r="J2731" s="78"/>
    </row>
    <row r="2732" spans="1:10" x14ac:dyDescent="0.2">
      <c r="A2732" s="84">
        <f t="shared" si="89"/>
        <v>2726</v>
      </c>
      <c r="B2732" s="85" t="e">
        <f>+MATCH(D2732,ARTICULOS!$F$10:$F$699,0)</f>
        <v>#N/A</v>
      </c>
      <c r="C2732" s="86" t="e">
        <f>+VLOOKUP(B2732,ARTICULOS!$D$10:$I$699,6)</f>
        <v>#N/A</v>
      </c>
      <c r="D2732" s="212"/>
      <c r="E2732" s="75" t="e">
        <f t="shared" si="88"/>
        <v>#N/A</v>
      </c>
      <c r="F2732" s="80"/>
      <c r="G2732" s="81"/>
      <c r="H2732" s="78"/>
      <c r="I2732" s="78"/>
      <c r="J2732" s="78"/>
    </row>
    <row r="2733" spans="1:10" x14ac:dyDescent="0.2">
      <c r="A2733" s="84">
        <f t="shared" si="89"/>
        <v>2727</v>
      </c>
      <c r="B2733" s="85" t="e">
        <f>+MATCH(D2733,ARTICULOS!$F$10:$F$699,0)</f>
        <v>#N/A</v>
      </c>
      <c r="C2733" s="86" t="e">
        <f>+VLOOKUP(B2733,ARTICULOS!$D$10:$I$699,6)</f>
        <v>#N/A</v>
      </c>
      <c r="D2733" s="212"/>
      <c r="E2733" s="75" t="e">
        <f t="shared" si="88"/>
        <v>#N/A</v>
      </c>
      <c r="F2733" s="80"/>
      <c r="G2733" s="81"/>
      <c r="H2733" s="78"/>
      <c r="I2733" s="78"/>
      <c r="J2733" s="78"/>
    </row>
    <row r="2734" spans="1:10" x14ac:dyDescent="0.2">
      <c r="A2734" s="84">
        <f t="shared" si="89"/>
        <v>2728</v>
      </c>
      <c r="B2734" s="85" t="e">
        <f>+MATCH(D2734,ARTICULOS!$F$10:$F$699,0)</f>
        <v>#N/A</v>
      </c>
      <c r="C2734" s="86" t="e">
        <f>+VLOOKUP(B2734,ARTICULOS!$D$10:$I$699,6)</f>
        <v>#N/A</v>
      </c>
      <c r="D2734" s="212"/>
      <c r="E2734" s="75" t="e">
        <f t="shared" si="88"/>
        <v>#N/A</v>
      </c>
      <c r="F2734" s="80"/>
      <c r="G2734" s="81"/>
      <c r="H2734" s="78"/>
      <c r="I2734" s="78"/>
      <c r="J2734" s="78"/>
    </row>
    <row r="2735" spans="1:10" x14ac:dyDescent="0.2">
      <c r="A2735" s="84">
        <f t="shared" si="89"/>
        <v>2729</v>
      </c>
      <c r="B2735" s="85" t="e">
        <f>+MATCH(D2735,ARTICULOS!$F$10:$F$699,0)</f>
        <v>#N/A</v>
      </c>
      <c r="C2735" s="86" t="e">
        <f>+VLOOKUP(B2735,ARTICULOS!$D$10:$I$699,6)</f>
        <v>#N/A</v>
      </c>
      <c r="D2735" s="212"/>
      <c r="E2735" s="75" t="e">
        <f t="shared" si="88"/>
        <v>#N/A</v>
      </c>
      <c r="F2735" s="80"/>
      <c r="G2735" s="81"/>
      <c r="H2735" s="78"/>
      <c r="I2735" s="78"/>
      <c r="J2735" s="78"/>
    </row>
    <row r="2736" spans="1:10" x14ac:dyDescent="0.2">
      <c r="A2736" s="84">
        <f t="shared" si="89"/>
        <v>2730</v>
      </c>
      <c r="B2736" s="85" t="e">
        <f>+MATCH(D2736,ARTICULOS!$F$10:$F$699,0)</f>
        <v>#N/A</v>
      </c>
      <c r="C2736" s="86" t="e">
        <f>+VLOOKUP(B2736,ARTICULOS!$D$10:$I$699,6)</f>
        <v>#N/A</v>
      </c>
      <c r="D2736" s="212"/>
      <c r="E2736" s="75" t="e">
        <f t="shared" si="88"/>
        <v>#N/A</v>
      </c>
      <c r="F2736" s="80"/>
      <c r="G2736" s="81"/>
      <c r="H2736" s="78"/>
      <c r="I2736" s="78"/>
      <c r="J2736" s="78"/>
    </row>
    <row r="2737" spans="1:10" x14ac:dyDescent="0.2">
      <c r="A2737" s="84">
        <f t="shared" si="89"/>
        <v>2731</v>
      </c>
      <c r="B2737" s="85" t="e">
        <f>+MATCH(D2737,ARTICULOS!$F$10:$F$699,0)</f>
        <v>#N/A</v>
      </c>
      <c r="C2737" s="86" t="e">
        <f>+VLOOKUP(B2737,ARTICULOS!$D$10:$I$699,6)</f>
        <v>#N/A</v>
      </c>
      <c r="D2737" s="212"/>
      <c r="E2737" s="75" t="e">
        <f t="shared" si="88"/>
        <v>#N/A</v>
      </c>
      <c r="F2737" s="80"/>
      <c r="G2737" s="81"/>
      <c r="H2737" s="78"/>
      <c r="I2737" s="78"/>
      <c r="J2737" s="78"/>
    </row>
    <row r="2738" spans="1:10" x14ac:dyDescent="0.2">
      <c r="A2738" s="84">
        <f t="shared" si="89"/>
        <v>2732</v>
      </c>
      <c r="B2738" s="85" t="e">
        <f>+MATCH(D2738,ARTICULOS!$F$10:$F$699,0)</f>
        <v>#N/A</v>
      </c>
      <c r="C2738" s="86" t="e">
        <f>+VLOOKUP(B2738,ARTICULOS!$D$10:$I$699,6)</f>
        <v>#N/A</v>
      </c>
      <c r="D2738" s="212"/>
      <c r="E2738" s="75" t="e">
        <f t="shared" si="88"/>
        <v>#N/A</v>
      </c>
      <c r="F2738" s="80"/>
      <c r="G2738" s="81"/>
      <c r="H2738" s="78"/>
      <c r="I2738" s="78"/>
      <c r="J2738" s="78"/>
    </row>
    <row r="2739" spans="1:10" x14ac:dyDescent="0.2">
      <c r="A2739" s="84">
        <f t="shared" si="89"/>
        <v>2733</v>
      </c>
      <c r="B2739" s="85" t="e">
        <f>+MATCH(D2739,ARTICULOS!$F$10:$F$699,0)</f>
        <v>#N/A</v>
      </c>
      <c r="C2739" s="86" t="e">
        <f>+VLOOKUP(B2739,ARTICULOS!$D$10:$I$699,6)</f>
        <v>#N/A</v>
      </c>
      <c r="D2739" s="212"/>
      <c r="E2739" s="75" t="e">
        <f t="shared" si="88"/>
        <v>#N/A</v>
      </c>
      <c r="F2739" s="80"/>
      <c r="G2739" s="81"/>
      <c r="H2739" s="78"/>
      <c r="I2739" s="78"/>
      <c r="J2739" s="78"/>
    </row>
    <row r="2740" spans="1:10" x14ac:dyDescent="0.2">
      <c r="A2740" s="84">
        <f t="shared" si="89"/>
        <v>2734</v>
      </c>
      <c r="B2740" s="85" t="e">
        <f>+MATCH(D2740,ARTICULOS!$F$10:$F$699,0)</f>
        <v>#N/A</v>
      </c>
      <c r="C2740" s="86" t="e">
        <f>+VLOOKUP(B2740,ARTICULOS!$D$10:$I$699,6)</f>
        <v>#N/A</v>
      </c>
      <c r="D2740" s="212"/>
      <c r="E2740" s="75" t="e">
        <f t="shared" si="88"/>
        <v>#N/A</v>
      </c>
      <c r="F2740" s="80"/>
      <c r="G2740" s="81"/>
      <c r="H2740" s="78"/>
      <c r="I2740" s="78"/>
      <c r="J2740" s="78"/>
    </row>
    <row r="2741" spans="1:10" x14ac:dyDescent="0.2">
      <c r="A2741" s="84">
        <f t="shared" si="89"/>
        <v>2735</v>
      </c>
      <c r="B2741" s="85" t="e">
        <f>+MATCH(D2741,ARTICULOS!$F$10:$F$699,0)</f>
        <v>#N/A</v>
      </c>
      <c r="C2741" s="86" t="e">
        <f>+VLOOKUP(B2741,ARTICULOS!$D$10:$I$699,6)</f>
        <v>#N/A</v>
      </c>
      <c r="D2741" s="212"/>
      <c r="E2741" s="75" t="e">
        <f t="shared" si="88"/>
        <v>#N/A</v>
      </c>
      <c r="F2741" s="80"/>
      <c r="G2741" s="81"/>
      <c r="H2741" s="78"/>
      <c r="I2741" s="78"/>
      <c r="J2741" s="78"/>
    </row>
    <row r="2742" spans="1:10" x14ac:dyDescent="0.2">
      <c r="A2742" s="84">
        <f t="shared" si="89"/>
        <v>2736</v>
      </c>
      <c r="B2742" s="85" t="e">
        <f>+MATCH(D2742,ARTICULOS!$F$10:$F$699,0)</f>
        <v>#N/A</v>
      </c>
      <c r="C2742" s="86" t="e">
        <f>+VLOOKUP(B2742,ARTICULOS!$D$10:$I$699,6)</f>
        <v>#N/A</v>
      </c>
      <c r="D2742" s="212"/>
      <c r="E2742" s="75" t="e">
        <f t="shared" si="88"/>
        <v>#N/A</v>
      </c>
      <c r="F2742" s="80"/>
      <c r="G2742" s="81"/>
      <c r="H2742" s="78"/>
      <c r="I2742" s="78"/>
      <c r="J2742" s="78"/>
    </row>
    <row r="2743" spans="1:10" x14ac:dyDescent="0.2">
      <c r="A2743" s="84">
        <f t="shared" si="89"/>
        <v>2737</v>
      </c>
      <c r="B2743" s="85" t="e">
        <f>+MATCH(D2743,ARTICULOS!$F$10:$F$699,0)</f>
        <v>#N/A</v>
      </c>
      <c r="C2743" s="86" t="e">
        <f>+VLOOKUP(B2743,ARTICULOS!$D$10:$I$699,6)</f>
        <v>#N/A</v>
      </c>
      <c r="D2743" s="212"/>
      <c r="E2743" s="75" t="e">
        <f t="shared" si="88"/>
        <v>#N/A</v>
      </c>
      <c r="F2743" s="80"/>
      <c r="G2743" s="81"/>
      <c r="H2743" s="78"/>
      <c r="I2743" s="78"/>
      <c r="J2743" s="78"/>
    </row>
    <row r="2744" spans="1:10" x14ac:dyDescent="0.2">
      <c r="A2744" s="84">
        <f t="shared" si="89"/>
        <v>2738</v>
      </c>
      <c r="B2744" s="85" t="e">
        <f>+MATCH(D2744,ARTICULOS!$F$10:$F$699,0)</f>
        <v>#N/A</v>
      </c>
      <c r="C2744" s="86" t="e">
        <f>+VLOOKUP(B2744,ARTICULOS!$D$10:$I$699,6)</f>
        <v>#N/A</v>
      </c>
      <c r="D2744" s="212"/>
      <c r="E2744" s="75" t="e">
        <f t="shared" si="88"/>
        <v>#N/A</v>
      </c>
      <c r="F2744" s="80"/>
      <c r="G2744" s="81"/>
      <c r="H2744" s="78"/>
      <c r="I2744" s="78"/>
      <c r="J2744" s="78"/>
    </row>
    <row r="2745" spans="1:10" x14ac:dyDescent="0.2">
      <c r="A2745" s="84">
        <f t="shared" si="89"/>
        <v>2739</v>
      </c>
      <c r="B2745" s="85" t="e">
        <f>+MATCH(D2745,ARTICULOS!$F$10:$F$699,0)</f>
        <v>#N/A</v>
      </c>
      <c r="C2745" s="86" t="e">
        <f>+VLOOKUP(B2745,ARTICULOS!$D$10:$I$699,6)</f>
        <v>#N/A</v>
      </c>
      <c r="D2745" s="212"/>
      <c r="E2745" s="75" t="e">
        <f t="shared" si="88"/>
        <v>#N/A</v>
      </c>
      <c r="F2745" s="80"/>
      <c r="G2745" s="81"/>
      <c r="H2745" s="78"/>
      <c r="I2745" s="78"/>
      <c r="J2745" s="78"/>
    </row>
    <row r="2746" spans="1:10" x14ac:dyDescent="0.2">
      <c r="A2746" s="84">
        <f t="shared" si="89"/>
        <v>2740</v>
      </c>
      <c r="B2746" s="85" t="e">
        <f>+MATCH(D2746,ARTICULOS!$F$10:$F$699,0)</f>
        <v>#N/A</v>
      </c>
      <c r="C2746" s="86" t="e">
        <f>+VLOOKUP(B2746,ARTICULOS!$D$10:$I$699,6)</f>
        <v>#N/A</v>
      </c>
      <c r="D2746" s="212"/>
      <c r="E2746" s="75" t="e">
        <f t="shared" si="88"/>
        <v>#N/A</v>
      </c>
      <c r="F2746" s="80"/>
      <c r="G2746" s="81"/>
      <c r="H2746" s="78"/>
      <c r="I2746" s="78"/>
      <c r="J2746" s="78"/>
    </row>
    <row r="2747" spans="1:10" x14ac:dyDescent="0.2">
      <c r="A2747" s="84">
        <f t="shared" si="89"/>
        <v>2741</v>
      </c>
      <c r="B2747" s="85" t="e">
        <f>+MATCH(D2747,ARTICULOS!$F$10:$F$699,0)</f>
        <v>#N/A</v>
      </c>
      <c r="C2747" s="86" t="e">
        <f>+VLOOKUP(B2747,ARTICULOS!$D$10:$I$699,6)</f>
        <v>#N/A</v>
      </c>
      <c r="D2747" s="212"/>
      <c r="E2747" s="75" t="e">
        <f t="shared" si="88"/>
        <v>#N/A</v>
      </c>
      <c r="F2747" s="80"/>
      <c r="G2747" s="81"/>
      <c r="H2747" s="78"/>
      <c r="I2747" s="78"/>
      <c r="J2747" s="78"/>
    </row>
    <row r="2748" spans="1:10" x14ac:dyDescent="0.2">
      <c r="A2748" s="84">
        <f t="shared" si="89"/>
        <v>2742</v>
      </c>
      <c r="B2748" s="85" t="e">
        <f>+MATCH(D2748,ARTICULOS!$F$10:$F$699,0)</f>
        <v>#N/A</v>
      </c>
      <c r="C2748" s="86" t="e">
        <f>+VLOOKUP(B2748,ARTICULOS!$D$10:$I$699,6)</f>
        <v>#N/A</v>
      </c>
      <c r="D2748" s="212"/>
      <c r="E2748" s="75" t="e">
        <f t="shared" si="88"/>
        <v>#N/A</v>
      </c>
      <c r="F2748" s="80"/>
      <c r="G2748" s="81"/>
      <c r="H2748" s="78"/>
      <c r="I2748" s="78"/>
      <c r="J2748" s="78"/>
    </row>
    <row r="2749" spans="1:10" x14ac:dyDescent="0.2">
      <c r="A2749" s="84">
        <f t="shared" si="89"/>
        <v>2743</v>
      </c>
      <c r="B2749" s="85" t="e">
        <f>+MATCH(D2749,ARTICULOS!$F$10:$F$699,0)</f>
        <v>#N/A</v>
      </c>
      <c r="C2749" s="86" t="e">
        <f>+VLOOKUP(B2749,ARTICULOS!$D$10:$I$699,6)</f>
        <v>#N/A</v>
      </c>
      <c r="D2749" s="212"/>
      <c r="E2749" s="75" t="e">
        <f t="shared" si="88"/>
        <v>#N/A</v>
      </c>
      <c r="F2749" s="80"/>
      <c r="G2749" s="81"/>
      <c r="H2749" s="78"/>
      <c r="I2749" s="78"/>
      <c r="J2749" s="78"/>
    </row>
    <row r="2750" spans="1:10" x14ac:dyDescent="0.2">
      <c r="A2750" s="84">
        <f t="shared" si="89"/>
        <v>2744</v>
      </c>
      <c r="B2750" s="85" t="e">
        <f>+MATCH(D2750,ARTICULOS!$F$10:$F$699,0)</f>
        <v>#N/A</v>
      </c>
      <c r="C2750" s="86" t="e">
        <f>+VLOOKUP(B2750,ARTICULOS!$D$10:$I$699,6)</f>
        <v>#N/A</v>
      </c>
      <c r="D2750" s="212"/>
      <c r="E2750" s="75" t="e">
        <f t="shared" si="88"/>
        <v>#N/A</v>
      </c>
      <c r="F2750" s="80"/>
      <c r="G2750" s="81"/>
      <c r="H2750" s="78"/>
      <c r="I2750" s="78"/>
      <c r="J2750" s="78"/>
    </row>
    <row r="2751" spans="1:10" x14ac:dyDescent="0.2">
      <c r="A2751" s="84">
        <f t="shared" si="89"/>
        <v>2745</v>
      </c>
      <c r="B2751" s="85" t="e">
        <f>+MATCH(D2751,ARTICULOS!$F$10:$F$699,0)</f>
        <v>#N/A</v>
      </c>
      <c r="C2751" s="86" t="e">
        <f>+VLOOKUP(B2751,ARTICULOS!$D$10:$I$699,6)</f>
        <v>#N/A</v>
      </c>
      <c r="D2751" s="212"/>
      <c r="E2751" s="75" t="e">
        <f t="shared" si="88"/>
        <v>#N/A</v>
      </c>
      <c r="F2751" s="80"/>
      <c r="G2751" s="81"/>
      <c r="H2751" s="78"/>
      <c r="I2751" s="78"/>
      <c r="J2751" s="78"/>
    </row>
    <row r="2752" spans="1:10" x14ac:dyDescent="0.2">
      <c r="A2752" s="84">
        <f t="shared" si="89"/>
        <v>2746</v>
      </c>
      <c r="B2752" s="85" t="e">
        <f>+MATCH(D2752,ARTICULOS!$F$10:$F$699,0)</f>
        <v>#N/A</v>
      </c>
      <c r="C2752" s="86" t="e">
        <f>+VLOOKUP(B2752,ARTICULOS!$D$10:$I$699,6)</f>
        <v>#N/A</v>
      </c>
      <c r="D2752" s="212"/>
      <c r="E2752" s="75" t="e">
        <f t="shared" si="88"/>
        <v>#N/A</v>
      </c>
      <c r="F2752" s="80"/>
      <c r="G2752" s="81"/>
      <c r="H2752" s="78"/>
      <c r="I2752" s="78"/>
      <c r="J2752" s="78"/>
    </row>
    <row r="2753" spans="1:10" x14ac:dyDescent="0.2">
      <c r="A2753" s="84">
        <f t="shared" si="89"/>
        <v>2747</v>
      </c>
      <c r="B2753" s="85" t="e">
        <f>+MATCH(D2753,ARTICULOS!$F$10:$F$699,0)</f>
        <v>#N/A</v>
      </c>
      <c r="C2753" s="86" t="e">
        <f>+VLOOKUP(B2753,ARTICULOS!$D$10:$I$699,6)</f>
        <v>#N/A</v>
      </c>
      <c r="D2753" s="212"/>
      <c r="E2753" s="75" t="e">
        <f t="shared" si="88"/>
        <v>#N/A</v>
      </c>
      <c r="F2753" s="80"/>
      <c r="G2753" s="81"/>
      <c r="H2753" s="78"/>
      <c r="I2753" s="78"/>
      <c r="J2753" s="78"/>
    </row>
    <row r="2754" spans="1:10" x14ac:dyDescent="0.2">
      <c r="A2754" s="84">
        <f t="shared" si="89"/>
        <v>2748</v>
      </c>
      <c r="B2754" s="85" t="e">
        <f>+MATCH(D2754,ARTICULOS!$F$10:$F$699,0)</f>
        <v>#N/A</v>
      </c>
      <c r="C2754" s="86" t="e">
        <f>+VLOOKUP(B2754,ARTICULOS!$D$10:$I$699,6)</f>
        <v>#N/A</v>
      </c>
      <c r="D2754" s="212"/>
      <c r="E2754" s="75" t="e">
        <f t="shared" si="88"/>
        <v>#N/A</v>
      </c>
      <c r="F2754" s="80"/>
      <c r="G2754" s="81"/>
      <c r="H2754" s="78"/>
      <c r="I2754" s="78"/>
      <c r="J2754" s="78"/>
    </row>
    <row r="2755" spans="1:10" x14ac:dyDescent="0.2">
      <c r="A2755" s="84">
        <f t="shared" si="89"/>
        <v>2749</v>
      </c>
      <c r="B2755" s="85" t="e">
        <f>+MATCH(D2755,ARTICULOS!$F$10:$F$699,0)</f>
        <v>#N/A</v>
      </c>
      <c r="C2755" s="86" t="e">
        <f>+VLOOKUP(B2755,ARTICULOS!$D$10:$I$699,6)</f>
        <v>#N/A</v>
      </c>
      <c r="D2755" s="212"/>
      <c r="E2755" s="75" t="e">
        <f t="shared" si="88"/>
        <v>#N/A</v>
      </c>
      <c r="F2755" s="80"/>
      <c r="G2755" s="81"/>
      <c r="H2755" s="78"/>
      <c r="I2755" s="78"/>
      <c r="J2755" s="78"/>
    </row>
    <row r="2756" spans="1:10" x14ac:dyDescent="0.2">
      <c r="A2756" s="84">
        <f t="shared" si="89"/>
        <v>2750</v>
      </c>
      <c r="B2756" s="85" t="e">
        <f>+MATCH(D2756,ARTICULOS!$F$10:$F$699,0)</f>
        <v>#N/A</v>
      </c>
      <c r="C2756" s="86" t="e">
        <f>+VLOOKUP(B2756,ARTICULOS!$D$10:$I$699,6)</f>
        <v>#N/A</v>
      </c>
      <c r="D2756" s="212"/>
      <c r="E2756" s="75" t="e">
        <f t="shared" si="88"/>
        <v>#N/A</v>
      </c>
      <c r="F2756" s="80"/>
      <c r="G2756" s="81"/>
      <c r="H2756" s="78"/>
      <c r="I2756" s="78"/>
      <c r="J2756" s="78"/>
    </row>
    <row r="2757" spans="1:10" x14ac:dyDescent="0.2">
      <c r="A2757" s="84">
        <f t="shared" si="89"/>
        <v>2751</v>
      </c>
      <c r="B2757" s="85" t="e">
        <f>+MATCH(D2757,ARTICULOS!$F$10:$F$699,0)</f>
        <v>#N/A</v>
      </c>
      <c r="C2757" s="86" t="e">
        <f>+VLOOKUP(B2757,ARTICULOS!$D$10:$I$699,6)</f>
        <v>#N/A</v>
      </c>
      <c r="D2757" s="212"/>
      <c r="E2757" s="75" t="e">
        <f t="shared" si="88"/>
        <v>#N/A</v>
      </c>
      <c r="F2757" s="80"/>
      <c r="G2757" s="81"/>
      <c r="H2757" s="78"/>
      <c r="I2757" s="78"/>
      <c r="J2757" s="78"/>
    </row>
    <row r="2758" spans="1:10" x14ac:dyDescent="0.2">
      <c r="A2758" s="84">
        <f t="shared" si="89"/>
        <v>2752</v>
      </c>
      <c r="B2758" s="85" t="e">
        <f>+MATCH(D2758,ARTICULOS!$F$10:$F$699,0)</f>
        <v>#N/A</v>
      </c>
      <c r="C2758" s="86" t="e">
        <f>+VLOOKUP(B2758,ARTICULOS!$D$10:$I$699,6)</f>
        <v>#N/A</v>
      </c>
      <c r="D2758" s="212"/>
      <c r="E2758" s="75" t="e">
        <f t="shared" si="88"/>
        <v>#N/A</v>
      </c>
      <c r="F2758" s="80"/>
      <c r="G2758" s="81"/>
      <c r="H2758" s="78"/>
      <c r="I2758" s="78"/>
      <c r="J2758" s="78"/>
    </row>
    <row r="2759" spans="1:10" x14ac:dyDescent="0.2">
      <c r="A2759" s="84">
        <f t="shared" si="89"/>
        <v>2753</v>
      </c>
      <c r="B2759" s="85" t="e">
        <f>+MATCH(D2759,ARTICULOS!$F$10:$F$699,0)</f>
        <v>#N/A</v>
      </c>
      <c r="C2759" s="86" t="e">
        <f>+VLOOKUP(B2759,ARTICULOS!$D$10:$I$699,6)</f>
        <v>#N/A</v>
      </c>
      <c r="D2759" s="212"/>
      <c r="E2759" s="75" t="e">
        <f t="shared" si="88"/>
        <v>#N/A</v>
      </c>
      <c r="F2759" s="80"/>
      <c r="G2759" s="81"/>
      <c r="H2759" s="78"/>
      <c r="I2759" s="78"/>
      <c r="J2759" s="78"/>
    </row>
    <row r="2760" spans="1:10" x14ac:dyDescent="0.2">
      <c r="A2760" s="84">
        <f t="shared" si="89"/>
        <v>2754</v>
      </c>
      <c r="B2760" s="85" t="e">
        <f>+MATCH(D2760,ARTICULOS!$F$10:$F$699,0)</f>
        <v>#N/A</v>
      </c>
      <c r="C2760" s="86" t="e">
        <f>+VLOOKUP(B2760,ARTICULOS!$D$10:$I$699,6)</f>
        <v>#N/A</v>
      </c>
      <c r="D2760" s="212"/>
      <c r="E2760" s="75" t="e">
        <f t="shared" si="88"/>
        <v>#N/A</v>
      </c>
      <c r="F2760" s="80"/>
      <c r="G2760" s="81"/>
      <c r="H2760" s="78"/>
      <c r="I2760" s="78"/>
      <c r="J2760" s="78"/>
    </row>
    <row r="2761" spans="1:10" x14ac:dyDescent="0.2">
      <c r="A2761" s="84">
        <f t="shared" si="89"/>
        <v>2755</v>
      </c>
      <c r="B2761" s="85" t="e">
        <f>+MATCH(D2761,ARTICULOS!$F$10:$F$699,0)</f>
        <v>#N/A</v>
      </c>
      <c r="C2761" s="86" t="e">
        <f>+VLOOKUP(B2761,ARTICULOS!$D$10:$I$699,6)</f>
        <v>#N/A</v>
      </c>
      <c r="D2761" s="212"/>
      <c r="E2761" s="75" t="e">
        <f t="shared" si="88"/>
        <v>#N/A</v>
      </c>
      <c r="F2761" s="80"/>
      <c r="G2761" s="81"/>
      <c r="H2761" s="78"/>
      <c r="I2761" s="78"/>
      <c r="J2761" s="78"/>
    </row>
    <row r="2762" spans="1:10" x14ac:dyDescent="0.2">
      <c r="A2762" s="84">
        <f t="shared" si="89"/>
        <v>2756</v>
      </c>
      <c r="B2762" s="85" t="e">
        <f>+MATCH(D2762,ARTICULOS!$F$10:$F$699,0)</f>
        <v>#N/A</v>
      </c>
      <c r="C2762" s="86" t="e">
        <f>+VLOOKUP(B2762,ARTICULOS!$D$10:$I$699,6)</f>
        <v>#N/A</v>
      </c>
      <c r="D2762" s="212"/>
      <c r="E2762" s="75" t="e">
        <f t="shared" si="88"/>
        <v>#N/A</v>
      </c>
      <c r="F2762" s="80"/>
      <c r="G2762" s="81"/>
      <c r="H2762" s="78"/>
      <c r="I2762" s="78"/>
      <c r="J2762" s="78"/>
    </row>
    <row r="2763" spans="1:10" x14ac:dyDescent="0.2">
      <c r="A2763" s="84">
        <f t="shared" si="89"/>
        <v>2757</v>
      </c>
      <c r="B2763" s="85" t="e">
        <f>+MATCH(D2763,ARTICULOS!$F$10:$F$699,0)</f>
        <v>#N/A</v>
      </c>
      <c r="C2763" s="86" t="e">
        <f>+VLOOKUP(B2763,ARTICULOS!$D$10:$I$699,6)</f>
        <v>#N/A</v>
      </c>
      <c r="D2763" s="212"/>
      <c r="E2763" s="75" t="e">
        <f t="shared" ref="E2763:E2826" si="90">+C2763&amp;F2763</f>
        <v>#N/A</v>
      </c>
      <c r="F2763" s="80"/>
      <c r="G2763" s="81"/>
      <c r="H2763" s="78"/>
      <c r="I2763" s="78"/>
      <c r="J2763" s="78"/>
    </row>
    <row r="2764" spans="1:10" x14ac:dyDescent="0.2">
      <c r="A2764" s="84">
        <f t="shared" si="89"/>
        <v>2758</v>
      </c>
      <c r="B2764" s="85" t="e">
        <f>+MATCH(D2764,ARTICULOS!$F$10:$F$699,0)</f>
        <v>#N/A</v>
      </c>
      <c r="C2764" s="86" t="e">
        <f>+VLOOKUP(B2764,ARTICULOS!$D$10:$I$699,6)</f>
        <v>#N/A</v>
      </c>
      <c r="D2764" s="212"/>
      <c r="E2764" s="75" t="e">
        <f t="shared" si="90"/>
        <v>#N/A</v>
      </c>
      <c r="F2764" s="80"/>
      <c r="G2764" s="81"/>
      <c r="H2764" s="78"/>
      <c r="I2764" s="78"/>
      <c r="J2764" s="78"/>
    </row>
    <row r="2765" spans="1:10" x14ac:dyDescent="0.2">
      <c r="A2765" s="84">
        <f t="shared" si="89"/>
        <v>2759</v>
      </c>
      <c r="B2765" s="85" t="e">
        <f>+MATCH(D2765,ARTICULOS!$F$10:$F$699,0)</f>
        <v>#N/A</v>
      </c>
      <c r="C2765" s="86" t="e">
        <f>+VLOOKUP(B2765,ARTICULOS!$D$10:$I$699,6)</f>
        <v>#N/A</v>
      </c>
      <c r="D2765" s="212"/>
      <c r="E2765" s="75" t="e">
        <f t="shared" si="90"/>
        <v>#N/A</v>
      </c>
      <c r="F2765" s="80"/>
      <c r="G2765" s="81"/>
      <c r="H2765" s="78"/>
      <c r="I2765" s="78"/>
      <c r="J2765" s="78"/>
    </row>
    <row r="2766" spans="1:10" x14ac:dyDescent="0.2">
      <c r="A2766" s="84">
        <f t="shared" si="89"/>
        <v>2760</v>
      </c>
      <c r="B2766" s="85" t="e">
        <f>+MATCH(D2766,ARTICULOS!$F$10:$F$699,0)</f>
        <v>#N/A</v>
      </c>
      <c r="C2766" s="86" t="e">
        <f>+VLOOKUP(B2766,ARTICULOS!$D$10:$I$699,6)</f>
        <v>#N/A</v>
      </c>
      <c r="D2766" s="212"/>
      <c r="E2766" s="75" t="e">
        <f t="shared" si="90"/>
        <v>#N/A</v>
      </c>
      <c r="F2766" s="80"/>
      <c r="G2766" s="81"/>
      <c r="H2766" s="78"/>
      <c r="I2766" s="78"/>
      <c r="J2766" s="78"/>
    </row>
    <row r="2767" spans="1:10" x14ac:dyDescent="0.2">
      <c r="A2767" s="84">
        <f t="shared" si="89"/>
        <v>2761</v>
      </c>
      <c r="B2767" s="85" t="e">
        <f>+MATCH(D2767,ARTICULOS!$F$10:$F$699,0)</f>
        <v>#N/A</v>
      </c>
      <c r="C2767" s="86" t="e">
        <f>+VLOOKUP(B2767,ARTICULOS!$D$10:$I$699,6)</f>
        <v>#N/A</v>
      </c>
      <c r="D2767" s="212"/>
      <c r="E2767" s="75" t="e">
        <f t="shared" si="90"/>
        <v>#N/A</v>
      </c>
      <c r="F2767" s="80"/>
      <c r="G2767" s="81"/>
      <c r="H2767" s="78"/>
      <c r="I2767" s="78"/>
      <c r="J2767" s="78"/>
    </row>
    <row r="2768" spans="1:10" x14ac:dyDescent="0.2">
      <c r="A2768" s="84">
        <f t="shared" si="89"/>
        <v>2762</v>
      </c>
      <c r="B2768" s="85" t="e">
        <f>+MATCH(D2768,ARTICULOS!$F$10:$F$699,0)</f>
        <v>#N/A</v>
      </c>
      <c r="C2768" s="86" t="e">
        <f>+VLOOKUP(B2768,ARTICULOS!$D$10:$I$699,6)</f>
        <v>#N/A</v>
      </c>
      <c r="D2768" s="212"/>
      <c r="E2768" s="75" t="e">
        <f t="shared" si="90"/>
        <v>#N/A</v>
      </c>
      <c r="F2768" s="80"/>
      <c r="G2768" s="81"/>
      <c r="H2768" s="78"/>
      <c r="I2768" s="78"/>
      <c r="J2768" s="78"/>
    </row>
    <row r="2769" spans="1:10" x14ac:dyDescent="0.2">
      <c r="A2769" s="84">
        <f t="shared" si="89"/>
        <v>2763</v>
      </c>
      <c r="B2769" s="85" t="e">
        <f>+MATCH(D2769,ARTICULOS!$F$10:$F$699,0)</f>
        <v>#N/A</v>
      </c>
      <c r="C2769" s="86" t="e">
        <f>+VLOOKUP(B2769,ARTICULOS!$D$10:$I$699,6)</f>
        <v>#N/A</v>
      </c>
      <c r="D2769" s="212"/>
      <c r="E2769" s="75" t="e">
        <f t="shared" si="90"/>
        <v>#N/A</v>
      </c>
      <c r="F2769" s="80"/>
      <c r="G2769" s="81"/>
      <c r="H2769" s="78"/>
      <c r="I2769" s="78"/>
      <c r="J2769" s="78"/>
    </row>
    <row r="2770" spans="1:10" x14ac:dyDescent="0.2">
      <c r="A2770" s="84">
        <f t="shared" si="89"/>
        <v>2764</v>
      </c>
      <c r="B2770" s="85" t="e">
        <f>+MATCH(D2770,ARTICULOS!$F$10:$F$699,0)</f>
        <v>#N/A</v>
      </c>
      <c r="C2770" s="86" t="e">
        <f>+VLOOKUP(B2770,ARTICULOS!$D$10:$I$699,6)</f>
        <v>#N/A</v>
      </c>
      <c r="D2770" s="212"/>
      <c r="E2770" s="75" t="e">
        <f t="shared" si="90"/>
        <v>#N/A</v>
      </c>
      <c r="F2770" s="80"/>
      <c r="G2770" s="81"/>
      <c r="H2770" s="78"/>
      <c r="I2770" s="78"/>
      <c r="J2770" s="78"/>
    </row>
    <row r="2771" spans="1:10" x14ac:dyDescent="0.2">
      <c r="A2771" s="84">
        <f t="shared" si="89"/>
        <v>2765</v>
      </c>
      <c r="B2771" s="85" t="e">
        <f>+MATCH(D2771,ARTICULOS!$F$10:$F$699,0)</f>
        <v>#N/A</v>
      </c>
      <c r="C2771" s="86" t="e">
        <f>+VLOOKUP(B2771,ARTICULOS!$D$10:$I$699,6)</f>
        <v>#N/A</v>
      </c>
      <c r="D2771" s="212"/>
      <c r="E2771" s="75" t="e">
        <f t="shared" si="90"/>
        <v>#N/A</v>
      </c>
      <c r="F2771" s="80"/>
      <c r="G2771" s="81"/>
      <c r="H2771" s="78"/>
      <c r="I2771" s="78"/>
      <c r="J2771" s="78"/>
    </row>
    <row r="2772" spans="1:10" x14ac:dyDescent="0.2">
      <c r="A2772" s="84">
        <f t="shared" si="89"/>
        <v>2766</v>
      </c>
      <c r="B2772" s="85" t="e">
        <f>+MATCH(D2772,ARTICULOS!$F$10:$F$699,0)</f>
        <v>#N/A</v>
      </c>
      <c r="C2772" s="86" t="e">
        <f>+VLOOKUP(B2772,ARTICULOS!$D$10:$I$699,6)</f>
        <v>#N/A</v>
      </c>
      <c r="D2772" s="212"/>
      <c r="E2772" s="75" t="e">
        <f t="shared" si="90"/>
        <v>#N/A</v>
      </c>
      <c r="F2772" s="80"/>
      <c r="G2772" s="81"/>
      <c r="H2772" s="78"/>
      <c r="I2772" s="78"/>
      <c r="J2772" s="78"/>
    </row>
    <row r="2773" spans="1:10" x14ac:dyDescent="0.2">
      <c r="A2773" s="84">
        <f t="shared" si="89"/>
        <v>2767</v>
      </c>
      <c r="B2773" s="85" t="e">
        <f>+MATCH(D2773,ARTICULOS!$F$10:$F$699,0)</f>
        <v>#N/A</v>
      </c>
      <c r="C2773" s="86" t="e">
        <f>+VLOOKUP(B2773,ARTICULOS!$D$10:$I$699,6)</f>
        <v>#N/A</v>
      </c>
      <c r="D2773" s="212"/>
      <c r="E2773" s="75" t="e">
        <f t="shared" si="90"/>
        <v>#N/A</v>
      </c>
      <c r="F2773" s="80"/>
      <c r="G2773" s="81"/>
      <c r="H2773" s="78"/>
      <c r="I2773" s="78"/>
      <c r="J2773" s="78"/>
    </row>
    <row r="2774" spans="1:10" x14ac:dyDescent="0.2">
      <c r="A2774" s="84">
        <f t="shared" si="89"/>
        <v>2768</v>
      </c>
      <c r="B2774" s="85" t="e">
        <f>+MATCH(D2774,ARTICULOS!$F$10:$F$699,0)</f>
        <v>#N/A</v>
      </c>
      <c r="C2774" s="86" t="e">
        <f>+VLOOKUP(B2774,ARTICULOS!$D$10:$I$699,6)</f>
        <v>#N/A</v>
      </c>
      <c r="D2774" s="212"/>
      <c r="E2774" s="75" t="e">
        <f t="shared" si="90"/>
        <v>#N/A</v>
      </c>
      <c r="F2774" s="80"/>
      <c r="G2774" s="81"/>
      <c r="H2774" s="78"/>
      <c r="I2774" s="78"/>
      <c r="J2774" s="78"/>
    </row>
    <row r="2775" spans="1:10" x14ac:dyDescent="0.2">
      <c r="A2775" s="84">
        <f t="shared" si="89"/>
        <v>2769</v>
      </c>
      <c r="B2775" s="85" t="e">
        <f>+MATCH(D2775,ARTICULOS!$F$10:$F$699,0)</f>
        <v>#N/A</v>
      </c>
      <c r="C2775" s="86" t="e">
        <f>+VLOOKUP(B2775,ARTICULOS!$D$10:$I$699,6)</f>
        <v>#N/A</v>
      </c>
      <c r="D2775" s="212"/>
      <c r="E2775" s="75" t="e">
        <f t="shared" si="90"/>
        <v>#N/A</v>
      </c>
      <c r="F2775" s="80"/>
      <c r="G2775" s="81"/>
      <c r="H2775" s="78"/>
      <c r="I2775" s="78"/>
      <c r="J2775" s="78"/>
    </row>
    <row r="2776" spans="1:10" x14ac:dyDescent="0.2">
      <c r="A2776" s="84">
        <f t="shared" si="89"/>
        <v>2770</v>
      </c>
      <c r="B2776" s="85" t="e">
        <f>+MATCH(D2776,ARTICULOS!$F$10:$F$699,0)</f>
        <v>#N/A</v>
      </c>
      <c r="C2776" s="86" t="e">
        <f>+VLOOKUP(B2776,ARTICULOS!$D$10:$I$699,6)</f>
        <v>#N/A</v>
      </c>
      <c r="D2776" s="212"/>
      <c r="E2776" s="75" t="e">
        <f t="shared" si="90"/>
        <v>#N/A</v>
      </c>
      <c r="F2776" s="80"/>
      <c r="G2776" s="81"/>
      <c r="H2776" s="78"/>
      <c r="I2776" s="78"/>
      <c r="J2776" s="78"/>
    </row>
    <row r="2777" spans="1:10" x14ac:dyDescent="0.2">
      <c r="A2777" s="84">
        <f t="shared" si="89"/>
        <v>2771</v>
      </c>
      <c r="B2777" s="85" t="e">
        <f>+MATCH(D2777,ARTICULOS!$F$10:$F$699,0)</f>
        <v>#N/A</v>
      </c>
      <c r="C2777" s="86" t="e">
        <f>+VLOOKUP(B2777,ARTICULOS!$D$10:$I$699,6)</f>
        <v>#N/A</v>
      </c>
      <c r="D2777" s="212"/>
      <c r="E2777" s="75" t="e">
        <f t="shared" si="90"/>
        <v>#N/A</v>
      </c>
      <c r="F2777" s="80"/>
      <c r="G2777" s="81"/>
      <c r="H2777" s="78"/>
      <c r="I2777" s="78"/>
      <c r="J2777" s="78"/>
    </row>
    <row r="2778" spans="1:10" x14ac:dyDescent="0.2">
      <c r="A2778" s="84">
        <f t="shared" si="89"/>
        <v>2772</v>
      </c>
      <c r="B2778" s="85" t="e">
        <f>+MATCH(D2778,ARTICULOS!$F$10:$F$699,0)</f>
        <v>#N/A</v>
      </c>
      <c r="C2778" s="86" t="e">
        <f>+VLOOKUP(B2778,ARTICULOS!$D$10:$I$699,6)</f>
        <v>#N/A</v>
      </c>
      <c r="D2778" s="212"/>
      <c r="E2778" s="75" t="e">
        <f t="shared" si="90"/>
        <v>#N/A</v>
      </c>
      <c r="F2778" s="80"/>
      <c r="G2778" s="81"/>
      <c r="H2778" s="78"/>
      <c r="I2778" s="78"/>
      <c r="J2778" s="78"/>
    </row>
    <row r="2779" spans="1:10" x14ac:dyDescent="0.2">
      <c r="A2779" s="84">
        <f t="shared" si="89"/>
        <v>2773</v>
      </c>
      <c r="B2779" s="85" t="e">
        <f>+MATCH(D2779,ARTICULOS!$F$10:$F$699,0)</f>
        <v>#N/A</v>
      </c>
      <c r="C2779" s="86" t="e">
        <f>+VLOOKUP(B2779,ARTICULOS!$D$10:$I$699,6)</f>
        <v>#N/A</v>
      </c>
      <c r="D2779" s="212"/>
      <c r="E2779" s="75" t="e">
        <f t="shared" si="90"/>
        <v>#N/A</v>
      </c>
      <c r="F2779" s="80"/>
      <c r="G2779" s="81"/>
      <c r="H2779" s="78"/>
      <c r="I2779" s="78"/>
      <c r="J2779" s="78"/>
    </row>
    <row r="2780" spans="1:10" x14ac:dyDescent="0.2">
      <c r="A2780" s="84">
        <f t="shared" si="89"/>
        <v>2774</v>
      </c>
      <c r="B2780" s="85" t="e">
        <f>+MATCH(D2780,ARTICULOS!$F$10:$F$699,0)</f>
        <v>#N/A</v>
      </c>
      <c r="C2780" s="86" t="e">
        <f>+VLOOKUP(B2780,ARTICULOS!$D$10:$I$699,6)</f>
        <v>#N/A</v>
      </c>
      <c r="D2780" s="212"/>
      <c r="E2780" s="75" t="e">
        <f t="shared" si="90"/>
        <v>#N/A</v>
      </c>
      <c r="F2780" s="80"/>
      <c r="G2780" s="81"/>
      <c r="H2780" s="78"/>
      <c r="I2780" s="78"/>
      <c r="J2780" s="78"/>
    </row>
    <row r="2781" spans="1:10" x14ac:dyDescent="0.2">
      <c r="A2781" s="84">
        <f t="shared" si="89"/>
        <v>2775</v>
      </c>
      <c r="B2781" s="85" t="e">
        <f>+MATCH(D2781,ARTICULOS!$F$10:$F$699,0)</f>
        <v>#N/A</v>
      </c>
      <c r="C2781" s="86" t="e">
        <f>+VLOOKUP(B2781,ARTICULOS!$D$10:$I$699,6)</f>
        <v>#N/A</v>
      </c>
      <c r="D2781" s="212"/>
      <c r="E2781" s="75" t="e">
        <f t="shared" si="90"/>
        <v>#N/A</v>
      </c>
      <c r="F2781" s="80"/>
      <c r="G2781" s="81"/>
      <c r="H2781" s="78"/>
      <c r="I2781" s="78"/>
      <c r="J2781" s="78"/>
    </row>
    <row r="2782" spans="1:10" x14ac:dyDescent="0.2">
      <c r="A2782" s="84">
        <f t="shared" si="89"/>
        <v>2776</v>
      </c>
      <c r="B2782" s="85" t="e">
        <f>+MATCH(D2782,ARTICULOS!$F$10:$F$699,0)</f>
        <v>#N/A</v>
      </c>
      <c r="C2782" s="86" t="e">
        <f>+VLOOKUP(B2782,ARTICULOS!$D$10:$I$699,6)</f>
        <v>#N/A</v>
      </c>
      <c r="D2782" s="212"/>
      <c r="E2782" s="75" t="e">
        <f t="shared" si="90"/>
        <v>#N/A</v>
      </c>
      <c r="F2782" s="80"/>
      <c r="G2782" s="81"/>
      <c r="H2782" s="78"/>
      <c r="I2782" s="78"/>
      <c r="J2782" s="78"/>
    </row>
    <row r="2783" spans="1:10" x14ac:dyDescent="0.2">
      <c r="A2783" s="84">
        <f t="shared" si="89"/>
        <v>2777</v>
      </c>
      <c r="B2783" s="85" t="e">
        <f>+MATCH(D2783,ARTICULOS!$F$10:$F$699,0)</f>
        <v>#N/A</v>
      </c>
      <c r="C2783" s="86" t="e">
        <f>+VLOOKUP(B2783,ARTICULOS!$D$10:$I$699,6)</f>
        <v>#N/A</v>
      </c>
      <c r="D2783" s="212"/>
      <c r="E2783" s="75" t="e">
        <f t="shared" si="90"/>
        <v>#N/A</v>
      </c>
      <c r="F2783" s="80"/>
      <c r="G2783" s="81"/>
      <c r="H2783" s="78"/>
      <c r="I2783" s="78"/>
      <c r="J2783" s="78"/>
    </row>
    <row r="2784" spans="1:10" x14ac:dyDescent="0.2">
      <c r="A2784" s="84">
        <f t="shared" si="89"/>
        <v>2778</v>
      </c>
      <c r="B2784" s="85" t="e">
        <f>+MATCH(D2784,ARTICULOS!$F$10:$F$699,0)</f>
        <v>#N/A</v>
      </c>
      <c r="C2784" s="86" t="e">
        <f>+VLOOKUP(B2784,ARTICULOS!$D$10:$I$699,6)</f>
        <v>#N/A</v>
      </c>
      <c r="D2784" s="212"/>
      <c r="E2784" s="75" t="e">
        <f t="shared" si="90"/>
        <v>#N/A</v>
      </c>
      <c r="F2784" s="80"/>
      <c r="G2784" s="81"/>
      <c r="H2784" s="78"/>
      <c r="I2784" s="78"/>
      <c r="J2784" s="78"/>
    </row>
    <row r="2785" spans="1:10" x14ac:dyDescent="0.2">
      <c r="A2785" s="84">
        <f t="shared" si="89"/>
        <v>2779</v>
      </c>
      <c r="B2785" s="85" t="e">
        <f>+MATCH(D2785,ARTICULOS!$F$10:$F$699,0)</f>
        <v>#N/A</v>
      </c>
      <c r="C2785" s="86" t="e">
        <f>+VLOOKUP(B2785,ARTICULOS!$D$10:$I$699,6)</f>
        <v>#N/A</v>
      </c>
      <c r="D2785" s="212"/>
      <c r="E2785" s="75" t="e">
        <f t="shared" si="90"/>
        <v>#N/A</v>
      </c>
      <c r="F2785" s="80"/>
      <c r="G2785" s="81"/>
      <c r="H2785" s="78"/>
      <c r="I2785" s="78"/>
      <c r="J2785" s="78"/>
    </row>
    <row r="2786" spans="1:10" x14ac:dyDescent="0.2">
      <c r="A2786" s="84">
        <f t="shared" si="89"/>
        <v>2780</v>
      </c>
      <c r="B2786" s="85" t="e">
        <f>+MATCH(D2786,ARTICULOS!$F$10:$F$699,0)</f>
        <v>#N/A</v>
      </c>
      <c r="C2786" s="86" t="e">
        <f>+VLOOKUP(B2786,ARTICULOS!$D$10:$I$699,6)</f>
        <v>#N/A</v>
      </c>
      <c r="D2786" s="212"/>
      <c r="E2786" s="75" t="e">
        <f t="shared" si="90"/>
        <v>#N/A</v>
      </c>
      <c r="F2786" s="80"/>
      <c r="G2786" s="81"/>
      <c r="H2786" s="78"/>
      <c r="I2786" s="78"/>
      <c r="J2786" s="78"/>
    </row>
    <row r="2787" spans="1:10" x14ac:dyDescent="0.2">
      <c r="A2787" s="84">
        <f t="shared" si="89"/>
        <v>2781</v>
      </c>
      <c r="B2787" s="85" t="e">
        <f>+MATCH(D2787,ARTICULOS!$F$10:$F$699,0)</f>
        <v>#N/A</v>
      </c>
      <c r="C2787" s="86" t="e">
        <f>+VLOOKUP(B2787,ARTICULOS!$D$10:$I$699,6)</f>
        <v>#N/A</v>
      </c>
      <c r="D2787" s="212"/>
      <c r="E2787" s="75" t="e">
        <f t="shared" si="90"/>
        <v>#N/A</v>
      </c>
      <c r="F2787" s="80"/>
      <c r="G2787" s="81"/>
      <c r="H2787" s="78"/>
      <c r="I2787" s="78"/>
      <c r="J2787" s="78"/>
    </row>
    <row r="2788" spans="1:10" x14ac:dyDescent="0.2">
      <c r="A2788" s="84">
        <f t="shared" si="89"/>
        <v>2782</v>
      </c>
      <c r="B2788" s="85" t="e">
        <f>+MATCH(D2788,ARTICULOS!$F$10:$F$699,0)</f>
        <v>#N/A</v>
      </c>
      <c r="C2788" s="86" t="e">
        <f>+VLOOKUP(B2788,ARTICULOS!$D$10:$I$699,6)</f>
        <v>#N/A</v>
      </c>
      <c r="D2788" s="212"/>
      <c r="E2788" s="75" t="e">
        <f t="shared" si="90"/>
        <v>#N/A</v>
      </c>
      <c r="F2788" s="80"/>
      <c r="G2788" s="81"/>
      <c r="H2788" s="78"/>
      <c r="I2788" s="78"/>
      <c r="J2788" s="78"/>
    </row>
    <row r="2789" spans="1:10" x14ac:dyDescent="0.2">
      <c r="A2789" s="84">
        <f t="shared" si="89"/>
        <v>2783</v>
      </c>
      <c r="B2789" s="85" t="e">
        <f>+MATCH(D2789,ARTICULOS!$F$10:$F$699,0)</f>
        <v>#N/A</v>
      </c>
      <c r="C2789" s="86" t="e">
        <f>+VLOOKUP(B2789,ARTICULOS!$D$10:$I$699,6)</f>
        <v>#N/A</v>
      </c>
      <c r="D2789" s="212"/>
      <c r="E2789" s="75" t="e">
        <f t="shared" si="90"/>
        <v>#N/A</v>
      </c>
      <c r="F2789" s="80"/>
      <c r="G2789" s="81"/>
      <c r="H2789" s="78"/>
      <c r="I2789" s="78"/>
      <c r="J2789" s="78"/>
    </row>
    <row r="2790" spans="1:10" x14ac:dyDescent="0.2">
      <c r="A2790" s="84">
        <f t="shared" si="89"/>
        <v>2784</v>
      </c>
      <c r="B2790" s="85" t="e">
        <f>+MATCH(D2790,ARTICULOS!$F$10:$F$699,0)</f>
        <v>#N/A</v>
      </c>
      <c r="C2790" s="86" t="e">
        <f>+VLOOKUP(B2790,ARTICULOS!$D$10:$I$699,6)</f>
        <v>#N/A</v>
      </c>
      <c r="D2790" s="212"/>
      <c r="E2790" s="75" t="e">
        <f t="shared" si="90"/>
        <v>#N/A</v>
      </c>
      <c r="F2790" s="80"/>
      <c r="G2790" s="81"/>
      <c r="H2790" s="78"/>
      <c r="I2790" s="78"/>
      <c r="J2790" s="78"/>
    </row>
    <row r="2791" spans="1:10" x14ac:dyDescent="0.2">
      <c r="A2791" s="84">
        <f t="shared" si="89"/>
        <v>2785</v>
      </c>
      <c r="B2791" s="85" t="e">
        <f>+MATCH(D2791,ARTICULOS!$F$10:$F$699,0)</f>
        <v>#N/A</v>
      </c>
      <c r="C2791" s="86" t="e">
        <f>+VLOOKUP(B2791,ARTICULOS!$D$10:$I$699,6)</f>
        <v>#N/A</v>
      </c>
      <c r="D2791" s="212"/>
      <c r="E2791" s="75" t="e">
        <f t="shared" si="90"/>
        <v>#N/A</v>
      </c>
      <c r="F2791" s="80"/>
      <c r="G2791" s="81"/>
      <c r="H2791" s="78"/>
      <c r="I2791" s="78"/>
      <c r="J2791" s="78"/>
    </row>
    <row r="2792" spans="1:10" x14ac:dyDescent="0.2">
      <c r="A2792" s="84">
        <f t="shared" si="89"/>
        <v>2786</v>
      </c>
      <c r="B2792" s="85" t="e">
        <f>+MATCH(D2792,ARTICULOS!$F$10:$F$699,0)</f>
        <v>#N/A</v>
      </c>
      <c r="C2792" s="86" t="e">
        <f>+VLOOKUP(B2792,ARTICULOS!$D$10:$I$699,6)</f>
        <v>#N/A</v>
      </c>
      <c r="D2792" s="212"/>
      <c r="E2792" s="75" t="e">
        <f t="shared" si="90"/>
        <v>#N/A</v>
      </c>
      <c r="F2792" s="80"/>
      <c r="G2792" s="81"/>
      <c r="H2792" s="78"/>
      <c r="I2792" s="78"/>
      <c r="J2792" s="78"/>
    </row>
    <row r="2793" spans="1:10" x14ac:dyDescent="0.2">
      <c r="A2793" s="84">
        <f t="shared" ref="A2793:A2856" si="91">ROW()-6</f>
        <v>2787</v>
      </c>
      <c r="B2793" s="85" t="e">
        <f>+MATCH(D2793,ARTICULOS!$F$10:$F$699,0)</f>
        <v>#N/A</v>
      </c>
      <c r="C2793" s="86" t="e">
        <f>+VLOOKUP(B2793,ARTICULOS!$D$10:$I$699,6)</f>
        <v>#N/A</v>
      </c>
      <c r="D2793" s="212"/>
      <c r="E2793" s="75" t="e">
        <f t="shared" si="90"/>
        <v>#N/A</v>
      </c>
      <c r="F2793" s="80"/>
      <c r="G2793" s="81"/>
      <c r="H2793" s="78"/>
      <c r="I2793" s="78"/>
      <c r="J2793" s="78"/>
    </row>
    <row r="2794" spans="1:10" x14ac:dyDescent="0.2">
      <c r="A2794" s="84">
        <f t="shared" si="91"/>
        <v>2788</v>
      </c>
      <c r="B2794" s="85" t="e">
        <f>+MATCH(D2794,ARTICULOS!$F$10:$F$699,0)</f>
        <v>#N/A</v>
      </c>
      <c r="C2794" s="86" t="e">
        <f>+VLOOKUP(B2794,ARTICULOS!$D$10:$I$699,6)</f>
        <v>#N/A</v>
      </c>
      <c r="D2794" s="212"/>
      <c r="E2794" s="75" t="e">
        <f t="shared" si="90"/>
        <v>#N/A</v>
      </c>
      <c r="F2794" s="80"/>
      <c r="G2794" s="81"/>
      <c r="H2794" s="78"/>
      <c r="I2794" s="78"/>
      <c r="J2794" s="78"/>
    </row>
    <row r="2795" spans="1:10" x14ac:dyDescent="0.2">
      <c r="A2795" s="84">
        <f t="shared" si="91"/>
        <v>2789</v>
      </c>
      <c r="B2795" s="85" t="e">
        <f>+MATCH(D2795,ARTICULOS!$F$10:$F$699,0)</f>
        <v>#N/A</v>
      </c>
      <c r="C2795" s="86" t="e">
        <f>+VLOOKUP(B2795,ARTICULOS!$D$10:$I$699,6)</f>
        <v>#N/A</v>
      </c>
      <c r="D2795" s="212"/>
      <c r="E2795" s="75" t="e">
        <f t="shared" si="90"/>
        <v>#N/A</v>
      </c>
      <c r="F2795" s="80"/>
      <c r="G2795" s="81"/>
      <c r="H2795" s="78"/>
      <c r="I2795" s="78"/>
      <c r="J2795" s="78"/>
    </row>
    <row r="2796" spans="1:10" x14ac:dyDescent="0.2">
      <c r="A2796" s="84">
        <f t="shared" si="91"/>
        <v>2790</v>
      </c>
      <c r="B2796" s="85" t="e">
        <f>+MATCH(D2796,ARTICULOS!$F$10:$F$699,0)</f>
        <v>#N/A</v>
      </c>
      <c r="C2796" s="86" t="e">
        <f>+VLOOKUP(B2796,ARTICULOS!$D$10:$I$699,6)</f>
        <v>#N/A</v>
      </c>
      <c r="D2796" s="212"/>
      <c r="E2796" s="75" t="e">
        <f t="shared" si="90"/>
        <v>#N/A</v>
      </c>
      <c r="F2796" s="80"/>
      <c r="G2796" s="81"/>
      <c r="H2796" s="78"/>
      <c r="I2796" s="78"/>
      <c r="J2796" s="78"/>
    </row>
    <row r="2797" spans="1:10" x14ac:dyDescent="0.2">
      <c r="A2797" s="84">
        <f t="shared" si="91"/>
        <v>2791</v>
      </c>
      <c r="B2797" s="85" t="e">
        <f>+MATCH(D2797,ARTICULOS!$F$10:$F$699,0)</f>
        <v>#N/A</v>
      </c>
      <c r="C2797" s="86" t="e">
        <f>+VLOOKUP(B2797,ARTICULOS!$D$10:$I$699,6)</f>
        <v>#N/A</v>
      </c>
      <c r="D2797" s="212"/>
      <c r="E2797" s="75" t="e">
        <f t="shared" si="90"/>
        <v>#N/A</v>
      </c>
      <c r="F2797" s="80"/>
      <c r="G2797" s="81"/>
      <c r="H2797" s="78"/>
      <c r="I2797" s="78"/>
      <c r="J2797" s="78"/>
    </row>
    <row r="2798" spans="1:10" x14ac:dyDescent="0.2">
      <c r="A2798" s="84">
        <f t="shared" si="91"/>
        <v>2792</v>
      </c>
      <c r="B2798" s="85" t="e">
        <f>+MATCH(D2798,ARTICULOS!$F$10:$F$699,0)</f>
        <v>#N/A</v>
      </c>
      <c r="C2798" s="86" t="e">
        <f>+VLOOKUP(B2798,ARTICULOS!$D$10:$I$699,6)</f>
        <v>#N/A</v>
      </c>
      <c r="D2798" s="212"/>
      <c r="E2798" s="75" t="e">
        <f t="shared" si="90"/>
        <v>#N/A</v>
      </c>
      <c r="F2798" s="80"/>
      <c r="G2798" s="81"/>
      <c r="H2798" s="78"/>
      <c r="I2798" s="78"/>
      <c r="J2798" s="78"/>
    </row>
    <row r="2799" spans="1:10" x14ac:dyDescent="0.2">
      <c r="A2799" s="84">
        <f t="shared" si="91"/>
        <v>2793</v>
      </c>
      <c r="B2799" s="85" t="e">
        <f>+MATCH(D2799,ARTICULOS!$F$10:$F$699,0)</f>
        <v>#N/A</v>
      </c>
      <c r="C2799" s="86" t="e">
        <f>+VLOOKUP(B2799,ARTICULOS!$D$10:$I$699,6)</f>
        <v>#N/A</v>
      </c>
      <c r="D2799" s="212"/>
      <c r="E2799" s="75" t="e">
        <f t="shared" si="90"/>
        <v>#N/A</v>
      </c>
      <c r="F2799" s="80"/>
      <c r="G2799" s="81"/>
      <c r="H2799" s="78"/>
      <c r="I2799" s="78"/>
      <c r="J2799" s="78"/>
    </row>
    <row r="2800" spans="1:10" x14ac:dyDescent="0.2">
      <c r="A2800" s="84">
        <f t="shared" si="91"/>
        <v>2794</v>
      </c>
      <c r="B2800" s="85" t="e">
        <f>+MATCH(D2800,ARTICULOS!$F$10:$F$699,0)</f>
        <v>#N/A</v>
      </c>
      <c r="C2800" s="86" t="e">
        <f>+VLOOKUP(B2800,ARTICULOS!$D$10:$I$699,6)</f>
        <v>#N/A</v>
      </c>
      <c r="D2800" s="212"/>
      <c r="E2800" s="75" t="e">
        <f t="shared" si="90"/>
        <v>#N/A</v>
      </c>
      <c r="F2800" s="80"/>
      <c r="G2800" s="81"/>
      <c r="H2800" s="78"/>
      <c r="I2800" s="78"/>
      <c r="J2800" s="78"/>
    </row>
    <row r="2801" spans="1:10" x14ac:dyDescent="0.2">
      <c r="A2801" s="84">
        <f t="shared" si="91"/>
        <v>2795</v>
      </c>
      <c r="B2801" s="85" t="e">
        <f>+MATCH(D2801,ARTICULOS!$F$10:$F$699,0)</f>
        <v>#N/A</v>
      </c>
      <c r="C2801" s="86" t="e">
        <f>+VLOOKUP(B2801,ARTICULOS!$D$10:$I$699,6)</f>
        <v>#N/A</v>
      </c>
      <c r="D2801" s="212"/>
      <c r="E2801" s="75" t="e">
        <f t="shared" si="90"/>
        <v>#N/A</v>
      </c>
      <c r="F2801" s="80"/>
      <c r="G2801" s="81"/>
      <c r="H2801" s="78"/>
      <c r="I2801" s="78"/>
      <c r="J2801" s="78"/>
    </row>
    <row r="2802" spans="1:10" x14ac:dyDescent="0.2">
      <c r="A2802" s="84">
        <f t="shared" si="91"/>
        <v>2796</v>
      </c>
      <c r="B2802" s="85" t="e">
        <f>+MATCH(D2802,ARTICULOS!$F$10:$F$699,0)</f>
        <v>#N/A</v>
      </c>
      <c r="C2802" s="86" t="e">
        <f>+VLOOKUP(B2802,ARTICULOS!$D$10:$I$699,6)</f>
        <v>#N/A</v>
      </c>
      <c r="D2802" s="212"/>
      <c r="E2802" s="75" t="e">
        <f t="shared" si="90"/>
        <v>#N/A</v>
      </c>
      <c r="F2802" s="80"/>
      <c r="G2802" s="81"/>
      <c r="H2802" s="78"/>
      <c r="I2802" s="78"/>
      <c r="J2802" s="78"/>
    </row>
    <row r="2803" spans="1:10" x14ac:dyDescent="0.2">
      <c r="A2803" s="84">
        <f t="shared" si="91"/>
        <v>2797</v>
      </c>
      <c r="B2803" s="85" t="e">
        <f>+MATCH(D2803,ARTICULOS!$F$10:$F$699,0)</f>
        <v>#N/A</v>
      </c>
      <c r="C2803" s="86" t="e">
        <f>+VLOOKUP(B2803,ARTICULOS!$D$10:$I$699,6)</f>
        <v>#N/A</v>
      </c>
      <c r="D2803" s="212"/>
      <c r="E2803" s="75" t="e">
        <f t="shared" si="90"/>
        <v>#N/A</v>
      </c>
      <c r="F2803" s="80"/>
      <c r="G2803" s="81"/>
      <c r="H2803" s="78"/>
      <c r="I2803" s="78"/>
      <c r="J2803" s="78"/>
    </row>
    <row r="2804" spans="1:10" x14ac:dyDescent="0.2">
      <c r="A2804" s="84">
        <f t="shared" si="91"/>
        <v>2798</v>
      </c>
      <c r="B2804" s="85" t="e">
        <f>+MATCH(D2804,ARTICULOS!$F$10:$F$699,0)</f>
        <v>#N/A</v>
      </c>
      <c r="C2804" s="86" t="e">
        <f>+VLOOKUP(B2804,ARTICULOS!$D$10:$I$699,6)</f>
        <v>#N/A</v>
      </c>
      <c r="D2804" s="212"/>
      <c r="E2804" s="75" t="e">
        <f t="shared" si="90"/>
        <v>#N/A</v>
      </c>
      <c r="F2804" s="80"/>
      <c r="G2804" s="81"/>
      <c r="H2804" s="78"/>
      <c r="I2804" s="78"/>
      <c r="J2804" s="78"/>
    </row>
    <row r="2805" spans="1:10" x14ac:dyDescent="0.2">
      <c r="A2805" s="84">
        <f t="shared" si="91"/>
        <v>2799</v>
      </c>
      <c r="B2805" s="85" t="e">
        <f>+MATCH(D2805,ARTICULOS!$F$10:$F$699,0)</f>
        <v>#N/A</v>
      </c>
      <c r="C2805" s="86" t="e">
        <f>+VLOOKUP(B2805,ARTICULOS!$D$10:$I$699,6)</f>
        <v>#N/A</v>
      </c>
      <c r="D2805" s="212"/>
      <c r="E2805" s="75" t="e">
        <f t="shared" si="90"/>
        <v>#N/A</v>
      </c>
      <c r="F2805" s="80"/>
      <c r="G2805" s="81"/>
      <c r="H2805" s="78"/>
      <c r="I2805" s="78"/>
      <c r="J2805" s="78"/>
    </row>
    <row r="2806" spans="1:10" x14ac:dyDescent="0.2">
      <c r="A2806" s="84">
        <f t="shared" si="91"/>
        <v>2800</v>
      </c>
      <c r="B2806" s="85" t="e">
        <f>+MATCH(D2806,ARTICULOS!$F$10:$F$699,0)</f>
        <v>#N/A</v>
      </c>
      <c r="C2806" s="86" t="e">
        <f>+VLOOKUP(B2806,ARTICULOS!$D$10:$I$699,6)</f>
        <v>#N/A</v>
      </c>
      <c r="D2806" s="212"/>
      <c r="E2806" s="75" t="e">
        <f t="shared" si="90"/>
        <v>#N/A</v>
      </c>
      <c r="F2806" s="80"/>
      <c r="G2806" s="81"/>
      <c r="H2806" s="78"/>
      <c r="I2806" s="78"/>
      <c r="J2806" s="78"/>
    </row>
    <row r="2807" spans="1:10" x14ac:dyDescent="0.2">
      <c r="A2807" s="84">
        <f t="shared" si="91"/>
        <v>2801</v>
      </c>
      <c r="B2807" s="85" t="e">
        <f>+MATCH(D2807,ARTICULOS!$F$10:$F$699,0)</f>
        <v>#N/A</v>
      </c>
      <c r="C2807" s="86" t="e">
        <f>+VLOOKUP(B2807,ARTICULOS!$D$10:$I$699,6)</f>
        <v>#N/A</v>
      </c>
      <c r="D2807" s="212"/>
      <c r="E2807" s="75" t="e">
        <f t="shared" si="90"/>
        <v>#N/A</v>
      </c>
      <c r="F2807" s="80"/>
      <c r="G2807" s="81"/>
      <c r="H2807" s="78"/>
      <c r="I2807" s="78"/>
      <c r="J2807" s="78"/>
    </row>
    <row r="2808" spans="1:10" x14ac:dyDescent="0.2">
      <c r="A2808" s="84">
        <f t="shared" si="91"/>
        <v>2802</v>
      </c>
      <c r="B2808" s="85" t="e">
        <f>+MATCH(D2808,ARTICULOS!$F$10:$F$699,0)</f>
        <v>#N/A</v>
      </c>
      <c r="C2808" s="86" t="e">
        <f>+VLOOKUP(B2808,ARTICULOS!$D$10:$I$699,6)</f>
        <v>#N/A</v>
      </c>
      <c r="D2808" s="212"/>
      <c r="E2808" s="75" t="e">
        <f t="shared" si="90"/>
        <v>#N/A</v>
      </c>
      <c r="F2808" s="80"/>
      <c r="G2808" s="81"/>
      <c r="H2808" s="78"/>
      <c r="I2808" s="78"/>
      <c r="J2808" s="78"/>
    </row>
    <row r="2809" spans="1:10" x14ac:dyDescent="0.2">
      <c r="A2809" s="84">
        <f t="shared" si="91"/>
        <v>2803</v>
      </c>
      <c r="B2809" s="85" t="e">
        <f>+MATCH(D2809,ARTICULOS!$F$10:$F$699,0)</f>
        <v>#N/A</v>
      </c>
      <c r="C2809" s="86" t="e">
        <f>+VLOOKUP(B2809,ARTICULOS!$D$10:$I$699,6)</f>
        <v>#N/A</v>
      </c>
      <c r="D2809" s="212"/>
      <c r="E2809" s="75" t="e">
        <f t="shared" si="90"/>
        <v>#N/A</v>
      </c>
      <c r="F2809" s="80"/>
      <c r="G2809" s="81"/>
      <c r="H2809" s="78"/>
      <c r="I2809" s="78"/>
      <c r="J2809" s="78"/>
    </row>
    <row r="2810" spans="1:10" x14ac:dyDescent="0.2">
      <c r="A2810" s="84">
        <f t="shared" si="91"/>
        <v>2804</v>
      </c>
      <c r="B2810" s="85" t="e">
        <f>+MATCH(D2810,ARTICULOS!$F$10:$F$699,0)</f>
        <v>#N/A</v>
      </c>
      <c r="C2810" s="86" t="e">
        <f>+VLOOKUP(B2810,ARTICULOS!$D$10:$I$699,6)</f>
        <v>#N/A</v>
      </c>
      <c r="D2810" s="212"/>
      <c r="E2810" s="75" t="e">
        <f t="shared" si="90"/>
        <v>#N/A</v>
      </c>
      <c r="F2810" s="80"/>
      <c r="G2810" s="81"/>
      <c r="H2810" s="78"/>
      <c r="I2810" s="78"/>
      <c r="J2810" s="78"/>
    </row>
    <row r="2811" spans="1:10" x14ac:dyDescent="0.2">
      <c r="A2811" s="84">
        <f t="shared" si="91"/>
        <v>2805</v>
      </c>
      <c r="B2811" s="85" t="e">
        <f>+MATCH(D2811,ARTICULOS!$F$10:$F$699,0)</f>
        <v>#N/A</v>
      </c>
      <c r="C2811" s="86" t="e">
        <f>+VLOOKUP(B2811,ARTICULOS!$D$10:$I$699,6)</f>
        <v>#N/A</v>
      </c>
      <c r="D2811" s="212"/>
      <c r="E2811" s="75" t="e">
        <f t="shared" si="90"/>
        <v>#N/A</v>
      </c>
      <c r="F2811" s="80"/>
      <c r="G2811" s="81"/>
      <c r="H2811" s="78"/>
      <c r="I2811" s="78"/>
      <c r="J2811" s="78"/>
    </row>
    <row r="2812" spans="1:10" x14ac:dyDescent="0.2">
      <c r="A2812" s="84">
        <f t="shared" si="91"/>
        <v>2806</v>
      </c>
      <c r="B2812" s="85" t="e">
        <f>+MATCH(D2812,ARTICULOS!$F$10:$F$699,0)</f>
        <v>#N/A</v>
      </c>
      <c r="C2812" s="86" t="e">
        <f>+VLOOKUP(B2812,ARTICULOS!$D$10:$I$699,6)</f>
        <v>#N/A</v>
      </c>
      <c r="D2812" s="212"/>
      <c r="E2812" s="75" t="e">
        <f t="shared" si="90"/>
        <v>#N/A</v>
      </c>
      <c r="F2812" s="80"/>
      <c r="G2812" s="81"/>
      <c r="H2812" s="78"/>
      <c r="I2812" s="78"/>
      <c r="J2812" s="78"/>
    </row>
    <row r="2813" spans="1:10" x14ac:dyDescent="0.2">
      <c r="A2813" s="84">
        <f t="shared" si="91"/>
        <v>2807</v>
      </c>
      <c r="B2813" s="85" t="e">
        <f>+MATCH(D2813,ARTICULOS!$F$10:$F$699,0)</f>
        <v>#N/A</v>
      </c>
      <c r="C2813" s="86" t="e">
        <f>+VLOOKUP(B2813,ARTICULOS!$D$10:$I$699,6)</f>
        <v>#N/A</v>
      </c>
      <c r="D2813" s="212"/>
      <c r="E2813" s="75" t="e">
        <f t="shared" si="90"/>
        <v>#N/A</v>
      </c>
      <c r="F2813" s="80"/>
      <c r="G2813" s="81"/>
      <c r="H2813" s="78"/>
      <c r="I2813" s="78"/>
      <c r="J2813" s="78"/>
    </row>
    <row r="2814" spans="1:10" x14ac:dyDescent="0.2">
      <c r="A2814" s="84">
        <f t="shared" si="91"/>
        <v>2808</v>
      </c>
      <c r="B2814" s="85" t="e">
        <f>+MATCH(D2814,ARTICULOS!$F$10:$F$699,0)</f>
        <v>#N/A</v>
      </c>
      <c r="C2814" s="86" t="e">
        <f>+VLOOKUP(B2814,ARTICULOS!$D$10:$I$699,6)</f>
        <v>#N/A</v>
      </c>
      <c r="D2814" s="212"/>
      <c r="E2814" s="75" t="e">
        <f t="shared" si="90"/>
        <v>#N/A</v>
      </c>
      <c r="F2814" s="80"/>
      <c r="G2814" s="81"/>
      <c r="H2814" s="78"/>
      <c r="I2814" s="78"/>
      <c r="J2814" s="78"/>
    </row>
    <row r="2815" spans="1:10" x14ac:dyDescent="0.2">
      <c r="A2815" s="84">
        <f t="shared" si="91"/>
        <v>2809</v>
      </c>
      <c r="B2815" s="85" t="e">
        <f>+MATCH(D2815,ARTICULOS!$F$10:$F$699,0)</f>
        <v>#N/A</v>
      </c>
      <c r="C2815" s="86" t="e">
        <f>+VLOOKUP(B2815,ARTICULOS!$D$10:$I$699,6)</f>
        <v>#N/A</v>
      </c>
      <c r="D2815" s="212"/>
      <c r="E2815" s="75" t="e">
        <f t="shared" si="90"/>
        <v>#N/A</v>
      </c>
      <c r="F2815" s="80"/>
      <c r="G2815" s="81"/>
      <c r="H2815" s="78"/>
      <c r="I2815" s="78"/>
      <c r="J2815" s="78"/>
    </row>
    <row r="2816" spans="1:10" x14ac:dyDescent="0.2">
      <c r="A2816" s="84">
        <f t="shared" si="91"/>
        <v>2810</v>
      </c>
      <c r="B2816" s="85" t="e">
        <f>+MATCH(D2816,ARTICULOS!$F$10:$F$699,0)</f>
        <v>#N/A</v>
      </c>
      <c r="C2816" s="86" t="e">
        <f>+VLOOKUP(B2816,ARTICULOS!$D$10:$I$699,6)</f>
        <v>#N/A</v>
      </c>
      <c r="D2816" s="212"/>
      <c r="E2816" s="75" t="e">
        <f t="shared" si="90"/>
        <v>#N/A</v>
      </c>
      <c r="F2816" s="80"/>
      <c r="G2816" s="81"/>
      <c r="H2816" s="78"/>
      <c r="I2816" s="78"/>
      <c r="J2816" s="78"/>
    </row>
    <row r="2817" spans="1:10" x14ac:dyDescent="0.2">
      <c r="A2817" s="84">
        <f t="shared" si="91"/>
        <v>2811</v>
      </c>
      <c r="B2817" s="85" t="e">
        <f>+MATCH(D2817,ARTICULOS!$F$10:$F$699,0)</f>
        <v>#N/A</v>
      </c>
      <c r="C2817" s="86" t="e">
        <f>+VLOOKUP(B2817,ARTICULOS!$D$10:$I$699,6)</f>
        <v>#N/A</v>
      </c>
      <c r="D2817" s="212"/>
      <c r="E2817" s="75" t="e">
        <f t="shared" si="90"/>
        <v>#N/A</v>
      </c>
      <c r="F2817" s="80"/>
      <c r="G2817" s="81"/>
      <c r="H2817" s="78"/>
      <c r="I2817" s="78"/>
      <c r="J2817" s="78"/>
    </row>
    <row r="2818" spans="1:10" x14ac:dyDescent="0.2">
      <c r="A2818" s="84">
        <f t="shared" si="91"/>
        <v>2812</v>
      </c>
      <c r="B2818" s="85" t="e">
        <f>+MATCH(D2818,ARTICULOS!$F$10:$F$699,0)</f>
        <v>#N/A</v>
      </c>
      <c r="C2818" s="86" t="e">
        <f>+VLOOKUP(B2818,ARTICULOS!$D$10:$I$699,6)</f>
        <v>#N/A</v>
      </c>
      <c r="D2818" s="212"/>
      <c r="E2818" s="75" t="e">
        <f t="shared" si="90"/>
        <v>#N/A</v>
      </c>
      <c r="F2818" s="80"/>
      <c r="G2818" s="81"/>
      <c r="H2818" s="78"/>
      <c r="I2818" s="78"/>
      <c r="J2818" s="78"/>
    </row>
    <row r="2819" spans="1:10" x14ac:dyDescent="0.2">
      <c r="A2819" s="84">
        <f t="shared" si="91"/>
        <v>2813</v>
      </c>
      <c r="B2819" s="85" t="e">
        <f>+MATCH(D2819,ARTICULOS!$F$10:$F$699,0)</f>
        <v>#N/A</v>
      </c>
      <c r="C2819" s="86" t="e">
        <f>+VLOOKUP(B2819,ARTICULOS!$D$10:$I$699,6)</f>
        <v>#N/A</v>
      </c>
      <c r="D2819" s="212"/>
      <c r="E2819" s="75" t="e">
        <f t="shared" si="90"/>
        <v>#N/A</v>
      </c>
      <c r="F2819" s="80"/>
      <c r="G2819" s="81"/>
      <c r="H2819" s="78"/>
      <c r="I2819" s="78"/>
      <c r="J2819" s="78"/>
    </row>
    <row r="2820" spans="1:10" x14ac:dyDescent="0.2">
      <c r="A2820" s="84">
        <f t="shared" si="91"/>
        <v>2814</v>
      </c>
      <c r="B2820" s="85" t="e">
        <f>+MATCH(D2820,ARTICULOS!$F$10:$F$699,0)</f>
        <v>#N/A</v>
      </c>
      <c r="C2820" s="86" t="e">
        <f>+VLOOKUP(B2820,ARTICULOS!$D$10:$I$699,6)</f>
        <v>#N/A</v>
      </c>
      <c r="D2820" s="212"/>
      <c r="E2820" s="75" t="e">
        <f t="shared" si="90"/>
        <v>#N/A</v>
      </c>
      <c r="F2820" s="80"/>
      <c r="G2820" s="81"/>
      <c r="H2820" s="78"/>
      <c r="I2820" s="78"/>
      <c r="J2820" s="78"/>
    </row>
    <row r="2821" spans="1:10" x14ac:dyDescent="0.2">
      <c r="A2821" s="84">
        <f t="shared" si="91"/>
        <v>2815</v>
      </c>
      <c r="B2821" s="85" t="e">
        <f>+MATCH(D2821,ARTICULOS!$F$10:$F$699,0)</f>
        <v>#N/A</v>
      </c>
      <c r="C2821" s="86" t="e">
        <f>+VLOOKUP(B2821,ARTICULOS!$D$10:$I$699,6)</f>
        <v>#N/A</v>
      </c>
      <c r="D2821" s="212"/>
      <c r="E2821" s="75" t="e">
        <f t="shared" si="90"/>
        <v>#N/A</v>
      </c>
      <c r="F2821" s="80"/>
      <c r="G2821" s="81"/>
      <c r="H2821" s="78"/>
      <c r="I2821" s="78"/>
      <c r="J2821" s="78"/>
    </row>
    <row r="2822" spans="1:10" x14ac:dyDescent="0.2">
      <c r="A2822" s="84">
        <f t="shared" si="91"/>
        <v>2816</v>
      </c>
      <c r="B2822" s="85" t="e">
        <f>+MATCH(D2822,ARTICULOS!$F$10:$F$699,0)</f>
        <v>#N/A</v>
      </c>
      <c r="C2822" s="86" t="e">
        <f>+VLOOKUP(B2822,ARTICULOS!$D$10:$I$699,6)</f>
        <v>#N/A</v>
      </c>
      <c r="D2822" s="212"/>
      <c r="E2822" s="75" t="e">
        <f t="shared" si="90"/>
        <v>#N/A</v>
      </c>
      <c r="F2822" s="80"/>
      <c r="G2822" s="81"/>
      <c r="H2822" s="78"/>
      <c r="I2822" s="78"/>
      <c r="J2822" s="78"/>
    </row>
    <row r="2823" spans="1:10" x14ac:dyDescent="0.2">
      <c r="A2823" s="84">
        <f t="shared" si="91"/>
        <v>2817</v>
      </c>
      <c r="B2823" s="85" t="e">
        <f>+MATCH(D2823,ARTICULOS!$F$10:$F$699,0)</f>
        <v>#N/A</v>
      </c>
      <c r="C2823" s="86" t="e">
        <f>+VLOOKUP(B2823,ARTICULOS!$D$10:$I$699,6)</f>
        <v>#N/A</v>
      </c>
      <c r="D2823" s="212"/>
      <c r="E2823" s="75" t="e">
        <f t="shared" si="90"/>
        <v>#N/A</v>
      </c>
      <c r="F2823" s="80"/>
      <c r="G2823" s="81"/>
      <c r="H2823" s="78"/>
      <c r="I2823" s="78"/>
      <c r="J2823" s="78"/>
    </row>
    <row r="2824" spans="1:10" x14ac:dyDescent="0.2">
      <c r="A2824" s="84">
        <f t="shared" si="91"/>
        <v>2818</v>
      </c>
      <c r="B2824" s="85" t="e">
        <f>+MATCH(D2824,ARTICULOS!$F$10:$F$699,0)</f>
        <v>#N/A</v>
      </c>
      <c r="C2824" s="86" t="e">
        <f>+VLOOKUP(B2824,ARTICULOS!$D$10:$I$699,6)</f>
        <v>#N/A</v>
      </c>
      <c r="D2824" s="212"/>
      <c r="E2824" s="75" t="e">
        <f t="shared" si="90"/>
        <v>#N/A</v>
      </c>
      <c r="F2824" s="80"/>
      <c r="G2824" s="81"/>
      <c r="H2824" s="78"/>
      <c r="I2824" s="78"/>
      <c r="J2824" s="78"/>
    </row>
    <row r="2825" spans="1:10" x14ac:dyDescent="0.2">
      <c r="A2825" s="84">
        <f t="shared" si="91"/>
        <v>2819</v>
      </c>
      <c r="B2825" s="85" t="e">
        <f>+MATCH(D2825,ARTICULOS!$F$10:$F$699,0)</f>
        <v>#N/A</v>
      </c>
      <c r="C2825" s="86" t="e">
        <f>+VLOOKUP(B2825,ARTICULOS!$D$10:$I$699,6)</f>
        <v>#N/A</v>
      </c>
      <c r="D2825" s="212"/>
      <c r="E2825" s="75" t="e">
        <f t="shared" si="90"/>
        <v>#N/A</v>
      </c>
      <c r="F2825" s="80"/>
      <c r="G2825" s="81"/>
      <c r="H2825" s="78"/>
      <c r="I2825" s="78"/>
      <c r="J2825" s="78"/>
    </row>
    <row r="2826" spans="1:10" x14ac:dyDescent="0.2">
      <c r="A2826" s="84">
        <f t="shared" si="91"/>
        <v>2820</v>
      </c>
      <c r="B2826" s="85" t="e">
        <f>+MATCH(D2826,ARTICULOS!$F$10:$F$699,0)</f>
        <v>#N/A</v>
      </c>
      <c r="C2826" s="86" t="e">
        <f>+VLOOKUP(B2826,ARTICULOS!$D$10:$I$699,6)</f>
        <v>#N/A</v>
      </c>
      <c r="D2826" s="212"/>
      <c r="E2826" s="75" t="e">
        <f t="shared" si="90"/>
        <v>#N/A</v>
      </c>
      <c r="F2826" s="80"/>
      <c r="G2826" s="81"/>
      <c r="H2826" s="78"/>
      <c r="I2826" s="78"/>
      <c r="J2826" s="78"/>
    </row>
    <row r="2827" spans="1:10" x14ac:dyDescent="0.2">
      <c r="A2827" s="84">
        <f t="shared" si="91"/>
        <v>2821</v>
      </c>
      <c r="B2827" s="85" t="e">
        <f>+MATCH(D2827,ARTICULOS!$F$10:$F$699,0)</f>
        <v>#N/A</v>
      </c>
      <c r="C2827" s="86" t="e">
        <f>+VLOOKUP(B2827,ARTICULOS!$D$10:$I$699,6)</f>
        <v>#N/A</v>
      </c>
      <c r="D2827" s="212"/>
      <c r="E2827" s="75" t="e">
        <f t="shared" ref="E2827:E2890" si="92">+C2827&amp;F2827</f>
        <v>#N/A</v>
      </c>
      <c r="F2827" s="80"/>
      <c r="G2827" s="81"/>
      <c r="H2827" s="78"/>
      <c r="I2827" s="78"/>
      <c r="J2827" s="78"/>
    </row>
    <row r="2828" spans="1:10" x14ac:dyDescent="0.2">
      <c r="A2828" s="84">
        <f t="shared" si="91"/>
        <v>2822</v>
      </c>
      <c r="B2828" s="85" t="e">
        <f>+MATCH(D2828,ARTICULOS!$F$10:$F$699,0)</f>
        <v>#N/A</v>
      </c>
      <c r="C2828" s="86" t="e">
        <f>+VLOOKUP(B2828,ARTICULOS!$D$10:$I$699,6)</f>
        <v>#N/A</v>
      </c>
      <c r="D2828" s="212"/>
      <c r="E2828" s="75" t="e">
        <f t="shared" si="92"/>
        <v>#N/A</v>
      </c>
      <c r="F2828" s="80"/>
      <c r="G2828" s="81"/>
      <c r="H2828" s="78"/>
      <c r="I2828" s="78"/>
      <c r="J2828" s="78"/>
    </row>
    <row r="2829" spans="1:10" x14ac:dyDescent="0.2">
      <c r="A2829" s="84">
        <f t="shared" si="91"/>
        <v>2823</v>
      </c>
      <c r="B2829" s="85" t="e">
        <f>+MATCH(D2829,ARTICULOS!$F$10:$F$699,0)</f>
        <v>#N/A</v>
      </c>
      <c r="C2829" s="86" t="e">
        <f>+VLOOKUP(B2829,ARTICULOS!$D$10:$I$699,6)</f>
        <v>#N/A</v>
      </c>
      <c r="D2829" s="212"/>
      <c r="E2829" s="75" t="e">
        <f t="shared" si="92"/>
        <v>#N/A</v>
      </c>
      <c r="F2829" s="80"/>
      <c r="G2829" s="81"/>
      <c r="H2829" s="78"/>
      <c r="I2829" s="78"/>
      <c r="J2829" s="78"/>
    </row>
    <row r="2830" spans="1:10" x14ac:dyDescent="0.2">
      <c r="A2830" s="84">
        <f t="shared" si="91"/>
        <v>2824</v>
      </c>
      <c r="B2830" s="85" t="e">
        <f>+MATCH(D2830,ARTICULOS!$F$10:$F$699,0)</f>
        <v>#N/A</v>
      </c>
      <c r="C2830" s="86" t="e">
        <f>+VLOOKUP(B2830,ARTICULOS!$D$10:$I$699,6)</f>
        <v>#N/A</v>
      </c>
      <c r="D2830" s="212"/>
      <c r="E2830" s="75" t="e">
        <f t="shared" si="92"/>
        <v>#N/A</v>
      </c>
      <c r="F2830" s="80"/>
      <c r="G2830" s="81"/>
      <c r="H2830" s="78"/>
      <c r="I2830" s="78"/>
      <c r="J2830" s="78"/>
    </row>
    <row r="2831" spans="1:10" x14ac:dyDescent="0.2">
      <c r="A2831" s="84">
        <f t="shared" si="91"/>
        <v>2825</v>
      </c>
      <c r="B2831" s="85" t="e">
        <f>+MATCH(D2831,ARTICULOS!$F$10:$F$699,0)</f>
        <v>#N/A</v>
      </c>
      <c r="C2831" s="86" t="e">
        <f>+VLOOKUP(B2831,ARTICULOS!$D$10:$I$699,6)</f>
        <v>#N/A</v>
      </c>
      <c r="D2831" s="212"/>
      <c r="E2831" s="75" t="e">
        <f t="shared" si="92"/>
        <v>#N/A</v>
      </c>
      <c r="F2831" s="80"/>
      <c r="G2831" s="81"/>
      <c r="H2831" s="78"/>
      <c r="I2831" s="78"/>
      <c r="J2831" s="78"/>
    </row>
    <row r="2832" spans="1:10" x14ac:dyDescent="0.2">
      <c r="A2832" s="84">
        <f t="shared" si="91"/>
        <v>2826</v>
      </c>
      <c r="B2832" s="85" t="e">
        <f>+MATCH(D2832,ARTICULOS!$F$10:$F$699,0)</f>
        <v>#N/A</v>
      </c>
      <c r="C2832" s="86" t="e">
        <f>+VLOOKUP(B2832,ARTICULOS!$D$10:$I$699,6)</f>
        <v>#N/A</v>
      </c>
      <c r="D2832" s="212"/>
      <c r="E2832" s="75" t="e">
        <f t="shared" si="92"/>
        <v>#N/A</v>
      </c>
      <c r="F2832" s="80"/>
      <c r="G2832" s="81"/>
      <c r="H2832" s="78"/>
      <c r="I2832" s="78"/>
      <c r="J2832" s="78"/>
    </row>
    <row r="2833" spans="1:10" x14ac:dyDescent="0.2">
      <c r="A2833" s="84">
        <f t="shared" si="91"/>
        <v>2827</v>
      </c>
      <c r="B2833" s="85" t="e">
        <f>+MATCH(D2833,ARTICULOS!$F$10:$F$699,0)</f>
        <v>#N/A</v>
      </c>
      <c r="C2833" s="86" t="e">
        <f>+VLOOKUP(B2833,ARTICULOS!$D$10:$I$699,6)</f>
        <v>#N/A</v>
      </c>
      <c r="D2833" s="212"/>
      <c r="E2833" s="75" t="e">
        <f t="shared" si="92"/>
        <v>#N/A</v>
      </c>
      <c r="F2833" s="80"/>
      <c r="G2833" s="81"/>
      <c r="H2833" s="78"/>
      <c r="I2833" s="78"/>
      <c r="J2833" s="78"/>
    </row>
    <row r="2834" spans="1:10" x14ac:dyDescent="0.2">
      <c r="A2834" s="84">
        <f t="shared" si="91"/>
        <v>2828</v>
      </c>
      <c r="B2834" s="85" t="e">
        <f>+MATCH(D2834,ARTICULOS!$F$10:$F$699,0)</f>
        <v>#N/A</v>
      </c>
      <c r="C2834" s="86" t="e">
        <f>+VLOOKUP(B2834,ARTICULOS!$D$10:$I$699,6)</f>
        <v>#N/A</v>
      </c>
      <c r="D2834" s="212"/>
      <c r="E2834" s="75" t="e">
        <f t="shared" si="92"/>
        <v>#N/A</v>
      </c>
      <c r="F2834" s="80"/>
      <c r="G2834" s="81"/>
      <c r="H2834" s="78"/>
      <c r="I2834" s="78"/>
      <c r="J2834" s="78"/>
    </row>
    <row r="2835" spans="1:10" x14ac:dyDescent="0.2">
      <c r="A2835" s="84">
        <f t="shared" si="91"/>
        <v>2829</v>
      </c>
      <c r="B2835" s="85" t="e">
        <f>+MATCH(D2835,ARTICULOS!$F$10:$F$699,0)</f>
        <v>#N/A</v>
      </c>
      <c r="C2835" s="86" t="e">
        <f>+VLOOKUP(B2835,ARTICULOS!$D$10:$I$699,6)</f>
        <v>#N/A</v>
      </c>
      <c r="D2835" s="212"/>
      <c r="E2835" s="75" t="e">
        <f t="shared" si="92"/>
        <v>#N/A</v>
      </c>
      <c r="F2835" s="80"/>
      <c r="G2835" s="81"/>
      <c r="H2835" s="78"/>
      <c r="I2835" s="78"/>
      <c r="J2835" s="78"/>
    </row>
    <row r="2836" spans="1:10" x14ac:dyDescent="0.2">
      <c r="A2836" s="84">
        <f t="shared" si="91"/>
        <v>2830</v>
      </c>
      <c r="B2836" s="85" t="e">
        <f>+MATCH(D2836,ARTICULOS!$F$10:$F$699,0)</f>
        <v>#N/A</v>
      </c>
      <c r="C2836" s="86" t="e">
        <f>+VLOOKUP(B2836,ARTICULOS!$D$10:$I$699,6)</f>
        <v>#N/A</v>
      </c>
      <c r="D2836" s="212"/>
      <c r="E2836" s="75" t="e">
        <f t="shared" si="92"/>
        <v>#N/A</v>
      </c>
      <c r="F2836" s="80"/>
      <c r="G2836" s="81"/>
      <c r="H2836" s="78"/>
      <c r="I2836" s="78"/>
      <c r="J2836" s="78"/>
    </row>
    <row r="2837" spans="1:10" x14ac:dyDescent="0.2">
      <c r="A2837" s="84">
        <f t="shared" si="91"/>
        <v>2831</v>
      </c>
      <c r="B2837" s="85" t="e">
        <f>+MATCH(D2837,ARTICULOS!$F$10:$F$699,0)</f>
        <v>#N/A</v>
      </c>
      <c r="C2837" s="86" t="e">
        <f>+VLOOKUP(B2837,ARTICULOS!$D$10:$I$699,6)</f>
        <v>#N/A</v>
      </c>
      <c r="D2837" s="212"/>
      <c r="E2837" s="75" t="e">
        <f t="shared" si="92"/>
        <v>#N/A</v>
      </c>
      <c r="F2837" s="80"/>
      <c r="G2837" s="81"/>
      <c r="H2837" s="78"/>
      <c r="I2837" s="78"/>
      <c r="J2837" s="78"/>
    </row>
    <row r="2838" spans="1:10" x14ac:dyDescent="0.2">
      <c r="A2838" s="84">
        <f t="shared" si="91"/>
        <v>2832</v>
      </c>
      <c r="B2838" s="85" t="e">
        <f>+MATCH(D2838,ARTICULOS!$F$10:$F$699,0)</f>
        <v>#N/A</v>
      </c>
      <c r="C2838" s="86" t="e">
        <f>+VLOOKUP(B2838,ARTICULOS!$D$10:$I$699,6)</f>
        <v>#N/A</v>
      </c>
      <c r="D2838" s="212"/>
      <c r="E2838" s="75" t="e">
        <f t="shared" si="92"/>
        <v>#N/A</v>
      </c>
      <c r="F2838" s="80"/>
      <c r="G2838" s="81"/>
      <c r="H2838" s="78"/>
      <c r="I2838" s="78"/>
      <c r="J2838" s="78"/>
    </row>
    <row r="2839" spans="1:10" x14ac:dyDescent="0.2">
      <c r="A2839" s="84">
        <f t="shared" si="91"/>
        <v>2833</v>
      </c>
      <c r="B2839" s="85" t="e">
        <f>+MATCH(D2839,ARTICULOS!$F$10:$F$699,0)</f>
        <v>#N/A</v>
      </c>
      <c r="C2839" s="86" t="e">
        <f>+VLOOKUP(B2839,ARTICULOS!$D$10:$I$699,6)</f>
        <v>#N/A</v>
      </c>
      <c r="D2839" s="212"/>
      <c r="E2839" s="75" t="e">
        <f t="shared" si="92"/>
        <v>#N/A</v>
      </c>
      <c r="F2839" s="80"/>
      <c r="G2839" s="81"/>
      <c r="H2839" s="78"/>
      <c r="I2839" s="78"/>
      <c r="J2839" s="78"/>
    </row>
    <row r="2840" spans="1:10" x14ac:dyDescent="0.2">
      <c r="A2840" s="84">
        <f t="shared" si="91"/>
        <v>2834</v>
      </c>
      <c r="B2840" s="85" t="e">
        <f>+MATCH(D2840,ARTICULOS!$F$10:$F$699,0)</f>
        <v>#N/A</v>
      </c>
      <c r="C2840" s="86" t="e">
        <f>+VLOOKUP(B2840,ARTICULOS!$D$10:$I$699,6)</f>
        <v>#N/A</v>
      </c>
      <c r="D2840" s="212"/>
      <c r="E2840" s="75" t="e">
        <f t="shared" si="92"/>
        <v>#N/A</v>
      </c>
      <c r="F2840" s="80"/>
      <c r="G2840" s="81"/>
      <c r="H2840" s="78"/>
      <c r="I2840" s="78"/>
      <c r="J2840" s="78"/>
    </row>
    <row r="2841" spans="1:10" x14ac:dyDescent="0.2">
      <c r="A2841" s="84">
        <f t="shared" si="91"/>
        <v>2835</v>
      </c>
      <c r="B2841" s="85" t="e">
        <f>+MATCH(D2841,ARTICULOS!$F$10:$F$699,0)</f>
        <v>#N/A</v>
      </c>
      <c r="C2841" s="86" t="e">
        <f>+VLOOKUP(B2841,ARTICULOS!$D$10:$I$699,6)</f>
        <v>#N/A</v>
      </c>
      <c r="D2841" s="212"/>
      <c r="E2841" s="75" t="e">
        <f t="shared" si="92"/>
        <v>#N/A</v>
      </c>
      <c r="F2841" s="80"/>
      <c r="G2841" s="81"/>
      <c r="H2841" s="78"/>
      <c r="I2841" s="78"/>
      <c r="J2841" s="78"/>
    </row>
    <row r="2842" spans="1:10" x14ac:dyDescent="0.2">
      <c r="A2842" s="84">
        <f t="shared" si="91"/>
        <v>2836</v>
      </c>
      <c r="B2842" s="85" t="e">
        <f>+MATCH(D2842,ARTICULOS!$F$10:$F$699,0)</f>
        <v>#N/A</v>
      </c>
      <c r="C2842" s="86" t="e">
        <f>+VLOOKUP(B2842,ARTICULOS!$D$10:$I$699,6)</f>
        <v>#N/A</v>
      </c>
      <c r="D2842" s="212"/>
      <c r="E2842" s="75" t="e">
        <f t="shared" si="92"/>
        <v>#N/A</v>
      </c>
      <c r="F2842" s="80"/>
      <c r="G2842" s="81"/>
      <c r="H2842" s="78"/>
      <c r="I2842" s="78"/>
      <c r="J2842" s="78"/>
    </row>
    <row r="2843" spans="1:10" x14ac:dyDescent="0.2">
      <c r="A2843" s="84">
        <f t="shared" si="91"/>
        <v>2837</v>
      </c>
      <c r="B2843" s="85" t="e">
        <f>+MATCH(D2843,ARTICULOS!$F$10:$F$699,0)</f>
        <v>#N/A</v>
      </c>
      <c r="C2843" s="86" t="e">
        <f>+VLOOKUP(B2843,ARTICULOS!$D$10:$I$699,6)</f>
        <v>#N/A</v>
      </c>
      <c r="D2843" s="212"/>
      <c r="E2843" s="75" t="e">
        <f t="shared" si="92"/>
        <v>#N/A</v>
      </c>
      <c r="F2843" s="80"/>
      <c r="G2843" s="81"/>
      <c r="H2843" s="78"/>
      <c r="I2843" s="78"/>
      <c r="J2843" s="78"/>
    </row>
    <row r="2844" spans="1:10" x14ac:dyDescent="0.2">
      <c r="A2844" s="84">
        <f t="shared" si="91"/>
        <v>2838</v>
      </c>
      <c r="B2844" s="85" t="e">
        <f>+MATCH(D2844,ARTICULOS!$F$10:$F$699,0)</f>
        <v>#N/A</v>
      </c>
      <c r="C2844" s="86" t="e">
        <f>+VLOOKUP(B2844,ARTICULOS!$D$10:$I$699,6)</f>
        <v>#N/A</v>
      </c>
      <c r="D2844" s="212"/>
      <c r="E2844" s="75" t="e">
        <f t="shared" si="92"/>
        <v>#N/A</v>
      </c>
      <c r="F2844" s="80"/>
      <c r="G2844" s="81"/>
      <c r="H2844" s="78"/>
      <c r="I2844" s="78"/>
      <c r="J2844" s="78"/>
    </row>
    <row r="2845" spans="1:10" x14ac:dyDescent="0.2">
      <c r="A2845" s="84">
        <f t="shared" si="91"/>
        <v>2839</v>
      </c>
      <c r="B2845" s="85" t="e">
        <f>+MATCH(D2845,ARTICULOS!$F$10:$F$699,0)</f>
        <v>#N/A</v>
      </c>
      <c r="C2845" s="86" t="e">
        <f>+VLOOKUP(B2845,ARTICULOS!$D$10:$I$699,6)</f>
        <v>#N/A</v>
      </c>
      <c r="D2845" s="212"/>
      <c r="E2845" s="75" t="e">
        <f t="shared" si="92"/>
        <v>#N/A</v>
      </c>
      <c r="F2845" s="80"/>
      <c r="G2845" s="81"/>
      <c r="H2845" s="78"/>
      <c r="I2845" s="78"/>
      <c r="J2845" s="78"/>
    </row>
    <row r="2846" spans="1:10" x14ac:dyDescent="0.2">
      <c r="A2846" s="84">
        <f t="shared" si="91"/>
        <v>2840</v>
      </c>
      <c r="B2846" s="85" t="e">
        <f>+MATCH(D2846,ARTICULOS!$F$10:$F$699,0)</f>
        <v>#N/A</v>
      </c>
      <c r="C2846" s="86" t="e">
        <f>+VLOOKUP(B2846,ARTICULOS!$D$10:$I$699,6)</f>
        <v>#N/A</v>
      </c>
      <c r="D2846" s="212"/>
      <c r="E2846" s="75" t="e">
        <f t="shared" si="92"/>
        <v>#N/A</v>
      </c>
      <c r="F2846" s="80"/>
      <c r="G2846" s="81"/>
      <c r="H2846" s="78"/>
      <c r="I2846" s="78"/>
      <c r="J2846" s="78"/>
    </row>
    <row r="2847" spans="1:10" x14ac:dyDescent="0.2">
      <c r="A2847" s="84">
        <f t="shared" si="91"/>
        <v>2841</v>
      </c>
      <c r="B2847" s="85" t="e">
        <f>+MATCH(D2847,ARTICULOS!$F$10:$F$699,0)</f>
        <v>#N/A</v>
      </c>
      <c r="C2847" s="86" t="e">
        <f>+VLOOKUP(B2847,ARTICULOS!$D$10:$I$699,6)</f>
        <v>#N/A</v>
      </c>
      <c r="D2847" s="212"/>
      <c r="E2847" s="75" t="e">
        <f t="shared" si="92"/>
        <v>#N/A</v>
      </c>
      <c r="F2847" s="80"/>
      <c r="G2847" s="81"/>
      <c r="H2847" s="78"/>
      <c r="I2847" s="78"/>
      <c r="J2847" s="78"/>
    </row>
    <row r="2848" spans="1:10" x14ac:dyDescent="0.2">
      <c r="A2848" s="84">
        <f t="shared" si="91"/>
        <v>2842</v>
      </c>
      <c r="B2848" s="85" t="e">
        <f>+MATCH(D2848,ARTICULOS!$F$10:$F$699,0)</f>
        <v>#N/A</v>
      </c>
      <c r="C2848" s="86" t="e">
        <f>+VLOOKUP(B2848,ARTICULOS!$D$10:$I$699,6)</f>
        <v>#N/A</v>
      </c>
      <c r="D2848" s="212"/>
      <c r="E2848" s="75" t="e">
        <f t="shared" si="92"/>
        <v>#N/A</v>
      </c>
      <c r="F2848" s="80"/>
      <c r="G2848" s="81"/>
      <c r="H2848" s="78"/>
      <c r="I2848" s="78"/>
      <c r="J2848" s="78"/>
    </row>
    <row r="2849" spans="1:10" x14ac:dyDescent="0.2">
      <c r="A2849" s="84">
        <f t="shared" si="91"/>
        <v>2843</v>
      </c>
      <c r="B2849" s="85" t="e">
        <f>+MATCH(D2849,ARTICULOS!$F$10:$F$699,0)</f>
        <v>#N/A</v>
      </c>
      <c r="C2849" s="86" t="e">
        <f>+VLOOKUP(B2849,ARTICULOS!$D$10:$I$699,6)</f>
        <v>#N/A</v>
      </c>
      <c r="D2849" s="212"/>
      <c r="E2849" s="75" t="e">
        <f t="shared" si="92"/>
        <v>#N/A</v>
      </c>
      <c r="F2849" s="80"/>
      <c r="G2849" s="81"/>
      <c r="H2849" s="78"/>
      <c r="I2849" s="78"/>
      <c r="J2849" s="78"/>
    </row>
    <row r="2850" spans="1:10" x14ac:dyDescent="0.2">
      <c r="A2850" s="84">
        <f t="shared" si="91"/>
        <v>2844</v>
      </c>
      <c r="B2850" s="85" t="e">
        <f>+MATCH(D2850,ARTICULOS!$F$10:$F$699,0)</f>
        <v>#N/A</v>
      </c>
      <c r="C2850" s="86" t="e">
        <f>+VLOOKUP(B2850,ARTICULOS!$D$10:$I$699,6)</f>
        <v>#N/A</v>
      </c>
      <c r="D2850" s="212"/>
      <c r="E2850" s="75" t="e">
        <f t="shared" si="92"/>
        <v>#N/A</v>
      </c>
      <c r="F2850" s="80"/>
      <c r="G2850" s="81"/>
      <c r="H2850" s="78"/>
      <c r="I2850" s="78"/>
      <c r="J2850" s="78"/>
    </row>
    <row r="2851" spans="1:10" x14ac:dyDescent="0.2">
      <c r="A2851" s="84">
        <f t="shared" si="91"/>
        <v>2845</v>
      </c>
      <c r="B2851" s="85" t="e">
        <f>+MATCH(D2851,ARTICULOS!$F$10:$F$699,0)</f>
        <v>#N/A</v>
      </c>
      <c r="C2851" s="86" t="e">
        <f>+VLOOKUP(B2851,ARTICULOS!$D$10:$I$699,6)</f>
        <v>#N/A</v>
      </c>
      <c r="D2851" s="212"/>
      <c r="E2851" s="75" t="e">
        <f t="shared" si="92"/>
        <v>#N/A</v>
      </c>
      <c r="F2851" s="80"/>
      <c r="G2851" s="81"/>
      <c r="H2851" s="78"/>
      <c r="I2851" s="78"/>
      <c r="J2851" s="78"/>
    </row>
    <row r="2852" spans="1:10" x14ac:dyDescent="0.2">
      <c r="A2852" s="84">
        <f t="shared" si="91"/>
        <v>2846</v>
      </c>
      <c r="B2852" s="85" t="e">
        <f>+MATCH(D2852,ARTICULOS!$F$10:$F$699,0)</f>
        <v>#N/A</v>
      </c>
      <c r="C2852" s="86" t="e">
        <f>+VLOOKUP(B2852,ARTICULOS!$D$10:$I$699,6)</f>
        <v>#N/A</v>
      </c>
      <c r="D2852" s="212"/>
      <c r="E2852" s="75" t="e">
        <f t="shared" si="92"/>
        <v>#N/A</v>
      </c>
      <c r="F2852" s="80"/>
      <c r="G2852" s="81"/>
      <c r="H2852" s="78"/>
      <c r="I2852" s="78"/>
      <c r="J2852" s="78"/>
    </row>
    <row r="2853" spans="1:10" x14ac:dyDescent="0.2">
      <c r="A2853" s="84">
        <f t="shared" si="91"/>
        <v>2847</v>
      </c>
      <c r="B2853" s="85" t="e">
        <f>+MATCH(D2853,ARTICULOS!$F$10:$F$699,0)</f>
        <v>#N/A</v>
      </c>
      <c r="C2853" s="86" t="e">
        <f>+VLOOKUP(B2853,ARTICULOS!$D$10:$I$699,6)</f>
        <v>#N/A</v>
      </c>
      <c r="D2853" s="212"/>
      <c r="E2853" s="75" t="e">
        <f t="shared" si="92"/>
        <v>#N/A</v>
      </c>
      <c r="F2853" s="80"/>
      <c r="G2853" s="81"/>
      <c r="H2853" s="78"/>
      <c r="I2853" s="78"/>
      <c r="J2853" s="78"/>
    </row>
    <row r="2854" spans="1:10" x14ac:dyDescent="0.2">
      <c r="A2854" s="84">
        <f t="shared" si="91"/>
        <v>2848</v>
      </c>
      <c r="B2854" s="85" t="e">
        <f>+MATCH(D2854,ARTICULOS!$F$10:$F$699,0)</f>
        <v>#N/A</v>
      </c>
      <c r="C2854" s="86" t="e">
        <f>+VLOOKUP(B2854,ARTICULOS!$D$10:$I$699,6)</f>
        <v>#N/A</v>
      </c>
      <c r="D2854" s="212"/>
      <c r="E2854" s="75" t="e">
        <f t="shared" si="92"/>
        <v>#N/A</v>
      </c>
      <c r="F2854" s="80"/>
      <c r="G2854" s="81"/>
      <c r="H2854" s="78"/>
      <c r="I2854" s="78"/>
      <c r="J2854" s="78"/>
    </row>
    <row r="2855" spans="1:10" x14ac:dyDescent="0.2">
      <c r="A2855" s="84">
        <f t="shared" si="91"/>
        <v>2849</v>
      </c>
      <c r="B2855" s="85" t="e">
        <f>+MATCH(D2855,ARTICULOS!$F$10:$F$699,0)</f>
        <v>#N/A</v>
      </c>
      <c r="C2855" s="86" t="e">
        <f>+VLOOKUP(B2855,ARTICULOS!$D$10:$I$699,6)</f>
        <v>#N/A</v>
      </c>
      <c r="D2855" s="212"/>
      <c r="E2855" s="75" t="e">
        <f t="shared" si="92"/>
        <v>#N/A</v>
      </c>
      <c r="F2855" s="80"/>
      <c r="G2855" s="81"/>
      <c r="H2855" s="78"/>
      <c r="I2855" s="78"/>
      <c r="J2855" s="78"/>
    </row>
    <row r="2856" spans="1:10" x14ac:dyDescent="0.2">
      <c r="A2856" s="84">
        <f t="shared" si="91"/>
        <v>2850</v>
      </c>
      <c r="B2856" s="85" t="e">
        <f>+MATCH(D2856,ARTICULOS!$F$10:$F$699,0)</f>
        <v>#N/A</v>
      </c>
      <c r="C2856" s="86" t="e">
        <f>+VLOOKUP(B2856,ARTICULOS!$D$10:$I$699,6)</f>
        <v>#N/A</v>
      </c>
      <c r="D2856" s="212"/>
      <c r="E2856" s="75" t="e">
        <f t="shared" si="92"/>
        <v>#N/A</v>
      </c>
      <c r="F2856" s="80"/>
      <c r="G2856" s="81"/>
      <c r="H2856" s="78"/>
      <c r="I2856" s="78"/>
      <c r="J2856" s="78"/>
    </row>
    <row r="2857" spans="1:10" x14ac:dyDescent="0.2">
      <c r="A2857" s="84">
        <f t="shared" ref="A2857:A2920" si="93">ROW()-6</f>
        <v>2851</v>
      </c>
      <c r="B2857" s="85" t="e">
        <f>+MATCH(D2857,ARTICULOS!$F$10:$F$699,0)</f>
        <v>#N/A</v>
      </c>
      <c r="C2857" s="86" t="e">
        <f>+VLOOKUP(B2857,ARTICULOS!$D$10:$I$699,6)</f>
        <v>#N/A</v>
      </c>
      <c r="D2857" s="212"/>
      <c r="E2857" s="75" t="e">
        <f t="shared" si="92"/>
        <v>#N/A</v>
      </c>
      <c r="F2857" s="80"/>
      <c r="G2857" s="81"/>
      <c r="H2857" s="78"/>
      <c r="I2857" s="78"/>
      <c r="J2857" s="78"/>
    </row>
    <row r="2858" spans="1:10" x14ac:dyDescent="0.2">
      <c r="A2858" s="84">
        <f t="shared" si="93"/>
        <v>2852</v>
      </c>
      <c r="B2858" s="85" t="e">
        <f>+MATCH(D2858,ARTICULOS!$F$10:$F$699,0)</f>
        <v>#N/A</v>
      </c>
      <c r="C2858" s="86" t="e">
        <f>+VLOOKUP(B2858,ARTICULOS!$D$10:$I$699,6)</f>
        <v>#N/A</v>
      </c>
      <c r="D2858" s="212"/>
      <c r="E2858" s="75" t="e">
        <f t="shared" si="92"/>
        <v>#N/A</v>
      </c>
      <c r="F2858" s="80"/>
      <c r="G2858" s="81"/>
      <c r="H2858" s="78"/>
      <c r="I2858" s="78"/>
      <c r="J2858" s="78"/>
    </row>
    <row r="2859" spans="1:10" x14ac:dyDescent="0.2">
      <c r="A2859" s="84">
        <f t="shared" si="93"/>
        <v>2853</v>
      </c>
      <c r="B2859" s="85" t="e">
        <f>+MATCH(D2859,ARTICULOS!$F$10:$F$699,0)</f>
        <v>#N/A</v>
      </c>
      <c r="C2859" s="86" t="e">
        <f>+VLOOKUP(B2859,ARTICULOS!$D$10:$I$699,6)</f>
        <v>#N/A</v>
      </c>
      <c r="D2859" s="212"/>
      <c r="E2859" s="75" t="e">
        <f t="shared" si="92"/>
        <v>#N/A</v>
      </c>
      <c r="F2859" s="80"/>
      <c r="G2859" s="81"/>
      <c r="H2859" s="78"/>
      <c r="I2859" s="78"/>
      <c r="J2859" s="78"/>
    </row>
    <row r="2860" spans="1:10" x14ac:dyDescent="0.2">
      <c r="A2860" s="84">
        <f t="shared" si="93"/>
        <v>2854</v>
      </c>
      <c r="B2860" s="85" t="e">
        <f>+MATCH(D2860,ARTICULOS!$F$10:$F$699,0)</f>
        <v>#N/A</v>
      </c>
      <c r="C2860" s="86" t="e">
        <f>+VLOOKUP(B2860,ARTICULOS!$D$10:$I$699,6)</f>
        <v>#N/A</v>
      </c>
      <c r="D2860" s="212"/>
      <c r="E2860" s="75" t="e">
        <f t="shared" si="92"/>
        <v>#N/A</v>
      </c>
      <c r="F2860" s="80"/>
      <c r="G2860" s="81"/>
      <c r="H2860" s="78"/>
      <c r="I2860" s="78"/>
      <c r="J2860" s="78"/>
    </row>
    <row r="2861" spans="1:10" x14ac:dyDescent="0.2">
      <c r="A2861" s="84">
        <f t="shared" si="93"/>
        <v>2855</v>
      </c>
      <c r="B2861" s="85" t="e">
        <f>+MATCH(D2861,ARTICULOS!$F$10:$F$699,0)</f>
        <v>#N/A</v>
      </c>
      <c r="C2861" s="86" t="e">
        <f>+VLOOKUP(B2861,ARTICULOS!$D$10:$I$699,6)</f>
        <v>#N/A</v>
      </c>
      <c r="D2861" s="212"/>
      <c r="E2861" s="75" t="e">
        <f t="shared" si="92"/>
        <v>#N/A</v>
      </c>
      <c r="F2861" s="80"/>
      <c r="G2861" s="81"/>
      <c r="H2861" s="78"/>
      <c r="I2861" s="78"/>
      <c r="J2861" s="78"/>
    </row>
    <row r="2862" spans="1:10" x14ac:dyDescent="0.2">
      <c r="A2862" s="84">
        <f t="shared" si="93"/>
        <v>2856</v>
      </c>
      <c r="B2862" s="85" t="e">
        <f>+MATCH(D2862,ARTICULOS!$F$10:$F$699,0)</f>
        <v>#N/A</v>
      </c>
      <c r="C2862" s="86" t="e">
        <f>+VLOOKUP(B2862,ARTICULOS!$D$10:$I$699,6)</f>
        <v>#N/A</v>
      </c>
      <c r="D2862" s="212"/>
      <c r="E2862" s="75" t="e">
        <f t="shared" si="92"/>
        <v>#N/A</v>
      </c>
      <c r="F2862" s="80"/>
      <c r="G2862" s="81"/>
      <c r="H2862" s="78"/>
      <c r="I2862" s="78"/>
      <c r="J2862" s="78"/>
    </row>
    <row r="2863" spans="1:10" x14ac:dyDescent="0.2">
      <c r="A2863" s="84">
        <f t="shared" si="93"/>
        <v>2857</v>
      </c>
      <c r="B2863" s="85" t="e">
        <f>+MATCH(D2863,ARTICULOS!$F$10:$F$699,0)</f>
        <v>#N/A</v>
      </c>
      <c r="C2863" s="86" t="e">
        <f>+VLOOKUP(B2863,ARTICULOS!$D$10:$I$699,6)</f>
        <v>#N/A</v>
      </c>
      <c r="D2863" s="212"/>
      <c r="E2863" s="75" t="e">
        <f t="shared" si="92"/>
        <v>#N/A</v>
      </c>
      <c r="F2863" s="80"/>
      <c r="G2863" s="81"/>
      <c r="H2863" s="78"/>
      <c r="I2863" s="78"/>
      <c r="J2863" s="78"/>
    </row>
    <row r="2864" spans="1:10" x14ac:dyDescent="0.2">
      <c r="A2864" s="84">
        <f t="shared" si="93"/>
        <v>2858</v>
      </c>
      <c r="B2864" s="85" t="e">
        <f>+MATCH(D2864,ARTICULOS!$F$10:$F$699,0)</f>
        <v>#N/A</v>
      </c>
      <c r="C2864" s="86" t="e">
        <f>+VLOOKUP(B2864,ARTICULOS!$D$10:$I$699,6)</f>
        <v>#N/A</v>
      </c>
      <c r="D2864" s="212"/>
      <c r="E2864" s="75" t="e">
        <f t="shared" si="92"/>
        <v>#N/A</v>
      </c>
      <c r="F2864" s="80"/>
      <c r="G2864" s="81"/>
      <c r="H2864" s="78"/>
      <c r="I2864" s="78"/>
      <c r="J2864" s="78"/>
    </row>
    <row r="2865" spans="1:10" x14ac:dyDescent="0.2">
      <c r="A2865" s="84">
        <f t="shared" si="93"/>
        <v>2859</v>
      </c>
      <c r="B2865" s="85" t="e">
        <f>+MATCH(D2865,ARTICULOS!$F$10:$F$699,0)</f>
        <v>#N/A</v>
      </c>
      <c r="C2865" s="86" t="e">
        <f>+VLOOKUP(B2865,ARTICULOS!$D$10:$I$699,6)</f>
        <v>#N/A</v>
      </c>
      <c r="D2865" s="212"/>
      <c r="E2865" s="75" t="e">
        <f t="shared" si="92"/>
        <v>#N/A</v>
      </c>
      <c r="F2865" s="80"/>
      <c r="G2865" s="81"/>
      <c r="H2865" s="78"/>
      <c r="I2865" s="78"/>
      <c r="J2865" s="78"/>
    </row>
    <row r="2866" spans="1:10" x14ac:dyDescent="0.2">
      <c r="A2866" s="84">
        <f t="shared" si="93"/>
        <v>2860</v>
      </c>
      <c r="B2866" s="85" t="e">
        <f>+MATCH(D2866,ARTICULOS!$F$10:$F$699,0)</f>
        <v>#N/A</v>
      </c>
      <c r="C2866" s="86" t="e">
        <f>+VLOOKUP(B2866,ARTICULOS!$D$10:$I$699,6)</f>
        <v>#N/A</v>
      </c>
      <c r="D2866" s="212"/>
      <c r="E2866" s="75" t="e">
        <f t="shared" si="92"/>
        <v>#N/A</v>
      </c>
      <c r="F2866" s="80"/>
      <c r="G2866" s="81"/>
      <c r="H2866" s="78"/>
      <c r="I2866" s="78"/>
      <c r="J2866" s="78"/>
    </row>
    <row r="2867" spans="1:10" x14ac:dyDescent="0.2">
      <c r="A2867" s="84">
        <f t="shared" si="93"/>
        <v>2861</v>
      </c>
      <c r="B2867" s="85" t="e">
        <f>+MATCH(D2867,ARTICULOS!$F$10:$F$699,0)</f>
        <v>#N/A</v>
      </c>
      <c r="C2867" s="86" t="e">
        <f>+VLOOKUP(B2867,ARTICULOS!$D$10:$I$699,6)</f>
        <v>#N/A</v>
      </c>
      <c r="D2867" s="212"/>
      <c r="E2867" s="75" t="e">
        <f t="shared" si="92"/>
        <v>#N/A</v>
      </c>
      <c r="F2867" s="80"/>
      <c r="G2867" s="81"/>
      <c r="H2867" s="78"/>
      <c r="I2867" s="78"/>
      <c r="J2867" s="78"/>
    </row>
    <row r="2868" spans="1:10" x14ac:dyDescent="0.2">
      <c r="A2868" s="84">
        <f t="shared" si="93"/>
        <v>2862</v>
      </c>
      <c r="B2868" s="85" t="e">
        <f>+MATCH(D2868,ARTICULOS!$F$10:$F$699,0)</f>
        <v>#N/A</v>
      </c>
      <c r="C2868" s="86" t="e">
        <f>+VLOOKUP(B2868,ARTICULOS!$D$10:$I$699,6)</f>
        <v>#N/A</v>
      </c>
      <c r="D2868" s="212"/>
      <c r="E2868" s="75" t="e">
        <f t="shared" si="92"/>
        <v>#N/A</v>
      </c>
      <c r="F2868" s="80"/>
      <c r="G2868" s="81"/>
      <c r="H2868" s="78"/>
      <c r="I2868" s="78"/>
      <c r="J2868" s="78"/>
    </row>
    <row r="2869" spans="1:10" x14ac:dyDescent="0.2">
      <c r="A2869" s="84">
        <f t="shared" si="93"/>
        <v>2863</v>
      </c>
      <c r="B2869" s="85" t="e">
        <f>+MATCH(D2869,ARTICULOS!$F$10:$F$699,0)</f>
        <v>#N/A</v>
      </c>
      <c r="C2869" s="86" t="e">
        <f>+VLOOKUP(B2869,ARTICULOS!$D$10:$I$699,6)</f>
        <v>#N/A</v>
      </c>
      <c r="D2869" s="212"/>
      <c r="E2869" s="75" t="e">
        <f t="shared" si="92"/>
        <v>#N/A</v>
      </c>
      <c r="F2869" s="80"/>
      <c r="G2869" s="81"/>
      <c r="H2869" s="78"/>
      <c r="I2869" s="78"/>
      <c r="J2869" s="78"/>
    </row>
    <row r="2870" spans="1:10" x14ac:dyDescent="0.2">
      <c r="A2870" s="84">
        <f t="shared" si="93"/>
        <v>2864</v>
      </c>
      <c r="B2870" s="85" t="e">
        <f>+MATCH(D2870,ARTICULOS!$F$10:$F$699,0)</f>
        <v>#N/A</v>
      </c>
      <c r="C2870" s="86" t="e">
        <f>+VLOOKUP(B2870,ARTICULOS!$D$10:$I$699,6)</f>
        <v>#N/A</v>
      </c>
      <c r="D2870" s="212"/>
      <c r="E2870" s="75" t="e">
        <f t="shared" si="92"/>
        <v>#N/A</v>
      </c>
      <c r="F2870" s="80"/>
      <c r="G2870" s="81"/>
      <c r="H2870" s="78"/>
      <c r="I2870" s="78"/>
      <c r="J2870" s="78"/>
    </row>
    <row r="2871" spans="1:10" x14ac:dyDescent="0.2">
      <c r="A2871" s="84">
        <f t="shared" si="93"/>
        <v>2865</v>
      </c>
      <c r="B2871" s="85" t="e">
        <f>+MATCH(D2871,ARTICULOS!$F$10:$F$699,0)</f>
        <v>#N/A</v>
      </c>
      <c r="C2871" s="86" t="e">
        <f>+VLOOKUP(B2871,ARTICULOS!$D$10:$I$699,6)</f>
        <v>#N/A</v>
      </c>
      <c r="D2871" s="212"/>
      <c r="E2871" s="75" t="e">
        <f t="shared" si="92"/>
        <v>#N/A</v>
      </c>
      <c r="F2871" s="80"/>
      <c r="G2871" s="81"/>
      <c r="H2871" s="78"/>
      <c r="I2871" s="78"/>
      <c r="J2871" s="78"/>
    </row>
    <row r="2872" spans="1:10" x14ac:dyDescent="0.2">
      <c r="A2872" s="84">
        <f t="shared" si="93"/>
        <v>2866</v>
      </c>
      <c r="B2872" s="85" t="e">
        <f>+MATCH(D2872,ARTICULOS!$F$10:$F$699,0)</f>
        <v>#N/A</v>
      </c>
      <c r="C2872" s="86" t="e">
        <f>+VLOOKUP(B2872,ARTICULOS!$D$10:$I$699,6)</f>
        <v>#N/A</v>
      </c>
      <c r="D2872" s="212"/>
      <c r="E2872" s="75" t="e">
        <f t="shared" si="92"/>
        <v>#N/A</v>
      </c>
      <c r="F2872" s="80"/>
      <c r="G2872" s="81"/>
      <c r="H2872" s="78"/>
      <c r="I2872" s="78"/>
      <c r="J2872" s="78"/>
    </row>
    <row r="2873" spans="1:10" x14ac:dyDescent="0.2">
      <c r="A2873" s="84">
        <f t="shared" si="93"/>
        <v>2867</v>
      </c>
      <c r="B2873" s="85" t="e">
        <f>+MATCH(D2873,ARTICULOS!$F$10:$F$699,0)</f>
        <v>#N/A</v>
      </c>
      <c r="C2873" s="86" t="e">
        <f>+VLOOKUP(B2873,ARTICULOS!$D$10:$I$699,6)</f>
        <v>#N/A</v>
      </c>
      <c r="D2873" s="212"/>
      <c r="E2873" s="75" t="e">
        <f t="shared" si="92"/>
        <v>#N/A</v>
      </c>
      <c r="F2873" s="80"/>
      <c r="G2873" s="81"/>
      <c r="H2873" s="78"/>
      <c r="I2873" s="78"/>
      <c r="J2873" s="78"/>
    </row>
    <row r="2874" spans="1:10" x14ac:dyDescent="0.2">
      <c r="A2874" s="84">
        <f t="shared" si="93"/>
        <v>2868</v>
      </c>
      <c r="B2874" s="85" t="e">
        <f>+MATCH(D2874,ARTICULOS!$F$10:$F$699,0)</f>
        <v>#N/A</v>
      </c>
      <c r="C2874" s="86" t="e">
        <f>+VLOOKUP(B2874,ARTICULOS!$D$10:$I$699,6)</f>
        <v>#N/A</v>
      </c>
      <c r="D2874" s="212"/>
      <c r="E2874" s="75" t="e">
        <f t="shared" si="92"/>
        <v>#N/A</v>
      </c>
      <c r="F2874" s="80"/>
      <c r="G2874" s="81"/>
      <c r="H2874" s="78"/>
      <c r="I2874" s="78"/>
      <c r="J2874" s="78"/>
    </row>
    <row r="2875" spans="1:10" x14ac:dyDescent="0.2">
      <c r="A2875" s="84">
        <f t="shared" si="93"/>
        <v>2869</v>
      </c>
      <c r="B2875" s="85" t="e">
        <f>+MATCH(D2875,ARTICULOS!$F$10:$F$699,0)</f>
        <v>#N/A</v>
      </c>
      <c r="C2875" s="86" t="e">
        <f>+VLOOKUP(B2875,ARTICULOS!$D$10:$I$699,6)</f>
        <v>#N/A</v>
      </c>
      <c r="D2875" s="212"/>
      <c r="E2875" s="75" t="e">
        <f t="shared" si="92"/>
        <v>#N/A</v>
      </c>
      <c r="F2875" s="80"/>
      <c r="G2875" s="81"/>
      <c r="H2875" s="78"/>
      <c r="I2875" s="78"/>
      <c r="J2875" s="78"/>
    </row>
    <row r="2876" spans="1:10" x14ac:dyDescent="0.2">
      <c r="A2876" s="84">
        <f t="shared" si="93"/>
        <v>2870</v>
      </c>
      <c r="B2876" s="85" t="e">
        <f>+MATCH(D2876,ARTICULOS!$F$10:$F$699,0)</f>
        <v>#N/A</v>
      </c>
      <c r="C2876" s="86" t="e">
        <f>+VLOOKUP(B2876,ARTICULOS!$D$10:$I$699,6)</f>
        <v>#N/A</v>
      </c>
      <c r="D2876" s="212"/>
      <c r="E2876" s="75" t="e">
        <f t="shared" si="92"/>
        <v>#N/A</v>
      </c>
      <c r="F2876" s="80"/>
      <c r="G2876" s="81"/>
      <c r="H2876" s="78"/>
      <c r="I2876" s="78"/>
      <c r="J2876" s="78"/>
    </row>
    <row r="2877" spans="1:10" x14ac:dyDescent="0.2">
      <c r="A2877" s="84">
        <f t="shared" si="93"/>
        <v>2871</v>
      </c>
      <c r="B2877" s="85" t="e">
        <f>+MATCH(D2877,ARTICULOS!$F$10:$F$699,0)</f>
        <v>#N/A</v>
      </c>
      <c r="C2877" s="86" t="e">
        <f>+VLOOKUP(B2877,ARTICULOS!$D$10:$I$699,6)</f>
        <v>#N/A</v>
      </c>
      <c r="D2877" s="212"/>
      <c r="E2877" s="75" t="e">
        <f t="shared" si="92"/>
        <v>#N/A</v>
      </c>
      <c r="F2877" s="80"/>
      <c r="G2877" s="81"/>
      <c r="H2877" s="78"/>
      <c r="I2877" s="78"/>
      <c r="J2877" s="78"/>
    </row>
    <row r="2878" spans="1:10" x14ac:dyDescent="0.2">
      <c r="A2878" s="84">
        <f t="shared" si="93"/>
        <v>2872</v>
      </c>
      <c r="B2878" s="85" t="e">
        <f>+MATCH(D2878,ARTICULOS!$F$10:$F$699,0)</f>
        <v>#N/A</v>
      </c>
      <c r="C2878" s="86" t="e">
        <f>+VLOOKUP(B2878,ARTICULOS!$D$10:$I$699,6)</f>
        <v>#N/A</v>
      </c>
      <c r="D2878" s="212"/>
      <c r="E2878" s="75" t="e">
        <f t="shared" si="92"/>
        <v>#N/A</v>
      </c>
      <c r="F2878" s="80"/>
      <c r="G2878" s="81"/>
      <c r="H2878" s="78"/>
      <c r="I2878" s="78"/>
      <c r="J2878" s="78"/>
    </row>
    <row r="2879" spans="1:10" x14ac:dyDescent="0.2">
      <c r="A2879" s="84">
        <f t="shared" si="93"/>
        <v>2873</v>
      </c>
      <c r="B2879" s="85" t="e">
        <f>+MATCH(D2879,ARTICULOS!$F$10:$F$699,0)</f>
        <v>#N/A</v>
      </c>
      <c r="C2879" s="86" t="e">
        <f>+VLOOKUP(B2879,ARTICULOS!$D$10:$I$699,6)</f>
        <v>#N/A</v>
      </c>
      <c r="D2879" s="212"/>
      <c r="E2879" s="75" t="e">
        <f t="shared" si="92"/>
        <v>#N/A</v>
      </c>
      <c r="F2879" s="80"/>
      <c r="G2879" s="81"/>
      <c r="H2879" s="78"/>
      <c r="I2879" s="78"/>
      <c r="J2879" s="78"/>
    </row>
    <row r="2880" spans="1:10" x14ac:dyDescent="0.2">
      <c r="A2880" s="84">
        <f t="shared" si="93"/>
        <v>2874</v>
      </c>
      <c r="B2880" s="85" t="e">
        <f>+MATCH(D2880,ARTICULOS!$F$10:$F$699,0)</f>
        <v>#N/A</v>
      </c>
      <c r="C2880" s="86" t="e">
        <f>+VLOOKUP(B2880,ARTICULOS!$D$10:$I$699,6)</f>
        <v>#N/A</v>
      </c>
      <c r="D2880" s="212"/>
      <c r="E2880" s="75" t="e">
        <f t="shared" si="92"/>
        <v>#N/A</v>
      </c>
      <c r="F2880" s="80"/>
      <c r="G2880" s="81"/>
      <c r="H2880" s="78"/>
      <c r="I2880" s="78"/>
      <c r="J2880" s="78"/>
    </row>
    <row r="2881" spans="1:10" x14ac:dyDescent="0.2">
      <c r="A2881" s="84">
        <f t="shared" si="93"/>
        <v>2875</v>
      </c>
      <c r="B2881" s="85" t="e">
        <f>+MATCH(D2881,ARTICULOS!$F$10:$F$699,0)</f>
        <v>#N/A</v>
      </c>
      <c r="C2881" s="86" t="e">
        <f>+VLOOKUP(B2881,ARTICULOS!$D$10:$I$699,6)</f>
        <v>#N/A</v>
      </c>
      <c r="D2881" s="212"/>
      <c r="E2881" s="75" t="e">
        <f t="shared" si="92"/>
        <v>#N/A</v>
      </c>
      <c r="F2881" s="80"/>
      <c r="G2881" s="81"/>
      <c r="H2881" s="78"/>
      <c r="I2881" s="78"/>
      <c r="J2881" s="78"/>
    </row>
    <row r="2882" spans="1:10" x14ac:dyDescent="0.2">
      <c r="A2882" s="84">
        <f t="shared" si="93"/>
        <v>2876</v>
      </c>
      <c r="B2882" s="85" t="e">
        <f>+MATCH(D2882,ARTICULOS!$F$10:$F$699,0)</f>
        <v>#N/A</v>
      </c>
      <c r="C2882" s="86" t="e">
        <f>+VLOOKUP(B2882,ARTICULOS!$D$10:$I$699,6)</f>
        <v>#N/A</v>
      </c>
      <c r="D2882" s="212"/>
      <c r="E2882" s="75" t="e">
        <f t="shared" si="92"/>
        <v>#N/A</v>
      </c>
      <c r="F2882" s="80"/>
      <c r="G2882" s="81"/>
      <c r="H2882" s="78"/>
      <c r="I2882" s="78"/>
      <c r="J2882" s="78"/>
    </row>
    <row r="2883" spans="1:10" x14ac:dyDescent="0.2">
      <c r="A2883" s="84">
        <f t="shared" si="93"/>
        <v>2877</v>
      </c>
      <c r="B2883" s="85" t="e">
        <f>+MATCH(D2883,ARTICULOS!$F$10:$F$699,0)</f>
        <v>#N/A</v>
      </c>
      <c r="C2883" s="86" t="e">
        <f>+VLOOKUP(B2883,ARTICULOS!$D$10:$I$699,6)</f>
        <v>#N/A</v>
      </c>
      <c r="D2883" s="212"/>
      <c r="E2883" s="75" t="e">
        <f t="shared" si="92"/>
        <v>#N/A</v>
      </c>
      <c r="F2883" s="80"/>
      <c r="G2883" s="81"/>
      <c r="H2883" s="78"/>
      <c r="I2883" s="78"/>
      <c r="J2883" s="78"/>
    </row>
    <row r="2884" spans="1:10" x14ac:dyDescent="0.2">
      <c r="A2884" s="84">
        <f t="shared" si="93"/>
        <v>2878</v>
      </c>
      <c r="B2884" s="85" t="e">
        <f>+MATCH(D2884,ARTICULOS!$F$10:$F$699,0)</f>
        <v>#N/A</v>
      </c>
      <c r="C2884" s="86" t="e">
        <f>+VLOOKUP(B2884,ARTICULOS!$D$10:$I$699,6)</f>
        <v>#N/A</v>
      </c>
      <c r="D2884" s="212"/>
      <c r="E2884" s="75" t="e">
        <f t="shared" si="92"/>
        <v>#N/A</v>
      </c>
      <c r="F2884" s="80"/>
      <c r="G2884" s="81"/>
      <c r="H2884" s="78"/>
      <c r="I2884" s="78"/>
      <c r="J2884" s="78"/>
    </row>
    <row r="2885" spans="1:10" x14ac:dyDescent="0.2">
      <c r="A2885" s="84">
        <f t="shared" si="93"/>
        <v>2879</v>
      </c>
      <c r="B2885" s="85" t="e">
        <f>+MATCH(D2885,ARTICULOS!$F$10:$F$699,0)</f>
        <v>#N/A</v>
      </c>
      <c r="C2885" s="86" t="e">
        <f>+VLOOKUP(B2885,ARTICULOS!$D$10:$I$699,6)</f>
        <v>#N/A</v>
      </c>
      <c r="D2885" s="212"/>
      <c r="E2885" s="75" t="e">
        <f t="shared" si="92"/>
        <v>#N/A</v>
      </c>
      <c r="F2885" s="80"/>
      <c r="G2885" s="81"/>
      <c r="H2885" s="78"/>
      <c r="I2885" s="78"/>
      <c r="J2885" s="78"/>
    </row>
    <row r="2886" spans="1:10" x14ac:dyDescent="0.2">
      <c r="A2886" s="84">
        <f t="shared" si="93"/>
        <v>2880</v>
      </c>
      <c r="B2886" s="85" t="e">
        <f>+MATCH(D2886,ARTICULOS!$F$10:$F$699,0)</f>
        <v>#N/A</v>
      </c>
      <c r="C2886" s="86" t="e">
        <f>+VLOOKUP(B2886,ARTICULOS!$D$10:$I$699,6)</f>
        <v>#N/A</v>
      </c>
      <c r="D2886" s="212"/>
      <c r="E2886" s="75" t="e">
        <f t="shared" si="92"/>
        <v>#N/A</v>
      </c>
      <c r="F2886" s="80"/>
      <c r="G2886" s="81"/>
      <c r="H2886" s="78"/>
      <c r="I2886" s="78"/>
      <c r="J2886" s="78"/>
    </row>
    <row r="2887" spans="1:10" x14ac:dyDescent="0.2">
      <c r="A2887" s="84">
        <f t="shared" si="93"/>
        <v>2881</v>
      </c>
      <c r="B2887" s="85" t="e">
        <f>+MATCH(D2887,ARTICULOS!$F$10:$F$699,0)</f>
        <v>#N/A</v>
      </c>
      <c r="C2887" s="86" t="e">
        <f>+VLOOKUP(B2887,ARTICULOS!$D$10:$I$699,6)</f>
        <v>#N/A</v>
      </c>
      <c r="D2887" s="212"/>
      <c r="E2887" s="75" t="e">
        <f t="shared" si="92"/>
        <v>#N/A</v>
      </c>
      <c r="F2887" s="80"/>
      <c r="G2887" s="81"/>
      <c r="H2887" s="78"/>
      <c r="I2887" s="78"/>
      <c r="J2887" s="78"/>
    </row>
    <row r="2888" spans="1:10" x14ac:dyDescent="0.2">
      <c r="A2888" s="84">
        <f t="shared" si="93"/>
        <v>2882</v>
      </c>
      <c r="B2888" s="85" t="e">
        <f>+MATCH(D2888,ARTICULOS!$F$10:$F$699,0)</f>
        <v>#N/A</v>
      </c>
      <c r="C2888" s="86" t="e">
        <f>+VLOOKUP(B2888,ARTICULOS!$D$10:$I$699,6)</f>
        <v>#N/A</v>
      </c>
      <c r="D2888" s="212"/>
      <c r="E2888" s="75" t="e">
        <f t="shared" si="92"/>
        <v>#N/A</v>
      </c>
      <c r="F2888" s="80"/>
      <c r="G2888" s="81"/>
      <c r="H2888" s="78"/>
      <c r="I2888" s="78"/>
      <c r="J2888" s="78"/>
    </row>
    <row r="2889" spans="1:10" x14ac:dyDescent="0.2">
      <c r="A2889" s="84">
        <f t="shared" si="93"/>
        <v>2883</v>
      </c>
      <c r="B2889" s="85" t="e">
        <f>+MATCH(D2889,ARTICULOS!$F$10:$F$699,0)</f>
        <v>#N/A</v>
      </c>
      <c r="C2889" s="86" t="e">
        <f>+VLOOKUP(B2889,ARTICULOS!$D$10:$I$699,6)</f>
        <v>#N/A</v>
      </c>
      <c r="D2889" s="212"/>
      <c r="E2889" s="75" t="e">
        <f t="shared" si="92"/>
        <v>#N/A</v>
      </c>
      <c r="F2889" s="80"/>
      <c r="G2889" s="81"/>
      <c r="H2889" s="78"/>
      <c r="I2889" s="78"/>
      <c r="J2889" s="78"/>
    </row>
    <row r="2890" spans="1:10" x14ac:dyDescent="0.2">
      <c r="A2890" s="84">
        <f t="shared" si="93"/>
        <v>2884</v>
      </c>
      <c r="B2890" s="85" t="e">
        <f>+MATCH(D2890,ARTICULOS!$F$10:$F$699,0)</f>
        <v>#N/A</v>
      </c>
      <c r="C2890" s="86" t="e">
        <f>+VLOOKUP(B2890,ARTICULOS!$D$10:$I$699,6)</f>
        <v>#N/A</v>
      </c>
      <c r="D2890" s="212"/>
      <c r="E2890" s="75" t="e">
        <f t="shared" si="92"/>
        <v>#N/A</v>
      </c>
      <c r="F2890" s="80"/>
      <c r="G2890" s="81"/>
      <c r="H2890" s="78"/>
      <c r="I2890" s="78"/>
      <c r="J2890" s="78"/>
    </row>
    <row r="2891" spans="1:10" x14ac:dyDescent="0.2">
      <c r="A2891" s="84">
        <f t="shared" si="93"/>
        <v>2885</v>
      </c>
      <c r="B2891" s="85" t="e">
        <f>+MATCH(D2891,ARTICULOS!$F$10:$F$699,0)</f>
        <v>#N/A</v>
      </c>
      <c r="C2891" s="86" t="e">
        <f>+VLOOKUP(B2891,ARTICULOS!$D$10:$I$699,6)</f>
        <v>#N/A</v>
      </c>
      <c r="D2891" s="212"/>
      <c r="E2891" s="75" t="e">
        <f t="shared" ref="E2891:E2954" si="94">+C2891&amp;F2891</f>
        <v>#N/A</v>
      </c>
      <c r="F2891" s="80"/>
      <c r="G2891" s="81"/>
      <c r="H2891" s="78"/>
      <c r="I2891" s="78"/>
      <c r="J2891" s="78"/>
    </row>
    <row r="2892" spans="1:10" x14ac:dyDescent="0.2">
      <c r="A2892" s="84">
        <f t="shared" si="93"/>
        <v>2886</v>
      </c>
      <c r="B2892" s="85" t="e">
        <f>+MATCH(D2892,ARTICULOS!$F$10:$F$699,0)</f>
        <v>#N/A</v>
      </c>
      <c r="C2892" s="86" t="e">
        <f>+VLOOKUP(B2892,ARTICULOS!$D$10:$I$699,6)</f>
        <v>#N/A</v>
      </c>
      <c r="D2892" s="212"/>
      <c r="E2892" s="75" t="e">
        <f t="shared" si="94"/>
        <v>#N/A</v>
      </c>
      <c r="F2892" s="80"/>
      <c r="G2892" s="81"/>
      <c r="H2892" s="78"/>
      <c r="I2892" s="78"/>
      <c r="J2892" s="78"/>
    </row>
    <row r="2893" spans="1:10" x14ac:dyDescent="0.2">
      <c r="A2893" s="84">
        <f t="shared" si="93"/>
        <v>2887</v>
      </c>
      <c r="B2893" s="85" t="e">
        <f>+MATCH(D2893,ARTICULOS!$F$10:$F$699,0)</f>
        <v>#N/A</v>
      </c>
      <c r="C2893" s="86" t="e">
        <f>+VLOOKUP(B2893,ARTICULOS!$D$10:$I$699,6)</f>
        <v>#N/A</v>
      </c>
      <c r="D2893" s="212"/>
      <c r="E2893" s="75" t="e">
        <f t="shared" si="94"/>
        <v>#N/A</v>
      </c>
      <c r="F2893" s="80"/>
      <c r="G2893" s="81"/>
      <c r="H2893" s="78"/>
      <c r="I2893" s="78"/>
      <c r="J2893" s="78"/>
    </row>
    <row r="2894" spans="1:10" x14ac:dyDescent="0.2">
      <c r="A2894" s="84">
        <f t="shared" si="93"/>
        <v>2888</v>
      </c>
      <c r="B2894" s="85" t="e">
        <f>+MATCH(D2894,ARTICULOS!$F$10:$F$699,0)</f>
        <v>#N/A</v>
      </c>
      <c r="C2894" s="86" t="e">
        <f>+VLOOKUP(B2894,ARTICULOS!$D$10:$I$699,6)</f>
        <v>#N/A</v>
      </c>
      <c r="D2894" s="212"/>
      <c r="E2894" s="75" t="e">
        <f t="shared" si="94"/>
        <v>#N/A</v>
      </c>
      <c r="F2894" s="80"/>
      <c r="G2894" s="81"/>
      <c r="H2894" s="78"/>
      <c r="I2894" s="78"/>
      <c r="J2894" s="78"/>
    </row>
    <row r="2895" spans="1:10" x14ac:dyDescent="0.2">
      <c r="A2895" s="84">
        <f t="shared" si="93"/>
        <v>2889</v>
      </c>
      <c r="B2895" s="85" t="e">
        <f>+MATCH(D2895,ARTICULOS!$F$10:$F$699,0)</f>
        <v>#N/A</v>
      </c>
      <c r="C2895" s="86" t="e">
        <f>+VLOOKUP(B2895,ARTICULOS!$D$10:$I$699,6)</f>
        <v>#N/A</v>
      </c>
      <c r="D2895" s="212"/>
      <c r="E2895" s="75" t="e">
        <f t="shared" si="94"/>
        <v>#N/A</v>
      </c>
      <c r="F2895" s="80"/>
      <c r="G2895" s="81"/>
      <c r="H2895" s="78"/>
      <c r="I2895" s="78"/>
      <c r="J2895" s="78"/>
    </row>
    <row r="2896" spans="1:10" x14ac:dyDescent="0.2">
      <c r="A2896" s="84">
        <f t="shared" si="93"/>
        <v>2890</v>
      </c>
      <c r="B2896" s="85" t="e">
        <f>+MATCH(D2896,ARTICULOS!$F$10:$F$699,0)</f>
        <v>#N/A</v>
      </c>
      <c r="C2896" s="86" t="e">
        <f>+VLOOKUP(B2896,ARTICULOS!$D$10:$I$699,6)</f>
        <v>#N/A</v>
      </c>
      <c r="D2896" s="212"/>
      <c r="E2896" s="75" t="e">
        <f t="shared" si="94"/>
        <v>#N/A</v>
      </c>
      <c r="F2896" s="80"/>
      <c r="G2896" s="81"/>
      <c r="H2896" s="78"/>
      <c r="I2896" s="78"/>
      <c r="J2896" s="78"/>
    </row>
    <row r="2897" spans="1:10" x14ac:dyDescent="0.2">
      <c r="A2897" s="84">
        <f t="shared" si="93"/>
        <v>2891</v>
      </c>
      <c r="B2897" s="85" t="e">
        <f>+MATCH(D2897,ARTICULOS!$F$10:$F$699,0)</f>
        <v>#N/A</v>
      </c>
      <c r="C2897" s="86" t="e">
        <f>+VLOOKUP(B2897,ARTICULOS!$D$10:$I$699,6)</f>
        <v>#N/A</v>
      </c>
      <c r="D2897" s="212"/>
      <c r="E2897" s="75" t="e">
        <f t="shared" si="94"/>
        <v>#N/A</v>
      </c>
      <c r="F2897" s="80"/>
      <c r="G2897" s="81"/>
      <c r="H2897" s="78"/>
      <c r="I2897" s="78"/>
      <c r="J2897" s="78"/>
    </row>
    <row r="2898" spans="1:10" x14ac:dyDescent="0.2">
      <c r="A2898" s="84">
        <f t="shared" si="93"/>
        <v>2892</v>
      </c>
      <c r="B2898" s="85" t="e">
        <f>+MATCH(D2898,ARTICULOS!$F$10:$F$699,0)</f>
        <v>#N/A</v>
      </c>
      <c r="C2898" s="86" t="e">
        <f>+VLOOKUP(B2898,ARTICULOS!$D$10:$I$699,6)</f>
        <v>#N/A</v>
      </c>
      <c r="D2898" s="212"/>
      <c r="E2898" s="75" t="e">
        <f t="shared" si="94"/>
        <v>#N/A</v>
      </c>
      <c r="F2898" s="80"/>
      <c r="G2898" s="81"/>
      <c r="H2898" s="78"/>
      <c r="I2898" s="78"/>
      <c r="J2898" s="78"/>
    </row>
    <row r="2899" spans="1:10" x14ac:dyDescent="0.2">
      <c r="A2899" s="84">
        <f t="shared" si="93"/>
        <v>2893</v>
      </c>
      <c r="B2899" s="85" t="e">
        <f>+MATCH(D2899,ARTICULOS!$F$10:$F$699,0)</f>
        <v>#N/A</v>
      </c>
      <c r="C2899" s="86" t="e">
        <f>+VLOOKUP(B2899,ARTICULOS!$D$10:$I$699,6)</f>
        <v>#N/A</v>
      </c>
      <c r="D2899" s="212"/>
      <c r="E2899" s="75" t="e">
        <f t="shared" si="94"/>
        <v>#N/A</v>
      </c>
      <c r="F2899" s="80"/>
      <c r="G2899" s="81"/>
      <c r="H2899" s="78"/>
      <c r="I2899" s="78"/>
      <c r="J2899" s="78"/>
    </row>
    <row r="2900" spans="1:10" x14ac:dyDescent="0.2">
      <c r="A2900" s="84">
        <f t="shared" si="93"/>
        <v>2894</v>
      </c>
      <c r="B2900" s="85" t="e">
        <f>+MATCH(D2900,ARTICULOS!$F$10:$F$699,0)</f>
        <v>#N/A</v>
      </c>
      <c r="C2900" s="86" t="e">
        <f>+VLOOKUP(B2900,ARTICULOS!$D$10:$I$699,6)</f>
        <v>#N/A</v>
      </c>
      <c r="D2900" s="212"/>
      <c r="E2900" s="75" t="e">
        <f t="shared" si="94"/>
        <v>#N/A</v>
      </c>
      <c r="F2900" s="80"/>
      <c r="G2900" s="81"/>
      <c r="H2900" s="78"/>
      <c r="I2900" s="78"/>
      <c r="J2900" s="78"/>
    </row>
    <row r="2901" spans="1:10" x14ac:dyDescent="0.2">
      <c r="A2901" s="84">
        <f t="shared" si="93"/>
        <v>2895</v>
      </c>
      <c r="B2901" s="85" t="e">
        <f>+MATCH(D2901,ARTICULOS!$F$10:$F$699,0)</f>
        <v>#N/A</v>
      </c>
      <c r="C2901" s="86" t="e">
        <f>+VLOOKUP(B2901,ARTICULOS!$D$10:$I$699,6)</f>
        <v>#N/A</v>
      </c>
      <c r="D2901" s="212"/>
      <c r="E2901" s="75" t="e">
        <f t="shared" si="94"/>
        <v>#N/A</v>
      </c>
      <c r="F2901" s="80"/>
      <c r="G2901" s="81"/>
      <c r="H2901" s="78"/>
      <c r="I2901" s="78"/>
      <c r="J2901" s="78"/>
    </row>
    <row r="2902" spans="1:10" x14ac:dyDescent="0.2">
      <c r="A2902" s="84">
        <f t="shared" si="93"/>
        <v>2896</v>
      </c>
      <c r="B2902" s="85" t="e">
        <f>+MATCH(D2902,ARTICULOS!$F$10:$F$699,0)</f>
        <v>#N/A</v>
      </c>
      <c r="C2902" s="86" t="e">
        <f>+VLOOKUP(B2902,ARTICULOS!$D$10:$I$699,6)</f>
        <v>#N/A</v>
      </c>
      <c r="D2902" s="212"/>
      <c r="E2902" s="75" t="e">
        <f t="shared" si="94"/>
        <v>#N/A</v>
      </c>
      <c r="F2902" s="80"/>
      <c r="G2902" s="81"/>
      <c r="H2902" s="78"/>
      <c r="I2902" s="78"/>
      <c r="J2902" s="78"/>
    </row>
    <row r="2903" spans="1:10" x14ac:dyDescent="0.2">
      <c r="A2903" s="84">
        <f t="shared" si="93"/>
        <v>2897</v>
      </c>
      <c r="B2903" s="85" t="e">
        <f>+MATCH(D2903,ARTICULOS!$F$10:$F$699,0)</f>
        <v>#N/A</v>
      </c>
      <c r="C2903" s="86" t="e">
        <f>+VLOOKUP(B2903,ARTICULOS!$D$10:$I$699,6)</f>
        <v>#N/A</v>
      </c>
      <c r="D2903" s="212"/>
      <c r="E2903" s="75" t="e">
        <f t="shared" si="94"/>
        <v>#N/A</v>
      </c>
      <c r="F2903" s="80"/>
      <c r="G2903" s="81"/>
      <c r="H2903" s="78"/>
      <c r="I2903" s="78"/>
      <c r="J2903" s="78"/>
    </row>
    <row r="2904" spans="1:10" x14ac:dyDescent="0.2">
      <c r="A2904" s="84">
        <f t="shared" si="93"/>
        <v>2898</v>
      </c>
      <c r="B2904" s="85" t="e">
        <f>+MATCH(D2904,ARTICULOS!$F$10:$F$699,0)</f>
        <v>#N/A</v>
      </c>
      <c r="C2904" s="86" t="e">
        <f>+VLOOKUP(B2904,ARTICULOS!$D$10:$I$699,6)</f>
        <v>#N/A</v>
      </c>
      <c r="D2904" s="212"/>
      <c r="E2904" s="75" t="e">
        <f t="shared" si="94"/>
        <v>#N/A</v>
      </c>
      <c r="F2904" s="80"/>
      <c r="G2904" s="81"/>
      <c r="H2904" s="78"/>
      <c r="I2904" s="78"/>
      <c r="J2904" s="78"/>
    </row>
    <row r="2905" spans="1:10" x14ac:dyDescent="0.2">
      <c r="A2905" s="84">
        <f t="shared" si="93"/>
        <v>2899</v>
      </c>
      <c r="B2905" s="85" t="e">
        <f>+MATCH(D2905,ARTICULOS!$F$10:$F$699,0)</f>
        <v>#N/A</v>
      </c>
      <c r="C2905" s="86" t="e">
        <f>+VLOOKUP(B2905,ARTICULOS!$D$10:$I$699,6)</f>
        <v>#N/A</v>
      </c>
      <c r="D2905" s="212"/>
      <c r="E2905" s="75" t="e">
        <f t="shared" si="94"/>
        <v>#N/A</v>
      </c>
      <c r="F2905" s="80"/>
      <c r="G2905" s="81"/>
      <c r="H2905" s="78"/>
      <c r="I2905" s="78"/>
      <c r="J2905" s="78"/>
    </row>
    <row r="2906" spans="1:10" x14ac:dyDescent="0.2">
      <c r="A2906" s="84">
        <f t="shared" si="93"/>
        <v>2900</v>
      </c>
      <c r="B2906" s="85" t="e">
        <f>+MATCH(D2906,ARTICULOS!$F$10:$F$699,0)</f>
        <v>#N/A</v>
      </c>
      <c r="C2906" s="86" t="e">
        <f>+VLOOKUP(B2906,ARTICULOS!$D$10:$I$699,6)</f>
        <v>#N/A</v>
      </c>
      <c r="D2906" s="212"/>
      <c r="E2906" s="75" t="e">
        <f t="shared" si="94"/>
        <v>#N/A</v>
      </c>
      <c r="F2906" s="80"/>
      <c r="G2906" s="81"/>
      <c r="H2906" s="78"/>
      <c r="I2906" s="78"/>
      <c r="J2906" s="78"/>
    </row>
    <row r="2907" spans="1:10" x14ac:dyDescent="0.2">
      <c r="A2907" s="84">
        <f t="shared" si="93"/>
        <v>2901</v>
      </c>
      <c r="B2907" s="85" t="e">
        <f>+MATCH(D2907,ARTICULOS!$F$10:$F$699,0)</f>
        <v>#N/A</v>
      </c>
      <c r="C2907" s="86" t="e">
        <f>+VLOOKUP(B2907,ARTICULOS!$D$10:$I$699,6)</f>
        <v>#N/A</v>
      </c>
      <c r="D2907" s="212"/>
      <c r="E2907" s="75" t="e">
        <f t="shared" si="94"/>
        <v>#N/A</v>
      </c>
      <c r="F2907" s="80"/>
      <c r="G2907" s="81"/>
      <c r="H2907" s="78"/>
      <c r="I2907" s="78"/>
      <c r="J2907" s="78"/>
    </row>
    <row r="2908" spans="1:10" x14ac:dyDescent="0.2">
      <c r="A2908" s="84">
        <f t="shared" si="93"/>
        <v>2902</v>
      </c>
      <c r="B2908" s="85" t="e">
        <f>+MATCH(D2908,ARTICULOS!$F$10:$F$699,0)</f>
        <v>#N/A</v>
      </c>
      <c r="C2908" s="86" t="e">
        <f>+VLOOKUP(B2908,ARTICULOS!$D$10:$I$699,6)</f>
        <v>#N/A</v>
      </c>
      <c r="D2908" s="212"/>
      <c r="E2908" s="75" t="e">
        <f t="shared" si="94"/>
        <v>#N/A</v>
      </c>
      <c r="F2908" s="80"/>
      <c r="G2908" s="81"/>
      <c r="H2908" s="78"/>
      <c r="I2908" s="78"/>
      <c r="J2908" s="78"/>
    </row>
    <row r="2909" spans="1:10" x14ac:dyDescent="0.2">
      <c r="A2909" s="84">
        <f t="shared" si="93"/>
        <v>2903</v>
      </c>
      <c r="B2909" s="85" t="e">
        <f>+MATCH(D2909,ARTICULOS!$F$10:$F$699,0)</f>
        <v>#N/A</v>
      </c>
      <c r="C2909" s="86" t="e">
        <f>+VLOOKUP(B2909,ARTICULOS!$D$10:$I$699,6)</f>
        <v>#N/A</v>
      </c>
      <c r="D2909" s="212"/>
      <c r="E2909" s="75" t="e">
        <f t="shared" si="94"/>
        <v>#N/A</v>
      </c>
      <c r="F2909" s="80"/>
      <c r="G2909" s="81"/>
      <c r="H2909" s="78"/>
      <c r="I2909" s="78"/>
      <c r="J2909" s="78"/>
    </row>
    <row r="2910" spans="1:10" x14ac:dyDescent="0.2">
      <c r="A2910" s="84">
        <f t="shared" si="93"/>
        <v>2904</v>
      </c>
      <c r="B2910" s="85" t="e">
        <f>+MATCH(D2910,ARTICULOS!$F$10:$F$699,0)</f>
        <v>#N/A</v>
      </c>
      <c r="C2910" s="86" t="e">
        <f>+VLOOKUP(B2910,ARTICULOS!$D$10:$I$699,6)</f>
        <v>#N/A</v>
      </c>
      <c r="D2910" s="212"/>
      <c r="E2910" s="75" t="e">
        <f t="shared" si="94"/>
        <v>#N/A</v>
      </c>
      <c r="F2910" s="80"/>
      <c r="G2910" s="81"/>
      <c r="H2910" s="78"/>
      <c r="I2910" s="78"/>
      <c r="J2910" s="78"/>
    </row>
    <row r="2911" spans="1:10" x14ac:dyDescent="0.2">
      <c r="A2911" s="84">
        <f t="shared" si="93"/>
        <v>2905</v>
      </c>
      <c r="B2911" s="85" t="e">
        <f>+MATCH(D2911,ARTICULOS!$F$10:$F$699,0)</f>
        <v>#N/A</v>
      </c>
      <c r="C2911" s="86" t="e">
        <f>+VLOOKUP(B2911,ARTICULOS!$D$10:$I$699,6)</f>
        <v>#N/A</v>
      </c>
      <c r="D2911" s="212"/>
      <c r="E2911" s="75" t="e">
        <f t="shared" si="94"/>
        <v>#N/A</v>
      </c>
      <c r="F2911" s="80"/>
      <c r="G2911" s="81"/>
      <c r="H2911" s="78"/>
      <c r="I2911" s="78"/>
      <c r="J2911" s="78"/>
    </row>
    <row r="2912" spans="1:10" x14ac:dyDescent="0.2">
      <c r="A2912" s="84">
        <f t="shared" si="93"/>
        <v>2906</v>
      </c>
      <c r="B2912" s="85" t="e">
        <f>+MATCH(D2912,ARTICULOS!$F$10:$F$699,0)</f>
        <v>#N/A</v>
      </c>
      <c r="C2912" s="86" t="e">
        <f>+VLOOKUP(B2912,ARTICULOS!$D$10:$I$699,6)</f>
        <v>#N/A</v>
      </c>
      <c r="D2912" s="212"/>
      <c r="E2912" s="75" t="e">
        <f t="shared" si="94"/>
        <v>#N/A</v>
      </c>
      <c r="F2912" s="80"/>
      <c r="G2912" s="81"/>
      <c r="H2912" s="78"/>
      <c r="I2912" s="78"/>
      <c r="J2912" s="78"/>
    </row>
    <row r="2913" spans="1:10" x14ac:dyDescent="0.2">
      <c r="A2913" s="84">
        <f t="shared" si="93"/>
        <v>2907</v>
      </c>
      <c r="B2913" s="85" t="e">
        <f>+MATCH(D2913,ARTICULOS!$F$10:$F$699,0)</f>
        <v>#N/A</v>
      </c>
      <c r="C2913" s="86" t="e">
        <f>+VLOOKUP(B2913,ARTICULOS!$D$10:$I$699,6)</f>
        <v>#N/A</v>
      </c>
      <c r="D2913" s="212"/>
      <c r="E2913" s="75" t="e">
        <f t="shared" si="94"/>
        <v>#N/A</v>
      </c>
      <c r="F2913" s="80"/>
      <c r="G2913" s="81"/>
      <c r="H2913" s="78"/>
      <c r="I2913" s="78"/>
      <c r="J2913" s="78"/>
    </row>
    <row r="2914" spans="1:10" x14ac:dyDescent="0.2">
      <c r="A2914" s="84">
        <f t="shared" si="93"/>
        <v>2908</v>
      </c>
      <c r="B2914" s="85" t="e">
        <f>+MATCH(D2914,ARTICULOS!$F$10:$F$699,0)</f>
        <v>#N/A</v>
      </c>
      <c r="C2914" s="86" t="e">
        <f>+VLOOKUP(B2914,ARTICULOS!$D$10:$I$699,6)</f>
        <v>#N/A</v>
      </c>
      <c r="D2914" s="212"/>
      <c r="E2914" s="75" t="e">
        <f t="shared" si="94"/>
        <v>#N/A</v>
      </c>
      <c r="F2914" s="80"/>
      <c r="G2914" s="81"/>
      <c r="H2914" s="78"/>
      <c r="I2914" s="78"/>
      <c r="J2914" s="78"/>
    </row>
    <row r="2915" spans="1:10" x14ac:dyDescent="0.2">
      <c r="A2915" s="84">
        <f t="shared" si="93"/>
        <v>2909</v>
      </c>
      <c r="B2915" s="85" t="e">
        <f>+MATCH(D2915,ARTICULOS!$F$10:$F$699,0)</f>
        <v>#N/A</v>
      </c>
      <c r="C2915" s="86" t="e">
        <f>+VLOOKUP(B2915,ARTICULOS!$D$10:$I$699,6)</f>
        <v>#N/A</v>
      </c>
      <c r="D2915" s="212"/>
      <c r="E2915" s="75" t="e">
        <f t="shared" si="94"/>
        <v>#N/A</v>
      </c>
      <c r="F2915" s="80"/>
      <c r="G2915" s="81"/>
      <c r="H2915" s="78"/>
      <c r="I2915" s="78"/>
      <c r="J2915" s="78"/>
    </row>
    <row r="2916" spans="1:10" x14ac:dyDescent="0.2">
      <c r="A2916" s="84">
        <f t="shared" si="93"/>
        <v>2910</v>
      </c>
      <c r="B2916" s="85" t="e">
        <f>+MATCH(D2916,ARTICULOS!$F$10:$F$699,0)</f>
        <v>#N/A</v>
      </c>
      <c r="C2916" s="86" t="e">
        <f>+VLOOKUP(B2916,ARTICULOS!$D$10:$I$699,6)</f>
        <v>#N/A</v>
      </c>
      <c r="D2916" s="212"/>
      <c r="E2916" s="75" t="e">
        <f t="shared" si="94"/>
        <v>#N/A</v>
      </c>
      <c r="F2916" s="80"/>
      <c r="G2916" s="81"/>
      <c r="H2916" s="78"/>
      <c r="I2916" s="78"/>
      <c r="J2916" s="78"/>
    </row>
    <row r="2917" spans="1:10" x14ac:dyDescent="0.2">
      <c r="A2917" s="84">
        <f t="shared" si="93"/>
        <v>2911</v>
      </c>
      <c r="B2917" s="85" t="e">
        <f>+MATCH(D2917,ARTICULOS!$F$10:$F$699,0)</f>
        <v>#N/A</v>
      </c>
      <c r="C2917" s="86" t="e">
        <f>+VLOOKUP(B2917,ARTICULOS!$D$10:$I$699,6)</f>
        <v>#N/A</v>
      </c>
      <c r="D2917" s="212"/>
      <c r="E2917" s="75" t="e">
        <f t="shared" si="94"/>
        <v>#N/A</v>
      </c>
      <c r="F2917" s="80"/>
      <c r="G2917" s="81"/>
      <c r="H2917" s="78"/>
      <c r="I2917" s="78"/>
      <c r="J2917" s="78"/>
    </row>
    <row r="2918" spans="1:10" x14ac:dyDescent="0.2">
      <c r="A2918" s="84">
        <f t="shared" si="93"/>
        <v>2912</v>
      </c>
      <c r="B2918" s="85" t="e">
        <f>+MATCH(D2918,ARTICULOS!$F$10:$F$699,0)</f>
        <v>#N/A</v>
      </c>
      <c r="C2918" s="86" t="e">
        <f>+VLOOKUP(B2918,ARTICULOS!$D$10:$I$699,6)</f>
        <v>#N/A</v>
      </c>
      <c r="D2918" s="212"/>
      <c r="E2918" s="75" t="e">
        <f t="shared" si="94"/>
        <v>#N/A</v>
      </c>
      <c r="F2918" s="80"/>
      <c r="G2918" s="81"/>
      <c r="H2918" s="78"/>
      <c r="I2918" s="78"/>
      <c r="J2918" s="78"/>
    </row>
    <row r="2919" spans="1:10" x14ac:dyDescent="0.2">
      <c r="A2919" s="84">
        <f t="shared" si="93"/>
        <v>2913</v>
      </c>
      <c r="B2919" s="85" t="e">
        <f>+MATCH(D2919,ARTICULOS!$F$10:$F$699,0)</f>
        <v>#N/A</v>
      </c>
      <c r="C2919" s="86" t="e">
        <f>+VLOOKUP(B2919,ARTICULOS!$D$10:$I$699,6)</f>
        <v>#N/A</v>
      </c>
      <c r="D2919" s="212"/>
      <c r="E2919" s="75" t="e">
        <f t="shared" si="94"/>
        <v>#N/A</v>
      </c>
      <c r="F2919" s="80"/>
      <c r="G2919" s="81"/>
      <c r="H2919" s="78"/>
      <c r="I2919" s="78"/>
      <c r="J2919" s="78"/>
    </row>
    <row r="2920" spans="1:10" x14ac:dyDescent="0.2">
      <c r="A2920" s="84">
        <f t="shared" si="93"/>
        <v>2914</v>
      </c>
      <c r="B2920" s="85" t="e">
        <f>+MATCH(D2920,ARTICULOS!$F$10:$F$699,0)</f>
        <v>#N/A</v>
      </c>
      <c r="C2920" s="86" t="e">
        <f>+VLOOKUP(B2920,ARTICULOS!$D$10:$I$699,6)</f>
        <v>#N/A</v>
      </c>
      <c r="D2920" s="212"/>
      <c r="E2920" s="75" t="e">
        <f t="shared" si="94"/>
        <v>#N/A</v>
      </c>
      <c r="F2920" s="80"/>
      <c r="G2920" s="81"/>
      <c r="H2920" s="78"/>
      <c r="I2920" s="78"/>
      <c r="J2920" s="78"/>
    </row>
    <row r="2921" spans="1:10" x14ac:dyDescent="0.2">
      <c r="A2921" s="84">
        <f t="shared" ref="A2921:A2984" si="95">ROW()-6</f>
        <v>2915</v>
      </c>
      <c r="B2921" s="85" t="e">
        <f>+MATCH(D2921,ARTICULOS!$F$10:$F$699,0)</f>
        <v>#N/A</v>
      </c>
      <c r="C2921" s="86" t="e">
        <f>+VLOOKUP(B2921,ARTICULOS!$D$10:$I$699,6)</f>
        <v>#N/A</v>
      </c>
      <c r="D2921" s="212"/>
      <c r="E2921" s="75" t="e">
        <f t="shared" si="94"/>
        <v>#N/A</v>
      </c>
      <c r="F2921" s="80"/>
      <c r="G2921" s="81"/>
      <c r="H2921" s="78"/>
      <c r="I2921" s="78"/>
      <c r="J2921" s="78"/>
    </row>
    <row r="2922" spans="1:10" x14ac:dyDescent="0.2">
      <c r="A2922" s="84">
        <f t="shared" si="95"/>
        <v>2916</v>
      </c>
      <c r="B2922" s="85" t="e">
        <f>+MATCH(D2922,ARTICULOS!$F$10:$F$699,0)</f>
        <v>#N/A</v>
      </c>
      <c r="C2922" s="86" t="e">
        <f>+VLOOKUP(B2922,ARTICULOS!$D$10:$I$699,6)</f>
        <v>#N/A</v>
      </c>
      <c r="D2922" s="212"/>
      <c r="E2922" s="75" t="e">
        <f t="shared" si="94"/>
        <v>#N/A</v>
      </c>
      <c r="F2922" s="80"/>
      <c r="G2922" s="81"/>
      <c r="H2922" s="78"/>
      <c r="I2922" s="78"/>
      <c r="J2922" s="78"/>
    </row>
    <row r="2923" spans="1:10" x14ac:dyDescent="0.2">
      <c r="A2923" s="84">
        <f t="shared" si="95"/>
        <v>2917</v>
      </c>
      <c r="B2923" s="85" t="e">
        <f>+MATCH(D2923,ARTICULOS!$F$10:$F$699,0)</f>
        <v>#N/A</v>
      </c>
      <c r="C2923" s="86" t="e">
        <f>+VLOOKUP(B2923,ARTICULOS!$D$10:$I$699,6)</f>
        <v>#N/A</v>
      </c>
      <c r="D2923" s="212"/>
      <c r="E2923" s="75" t="e">
        <f t="shared" si="94"/>
        <v>#N/A</v>
      </c>
      <c r="F2923" s="80"/>
      <c r="G2923" s="81"/>
      <c r="H2923" s="78"/>
      <c r="I2923" s="78"/>
      <c r="J2923" s="78"/>
    </row>
    <row r="2924" spans="1:10" x14ac:dyDescent="0.2">
      <c r="A2924" s="84">
        <f t="shared" si="95"/>
        <v>2918</v>
      </c>
      <c r="B2924" s="85" t="e">
        <f>+MATCH(D2924,ARTICULOS!$F$10:$F$699,0)</f>
        <v>#N/A</v>
      </c>
      <c r="C2924" s="86" t="e">
        <f>+VLOOKUP(B2924,ARTICULOS!$D$10:$I$699,6)</f>
        <v>#N/A</v>
      </c>
      <c r="D2924" s="212"/>
      <c r="E2924" s="75" t="e">
        <f t="shared" si="94"/>
        <v>#N/A</v>
      </c>
      <c r="F2924" s="80"/>
      <c r="G2924" s="81"/>
      <c r="H2924" s="78"/>
      <c r="I2924" s="78"/>
      <c r="J2924" s="78"/>
    </row>
    <row r="2925" spans="1:10" x14ac:dyDescent="0.2">
      <c r="A2925" s="84">
        <f t="shared" si="95"/>
        <v>2919</v>
      </c>
      <c r="B2925" s="85" t="e">
        <f>+MATCH(D2925,ARTICULOS!$F$10:$F$699,0)</f>
        <v>#N/A</v>
      </c>
      <c r="C2925" s="86" t="e">
        <f>+VLOOKUP(B2925,ARTICULOS!$D$10:$I$699,6)</f>
        <v>#N/A</v>
      </c>
      <c r="D2925" s="212"/>
      <c r="E2925" s="75" t="e">
        <f t="shared" si="94"/>
        <v>#N/A</v>
      </c>
      <c r="F2925" s="80"/>
      <c r="G2925" s="81"/>
      <c r="H2925" s="78"/>
      <c r="I2925" s="78"/>
      <c r="J2925" s="78"/>
    </row>
    <row r="2926" spans="1:10" x14ac:dyDescent="0.2">
      <c r="A2926" s="84">
        <f t="shared" si="95"/>
        <v>2920</v>
      </c>
      <c r="B2926" s="85" t="e">
        <f>+MATCH(D2926,ARTICULOS!$F$10:$F$699,0)</f>
        <v>#N/A</v>
      </c>
      <c r="C2926" s="86" t="e">
        <f>+VLOOKUP(B2926,ARTICULOS!$D$10:$I$699,6)</f>
        <v>#N/A</v>
      </c>
      <c r="D2926" s="212"/>
      <c r="E2926" s="75" t="e">
        <f t="shared" si="94"/>
        <v>#N/A</v>
      </c>
      <c r="F2926" s="80"/>
      <c r="G2926" s="81"/>
      <c r="H2926" s="78"/>
      <c r="I2926" s="78"/>
      <c r="J2926" s="78"/>
    </row>
    <row r="2927" spans="1:10" x14ac:dyDescent="0.2">
      <c r="A2927" s="84">
        <f t="shared" si="95"/>
        <v>2921</v>
      </c>
      <c r="B2927" s="85" t="e">
        <f>+MATCH(D2927,ARTICULOS!$F$10:$F$699,0)</f>
        <v>#N/A</v>
      </c>
      <c r="C2927" s="86" t="e">
        <f>+VLOOKUP(B2927,ARTICULOS!$D$10:$I$699,6)</f>
        <v>#N/A</v>
      </c>
      <c r="D2927" s="212"/>
      <c r="E2927" s="75" t="e">
        <f t="shared" si="94"/>
        <v>#N/A</v>
      </c>
      <c r="F2927" s="80"/>
      <c r="G2927" s="81"/>
      <c r="H2927" s="78"/>
      <c r="I2927" s="78"/>
      <c r="J2927" s="78"/>
    </row>
    <row r="2928" spans="1:10" x14ac:dyDescent="0.2">
      <c r="A2928" s="84">
        <f t="shared" si="95"/>
        <v>2922</v>
      </c>
      <c r="B2928" s="85" t="e">
        <f>+MATCH(D2928,ARTICULOS!$F$10:$F$699,0)</f>
        <v>#N/A</v>
      </c>
      <c r="C2928" s="86" t="e">
        <f>+VLOOKUP(B2928,ARTICULOS!$D$10:$I$699,6)</f>
        <v>#N/A</v>
      </c>
      <c r="D2928" s="212"/>
      <c r="E2928" s="75" t="e">
        <f t="shared" si="94"/>
        <v>#N/A</v>
      </c>
      <c r="F2928" s="80"/>
      <c r="G2928" s="81"/>
      <c r="H2928" s="78"/>
      <c r="I2928" s="78"/>
      <c r="J2928" s="78"/>
    </row>
    <row r="2929" spans="1:10" x14ac:dyDescent="0.2">
      <c r="A2929" s="84">
        <f t="shared" si="95"/>
        <v>2923</v>
      </c>
      <c r="B2929" s="85" t="e">
        <f>+MATCH(D2929,ARTICULOS!$F$10:$F$699,0)</f>
        <v>#N/A</v>
      </c>
      <c r="C2929" s="86" t="e">
        <f>+VLOOKUP(B2929,ARTICULOS!$D$10:$I$699,6)</f>
        <v>#N/A</v>
      </c>
      <c r="D2929" s="212"/>
      <c r="E2929" s="75" t="e">
        <f t="shared" si="94"/>
        <v>#N/A</v>
      </c>
      <c r="F2929" s="80"/>
      <c r="G2929" s="81"/>
      <c r="H2929" s="78"/>
      <c r="I2929" s="78"/>
      <c r="J2929" s="78"/>
    </row>
    <row r="2930" spans="1:10" x14ac:dyDescent="0.2">
      <c r="A2930" s="84">
        <f t="shared" si="95"/>
        <v>2924</v>
      </c>
      <c r="B2930" s="85" t="e">
        <f>+MATCH(D2930,ARTICULOS!$F$10:$F$699,0)</f>
        <v>#N/A</v>
      </c>
      <c r="C2930" s="86" t="e">
        <f>+VLOOKUP(B2930,ARTICULOS!$D$10:$I$699,6)</f>
        <v>#N/A</v>
      </c>
      <c r="D2930" s="212"/>
      <c r="E2930" s="75" t="e">
        <f t="shared" si="94"/>
        <v>#N/A</v>
      </c>
      <c r="F2930" s="80"/>
      <c r="G2930" s="81"/>
      <c r="H2930" s="78"/>
      <c r="I2930" s="78"/>
      <c r="J2930" s="78"/>
    </row>
    <row r="2931" spans="1:10" x14ac:dyDescent="0.2">
      <c r="A2931" s="84">
        <f t="shared" si="95"/>
        <v>2925</v>
      </c>
      <c r="B2931" s="85" t="e">
        <f>+MATCH(D2931,ARTICULOS!$F$10:$F$699,0)</f>
        <v>#N/A</v>
      </c>
      <c r="C2931" s="86" t="e">
        <f>+VLOOKUP(B2931,ARTICULOS!$D$10:$I$699,6)</f>
        <v>#N/A</v>
      </c>
      <c r="D2931" s="212"/>
      <c r="E2931" s="75" t="e">
        <f t="shared" si="94"/>
        <v>#N/A</v>
      </c>
      <c r="F2931" s="80"/>
      <c r="G2931" s="81"/>
      <c r="H2931" s="78"/>
      <c r="I2931" s="78"/>
      <c r="J2931" s="78"/>
    </row>
    <row r="2932" spans="1:10" x14ac:dyDescent="0.2">
      <c r="A2932" s="84">
        <f t="shared" si="95"/>
        <v>2926</v>
      </c>
      <c r="B2932" s="85" t="e">
        <f>+MATCH(D2932,ARTICULOS!$F$10:$F$699,0)</f>
        <v>#N/A</v>
      </c>
      <c r="C2932" s="86" t="e">
        <f>+VLOOKUP(B2932,ARTICULOS!$D$10:$I$699,6)</f>
        <v>#N/A</v>
      </c>
      <c r="D2932" s="212"/>
      <c r="E2932" s="75" t="e">
        <f t="shared" si="94"/>
        <v>#N/A</v>
      </c>
      <c r="F2932" s="80"/>
      <c r="G2932" s="81"/>
      <c r="H2932" s="78"/>
      <c r="I2932" s="78"/>
      <c r="J2932" s="78"/>
    </row>
    <row r="2933" spans="1:10" x14ac:dyDescent="0.2">
      <c r="A2933" s="84">
        <f t="shared" si="95"/>
        <v>2927</v>
      </c>
      <c r="B2933" s="85" t="e">
        <f>+MATCH(D2933,ARTICULOS!$F$10:$F$699,0)</f>
        <v>#N/A</v>
      </c>
      <c r="C2933" s="86" t="e">
        <f>+VLOOKUP(B2933,ARTICULOS!$D$10:$I$699,6)</f>
        <v>#N/A</v>
      </c>
      <c r="D2933" s="212"/>
      <c r="E2933" s="75" t="e">
        <f t="shared" si="94"/>
        <v>#N/A</v>
      </c>
      <c r="F2933" s="80"/>
      <c r="G2933" s="81"/>
      <c r="H2933" s="78"/>
      <c r="I2933" s="78"/>
      <c r="J2933" s="78"/>
    </row>
    <row r="2934" spans="1:10" x14ac:dyDescent="0.2">
      <c r="A2934" s="84">
        <f t="shared" si="95"/>
        <v>2928</v>
      </c>
      <c r="B2934" s="85" t="e">
        <f>+MATCH(D2934,ARTICULOS!$F$10:$F$699,0)</f>
        <v>#N/A</v>
      </c>
      <c r="C2934" s="86" t="e">
        <f>+VLOOKUP(B2934,ARTICULOS!$D$10:$I$699,6)</f>
        <v>#N/A</v>
      </c>
      <c r="D2934" s="212"/>
      <c r="E2934" s="75" t="e">
        <f t="shared" si="94"/>
        <v>#N/A</v>
      </c>
      <c r="F2934" s="80"/>
      <c r="G2934" s="81"/>
      <c r="H2934" s="78"/>
      <c r="I2934" s="78"/>
      <c r="J2934" s="78"/>
    </row>
    <row r="2935" spans="1:10" x14ac:dyDescent="0.2">
      <c r="A2935" s="84">
        <f t="shared" si="95"/>
        <v>2929</v>
      </c>
      <c r="B2935" s="85" t="e">
        <f>+MATCH(D2935,ARTICULOS!$F$10:$F$699,0)</f>
        <v>#N/A</v>
      </c>
      <c r="C2935" s="86" t="e">
        <f>+VLOOKUP(B2935,ARTICULOS!$D$10:$I$699,6)</f>
        <v>#N/A</v>
      </c>
      <c r="D2935" s="212"/>
      <c r="E2935" s="75" t="e">
        <f t="shared" si="94"/>
        <v>#N/A</v>
      </c>
      <c r="F2935" s="80"/>
      <c r="G2935" s="81"/>
      <c r="H2935" s="78"/>
      <c r="I2935" s="78"/>
      <c r="J2935" s="78"/>
    </row>
    <row r="2936" spans="1:10" x14ac:dyDescent="0.2">
      <c r="A2936" s="84">
        <f t="shared" si="95"/>
        <v>2930</v>
      </c>
      <c r="B2936" s="85" t="e">
        <f>+MATCH(D2936,ARTICULOS!$F$10:$F$699,0)</f>
        <v>#N/A</v>
      </c>
      <c r="C2936" s="86" t="e">
        <f>+VLOOKUP(B2936,ARTICULOS!$D$10:$I$699,6)</f>
        <v>#N/A</v>
      </c>
      <c r="D2936" s="212"/>
      <c r="E2936" s="75" t="e">
        <f t="shared" si="94"/>
        <v>#N/A</v>
      </c>
      <c r="F2936" s="80"/>
      <c r="G2936" s="81"/>
      <c r="H2936" s="78"/>
      <c r="I2936" s="78"/>
      <c r="J2936" s="78"/>
    </row>
    <row r="2937" spans="1:10" x14ac:dyDescent="0.2">
      <c r="A2937" s="84">
        <f t="shared" si="95"/>
        <v>2931</v>
      </c>
      <c r="B2937" s="85" t="e">
        <f>+MATCH(D2937,ARTICULOS!$F$10:$F$699,0)</f>
        <v>#N/A</v>
      </c>
      <c r="C2937" s="86" t="e">
        <f>+VLOOKUP(B2937,ARTICULOS!$D$10:$I$699,6)</f>
        <v>#N/A</v>
      </c>
      <c r="D2937" s="212"/>
      <c r="E2937" s="75" t="e">
        <f t="shared" si="94"/>
        <v>#N/A</v>
      </c>
      <c r="F2937" s="80"/>
      <c r="G2937" s="81"/>
      <c r="H2937" s="78"/>
      <c r="I2937" s="78"/>
      <c r="J2937" s="78"/>
    </row>
    <row r="2938" spans="1:10" x14ac:dyDescent="0.2">
      <c r="A2938" s="84">
        <f t="shared" si="95"/>
        <v>2932</v>
      </c>
      <c r="B2938" s="85" t="e">
        <f>+MATCH(D2938,ARTICULOS!$F$10:$F$699,0)</f>
        <v>#N/A</v>
      </c>
      <c r="C2938" s="86" t="e">
        <f>+VLOOKUP(B2938,ARTICULOS!$D$10:$I$699,6)</f>
        <v>#N/A</v>
      </c>
      <c r="D2938" s="212"/>
      <c r="E2938" s="75" t="e">
        <f t="shared" si="94"/>
        <v>#N/A</v>
      </c>
      <c r="F2938" s="80"/>
      <c r="G2938" s="81"/>
      <c r="H2938" s="78"/>
      <c r="I2938" s="78"/>
      <c r="J2938" s="78"/>
    </row>
    <row r="2939" spans="1:10" x14ac:dyDescent="0.2">
      <c r="A2939" s="84">
        <f t="shared" si="95"/>
        <v>2933</v>
      </c>
      <c r="B2939" s="85" t="e">
        <f>+MATCH(D2939,ARTICULOS!$F$10:$F$699,0)</f>
        <v>#N/A</v>
      </c>
      <c r="C2939" s="86" t="e">
        <f>+VLOOKUP(B2939,ARTICULOS!$D$10:$I$699,6)</f>
        <v>#N/A</v>
      </c>
      <c r="D2939" s="212"/>
      <c r="E2939" s="75" t="e">
        <f t="shared" si="94"/>
        <v>#N/A</v>
      </c>
      <c r="F2939" s="80"/>
      <c r="G2939" s="81"/>
      <c r="H2939" s="78"/>
      <c r="I2939" s="78"/>
      <c r="J2939" s="78"/>
    </row>
    <row r="2940" spans="1:10" x14ac:dyDescent="0.2">
      <c r="A2940" s="84">
        <f t="shared" si="95"/>
        <v>2934</v>
      </c>
      <c r="B2940" s="85" t="e">
        <f>+MATCH(D2940,ARTICULOS!$F$10:$F$699,0)</f>
        <v>#N/A</v>
      </c>
      <c r="C2940" s="86" t="e">
        <f>+VLOOKUP(B2940,ARTICULOS!$D$10:$I$699,6)</f>
        <v>#N/A</v>
      </c>
      <c r="D2940" s="212"/>
      <c r="E2940" s="75" t="e">
        <f t="shared" si="94"/>
        <v>#N/A</v>
      </c>
      <c r="F2940" s="80"/>
      <c r="G2940" s="81"/>
      <c r="H2940" s="78"/>
      <c r="I2940" s="78"/>
      <c r="J2940" s="78"/>
    </row>
    <row r="2941" spans="1:10" x14ac:dyDescent="0.2">
      <c r="A2941" s="84">
        <f t="shared" si="95"/>
        <v>2935</v>
      </c>
      <c r="B2941" s="85" t="e">
        <f>+MATCH(D2941,ARTICULOS!$F$10:$F$699,0)</f>
        <v>#N/A</v>
      </c>
      <c r="C2941" s="86" t="e">
        <f>+VLOOKUP(B2941,ARTICULOS!$D$10:$I$699,6)</f>
        <v>#N/A</v>
      </c>
      <c r="D2941" s="212"/>
      <c r="E2941" s="75" t="e">
        <f t="shared" si="94"/>
        <v>#N/A</v>
      </c>
      <c r="F2941" s="80"/>
      <c r="G2941" s="81"/>
      <c r="H2941" s="78"/>
      <c r="I2941" s="78"/>
      <c r="J2941" s="78"/>
    </row>
    <row r="2942" spans="1:10" x14ac:dyDescent="0.2">
      <c r="A2942" s="84">
        <f t="shared" si="95"/>
        <v>2936</v>
      </c>
      <c r="B2942" s="85" t="e">
        <f>+MATCH(D2942,ARTICULOS!$F$10:$F$699,0)</f>
        <v>#N/A</v>
      </c>
      <c r="C2942" s="86" t="e">
        <f>+VLOOKUP(B2942,ARTICULOS!$D$10:$I$699,6)</f>
        <v>#N/A</v>
      </c>
      <c r="D2942" s="212"/>
      <c r="E2942" s="75" t="e">
        <f t="shared" si="94"/>
        <v>#N/A</v>
      </c>
      <c r="F2942" s="80"/>
      <c r="G2942" s="81"/>
      <c r="H2942" s="78"/>
      <c r="I2942" s="78"/>
      <c r="J2942" s="78"/>
    </row>
    <row r="2943" spans="1:10" x14ac:dyDescent="0.2">
      <c r="A2943" s="84">
        <f t="shared" si="95"/>
        <v>2937</v>
      </c>
      <c r="B2943" s="85" t="e">
        <f>+MATCH(D2943,ARTICULOS!$F$10:$F$699,0)</f>
        <v>#N/A</v>
      </c>
      <c r="C2943" s="86" t="e">
        <f>+VLOOKUP(B2943,ARTICULOS!$D$10:$I$699,6)</f>
        <v>#N/A</v>
      </c>
      <c r="D2943" s="212"/>
      <c r="E2943" s="75" t="e">
        <f t="shared" si="94"/>
        <v>#N/A</v>
      </c>
      <c r="F2943" s="80"/>
      <c r="G2943" s="81"/>
      <c r="H2943" s="78"/>
      <c r="I2943" s="78"/>
      <c r="J2943" s="78"/>
    </row>
    <row r="2944" spans="1:10" x14ac:dyDescent="0.2">
      <c r="A2944" s="84">
        <f t="shared" si="95"/>
        <v>2938</v>
      </c>
      <c r="B2944" s="85" t="e">
        <f>+MATCH(D2944,ARTICULOS!$F$10:$F$699,0)</f>
        <v>#N/A</v>
      </c>
      <c r="C2944" s="86" t="e">
        <f>+VLOOKUP(B2944,ARTICULOS!$D$10:$I$699,6)</f>
        <v>#N/A</v>
      </c>
      <c r="D2944" s="212"/>
      <c r="E2944" s="75" t="e">
        <f t="shared" si="94"/>
        <v>#N/A</v>
      </c>
      <c r="F2944" s="80"/>
      <c r="G2944" s="81"/>
      <c r="H2944" s="78"/>
      <c r="I2944" s="78"/>
      <c r="J2944" s="78"/>
    </row>
    <row r="2945" spans="1:10" x14ac:dyDescent="0.2">
      <c r="A2945" s="84">
        <f t="shared" si="95"/>
        <v>2939</v>
      </c>
      <c r="B2945" s="85" t="e">
        <f>+MATCH(D2945,ARTICULOS!$F$10:$F$699,0)</f>
        <v>#N/A</v>
      </c>
      <c r="C2945" s="86" t="e">
        <f>+VLOOKUP(B2945,ARTICULOS!$D$10:$I$699,6)</f>
        <v>#N/A</v>
      </c>
      <c r="D2945" s="212"/>
      <c r="E2945" s="75" t="e">
        <f t="shared" si="94"/>
        <v>#N/A</v>
      </c>
      <c r="F2945" s="80"/>
      <c r="G2945" s="81"/>
      <c r="H2945" s="78"/>
      <c r="I2945" s="78"/>
      <c r="J2945" s="78"/>
    </row>
    <row r="2946" spans="1:10" x14ac:dyDescent="0.2">
      <c r="A2946" s="84">
        <f t="shared" si="95"/>
        <v>2940</v>
      </c>
      <c r="B2946" s="85" t="e">
        <f>+MATCH(D2946,ARTICULOS!$F$10:$F$699,0)</f>
        <v>#N/A</v>
      </c>
      <c r="C2946" s="86" t="e">
        <f>+VLOOKUP(B2946,ARTICULOS!$D$10:$I$699,6)</f>
        <v>#N/A</v>
      </c>
      <c r="D2946" s="212"/>
      <c r="E2946" s="75" t="e">
        <f t="shared" si="94"/>
        <v>#N/A</v>
      </c>
      <c r="F2946" s="80"/>
      <c r="G2946" s="81"/>
      <c r="H2946" s="78"/>
      <c r="I2946" s="78"/>
      <c r="J2946" s="78"/>
    </row>
    <row r="2947" spans="1:10" x14ac:dyDescent="0.2">
      <c r="A2947" s="84">
        <f t="shared" si="95"/>
        <v>2941</v>
      </c>
      <c r="B2947" s="85" t="e">
        <f>+MATCH(D2947,ARTICULOS!$F$10:$F$699,0)</f>
        <v>#N/A</v>
      </c>
      <c r="C2947" s="86" t="e">
        <f>+VLOOKUP(B2947,ARTICULOS!$D$10:$I$699,6)</f>
        <v>#N/A</v>
      </c>
      <c r="D2947" s="212"/>
      <c r="E2947" s="75" t="e">
        <f t="shared" si="94"/>
        <v>#N/A</v>
      </c>
      <c r="F2947" s="80"/>
      <c r="G2947" s="81"/>
      <c r="H2947" s="78"/>
      <c r="I2947" s="78"/>
      <c r="J2947" s="78"/>
    </row>
    <row r="2948" spans="1:10" x14ac:dyDescent="0.2">
      <c r="A2948" s="84">
        <f t="shared" si="95"/>
        <v>2942</v>
      </c>
      <c r="B2948" s="85" t="e">
        <f>+MATCH(D2948,ARTICULOS!$F$10:$F$699,0)</f>
        <v>#N/A</v>
      </c>
      <c r="C2948" s="86" t="e">
        <f>+VLOOKUP(B2948,ARTICULOS!$D$10:$I$699,6)</f>
        <v>#N/A</v>
      </c>
      <c r="D2948" s="212"/>
      <c r="E2948" s="75" t="e">
        <f t="shared" si="94"/>
        <v>#N/A</v>
      </c>
      <c r="F2948" s="80"/>
      <c r="G2948" s="81"/>
      <c r="H2948" s="78"/>
      <c r="I2948" s="78"/>
      <c r="J2948" s="78"/>
    </row>
    <row r="2949" spans="1:10" x14ac:dyDescent="0.2">
      <c r="A2949" s="84">
        <f t="shared" si="95"/>
        <v>2943</v>
      </c>
      <c r="B2949" s="85" t="e">
        <f>+MATCH(D2949,ARTICULOS!$F$10:$F$699,0)</f>
        <v>#N/A</v>
      </c>
      <c r="C2949" s="86" t="e">
        <f>+VLOOKUP(B2949,ARTICULOS!$D$10:$I$699,6)</f>
        <v>#N/A</v>
      </c>
      <c r="D2949" s="212"/>
      <c r="E2949" s="75" t="e">
        <f t="shared" si="94"/>
        <v>#N/A</v>
      </c>
      <c r="F2949" s="80"/>
      <c r="G2949" s="81"/>
      <c r="H2949" s="78"/>
      <c r="I2949" s="78"/>
      <c r="J2949" s="78"/>
    </row>
    <row r="2950" spans="1:10" x14ac:dyDescent="0.2">
      <c r="A2950" s="84">
        <f t="shared" si="95"/>
        <v>2944</v>
      </c>
      <c r="B2950" s="85" t="e">
        <f>+MATCH(D2950,ARTICULOS!$F$10:$F$699,0)</f>
        <v>#N/A</v>
      </c>
      <c r="C2950" s="86" t="e">
        <f>+VLOOKUP(B2950,ARTICULOS!$D$10:$I$699,6)</f>
        <v>#N/A</v>
      </c>
      <c r="D2950" s="212"/>
      <c r="E2950" s="75" t="e">
        <f t="shared" si="94"/>
        <v>#N/A</v>
      </c>
      <c r="F2950" s="80"/>
      <c r="G2950" s="81"/>
      <c r="H2950" s="78"/>
      <c r="I2950" s="78"/>
      <c r="J2950" s="78"/>
    </row>
    <row r="2951" spans="1:10" x14ac:dyDescent="0.2">
      <c r="A2951" s="84">
        <f t="shared" si="95"/>
        <v>2945</v>
      </c>
      <c r="B2951" s="85" t="e">
        <f>+MATCH(D2951,ARTICULOS!$F$10:$F$699,0)</f>
        <v>#N/A</v>
      </c>
      <c r="C2951" s="86" t="e">
        <f>+VLOOKUP(B2951,ARTICULOS!$D$10:$I$699,6)</f>
        <v>#N/A</v>
      </c>
      <c r="D2951" s="212"/>
      <c r="E2951" s="75" t="e">
        <f t="shared" si="94"/>
        <v>#N/A</v>
      </c>
      <c r="F2951" s="80"/>
      <c r="G2951" s="81"/>
      <c r="H2951" s="78"/>
      <c r="I2951" s="78"/>
      <c r="J2951" s="78"/>
    </row>
    <row r="2952" spans="1:10" x14ac:dyDescent="0.2">
      <c r="A2952" s="84">
        <f t="shared" si="95"/>
        <v>2946</v>
      </c>
      <c r="B2952" s="85" t="e">
        <f>+MATCH(D2952,ARTICULOS!$F$10:$F$699,0)</f>
        <v>#N/A</v>
      </c>
      <c r="C2952" s="86" t="e">
        <f>+VLOOKUP(B2952,ARTICULOS!$D$10:$I$699,6)</f>
        <v>#N/A</v>
      </c>
      <c r="D2952" s="212"/>
      <c r="E2952" s="75" t="e">
        <f t="shared" si="94"/>
        <v>#N/A</v>
      </c>
      <c r="F2952" s="80"/>
      <c r="G2952" s="81"/>
      <c r="H2952" s="78"/>
      <c r="I2952" s="78"/>
      <c r="J2952" s="78"/>
    </row>
    <row r="2953" spans="1:10" x14ac:dyDescent="0.2">
      <c r="A2953" s="84">
        <f t="shared" si="95"/>
        <v>2947</v>
      </c>
      <c r="B2953" s="85" t="e">
        <f>+MATCH(D2953,ARTICULOS!$F$10:$F$699,0)</f>
        <v>#N/A</v>
      </c>
      <c r="C2953" s="86" t="e">
        <f>+VLOOKUP(B2953,ARTICULOS!$D$10:$I$699,6)</f>
        <v>#N/A</v>
      </c>
      <c r="D2953" s="212"/>
      <c r="E2953" s="75" t="e">
        <f t="shared" si="94"/>
        <v>#N/A</v>
      </c>
      <c r="F2953" s="80"/>
      <c r="G2953" s="81"/>
      <c r="H2953" s="78"/>
      <c r="I2953" s="78"/>
      <c r="J2953" s="78"/>
    </row>
    <row r="2954" spans="1:10" x14ac:dyDescent="0.2">
      <c r="A2954" s="84">
        <f t="shared" si="95"/>
        <v>2948</v>
      </c>
      <c r="B2954" s="85" t="e">
        <f>+MATCH(D2954,ARTICULOS!$F$10:$F$699,0)</f>
        <v>#N/A</v>
      </c>
      <c r="C2954" s="86" t="e">
        <f>+VLOOKUP(B2954,ARTICULOS!$D$10:$I$699,6)</f>
        <v>#N/A</v>
      </c>
      <c r="D2954" s="212"/>
      <c r="E2954" s="75" t="e">
        <f t="shared" si="94"/>
        <v>#N/A</v>
      </c>
      <c r="F2954" s="80"/>
      <c r="G2954" s="81"/>
      <c r="H2954" s="78"/>
      <c r="I2954" s="78"/>
      <c r="J2954" s="78"/>
    </row>
    <row r="2955" spans="1:10" x14ac:dyDescent="0.2">
      <c r="A2955" s="84">
        <f t="shared" si="95"/>
        <v>2949</v>
      </c>
      <c r="B2955" s="85" t="e">
        <f>+MATCH(D2955,ARTICULOS!$F$10:$F$699,0)</f>
        <v>#N/A</v>
      </c>
      <c r="C2955" s="86" t="e">
        <f>+VLOOKUP(B2955,ARTICULOS!$D$10:$I$699,6)</f>
        <v>#N/A</v>
      </c>
      <c r="D2955" s="212"/>
      <c r="E2955" s="75" t="e">
        <f t="shared" ref="E2955:E3018" si="96">+C2955&amp;F2955</f>
        <v>#N/A</v>
      </c>
      <c r="F2955" s="80"/>
      <c r="G2955" s="81"/>
      <c r="H2955" s="78"/>
      <c r="I2955" s="78"/>
      <c r="J2955" s="78"/>
    </row>
    <row r="2956" spans="1:10" x14ac:dyDescent="0.2">
      <c r="A2956" s="84">
        <f t="shared" si="95"/>
        <v>2950</v>
      </c>
      <c r="B2956" s="85" t="e">
        <f>+MATCH(D2956,ARTICULOS!$F$10:$F$699,0)</f>
        <v>#N/A</v>
      </c>
      <c r="C2956" s="86" t="e">
        <f>+VLOOKUP(B2956,ARTICULOS!$D$10:$I$699,6)</f>
        <v>#N/A</v>
      </c>
      <c r="D2956" s="212"/>
      <c r="E2956" s="75" t="e">
        <f t="shared" si="96"/>
        <v>#N/A</v>
      </c>
      <c r="F2956" s="80"/>
      <c r="G2956" s="81"/>
      <c r="H2956" s="78"/>
      <c r="I2956" s="78"/>
      <c r="J2956" s="78"/>
    </row>
    <row r="2957" spans="1:10" x14ac:dyDescent="0.2">
      <c r="A2957" s="84">
        <f t="shared" si="95"/>
        <v>2951</v>
      </c>
      <c r="B2957" s="85" t="e">
        <f>+MATCH(D2957,ARTICULOS!$F$10:$F$699,0)</f>
        <v>#N/A</v>
      </c>
      <c r="C2957" s="86" t="e">
        <f>+VLOOKUP(B2957,ARTICULOS!$D$10:$I$699,6)</f>
        <v>#N/A</v>
      </c>
      <c r="D2957" s="212"/>
      <c r="E2957" s="75" t="e">
        <f t="shared" si="96"/>
        <v>#N/A</v>
      </c>
      <c r="F2957" s="80"/>
      <c r="G2957" s="81"/>
      <c r="H2957" s="78"/>
      <c r="I2957" s="78"/>
      <c r="J2957" s="78"/>
    </row>
    <row r="2958" spans="1:10" x14ac:dyDescent="0.2">
      <c r="A2958" s="84">
        <f t="shared" si="95"/>
        <v>2952</v>
      </c>
      <c r="B2958" s="85" t="e">
        <f>+MATCH(D2958,ARTICULOS!$F$10:$F$699,0)</f>
        <v>#N/A</v>
      </c>
      <c r="C2958" s="86" t="e">
        <f>+VLOOKUP(B2958,ARTICULOS!$D$10:$I$699,6)</f>
        <v>#N/A</v>
      </c>
      <c r="D2958" s="212"/>
      <c r="E2958" s="75" t="e">
        <f t="shared" si="96"/>
        <v>#N/A</v>
      </c>
      <c r="F2958" s="80"/>
      <c r="G2958" s="81"/>
      <c r="H2958" s="78"/>
      <c r="I2958" s="78"/>
      <c r="J2958" s="78"/>
    </row>
    <row r="2959" spans="1:10" x14ac:dyDescent="0.2">
      <c r="A2959" s="84">
        <f t="shared" si="95"/>
        <v>2953</v>
      </c>
      <c r="B2959" s="85" t="e">
        <f>+MATCH(D2959,ARTICULOS!$F$10:$F$699,0)</f>
        <v>#N/A</v>
      </c>
      <c r="C2959" s="86" t="e">
        <f>+VLOOKUP(B2959,ARTICULOS!$D$10:$I$699,6)</f>
        <v>#N/A</v>
      </c>
      <c r="D2959" s="212"/>
      <c r="E2959" s="75" t="e">
        <f t="shared" si="96"/>
        <v>#N/A</v>
      </c>
      <c r="F2959" s="80"/>
      <c r="G2959" s="81"/>
      <c r="H2959" s="78"/>
      <c r="I2959" s="78"/>
      <c r="J2959" s="78"/>
    </row>
    <row r="2960" spans="1:10" x14ac:dyDescent="0.2">
      <c r="A2960" s="84">
        <f t="shared" si="95"/>
        <v>2954</v>
      </c>
      <c r="B2960" s="85" t="e">
        <f>+MATCH(D2960,ARTICULOS!$F$10:$F$699,0)</f>
        <v>#N/A</v>
      </c>
      <c r="C2960" s="86" t="e">
        <f>+VLOOKUP(B2960,ARTICULOS!$D$10:$I$699,6)</f>
        <v>#N/A</v>
      </c>
      <c r="D2960" s="212"/>
      <c r="E2960" s="75" t="e">
        <f t="shared" si="96"/>
        <v>#N/A</v>
      </c>
      <c r="F2960" s="80"/>
      <c r="G2960" s="81"/>
      <c r="H2960" s="78"/>
      <c r="I2960" s="78"/>
      <c r="J2960" s="78"/>
    </row>
    <row r="2961" spans="1:10" x14ac:dyDescent="0.2">
      <c r="A2961" s="84">
        <f t="shared" si="95"/>
        <v>2955</v>
      </c>
      <c r="B2961" s="85" t="e">
        <f>+MATCH(D2961,ARTICULOS!$F$10:$F$699,0)</f>
        <v>#N/A</v>
      </c>
      <c r="C2961" s="86" t="e">
        <f>+VLOOKUP(B2961,ARTICULOS!$D$10:$I$699,6)</f>
        <v>#N/A</v>
      </c>
      <c r="D2961" s="212"/>
      <c r="E2961" s="75" t="e">
        <f t="shared" si="96"/>
        <v>#N/A</v>
      </c>
      <c r="F2961" s="80"/>
      <c r="G2961" s="81"/>
      <c r="H2961" s="78"/>
      <c r="I2961" s="78"/>
      <c r="J2961" s="78"/>
    </row>
    <row r="2962" spans="1:10" x14ac:dyDescent="0.2">
      <c r="A2962" s="84">
        <f t="shared" si="95"/>
        <v>2956</v>
      </c>
      <c r="B2962" s="85" t="e">
        <f>+MATCH(D2962,ARTICULOS!$F$10:$F$699,0)</f>
        <v>#N/A</v>
      </c>
      <c r="C2962" s="86" t="e">
        <f>+VLOOKUP(B2962,ARTICULOS!$D$10:$I$699,6)</f>
        <v>#N/A</v>
      </c>
      <c r="D2962" s="212"/>
      <c r="E2962" s="75" t="e">
        <f t="shared" si="96"/>
        <v>#N/A</v>
      </c>
      <c r="F2962" s="80"/>
      <c r="G2962" s="81"/>
      <c r="H2962" s="78"/>
      <c r="I2962" s="78"/>
      <c r="J2962" s="78"/>
    </row>
    <row r="2963" spans="1:10" x14ac:dyDescent="0.2">
      <c r="A2963" s="84">
        <f t="shared" si="95"/>
        <v>2957</v>
      </c>
      <c r="B2963" s="85" t="e">
        <f>+MATCH(D2963,ARTICULOS!$F$10:$F$699,0)</f>
        <v>#N/A</v>
      </c>
      <c r="C2963" s="86" t="e">
        <f>+VLOOKUP(B2963,ARTICULOS!$D$10:$I$699,6)</f>
        <v>#N/A</v>
      </c>
      <c r="D2963" s="212"/>
      <c r="E2963" s="75" t="e">
        <f t="shared" si="96"/>
        <v>#N/A</v>
      </c>
      <c r="F2963" s="80"/>
      <c r="G2963" s="81"/>
      <c r="H2963" s="78"/>
      <c r="I2963" s="78"/>
      <c r="J2963" s="78"/>
    </row>
    <row r="2964" spans="1:10" x14ac:dyDescent="0.2">
      <c r="A2964" s="84">
        <f t="shared" si="95"/>
        <v>2958</v>
      </c>
      <c r="B2964" s="85" t="e">
        <f>+MATCH(D2964,ARTICULOS!$F$10:$F$699,0)</f>
        <v>#N/A</v>
      </c>
      <c r="C2964" s="86" t="e">
        <f>+VLOOKUP(B2964,ARTICULOS!$D$10:$I$699,6)</f>
        <v>#N/A</v>
      </c>
      <c r="D2964" s="212"/>
      <c r="E2964" s="75" t="e">
        <f t="shared" si="96"/>
        <v>#N/A</v>
      </c>
      <c r="F2964" s="80"/>
      <c r="G2964" s="81"/>
      <c r="H2964" s="78"/>
      <c r="I2964" s="78"/>
      <c r="J2964" s="78"/>
    </row>
    <row r="2965" spans="1:10" x14ac:dyDescent="0.2">
      <c r="A2965" s="84">
        <f t="shared" si="95"/>
        <v>2959</v>
      </c>
      <c r="B2965" s="85" t="e">
        <f>+MATCH(D2965,ARTICULOS!$F$10:$F$699,0)</f>
        <v>#N/A</v>
      </c>
      <c r="C2965" s="86" t="e">
        <f>+VLOOKUP(B2965,ARTICULOS!$D$10:$I$699,6)</f>
        <v>#N/A</v>
      </c>
      <c r="D2965" s="212"/>
      <c r="E2965" s="75" t="e">
        <f t="shared" si="96"/>
        <v>#N/A</v>
      </c>
      <c r="F2965" s="80"/>
      <c r="G2965" s="81"/>
      <c r="H2965" s="78"/>
      <c r="I2965" s="78"/>
      <c r="J2965" s="78"/>
    </row>
    <row r="2966" spans="1:10" x14ac:dyDescent="0.2">
      <c r="A2966" s="84">
        <f t="shared" si="95"/>
        <v>2960</v>
      </c>
      <c r="B2966" s="85" t="e">
        <f>+MATCH(D2966,ARTICULOS!$F$10:$F$699,0)</f>
        <v>#N/A</v>
      </c>
      <c r="C2966" s="86" t="e">
        <f>+VLOOKUP(B2966,ARTICULOS!$D$10:$I$699,6)</f>
        <v>#N/A</v>
      </c>
      <c r="D2966" s="212"/>
      <c r="E2966" s="75" t="e">
        <f t="shared" si="96"/>
        <v>#N/A</v>
      </c>
      <c r="F2966" s="80"/>
      <c r="G2966" s="81"/>
      <c r="H2966" s="78"/>
      <c r="I2966" s="78"/>
      <c r="J2966" s="78"/>
    </row>
    <row r="2967" spans="1:10" x14ac:dyDescent="0.2">
      <c r="A2967" s="84">
        <f t="shared" si="95"/>
        <v>2961</v>
      </c>
      <c r="B2967" s="85" t="e">
        <f>+MATCH(D2967,ARTICULOS!$F$10:$F$699,0)</f>
        <v>#N/A</v>
      </c>
      <c r="C2967" s="86" t="e">
        <f>+VLOOKUP(B2967,ARTICULOS!$D$10:$I$699,6)</f>
        <v>#N/A</v>
      </c>
      <c r="D2967" s="212"/>
      <c r="E2967" s="75" t="e">
        <f t="shared" si="96"/>
        <v>#N/A</v>
      </c>
      <c r="F2967" s="80"/>
      <c r="G2967" s="81"/>
      <c r="H2967" s="78"/>
      <c r="I2967" s="78"/>
      <c r="J2967" s="78"/>
    </row>
    <row r="2968" spans="1:10" x14ac:dyDescent="0.2">
      <c r="A2968" s="84">
        <f t="shared" si="95"/>
        <v>2962</v>
      </c>
      <c r="B2968" s="85" t="e">
        <f>+MATCH(D2968,ARTICULOS!$F$10:$F$699,0)</f>
        <v>#N/A</v>
      </c>
      <c r="C2968" s="86" t="e">
        <f>+VLOOKUP(B2968,ARTICULOS!$D$10:$I$699,6)</f>
        <v>#N/A</v>
      </c>
      <c r="D2968" s="212"/>
      <c r="E2968" s="75" t="e">
        <f t="shared" si="96"/>
        <v>#N/A</v>
      </c>
      <c r="F2968" s="80"/>
      <c r="G2968" s="81"/>
      <c r="H2968" s="78"/>
      <c r="I2968" s="78"/>
      <c r="J2968" s="78"/>
    </row>
    <row r="2969" spans="1:10" x14ac:dyDescent="0.2">
      <c r="A2969" s="84">
        <f t="shared" si="95"/>
        <v>2963</v>
      </c>
      <c r="B2969" s="85" t="e">
        <f>+MATCH(D2969,ARTICULOS!$F$10:$F$699,0)</f>
        <v>#N/A</v>
      </c>
      <c r="C2969" s="86" t="e">
        <f>+VLOOKUP(B2969,ARTICULOS!$D$10:$I$699,6)</f>
        <v>#N/A</v>
      </c>
      <c r="D2969" s="212"/>
      <c r="E2969" s="75" t="e">
        <f t="shared" si="96"/>
        <v>#N/A</v>
      </c>
      <c r="F2969" s="80"/>
      <c r="G2969" s="81"/>
      <c r="H2969" s="78"/>
      <c r="I2969" s="78"/>
      <c r="J2969" s="78"/>
    </row>
    <row r="2970" spans="1:10" x14ac:dyDescent="0.2">
      <c r="A2970" s="84">
        <f t="shared" si="95"/>
        <v>2964</v>
      </c>
      <c r="B2970" s="85" t="e">
        <f>+MATCH(D2970,ARTICULOS!$F$10:$F$699,0)</f>
        <v>#N/A</v>
      </c>
      <c r="C2970" s="86" t="e">
        <f>+VLOOKUP(B2970,ARTICULOS!$D$10:$I$699,6)</f>
        <v>#N/A</v>
      </c>
      <c r="D2970" s="212"/>
      <c r="E2970" s="75" t="e">
        <f t="shared" si="96"/>
        <v>#N/A</v>
      </c>
      <c r="F2970" s="80"/>
      <c r="G2970" s="81"/>
      <c r="H2970" s="78"/>
      <c r="I2970" s="78"/>
      <c r="J2970" s="78"/>
    </row>
    <row r="2971" spans="1:10" x14ac:dyDescent="0.2">
      <c r="A2971" s="84">
        <f t="shared" si="95"/>
        <v>2965</v>
      </c>
      <c r="B2971" s="85" t="e">
        <f>+MATCH(D2971,ARTICULOS!$F$10:$F$699,0)</f>
        <v>#N/A</v>
      </c>
      <c r="C2971" s="86" t="e">
        <f>+VLOOKUP(B2971,ARTICULOS!$D$10:$I$699,6)</f>
        <v>#N/A</v>
      </c>
      <c r="D2971" s="212"/>
      <c r="E2971" s="75" t="e">
        <f t="shared" si="96"/>
        <v>#N/A</v>
      </c>
      <c r="F2971" s="80"/>
      <c r="G2971" s="81"/>
      <c r="H2971" s="78"/>
      <c r="I2971" s="78"/>
      <c r="J2971" s="78"/>
    </row>
    <row r="2972" spans="1:10" x14ac:dyDescent="0.2">
      <c r="A2972" s="84">
        <f t="shared" si="95"/>
        <v>2966</v>
      </c>
      <c r="B2972" s="85" t="e">
        <f>+MATCH(D2972,ARTICULOS!$F$10:$F$699,0)</f>
        <v>#N/A</v>
      </c>
      <c r="C2972" s="86" t="e">
        <f>+VLOOKUP(B2972,ARTICULOS!$D$10:$I$699,6)</f>
        <v>#N/A</v>
      </c>
      <c r="D2972" s="212"/>
      <c r="E2972" s="75" t="e">
        <f t="shared" si="96"/>
        <v>#N/A</v>
      </c>
      <c r="F2972" s="80"/>
      <c r="G2972" s="81"/>
      <c r="H2972" s="78"/>
      <c r="I2972" s="78"/>
      <c r="J2972" s="78"/>
    </row>
    <row r="2973" spans="1:10" x14ac:dyDescent="0.2">
      <c r="A2973" s="84">
        <f t="shared" si="95"/>
        <v>2967</v>
      </c>
      <c r="B2973" s="85" t="e">
        <f>+MATCH(D2973,ARTICULOS!$F$10:$F$699,0)</f>
        <v>#N/A</v>
      </c>
      <c r="C2973" s="86" t="e">
        <f>+VLOOKUP(B2973,ARTICULOS!$D$10:$I$699,6)</f>
        <v>#N/A</v>
      </c>
      <c r="D2973" s="212"/>
      <c r="E2973" s="75" t="e">
        <f t="shared" si="96"/>
        <v>#N/A</v>
      </c>
      <c r="F2973" s="80"/>
      <c r="G2973" s="81"/>
      <c r="H2973" s="78"/>
      <c r="I2973" s="78"/>
      <c r="J2973" s="78"/>
    </row>
    <row r="2974" spans="1:10" x14ac:dyDescent="0.2">
      <c r="A2974" s="84">
        <f t="shared" si="95"/>
        <v>2968</v>
      </c>
      <c r="B2974" s="85" t="e">
        <f>+MATCH(D2974,ARTICULOS!$F$10:$F$699,0)</f>
        <v>#N/A</v>
      </c>
      <c r="C2974" s="86" t="e">
        <f>+VLOOKUP(B2974,ARTICULOS!$D$10:$I$699,6)</f>
        <v>#N/A</v>
      </c>
      <c r="D2974" s="212"/>
      <c r="E2974" s="75" t="e">
        <f t="shared" si="96"/>
        <v>#N/A</v>
      </c>
      <c r="F2974" s="80"/>
      <c r="G2974" s="81"/>
      <c r="H2974" s="78"/>
      <c r="I2974" s="78"/>
      <c r="J2974" s="78"/>
    </row>
    <row r="2975" spans="1:10" x14ac:dyDescent="0.2">
      <c r="A2975" s="84">
        <f t="shared" si="95"/>
        <v>2969</v>
      </c>
      <c r="B2975" s="85" t="e">
        <f>+MATCH(D2975,ARTICULOS!$F$10:$F$699,0)</f>
        <v>#N/A</v>
      </c>
      <c r="C2975" s="86" t="e">
        <f>+VLOOKUP(B2975,ARTICULOS!$D$10:$I$699,6)</f>
        <v>#N/A</v>
      </c>
      <c r="D2975" s="212"/>
      <c r="E2975" s="75" t="e">
        <f t="shared" si="96"/>
        <v>#N/A</v>
      </c>
      <c r="F2975" s="80"/>
      <c r="G2975" s="81"/>
      <c r="H2975" s="78"/>
      <c r="I2975" s="78"/>
      <c r="J2975" s="78"/>
    </row>
    <row r="2976" spans="1:10" x14ac:dyDescent="0.2">
      <c r="A2976" s="84">
        <f t="shared" si="95"/>
        <v>2970</v>
      </c>
      <c r="B2976" s="85" t="e">
        <f>+MATCH(D2976,ARTICULOS!$F$10:$F$699,0)</f>
        <v>#N/A</v>
      </c>
      <c r="C2976" s="86" t="e">
        <f>+VLOOKUP(B2976,ARTICULOS!$D$10:$I$699,6)</f>
        <v>#N/A</v>
      </c>
      <c r="D2976" s="212"/>
      <c r="E2976" s="75" t="e">
        <f t="shared" si="96"/>
        <v>#N/A</v>
      </c>
      <c r="F2976" s="80"/>
      <c r="G2976" s="81"/>
      <c r="H2976" s="78"/>
      <c r="I2976" s="78"/>
      <c r="J2976" s="78"/>
    </row>
    <row r="2977" spans="1:10" x14ac:dyDescent="0.2">
      <c r="A2977" s="84">
        <f t="shared" si="95"/>
        <v>2971</v>
      </c>
      <c r="B2977" s="85" t="e">
        <f>+MATCH(D2977,ARTICULOS!$F$10:$F$699,0)</f>
        <v>#N/A</v>
      </c>
      <c r="C2977" s="86" t="e">
        <f>+VLOOKUP(B2977,ARTICULOS!$D$10:$I$699,6)</f>
        <v>#N/A</v>
      </c>
      <c r="D2977" s="212"/>
      <c r="E2977" s="75" t="e">
        <f t="shared" si="96"/>
        <v>#N/A</v>
      </c>
      <c r="F2977" s="80"/>
      <c r="G2977" s="81"/>
      <c r="H2977" s="78"/>
      <c r="I2977" s="78"/>
      <c r="J2977" s="78"/>
    </row>
    <row r="2978" spans="1:10" x14ac:dyDescent="0.2">
      <c r="A2978" s="84">
        <f t="shared" si="95"/>
        <v>2972</v>
      </c>
      <c r="B2978" s="85" t="e">
        <f>+MATCH(D2978,ARTICULOS!$F$10:$F$699,0)</f>
        <v>#N/A</v>
      </c>
      <c r="C2978" s="86" t="e">
        <f>+VLOOKUP(B2978,ARTICULOS!$D$10:$I$699,6)</f>
        <v>#N/A</v>
      </c>
      <c r="D2978" s="212"/>
      <c r="E2978" s="75" t="e">
        <f t="shared" si="96"/>
        <v>#N/A</v>
      </c>
      <c r="F2978" s="80"/>
      <c r="G2978" s="81"/>
      <c r="H2978" s="78"/>
      <c r="I2978" s="78"/>
      <c r="J2978" s="78"/>
    </row>
    <row r="2979" spans="1:10" x14ac:dyDescent="0.2">
      <c r="A2979" s="84">
        <f t="shared" si="95"/>
        <v>2973</v>
      </c>
      <c r="B2979" s="85" t="e">
        <f>+MATCH(D2979,ARTICULOS!$F$10:$F$699,0)</f>
        <v>#N/A</v>
      </c>
      <c r="C2979" s="86" t="e">
        <f>+VLOOKUP(B2979,ARTICULOS!$D$10:$I$699,6)</f>
        <v>#N/A</v>
      </c>
      <c r="D2979" s="212"/>
      <c r="E2979" s="75" t="e">
        <f t="shared" si="96"/>
        <v>#N/A</v>
      </c>
      <c r="F2979" s="80"/>
      <c r="G2979" s="81"/>
      <c r="H2979" s="78"/>
      <c r="I2979" s="78"/>
      <c r="J2979" s="78"/>
    </row>
    <row r="2980" spans="1:10" x14ac:dyDescent="0.2">
      <c r="A2980" s="84">
        <f t="shared" si="95"/>
        <v>2974</v>
      </c>
      <c r="B2980" s="85" t="e">
        <f>+MATCH(D2980,ARTICULOS!$F$10:$F$699,0)</f>
        <v>#N/A</v>
      </c>
      <c r="C2980" s="86" t="e">
        <f>+VLOOKUP(B2980,ARTICULOS!$D$10:$I$699,6)</f>
        <v>#N/A</v>
      </c>
      <c r="D2980" s="212"/>
      <c r="E2980" s="75" t="e">
        <f t="shared" si="96"/>
        <v>#N/A</v>
      </c>
      <c r="F2980" s="80"/>
      <c r="G2980" s="81"/>
      <c r="H2980" s="78"/>
      <c r="I2980" s="78"/>
      <c r="J2980" s="78"/>
    </row>
    <row r="2981" spans="1:10" x14ac:dyDescent="0.2">
      <c r="A2981" s="84">
        <f t="shared" si="95"/>
        <v>2975</v>
      </c>
      <c r="B2981" s="85" t="e">
        <f>+MATCH(D2981,ARTICULOS!$F$10:$F$699,0)</f>
        <v>#N/A</v>
      </c>
      <c r="C2981" s="86" t="e">
        <f>+VLOOKUP(B2981,ARTICULOS!$D$10:$I$699,6)</f>
        <v>#N/A</v>
      </c>
      <c r="D2981" s="212"/>
      <c r="E2981" s="75" t="e">
        <f t="shared" si="96"/>
        <v>#N/A</v>
      </c>
      <c r="F2981" s="80"/>
      <c r="G2981" s="81"/>
      <c r="H2981" s="78"/>
      <c r="I2981" s="78"/>
      <c r="J2981" s="78"/>
    </row>
    <row r="2982" spans="1:10" x14ac:dyDescent="0.2">
      <c r="A2982" s="84">
        <f t="shared" si="95"/>
        <v>2976</v>
      </c>
      <c r="B2982" s="85" t="e">
        <f>+MATCH(D2982,ARTICULOS!$F$10:$F$699,0)</f>
        <v>#N/A</v>
      </c>
      <c r="C2982" s="86" t="e">
        <f>+VLOOKUP(B2982,ARTICULOS!$D$10:$I$699,6)</f>
        <v>#N/A</v>
      </c>
      <c r="D2982" s="212"/>
      <c r="E2982" s="75" t="e">
        <f t="shared" si="96"/>
        <v>#N/A</v>
      </c>
      <c r="F2982" s="80"/>
      <c r="G2982" s="81"/>
      <c r="H2982" s="78"/>
      <c r="I2982" s="78"/>
      <c r="J2982" s="78"/>
    </row>
    <row r="2983" spans="1:10" x14ac:dyDescent="0.2">
      <c r="A2983" s="84">
        <f t="shared" si="95"/>
        <v>2977</v>
      </c>
      <c r="B2983" s="85" t="e">
        <f>+MATCH(D2983,ARTICULOS!$F$10:$F$699,0)</f>
        <v>#N/A</v>
      </c>
      <c r="C2983" s="86" t="e">
        <f>+VLOOKUP(B2983,ARTICULOS!$D$10:$I$699,6)</f>
        <v>#N/A</v>
      </c>
      <c r="D2983" s="212"/>
      <c r="E2983" s="75" t="e">
        <f t="shared" si="96"/>
        <v>#N/A</v>
      </c>
      <c r="F2983" s="80"/>
      <c r="G2983" s="81"/>
      <c r="H2983" s="78"/>
      <c r="I2983" s="78"/>
      <c r="J2983" s="78"/>
    </row>
    <row r="2984" spans="1:10" x14ac:dyDescent="0.2">
      <c r="A2984" s="84">
        <f t="shared" si="95"/>
        <v>2978</v>
      </c>
      <c r="B2984" s="85" t="e">
        <f>+MATCH(D2984,ARTICULOS!$F$10:$F$699,0)</f>
        <v>#N/A</v>
      </c>
      <c r="C2984" s="86" t="e">
        <f>+VLOOKUP(B2984,ARTICULOS!$D$10:$I$699,6)</f>
        <v>#N/A</v>
      </c>
      <c r="D2984" s="212"/>
      <c r="E2984" s="75" t="e">
        <f t="shared" si="96"/>
        <v>#N/A</v>
      </c>
      <c r="F2984" s="80"/>
      <c r="G2984" s="81"/>
      <c r="H2984" s="78"/>
      <c r="I2984" s="78"/>
      <c r="J2984" s="78"/>
    </row>
    <row r="2985" spans="1:10" x14ac:dyDescent="0.2">
      <c r="A2985" s="84">
        <f t="shared" ref="A2985:A3048" si="97">ROW()-6</f>
        <v>2979</v>
      </c>
      <c r="B2985" s="85" t="e">
        <f>+MATCH(D2985,ARTICULOS!$F$10:$F$699,0)</f>
        <v>#N/A</v>
      </c>
      <c r="C2985" s="86" t="e">
        <f>+VLOOKUP(B2985,ARTICULOS!$D$10:$I$699,6)</f>
        <v>#N/A</v>
      </c>
      <c r="D2985" s="212"/>
      <c r="E2985" s="75" t="e">
        <f t="shared" si="96"/>
        <v>#N/A</v>
      </c>
      <c r="F2985" s="80"/>
      <c r="G2985" s="81"/>
      <c r="H2985" s="78"/>
      <c r="I2985" s="78"/>
      <c r="J2985" s="78"/>
    </row>
    <row r="2986" spans="1:10" x14ac:dyDescent="0.2">
      <c r="A2986" s="84">
        <f t="shared" si="97"/>
        <v>2980</v>
      </c>
      <c r="B2986" s="85" t="e">
        <f>+MATCH(D2986,ARTICULOS!$F$10:$F$699,0)</f>
        <v>#N/A</v>
      </c>
      <c r="C2986" s="86" t="e">
        <f>+VLOOKUP(B2986,ARTICULOS!$D$10:$I$699,6)</f>
        <v>#N/A</v>
      </c>
      <c r="D2986" s="212"/>
      <c r="E2986" s="75" t="e">
        <f t="shared" si="96"/>
        <v>#N/A</v>
      </c>
      <c r="F2986" s="80"/>
      <c r="G2986" s="81"/>
      <c r="H2986" s="78"/>
      <c r="I2986" s="78"/>
      <c r="J2986" s="78"/>
    </row>
    <row r="2987" spans="1:10" x14ac:dyDescent="0.2">
      <c r="A2987" s="84">
        <f t="shared" si="97"/>
        <v>2981</v>
      </c>
      <c r="B2987" s="85" t="e">
        <f>+MATCH(D2987,ARTICULOS!$F$10:$F$699,0)</f>
        <v>#N/A</v>
      </c>
      <c r="C2987" s="86" t="e">
        <f>+VLOOKUP(B2987,ARTICULOS!$D$10:$I$699,6)</f>
        <v>#N/A</v>
      </c>
      <c r="D2987" s="212"/>
      <c r="E2987" s="75" t="e">
        <f t="shared" si="96"/>
        <v>#N/A</v>
      </c>
      <c r="F2987" s="80"/>
      <c r="G2987" s="81"/>
      <c r="H2987" s="78"/>
      <c r="I2987" s="78"/>
      <c r="J2987" s="78"/>
    </row>
    <row r="2988" spans="1:10" x14ac:dyDescent="0.2">
      <c r="A2988" s="84">
        <f t="shared" si="97"/>
        <v>2982</v>
      </c>
      <c r="B2988" s="85" t="e">
        <f>+MATCH(D2988,ARTICULOS!$F$10:$F$699,0)</f>
        <v>#N/A</v>
      </c>
      <c r="C2988" s="86" t="e">
        <f>+VLOOKUP(B2988,ARTICULOS!$D$10:$I$699,6)</f>
        <v>#N/A</v>
      </c>
      <c r="D2988" s="212"/>
      <c r="E2988" s="75" t="e">
        <f t="shared" si="96"/>
        <v>#N/A</v>
      </c>
      <c r="F2988" s="80"/>
      <c r="G2988" s="81"/>
      <c r="H2988" s="78"/>
      <c r="I2988" s="78"/>
      <c r="J2988" s="78"/>
    </row>
    <row r="2989" spans="1:10" x14ac:dyDescent="0.2">
      <c r="A2989" s="84">
        <f t="shared" si="97"/>
        <v>2983</v>
      </c>
      <c r="B2989" s="85" t="e">
        <f>+MATCH(D2989,ARTICULOS!$F$10:$F$699,0)</f>
        <v>#N/A</v>
      </c>
      <c r="C2989" s="86" t="e">
        <f>+VLOOKUP(B2989,ARTICULOS!$D$10:$I$699,6)</f>
        <v>#N/A</v>
      </c>
      <c r="D2989" s="212"/>
      <c r="E2989" s="75" t="e">
        <f t="shared" si="96"/>
        <v>#N/A</v>
      </c>
      <c r="F2989" s="80"/>
      <c r="G2989" s="81"/>
      <c r="H2989" s="78"/>
      <c r="I2989" s="78"/>
      <c r="J2989" s="78"/>
    </row>
    <row r="2990" spans="1:10" x14ac:dyDescent="0.2">
      <c r="A2990" s="84">
        <f t="shared" si="97"/>
        <v>2984</v>
      </c>
      <c r="B2990" s="85" t="e">
        <f>+MATCH(D2990,ARTICULOS!$F$10:$F$699,0)</f>
        <v>#N/A</v>
      </c>
      <c r="C2990" s="86" t="e">
        <f>+VLOOKUP(B2990,ARTICULOS!$D$10:$I$699,6)</f>
        <v>#N/A</v>
      </c>
      <c r="D2990" s="212"/>
      <c r="E2990" s="75" t="e">
        <f t="shared" si="96"/>
        <v>#N/A</v>
      </c>
      <c r="F2990" s="80"/>
      <c r="G2990" s="81"/>
      <c r="H2990" s="78"/>
      <c r="I2990" s="78"/>
      <c r="J2990" s="78"/>
    </row>
    <row r="2991" spans="1:10" x14ac:dyDescent="0.2">
      <c r="A2991" s="84">
        <f t="shared" si="97"/>
        <v>2985</v>
      </c>
      <c r="B2991" s="85" t="e">
        <f>+MATCH(D2991,ARTICULOS!$F$10:$F$699,0)</f>
        <v>#N/A</v>
      </c>
      <c r="C2991" s="86" t="e">
        <f>+VLOOKUP(B2991,ARTICULOS!$D$10:$I$699,6)</f>
        <v>#N/A</v>
      </c>
      <c r="D2991" s="212"/>
      <c r="E2991" s="75" t="e">
        <f t="shared" si="96"/>
        <v>#N/A</v>
      </c>
      <c r="F2991" s="80"/>
      <c r="G2991" s="81"/>
      <c r="H2991" s="78"/>
      <c r="I2991" s="78"/>
      <c r="J2991" s="78"/>
    </row>
    <row r="2992" spans="1:10" x14ac:dyDescent="0.2">
      <c r="A2992" s="84">
        <f t="shared" si="97"/>
        <v>2986</v>
      </c>
      <c r="B2992" s="85" t="e">
        <f>+MATCH(D2992,ARTICULOS!$F$10:$F$699,0)</f>
        <v>#N/A</v>
      </c>
      <c r="C2992" s="86" t="e">
        <f>+VLOOKUP(B2992,ARTICULOS!$D$10:$I$699,6)</f>
        <v>#N/A</v>
      </c>
      <c r="D2992" s="212"/>
      <c r="E2992" s="75" t="e">
        <f t="shared" si="96"/>
        <v>#N/A</v>
      </c>
      <c r="F2992" s="80"/>
      <c r="G2992" s="81"/>
      <c r="H2992" s="78"/>
      <c r="I2992" s="78"/>
      <c r="J2992" s="78"/>
    </row>
    <row r="2993" spans="1:10" x14ac:dyDescent="0.2">
      <c r="A2993" s="84">
        <f t="shared" si="97"/>
        <v>2987</v>
      </c>
      <c r="B2993" s="85" t="e">
        <f>+MATCH(D2993,ARTICULOS!$F$10:$F$699,0)</f>
        <v>#N/A</v>
      </c>
      <c r="C2993" s="86" t="e">
        <f>+VLOOKUP(B2993,ARTICULOS!$D$10:$I$699,6)</f>
        <v>#N/A</v>
      </c>
      <c r="D2993" s="212"/>
      <c r="E2993" s="75" t="e">
        <f t="shared" si="96"/>
        <v>#N/A</v>
      </c>
      <c r="F2993" s="80"/>
      <c r="G2993" s="81"/>
      <c r="H2993" s="78"/>
      <c r="I2993" s="78"/>
      <c r="J2993" s="78"/>
    </row>
    <row r="2994" spans="1:10" x14ac:dyDescent="0.2">
      <c r="A2994" s="84">
        <f t="shared" si="97"/>
        <v>2988</v>
      </c>
      <c r="B2994" s="85" t="e">
        <f>+MATCH(D2994,ARTICULOS!$F$10:$F$699,0)</f>
        <v>#N/A</v>
      </c>
      <c r="C2994" s="86" t="e">
        <f>+VLOOKUP(B2994,ARTICULOS!$D$10:$I$699,6)</f>
        <v>#N/A</v>
      </c>
      <c r="D2994" s="212"/>
      <c r="E2994" s="75" t="e">
        <f t="shared" si="96"/>
        <v>#N/A</v>
      </c>
      <c r="F2994" s="80"/>
      <c r="G2994" s="81"/>
      <c r="H2994" s="78"/>
      <c r="I2994" s="78"/>
      <c r="J2994" s="78"/>
    </row>
    <row r="2995" spans="1:10" x14ac:dyDescent="0.2">
      <c r="A2995" s="84">
        <f t="shared" si="97"/>
        <v>2989</v>
      </c>
      <c r="B2995" s="85" t="e">
        <f>+MATCH(D2995,ARTICULOS!$F$10:$F$699,0)</f>
        <v>#N/A</v>
      </c>
      <c r="C2995" s="86" t="e">
        <f>+VLOOKUP(B2995,ARTICULOS!$D$10:$I$699,6)</f>
        <v>#N/A</v>
      </c>
      <c r="D2995" s="212"/>
      <c r="E2995" s="75" t="e">
        <f t="shared" si="96"/>
        <v>#N/A</v>
      </c>
      <c r="F2995" s="80"/>
      <c r="G2995" s="81"/>
      <c r="H2995" s="78"/>
      <c r="I2995" s="78"/>
      <c r="J2995" s="78"/>
    </row>
    <row r="2996" spans="1:10" x14ac:dyDescent="0.2">
      <c r="A2996" s="84">
        <f t="shared" si="97"/>
        <v>2990</v>
      </c>
      <c r="B2996" s="85" t="e">
        <f>+MATCH(D2996,ARTICULOS!$F$10:$F$699,0)</f>
        <v>#N/A</v>
      </c>
      <c r="C2996" s="86" t="e">
        <f>+VLOOKUP(B2996,ARTICULOS!$D$10:$I$699,6)</f>
        <v>#N/A</v>
      </c>
      <c r="D2996" s="212"/>
      <c r="E2996" s="75" t="e">
        <f t="shared" si="96"/>
        <v>#N/A</v>
      </c>
      <c r="F2996" s="80"/>
      <c r="G2996" s="81"/>
      <c r="H2996" s="78"/>
      <c r="I2996" s="78"/>
      <c r="J2996" s="78"/>
    </row>
    <row r="2997" spans="1:10" x14ac:dyDescent="0.2">
      <c r="A2997" s="84">
        <f t="shared" si="97"/>
        <v>2991</v>
      </c>
      <c r="B2997" s="85" t="e">
        <f>+MATCH(D2997,ARTICULOS!$F$10:$F$699,0)</f>
        <v>#N/A</v>
      </c>
      <c r="C2997" s="86" t="e">
        <f>+VLOOKUP(B2997,ARTICULOS!$D$10:$I$699,6)</f>
        <v>#N/A</v>
      </c>
      <c r="D2997" s="212"/>
      <c r="E2997" s="75" t="e">
        <f t="shared" si="96"/>
        <v>#N/A</v>
      </c>
      <c r="F2997" s="80"/>
      <c r="G2997" s="81"/>
      <c r="H2997" s="78"/>
      <c r="I2997" s="78"/>
      <c r="J2997" s="78"/>
    </row>
    <row r="2998" spans="1:10" x14ac:dyDescent="0.2">
      <c r="A2998" s="84">
        <f t="shared" si="97"/>
        <v>2992</v>
      </c>
      <c r="B2998" s="85" t="e">
        <f>+MATCH(D2998,ARTICULOS!$F$10:$F$699,0)</f>
        <v>#N/A</v>
      </c>
      <c r="C2998" s="86" t="e">
        <f>+VLOOKUP(B2998,ARTICULOS!$D$10:$I$699,6)</f>
        <v>#N/A</v>
      </c>
      <c r="D2998" s="212"/>
      <c r="E2998" s="75" t="e">
        <f t="shared" si="96"/>
        <v>#N/A</v>
      </c>
      <c r="F2998" s="80"/>
      <c r="G2998" s="81"/>
      <c r="H2998" s="78"/>
      <c r="I2998" s="78"/>
      <c r="J2998" s="78"/>
    </row>
    <row r="2999" spans="1:10" x14ac:dyDescent="0.2">
      <c r="A2999" s="84">
        <f t="shared" si="97"/>
        <v>2993</v>
      </c>
      <c r="B2999" s="85" t="e">
        <f>+MATCH(D2999,ARTICULOS!$F$10:$F$699,0)</f>
        <v>#N/A</v>
      </c>
      <c r="C2999" s="86" t="e">
        <f>+VLOOKUP(B2999,ARTICULOS!$D$10:$I$699,6)</f>
        <v>#N/A</v>
      </c>
      <c r="D2999" s="212"/>
      <c r="E2999" s="75" t="e">
        <f t="shared" si="96"/>
        <v>#N/A</v>
      </c>
      <c r="F2999" s="80"/>
      <c r="G2999" s="81"/>
      <c r="H2999" s="78"/>
      <c r="I2999" s="78"/>
      <c r="J2999" s="78"/>
    </row>
    <row r="3000" spans="1:10" x14ac:dyDescent="0.2">
      <c r="A3000" s="84">
        <f t="shared" si="97"/>
        <v>2994</v>
      </c>
      <c r="B3000" s="85" t="e">
        <f>+MATCH(D3000,ARTICULOS!$F$10:$F$699,0)</f>
        <v>#N/A</v>
      </c>
      <c r="C3000" s="86" t="e">
        <f>+VLOOKUP(B3000,ARTICULOS!$D$10:$I$699,6)</f>
        <v>#N/A</v>
      </c>
      <c r="D3000" s="212"/>
      <c r="E3000" s="75" t="e">
        <f t="shared" si="96"/>
        <v>#N/A</v>
      </c>
      <c r="F3000" s="80"/>
      <c r="G3000" s="81"/>
      <c r="H3000" s="78"/>
      <c r="I3000" s="78"/>
      <c r="J3000" s="78"/>
    </row>
    <row r="3001" spans="1:10" x14ac:dyDescent="0.2">
      <c r="A3001" s="84">
        <f t="shared" si="97"/>
        <v>2995</v>
      </c>
      <c r="B3001" s="85" t="e">
        <f>+MATCH(D3001,ARTICULOS!$F$10:$F$699,0)</f>
        <v>#N/A</v>
      </c>
      <c r="C3001" s="86" t="e">
        <f>+VLOOKUP(B3001,ARTICULOS!$D$10:$I$699,6)</f>
        <v>#N/A</v>
      </c>
      <c r="D3001" s="212"/>
      <c r="E3001" s="75" t="e">
        <f t="shared" si="96"/>
        <v>#N/A</v>
      </c>
      <c r="F3001" s="80"/>
      <c r="G3001" s="81"/>
      <c r="H3001" s="78"/>
      <c r="I3001" s="78"/>
      <c r="J3001" s="78"/>
    </row>
    <row r="3002" spans="1:10" x14ac:dyDescent="0.2">
      <c r="A3002" s="84">
        <f t="shared" si="97"/>
        <v>2996</v>
      </c>
      <c r="B3002" s="85" t="e">
        <f>+MATCH(D3002,ARTICULOS!$F$10:$F$699,0)</f>
        <v>#N/A</v>
      </c>
      <c r="C3002" s="86" t="e">
        <f>+VLOOKUP(B3002,ARTICULOS!$D$10:$I$699,6)</f>
        <v>#N/A</v>
      </c>
      <c r="D3002" s="212"/>
      <c r="E3002" s="75" t="e">
        <f t="shared" si="96"/>
        <v>#N/A</v>
      </c>
      <c r="F3002" s="80"/>
      <c r="G3002" s="81"/>
      <c r="H3002" s="78"/>
      <c r="I3002" s="78"/>
      <c r="J3002" s="78"/>
    </row>
    <row r="3003" spans="1:10" x14ac:dyDescent="0.2">
      <c r="A3003" s="84">
        <f t="shared" si="97"/>
        <v>2997</v>
      </c>
      <c r="B3003" s="85" t="e">
        <f>+MATCH(D3003,ARTICULOS!$F$10:$F$699,0)</f>
        <v>#N/A</v>
      </c>
      <c r="C3003" s="86" t="e">
        <f>+VLOOKUP(B3003,ARTICULOS!$D$10:$I$699,6)</f>
        <v>#N/A</v>
      </c>
      <c r="D3003" s="212"/>
      <c r="E3003" s="75" t="e">
        <f t="shared" si="96"/>
        <v>#N/A</v>
      </c>
      <c r="F3003" s="80"/>
      <c r="G3003" s="81"/>
      <c r="H3003" s="78"/>
      <c r="I3003" s="78"/>
      <c r="J3003" s="78"/>
    </row>
    <row r="3004" spans="1:10" x14ac:dyDescent="0.2">
      <c r="A3004" s="84">
        <f t="shared" si="97"/>
        <v>2998</v>
      </c>
      <c r="B3004" s="85" t="e">
        <f>+MATCH(D3004,ARTICULOS!$F$10:$F$699,0)</f>
        <v>#N/A</v>
      </c>
      <c r="C3004" s="86" t="e">
        <f>+VLOOKUP(B3004,ARTICULOS!$D$10:$I$699,6)</f>
        <v>#N/A</v>
      </c>
      <c r="D3004" s="212"/>
      <c r="E3004" s="75" t="e">
        <f t="shared" si="96"/>
        <v>#N/A</v>
      </c>
      <c r="F3004" s="80"/>
      <c r="G3004" s="81"/>
      <c r="H3004" s="78"/>
      <c r="I3004" s="78"/>
      <c r="J3004" s="78"/>
    </row>
    <row r="3005" spans="1:10" x14ac:dyDescent="0.2">
      <c r="A3005" s="84">
        <f t="shared" si="97"/>
        <v>2999</v>
      </c>
      <c r="B3005" s="85" t="e">
        <f>+MATCH(D3005,ARTICULOS!$F$10:$F$699,0)</f>
        <v>#N/A</v>
      </c>
      <c r="C3005" s="86" t="e">
        <f>+VLOOKUP(B3005,ARTICULOS!$D$10:$I$699,6)</f>
        <v>#N/A</v>
      </c>
      <c r="D3005" s="212"/>
      <c r="E3005" s="75" t="e">
        <f t="shared" si="96"/>
        <v>#N/A</v>
      </c>
      <c r="F3005" s="80"/>
      <c r="G3005" s="81"/>
      <c r="H3005" s="78"/>
      <c r="I3005" s="78"/>
      <c r="J3005" s="78"/>
    </row>
    <row r="3006" spans="1:10" x14ac:dyDescent="0.2">
      <c r="A3006" s="84">
        <f t="shared" si="97"/>
        <v>3000</v>
      </c>
      <c r="B3006" s="85" t="e">
        <f>+MATCH(D3006,ARTICULOS!$F$10:$F$699,0)</f>
        <v>#N/A</v>
      </c>
      <c r="C3006" s="86" t="e">
        <f>+VLOOKUP(B3006,ARTICULOS!$D$10:$I$699,6)</f>
        <v>#N/A</v>
      </c>
      <c r="D3006" s="212"/>
      <c r="E3006" s="75" t="e">
        <f t="shared" si="96"/>
        <v>#N/A</v>
      </c>
      <c r="F3006" s="80"/>
      <c r="G3006" s="81"/>
      <c r="H3006" s="78"/>
      <c r="I3006" s="78"/>
      <c r="J3006" s="78"/>
    </row>
    <row r="3007" spans="1:10" x14ac:dyDescent="0.2">
      <c r="A3007" s="84">
        <f t="shared" si="97"/>
        <v>3001</v>
      </c>
      <c r="B3007" s="85" t="e">
        <f>+MATCH(D3007,ARTICULOS!$F$10:$F$699,0)</f>
        <v>#N/A</v>
      </c>
      <c r="C3007" s="86" t="e">
        <f>+VLOOKUP(B3007,ARTICULOS!$D$10:$I$699,6)</f>
        <v>#N/A</v>
      </c>
      <c r="D3007" s="212"/>
      <c r="E3007" s="75" t="e">
        <f t="shared" si="96"/>
        <v>#N/A</v>
      </c>
      <c r="F3007" s="80"/>
      <c r="G3007" s="81"/>
      <c r="H3007" s="78"/>
      <c r="I3007" s="78"/>
      <c r="J3007" s="78"/>
    </row>
    <row r="3008" spans="1:10" x14ac:dyDescent="0.2">
      <c r="A3008" s="84">
        <f t="shared" si="97"/>
        <v>3002</v>
      </c>
      <c r="B3008" s="85" t="e">
        <f>+MATCH(D3008,ARTICULOS!$F$10:$F$699,0)</f>
        <v>#N/A</v>
      </c>
      <c r="C3008" s="86" t="e">
        <f>+VLOOKUP(B3008,ARTICULOS!$D$10:$I$699,6)</f>
        <v>#N/A</v>
      </c>
      <c r="D3008" s="212"/>
      <c r="E3008" s="75" t="e">
        <f t="shared" si="96"/>
        <v>#N/A</v>
      </c>
      <c r="F3008" s="80"/>
      <c r="G3008" s="81"/>
      <c r="H3008" s="78"/>
      <c r="I3008" s="78"/>
      <c r="J3008" s="78"/>
    </row>
    <row r="3009" spans="1:10" x14ac:dyDescent="0.2">
      <c r="A3009" s="84">
        <f t="shared" si="97"/>
        <v>3003</v>
      </c>
      <c r="B3009" s="85" t="e">
        <f>+MATCH(D3009,ARTICULOS!$F$10:$F$699,0)</f>
        <v>#N/A</v>
      </c>
      <c r="C3009" s="86" t="e">
        <f>+VLOOKUP(B3009,ARTICULOS!$D$10:$I$699,6)</f>
        <v>#N/A</v>
      </c>
      <c r="D3009" s="212"/>
      <c r="E3009" s="75" t="e">
        <f t="shared" si="96"/>
        <v>#N/A</v>
      </c>
      <c r="F3009" s="80"/>
      <c r="G3009" s="81"/>
      <c r="H3009" s="78"/>
      <c r="I3009" s="78"/>
      <c r="J3009" s="78"/>
    </row>
    <row r="3010" spans="1:10" x14ac:dyDescent="0.2">
      <c r="A3010" s="84">
        <f t="shared" si="97"/>
        <v>3004</v>
      </c>
      <c r="B3010" s="85" t="e">
        <f>+MATCH(D3010,ARTICULOS!$F$10:$F$699,0)</f>
        <v>#N/A</v>
      </c>
      <c r="C3010" s="86" t="e">
        <f>+VLOOKUP(B3010,ARTICULOS!$D$10:$I$699,6)</f>
        <v>#N/A</v>
      </c>
      <c r="D3010" s="212"/>
      <c r="E3010" s="75" t="e">
        <f t="shared" si="96"/>
        <v>#N/A</v>
      </c>
      <c r="F3010" s="80"/>
      <c r="G3010" s="81"/>
      <c r="H3010" s="78"/>
      <c r="I3010" s="78"/>
      <c r="J3010" s="78"/>
    </row>
    <row r="3011" spans="1:10" x14ac:dyDescent="0.2">
      <c r="A3011" s="84">
        <f t="shared" si="97"/>
        <v>3005</v>
      </c>
      <c r="B3011" s="85" t="e">
        <f>+MATCH(D3011,ARTICULOS!$F$10:$F$699,0)</f>
        <v>#N/A</v>
      </c>
      <c r="C3011" s="86" t="e">
        <f>+VLOOKUP(B3011,ARTICULOS!$D$10:$I$699,6)</f>
        <v>#N/A</v>
      </c>
      <c r="D3011" s="212"/>
      <c r="E3011" s="75" t="e">
        <f t="shared" si="96"/>
        <v>#N/A</v>
      </c>
      <c r="F3011" s="80"/>
      <c r="G3011" s="81"/>
      <c r="H3011" s="78"/>
      <c r="I3011" s="78"/>
      <c r="J3011" s="78"/>
    </row>
    <row r="3012" spans="1:10" x14ac:dyDescent="0.2">
      <c r="A3012" s="84">
        <f t="shared" si="97"/>
        <v>3006</v>
      </c>
      <c r="B3012" s="85" t="e">
        <f>+MATCH(D3012,ARTICULOS!$F$10:$F$699,0)</f>
        <v>#N/A</v>
      </c>
      <c r="C3012" s="86" t="e">
        <f>+VLOOKUP(B3012,ARTICULOS!$D$10:$I$699,6)</f>
        <v>#N/A</v>
      </c>
      <c r="D3012" s="212"/>
      <c r="E3012" s="75" t="e">
        <f t="shared" si="96"/>
        <v>#N/A</v>
      </c>
      <c r="F3012" s="80"/>
      <c r="G3012" s="81"/>
      <c r="H3012" s="78"/>
      <c r="I3012" s="78"/>
      <c r="J3012" s="78"/>
    </row>
    <row r="3013" spans="1:10" x14ac:dyDescent="0.2">
      <c r="A3013" s="84">
        <f t="shared" si="97"/>
        <v>3007</v>
      </c>
      <c r="B3013" s="85" t="e">
        <f>+MATCH(D3013,ARTICULOS!$F$10:$F$699,0)</f>
        <v>#N/A</v>
      </c>
      <c r="C3013" s="86" t="e">
        <f>+VLOOKUP(B3013,ARTICULOS!$D$10:$I$699,6)</f>
        <v>#N/A</v>
      </c>
      <c r="D3013" s="212"/>
      <c r="E3013" s="75" t="e">
        <f t="shared" si="96"/>
        <v>#N/A</v>
      </c>
      <c r="F3013" s="80"/>
      <c r="G3013" s="81"/>
      <c r="H3013" s="78"/>
      <c r="I3013" s="78"/>
      <c r="J3013" s="78"/>
    </row>
    <row r="3014" spans="1:10" x14ac:dyDescent="0.2">
      <c r="A3014" s="84">
        <f t="shared" si="97"/>
        <v>3008</v>
      </c>
      <c r="B3014" s="85" t="e">
        <f>+MATCH(D3014,ARTICULOS!$F$10:$F$699,0)</f>
        <v>#N/A</v>
      </c>
      <c r="C3014" s="86" t="e">
        <f>+VLOOKUP(B3014,ARTICULOS!$D$10:$I$699,6)</f>
        <v>#N/A</v>
      </c>
      <c r="D3014" s="212"/>
      <c r="E3014" s="75" t="e">
        <f t="shared" si="96"/>
        <v>#N/A</v>
      </c>
      <c r="F3014" s="80"/>
      <c r="G3014" s="81"/>
      <c r="H3014" s="78"/>
      <c r="I3014" s="78"/>
      <c r="J3014" s="78"/>
    </row>
    <row r="3015" spans="1:10" x14ac:dyDescent="0.2">
      <c r="A3015" s="84">
        <f t="shared" si="97"/>
        <v>3009</v>
      </c>
      <c r="B3015" s="85" t="e">
        <f>+MATCH(D3015,ARTICULOS!$F$10:$F$699,0)</f>
        <v>#N/A</v>
      </c>
      <c r="C3015" s="86" t="e">
        <f>+VLOOKUP(B3015,ARTICULOS!$D$10:$I$699,6)</f>
        <v>#N/A</v>
      </c>
      <c r="D3015" s="212"/>
      <c r="E3015" s="75" t="e">
        <f t="shared" si="96"/>
        <v>#N/A</v>
      </c>
      <c r="F3015" s="80"/>
      <c r="G3015" s="81"/>
      <c r="H3015" s="78"/>
      <c r="I3015" s="78"/>
      <c r="J3015" s="78"/>
    </row>
    <row r="3016" spans="1:10" x14ac:dyDescent="0.2">
      <c r="A3016" s="84">
        <f t="shared" si="97"/>
        <v>3010</v>
      </c>
      <c r="B3016" s="85" t="e">
        <f>+MATCH(D3016,ARTICULOS!$F$10:$F$699,0)</f>
        <v>#N/A</v>
      </c>
      <c r="C3016" s="86" t="e">
        <f>+VLOOKUP(B3016,ARTICULOS!$D$10:$I$699,6)</f>
        <v>#N/A</v>
      </c>
      <c r="D3016" s="212"/>
      <c r="E3016" s="75" t="e">
        <f t="shared" si="96"/>
        <v>#N/A</v>
      </c>
      <c r="F3016" s="80"/>
      <c r="G3016" s="81"/>
      <c r="H3016" s="78"/>
      <c r="I3016" s="78"/>
      <c r="J3016" s="78"/>
    </row>
    <row r="3017" spans="1:10" x14ac:dyDescent="0.2">
      <c r="A3017" s="84">
        <f t="shared" si="97"/>
        <v>3011</v>
      </c>
      <c r="B3017" s="85" t="e">
        <f>+MATCH(D3017,ARTICULOS!$F$10:$F$699,0)</f>
        <v>#N/A</v>
      </c>
      <c r="C3017" s="86" t="e">
        <f>+VLOOKUP(B3017,ARTICULOS!$D$10:$I$699,6)</f>
        <v>#N/A</v>
      </c>
      <c r="D3017" s="212"/>
      <c r="E3017" s="75" t="e">
        <f t="shared" si="96"/>
        <v>#N/A</v>
      </c>
      <c r="F3017" s="80"/>
      <c r="G3017" s="81"/>
      <c r="H3017" s="78"/>
      <c r="I3017" s="78"/>
      <c r="J3017" s="78"/>
    </row>
    <row r="3018" spans="1:10" x14ac:dyDescent="0.2">
      <c r="A3018" s="84">
        <f t="shared" si="97"/>
        <v>3012</v>
      </c>
      <c r="B3018" s="85" t="e">
        <f>+MATCH(D3018,ARTICULOS!$F$10:$F$699,0)</f>
        <v>#N/A</v>
      </c>
      <c r="C3018" s="86" t="e">
        <f>+VLOOKUP(B3018,ARTICULOS!$D$10:$I$699,6)</f>
        <v>#N/A</v>
      </c>
      <c r="D3018" s="212"/>
      <c r="E3018" s="75" t="e">
        <f t="shared" si="96"/>
        <v>#N/A</v>
      </c>
      <c r="F3018" s="80"/>
      <c r="G3018" s="81"/>
      <c r="H3018" s="78"/>
      <c r="I3018" s="78"/>
      <c r="J3018" s="78"/>
    </row>
    <row r="3019" spans="1:10" x14ac:dyDescent="0.2">
      <c r="A3019" s="84">
        <f t="shared" si="97"/>
        <v>3013</v>
      </c>
      <c r="B3019" s="85" t="e">
        <f>+MATCH(D3019,ARTICULOS!$F$10:$F$699,0)</f>
        <v>#N/A</v>
      </c>
      <c r="C3019" s="86" t="e">
        <f>+VLOOKUP(B3019,ARTICULOS!$D$10:$I$699,6)</f>
        <v>#N/A</v>
      </c>
      <c r="D3019" s="212"/>
      <c r="E3019" s="75" t="e">
        <f t="shared" ref="E3019:E3082" si="98">+C3019&amp;F3019</f>
        <v>#N/A</v>
      </c>
      <c r="F3019" s="80"/>
      <c r="G3019" s="81"/>
      <c r="H3019" s="78"/>
      <c r="I3019" s="78"/>
      <c r="J3019" s="78"/>
    </row>
    <row r="3020" spans="1:10" x14ac:dyDescent="0.2">
      <c r="A3020" s="84">
        <f t="shared" si="97"/>
        <v>3014</v>
      </c>
      <c r="B3020" s="85" t="e">
        <f>+MATCH(D3020,ARTICULOS!$F$10:$F$699,0)</f>
        <v>#N/A</v>
      </c>
      <c r="C3020" s="86" t="e">
        <f>+VLOOKUP(B3020,ARTICULOS!$D$10:$I$699,6)</f>
        <v>#N/A</v>
      </c>
      <c r="D3020" s="212"/>
      <c r="E3020" s="75" t="e">
        <f t="shared" si="98"/>
        <v>#N/A</v>
      </c>
      <c r="F3020" s="80"/>
      <c r="G3020" s="81"/>
      <c r="H3020" s="78"/>
      <c r="I3020" s="78"/>
      <c r="J3020" s="78"/>
    </row>
    <row r="3021" spans="1:10" x14ac:dyDescent="0.2">
      <c r="A3021" s="84">
        <f t="shared" si="97"/>
        <v>3015</v>
      </c>
      <c r="B3021" s="85" t="e">
        <f>+MATCH(D3021,ARTICULOS!$F$10:$F$699,0)</f>
        <v>#N/A</v>
      </c>
      <c r="C3021" s="86" t="e">
        <f>+VLOOKUP(B3021,ARTICULOS!$D$10:$I$699,6)</f>
        <v>#N/A</v>
      </c>
      <c r="D3021" s="212"/>
      <c r="E3021" s="75" t="e">
        <f t="shared" si="98"/>
        <v>#N/A</v>
      </c>
      <c r="F3021" s="80"/>
      <c r="G3021" s="81"/>
      <c r="H3021" s="78"/>
      <c r="I3021" s="78"/>
      <c r="J3021" s="78"/>
    </row>
    <row r="3022" spans="1:10" x14ac:dyDescent="0.2">
      <c r="A3022" s="84">
        <f t="shared" si="97"/>
        <v>3016</v>
      </c>
      <c r="B3022" s="85" t="e">
        <f>+MATCH(D3022,ARTICULOS!$F$10:$F$699,0)</f>
        <v>#N/A</v>
      </c>
      <c r="C3022" s="86" t="e">
        <f>+VLOOKUP(B3022,ARTICULOS!$D$10:$I$699,6)</f>
        <v>#N/A</v>
      </c>
      <c r="D3022" s="212"/>
      <c r="E3022" s="75" t="e">
        <f t="shared" si="98"/>
        <v>#N/A</v>
      </c>
      <c r="F3022" s="80"/>
      <c r="G3022" s="81"/>
      <c r="H3022" s="78"/>
      <c r="I3022" s="78"/>
      <c r="J3022" s="78"/>
    </row>
    <row r="3023" spans="1:10" x14ac:dyDescent="0.2">
      <c r="A3023" s="84">
        <f t="shared" si="97"/>
        <v>3017</v>
      </c>
      <c r="B3023" s="85" t="e">
        <f>+MATCH(D3023,ARTICULOS!$F$10:$F$699,0)</f>
        <v>#N/A</v>
      </c>
      <c r="C3023" s="86" t="e">
        <f>+VLOOKUP(B3023,ARTICULOS!$D$10:$I$699,6)</f>
        <v>#N/A</v>
      </c>
      <c r="D3023" s="212"/>
      <c r="E3023" s="75" t="e">
        <f t="shared" si="98"/>
        <v>#N/A</v>
      </c>
      <c r="F3023" s="80"/>
      <c r="G3023" s="81"/>
      <c r="H3023" s="78"/>
      <c r="I3023" s="78"/>
      <c r="J3023" s="78"/>
    </row>
    <row r="3024" spans="1:10" x14ac:dyDescent="0.2">
      <c r="A3024" s="84">
        <f t="shared" si="97"/>
        <v>3018</v>
      </c>
      <c r="B3024" s="85" t="e">
        <f>+MATCH(D3024,ARTICULOS!$F$10:$F$699,0)</f>
        <v>#N/A</v>
      </c>
      <c r="C3024" s="86" t="e">
        <f>+VLOOKUP(B3024,ARTICULOS!$D$10:$I$699,6)</f>
        <v>#N/A</v>
      </c>
      <c r="D3024" s="212"/>
      <c r="E3024" s="75" t="e">
        <f t="shared" si="98"/>
        <v>#N/A</v>
      </c>
      <c r="F3024" s="80"/>
      <c r="G3024" s="81"/>
      <c r="H3024" s="78"/>
      <c r="I3024" s="78"/>
      <c r="J3024" s="78"/>
    </row>
    <row r="3025" spans="1:10" x14ac:dyDescent="0.2">
      <c r="A3025" s="84">
        <f t="shared" si="97"/>
        <v>3019</v>
      </c>
      <c r="B3025" s="85" t="e">
        <f>+MATCH(D3025,ARTICULOS!$F$10:$F$699,0)</f>
        <v>#N/A</v>
      </c>
      <c r="C3025" s="86" t="e">
        <f>+VLOOKUP(B3025,ARTICULOS!$D$10:$I$699,6)</f>
        <v>#N/A</v>
      </c>
      <c r="D3025" s="212"/>
      <c r="E3025" s="75" t="e">
        <f t="shared" si="98"/>
        <v>#N/A</v>
      </c>
      <c r="F3025" s="80"/>
      <c r="G3025" s="81"/>
      <c r="H3025" s="78"/>
      <c r="I3025" s="78"/>
      <c r="J3025" s="78"/>
    </row>
    <row r="3026" spans="1:10" x14ac:dyDescent="0.2">
      <c r="A3026" s="84">
        <f t="shared" si="97"/>
        <v>3020</v>
      </c>
      <c r="B3026" s="85" t="e">
        <f>+MATCH(D3026,ARTICULOS!$F$10:$F$699,0)</f>
        <v>#N/A</v>
      </c>
      <c r="C3026" s="86" t="e">
        <f>+VLOOKUP(B3026,ARTICULOS!$D$10:$I$699,6)</f>
        <v>#N/A</v>
      </c>
      <c r="D3026" s="212"/>
      <c r="E3026" s="75" t="e">
        <f t="shared" si="98"/>
        <v>#N/A</v>
      </c>
      <c r="F3026" s="80"/>
      <c r="G3026" s="81"/>
      <c r="H3026" s="78"/>
      <c r="I3026" s="78"/>
      <c r="J3026" s="78"/>
    </row>
    <row r="3027" spans="1:10" x14ac:dyDescent="0.2">
      <c r="A3027" s="84">
        <f t="shared" si="97"/>
        <v>3021</v>
      </c>
      <c r="B3027" s="85" t="e">
        <f>+MATCH(D3027,ARTICULOS!$F$10:$F$699,0)</f>
        <v>#N/A</v>
      </c>
      <c r="C3027" s="86" t="e">
        <f>+VLOOKUP(B3027,ARTICULOS!$D$10:$I$699,6)</f>
        <v>#N/A</v>
      </c>
      <c r="D3027" s="212"/>
      <c r="E3027" s="75" t="e">
        <f t="shared" si="98"/>
        <v>#N/A</v>
      </c>
      <c r="F3027" s="80"/>
      <c r="G3027" s="81"/>
      <c r="H3027" s="78"/>
      <c r="I3027" s="78"/>
      <c r="J3027" s="78"/>
    </row>
    <row r="3028" spans="1:10" x14ac:dyDescent="0.2">
      <c r="A3028" s="84">
        <f t="shared" si="97"/>
        <v>3022</v>
      </c>
      <c r="B3028" s="85" t="e">
        <f>+MATCH(D3028,ARTICULOS!$F$10:$F$699,0)</f>
        <v>#N/A</v>
      </c>
      <c r="C3028" s="86" t="e">
        <f>+VLOOKUP(B3028,ARTICULOS!$D$10:$I$699,6)</f>
        <v>#N/A</v>
      </c>
      <c r="D3028" s="212"/>
      <c r="E3028" s="75" t="e">
        <f t="shared" si="98"/>
        <v>#N/A</v>
      </c>
      <c r="F3028" s="80"/>
      <c r="G3028" s="81"/>
      <c r="H3028" s="78"/>
      <c r="I3028" s="78"/>
      <c r="J3028" s="78"/>
    </row>
    <row r="3029" spans="1:10" x14ac:dyDescent="0.2">
      <c r="A3029" s="84">
        <f t="shared" si="97"/>
        <v>3023</v>
      </c>
      <c r="B3029" s="85" t="e">
        <f>+MATCH(D3029,ARTICULOS!$F$10:$F$699,0)</f>
        <v>#N/A</v>
      </c>
      <c r="C3029" s="86" t="e">
        <f>+VLOOKUP(B3029,ARTICULOS!$D$10:$I$699,6)</f>
        <v>#N/A</v>
      </c>
      <c r="D3029" s="212"/>
      <c r="E3029" s="75" t="e">
        <f t="shared" si="98"/>
        <v>#N/A</v>
      </c>
      <c r="F3029" s="80"/>
      <c r="G3029" s="81"/>
      <c r="H3029" s="78"/>
      <c r="I3029" s="78"/>
      <c r="J3029" s="78"/>
    </row>
    <row r="3030" spans="1:10" x14ac:dyDescent="0.2">
      <c r="A3030" s="84">
        <f t="shared" si="97"/>
        <v>3024</v>
      </c>
      <c r="B3030" s="85" t="e">
        <f>+MATCH(D3030,ARTICULOS!$F$10:$F$699,0)</f>
        <v>#N/A</v>
      </c>
      <c r="C3030" s="86" t="e">
        <f>+VLOOKUP(B3030,ARTICULOS!$D$10:$I$699,6)</f>
        <v>#N/A</v>
      </c>
      <c r="D3030" s="212"/>
      <c r="E3030" s="75" t="e">
        <f t="shared" si="98"/>
        <v>#N/A</v>
      </c>
      <c r="F3030" s="80"/>
      <c r="G3030" s="81"/>
      <c r="H3030" s="78"/>
      <c r="I3030" s="78"/>
      <c r="J3030" s="78"/>
    </row>
    <row r="3031" spans="1:10" x14ac:dyDescent="0.2">
      <c r="A3031" s="84">
        <f t="shared" si="97"/>
        <v>3025</v>
      </c>
      <c r="B3031" s="85" t="e">
        <f>+MATCH(D3031,ARTICULOS!$F$10:$F$699,0)</f>
        <v>#N/A</v>
      </c>
      <c r="C3031" s="86" t="e">
        <f>+VLOOKUP(B3031,ARTICULOS!$D$10:$I$699,6)</f>
        <v>#N/A</v>
      </c>
      <c r="D3031" s="212"/>
      <c r="E3031" s="75" t="e">
        <f t="shared" si="98"/>
        <v>#N/A</v>
      </c>
      <c r="F3031" s="80"/>
      <c r="G3031" s="81"/>
      <c r="H3031" s="78"/>
      <c r="I3031" s="78"/>
      <c r="J3031" s="78"/>
    </row>
    <row r="3032" spans="1:10" x14ac:dyDescent="0.2">
      <c r="A3032" s="84">
        <f t="shared" si="97"/>
        <v>3026</v>
      </c>
      <c r="B3032" s="85" t="e">
        <f>+MATCH(D3032,ARTICULOS!$F$10:$F$699,0)</f>
        <v>#N/A</v>
      </c>
      <c r="C3032" s="86" t="e">
        <f>+VLOOKUP(B3032,ARTICULOS!$D$10:$I$699,6)</f>
        <v>#N/A</v>
      </c>
      <c r="D3032" s="212"/>
      <c r="E3032" s="75" t="e">
        <f t="shared" si="98"/>
        <v>#N/A</v>
      </c>
      <c r="F3032" s="80"/>
      <c r="G3032" s="81"/>
      <c r="H3032" s="78"/>
      <c r="I3032" s="78"/>
      <c r="J3032" s="78"/>
    </row>
    <row r="3033" spans="1:10" x14ac:dyDescent="0.2">
      <c r="A3033" s="84">
        <f t="shared" si="97"/>
        <v>3027</v>
      </c>
      <c r="B3033" s="85" t="e">
        <f>+MATCH(D3033,ARTICULOS!$F$10:$F$699,0)</f>
        <v>#N/A</v>
      </c>
      <c r="C3033" s="86" t="e">
        <f>+VLOOKUP(B3033,ARTICULOS!$D$10:$I$699,6)</f>
        <v>#N/A</v>
      </c>
      <c r="D3033" s="212"/>
      <c r="E3033" s="75" t="e">
        <f t="shared" si="98"/>
        <v>#N/A</v>
      </c>
      <c r="F3033" s="80"/>
      <c r="G3033" s="81"/>
      <c r="H3033" s="78"/>
      <c r="I3033" s="78"/>
      <c r="J3033" s="78"/>
    </row>
    <row r="3034" spans="1:10" x14ac:dyDescent="0.2">
      <c r="A3034" s="84">
        <f t="shared" si="97"/>
        <v>3028</v>
      </c>
      <c r="B3034" s="85" t="e">
        <f>+MATCH(D3034,ARTICULOS!$F$10:$F$699,0)</f>
        <v>#N/A</v>
      </c>
      <c r="C3034" s="86" t="e">
        <f>+VLOOKUP(B3034,ARTICULOS!$D$10:$I$699,6)</f>
        <v>#N/A</v>
      </c>
      <c r="D3034" s="212"/>
      <c r="E3034" s="75" t="e">
        <f t="shared" si="98"/>
        <v>#N/A</v>
      </c>
      <c r="F3034" s="80"/>
      <c r="G3034" s="81"/>
      <c r="H3034" s="78"/>
      <c r="I3034" s="78"/>
      <c r="J3034" s="78"/>
    </row>
    <row r="3035" spans="1:10" x14ac:dyDescent="0.2">
      <c r="A3035" s="84">
        <f t="shared" si="97"/>
        <v>3029</v>
      </c>
      <c r="B3035" s="85" t="e">
        <f>+MATCH(D3035,ARTICULOS!$F$10:$F$699,0)</f>
        <v>#N/A</v>
      </c>
      <c r="C3035" s="86" t="e">
        <f>+VLOOKUP(B3035,ARTICULOS!$D$10:$I$699,6)</f>
        <v>#N/A</v>
      </c>
      <c r="D3035" s="212"/>
      <c r="E3035" s="75" t="e">
        <f t="shared" si="98"/>
        <v>#N/A</v>
      </c>
      <c r="F3035" s="80"/>
      <c r="G3035" s="81"/>
      <c r="H3035" s="78"/>
      <c r="I3035" s="78"/>
      <c r="J3035" s="78"/>
    </row>
    <row r="3036" spans="1:10" x14ac:dyDescent="0.2">
      <c r="A3036" s="84">
        <f t="shared" si="97"/>
        <v>3030</v>
      </c>
      <c r="B3036" s="85" t="e">
        <f>+MATCH(D3036,ARTICULOS!$F$10:$F$699,0)</f>
        <v>#N/A</v>
      </c>
      <c r="C3036" s="86" t="e">
        <f>+VLOOKUP(B3036,ARTICULOS!$D$10:$I$699,6)</f>
        <v>#N/A</v>
      </c>
      <c r="D3036" s="212"/>
      <c r="E3036" s="75" t="e">
        <f t="shared" si="98"/>
        <v>#N/A</v>
      </c>
      <c r="F3036" s="80"/>
      <c r="G3036" s="81"/>
      <c r="H3036" s="78"/>
      <c r="I3036" s="78"/>
      <c r="J3036" s="78"/>
    </row>
    <row r="3037" spans="1:10" x14ac:dyDescent="0.2">
      <c r="A3037" s="84">
        <f t="shared" si="97"/>
        <v>3031</v>
      </c>
      <c r="B3037" s="85" t="e">
        <f>+MATCH(D3037,ARTICULOS!$F$10:$F$699,0)</f>
        <v>#N/A</v>
      </c>
      <c r="C3037" s="86" t="e">
        <f>+VLOOKUP(B3037,ARTICULOS!$D$10:$I$699,6)</f>
        <v>#N/A</v>
      </c>
      <c r="D3037" s="212"/>
      <c r="E3037" s="75" t="e">
        <f t="shared" si="98"/>
        <v>#N/A</v>
      </c>
      <c r="F3037" s="80"/>
      <c r="G3037" s="81"/>
      <c r="H3037" s="78"/>
      <c r="I3037" s="78"/>
      <c r="J3037" s="78"/>
    </row>
    <row r="3038" spans="1:10" x14ac:dyDescent="0.2">
      <c r="A3038" s="84">
        <f t="shared" si="97"/>
        <v>3032</v>
      </c>
      <c r="B3038" s="85" t="e">
        <f>+MATCH(D3038,ARTICULOS!$F$10:$F$699,0)</f>
        <v>#N/A</v>
      </c>
      <c r="C3038" s="86" t="e">
        <f>+VLOOKUP(B3038,ARTICULOS!$D$10:$I$699,6)</f>
        <v>#N/A</v>
      </c>
      <c r="D3038" s="212"/>
      <c r="E3038" s="75" t="e">
        <f t="shared" si="98"/>
        <v>#N/A</v>
      </c>
      <c r="F3038" s="80"/>
      <c r="G3038" s="81"/>
      <c r="H3038" s="78"/>
      <c r="I3038" s="78"/>
      <c r="J3038" s="78"/>
    </row>
    <row r="3039" spans="1:10" x14ac:dyDescent="0.2">
      <c r="A3039" s="84">
        <f t="shared" si="97"/>
        <v>3033</v>
      </c>
      <c r="B3039" s="85" t="e">
        <f>+MATCH(D3039,ARTICULOS!$F$10:$F$699,0)</f>
        <v>#N/A</v>
      </c>
      <c r="C3039" s="86" t="e">
        <f>+VLOOKUP(B3039,ARTICULOS!$D$10:$I$699,6)</f>
        <v>#N/A</v>
      </c>
      <c r="D3039" s="212"/>
      <c r="E3039" s="75" t="e">
        <f t="shared" si="98"/>
        <v>#N/A</v>
      </c>
      <c r="F3039" s="80"/>
      <c r="G3039" s="81"/>
      <c r="H3039" s="78"/>
      <c r="I3039" s="78"/>
      <c r="J3039" s="78"/>
    </row>
    <row r="3040" spans="1:10" x14ac:dyDescent="0.2">
      <c r="A3040" s="84">
        <f t="shared" si="97"/>
        <v>3034</v>
      </c>
      <c r="B3040" s="85" t="e">
        <f>+MATCH(D3040,ARTICULOS!$F$10:$F$699,0)</f>
        <v>#N/A</v>
      </c>
      <c r="C3040" s="86" t="e">
        <f>+VLOOKUP(B3040,ARTICULOS!$D$10:$I$699,6)</f>
        <v>#N/A</v>
      </c>
      <c r="D3040" s="212"/>
      <c r="E3040" s="75" t="e">
        <f t="shared" si="98"/>
        <v>#N/A</v>
      </c>
      <c r="F3040" s="80"/>
      <c r="G3040" s="81"/>
      <c r="H3040" s="78"/>
      <c r="I3040" s="78"/>
      <c r="J3040" s="78"/>
    </row>
    <row r="3041" spans="1:10" x14ac:dyDescent="0.2">
      <c r="A3041" s="84">
        <f t="shared" si="97"/>
        <v>3035</v>
      </c>
      <c r="B3041" s="85" t="e">
        <f>+MATCH(D3041,ARTICULOS!$F$10:$F$699,0)</f>
        <v>#N/A</v>
      </c>
      <c r="C3041" s="86" t="e">
        <f>+VLOOKUP(B3041,ARTICULOS!$D$10:$I$699,6)</f>
        <v>#N/A</v>
      </c>
      <c r="D3041" s="212"/>
      <c r="E3041" s="75" t="e">
        <f t="shared" si="98"/>
        <v>#N/A</v>
      </c>
      <c r="F3041" s="80"/>
      <c r="G3041" s="81"/>
      <c r="H3041" s="78"/>
      <c r="I3041" s="78"/>
      <c r="J3041" s="78"/>
    </row>
    <row r="3042" spans="1:10" x14ac:dyDescent="0.2">
      <c r="A3042" s="84">
        <f t="shared" si="97"/>
        <v>3036</v>
      </c>
      <c r="B3042" s="85" t="e">
        <f>+MATCH(D3042,ARTICULOS!$F$10:$F$699,0)</f>
        <v>#N/A</v>
      </c>
      <c r="C3042" s="86" t="e">
        <f>+VLOOKUP(B3042,ARTICULOS!$D$10:$I$699,6)</f>
        <v>#N/A</v>
      </c>
      <c r="D3042" s="212"/>
      <c r="E3042" s="75" t="e">
        <f t="shared" si="98"/>
        <v>#N/A</v>
      </c>
      <c r="F3042" s="80"/>
      <c r="G3042" s="81"/>
      <c r="H3042" s="78"/>
      <c r="I3042" s="78"/>
      <c r="J3042" s="78"/>
    </row>
    <row r="3043" spans="1:10" x14ac:dyDescent="0.2">
      <c r="A3043" s="84">
        <f t="shared" si="97"/>
        <v>3037</v>
      </c>
      <c r="B3043" s="85" t="e">
        <f>+MATCH(D3043,ARTICULOS!$F$10:$F$699,0)</f>
        <v>#N/A</v>
      </c>
      <c r="C3043" s="86" t="e">
        <f>+VLOOKUP(B3043,ARTICULOS!$D$10:$I$699,6)</f>
        <v>#N/A</v>
      </c>
      <c r="D3043" s="212"/>
      <c r="E3043" s="75" t="e">
        <f t="shared" si="98"/>
        <v>#N/A</v>
      </c>
      <c r="F3043" s="80"/>
      <c r="G3043" s="81"/>
      <c r="H3043" s="78"/>
      <c r="I3043" s="78"/>
      <c r="J3043" s="78"/>
    </row>
    <row r="3044" spans="1:10" x14ac:dyDescent="0.2">
      <c r="A3044" s="84">
        <f t="shared" si="97"/>
        <v>3038</v>
      </c>
      <c r="B3044" s="85" t="e">
        <f>+MATCH(D3044,ARTICULOS!$F$10:$F$699,0)</f>
        <v>#N/A</v>
      </c>
      <c r="C3044" s="86" t="e">
        <f>+VLOOKUP(B3044,ARTICULOS!$D$10:$I$699,6)</f>
        <v>#N/A</v>
      </c>
      <c r="D3044" s="212"/>
      <c r="E3044" s="75" t="e">
        <f t="shared" si="98"/>
        <v>#N/A</v>
      </c>
      <c r="F3044" s="80"/>
      <c r="G3044" s="81"/>
      <c r="H3044" s="78"/>
      <c r="I3044" s="78"/>
      <c r="J3044" s="78"/>
    </row>
    <row r="3045" spans="1:10" x14ac:dyDescent="0.2">
      <c r="A3045" s="84">
        <f t="shared" si="97"/>
        <v>3039</v>
      </c>
      <c r="B3045" s="85" t="e">
        <f>+MATCH(D3045,ARTICULOS!$F$10:$F$699,0)</f>
        <v>#N/A</v>
      </c>
      <c r="C3045" s="86" t="e">
        <f>+VLOOKUP(B3045,ARTICULOS!$D$10:$I$699,6)</f>
        <v>#N/A</v>
      </c>
      <c r="D3045" s="212"/>
      <c r="E3045" s="75" t="e">
        <f t="shared" si="98"/>
        <v>#N/A</v>
      </c>
      <c r="F3045" s="80"/>
      <c r="G3045" s="81"/>
      <c r="H3045" s="78"/>
      <c r="I3045" s="78"/>
      <c r="J3045" s="78"/>
    </row>
    <row r="3046" spans="1:10" x14ac:dyDescent="0.2">
      <c r="A3046" s="84">
        <f t="shared" si="97"/>
        <v>3040</v>
      </c>
      <c r="B3046" s="85" t="e">
        <f>+MATCH(D3046,ARTICULOS!$F$10:$F$699,0)</f>
        <v>#N/A</v>
      </c>
      <c r="C3046" s="86" t="e">
        <f>+VLOOKUP(B3046,ARTICULOS!$D$10:$I$699,6)</f>
        <v>#N/A</v>
      </c>
      <c r="D3046" s="212"/>
      <c r="E3046" s="75" t="e">
        <f t="shared" si="98"/>
        <v>#N/A</v>
      </c>
      <c r="F3046" s="80"/>
      <c r="G3046" s="81"/>
      <c r="H3046" s="78"/>
      <c r="I3046" s="78"/>
      <c r="J3046" s="78"/>
    </row>
    <row r="3047" spans="1:10" x14ac:dyDescent="0.2">
      <c r="A3047" s="84">
        <f t="shared" si="97"/>
        <v>3041</v>
      </c>
      <c r="B3047" s="85" t="e">
        <f>+MATCH(D3047,ARTICULOS!$F$10:$F$699,0)</f>
        <v>#N/A</v>
      </c>
      <c r="C3047" s="86" t="e">
        <f>+VLOOKUP(B3047,ARTICULOS!$D$10:$I$699,6)</f>
        <v>#N/A</v>
      </c>
      <c r="D3047" s="212"/>
      <c r="E3047" s="75" t="e">
        <f t="shared" si="98"/>
        <v>#N/A</v>
      </c>
      <c r="F3047" s="80"/>
      <c r="G3047" s="81"/>
      <c r="H3047" s="78"/>
      <c r="I3047" s="78"/>
      <c r="J3047" s="78"/>
    </row>
    <row r="3048" spans="1:10" x14ac:dyDescent="0.2">
      <c r="A3048" s="84">
        <f t="shared" si="97"/>
        <v>3042</v>
      </c>
      <c r="B3048" s="85" t="e">
        <f>+MATCH(D3048,ARTICULOS!$F$10:$F$699,0)</f>
        <v>#N/A</v>
      </c>
      <c r="C3048" s="86" t="e">
        <f>+VLOOKUP(B3048,ARTICULOS!$D$10:$I$699,6)</f>
        <v>#N/A</v>
      </c>
      <c r="D3048" s="212"/>
      <c r="E3048" s="75" t="e">
        <f t="shared" si="98"/>
        <v>#N/A</v>
      </c>
      <c r="F3048" s="80"/>
      <c r="G3048" s="81"/>
      <c r="H3048" s="78"/>
      <c r="I3048" s="78"/>
      <c r="J3048" s="78"/>
    </row>
    <row r="3049" spans="1:10" x14ac:dyDescent="0.2">
      <c r="A3049" s="84">
        <f t="shared" ref="A3049:A3112" si="99">ROW()-6</f>
        <v>3043</v>
      </c>
      <c r="B3049" s="85" t="e">
        <f>+MATCH(D3049,ARTICULOS!$F$10:$F$699,0)</f>
        <v>#N/A</v>
      </c>
      <c r="C3049" s="86" t="e">
        <f>+VLOOKUP(B3049,ARTICULOS!$D$10:$I$699,6)</f>
        <v>#N/A</v>
      </c>
      <c r="D3049" s="212"/>
      <c r="E3049" s="75" t="e">
        <f t="shared" si="98"/>
        <v>#N/A</v>
      </c>
      <c r="F3049" s="80"/>
      <c r="G3049" s="81"/>
      <c r="H3049" s="78"/>
      <c r="I3049" s="78"/>
      <c r="J3049" s="78"/>
    </row>
    <row r="3050" spans="1:10" x14ac:dyDescent="0.2">
      <c r="A3050" s="84">
        <f t="shared" si="99"/>
        <v>3044</v>
      </c>
      <c r="B3050" s="85" t="e">
        <f>+MATCH(D3050,ARTICULOS!$F$10:$F$699,0)</f>
        <v>#N/A</v>
      </c>
      <c r="C3050" s="86" t="e">
        <f>+VLOOKUP(B3050,ARTICULOS!$D$10:$I$699,6)</f>
        <v>#N/A</v>
      </c>
      <c r="D3050" s="212"/>
      <c r="E3050" s="75" t="e">
        <f t="shared" si="98"/>
        <v>#N/A</v>
      </c>
      <c r="F3050" s="80"/>
      <c r="G3050" s="81"/>
      <c r="H3050" s="78"/>
      <c r="I3050" s="78"/>
      <c r="J3050" s="78"/>
    </row>
    <row r="3051" spans="1:10" x14ac:dyDescent="0.2">
      <c r="A3051" s="84">
        <f t="shared" si="99"/>
        <v>3045</v>
      </c>
      <c r="B3051" s="85" t="e">
        <f>+MATCH(D3051,ARTICULOS!$F$10:$F$699,0)</f>
        <v>#N/A</v>
      </c>
      <c r="C3051" s="86" t="e">
        <f>+VLOOKUP(B3051,ARTICULOS!$D$10:$I$699,6)</f>
        <v>#N/A</v>
      </c>
      <c r="D3051" s="212"/>
      <c r="E3051" s="75" t="e">
        <f t="shared" si="98"/>
        <v>#N/A</v>
      </c>
      <c r="F3051" s="80"/>
      <c r="G3051" s="81"/>
      <c r="H3051" s="78"/>
      <c r="I3051" s="78"/>
      <c r="J3051" s="78"/>
    </row>
    <row r="3052" spans="1:10" x14ac:dyDescent="0.2">
      <c r="A3052" s="84">
        <f t="shared" si="99"/>
        <v>3046</v>
      </c>
      <c r="B3052" s="85" t="e">
        <f>+MATCH(D3052,ARTICULOS!$F$10:$F$699,0)</f>
        <v>#N/A</v>
      </c>
      <c r="C3052" s="86" t="e">
        <f>+VLOOKUP(B3052,ARTICULOS!$D$10:$I$699,6)</f>
        <v>#N/A</v>
      </c>
      <c r="D3052" s="212"/>
      <c r="E3052" s="75" t="e">
        <f t="shared" si="98"/>
        <v>#N/A</v>
      </c>
      <c r="F3052" s="80"/>
      <c r="G3052" s="81"/>
      <c r="H3052" s="78"/>
      <c r="I3052" s="78"/>
      <c r="J3052" s="78"/>
    </row>
    <row r="3053" spans="1:10" x14ac:dyDescent="0.2">
      <c r="A3053" s="84">
        <f t="shared" si="99"/>
        <v>3047</v>
      </c>
      <c r="B3053" s="85" t="e">
        <f>+MATCH(D3053,ARTICULOS!$F$10:$F$699,0)</f>
        <v>#N/A</v>
      </c>
      <c r="C3053" s="86" t="e">
        <f>+VLOOKUP(B3053,ARTICULOS!$D$10:$I$699,6)</f>
        <v>#N/A</v>
      </c>
      <c r="D3053" s="212"/>
      <c r="E3053" s="75" t="e">
        <f t="shared" si="98"/>
        <v>#N/A</v>
      </c>
      <c r="F3053" s="80"/>
      <c r="G3053" s="81"/>
      <c r="H3053" s="78"/>
      <c r="I3053" s="78"/>
      <c r="J3053" s="78"/>
    </row>
    <row r="3054" spans="1:10" x14ac:dyDescent="0.2">
      <c r="A3054" s="84">
        <f t="shared" si="99"/>
        <v>3048</v>
      </c>
      <c r="B3054" s="85" t="e">
        <f>+MATCH(D3054,ARTICULOS!$F$10:$F$699,0)</f>
        <v>#N/A</v>
      </c>
      <c r="C3054" s="86" t="e">
        <f>+VLOOKUP(B3054,ARTICULOS!$D$10:$I$699,6)</f>
        <v>#N/A</v>
      </c>
      <c r="D3054" s="212"/>
      <c r="E3054" s="75" t="e">
        <f t="shared" si="98"/>
        <v>#N/A</v>
      </c>
      <c r="F3054" s="80"/>
      <c r="G3054" s="81"/>
      <c r="H3054" s="78"/>
      <c r="I3054" s="78"/>
      <c r="J3054" s="78"/>
    </row>
    <row r="3055" spans="1:10" x14ac:dyDescent="0.2">
      <c r="A3055" s="84">
        <f t="shared" si="99"/>
        <v>3049</v>
      </c>
      <c r="B3055" s="85" t="e">
        <f>+MATCH(D3055,ARTICULOS!$F$10:$F$699,0)</f>
        <v>#N/A</v>
      </c>
      <c r="C3055" s="86" t="e">
        <f>+VLOOKUP(B3055,ARTICULOS!$D$10:$I$699,6)</f>
        <v>#N/A</v>
      </c>
      <c r="D3055" s="212"/>
      <c r="E3055" s="75" t="e">
        <f t="shared" si="98"/>
        <v>#N/A</v>
      </c>
      <c r="F3055" s="80"/>
      <c r="G3055" s="81"/>
      <c r="H3055" s="78"/>
      <c r="I3055" s="78"/>
      <c r="J3055" s="78"/>
    </row>
    <row r="3056" spans="1:10" x14ac:dyDescent="0.2">
      <c r="A3056" s="84">
        <f t="shared" si="99"/>
        <v>3050</v>
      </c>
      <c r="B3056" s="85" t="e">
        <f>+MATCH(D3056,ARTICULOS!$F$10:$F$699,0)</f>
        <v>#N/A</v>
      </c>
      <c r="C3056" s="86" t="e">
        <f>+VLOOKUP(B3056,ARTICULOS!$D$10:$I$699,6)</f>
        <v>#N/A</v>
      </c>
      <c r="D3056" s="212"/>
      <c r="E3056" s="75" t="e">
        <f t="shared" si="98"/>
        <v>#N/A</v>
      </c>
      <c r="F3056" s="80"/>
      <c r="G3056" s="81"/>
      <c r="H3056" s="78"/>
      <c r="I3056" s="78"/>
      <c r="J3056" s="78"/>
    </row>
    <row r="3057" spans="1:10" x14ac:dyDescent="0.2">
      <c r="A3057" s="84">
        <f t="shared" si="99"/>
        <v>3051</v>
      </c>
      <c r="B3057" s="85" t="e">
        <f>+MATCH(D3057,ARTICULOS!$F$10:$F$699,0)</f>
        <v>#N/A</v>
      </c>
      <c r="C3057" s="86" t="e">
        <f>+VLOOKUP(B3057,ARTICULOS!$D$10:$I$699,6)</f>
        <v>#N/A</v>
      </c>
      <c r="D3057" s="212"/>
      <c r="E3057" s="75" t="e">
        <f t="shared" si="98"/>
        <v>#N/A</v>
      </c>
      <c r="F3057" s="80"/>
      <c r="G3057" s="81"/>
      <c r="H3057" s="78"/>
      <c r="I3057" s="78"/>
      <c r="J3057" s="78"/>
    </row>
    <row r="3058" spans="1:10" x14ac:dyDescent="0.2">
      <c r="A3058" s="84">
        <f t="shared" si="99"/>
        <v>3052</v>
      </c>
      <c r="B3058" s="85" t="e">
        <f>+MATCH(D3058,ARTICULOS!$F$10:$F$699,0)</f>
        <v>#N/A</v>
      </c>
      <c r="C3058" s="86" t="e">
        <f>+VLOOKUP(B3058,ARTICULOS!$D$10:$I$699,6)</f>
        <v>#N/A</v>
      </c>
      <c r="D3058" s="212"/>
      <c r="E3058" s="75" t="e">
        <f t="shared" si="98"/>
        <v>#N/A</v>
      </c>
      <c r="F3058" s="80"/>
      <c r="G3058" s="81"/>
      <c r="H3058" s="78"/>
      <c r="I3058" s="78"/>
      <c r="J3058" s="78"/>
    </row>
    <row r="3059" spans="1:10" x14ac:dyDescent="0.2">
      <c r="A3059" s="84">
        <f t="shared" si="99"/>
        <v>3053</v>
      </c>
      <c r="B3059" s="85" t="e">
        <f>+MATCH(D3059,ARTICULOS!$F$10:$F$699,0)</f>
        <v>#N/A</v>
      </c>
      <c r="C3059" s="86" t="e">
        <f>+VLOOKUP(B3059,ARTICULOS!$D$10:$I$699,6)</f>
        <v>#N/A</v>
      </c>
      <c r="D3059" s="212"/>
      <c r="E3059" s="75" t="e">
        <f t="shared" si="98"/>
        <v>#N/A</v>
      </c>
      <c r="F3059" s="80"/>
      <c r="G3059" s="81"/>
      <c r="H3059" s="78"/>
      <c r="I3059" s="78"/>
      <c r="J3059" s="78"/>
    </row>
    <row r="3060" spans="1:10" x14ac:dyDescent="0.2">
      <c r="A3060" s="84">
        <f t="shared" si="99"/>
        <v>3054</v>
      </c>
      <c r="B3060" s="85" t="e">
        <f>+MATCH(D3060,ARTICULOS!$F$10:$F$699,0)</f>
        <v>#N/A</v>
      </c>
      <c r="C3060" s="86" t="e">
        <f>+VLOOKUP(B3060,ARTICULOS!$D$10:$I$699,6)</f>
        <v>#N/A</v>
      </c>
      <c r="D3060" s="212"/>
      <c r="E3060" s="75" t="e">
        <f t="shared" si="98"/>
        <v>#N/A</v>
      </c>
      <c r="F3060" s="80"/>
      <c r="G3060" s="81"/>
      <c r="H3060" s="78"/>
      <c r="I3060" s="78"/>
      <c r="J3060" s="78"/>
    </row>
    <row r="3061" spans="1:10" x14ac:dyDescent="0.2">
      <c r="A3061" s="84">
        <f t="shared" si="99"/>
        <v>3055</v>
      </c>
      <c r="B3061" s="85" t="e">
        <f>+MATCH(D3061,ARTICULOS!$F$10:$F$699,0)</f>
        <v>#N/A</v>
      </c>
      <c r="C3061" s="86" t="e">
        <f>+VLOOKUP(B3061,ARTICULOS!$D$10:$I$699,6)</f>
        <v>#N/A</v>
      </c>
      <c r="D3061" s="212"/>
      <c r="E3061" s="75" t="e">
        <f t="shared" si="98"/>
        <v>#N/A</v>
      </c>
      <c r="F3061" s="80"/>
      <c r="G3061" s="81"/>
      <c r="H3061" s="78"/>
      <c r="I3061" s="78"/>
      <c r="J3061" s="78"/>
    </row>
    <row r="3062" spans="1:10" x14ac:dyDescent="0.2">
      <c r="A3062" s="84">
        <f t="shared" si="99"/>
        <v>3056</v>
      </c>
      <c r="B3062" s="85" t="e">
        <f>+MATCH(D3062,ARTICULOS!$F$10:$F$699,0)</f>
        <v>#N/A</v>
      </c>
      <c r="C3062" s="86" t="e">
        <f>+VLOOKUP(B3062,ARTICULOS!$D$10:$I$699,6)</f>
        <v>#N/A</v>
      </c>
      <c r="D3062" s="212"/>
      <c r="E3062" s="75" t="e">
        <f t="shared" si="98"/>
        <v>#N/A</v>
      </c>
      <c r="F3062" s="80"/>
      <c r="G3062" s="81"/>
      <c r="H3062" s="78"/>
      <c r="I3062" s="78"/>
      <c r="J3062" s="78"/>
    </row>
    <row r="3063" spans="1:10" x14ac:dyDescent="0.2">
      <c r="A3063" s="84">
        <f t="shared" si="99"/>
        <v>3057</v>
      </c>
      <c r="B3063" s="85" t="e">
        <f>+MATCH(D3063,ARTICULOS!$F$10:$F$699,0)</f>
        <v>#N/A</v>
      </c>
      <c r="C3063" s="86" t="e">
        <f>+VLOOKUP(B3063,ARTICULOS!$D$10:$I$699,6)</f>
        <v>#N/A</v>
      </c>
      <c r="D3063" s="212"/>
      <c r="E3063" s="75" t="e">
        <f t="shared" si="98"/>
        <v>#N/A</v>
      </c>
      <c r="F3063" s="80"/>
      <c r="G3063" s="81"/>
      <c r="H3063" s="78"/>
      <c r="I3063" s="78"/>
      <c r="J3063" s="78"/>
    </row>
    <row r="3064" spans="1:10" x14ac:dyDescent="0.2">
      <c r="A3064" s="84">
        <f t="shared" si="99"/>
        <v>3058</v>
      </c>
      <c r="B3064" s="85" t="e">
        <f>+MATCH(D3064,ARTICULOS!$F$10:$F$699,0)</f>
        <v>#N/A</v>
      </c>
      <c r="C3064" s="86" t="e">
        <f>+VLOOKUP(B3064,ARTICULOS!$D$10:$I$699,6)</f>
        <v>#N/A</v>
      </c>
      <c r="D3064" s="212"/>
      <c r="E3064" s="75" t="e">
        <f t="shared" si="98"/>
        <v>#N/A</v>
      </c>
      <c r="F3064" s="80"/>
      <c r="G3064" s="81"/>
      <c r="H3064" s="78"/>
      <c r="I3064" s="78"/>
      <c r="J3064" s="78"/>
    </row>
    <row r="3065" spans="1:10" x14ac:dyDescent="0.2">
      <c r="A3065" s="84">
        <f t="shared" si="99"/>
        <v>3059</v>
      </c>
      <c r="B3065" s="85" t="e">
        <f>+MATCH(D3065,ARTICULOS!$F$10:$F$699,0)</f>
        <v>#N/A</v>
      </c>
      <c r="C3065" s="86" t="e">
        <f>+VLOOKUP(B3065,ARTICULOS!$D$10:$I$699,6)</f>
        <v>#N/A</v>
      </c>
      <c r="D3065" s="212"/>
      <c r="E3065" s="75" t="e">
        <f t="shared" si="98"/>
        <v>#N/A</v>
      </c>
      <c r="F3065" s="80"/>
      <c r="G3065" s="81"/>
      <c r="H3065" s="78"/>
      <c r="I3065" s="78"/>
      <c r="J3065" s="78"/>
    </row>
    <row r="3066" spans="1:10" x14ac:dyDescent="0.2">
      <c r="A3066" s="84">
        <f t="shared" si="99"/>
        <v>3060</v>
      </c>
      <c r="B3066" s="85" t="e">
        <f>+MATCH(D3066,ARTICULOS!$F$10:$F$699,0)</f>
        <v>#N/A</v>
      </c>
      <c r="C3066" s="86" t="e">
        <f>+VLOOKUP(B3066,ARTICULOS!$D$10:$I$699,6)</f>
        <v>#N/A</v>
      </c>
      <c r="D3066" s="212"/>
      <c r="E3066" s="75" t="e">
        <f t="shared" si="98"/>
        <v>#N/A</v>
      </c>
      <c r="F3066" s="80"/>
      <c r="G3066" s="81"/>
      <c r="H3066" s="78"/>
      <c r="I3066" s="78"/>
      <c r="J3066" s="78"/>
    </row>
    <row r="3067" spans="1:10" x14ac:dyDescent="0.2">
      <c r="A3067" s="84">
        <f t="shared" si="99"/>
        <v>3061</v>
      </c>
      <c r="B3067" s="85" t="e">
        <f>+MATCH(D3067,ARTICULOS!$F$10:$F$699,0)</f>
        <v>#N/A</v>
      </c>
      <c r="C3067" s="86" t="e">
        <f>+VLOOKUP(B3067,ARTICULOS!$D$10:$I$699,6)</f>
        <v>#N/A</v>
      </c>
      <c r="D3067" s="212"/>
      <c r="E3067" s="75" t="e">
        <f t="shared" si="98"/>
        <v>#N/A</v>
      </c>
      <c r="F3067" s="80"/>
      <c r="G3067" s="81"/>
      <c r="H3067" s="78"/>
      <c r="I3067" s="78"/>
      <c r="J3067" s="78"/>
    </row>
    <row r="3068" spans="1:10" x14ac:dyDescent="0.2">
      <c r="A3068" s="84">
        <f t="shared" si="99"/>
        <v>3062</v>
      </c>
      <c r="B3068" s="85" t="e">
        <f>+MATCH(D3068,ARTICULOS!$F$10:$F$699,0)</f>
        <v>#N/A</v>
      </c>
      <c r="C3068" s="86" t="e">
        <f>+VLOOKUP(B3068,ARTICULOS!$D$10:$I$699,6)</f>
        <v>#N/A</v>
      </c>
      <c r="D3068" s="212"/>
      <c r="E3068" s="75" t="e">
        <f t="shared" si="98"/>
        <v>#N/A</v>
      </c>
      <c r="F3068" s="80"/>
      <c r="G3068" s="81"/>
      <c r="H3068" s="78"/>
      <c r="I3068" s="78"/>
      <c r="J3068" s="78"/>
    </row>
    <row r="3069" spans="1:10" x14ac:dyDescent="0.2">
      <c r="A3069" s="84">
        <f t="shared" si="99"/>
        <v>3063</v>
      </c>
      <c r="B3069" s="85" t="e">
        <f>+MATCH(D3069,ARTICULOS!$F$10:$F$699,0)</f>
        <v>#N/A</v>
      </c>
      <c r="C3069" s="86" t="e">
        <f>+VLOOKUP(B3069,ARTICULOS!$D$10:$I$699,6)</f>
        <v>#N/A</v>
      </c>
      <c r="D3069" s="212"/>
      <c r="E3069" s="75" t="e">
        <f t="shared" si="98"/>
        <v>#N/A</v>
      </c>
      <c r="F3069" s="80"/>
      <c r="G3069" s="81"/>
      <c r="H3069" s="78"/>
      <c r="I3069" s="78"/>
      <c r="J3069" s="78"/>
    </row>
    <row r="3070" spans="1:10" x14ac:dyDescent="0.2">
      <c r="A3070" s="84">
        <f t="shared" si="99"/>
        <v>3064</v>
      </c>
      <c r="B3070" s="85" t="e">
        <f>+MATCH(D3070,ARTICULOS!$F$10:$F$699,0)</f>
        <v>#N/A</v>
      </c>
      <c r="C3070" s="86" t="e">
        <f>+VLOOKUP(B3070,ARTICULOS!$D$10:$I$699,6)</f>
        <v>#N/A</v>
      </c>
      <c r="D3070" s="212"/>
      <c r="E3070" s="75" t="e">
        <f t="shared" si="98"/>
        <v>#N/A</v>
      </c>
      <c r="F3070" s="80"/>
      <c r="G3070" s="81"/>
      <c r="H3070" s="78"/>
      <c r="I3070" s="78"/>
      <c r="J3070" s="78"/>
    </row>
    <row r="3071" spans="1:10" x14ac:dyDescent="0.2">
      <c r="A3071" s="84">
        <f t="shared" si="99"/>
        <v>3065</v>
      </c>
      <c r="B3071" s="85" t="e">
        <f>+MATCH(D3071,ARTICULOS!$F$10:$F$699,0)</f>
        <v>#N/A</v>
      </c>
      <c r="C3071" s="86" t="e">
        <f>+VLOOKUP(B3071,ARTICULOS!$D$10:$I$699,6)</f>
        <v>#N/A</v>
      </c>
      <c r="D3071" s="212"/>
      <c r="E3071" s="75" t="e">
        <f t="shared" si="98"/>
        <v>#N/A</v>
      </c>
      <c r="F3071" s="80"/>
      <c r="G3071" s="81"/>
      <c r="H3071" s="78"/>
      <c r="I3071" s="78"/>
      <c r="J3071" s="78"/>
    </row>
    <row r="3072" spans="1:10" x14ac:dyDescent="0.2">
      <c r="A3072" s="84">
        <f t="shared" si="99"/>
        <v>3066</v>
      </c>
      <c r="B3072" s="85" t="e">
        <f>+MATCH(D3072,ARTICULOS!$F$10:$F$699,0)</f>
        <v>#N/A</v>
      </c>
      <c r="C3072" s="86" t="e">
        <f>+VLOOKUP(B3072,ARTICULOS!$D$10:$I$699,6)</f>
        <v>#N/A</v>
      </c>
      <c r="D3072" s="212"/>
      <c r="E3072" s="75" t="e">
        <f t="shared" si="98"/>
        <v>#N/A</v>
      </c>
      <c r="F3072" s="80"/>
      <c r="G3072" s="81"/>
      <c r="H3072" s="78"/>
      <c r="I3072" s="78"/>
      <c r="J3072" s="78"/>
    </row>
    <row r="3073" spans="1:10" x14ac:dyDescent="0.2">
      <c r="A3073" s="84">
        <f t="shared" si="99"/>
        <v>3067</v>
      </c>
      <c r="B3073" s="85" t="e">
        <f>+MATCH(D3073,ARTICULOS!$F$10:$F$699,0)</f>
        <v>#N/A</v>
      </c>
      <c r="C3073" s="86" t="e">
        <f>+VLOOKUP(B3073,ARTICULOS!$D$10:$I$699,6)</f>
        <v>#N/A</v>
      </c>
      <c r="D3073" s="212"/>
      <c r="E3073" s="75" t="e">
        <f t="shared" si="98"/>
        <v>#N/A</v>
      </c>
      <c r="F3073" s="80"/>
      <c r="G3073" s="81"/>
      <c r="H3073" s="78"/>
      <c r="I3073" s="78"/>
      <c r="J3073" s="78"/>
    </row>
    <row r="3074" spans="1:10" x14ac:dyDescent="0.2">
      <c r="A3074" s="84">
        <f t="shared" si="99"/>
        <v>3068</v>
      </c>
      <c r="B3074" s="85" t="e">
        <f>+MATCH(D3074,ARTICULOS!$F$10:$F$699,0)</f>
        <v>#N/A</v>
      </c>
      <c r="C3074" s="86" t="e">
        <f>+VLOOKUP(B3074,ARTICULOS!$D$10:$I$699,6)</f>
        <v>#N/A</v>
      </c>
      <c r="D3074" s="212"/>
      <c r="E3074" s="75" t="e">
        <f t="shared" si="98"/>
        <v>#N/A</v>
      </c>
      <c r="F3074" s="80"/>
      <c r="G3074" s="81"/>
      <c r="H3074" s="78"/>
      <c r="I3074" s="78"/>
      <c r="J3074" s="78"/>
    </row>
    <row r="3075" spans="1:10" x14ac:dyDescent="0.2">
      <c r="A3075" s="84">
        <f t="shared" si="99"/>
        <v>3069</v>
      </c>
      <c r="B3075" s="85" t="e">
        <f>+MATCH(D3075,ARTICULOS!$F$10:$F$699,0)</f>
        <v>#N/A</v>
      </c>
      <c r="C3075" s="86" t="e">
        <f>+VLOOKUP(B3075,ARTICULOS!$D$10:$I$699,6)</f>
        <v>#N/A</v>
      </c>
      <c r="D3075" s="212"/>
      <c r="E3075" s="75" t="e">
        <f t="shared" si="98"/>
        <v>#N/A</v>
      </c>
      <c r="F3075" s="80"/>
      <c r="G3075" s="81"/>
      <c r="H3075" s="78"/>
      <c r="I3075" s="78"/>
      <c r="J3075" s="78"/>
    </row>
    <row r="3076" spans="1:10" x14ac:dyDescent="0.2">
      <c r="A3076" s="84">
        <f t="shared" si="99"/>
        <v>3070</v>
      </c>
      <c r="B3076" s="85" t="e">
        <f>+MATCH(D3076,ARTICULOS!$F$10:$F$699,0)</f>
        <v>#N/A</v>
      </c>
      <c r="C3076" s="86" t="e">
        <f>+VLOOKUP(B3076,ARTICULOS!$D$10:$I$699,6)</f>
        <v>#N/A</v>
      </c>
      <c r="D3076" s="212"/>
      <c r="E3076" s="75" t="e">
        <f t="shared" si="98"/>
        <v>#N/A</v>
      </c>
      <c r="F3076" s="80"/>
      <c r="G3076" s="81"/>
      <c r="H3076" s="78"/>
      <c r="I3076" s="78"/>
      <c r="J3076" s="78"/>
    </row>
    <row r="3077" spans="1:10" x14ac:dyDescent="0.2">
      <c r="A3077" s="84">
        <f t="shared" si="99"/>
        <v>3071</v>
      </c>
      <c r="B3077" s="85" t="e">
        <f>+MATCH(D3077,ARTICULOS!$F$10:$F$699,0)</f>
        <v>#N/A</v>
      </c>
      <c r="C3077" s="86" t="e">
        <f>+VLOOKUP(B3077,ARTICULOS!$D$10:$I$699,6)</f>
        <v>#N/A</v>
      </c>
      <c r="D3077" s="212"/>
      <c r="E3077" s="75" t="e">
        <f t="shared" si="98"/>
        <v>#N/A</v>
      </c>
      <c r="F3077" s="80"/>
      <c r="G3077" s="81"/>
      <c r="H3077" s="78"/>
      <c r="I3077" s="78"/>
      <c r="J3077" s="78"/>
    </row>
    <row r="3078" spans="1:10" x14ac:dyDescent="0.2">
      <c r="A3078" s="84">
        <f t="shared" si="99"/>
        <v>3072</v>
      </c>
      <c r="B3078" s="85" t="e">
        <f>+MATCH(D3078,ARTICULOS!$F$10:$F$699,0)</f>
        <v>#N/A</v>
      </c>
      <c r="C3078" s="86" t="e">
        <f>+VLOOKUP(B3078,ARTICULOS!$D$10:$I$699,6)</f>
        <v>#N/A</v>
      </c>
      <c r="D3078" s="212"/>
      <c r="E3078" s="75" t="e">
        <f t="shared" si="98"/>
        <v>#N/A</v>
      </c>
      <c r="F3078" s="80"/>
      <c r="G3078" s="81"/>
      <c r="H3078" s="78"/>
      <c r="I3078" s="78"/>
      <c r="J3078" s="78"/>
    </row>
    <row r="3079" spans="1:10" x14ac:dyDescent="0.2">
      <c r="A3079" s="84">
        <f t="shared" si="99"/>
        <v>3073</v>
      </c>
      <c r="B3079" s="85" t="e">
        <f>+MATCH(D3079,ARTICULOS!$F$10:$F$699,0)</f>
        <v>#N/A</v>
      </c>
      <c r="C3079" s="86" t="e">
        <f>+VLOOKUP(B3079,ARTICULOS!$D$10:$I$699,6)</f>
        <v>#N/A</v>
      </c>
      <c r="D3079" s="212"/>
      <c r="E3079" s="75" t="e">
        <f t="shared" si="98"/>
        <v>#N/A</v>
      </c>
      <c r="F3079" s="80"/>
      <c r="G3079" s="81"/>
      <c r="H3079" s="78"/>
      <c r="I3079" s="78"/>
      <c r="J3079" s="78"/>
    </row>
    <row r="3080" spans="1:10" x14ac:dyDescent="0.2">
      <c r="A3080" s="84">
        <f t="shared" si="99"/>
        <v>3074</v>
      </c>
      <c r="B3080" s="85" t="e">
        <f>+MATCH(D3080,ARTICULOS!$F$10:$F$699,0)</f>
        <v>#N/A</v>
      </c>
      <c r="C3080" s="86" t="e">
        <f>+VLOOKUP(B3080,ARTICULOS!$D$10:$I$699,6)</f>
        <v>#N/A</v>
      </c>
      <c r="D3080" s="212"/>
      <c r="E3080" s="75" t="e">
        <f t="shared" si="98"/>
        <v>#N/A</v>
      </c>
      <c r="F3080" s="80"/>
      <c r="G3080" s="81"/>
      <c r="H3080" s="78"/>
      <c r="I3080" s="78"/>
      <c r="J3080" s="78"/>
    </row>
    <row r="3081" spans="1:10" x14ac:dyDescent="0.2">
      <c r="A3081" s="84">
        <f t="shared" si="99"/>
        <v>3075</v>
      </c>
      <c r="B3081" s="85" t="e">
        <f>+MATCH(D3081,ARTICULOS!$F$10:$F$699,0)</f>
        <v>#N/A</v>
      </c>
      <c r="C3081" s="86" t="e">
        <f>+VLOOKUP(B3081,ARTICULOS!$D$10:$I$699,6)</f>
        <v>#N/A</v>
      </c>
      <c r="D3081" s="212"/>
      <c r="E3081" s="75" t="e">
        <f t="shared" si="98"/>
        <v>#N/A</v>
      </c>
      <c r="F3081" s="80"/>
      <c r="G3081" s="81"/>
      <c r="H3081" s="78"/>
      <c r="I3081" s="78"/>
      <c r="J3081" s="78"/>
    </row>
    <row r="3082" spans="1:10" x14ac:dyDescent="0.2">
      <c r="A3082" s="84">
        <f t="shared" si="99"/>
        <v>3076</v>
      </c>
      <c r="B3082" s="85" t="e">
        <f>+MATCH(D3082,ARTICULOS!$F$10:$F$699,0)</f>
        <v>#N/A</v>
      </c>
      <c r="C3082" s="86" t="e">
        <f>+VLOOKUP(B3082,ARTICULOS!$D$10:$I$699,6)</f>
        <v>#N/A</v>
      </c>
      <c r="D3082" s="212"/>
      <c r="E3082" s="75" t="e">
        <f t="shared" si="98"/>
        <v>#N/A</v>
      </c>
      <c r="F3082" s="80"/>
      <c r="G3082" s="81"/>
      <c r="H3082" s="78"/>
      <c r="I3082" s="78"/>
      <c r="J3082" s="78"/>
    </row>
    <row r="3083" spans="1:10" x14ac:dyDescent="0.2">
      <c r="A3083" s="84">
        <f t="shared" si="99"/>
        <v>3077</v>
      </c>
      <c r="B3083" s="85" t="e">
        <f>+MATCH(D3083,ARTICULOS!$F$10:$F$699,0)</f>
        <v>#N/A</v>
      </c>
      <c r="C3083" s="86" t="e">
        <f>+VLOOKUP(B3083,ARTICULOS!$D$10:$I$699,6)</f>
        <v>#N/A</v>
      </c>
      <c r="D3083" s="212"/>
      <c r="E3083" s="75" t="e">
        <f t="shared" ref="E3083:E3146" si="100">+C3083&amp;F3083</f>
        <v>#N/A</v>
      </c>
      <c r="F3083" s="80"/>
      <c r="G3083" s="81"/>
      <c r="H3083" s="78"/>
      <c r="I3083" s="78"/>
      <c r="J3083" s="78"/>
    </row>
    <row r="3084" spans="1:10" x14ac:dyDescent="0.2">
      <c r="A3084" s="84">
        <f t="shared" si="99"/>
        <v>3078</v>
      </c>
      <c r="B3084" s="85" t="e">
        <f>+MATCH(D3084,ARTICULOS!$F$10:$F$699,0)</f>
        <v>#N/A</v>
      </c>
      <c r="C3084" s="86" t="e">
        <f>+VLOOKUP(B3084,ARTICULOS!$D$10:$I$699,6)</f>
        <v>#N/A</v>
      </c>
      <c r="D3084" s="212"/>
      <c r="E3084" s="75" t="e">
        <f t="shared" si="100"/>
        <v>#N/A</v>
      </c>
      <c r="F3084" s="80"/>
      <c r="G3084" s="81"/>
      <c r="H3084" s="78"/>
      <c r="I3084" s="78"/>
      <c r="J3084" s="78"/>
    </row>
    <row r="3085" spans="1:10" x14ac:dyDescent="0.2">
      <c r="A3085" s="84">
        <f t="shared" si="99"/>
        <v>3079</v>
      </c>
      <c r="B3085" s="85" t="e">
        <f>+MATCH(D3085,ARTICULOS!$F$10:$F$699,0)</f>
        <v>#N/A</v>
      </c>
      <c r="C3085" s="86" t="e">
        <f>+VLOOKUP(B3085,ARTICULOS!$D$10:$I$699,6)</f>
        <v>#N/A</v>
      </c>
      <c r="D3085" s="212"/>
      <c r="E3085" s="75" t="e">
        <f t="shared" si="100"/>
        <v>#N/A</v>
      </c>
      <c r="F3085" s="80"/>
      <c r="G3085" s="81"/>
      <c r="H3085" s="78"/>
      <c r="I3085" s="78"/>
      <c r="J3085" s="78"/>
    </row>
    <row r="3086" spans="1:10" x14ac:dyDescent="0.2">
      <c r="A3086" s="84">
        <f t="shared" si="99"/>
        <v>3080</v>
      </c>
      <c r="B3086" s="85" t="e">
        <f>+MATCH(D3086,ARTICULOS!$F$10:$F$699,0)</f>
        <v>#N/A</v>
      </c>
      <c r="C3086" s="86" t="e">
        <f>+VLOOKUP(B3086,ARTICULOS!$D$10:$I$699,6)</f>
        <v>#N/A</v>
      </c>
      <c r="D3086" s="212"/>
      <c r="E3086" s="75" t="e">
        <f t="shared" si="100"/>
        <v>#N/A</v>
      </c>
      <c r="F3086" s="80"/>
      <c r="G3086" s="81"/>
      <c r="H3086" s="78"/>
      <c r="I3086" s="78"/>
      <c r="J3086" s="78"/>
    </row>
    <row r="3087" spans="1:10" x14ac:dyDescent="0.2">
      <c r="A3087" s="84">
        <f t="shared" si="99"/>
        <v>3081</v>
      </c>
      <c r="B3087" s="85" t="e">
        <f>+MATCH(D3087,ARTICULOS!$F$10:$F$699,0)</f>
        <v>#N/A</v>
      </c>
      <c r="C3087" s="86" t="e">
        <f>+VLOOKUP(B3087,ARTICULOS!$D$10:$I$699,6)</f>
        <v>#N/A</v>
      </c>
      <c r="D3087" s="212"/>
      <c r="E3087" s="75" t="e">
        <f t="shared" si="100"/>
        <v>#N/A</v>
      </c>
      <c r="F3087" s="80"/>
      <c r="G3087" s="81"/>
      <c r="H3087" s="78"/>
      <c r="I3087" s="78"/>
      <c r="J3087" s="78"/>
    </row>
    <row r="3088" spans="1:10" x14ac:dyDescent="0.2">
      <c r="A3088" s="84">
        <f t="shared" si="99"/>
        <v>3082</v>
      </c>
      <c r="B3088" s="85" t="e">
        <f>+MATCH(D3088,ARTICULOS!$F$10:$F$699,0)</f>
        <v>#N/A</v>
      </c>
      <c r="C3088" s="86" t="e">
        <f>+VLOOKUP(B3088,ARTICULOS!$D$10:$I$699,6)</f>
        <v>#N/A</v>
      </c>
      <c r="D3088" s="212"/>
      <c r="E3088" s="75" t="e">
        <f t="shared" si="100"/>
        <v>#N/A</v>
      </c>
      <c r="F3088" s="80"/>
      <c r="G3088" s="81"/>
      <c r="H3088" s="78"/>
      <c r="I3088" s="78"/>
      <c r="J3088" s="78"/>
    </row>
    <row r="3089" spans="1:10" x14ac:dyDescent="0.2">
      <c r="A3089" s="84">
        <f t="shared" si="99"/>
        <v>3083</v>
      </c>
      <c r="B3089" s="85" t="e">
        <f>+MATCH(D3089,ARTICULOS!$F$10:$F$699,0)</f>
        <v>#N/A</v>
      </c>
      <c r="C3089" s="86" t="e">
        <f>+VLOOKUP(B3089,ARTICULOS!$D$10:$I$699,6)</f>
        <v>#N/A</v>
      </c>
      <c r="D3089" s="212"/>
      <c r="E3089" s="75" t="e">
        <f t="shared" si="100"/>
        <v>#N/A</v>
      </c>
      <c r="F3089" s="80"/>
      <c r="G3089" s="81"/>
      <c r="H3089" s="78"/>
      <c r="I3089" s="78"/>
      <c r="J3089" s="78"/>
    </row>
    <row r="3090" spans="1:10" x14ac:dyDescent="0.2">
      <c r="A3090" s="84">
        <f t="shared" si="99"/>
        <v>3084</v>
      </c>
      <c r="B3090" s="85" t="e">
        <f>+MATCH(D3090,ARTICULOS!$F$10:$F$699,0)</f>
        <v>#N/A</v>
      </c>
      <c r="C3090" s="86" t="e">
        <f>+VLOOKUP(B3090,ARTICULOS!$D$10:$I$699,6)</f>
        <v>#N/A</v>
      </c>
      <c r="D3090" s="212"/>
      <c r="E3090" s="75" t="e">
        <f t="shared" si="100"/>
        <v>#N/A</v>
      </c>
      <c r="F3090" s="80"/>
      <c r="G3090" s="81"/>
      <c r="H3090" s="78"/>
      <c r="I3090" s="78"/>
      <c r="J3090" s="78"/>
    </row>
    <row r="3091" spans="1:10" x14ac:dyDescent="0.2">
      <c r="A3091" s="84">
        <f t="shared" si="99"/>
        <v>3085</v>
      </c>
      <c r="B3091" s="85" t="e">
        <f>+MATCH(D3091,ARTICULOS!$F$10:$F$699,0)</f>
        <v>#N/A</v>
      </c>
      <c r="C3091" s="86" t="e">
        <f>+VLOOKUP(B3091,ARTICULOS!$D$10:$I$699,6)</f>
        <v>#N/A</v>
      </c>
      <c r="D3091" s="212"/>
      <c r="E3091" s="75" t="e">
        <f t="shared" si="100"/>
        <v>#N/A</v>
      </c>
      <c r="F3091" s="80"/>
      <c r="G3091" s="81"/>
      <c r="H3091" s="78"/>
      <c r="I3091" s="78"/>
      <c r="J3091" s="78"/>
    </row>
    <row r="3092" spans="1:10" x14ac:dyDescent="0.2">
      <c r="A3092" s="84">
        <f t="shared" si="99"/>
        <v>3086</v>
      </c>
      <c r="B3092" s="85" t="e">
        <f>+MATCH(D3092,ARTICULOS!$F$10:$F$699,0)</f>
        <v>#N/A</v>
      </c>
      <c r="C3092" s="86" t="e">
        <f>+VLOOKUP(B3092,ARTICULOS!$D$10:$I$699,6)</f>
        <v>#N/A</v>
      </c>
      <c r="D3092" s="212"/>
      <c r="E3092" s="75" t="e">
        <f t="shared" si="100"/>
        <v>#N/A</v>
      </c>
      <c r="F3092" s="80"/>
      <c r="G3092" s="81"/>
      <c r="H3092" s="78"/>
      <c r="I3092" s="78"/>
      <c r="J3092" s="78"/>
    </row>
    <row r="3093" spans="1:10" x14ac:dyDescent="0.2">
      <c r="A3093" s="84">
        <f t="shared" si="99"/>
        <v>3087</v>
      </c>
      <c r="B3093" s="85" t="e">
        <f>+MATCH(D3093,ARTICULOS!$F$10:$F$699,0)</f>
        <v>#N/A</v>
      </c>
      <c r="C3093" s="86" t="e">
        <f>+VLOOKUP(B3093,ARTICULOS!$D$10:$I$699,6)</f>
        <v>#N/A</v>
      </c>
      <c r="D3093" s="212"/>
      <c r="E3093" s="75" t="e">
        <f t="shared" si="100"/>
        <v>#N/A</v>
      </c>
      <c r="F3093" s="80"/>
      <c r="G3093" s="81"/>
      <c r="H3093" s="78"/>
      <c r="I3093" s="78"/>
      <c r="J3093" s="78"/>
    </row>
    <row r="3094" spans="1:10" x14ac:dyDescent="0.2">
      <c r="A3094" s="84">
        <f t="shared" si="99"/>
        <v>3088</v>
      </c>
      <c r="B3094" s="85" t="e">
        <f>+MATCH(D3094,ARTICULOS!$F$10:$F$699,0)</f>
        <v>#N/A</v>
      </c>
      <c r="C3094" s="86" t="e">
        <f>+VLOOKUP(B3094,ARTICULOS!$D$10:$I$699,6)</f>
        <v>#N/A</v>
      </c>
      <c r="D3094" s="212"/>
      <c r="E3094" s="75" t="e">
        <f t="shared" si="100"/>
        <v>#N/A</v>
      </c>
      <c r="F3094" s="80"/>
      <c r="G3094" s="81"/>
      <c r="H3094" s="78"/>
      <c r="I3094" s="78"/>
      <c r="J3094" s="78"/>
    </row>
    <row r="3095" spans="1:10" x14ac:dyDescent="0.2">
      <c r="A3095" s="84">
        <f t="shared" si="99"/>
        <v>3089</v>
      </c>
      <c r="B3095" s="85" t="e">
        <f>+MATCH(D3095,ARTICULOS!$F$10:$F$699,0)</f>
        <v>#N/A</v>
      </c>
      <c r="C3095" s="86" t="e">
        <f>+VLOOKUP(B3095,ARTICULOS!$D$10:$I$699,6)</f>
        <v>#N/A</v>
      </c>
      <c r="D3095" s="212"/>
      <c r="E3095" s="75" t="e">
        <f t="shared" si="100"/>
        <v>#N/A</v>
      </c>
      <c r="F3095" s="80"/>
      <c r="G3095" s="81"/>
      <c r="H3095" s="78"/>
      <c r="I3095" s="78"/>
      <c r="J3095" s="78"/>
    </row>
    <row r="3096" spans="1:10" x14ac:dyDescent="0.2">
      <c r="A3096" s="84">
        <f t="shared" si="99"/>
        <v>3090</v>
      </c>
      <c r="B3096" s="85" t="e">
        <f>+MATCH(D3096,ARTICULOS!$F$10:$F$699,0)</f>
        <v>#N/A</v>
      </c>
      <c r="C3096" s="86" t="e">
        <f>+VLOOKUP(B3096,ARTICULOS!$D$10:$I$699,6)</f>
        <v>#N/A</v>
      </c>
      <c r="D3096" s="212"/>
      <c r="E3096" s="75" t="e">
        <f t="shared" si="100"/>
        <v>#N/A</v>
      </c>
      <c r="F3096" s="80"/>
      <c r="G3096" s="81"/>
      <c r="H3096" s="78"/>
      <c r="I3096" s="78"/>
      <c r="J3096" s="78"/>
    </row>
    <row r="3097" spans="1:10" x14ac:dyDescent="0.2">
      <c r="A3097" s="84">
        <f t="shared" si="99"/>
        <v>3091</v>
      </c>
      <c r="B3097" s="85" t="e">
        <f>+MATCH(D3097,ARTICULOS!$F$10:$F$699,0)</f>
        <v>#N/A</v>
      </c>
      <c r="C3097" s="86" t="e">
        <f>+VLOOKUP(B3097,ARTICULOS!$D$10:$I$699,6)</f>
        <v>#N/A</v>
      </c>
      <c r="D3097" s="212"/>
      <c r="E3097" s="75" t="e">
        <f t="shared" si="100"/>
        <v>#N/A</v>
      </c>
      <c r="F3097" s="80"/>
      <c r="G3097" s="81"/>
      <c r="H3097" s="78"/>
      <c r="I3097" s="78"/>
      <c r="J3097" s="78"/>
    </row>
    <row r="3098" spans="1:10" x14ac:dyDescent="0.2">
      <c r="A3098" s="84">
        <f t="shared" si="99"/>
        <v>3092</v>
      </c>
      <c r="B3098" s="85" t="e">
        <f>+MATCH(D3098,ARTICULOS!$F$10:$F$699,0)</f>
        <v>#N/A</v>
      </c>
      <c r="C3098" s="86" t="e">
        <f>+VLOOKUP(B3098,ARTICULOS!$D$10:$I$699,6)</f>
        <v>#N/A</v>
      </c>
      <c r="D3098" s="212"/>
      <c r="E3098" s="75" t="e">
        <f t="shared" si="100"/>
        <v>#N/A</v>
      </c>
      <c r="F3098" s="80"/>
      <c r="G3098" s="81"/>
      <c r="H3098" s="78"/>
      <c r="I3098" s="78"/>
      <c r="J3098" s="78"/>
    </row>
    <row r="3099" spans="1:10" x14ac:dyDescent="0.2">
      <c r="A3099" s="84">
        <f t="shared" si="99"/>
        <v>3093</v>
      </c>
      <c r="B3099" s="85" t="e">
        <f>+MATCH(D3099,ARTICULOS!$F$10:$F$699,0)</f>
        <v>#N/A</v>
      </c>
      <c r="C3099" s="86" t="e">
        <f>+VLOOKUP(B3099,ARTICULOS!$D$10:$I$699,6)</f>
        <v>#N/A</v>
      </c>
      <c r="D3099" s="212"/>
      <c r="E3099" s="75" t="e">
        <f t="shared" si="100"/>
        <v>#N/A</v>
      </c>
      <c r="F3099" s="80"/>
      <c r="G3099" s="81"/>
      <c r="H3099" s="78"/>
      <c r="I3099" s="78"/>
      <c r="J3099" s="78"/>
    </row>
    <row r="3100" spans="1:10" x14ac:dyDescent="0.2">
      <c r="A3100" s="84">
        <f t="shared" si="99"/>
        <v>3094</v>
      </c>
      <c r="B3100" s="85" t="e">
        <f>+MATCH(D3100,ARTICULOS!$F$10:$F$699,0)</f>
        <v>#N/A</v>
      </c>
      <c r="C3100" s="86" t="e">
        <f>+VLOOKUP(B3100,ARTICULOS!$D$10:$I$699,6)</f>
        <v>#N/A</v>
      </c>
      <c r="D3100" s="212"/>
      <c r="E3100" s="75" t="e">
        <f t="shared" si="100"/>
        <v>#N/A</v>
      </c>
      <c r="F3100" s="80"/>
      <c r="G3100" s="81"/>
      <c r="H3100" s="78"/>
      <c r="I3100" s="78"/>
      <c r="J3100" s="78"/>
    </row>
    <row r="3101" spans="1:10" x14ac:dyDescent="0.2">
      <c r="A3101" s="84">
        <f t="shared" si="99"/>
        <v>3095</v>
      </c>
      <c r="B3101" s="85" t="e">
        <f>+MATCH(D3101,ARTICULOS!$F$10:$F$699,0)</f>
        <v>#N/A</v>
      </c>
      <c r="C3101" s="86" t="e">
        <f>+VLOOKUP(B3101,ARTICULOS!$D$10:$I$699,6)</f>
        <v>#N/A</v>
      </c>
      <c r="D3101" s="212"/>
      <c r="E3101" s="75" t="e">
        <f t="shared" si="100"/>
        <v>#N/A</v>
      </c>
      <c r="F3101" s="80"/>
      <c r="G3101" s="81"/>
      <c r="H3101" s="78"/>
      <c r="I3101" s="78"/>
      <c r="J3101" s="78"/>
    </row>
    <row r="3102" spans="1:10" x14ac:dyDescent="0.2">
      <c r="A3102" s="84">
        <f t="shared" si="99"/>
        <v>3096</v>
      </c>
      <c r="B3102" s="85" t="e">
        <f>+MATCH(D3102,ARTICULOS!$F$10:$F$699,0)</f>
        <v>#N/A</v>
      </c>
      <c r="C3102" s="86" t="e">
        <f>+VLOOKUP(B3102,ARTICULOS!$D$10:$I$699,6)</f>
        <v>#N/A</v>
      </c>
      <c r="D3102" s="212"/>
      <c r="E3102" s="75" t="e">
        <f t="shared" si="100"/>
        <v>#N/A</v>
      </c>
      <c r="F3102" s="80"/>
      <c r="G3102" s="81"/>
      <c r="H3102" s="78"/>
      <c r="I3102" s="78"/>
      <c r="J3102" s="78"/>
    </row>
    <row r="3103" spans="1:10" x14ac:dyDescent="0.2">
      <c r="A3103" s="84">
        <f t="shared" si="99"/>
        <v>3097</v>
      </c>
      <c r="B3103" s="85" t="e">
        <f>+MATCH(D3103,ARTICULOS!$F$10:$F$699,0)</f>
        <v>#N/A</v>
      </c>
      <c r="C3103" s="86" t="e">
        <f>+VLOOKUP(B3103,ARTICULOS!$D$10:$I$699,6)</f>
        <v>#N/A</v>
      </c>
      <c r="D3103" s="212"/>
      <c r="E3103" s="75" t="e">
        <f t="shared" si="100"/>
        <v>#N/A</v>
      </c>
      <c r="F3103" s="80"/>
      <c r="G3103" s="81"/>
      <c r="H3103" s="78"/>
      <c r="I3103" s="78"/>
      <c r="J3103" s="78"/>
    </row>
    <row r="3104" spans="1:10" x14ac:dyDescent="0.2">
      <c r="A3104" s="84">
        <f t="shared" si="99"/>
        <v>3098</v>
      </c>
      <c r="B3104" s="85" t="e">
        <f>+MATCH(D3104,ARTICULOS!$F$10:$F$699,0)</f>
        <v>#N/A</v>
      </c>
      <c r="C3104" s="86" t="e">
        <f>+VLOOKUP(B3104,ARTICULOS!$D$10:$I$699,6)</f>
        <v>#N/A</v>
      </c>
      <c r="D3104" s="212"/>
      <c r="E3104" s="75" t="e">
        <f t="shared" si="100"/>
        <v>#N/A</v>
      </c>
      <c r="F3104" s="80"/>
      <c r="G3104" s="81"/>
      <c r="H3104" s="78"/>
      <c r="I3104" s="78"/>
      <c r="J3104" s="78"/>
    </row>
    <row r="3105" spans="1:10" x14ac:dyDescent="0.2">
      <c r="A3105" s="84">
        <f t="shared" si="99"/>
        <v>3099</v>
      </c>
      <c r="B3105" s="85" t="e">
        <f>+MATCH(D3105,ARTICULOS!$F$10:$F$699,0)</f>
        <v>#N/A</v>
      </c>
      <c r="C3105" s="86" t="e">
        <f>+VLOOKUP(B3105,ARTICULOS!$D$10:$I$699,6)</f>
        <v>#N/A</v>
      </c>
      <c r="D3105" s="212"/>
      <c r="E3105" s="75" t="e">
        <f t="shared" si="100"/>
        <v>#N/A</v>
      </c>
      <c r="F3105" s="80"/>
      <c r="G3105" s="81"/>
      <c r="H3105" s="78"/>
      <c r="I3105" s="78"/>
      <c r="J3105" s="78"/>
    </row>
    <row r="3106" spans="1:10" x14ac:dyDescent="0.2">
      <c r="A3106" s="84">
        <f t="shared" si="99"/>
        <v>3100</v>
      </c>
      <c r="B3106" s="85" t="e">
        <f>+MATCH(D3106,ARTICULOS!$F$10:$F$699,0)</f>
        <v>#N/A</v>
      </c>
      <c r="C3106" s="86" t="e">
        <f>+VLOOKUP(B3106,ARTICULOS!$D$10:$I$699,6)</f>
        <v>#N/A</v>
      </c>
      <c r="D3106" s="212"/>
      <c r="E3106" s="75" t="e">
        <f t="shared" si="100"/>
        <v>#N/A</v>
      </c>
      <c r="F3106" s="80"/>
      <c r="G3106" s="81"/>
      <c r="H3106" s="78"/>
      <c r="I3106" s="78"/>
      <c r="J3106" s="78"/>
    </row>
    <row r="3107" spans="1:10" x14ac:dyDescent="0.2">
      <c r="A3107" s="84">
        <f t="shared" si="99"/>
        <v>3101</v>
      </c>
      <c r="B3107" s="85" t="e">
        <f>+MATCH(D3107,ARTICULOS!$F$10:$F$699,0)</f>
        <v>#N/A</v>
      </c>
      <c r="C3107" s="86" t="e">
        <f>+VLOOKUP(B3107,ARTICULOS!$D$10:$I$699,6)</f>
        <v>#N/A</v>
      </c>
      <c r="D3107" s="212"/>
      <c r="E3107" s="75" t="e">
        <f t="shared" si="100"/>
        <v>#N/A</v>
      </c>
      <c r="F3107" s="80"/>
      <c r="G3107" s="81"/>
      <c r="H3107" s="78"/>
      <c r="I3107" s="78"/>
      <c r="J3107" s="78"/>
    </row>
    <row r="3108" spans="1:10" x14ac:dyDescent="0.2">
      <c r="A3108" s="84">
        <f t="shared" si="99"/>
        <v>3102</v>
      </c>
      <c r="B3108" s="85" t="e">
        <f>+MATCH(D3108,ARTICULOS!$F$10:$F$699,0)</f>
        <v>#N/A</v>
      </c>
      <c r="C3108" s="86" t="e">
        <f>+VLOOKUP(B3108,ARTICULOS!$D$10:$I$699,6)</f>
        <v>#N/A</v>
      </c>
      <c r="D3108" s="212"/>
      <c r="E3108" s="75" t="e">
        <f t="shared" si="100"/>
        <v>#N/A</v>
      </c>
      <c r="F3108" s="80"/>
      <c r="G3108" s="81"/>
      <c r="H3108" s="78"/>
      <c r="I3108" s="78"/>
      <c r="J3108" s="78"/>
    </row>
    <row r="3109" spans="1:10" x14ac:dyDescent="0.2">
      <c r="A3109" s="84">
        <f t="shared" si="99"/>
        <v>3103</v>
      </c>
      <c r="B3109" s="85" t="e">
        <f>+MATCH(D3109,ARTICULOS!$F$10:$F$699,0)</f>
        <v>#N/A</v>
      </c>
      <c r="C3109" s="86" t="e">
        <f>+VLOOKUP(B3109,ARTICULOS!$D$10:$I$699,6)</f>
        <v>#N/A</v>
      </c>
      <c r="D3109" s="212"/>
      <c r="E3109" s="75" t="e">
        <f t="shared" si="100"/>
        <v>#N/A</v>
      </c>
      <c r="F3109" s="80"/>
      <c r="G3109" s="81"/>
      <c r="H3109" s="78"/>
      <c r="I3109" s="78"/>
      <c r="J3109" s="78"/>
    </row>
    <row r="3110" spans="1:10" x14ac:dyDescent="0.2">
      <c r="A3110" s="84">
        <f t="shared" si="99"/>
        <v>3104</v>
      </c>
      <c r="B3110" s="85" t="e">
        <f>+MATCH(D3110,ARTICULOS!$F$10:$F$699,0)</f>
        <v>#N/A</v>
      </c>
      <c r="C3110" s="86" t="e">
        <f>+VLOOKUP(B3110,ARTICULOS!$D$10:$I$699,6)</f>
        <v>#N/A</v>
      </c>
      <c r="D3110" s="212"/>
      <c r="E3110" s="75" t="e">
        <f t="shared" si="100"/>
        <v>#N/A</v>
      </c>
      <c r="F3110" s="80"/>
      <c r="G3110" s="81"/>
      <c r="H3110" s="78"/>
      <c r="I3110" s="78"/>
      <c r="J3110" s="78"/>
    </row>
    <row r="3111" spans="1:10" x14ac:dyDescent="0.2">
      <c r="A3111" s="84">
        <f t="shared" si="99"/>
        <v>3105</v>
      </c>
      <c r="B3111" s="85" t="e">
        <f>+MATCH(D3111,ARTICULOS!$F$10:$F$699,0)</f>
        <v>#N/A</v>
      </c>
      <c r="C3111" s="86" t="e">
        <f>+VLOOKUP(B3111,ARTICULOS!$D$10:$I$699,6)</f>
        <v>#N/A</v>
      </c>
      <c r="D3111" s="212"/>
      <c r="E3111" s="75" t="e">
        <f t="shared" si="100"/>
        <v>#N/A</v>
      </c>
      <c r="F3111" s="80"/>
      <c r="G3111" s="81"/>
      <c r="H3111" s="78"/>
      <c r="I3111" s="78"/>
      <c r="J3111" s="78"/>
    </row>
    <row r="3112" spans="1:10" x14ac:dyDescent="0.2">
      <c r="A3112" s="84">
        <f t="shared" si="99"/>
        <v>3106</v>
      </c>
      <c r="B3112" s="85" t="e">
        <f>+MATCH(D3112,ARTICULOS!$F$10:$F$699,0)</f>
        <v>#N/A</v>
      </c>
      <c r="C3112" s="86" t="e">
        <f>+VLOOKUP(B3112,ARTICULOS!$D$10:$I$699,6)</f>
        <v>#N/A</v>
      </c>
      <c r="D3112" s="212"/>
      <c r="E3112" s="75" t="e">
        <f t="shared" si="100"/>
        <v>#N/A</v>
      </c>
      <c r="F3112" s="80"/>
      <c r="G3112" s="81"/>
      <c r="H3112" s="78"/>
      <c r="I3112" s="78"/>
      <c r="J3112" s="78"/>
    </row>
    <row r="3113" spans="1:10" x14ac:dyDescent="0.2">
      <c r="A3113" s="84">
        <f t="shared" ref="A3113:A3176" si="101">ROW()-6</f>
        <v>3107</v>
      </c>
      <c r="B3113" s="85" t="e">
        <f>+MATCH(D3113,ARTICULOS!$F$10:$F$699,0)</f>
        <v>#N/A</v>
      </c>
      <c r="C3113" s="86" t="e">
        <f>+VLOOKUP(B3113,ARTICULOS!$D$10:$I$699,6)</f>
        <v>#N/A</v>
      </c>
      <c r="D3113" s="212"/>
      <c r="E3113" s="75" t="e">
        <f t="shared" si="100"/>
        <v>#N/A</v>
      </c>
      <c r="F3113" s="80"/>
      <c r="G3113" s="81"/>
      <c r="H3113" s="78"/>
      <c r="I3113" s="78"/>
      <c r="J3113" s="78"/>
    </row>
    <row r="3114" spans="1:10" x14ac:dyDescent="0.2">
      <c r="A3114" s="84">
        <f t="shared" si="101"/>
        <v>3108</v>
      </c>
      <c r="B3114" s="85" t="e">
        <f>+MATCH(D3114,ARTICULOS!$F$10:$F$699,0)</f>
        <v>#N/A</v>
      </c>
      <c r="C3114" s="86" t="e">
        <f>+VLOOKUP(B3114,ARTICULOS!$D$10:$I$699,6)</f>
        <v>#N/A</v>
      </c>
      <c r="D3114" s="212"/>
      <c r="E3114" s="75" t="e">
        <f t="shared" si="100"/>
        <v>#N/A</v>
      </c>
      <c r="F3114" s="80"/>
      <c r="G3114" s="81"/>
      <c r="H3114" s="78"/>
      <c r="I3114" s="78"/>
      <c r="J3114" s="78"/>
    </row>
    <row r="3115" spans="1:10" x14ac:dyDescent="0.2">
      <c r="A3115" s="84">
        <f t="shared" si="101"/>
        <v>3109</v>
      </c>
      <c r="B3115" s="85" t="e">
        <f>+MATCH(D3115,ARTICULOS!$F$10:$F$699,0)</f>
        <v>#N/A</v>
      </c>
      <c r="C3115" s="86" t="e">
        <f>+VLOOKUP(B3115,ARTICULOS!$D$10:$I$699,6)</f>
        <v>#N/A</v>
      </c>
      <c r="D3115" s="212"/>
      <c r="E3115" s="75" t="e">
        <f t="shared" si="100"/>
        <v>#N/A</v>
      </c>
      <c r="F3115" s="80"/>
      <c r="G3115" s="81"/>
      <c r="H3115" s="78"/>
      <c r="I3115" s="78"/>
      <c r="J3115" s="78"/>
    </row>
    <row r="3116" spans="1:10" x14ac:dyDescent="0.2">
      <c r="A3116" s="84">
        <f t="shared" si="101"/>
        <v>3110</v>
      </c>
      <c r="B3116" s="85" t="e">
        <f>+MATCH(D3116,ARTICULOS!$F$10:$F$699,0)</f>
        <v>#N/A</v>
      </c>
      <c r="C3116" s="86" t="e">
        <f>+VLOOKUP(B3116,ARTICULOS!$D$10:$I$699,6)</f>
        <v>#N/A</v>
      </c>
      <c r="D3116" s="212"/>
      <c r="E3116" s="75" t="e">
        <f t="shared" si="100"/>
        <v>#N/A</v>
      </c>
      <c r="F3116" s="80"/>
      <c r="G3116" s="81"/>
      <c r="H3116" s="78"/>
      <c r="I3116" s="78"/>
      <c r="J3116" s="78"/>
    </row>
    <row r="3117" spans="1:10" x14ac:dyDescent="0.2">
      <c r="A3117" s="84">
        <f t="shared" si="101"/>
        <v>3111</v>
      </c>
      <c r="B3117" s="85" t="e">
        <f>+MATCH(D3117,ARTICULOS!$F$10:$F$699,0)</f>
        <v>#N/A</v>
      </c>
      <c r="C3117" s="86" t="e">
        <f>+VLOOKUP(B3117,ARTICULOS!$D$10:$I$699,6)</f>
        <v>#N/A</v>
      </c>
      <c r="D3117" s="212"/>
      <c r="E3117" s="75" t="e">
        <f t="shared" si="100"/>
        <v>#N/A</v>
      </c>
      <c r="F3117" s="80"/>
      <c r="G3117" s="81"/>
      <c r="H3117" s="78"/>
      <c r="I3117" s="78"/>
      <c r="J3117" s="78"/>
    </row>
    <row r="3118" spans="1:10" x14ac:dyDescent="0.2">
      <c r="A3118" s="84">
        <f t="shared" si="101"/>
        <v>3112</v>
      </c>
      <c r="B3118" s="85" t="e">
        <f>+MATCH(D3118,ARTICULOS!$F$10:$F$699,0)</f>
        <v>#N/A</v>
      </c>
      <c r="C3118" s="86" t="e">
        <f>+VLOOKUP(B3118,ARTICULOS!$D$10:$I$699,6)</f>
        <v>#N/A</v>
      </c>
      <c r="D3118" s="212"/>
      <c r="E3118" s="75" t="e">
        <f t="shared" si="100"/>
        <v>#N/A</v>
      </c>
      <c r="F3118" s="80"/>
      <c r="G3118" s="81"/>
      <c r="H3118" s="78"/>
      <c r="I3118" s="78"/>
      <c r="J3118" s="78"/>
    </row>
    <row r="3119" spans="1:10" x14ac:dyDescent="0.2">
      <c r="A3119" s="84">
        <f t="shared" si="101"/>
        <v>3113</v>
      </c>
      <c r="B3119" s="85" t="e">
        <f>+MATCH(D3119,ARTICULOS!$F$10:$F$699,0)</f>
        <v>#N/A</v>
      </c>
      <c r="C3119" s="86" t="e">
        <f>+VLOOKUP(B3119,ARTICULOS!$D$10:$I$699,6)</f>
        <v>#N/A</v>
      </c>
      <c r="D3119" s="212"/>
      <c r="E3119" s="75" t="e">
        <f t="shared" si="100"/>
        <v>#N/A</v>
      </c>
      <c r="F3119" s="80"/>
      <c r="G3119" s="81"/>
      <c r="H3119" s="78"/>
      <c r="I3119" s="78"/>
      <c r="J3119" s="78"/>
    </row>
    <row r="3120" spans="1:10" x14ac:dyDescent="0.2">
      <c r="A3120" s="84">
        <f t="shared" si="101"/>
        <v>3114</v>
      </c>
      <c r="B3120" s="85" t="e">
        <f>+MATCH(D3120,ARTICULOS!$F$10:$F$699,0)</f>
        <v>#N/A</v>
      </c>
      <c r="C3120" s="86" t="e">
        <f>+VLOOKUP(B3120,ARTICULOS!$D$10:$I$699,6)</f>
        <v>#N/A</v>
      </c>
      <c r="D3120" s="212"/>
      <c r="E3120" s="75" t="e">
        <f t="shared" si="100"/>
        <v>#N/A</v>
      </c>
      <c r="F3120" s="80"/>
      <c r="G3120" s="81"/>
      <c r="H3120" s="78"/>
      <c r="I3120" s="78"/>
      <c r="J3120" s="78"/>
    </row>
    <row r="3121" spans="1:10" x14ac:dyDescent="0.2">
      <c r="A3121" s="84">
        <f t="shared" si="101"/>
        <v>3115</v>
      </c>
      <c r="B3121" s="85" t="e">
        <f>+MATCH(D3121,ARTICULOS!$F$10:$F$699,0)</f>
        <v>#N/A</v>
      </c>
      <c r="C3121" s="86" t="e">
        <f>+VLOOKUP(B3121,ARTICULOS!$D$10:$I$699,6)</f>
        <v>#N/A</v>
      </c>
      <c r="D3121" s="212"/>
      <c r="E3121" s="75" t="e">
        <f t="shared" si="100"/>
        <v>#N/A</v>
      </c>
      <c r="F3121" s="80"/>
      <c r="G3121" s="81"/>
      <c r="H3121" s="78"/>
      <c r="I3121" s="78"/>
      <c r="J3121" s="78"/>
    </row>
    <row r="3122" spans="1:10" x14ac:dyDescent="0.2">
      <c r="A3122" s="84">
        <f t="shared" si="101"/>
        <v>3116</v>
      </c>
      <c r="B3122" s="85" t="e">
        <f>+MATCH(D3122,ARTICULOS!$F$10:$F$699,0)</f>
        <v>#N/A</v>
      </c>
      <c r="C3122" s="86" t="e">
        <f>+VLOOKUP(B3122,ARTICULOS!$D$10:$I$699,6)</f>
        <v>#N/A</v>
      </c>
      <c r="D3122" s="212"/>
      <c r="E3122" s="75" t="e">
        <f t="shared" si="100"/>
        <v>#N/A</v>
      </c>
      <c r="F3122" s="80"/>
      <c r="G3122" s="81"/>
      <c r="H3122" s="78"/>
      <c r="I3122" s="78"/>
      <c r="J3122" s="78"/>
    </row>
    <row r="3123" spans="1:10" x14ac:dyDescent="0.2">
      <c r="A3123" s="84">
        <f t="shared" si="101"/>
        <v>3117</v>
      </c>
      <c r="B3123" s="85" t="e">
        <f>+MATCH(D3123,ARTICULOS!$F$10:$F$699,0)</f>
        <v>#N/A</v>
      </c>
      <c r="C3123" s="86" t="e">
        <f>+VLOOKUP(B3123,ARTICULOS!$D$10:$I$699,6)</f>
        <v>#N/A</v>
      </c>
      <c r="D3123" s="212"/>
      <c r="E3123" s="75" t="e">
        <f t="shared" si="100"/>
        <v>#N/A</v>
      </c>
      <c r="F3123" s="80"/>
      <c r="G3123" s="81"/>
      <c r="H3123" s="78"/>
      <c r="I3123" s="78"/>
      <c r="J3123" s="78"/>
    </row>
    <row r="3124" spans="1:10" x14ac:dyDescent="0.2">
      <c r="A3124" s="84">
        <f t="shared" si="101"/>
        <v>3118</v>
      </c>
      <c r="B3124" s="85" t="e">
        <f>+MATCH(D3124,ARTICULOS!$F$10:$F$699,0)</f>
        <v>#N/A</v>
      </c>
      <c r="C3124" s="86" t="e">
        <f>+VLOOKUP(B3124,ARTICULOS!$D$10:$I$699,6)</f>
        <v>#N/A</v>
      </c>
      <c r="D3124" s="212"/>
      <c r="E3124" s="75" t="e">
        <f t="shared" si="100"/>
        <v>#N/A</v>
      </c>
      <c r="F3124" s="80"/>
      <c r="G3124" s="81"/>
      <c r="H3124" s="78"/>
      <c r="I3124" s="78"/>
      <c r="J3124" s="78"/>
    </row>
    <row r="3125" spans="1:10" x14ac:dyDescent="0.2">
      <c r="A3125" s="84">
        <f t="shared" si="101"/>
        <v>3119</v>
      </c>
      <c r="B3125" s="85" t="e">
        <f>+MATCH(D3125,ARTICULOS!$F$10:$F$699,0)</f>
        <v>#N/A</v>
      </c>
      <c r="C3125" s="86" t="e">
        <f>+VLOOKUP(B3125,ARTICULOS!$D$10:$I$699,6)</f>
        <v>#N/A</v>
      </c>
      <c r="D3125" s="212"/>
      <c r="E3125" s="75" t="e">
        <f t="shared" si="100"/>
        <v>#N/A</v>
      </c>
      <c r="F3125" s="80"/>
      <c r="G3125" s="81"/>
      <c r="H3125" s="78"/>
      <c r="I3125" s="78"/>
      <c r="J3125" s="78"/>
    </row>
    <row r="3126" spans="1:10" x14ac:dyDescent="0.2">
      <c r="A3126" s="84">
        <f t="shared" si="101"/>
        <v>3120</v>
      </c>
      <c r="B3126" s="85" t="e">
        <f>+MATCH(D3126,ARTICULOS!$F$10:$F$699,0)</f>
        <v>#N/A</v>
      </c>
      <c r="C3126" s="86" t="e">
        <f>+VLOOKUP(B3126,ARTICULOS!$D$10:$I$699,6)</f>
        <v>#N/A</v>
      </c>
      <c r="D3126" s="212"/>
      <c r="E3126" s="75" t="e">
        <f t="shared" si="100"/>
        <v>#N/A</v>
      </c>
      <c r="F3126" s="80"/>
      <c r="G3126" s="81"/>
      <c r="H3126" s="78"/>
      <c r="I3126" s="78"/>
      <c r="J3126" s="78"/>
    </row>
    <row r="3127" spans="1:10" x14ac:dyDescent="0.2">
      <c r="A3127" s="84">
        <f t="shared" si="101"/>
        <v>3121</v>
      </c>
      <c r="B3127" s="85" t="e">
        <f>+MATCH(D3127,ARTICULOS!$F$10:$F$699,0)</f>
        <v>#N/A</v>
      </c>
      <c r="C3127" s="86" t="e">
        <f>+VLOOKUP(B3127,ARTICULOS!$D$10:$I$699,6)</f>
        <v>#N/A</v>
      </c>
      <c r="D3127" s="212"/>
      <c r="E3127" s="75" t="e">
        <f t="shared" si="100"/>
        <v>#N/A</v>
      </c>
      <c r="F3127" s="80"/>
      <c r="G3127" s="81"/>
      <c r="H3127" s="78"/>
      <c r="I3127" s="78"/>
      <c r="J3127" s="78"/>
    </row>
    <row r="3128" spans="1:10" x14ac:dyDescent="0.2">
      <c r="A3128" s="84">
        <f t="shared" si="101"/>
        <v>3122</v>
      </c>
      <c r="B3128" s="85" t="e">
        <f>+MATCH(D3128,ARTICULOS!$F$10:$F$699,0)</f>
        <v>#N/A</v>
      </c>
      <c r="C3128" s="86" t="e">
        <f>+VLOOKUP(B3128,ARTICULOS!$D$10:$I$699,6)</f>
        <v>#N/A</v>
      </c>
      <c r="D3128" s="212"/>
      <c r="E3128" s="75" t="e">
        <f t="shared" si="100"/>
        <v>#N/A</v>
      </c>
      <c r="F3128" s="80"/>
      <c r="G3128" s="81"/>
      <c r="H3128" s="78"/>
      <c r="I3128" s="78"/>
      <c r="J3128" s="78"/>
    </row>
    <row r="3129" spans="1:10" x14ac:dyDescent="0.2">
      <c r="A3129" s="84">
        <f t="shared" si="101"/>
        <v>3123</v>
      </c>
      <c r="B3129" s="85" t="e">
        <f>+MATCH(D3129,ARTICULOS!$F$10:$F$699,0)</f>
        <v>#N/A</v>
      </c>
      <c r="C3129" s="86" t="e">
        <f>+VLOOKUP(B3129,ARTICULOS!$D$10:$I$699,6)</f>
        <v>#N/A</v>
      </c>
      <c r="D3129" s="212"/>
      <c r="E3129" s="75" t="e">
        <f t="shared" si="100"/>
        <v>#N/A</v>
      </c>
      <c r="F3129" s="80"/>
      <c r="G3129" s="81"/>
      <c r="H3129" s="78"/>
      <c r="I3129" s="78"/>
      <c r="J3129" s="78"/>
    </row>
    <row r="3130" spans="1:10" x14ac:dyDescent="0.2">
      <c r="A3130" s="84">
        <f t="shared" si="101"/>
        <v>3124</v>
      </c>
      <c r="B3130" s="85" t="e">
        <f>+MATCH(D3130,ARTICULOS!$F$10:$F$699,0)</f>
        <v>#N/A</v>
      </c>
      <c r="C3130" s="86" t="e">
        <f>+VLOOKUP(B3130,ARTICULOS!$D$10:$I$699,6)</f>
        <v>#N/A</v>
      </c>
      <c r="D3130" s="212"/>
      <c r="E3130" s="75" t="e">
        <f t="shared" si="100"/>
        <v>#N/A</v>
      </c>
      <c r="F3130" s="80"/>
      <c r="G3130" s="81"/>
      <c r="H3130" s="78"/>
      <c r="I3130" s="78"/>
      <c r="J3130" s="78"/>
    </row>
    <row r="3131" spans="1:10" x14ac:dyDescent="0.2">
      <c r="A3131" s="84">
        <f t="shared" si="101"/>
        <v>3125</v>
      </c>
      <c r="B3131" s="85" t="e">
        <f>+MATCH(D3131,ARTICULOS!$F$10:$F$699,0)</f>
        <v>#N/A</v>
      </c>
      <c r="C3131" s="86" t="e">
        <f>+VLOOKUP(B3131,ARTICULOS!$D$10:$I$699,6)</f>
        <v>#N/A</v>
      </c>
      <c r="D3131" s="212"/>
      <c r="E3131" s="75" t="e">
        <f t="shared" si="100"/>
        <v>#N/A</v>
      </c>
      <c r="F3131" s="80"/>
      <c r="G3131" s="81"/>
      <c r="H3131" s="78"/>
      <c r="I3131" s="78"/>
      <c r="J3131" s="78"/>
    </row>
    <row r="3132" spans="1:10" x14ac:dyDescent="0.2">
      <c r="A3132" s="84">
        <f t="shared" si="101"/>
        <v>3126</v>
      </c>
      <c r="B3132" s="85" t="e">
        <f>+MATCH(D3132,ARTICULOS!$F$10:$F$699,0)</f>
        <v>#N/A</v>
      </c>
      <c r="C3132" s="86" t="e">
        <f>+VLOOKUP(B3132,ARTICULOS!$D$10:$I$699,6)</f>
        <v>#N/A</v>
      </c>
      <c r="D3132" s="212"/>
      <c r="E3132" s="75" t="e">
        <f t="shared" si="100"/>
        <v>#N/A</v>
      </c>
      <c r="F3132" s="80"/>
      <c r="G3132" s="81"/>
      <c r="H3132" s="78"/>
      <c r="I3132" s="78"/>
      <c r="J3132" s="78"/>
    </row>
    <row r="3133" spans="1:10" x14ac:dyDescent="0.2">
      <c r="A3133" s="84">
        <f t="shared" si="101"/>
        <v>3127</v>
      </c>
      <c r="B3133" s="85" t="e">
        <f>+MATCH(D3133,ARTICULOS!$F$10:$F$699,0)</f>
        <v>#N/A</v>
      </c>
      <c r="C3133" s="86" t="e">
        <f>+VLOOKUP(B3133,ARTICULOS!$D$10:$I$699,6)</f>
        <v>#N/A</v>
      </c>
      <c r="D3133" s="212"/>
      <c r="E3133" s="75" t="e">
        <f t="shared" si="100"/>
        <v>#N/A</v>
      </c>
      <c r="F3133" s="80"/>
      <c r="G3133" s="81"/>
      <c r="H3133" s="78"/>
      <c r="I3133" s="78"/>
      <c r="J3133" s="78"/>
    </row>
    <row r="3134" spans="1:10" x14ac:dyDescent="0.2">
      <c r="A3134" s="84">
        <f t="shared" si="101"/>
        <v>3128</v>
      </c>
      <c r="B3134" s="85" t="e">
        <f>+MATCH(D3134,ARTICULOS!$F$10:$F$699,0)</f>
        <v>#N/A</v>
      </c>
      <c r="C3134" s="86" t="e">
        <f>+VLOOKUP(B3134,ARTICULOS!$D$10:$I$699,6)</f>
        <v>#N/A</v>
      </c>
      <c r="D3134" s="212"/>
      <c r="E3134" s="75" t="e">
        <f t="shared" si="100"/>
        <v>#N/A</v>
      </c>
      <c r="F3134" s="80"/>
      <c r="G3134" s="81"/>
      <c r="H3134" s="78"/>
      <c r="I3134" s="78"/>
      <c r="J3134" s="78"/>
    </row>
    <row r="3135" spans="1:10" x14ac:dyDescent="0.2">
      <c r="A3135" s="84">
        <f t="shared" si="101"/>
        <v>3129</v>
      </c>
      <c r="B3135" s="85" t="e">
        <f>+MATCH(D3135,ARTICULOS!$F$10:$F$699,0)</f>
        <v>#N/A</v>
      </c>
      <c r="C3135" s="86" t="e">
        <f>+VLOOKUP(B3135,ARTICULOS!$D$10:$I$699,6)</f>
        <v>#N/A</v>
      </c>
      <c r="D3135" s="212"/>
      <c r="E3135" s="75" t="e">
        <f t="shared" si="100"/>
        <v>#N/A</v>
      </c>
      <c r="F3135" s="80"/>
      <c r="G3135" s="81"/>
      <c r="H3135" s="78"/>
      <c r="I3135" s="78"/>
      <c r="J3135" s="78"/>
    </row>
    <row r="3136" spans="1:10" x14ac:dyDescent="0.2">
      <c r="A3136" s="84">
        <f t="shared" si="101"/>
        <v>3130</v>
      </c>
      <c r="B3136" s="85" t="e">
        <f>+MATCH(D3136,ARTICULOS!$F$10:$F$699,0)</f>
        <v>#N/A</v>
      </c>
      <c r="C3136" s="86" t="e">
        <f>+VLOOKUP(B3136,ARTICULOS!$D$10:$I$699,6)</f>
        <v>#N/A</v>
      </c>
      <c r="D3136" s="212"/>
      <c r="E3136" s="75" t="e">
        <f t="shared" si="100"/>
        <v>#N/A</v>
      </c>
      <c r="F3136" s="80"/>
      <c r="G3136" s="81"/>
      <c r="H3136" s="78"/>
      <c r="I3136" s="78"/>
      <c r="J3136" s="78"/>
    </row>
    <row r="3137" spans="1:10" x14ac:dyDescent="0.2">
      <c r="A3137" s="84">
        <f t="shared" si="101"/>
        <v>3131</v>
      </c>
      <c r="B3137" s="85" t="e">
        <f>+MATCH(D3137,ARTICULOS!$F$10:$F$699,0)</f>
        <v>#N/A</v>
      </c>
      <c r="C3137" s="86" t="e">
        <f>+VLOOKUP(B3137,ARTICULOS!$D$10:$I$699,6)</f>
        <v>#N/A</v>
      </c>
      <c r="D3137" s="212"/>
      <c r="E3137" s="75" t="e">
        <f t="shared" si="100"/>
        <v>#N/A</v>
      </c>
      <c r="F3137" s="80"/>
      <c r="G3137" s="81"/>
      <c r="H3137" s="78"/>
      <c r="I3137" s="78"/>
      <c r="J3137" s="78"/>
    </row>
    <row r="3138" spans="1:10" x14ac:dyDescent="0.2">
      <c r="A3138" s="84">
        <f t="shared" si="101"/>
        <v>3132</v>
      </c>
      <c r="B3138" s="85" t="e">
        <f>+MATCH(D3138,ARTICULOS!$F$10:$F$699,0)</f>
        <v>#N/A</v>
      </c>
      <c r="C3138" s="86" t="e">
        <f>+VLOOKUP(B3138,ARTICULOS!$D$10:$I$699,6)</f>
        <v>#N/A</v>
      </c>
      <c r="D3138" s="212"/>
      <c r="E3138" s="75" t="e">
        <f t="shared" si="100"/>
        <v>#N/A</v>
      </c>
      <c r="F3138" s="80"/>
      <c r="G3138" s="81"/>
      <c r="H3138" s="78"/>
      <c r="I3138" s="78"/>
      <c r="J3138" s="78"/>
    </row>
    <row r="3139" spans="1:10" x14ac:dyDescent="0.2">
      <c r="A3139" s="84">
        <f t="shared" si="101"/>
        <v>3133</v>
      </c>
      <c r="B3139" s="85" t="e">
        <f>+MATCH(D3139,ARTICULOS!$F$10:$F$699,0)</f>
        <v>#N/A</v>
      </c>
      <c r="C3139" s="86" t="e">
        <f>+VLOOKUP(B3139,ARTICULOS!$D$10:$I$699,6)</f>
        <v>#N/A</v>
      </c>
      <c r="D3139" s="212"/>
      <c r="E3139" s="75" t="e">
        <f t="shared" si="100"/>
        <v>#N/A</v>
      </c>
      <c r="F3139" s="80"/>
      <c r="G3139" s="81"/>
      <c r="H3139" s="78"/>
      <c r="I3139" s="78"/>
      <c r="J3139" s="78"/>
    </row>
    <row r="3140" spans="1:10" x14ac:dyDescent="0.2">
      <c r="A3140" s="84">
        <f t="shared" si="101"/>
        <v>3134</v>
      </c>
      <c r="B3140" s="85" t="e">
        <f>+MATCH(D3140,ARTICULOS!$F$10:$F$699,0)</f>
        <v>#N/A</v>
      </c>
      <c r="C3140" s="86" t="e">
        <f>+VLOOKUP(B3140,ARTICULOS!$D$10:$I$699,6)</f>
        <v>#N/A</v>
      </c>
      <c r="D3140" s="212"/>
      <c r="E3140" s="75" t="e">
        <f t="shared" si="100"/>
        <v>#N/A</v>
      </c>
      <c r="F3140" s="80"/>
      <c r="G3140" s="81"/>
      <c r="H3140" s="78"/>
      <c r="I3140" s="78"/>
      <c r="J3140" s="78"/>
    </row>
    <row r="3141" spans="1:10" x14ac:dyDescent="0.2">
      <c r="A3141" s="84">
        <f t="shared" si="101"/>
        <v>3135</v>
      </c>
      <c r="B3141" s="85" t="e">
        <f>+MATCH(D3141,ARTICULOS!$F$10:$F$699,0)</f>
        <v>#N/A</v>
      </c>
      <c r="C3141" s="86" t="e">
        <f>+VLOOKUP(B3141,ARTICULOS!$D$10:$I$699,6)</f>
        <v>#N/A</v>
      </c>
      <c r="D3141" s="212"/>
      <c r="E3141" s="75" t="e">
        <f t="shared" si="100"/>
        <v>#N/A</v>
      </c>
      <c r="F3141" s="80"/>
      <c r="G3141" s="81"/>
      <c r="H3141" s="78"/>
      <c r="I3141" s="78"/>
      <c r="J3141" s="78"/>
    </row>
    <row r="3142" spans="1:10" x14ac:dyDescent="0.2">
      <c r="A3142" s="84">
        <f t="shared" si="101"/>
        <v>3136</v>
      </c>
      <c r="B3142" s="85" t="e">
        <f>+MATCH(D3142,ARTICULOS!$F$10:$F$699,0)</f>
        <v>#N/A</v>
      </c>
      <c r="C3142" s="86" t="e">
        <f>+VLOOKUP(B3142,ARTICULOS!$D$10:$I$699,6)</f>
        <v>#N/A</v>
      </c>
      <c r="D3142" s="212"/>
      <c r="E3142" s="75" t="e">
        <f t="shared" si="100"/>
        <v>#N/A</v>
      </c>
      <c r="F3142" s="80"/>
      <c r="G3142" s="81"/>
      <c r="H3142" s="78"/>
      <c r="I3142" s="78"/>
      <c r="J3142" s="78"/>
    </row>
    <row r="3143" spans="1:10" x14ac:dyDescent="0.2">
      <c r="A3143" s="84">
        <f t="shared" si="101"/>
        <v>3137</v>
      </c>
      <c r="B3143" s="85" t="e">
        <f>+MATCH(D3143,ARTICULOS!$F$10:$F$699,0)</f>
        <v>#N/A</v>
      </c>
      <c r="C3143" s="86" t="e">
        <f>+VLOOKUP(B3143,ARTICULOS!$D$10:$I$699,6)</f>
        <v>#N/A</v>
      </c>
      <c r="D3143" s="212"/>
      <c r="E3143" s="75" t="e">
        <f t="shared" si="100"/>
        <v>#N/A</v>
      </c>
      <c r="F3143" s="80"/>
      <c r="G3143" s="81"/>
      <c r="H3143" s="78"/>
      <c r="I3143" s="78"/>
      <c r="J3143" s="78"/>
    </row>
    <row r="3144" spans="1:10" x14ac:dyDescent="0.2">
      <c r="A3144" s="84">
        <f t="shared" si="101"/>
        <v>3138</v>
      </c>
      <c r="B3144" s="85" t="e">
        <f>+MATCH(D3144,ARTICULOS!$F$10:$F$699,0)</f>
        <v>#N/A</v>
      </c>
      <c r="C3144" s="86" t="e">
        <f>+VLOOKUP(B3144,ARTICULOS!$D$10:$I$699,6)</f>
        <v>#N/A</v>
      </c>
      <c r="D3144" s="212"/>
      <c r="E3144" s="75" t="e">
        <f t="shared" si="100"/>
        <v>#N/A</v>
      </c>
      <c r="F3144" s="80"/>
      <c r="G3144" s="81"/>
      <c r="H3144" s="78"/>
      <c r="I3144" s="78"/>
      <c r="J3144" s="78"/>
    </row>
    <row r="3145" spans="1:10" x14ac:dyDescent="0.2">
      <c r="A3145" s="84">
        <f t="shared" si="101"/>
        <v>3139</v>
      </c>
      <c r="B3145" s="85" t="e">
        <f>+MATCH(D3145,ARTICULOS!$F$10:$F$699,0)</f>
        <v>#N/A</v>
      </c>
      <c r="C3145" s="86" t="e">
        <f>+VLOOKUP(B3145,ARTICULOS!$D$10:$I$699,6)</f>
        <v>#N/A</v>
      </c>
      <c r="D3145" s="212"/>
      <c r="E3145" s="75" t="e">
        <f t="shared" si="100"/>
        <v>#N/A</v>
      </c>
      <c r="F3145" s="80"/>
      <c r="G3145" s="81"/>
      <c r="H3145" s="78"/>
      <c r="I3145" s="78"/>
      <c r="J3145" s="78"/>
    </row>
    <row r="3146" spans="1:10" x14ac:dyDescent="0.2">
      <c r="A3146" s="84">
        <f t="shared" si="101"/>
        <v>3140</v>
      </c>
      <c r="B3146" s="85" t="e">
        <f>+MATCH(D3146,ARTICULOS!$F$10:$F$699,0)</f>
        <v>#N/A</v>
      </c>
      <c r="C3146" s="86" t="e">
        <f>+VLOOKUP(B3146,ARTICULOS!$D$10:$I$699,6)</f>
        <v>#N/A</v>
      </c>
      <c r="D3146" s="212"/>
      <c r="E3146" s="75" t="e">
        <f t="shared" si="100"/>
        <v>#N/A</v>
      </c>
      <c r="F3146" s="80"/>
      <c r="G3146" s="81"/>
      <c r="H3146" s="78"/>
      <c r="I3146" s="78"/>
      <c r="J3146" s="78"/>
    </row>
    <row r="3147" spans="1:10" x14ac:dyDescent="0.2">
      <c r="A3147" s="84">
        <f t="shared" si="101"/>
        <v>3141</v>
      </c>
      <c r="B3147" s="85" t="e">
        <f>+MATCH(D3147,ARTICULOS!$F$10:$F$699,0)</f>
        <v>#N/A</v>
      </c>
      <c r="C3147" s="86" t="e">
        <f>+VLOOKUP(B3147,ARTICULOS!$D$10:$I$699,6)</f>
        <v>#N/A</v>
      </c>
      <c r="D3147" s="212"/>
      <c r="E3147" s="75" t="e">
        <f t="shared" ref="E3147:E3210" si="102">+C3147&amp;F3147</f>
        <v>#N/A</v>
      </c>
      <c r="F3147" s="80"/>
      <c r="G3147" s="81"/>
      <c r="H3147" s="78"/>
      <c r="I3147" s="78"/>
      <c r="J3147" s="78"/>
    </row>
    <row r="3148" spans="1:10" x14ac:dyDescent="0.2">
      <c r="A3148" s="84">
        <f t="shared" si="101"/>
        <v>3142</v>
      </c>
      <c r="B3148" s="85" t="e">
        <f>+MATCH(D3148,ARTICULOS!$F$10:$F$699,0)</f>
        <v>#N/A</v>
      </c>
      <c r="C3148" s="86" t="e">
        <f>+VLOOKUP(B3148,ARTICULOS!$D$10:$I$699,6)</f>
        <v>#N/A</v>
      </c>
      <c r="D3148" s="212"/>
      <c r="E3148" s="75" t="e">
        <f t="shared" si="102"/>
        <v>#N/A</v>
      </c>
      <c r="F3148" s="80"/>
      <c r="G3148" s="81"/>
      <c r="H3148" s="78"/>
      <c r="I3148" s="78"/>
      <c r="J3148" s="78"/>
    </row>
    <row r="3149" spans="1:10" x14ac:dyDescent="0.2">
      <c r="A3149" s="84">
        <f t="shared" si="101"/>
        <v>3143</v>
      </c>
      <c r="B3149" s="85" t="e">
        <f>+MATCH(D3149,ARTICULOS!$F$10:$F$699,0)</f>
        <v>#N/A</v>
      </c>
      <c r="C3149" s="86" t="e">
        <f>+VLOOKUP(B3149,ARTICULOS!$D$10:$I$699,6)</f>
        <v>#N/A</v>
      </c>
      <c r="D3149" s="212"/>
      <c r="E3149" s="75" t="e">
        <f t="shared" si="102"/>
        <v>#N/A</v>
      </c>
      <c r="F3149" s="80"/>
      <c r="G3149" s="81"/>
      <c r="H3149" s="78"/>
      <c r="I3149" s="78"/>
      <c r="J3149" s="78"/>
    </row>
    <row r="3150" spans="1:10" x14ac:dyDescent="0.2">
      <c r="A3150" s="84">
        <f t="shared" si="101"/>
        <v>3144</v>
      </c>
      <c r="B3150" s="85" t="e">
        <f>+MATCH(D3150,ARTICULOS!$F$10:$F$699,0)</f>
        <v>#N/A</v>
      </c>
      <c r="C3150" s="86" t="e">
        <f>+VLOOKUP(B3150,ARTICULOS!$D$10:$I$699,6)</f>
        <v>#N/A</v>
      </c>
      <c r="D3150" s="212"/>
      <c r="E3150" s="75" t="e">
        <f t="shared" si="102"/>
        <v>#N/A</v>
      </c>
      <c r="F3150" s="80"/>
      <c r="G3150" s="81"/>
      <c r="H3150" s="78"/>
      <c r="I3150" s="78"/>
      <c r="J3150" s="78"/>
    </row>
    <row r="3151" spans="1:10" x14ac:dyDescent="0.2">
      <c r="A3151" s="84">
        <f t="shared" si="101"/>
        <v>3145</v>
      </c>
      <c r="B3151" s="85" t="e">
        <f>+MATCH(D3151,ARTICULOS!$F$10:$F$699,0)</f>
        <v>#N/A</v>
      </c>
      <c r="C3151" s="86" t="e">
        <f>+VLOOKUP(B3151,ARTICULOS!$D$10:$I$699,6)</f>
        <v>#N/A</v>
      </c>
      <c r="D3151" s="212"/>
      <c r="E3151" s="75" t="e">
        <f t="shared" si="102"/>
        <v>#N/A</v>
      </c>
      <c r="F3151" s="80"/>
      <c r="G3151" s="81"/>
      <c r="H3151" s="78"/>
      <c r="I3151" s="78"/>
      <c r="J3151" s="78"/>
    </row>
    <row r="3152" spans="1:10" x14ac:dyDescent="0.2">
      <c r="A3152" s="84">
        <f t="shared" si="101"/>
        <v>3146</v>
      </c>
      <c r="B3152" s="85" t="e">
        <f>+MATCH(D3152,ARTICULOS!$F$10:$F$699,0)</f>
        <v>#N/A</v>
      </c>
      <c r="C3152" s="86" t="e">
        <f>+VLOOKUP(B3152,ARTICULOS!$D$10:$I$699,6)</f>
        <v>#N/A</v>
      </c>
      <c r="D3152" s="212"/>
      <c r="E3152" s="75" t="e">
        <f t="shared" si="102"/>
        <v>#N/A</v>
      </c>
      <c r="F3152" s="80"/>
      <c r="G3152" s="81"/>
      <c r="H3152" s="78"/>
      <c r="I3152" s="78"/>
      <c r="J3152" s="78"/>
    </row>
    <row r="3153" spans="1:10" x14ac:dyDescent="0.2">
      <c r="A3153" s="84">
        <f t="shared" si="101"/>
        <v>3147</v>
      </c>
      <c r="B3153" s="85" t="e">
        <f>+MATCH(D3153,ARTICULOS!$F$10:$F$699,0)</f>
        <v>#N/A</v>
      </c>
      <c r="C3153" s="86" t="e">
        <f>+VLOOKUP(B3153,ARTICULOS!$D$10:$I$699,6)</f>
        <v>#N/A</v>
      </c>
      <c r="D3153" s="212"/>
      <c r="E3153" s="75" t="e">
        <f t="shared" si="102"/>
        <v>#N/A</v>
      </c>
      <c r="F3153" s="80"/>
      <c r="G3153" s="81"/>
      <c r="H3153" s="78"/>
      <c r="I3153" s="78"/>
      <c r="J3153" s="78"/>
    </row>
    <row r="3154" spans="1:10" x14ac:dyDescent="0.2">
      <c r="A3154" s="84">
        <f t="shared" si="101"/>
        <v>3148</v>
      </c>
      <c r="B3154" s="85" t="e">
        <f>+MATCH(D3154,ARTICULOS!$F$10:$F$699,0)</f>
        <v>#N/A</v>
      </c>
      <c r="C3154" s="86" t="e">
        <f>+VLOOKUP(B3154,ARTICULOS!$D$10:$I$699,6)</f>
        <v>#N/A</v>
      </c>
      <c r="D3154" s="212"/>
      <c r="E3154" s="75" t="e">
        <f t="shared" si="102"/>
        <v>#N/A</v>
      </c>
      <c r="F3154" s="80"/>
      <c r="G3154" s="81"/>
      <c r="H3154" s="78"/>
      <c r="I3154" s="78"/>
      <c r="J3154" s="78"/>
    </row>
    <row r="3155" spans="1:10" x14ac:dyDescent="0.2">
      <c r="A3155" s="84">
        <f t="shared" si="101"/>
        <v>3149</v>
      </c>
      <c r="B3155" s="85" t="e">
        <f>+MATCH(D3155,ARTICULOS!$F$10:$F$699,0)</f>
        <v>#N/A</v>
      </c>
      <c r="C3155" s="86" t="e">
        <f>+VLOOKUP(B3155,ARTICULOS!$D$10:$I$699,6)</f>
        <v>#N/A</v>
      </c>
      <c r="D3155" s="212"/>
      <c r="E3155" s="75" t="e">
        <f t="shared" si="102"/>
        <v>#N/A</v>
      </c>
      <c r="F3155" s="80"/>
      <c r="G3155" s="81"/>
      <c r="H3155" s="78"/>
      <c r="I3155" s="78"/>
      <c r="J3155" s="78"/>
    </row>
    <row r="3156" spans="1:10" x14ac:dyDescent="0.2">
      <c r="A3156" s="84">
        <f t="shared" si="101"/>
        <v>3150</v>
      </c>
      <c r="B3156" s="85" t="e">
        <f>+MATCH(D3156,ARTICULOS!$F$10:$F$699,0)</f>
        <v>#N/A</v>
      </c>
      <c r="C3156" s="86" t="e">
        <f>+VLOOKUP(B3156,ARTICULOS!$D$10:$I$699,6)</f>
        <v>#N/A</v>
      </c>
      <c r="D3156" s="212"/>
      <c r="E3156" s="75" t="e">
        <f t="shared" si="102"/>
        <v>#N/A</v>
      </c>
      <c r="F3156" s="80"/>
      <c r="G3156" s="81"/>
      <c r="H3156" s="78"/>
      <c r="I3156" s="78"/>
      <c r="J3156" s="78"/>
    </row>
    <row r="3157" spans="1:10" x14ac:dyDescent="0.2">
      <c r="A3157" s="84">
        <f t="shared" si="101"/>
        <v>3151</v>
      </c>
      <c r="B3157" s="85" t="e">
        <f>+MATCH(D3157,ARTICULOS!$F$10:$F$699,0)</f>
        <v>#N/A</v>
      </c>
      <c r="C3157" s="86" t="e">
        <f>+VLOOKUP(B3157,ARTICULOS!$D$10:$I$699,6)</f>
        <v>#N/A</v>
      </c>
      <c r="D3157" s="212"/>
      <c r="E3157" s="75" t="e">
        <f t="shared" si="102"/>
        <v>#N/A</v>
      </c>
      <c r="F3157" s="80"/>
      <c r="G3157" s="81"/>
      <c r="H3157" s="78"/>
      <c r="I3157" s="78"/>
      <c r="J3157" s="78"/>
    </row>
    <row r="3158" spans="1:10" x14ac:dyDescent="0.2">
      <c r="A3158" s="84">
        <f t="shared" si="101"/>
        <v>3152</v>
      </c>
      <c r="B3158" s="85" t="e">
        <f>+MATCH(D3158,ARTICULOS!$F$10:$F$699,0)</f>
        <v>#N/A</v>
      </c>
      <c r="C3158" s="86" t="e">
        <f>+VLOOKUP(B3158,ARTICULOS!$D$10:$I$699,6)</f>
        <v>#N/A</v>
      </c>
      <c r="D3158" s="212"/>
      <c r="E3158" s="75" t="e">
        <f t="shared" si="102"/>
        <v>#N/A</v>
      </c>
      <c r="F3158" s="80"/>
      <c r="G3158" s="81"/>
      <c r="H3158" s="78"/>
      <c r="I3158" s="78"/>
      <c r="J3158" s="78"/>
    </row>
    <row r="3159" spans="1:10" x14ac:dyDescent="0.2">
      <c r="A3159" s="84">
        <f t="shared" si="101"/>
        <v>3153</v>
      </c>
      <c r="B3159" s="85" t="e">
        <f>+MATCH(D3159,ARTICULOS!$F$10:$F$699,0)</f>
        <v>#N/A</v>
      </c>
      <c r="C3159" s="86" t="e">
        <f>+VLOOKUP(B3159,ARTICULOS!$D$10:$I$699,6)</f>
        <v>#N/A</v>
      </c>
      <c r="D3159" s="212"/>
      <c r="E3159" s="75" t="e">
        <f t="shared" si="102"/>
        <v>#N/A</v>
      </c>
      <c r="F3159" s="80"/>
      <c r="G3159" s="81"/>
      <c r="H3159" s="78"/>
      <c r="I3159" s="78"/>
      <c r="J3159" s="78"/>
    </row>
    <row r="3160" spans="1:10" x14ac:dyDescent="0.2">
      <c r="A3160" s="84">
        <f t="shared" si="101"/>
        <v>3154</v>
      </c>
      <c r="B3160" s="85" t="e">
        <f>+MATCH(D3160,ARTICULOS!$F$10:$F$699,0)</f>
        <v>#N/A</v>
      </c>
      <c r="C3160" s="86" t="e">
        <f>+VLOOKUP(B3160,ARTICULOS!$D$10:$I$699,6)</f>
        <v>#N/A</v>
      </c>
      <c r="D3160" s="212"/>
      <c r="E3160" s="75" t="e">
        <f t="shared" si="102"/>
        <v>#N/A</v>
      </c>
      <c r="F3160" s="80"/>
      <c r="G3160" s="81"/>
      <c r="H3160" s="78"/>
      <c r="I3160" s="78"/>
      <c r="J3160" s="78"/>
    </row>
    <row r="3161" spans="1:10" x14ac:dyDescent="0.2">
      <c r="A3161" s="84">
        <f t="shared" si="101"/>
        <v>3155</v>
      </c>
      <c r="B3161" s="85" t="e">
        <f>+MATCH(D3161,ARTICULOS!$F$10:$F$699,0)</f>
        <v>#N/A</v>
      </c>
      <c r="C3161" s="86" t="e">
        <f>+VLOOKUP(B3161,ARTICULOS!$D$10:$I$699,6)</f>
        <v>#N/A</v>
      </c>
      <c r="D3161" s="212"/>
      <c r="E3161" s="75" t="e">
        <f t="shared" si="102"/>
        <v>#N/A</v>
      </c>
      <c r="F3161" s="80"/>
      <c r="G3161" s="81"/>
      <c r="H3161" s="78"/>
      <c r="I3161" s="78"/>
      <c r="J3161" s="78"/>
    </row>
    <row r="3162" spans="1:10" x14ac:dyDescent="0.2">
      <c r="A3162" s="84">
        <f t="shared" si="101"/>
        <v>3156</v>
      </c>
      <c r="B3162" s="85" t="e">
        <f>+MATCH(D3162,ARTICULOS!$F$10:$F$699,0)</f>
        <v>#N/A</v>
      </c>
      <c r="C3162" s="86" t="e">
        <f>+VLOOKUP(B3162,ARTICULOS!$D$10:$I$699,6)</f>
        <v>#N/A</v>
      </c>
      <c r="D3162" s="212"/>
      <c r="E3162" s="75" t="e">
        <f t="shared" si="102"/>
        <v>#N/A</v>
      </c>
      <c r="F3162" s="80"/>
      <c r="G3162" s="81"/>
      <c r="H3162" s="78"/>
      <c r="I3162" s="78"/>
      <c r="J3162" s="78"/>
    </row>
    <row r="3163" spans="1:10" x14ac:dyDescent="0.2">
      <c r="A3163" s="84">
        <f t="shared" si="101"/>
        <v>3157</v>
      </c>
      <c r="B3163" s="85" t="e">
        <f>+MATCH(D3163,ARTICULOS!$F$10:$F$699,0)</f>
        <v>#N/A</v>
      </c>
      <c r="C3163" s="86" t="e">
        <f>+VLOOKUP(B3163,ARTICULOS!$D$10:$I$699,6)</f>
        <v>#N/A</v>
      </c>
      <c r="D3163" s="212"/>
      <c r="E3163" s="75" t="e">
        <f t="shared" si="102"/>
        <v>#N/A</v>
      </c>
      <c r="F3163" s="80"/>
      <c r="G3163" s="81"/>
      <c r="H3163" s="78"/>
      <c r="I3163" s="78"/>
      <c r="J3163" s="78"/>
    </row>
    <row r="3164" spans="1:10" x14ac:dyDescent="0.2">
      <c r="A3164" s="84">
        <f t="shared" si="101"/>
        <v>3158</v>
      </c>
      <c r="B3164" s="85" t="e">
        <f>+MATCH(D3164,ARTICULOS!$F$10:$F$699,0)</f>
        <v>#N/A</v>
      </c>
      <c r="C3164" s="86" t="e">
        <f>+VLOOKUP(B3164,ARTICULOS!$D$10:$I$699,6)</f>
        <v>#N/A</v>
      </c>
      <c r="D3164" s="212"/>
      <c r="E3164" s="75" t="e">
        <f t="shared" si="102"/>
        <v>#N/A</v>
      </c>
      <c r="F3164" s="80"/>
      <c r="G3164" s="81"/>
      <c r="H3164" s="78"/>
      <c r="I3164" s="78"/>
      <c r="J3164" s="78"/>
    </row>
    <row r="3165" spans="1:10" x14ac:dyDescent="0.2">
      <c r="A3165" s="84">
        <f t="shared" si="101"/>
        <v>3159</v>
      </c>
      <c r="B3165" s="85" t="e">
        <f>+MATCH(D3165,ARTICULOS!$F$10:$F$699,0)</f>
        <v>#N/A</v>
      </c>
      <c r="C3165" s="86" t="e">
        <f>+VLOOKUP(B3165,ARTICULOS!$D$10:$I$699,6)</f>
        <v>#N/A</v>
      </c>
      <c r="D3165" s="212"/>
      <c r="E3165" s="75" t="e">
        <f t="shared" si="102"/>
        <v>#N/A</v>
      </c>
      <c r="F3165" s="80"/>
      <c r="G3165" s="81"/>
      <c r="H3165" s="78"/>
      <c r="I3165" s="78"/>
      <c r="J3165" s="78"/>
    </row>
    <row r="3166" spans="1:10" x14ac:dyDescent="0.2">
      <c r="A3166" s="84">
        <f t="shared" si="101"/>
        <v>3160</v>
      </c>
      <c r="B3166" s="85" t="e">
        <f>+MATCH(D3166,ARTICULOS!$F$10:$F$699,0)</f>
        <v>#N/A</v>
      </c>
      <c r="C3166" s="86" t="e">
        <f>+VLOOKUP(B3166,ARTICULOS!$D$10:$I$699,6)</f>
        <v>#N/A</v>
      </c>
      <c r="D3166" s="212"/>
      <c r="E3166" s="75" t="e">
        <f t="shared" si="102"/>
        <v>#N/A</v>
      </c>
      <c r="F3166" s="80"/>
      <c r="G3166" s="81"/>
      <c r="H3166" s="78"/>
      <c r="I3166" s="78"/>
      <c r="J3166" s="78"/>
    </row>
    <row r="3167" spans="1:10" x14ac:dyDescent="0.2">
      <c r="A3167" s="84">
        <f t="shared" si="101"/>
        <v>3161</v>
      </c>
      <c r="B3167" s="85" t="e">
        <f>+MATCH(D3167,ARTICULOS!$F$10:$F$699,0)</f>
        <v>#N/A</v>
      </c>
      <c r="C3167" s="86" t="e">
        <f>+VLOOKUP(B3167,ARTICULOS!$D$10:$I$699,6)</f>
        <v>#N/A</v>
      </c>
      <c r="D3167" s="212"/>
      <c r="E3167" s="75" t="e">
        <f t="shared" si="102"/>
        <v>#N/A</v>
      </c>
      <c r="F3167" s="80"/>
      <c r="G3167" s="81"/>
      <c r="H3167" s="78"/>
      <c r="I3167" s="78"/>
      <c r="J3167" s="78"/>
    </row>
    <row r="3168" spans="1:10" x14ac:dyDescent="0.2">
      <c r="A3168" s="84">
        <f t="shared" si="101"/>
        <v>3162</v>
      </c>
      <c r="B3168" s="85" t="e">
        <f>+MATCH(D3168,ARTICULOS!$F$10:$F$699,0)</f>
        <v>#N/A</v>
      </c>
      <c r="C3168" s="86" t="e">
        <f>+VLOOKUP(B3168,ARTICULOS!$D$10:$I$699,6)</f>
        <v>#N/A</v>
      </c>
      <c r="D3168" s="212"/>
      <c r="E3168" s="75" t="e">
        <f t="shared" si="102"/>
        <v>#N/A</v>
      </c>
      <c r="F3168" s="80"/>
      <c r="G3168" s="81"/>
      <c r="H3168" s="78"/>
      <c r="I3168" s="78"/>
      <c r="J3168" s="78"/>
    </row>
    <row r="3169" spans="1:10" x14ac:dyDescent="0.2">
      <c r="A3169" s="84">
        <f t="shared" si="101"/>
        <v>3163</v>
      </c>
      <c r="B3169" s="85" t="e">
        <f>+MATCH(D3169,ARTICULOS!$F$10:$F$699,0)</f>
        <v>#N/A</v>
      </c>
      <c r="C3169" s="86" t="e">
        <f>+VLOOKUP(B3169,ARTICULOS!$D$10:$I$699,6)</f>
        <v>#N/A</v>
      </c>
      <c r="D3169" s="212"/>
      <c r="E3169" s="75" t="e">
        <f t="shared" si="102"/>
        <v>#N/A</v>
      </c>
      <c r="F3169" s="80"/>
      <c r="G3169" s="81"/>
      <c r="H3169" s="78"/>
      <c r="I3169" s="78"/>
      <c r="J3169" s="78"/>
    </row>
    <row r="3170" spans="1:10" x14ac:dyDescent="0.2">
      <c r="A3170" s="84">
        <f t="shared" si="101"/>
        <v>3164</v>
      </c>
      <c r="B3170" s="85" t="e">
        <f>+MATCH(D3170,ARTICULOS!$F$10:$F$699,0)</f>
        <v>#N/A</v>
      </c>
      <c r="C3170" s="86" t="e">
        <f>+VLOOKUP(B3170,ARTICULOS!$D$10:$I$699,6)</f>
        <v>#N/A</v>
      </c>
      <c r="D3170" s="212"/>
      <c r="E3170" s="75" t="e">
        <f t="shared" si="102"/>
        <v>#N/A</v>
      </c>
      <c r="F3170" s="80"/>
      <c r="G3170" s="81"/>
      <c r="H3170" s="78"/>
      <c r="I3170" s="78"/>
      <c r="J3170" s="78"/>
    </row>
    <row r="3171" spans="1:10" x14ac:dyDescent="0.2">
      <c r="A3171" s="84">
        <f t="shared" si="101"/>
        <v>3165</v>
      </c>
      <c r="B3171" s="85" t="e">
        <f>+MATCH(D3171,ARTICULOS!$F$10:$F$699,0)</f>
        <v>#N/A</v>
      </c>
      <c r="C3171" s="86" t="e">
        <f>+VLOOKUP(B3171,ARTICULOS!$D$10:$I$699,6)</f>
        <v>#N/A</v>
      </c>
      <c r="D3171" s="212"/>
      <c r="E3171" s="75" t="e">
        <f t="shared" si="102"/>
        <v>#N/A</v>
      </c>
      <c r="F3171" s="80"/>
      <c r="G3171" s="81"/>
      <c r="H3171" s="78"/>
      <c r="I3171" s="78"/>
      <c r="J3171" s="78"/>
    </row>
    <row r="3172" spans="1:10" x14ac:dyDescent="0.2">
      <c r="A3172" s="84">
        <f t="shared" si="101"/>
        <v>3166</v>
      </c>
      <c r="B3172" s="85" t="e">
        <f>+MATCH(D3172,ARTICULOS!$F$10:$F$699,0)</f>
        <v>#N/A</v>
      </c>
      <c r="C3172" s="86" t="e">
        <f>+VLOOKUP(B3172,ARTICULOS!$D$10:$I$699,6)</f>
        <v>#N/A</v>
      </c>
      <c r="D3172" s="212"/>
      <c r="E3172" s="75" t="e">
        <f t="shared" si="102"/>
        <v>#N/A</v>
      </c>
      <c r="F3172" s="80"/>
      <c r="G3172" s="81"/>
      <c r="H3172" s="78"/>
      <c r="I3172" s="78"/>
      <c r="J3172" s="78"/>
    </row>
    <row r="3173" spans="1:10" x14ac:dyDescent="0.2">
      <c r="A3173" s="84">
        <f t="shared" si="101"/>
        <v>3167</v>
      </c>
      <c r="B3173" s="85" t="e">
        <f>+MATCH(D3173,ARTICULOS!$F$10:$F$699,0)</f>
        <v>#N/A</v>
      </c>
      <c r="C3173" s="86" t="e">
        <f>+VLOOKUP(B3173,ARTICULOS!$D$10:$I$699,6)</f>
        <v>#N/A</v>
      </c>
      <c r="D3173" s="212"/>
      <c r="E3173" s="75" t="e">
        <f t="shared" si="102"/>
        <v>#N/A</v>
      </c>
      <c r="F3173" s="80"/>
      <c r="G3173" s="81"/>
      <c r="H3173" s="78"/>
      <c r="I3173" s="78"/>
      <c r="J3173" s="78"/>
    </row>
    <row r="3174" spans="1:10" x14ac:dyDescent="0.2">
      <c r="A3174" s="84">
        <f t="shared" si="101"/>
        <v>3168</v>
      </c>
      <c r="B3174" s="85" t="e">
        <f>+MATCH(D3174,ARTICULOS!$F$10:$F$699,0)</f>
        <v>#N/A</v>
      </c>
      <c r="C3174" s="86" t="e">
        <f>+VLOOKUP(B3174,ARTICULOS!$D$10:$I$699,6)</f>
        <v>#N/A</v>
      </c>
      <c r="D3174" s="212"/>
      <c r="E3174" s="75" t="e">
        <f t="shared" si="102"/>
        <v>#N/A</v>
      </c>
      <c r="F3174" s="80"/>
      <c r="G3174" s="81"/>
      <c r="H3174" s="78"/>
      <c r="I3174" s="78"/>
      <c r="J3174" s="78"/>
    </row>
    <row r="3175" spans="1:10" x14ac:dyDescent="0.2">
      <c r="A3175" s="84">
        <f t="shared" si="101"/>
        <v>3169</v>
      </c>
      <c r="B3175" s="85" t="e">
        <f>+MATCH(D3175,ARTICULOS!$F$10:$F$699,0)</f>
        <v>#N/A</v>
      </c>
      <c r="C3175" s="86" t="e">
        <f>+VLOOKUP(B3175,ARTICULOS!$D$10:$I$699,6)</f>
        <v>#N/A</v>
      </c>
      <c r="D3175" s="212"/>
      <c r="E3175" s="75" t="e">
        <f t="shared" si="102"/>
        <v>#N/A</v>
      </c>
      <c r="F3175" s="80"/>
      <c r="G3175" s="81"/>
      <c r="H3175" s="78"/>
      <c r="I3175" s="78"/>
      <c r="J3175" s="78"/>
    </row>
    <row r="3176" spans="1:10" x14ac:dyDescent="0.2">
      <c r="A3176" s="84">
        <f t="shared" si="101"/>
        <v>3170</v>
      </c>
      <c r="B3176" s="85" t="e">
        <f>+MATCH(D3176,ARTICULOS!$F$10:$F$699,0)</f>
        <v>#N/A</v>
      </c>
      <c r="C3176" s="86" t="e">
        <f>+VLOOKUP(B3176,ARTICULOS!$D$10:$I$699,6)</f>
        <v>#N/A</v>
      </c>
      <c r="D3176" s="212"/>
      <c r="E3176" s="75" t="e">
        <f t="shared" si="102"/>
        <v>#N/A</v>
      </c>
      <c r="F3176" s="80"/>
      <c r="G3176" s="81"/>
      <c r="H3176" s="78"/>
      <c r="I3176" s="78"/>
      <c r="J3176" s="78"/>
    </row>
    <row r="3177" spans="1:10" x14ac:dyDescent="0.2">
      <c r="A3177" s="84">
        <f t="shared" ref="A3177:A3240" si="103">ROW()-6</f>
        <v>3171</v>
      </c>
      <c r="B3177" s="85" t="e">
        <f>+MATCH(D3177,ARTICULOS!$F$10:$F$699,0)</f>
        <v>#N/A</v>
      </c>
      <c r="C3177" s="86" t="e">
        <f>+VLOOKUP(B3177,ARTICULOS!$D$10:$I$699,6)</f>
        <v>#N/A</v>
      </c>
      <c r="D3177" s="212"/>
      <c r="E3177" s="75" t="e">
        <f t="shared" si="102"/>
        <v>#N/A</v>
      </c>
      <c r="F3177" s="80"/>
      <c r="G3177" s="81"/>
      <c r="H3177" s="78"/>
      <c r="I3177" s="78"/>
      <c r="J3177" s="78"/>
    </row>
    <row r="3178" spans="1:10" x14ac:dyDescent="0.2">
      <c r="A3178" s="84">
        <f t="shared" si="103"/>
        <v>3172</v>
      </c>
      <c r="B3178" s="85" t="e">
        <f>+MATCH(D3178,ARTICULOS!$F$10:$F$699,0)</f>
        <v>#N/A</v>
      </c>
      <c r="C3178" s="86" t="e">
        <f>+VLOOKUP(B3178,ARTICULOS!$D$10:$I$699,6)</f>
        <v>#N/A</v>
      </c>
      <c r="D3178" s="212"/>
      <c r="E3178" s="75" t="e">
        <f t="shared" si="102"/>
        <v>#N/A</v>
      </c>
      <c r="F3178" s="80"/>
      <c r="G3178" s="81"/>
      <c r="H3178" s="78"/>
      <c r="I3178" s="78"/>
      <c r="J3178" s="78"/>
    </row>
    <row r="3179" spans="1:10" x14ac:dyDescent="0.2">
      <c r="A3179" s="84">
        <f t="shared" si="103"/>
        <v>3173</v>
      </c>
      <c r="B3179" s="85" t="e">
        <f>+MATCH(D3179,ARTICULOS!$F$10:$F$699,0)</f>
        <v>#N/A</v>
      </c>
      <c r="C3179" s="86" t="e">
        <f>+VLOOKUP(B3179,ARTICULOS!$D$10:$I$699,6)</f>
        <v>#N/A</v>
      </c>
      <c r="D3179" s="212"/>
      <c r="E3179" s="75" t="e">
        <f t="shared" si="102"/>
        <v>#N/A</v>
      </c>
      <c r="F3179" s="80"/>
      <c r="G3179" s="81"/>
      <c r="H3179" s="78"/>
      <c r="I3179" s="78"/>
      <c r="J3179" s="78"/>
    </row>
    <row r="3180" spans="1:10" x14ac:dyDescent="0.2">
      <c r="A3180" s="84">
        <f t="shared" si="103"/>
        <v>3174</v>
      </c>
      <c r="B3180" s="85" t="e">
        <f>+MATCH(D3180,ARTICULOS!$F$10:$F$699,0)</f>
        <v>#N/A</v>
      </c>
      <c r="C3180" s="86" t="e">
        <f>+VLOOKUP(B3180,ARTICULOS!$D$10:$I$699,6)</f>
        <v>#N/A</v>
      </c>
      <c r="D3180" s="212"/>
      <c r="E3180" s="75" t="e">
        <f t="shared" si="102"/>
        <v>#N/A</v>
      </c>
      <c r="F3180" s="80"/>
      <c r="G3180" s="81"/>
      <c r="H3180" s="78"/>
      <c r="I3180" s="78"/>
      <c r="J3180" s="78"/>
    </row>
    <row r="3181" spans="1:10" x14ac:dyDescent="0.2">
      <c r="A3181" s="84">
        <f t="shared" si="103"/>
        <v>3175</v>
      </c>
      <c r="B3181" s="85" t="e">
        <f>+MATCH(D3181,ARTICULOS!$F$10:$F$699,0)</f>
        <v>#N/A</v>
      </c>
      <c r="C3181" s="86" t="e">
        <f>+VLOOKUP(B3181,ARTICULOS!$D$10:$I$699,6)</f>
        <v>#N/A</v>
      </c>
      <c r="D3181" s="212"/>
      <c r="E3181" s="75" t="e">
        <f t="shared" si="102"/>
        <v>#N/A</v>
      </c>
      <c r="F3181" s="80"/>
      <c r="G3181" s="81"/>
      <c r="H3181" s="78"/>
      <c r="I3181" s="78"/>
      <c r="J3181" s="78"/>
    </row>
    <row r="3182" spans="1:10" x14ac:dyDescent="0.2">
      <c r="A3182" s="84">
        <f t="shared" si="103"/>
        <v>3176</v>
      </c>
      <c r="B3182" s="85" t="e">
        <f>+MATCH(D3182,ARTICULOS!$F$10:$F$699,0)</f>
        <v>#N/A</v>
      </c>
      <c r="C3182" s="86" t="e">
        <f>+VLOOKUP(B3182,ARTICULOS!$D$10:$I$699,6)</f>
        <v>#N/A</v>
      </c>
      <c r="D3182" s="212"/>
      <c r="E3182" s="75" t="e">
        <f t="shared" si="102"/>
        <v>#N/A</v>
      </c>
      <c r="F3182" s="80"/>
      <c r="G3182" s="81"/>
      <c r="H3182" s="78"/>
      <c r="I3182" s="78"/>
      <c r="J3182" s="78"/>
    </row>
    <row r="3183" spans="1:10" x14ac:dyDescent="0.2">
      <c r="A3183" s="84">
        <f t="shared" si="103"/>
        <v>3177</v>
      </c>
      <c r="B3183" s="85" t="e">
        <f>+MATCH(D3183,ARTICULOS!$F$10:$F$699,0)</f>
        <v>#N/A</v>
      </c>
      <c r="C3183" s="86" t="e">
        <f>+VLOOKUP(B3183,ARTICULOS!$D$10:$I$699,6)</f>
        <v>#N/A</v>
      </c>
      <c r="D3183" s="212"/>
      <c r="E3183" s="75" t="e">
        <f t="shared" si="102"/>
        <v>#N/A</v>
      </c>
      <c r="F3183" s="80"/>
      <c r="G3183" s="81"/>
      <c r="H3183" s="78"/>
      <c r="I3183" s="78"/>
      <c r="J3183" s="78"/>
    </row>
    <row r="3184" spans="1:10" x14ac:dyDescent="0.2">
      <c r="A3184" s="84">
        <f t="shared" si="103"/>
        <v>3178</v>
      </c>
      <c r="B3184" s="85" t="e">
        <f>+MATCH(D3184,ARTICULOS!$F$10:$F$699,0)</f>
        <v>#N/A</v>
      </c>
      <c r="C3184" s="86" t="e">
        <f>+VLOOKUP(B3184,ARTICULOS!$D$10:$I$699,6)</f>
        <v>#N/A</v>
      </c>
      <c r="D3184" s="212"/>
      <c r="E3184" s="75" t="e">
        <f t="shared" si="102"/>
        <v>#N/A</v>
      </c>
      <c r="F3184" s="80"/>
      <c r="G3184" s="81"/>
      <c r="H3184" s="78"/>
      <c r="I3184" s="78"/>
      <c r="J3184" s="78"/>
    </row>
    <row r="3185" spans="1:10" x14ac:dyDescent="0.2">
      <c r="A3185" s="84">
        <f t="shared" si="103"/>
        <v>3179</v>
      </c>
      <c r="B3185" s="85" t="e">
        <f>+MATCH(D3185,ARTICULOS!$F$10:$F$699,0)</f>
        <v>#N/A</v>
      </c>
      <c r="C3185" s="86" t="e">
        <f>+VLOOKUP(B3185,ARTICULOS!$D$10:$I$699,6)</f>
        <v>#N/A</v>
      </c>
      <c r="D3185" s="212"/>
      <c r="E3185" s="75" t="e">
        <f t="shared" si="102"/>
        <v>#N/A</v>
      </c>
      <c r="F3185" s="80"/>
      <c r="G3185" s="81"/>
      <c r="H3185" s="78"/>
      <c r="I3185" s="78"/>
      <c r="J3185" s="78"/>
    </row>
    <row r="3186" spans="1:10" x14ac:dyDescent="0.2">
      <c r="A3186" s="84">
        <f t="shared" si="103"/>
        <v>3180</v>
      </c>
      <c r="B3186" s="85" t="e">
        <f>+MATCH(D3186,ARTICULOS!$F$10:$F$699,0)</f>
        <v>#N/A</v>
      </c>
      <c r="C3186" s="86" t="e">
        <f>+VLOOKUP(B3186,ARTICULOS!$D$10:$I$699,6)</f>
        <v>#N/A</v>
      </c>
      <c r="D3186" s="212"/>
      <c r="E3186" s="75" t="e">
        <f t="shared" si="102"/>
        <v>#N/A</v>
      </c>
      <c r="F3186" s="80"/>
      <c r="G3186" s="81"/>
      <c r="H3186" s="78"/>
      <c r="I3186" s="78"/>
      <c r="J3186" s="78"/>
    </row>
    <row r="3187" spans="1:10" x14ac:dyDescent="0.2">
      <c r="A3187" s="84">
        <f t="shared" si="103"/>
        <v>3181</v>
      </c>
      <c r="B3187" s="85" t="e">
        <f>+MATCH(D3187,ARTICULOS!$F$10:$F$699,0)</f>
        <v>#N/A</v>
      </c>
      <c r="C3187" s="86" t="e">
        <f>+VLOOKUP(B3187,ARTICULOS!$D$10:$I$699,6)</f>
        <v>#N/A</v>
      </c>
      <c r="D3187" s="212"/>
      <c r="E3187" s="75" t="e">
        <f t="shared" si="102"/>
        <v>#N/A</v>
      </c>
      <c r="F3187" s="80"/>
      <c r="G3187" s="81"/>
      <c r="H3187" s="78"/>
      <c r="I3187" s="78"/>
      <c r="J3187" s="78"/>
    </row>
    <row r="3188" spans="1:10" x14ac:dyDescent="0.2">
      <c r="A3188" s="84">
        <f t="shared" si="103"/>
        <v>3182</v>
      </c>
      <c r="B3188" s="85" t="e">
        <f>+MATCH(D3188,ARTICULOS!$F$10:$F$699,0)</f>
        <v>#N/A</v>
      </c>
      <c r="C3188" s="86" t="e">
        <f>+VLOOKUP(B3188,ARTICULOS!$D$10:$I$699,6)</f>
        <v>#N/A</v>
      </c>
      <c r="D3188" s="212"/>
      <c r="E3188" s="75" t="e">
        <f t="shared" si="102"/>
        <v>#N/A</v>
      </c>
      <c r="F3188" s="80"/>
      <c r="G3188" s="81"/>
      <c r="H3188" s="78"/>
      <c r="I3188" s="78"/>
      <c r="J3188" s="78"/>
    </row>
    <row r="3189" spans="1:10" x14ac:dyDescent="0.2">
      <c r="A3189" s="84">
        <f t="shared" si="103"/>
        <v>3183</v>
      </c>
      <c r="B3189" s="85" t="e">
        <f>+MATCH(D3189,ARTICULOS!$F$10:$F$699,0)</f>
        <v>#N/A</v>
      </c>
      <c r="C3189" s="86" t="e">
        <f>+VLOOKUP(B3189,ARTICULOS!$D$10:$I$699,6)</f>
        <v>#N/A</v>
      </c>
      <c r="D3189" s="212"/>
      <c r="E3189" s="75" t="e">
        <f t="shared" si="102"/>
        <v>#N/A</v>
      </c>
      <c r="F3189" s="80"/>
      <c r="G3189" s="81"/>
      <c r="H3189" s="78"/>
      <c r="I3189" s="78"/>
      <c r="J3189" s="78"/>
    </row>
    <row r="3190" spans="1:10" x14ac:dyDescent="0.2">
      <c r="A3190" s="84">
        <f t="shared" si="103"/>
        <v>3184</v>
      </c>
      <c r="B3190" s="85" t="e">
        <f>+MATCH(D3190,ARTICULOS!$F$10:$F$699,0)</f>
        <v>#N/A</v>
      </c>
      <c r="C3190" s="86" t="e">
        <f>+VLOOKUP(B3190,ARTICULOS!$D$10:$I$699,6)</f>
        <v>#N/A</v>
      </c>
      <c r="D3190" s="212"/>
      <c r="E3190" s="75" t="e">
        <f t="shared" si="102"/>
        <v>#N/A</v>
      </c>
      <c r="F3190" s="80"/>
      <c r="G3190" s="81"/>
      <c r="H3190" s="78"/>
      <c r="I3190" s="78"/>
      <c r="J3190" s="78"/>
    </row>
    <row r="3191" spans="1:10" x14ac:dyDescent="0.2">
      <c r="A3191" s="84">
        <f t="shared" si="103"/>
        <v>3185</v>
      </c>
      <c r="B3191" s="85" t="e">
        <f>+MATCH(D3191,ARTICULOS!$F$10:$F$699,0)</f>
        <v>#N/A</v>
      </c>
      <c r="C3191" s="86" t="e">
        <f>+VLOOKUP(B3191,ARTICULOS!$D$10:$I$699,6)</f>
        <v>#N/A</v>
      </c>
      <c r="D3191" s="212"/>
      <c r="E3191" s="75" t="e">
        <f t="shared" si="102"/>
        <v>#N/A</v>
      </c>
      <c r="F3191" s="80"/>
      <c r="G3191" s="81"/>
      <c r="H3191" s="78"/>
      <c r="I3191" s="78"/>
      <c r="J3191" s="78"/>
    </row>
    <row r="3192" spans="1:10" x14ac:dyDescent="0.2">
      <c r="A3192" s="84">
        <f t="shared" si="103"/>
        <v>3186</v>
      </c>
      <c r="B3192" s="85" t="e">
        <f>+MATCH(D3192,ARTICULOS!$F$10:$F$699,0)</f>
        <v>#N/A</v>
      </c>
      <c r="C3192" s="86" t="e">
        <f>+VLOOKUP(B3192,ARTICULOS!$D$10:$I$699,6)</f>
        <v>#N/A</v>
      </c>
      <c r="D3192" s="212"/>
      <c r="E3192" s="75" t="e">
        <f t="shared" si="102"/>
        <v>#N/A</v>
      </c>
      <c r="F3192" s="80"/>
      <c r="G3192" s="81"/>
      <c r="H3192" s="78"/>
      <c r="I3192" s="78"/>
      <c r="J3192" s="78"/>
    </row>
    <row r="3193" spans="1:10" x14ac:dyDescent="0.2">
      <c r="A3193" s="84">
        <f t="shared" si="103"/>
        <v>3187</v>
      </c>
      <c r="B3193" s="85" t="e">
        <f>+MATCH(D3193,ARTICULOS!$F$10:$F$699,0)</f>
        <v>#N/A</v>
      </c>
      <c r="C3193" s="86" t="e">
        <f>+VLOOKUP(B3193,ARTICULOS!$D$10:$I$699,6)</f>
        <v>#N/A</v>
      </c>
      <c r="D3193" s="212"/>
      <c r="E3193" s="75" t="e">
        <f t="shared" si="102"/>
        <v>#N/A</v>
      </c>
      <c r="F3193" s="80"/>
      <c r="G3193" s="81"/>
      <c r="H3193" s="78"/>
      <c r="I3193" s="78"/>
      <c r="J3193" s="78"/>
    </row>
    <row r="3194" spans="1:10" x14ac:dyDescent="0.2">
      <c r="A3194" s="84">
        <f t="shared" si="103"/>
        <v>3188</v>
      </c>
      <c r="B3194" s="85" t="e">
        <f>+MATCH(D3194,ARTICULOS!$F$10:$F$699,0)</f>
        <v>#N/A</v>
      </c>
      <c r="C3194" s="86" t="e">
        <f>+VLOOKUP(B3194,ARTICULOS!$D$10:$I$699,6)</f>
        <v>#N/A</v>
      </c>
      <c r="D3194" s="212"/>
      <c r="E3194" s="75" t="e">
        <f t="shared" si="102"/>
        <v>#N/A</v>
      </c>
      <c r="F3194" s="80"/>
      <c r="G3194" s="81"/>
      <c r="H3194" s="78"/>
      <c r="I3194" s="78"/>
      <c r="J3194" s="78"/>
    </row>
    <row r="3195" spans="1:10" x14ac:dyDescent="0.2">
      <c r="A3195" s="84">
        <f t="shared" si="103"/>
        <v>3189</v>
      </c>
      <c r="B3195" s="85" t="e">
        <f>+MATCH(D3195,ARTICULOS!$F$10:$F$699,0)</f>
        <v>#N/A</v>
      </c>
      <c r="C3195" s="86" t="e">
        <f>+VLOOKUP(B3195,ARTICULOS!$D$10:$I$699,6)</f>
        <v>#N/A</v>
      </c>
      <c r="D3195" s="212"/>
      <c r="E3195" s="75" t="e">
        <f t="shared" si="102"/>
        <v>#N/A</v>
      </c>
      <c r="F3195" s="80"/>
      <c r="G3195" s="81"/>
      <c r="H3195" s="78"/>
      <c r="I3195" s="78"/>
      <c r="J3195" s="78"/>
    </row>
    <row r="3196" spans="1:10" x14ac:dyDescent="0.2">
      <c r="A3196" s="84">
        <f t="shared" si="103"/>
        <v>3190</v>
      </c>
      <c r="B3196" s="85" t="e">
        <f>+MATCH(D3196,ARTICULOS!$F$10:$F$699,0)</f>
        <v>#N/A</v>
      </c>
      <c r="C3196" s="86" t="e">
        <f>+VLOOKUP(B3196,ARTICULOS!$D$10:$I$699,6)</f>
        <v>#N/A</v>
      </c>
      <c r="D3196" s="212"/>
      <c r="E3196" s="75" t="e">
        <f t="shared" si="102"/>
        <v>#N/A</v>
      </c>
      <c r="F3196" s="80"/>
      <c r="G3196" s="81"/>
      <c r="H3196" s="78"/>
      <c r="I3196" s="78"/>
      <c r="J3196" s="78"/>
    </row>
    <row r="3197" spans="1:10" x14ac:dyDescent="0.2">
      <c r="A3197" s="84">
        <f t="shared" si="103"/>
        <v>3191</v>
      </c>
      <c r="B3197" s="85" t="e">
        <f>+MATCH(D3197,ARTICULOS!$F$10:$F$699,0)</f>
        <v>#N/A</v>
      </c>
      <c r="C3197" s="86" t="e">
        <f>+VLOOKUP(B3197,ARTICULOS!$D$10:$I$699,6)</f>
        <v>#N/A</v>
      </c>
      <c r="D3197" s="212"/>
      <c r="E3197" s="75" t="e">
        <f t="shared" si="102"/>
        <v>#N/A</v>
      </c>
      <c r="F3197" s="80"/>
      <c r="G3197" s="81"/>
      <c r="H3197" s="78"/>
      <c r="I3197" s="78"/>
      <c r="J3197" s="78"/>
    </row>
    <row r="3198" spans="1:10" x14ac:dyDescent="0.2">
      <c r="A3198" s="84">
        <f t="shared" si="103"/>
        <v>3192</v>
      </c>
      <c r="B3198" s="85" t="e">
        <f>+MATCH(D3198,ARTICULOS!$F$10:$F$699,0)</f>
        <v>#N/A</v>
      </c>
      <c r="C3198" s="86" t="e">
        <f>+VLOOKUP(B3198,ARTICULOS!$D$10:$I$699,6)</f>
        <v>#N/A</v>
      </c>
      <c r="D3198" s="212"/>
      <c r="E3198" s="75" t="e">
        <f t="shared" si="102"/>
        <v>#N/A</v>
      </c>
      <c r="F3198" s="80"/>
      <c r="G3198" s="81"/>
      <c r="H3198" s="78"/>
      <c r="I3198" s="78"/>
      <c r="J3198" s="78"/>
    </row>
    <row r="3199" spans="1:10" x14ac:dyDescent="0.2">
      <c r="A3199" s="84">
        <f t="shared" si="103"/>
        <v>3193</v>
      </c>
      <c r="B3199" s="85" t="e">
        <f>+MATCH(D3199,ARTICULOS!$F$10:$F$699,0)</f>
        <v>#N/A</v>
      </c>
      <c r="C3199" s="86" t="e">
        <f>+VLOOKUP(B3199,ARTICULOS!$D$10:$I$699,6)</f>
        <v>#N/A</v>
      </c>
      <c r="D3199" s="212"/>
      <c r="E3199" s="75" t="e">
        <f t="shared" si="102"/>
        <v>#N/A</v>
      </c>
      <c r="F3199" s="80"/>
      <c r="G3199" s="81"/>
      <c r="H3199" s="78"/>
      <c r="I3199" s="78"/>
      <c r="J3199" s="78"/>
    </row>
    <row r="3200" spans="1:10" x14ac:dyDescent="0.2">
      <c r="A3200" s="84">
        <f t="shared" si="103"/>
        <v>3194</v>
      </c>
      <c r="B3200" s="85" t="e">
        <f>+MATCH(D3200,ARTICULOS!$F$10:$F$699,0)</f>
        <v>#N/A</v>
      </c>
      <c r="C3200" s="86" t="e">
        <f>+VLOOKUP(B3200,ARTICULOS!$D$10:$I$699,6)</f>
        <v>#N/A</v>
      </c>
      <c r="D3200" s="212"/>
      <c r="E3200" s="75" t="e">
        <f t="shared" si="102"/>
        <v>#N/A</v>
      </c>
      <c r="F3200" s="80"/>
      <c r="G3200" s="81"/>
      <c r="H3200" s="78"/>
      <c r="I3200" s="78"/>
      <c r="J3200" s="78"/>
    </row>
    <row r="3201" spans="1:10" x14ac:dyDescent="0.2">
      <c r="A3201" s="84">
        <f t="shared" si="103"/>
        <v>3195</v>
      </c>
      <c r="B3201" s="85" t="e">
        <f>+MATCH(D3201,ARTICULOS!$F$10:$F$699,0)</f>
        <v>#N/A</v>
      </c>
      <c r="C3201" s="86" t="e">
        <f>+VLOOKUP(B3201,ARTICULOS!$D$10:$I$699,6)</f>
        <v>#N/A</v>
      </c>
      <c r="D3201" s="212"/>
      <c r="E3201" s="75" t="e">
        <f t="shared" si="102"/>
        <v>#N/A</v>
      </c>
      <c r="F3201" s="80"/>
      <c r="G3201" s="81"/>
      <c r="H3201" s="78"/>
      <c r="I3201" s="78"/>
      <c r="J3201" s="78"/>
    </row>
    <row r="3202" spans="1:10" x14ac:dyDescent="0.2">
      <c r="A3202" s="84">
        <f t="shared" si="103"/>
        <v>3196</v>
      </c>
      <c r="B3202" s="85" t="e">
        <f>+MATCH(D3202,ARTICULOS!$F$10:$F$699,0)</f>
        <v>#N/A</v>
      </c>
      <c r="C3202" s="86" t="e">
        <f>+VLOOKUP(B3202,ARTICULOS!$D$10:$I$699,6)</f>
        <v>#N/A</v>
      </c>
      <c r="D3202" s="212"/>
      <c r="E3202" s="75" t="e">
        <f t="shared" si="102"/>
        <v>#N/A</v>
      </c>
      <c r="F3202" s="80"/>
      <c r="G3202" s="81"/>
      <c r="H3202" s="78"/>
      <c r="I3202" s="78"/>
      <c r="J3202" s="78"/>
    </row>
    <row r="3203" spans="1:10" x14ac:dyDescent="0.2">
      <c r="A3203" s="84">
        <f t="shared" si="103"/>
        <v>3197</v>
      </c>
      <c r="B3203" s="85" t="e">
        <f>+MATCH(D3203,ARTICULOS!$F$10:$F$699,0)</f>
        <v>#N/A</v>
      </c>
      <c r="C3203" s="86" t="e">
        <f>+VLOOKUP(B3203,ARTICULOS!$D$10:$I$699,6)</f>
        <v>#N/A</v>
      </c>
      <c r="D3203" s="212"/>
      <c r="E3203" s="75" t="e">
        <f t="shared" si="102"/>
        <v>#N/A</v>
      </c>
      <c r="F3203" s="80"/>
      <c r="G3203" s="81"/>
      <c r="H3203" s="78"/>
      <c r="I3203" s="78"/>
      <c r="J3203" s="78"/>
    </row>
    <row r="3204" spans="1:10" x14ac:dyDescent="0.2">
      <c r="A3204" s="84">
        <f t="shared" si="103"/>
        <v>3198</v>
      </c>
      <c r="B3204" s="85" t="e">
        <f>+MATCH(D3204,ARTICULOS!$F$10:$F$699,0)</f>
        <v>#N/A</v>
      </c>
      <c r="C3204" s="86" t="e">
        <f>+VLOOKUP(B3204,ARTICULOS!$D$10:$I$699,6)</f>
        <v>#N/A</v>
      </c>
      <c r="D3204" s="212"/>
      <c r="E3204" s="75" t="e">
        <f t="shared" si="102"/>
        <v>#N/A</v>
      </c>
      <c r="F3204" s="80"/>
      <c r="G3204" s="81"/>
      <c r="H3204" s="78"/>
      <c r="I3204" s="78"/>
      <c r="J3204" s="78"/>
    </row>
    <row r="3205" spans="1:10" x14ac:dyDescent="0.2">
      <c r="A3205" s="84">
        <f t="shared" si="103"/>
        <v>3199</v>
      </c>
      <c r="B3205" s="85" t="e">
        <f>+MATCH(D3205,ARTICULOS!$F$10:$F$699,0)</f>
        <v>#N/A</v>
      </c>
      <c r="C3205" s="86" t="e">
        <f>+VLOOKUP(B3205,ARTICULOS!$D$10:$I$699,6)</f>
        <v>#N/A</v>
      </c>
      <c r="D3205" s="212"/>
      <c r="E3205" s="75" t="e">
        <f t="shared" si="102"/>
        <v>#N/A</v>
      </c>
      <c r="F3205" s="80"/>
      <c r="G3205" s="81"/>
      <c r="H3205" s="78"/>
      <c r="I3205" s="78"/>
      <c r="J3205" s="78"/>
    </row>
    <row r="3206" spans="1:10" x14ac:dyDescent="0.2">
      <c r="A3206" s="84">
        <f t="shared" si="103"/>
        <v>3200</v>
      </c>
      <c r="B3206" s="85" t="e">
        <f>+MATCH(D3206,ARTICULOS!$F$10:$F$699,0)</f>
        <v>#N/A</v>
      </c>
      <c r="C3206" s="86" t="e">
        <f>+VLOOKUP(B3206,ARTICULOS!$D$10:$I$699,6)</f>
        <v>#N/A</v>
      </c>
      <c r="D3206" s="212"/>
      <c r="E3206" s="75" t="e">
        <f t="shared" si="102"/>
        <v>#N/A</v>
      </c>
      <c r="F3206" s="80"/>
      <c r="G3206" s="81"/>
      <c r="H3206" s="78"/>
      <c r="I3206" s="78"/>
      <c r="J3206" s="78"/>
    </row>
    <row r="3207" spans="1:10" x14ac:dyDescent="0.2">
      <c r="A3207" s="84">
        <f t="shared" si="103"/>
        <v>3201</v>
      </c>
      <c r="B3207" s="85" t="e">
        <f>+MATCH(D3207,ARTICULOS!$F$10:$F$699,0)</f>
        <v>#N/A</v>
      </c>
      <c r="C3207" s="86" t="e">
        <f>+VLOOKUP(B3207,ARTICULOS!$D$10:$I$699,6)</f>
        <v>#N/A</v>
      </c>
      <c r="D3207" s="212"/>
      <c r="E3207" s="75" t="e">
        <f t="shared" si="102"/>
        <v>#N/A</v>
      </c>
      <c r="F3207" s="80"/>
      <c r="G3207" s="81"/>
      <c r="H3207" s="78"/>
      <c r="I3207" s="78"/>
      <c r="J3207" s="78"/>
    </row>
    <row r="3208" spans="1:10" x14ac:dyDescent="0.2">
      <c r="A3208" s="84">
        <f t="shared" si="103"/>
        <v>3202</v>
      </c>
      <c r="B3208" s="85" t="e">
        <f>+MATCH(D3208,ARTICULOS!$F$10:$F$699,0)</f>
        <v>#N/A</v>
      </c>
      <c r="C3208" s="86" t="e">
        <f>+VLOOKUP(B3208,ARTICULOS!$D$10:$I$699,6)</f>
        <v>#N/A</v>
      </c>
      <c r="D3208" s="212"/>
      <c r="E3208" s="75" t="e">
        <f t="shared" si="102"/>
        <v>#N/A</v>
      </c>
      <c r="F3208" s="80"/>
      <c r="G3208" s="81"/>
      <c r="H3208" s="78"/>
      <c r="I3208" s="78"/>
      <c r="J3208" s="78"/>
    </row>
    <row r="3209" spans="1:10" x14ac:dyDescent="0.2">
      <c r="A3209" s="84">
        <f t="shared" si="103"/>
        <v>3203</v>
      </c>
      <c r="B3209" s="85" t="e">
        <f>+MATCH(D3209,ARTICULOS!$F$10:$F$699,0)</f>
        <v>#N/A</v>
      </c>
      <c r="C3209" s="86" t="e">
        <f>+VLOOKUP(B3209,ARTICULOS!$D$10:$I$699,6)</f>
        <v>#N/A</v>
      </c>
      <c r="D3209" s="212"/>
      <c r="E3209" s="75" t="e">
        <f t="shared" si="102"/>
        <v>#N/A</v>
      </c>
      <c r="F3209" s="80"/>
      <c r="G3209" s="81"/>
      <c r="H3209" s="78"/>
      <c r="I3209" s="78"/>
      <c r="J3209" s="78"/>
    </row>
    <row r="3210" spans="1:10" x14ac:dyDescent="0.2">
      <c r="A3210" s="84">
        <f t="shared" si="103"/>
        <v>3204</v>
      </c>
      <c r="B3210" s="85" t="e">
        <f>+MATCH(D3210,ARTICULOS!$F$10:$F$699,0)</f>
        <v>#N/A</v>
      </c>
      <c r="C3210" s="86" t="e">
        <f>+VLOOKUP(B3210,ARTICULOS!$D$10:$I$699,6)</f>
        <v>#N/A</v>
      </c>
      <c r="D3210" s="212"/>
      <c r="E3210" s="75" t="e">
        <f t="shared" si="102"/>
        <v>#N/A</v>
      </c>
      <c r="F3210" s="80"/>
      <c r="G3210" s="81"/>
      <c r="H3210" s="78"/>
      <c r="I3210" s="78"/>
      <c r="J3210" s="78"/>
    </row>
    <row r="3211" spans="1:10" x14ac:dyDescent="0.2">
      <c r="A3211" s="84">
        <f t="shared" si="103"/>
        <v>3205</v>
      </c>
      <c r="B3211" s="85" t="e">
        <f>+MATCH(D3211,ARTICULOS!$F$10:$F$699,0)</f>
        <v>#N/A</v>
      </c>
      <c r="C3211" s="86" t="e">
        <f>+VLOOKUP(B3211,ARTICULOS!$D$10:$I$699,6)</f>
        <v>#N/A</v>
      </c>
      <c r="D3211" s="212"/>
      <c r="E3211" s="75" t="e">
        <f t="shared" ref="E3211:E3274" si="104">+C3211&amp;F3211</f>
        <v>#N/A</v>
      </c>
      <c r="F3211" s="80"/>
      <c r="G3211" s="81"/>
      <c r="H3211" s="78"/>
      <c r="I3211" s="78"/>
      <c r="J3211" s="78"/>
    </row>
    <row r="3212" spans="1:10" x14ac:dyDescent="0.2">
      <c r="A3212" s="84">
        <f t="shared" si="103"/>
        <v>3206</v>
      </c>
      <c r="B3212" s="85" t="e">
        <f>+MATCH(D3212,ARTICULOS!$F$10:$F$699,0)</f>
        <v>#N/A</v>
      </c>
      <c r="C3212" s="86" t="e">
        <f>+VLOOKUP(B3212,ARTICULOS!$D$10:$I$699,6)</f>
        <v>#N/A</v>
      </c>
      <c r="D3212" s="212"/>
      <c r="E3212" s="75" t="e">
        <f t="shared" si="104"/>
        <v>#N/A</v>
      </c>
      <c r="F3212" s="80"/>
      <c r="G3212" s="81"/>
      <c r="H3212" s="78"/>
      <c r="I3212" s="78"/>
      <c r="J3212" s="78"/>
    </row>
    <row r="3213" spans="1:10" x14ac:dyDescent="0.2">
      <c r="A3213" s="84">
        <f t="shared" si="103"/>
        <v>3207</v>
      </c>
      <c r="B3213" s="85" t="e">
        <f>+MATCH(D3213,ARTICULOS!$F$10:$F$699,0)</f>
        <v>#N/A</v>
      </c>
      <c r="C3213" s="86" t="e">
        <f>+VLOOKUP(B3213,ARTICULOS!$D$10:$I$699,6)</f>
        <v>#N/A</v>
      </c>
      <c r="D3213" s="212"/>
      <c r="E3213" s="75" t="e">
        <f t="shared" si="104"/>
        <v>#N/A</v>
      </c>
      <c r="F3213" s="80"/>
      <c r="G3213" s="81"/>
      <c r="H3213" s="78"/>
      <c r="I3213" s="78"/>
      <c r="J3213" s="78"/>
    </row>
    <row r="3214" spans="1:10" x14ac:dyDescent="0.2">
      <c r="A3214" s="84">
        <f t="shared" si="103"/>
        <v>3208</v>
      </c>
      <c r="B3214" s="85" t="e">
        <f>+MATCH(D3214,ARTICULOS!$F$10:$F$699,0)</f>
        <v>#N/A</v>
      </c>
      <c r="C3214" s="86" t="e">
        <f>+VLOOKUP(B3214,ARTICULOS!$D$10:$I$699,6)</f>
        <v>#N/A</v>
      </c>
      <c r="D3214" s="212"/>
      <c r="E3214" s="75" t="e">
        <f t="shared" si="104"/>
        <v>#N/A</v>
      </c>
      <c r="F3214" s="80"/>
      <c r="G3214" s="81"/>
      <c r="H3214" s="78"/>
      <c r="I3214" s="78"/>
      <c r="J3214" s="78"/>
    </row>
    <row r="3215" spans="1:10" x14ac:dyDescent="0.2">
      <c r="A3215" s="84">
        <f t="shared" si="103"/>
        <v>3209</v>
      </c>
      <c r="B3215" s="85" t="e">
        <f>+MATCH(D3215,ARTICULOS!$F$10:$F$699,0)</f>
        <v>#N/A</v>
      </c>
      <c r="C3215" s="86" t="e">
        <f>+VLOOKUP(B3215,ARTICULOS!$D$10:$I$699,6)</f>
        <v>#N/A</v>
      </c>
      <c r="D3215" s="212"/>
      <c r="E3215" s="75" t="e">
        <f t="shared" si="104"/>
        <v>#N/A</v>
      </c>
      <c r="F3215" s="80"/>
      <c r="G3215" s="81"/>
      <c r="H3215" s="78"/>
      <c r="I3215" s="78"/>
      <c r="J3215" s="78"/>
    </row>
    <row r="3216" spans="1:10" x14ac:dyDescent="0.2">
      <c r="A3216" s="84">
        <f t="shared" si="103"/>
        <v>3210</v>
      </c>
      <c r="B3216" s="85" t="e">
        <f>+MATCH(D3216,ARTICULOS!$F$10:$F$699,0)</f>
        <v>#N/A</v>
      </c>
      <c r="C3216" s="86" t="e">
        <f>+VLOOKUP(B3216,ARTICULOS!$D$10:$I$699,6)</f>
        <v>#N/A</v>
      </c>
      <c r="D3216" s="212"/>
      <c r="E3216" s="75" t="e">
        <f t="shared" si="104"/>
        <v>#N/A</v>
      </c>
      <c r="F3216" s="80"/>
      <c r="G3216" s="81"/>
      <c r="H3216" s="78"/>
      <c r="I3216" s="78"/>
      <c r="J3216" s="78"/>
    </row>
    <row r="3217" spans="1:10" x14ac:dyDescent="0.2">
      <c r="A3217" s="84">
        <f t="shared" si="103"/>
        <v>3211</v>
      </c>
      <c r="B3217" s="85" t="e">
        <f>+MATCH(D3217,ARTICULOS!$F$10:$F$699,0)</f>
        <v>#N/A</v>
      </c>
      <c r="C3217" s="86" t="e">
        <f>+VLOOKUP(B3217,ARTICULOS!$D$10:$I$699,6)</f>
        <v>#N/A</v>
      </c>
      <c r="D3217" s="212"/>
      <c r="E3217" s="75" t="e">
        <f t="shared" si="104"/>
        <v>#N/A</v>
      </c>
      <c r="F3217" s="80"/>
      <c r="G3217" s="81"/>
      <c r="H3217" s="78"/>
      <c r="I3217" s="78"/>
      <c r="J3217" s="78"/>
    </row>
    <row r="3218" spans="1:10" x14ac:dyDescent="0.2">
      <c r="A3218" s="84">
        <f t="shared" si="103"/>
        <v>3212</v>
      </c>
      <c r="B3218" s="85" t="e">
        <f>+MATCH(D3218,ARTICULOS!$F$10:$F$699,0)</f>
        <v>#N/A</v>
      </c>
      <c r="C3218" s="86" t="e">
        <f>+VLOOKUP(B3218,ARTICULOS!$D$10:$I$699,6)</f>
        <v>#N/A</v>
      </c>
      <c r="D3218" s="212"/>
      <c r="E3218" s="75" t="e">
        <f t="shared" si="104"/>
        <v>#N/A</v>
      </c>
      <c r="F3218" s="80"/>
      <c r="G3218" s="81"/>
      <c r="H3218" s="78"/>
      <c r="I3218" s="78"/>
      <c r="J3218" s="78"/>
    </row>
    <row r="3219" spans="1:10" x14ac:dyDescent="0.2">
      <c r="A3219" s="84">
        <f t="shared" si="103"/>
        <v>3213</v>
      </c>
      <c r="B3219" s="85" t="e">
        <f>+MATCH(D3219,ARTICULOS!$F$10:$F$699,0)</f>
        <v>#N/A</v>
      </c>
      <c r="C3219" s="86" t="e">
        <f>+VLOOKUP(B3219,ARTICULOS!$D$10:$I$699,6)</f>
        <v>#N/A</v>
      </c>
      <c r="D3219" s="212"/>
      <c r="E3219" s="75" t="e">
        <f t="shared" si="104"/>
        <v>#N/A</v>
      </c>
      <c r="F3219" s="80"/>
      <c r="G3219" s="81"/>
      <c r="H3219" s="78"/>
      <c r="I3219" s="78"/>
      <c r="J3219" s="78"/>
    </row>
    <row r="3220" spans="1:10" x14ac:dyDescent="0.2">
      <c r="A3220" s="84">
        <f t="shared" si="103"/>
        <v>3214</v>
      </c>
      <c r="B3220" s="85" t="e">
        <f>+MATCH(D3220,ARTICULOS!$F$10:$F$699,0)</f>
        <v>#N/A</v>
      </c>
      <c r="C3220" s="86" t="e">
        <f>+VLOOKUP(B3220,ARTICULOS!$D$10:$I$699,6)</f>
        <v>#N/A</v>
      </c>
      <c r="D3220" s="212"/>
      <c r="E3220" s="75" t="e">
        <f t="shared" si="104"/>
        <v>#N/A</v>
      </c>
      <c r="F3220" s="80"/>
      <c r="G3220" s="81"/>
      <c r="H3220" s="78"/>
      <c r="I3220" s="78"/>
      <c r="J3220" s="78"/>
    </row>
    <row r="3221" spans="1:10" x14ac:dyDescent="0.2">
      <c r="A3221" s="84">
        <f t="shared" si="103"/>
        <v>3215</v>
      </c>
      <c r="B3221" s="85" t="e">
        <f>+MATCH(D3221,ARTICULOS!$F$10:$F$699,0)</f>
        <v>#N/A</v>
      </c>
      <c r="C3221" s="86" t="e">
        <f>+VLOOKUP(B3221,ARTICULOS!$D$10:$I$699,6)</f>
        <v>#N/A</v>
      </c>
      <c r="D3221" s="212"/>
      <c r="E3221" s="75" t="e">
        <f t="shared" si="104"/>
        <v>#N/A</v>
      </c>
      <c r="F3221" s="80"/>
      <c r="G3221" s="81"/>
      <c r="H3221" s="78"/>
      <c r="I3221" s="78"/>
      <c r="J3221" s="78"/>
    </row>
    <row r="3222" spans="1:10" x14ac:dyDescent="0.2">
      <c r="A3222" s="84">
        <f t="shared" si="103"/>
        <v>3216</v>
      </c>
      <c r="B3222" s="85" t="e">
        <f>+MATCH(D3222,ARTICULOS!$F$10:$F$699,0)</f>
        <v>#N/A</v>
      </c>
      <c r="C3222" s="86" t="e">
        <f>+VLOOKUP(B3222,ARTICULOS!$D$10:$I$699,6)</f>
        <v>#N/A</v>
      </c>
      <c r="D3222" s="212"/>
      <c r="E3222" s="75" t="e">
        <f t="shared" si="104"/>
        <v>#N/A</v>
      </c>
      <c r="F3222" s="80"/>
      <c r="G3222" s="81"/>
      <c r="H3222" s="78"/>
      <c r="I3222" s="78"/>
      <c r="J3222" s="78"/>
    </row>
    <row r="3223" spans="1:10" x14ac:dyDescent="0.2">
      <c r="A3223" s="84">
        <f t="shared" si="103"/>
        <v>3217</v>
      </c>
      <c r="B3223" s="85" t="e">
        <f>+MATCH(D3223,ARTICULOS!$F$10:$F$699,0)</f>
        <v>#N/A</v>
      </c>
      <c r="C3223" s="86" t="e">
        <f>+VLOOKUP(B3223,ARTICULOS!$D$10:$I$699,6)</f>
        <v>#N/A</v>
      </c>
      <c r="D3223" s="212"/>
      <c r="E3223" s="75" t="e">
        <f t="shared" si="104"/>
        <v>#N/A</v>
      </c>
      <c r="F3223" s="80"/>
      <c r="G3223" s="81"/>
      <c r="H3223" s="78"/>
      <c r="I3223" s="78"/>
      <c r="J3223" s="78"/>
    </row>
    <row r="3224" spans="1:10" x14ac:dyDescent="0.2">
      <c r="A3224" s="84">
        <f t="shared" si="103"/>
        <v>3218</v>
      </c>
      <c r="B3224" s="85" t="e">
        <f>+MATCH(D3224,ARTICULOS!$F$10:$F$699,0)</f>
        <v>#N/A</v>
      </c>
      <c r="C3224" s="86" t="e">
        <f>+VLOOKUP(B3224,ARTICULOS!$D$10:$I$699,6)</f>
        <v>#N/A</v>
      </c>
      <c r="D3224" s="212"/>
      <c r="E3224" s="75" t="e">
        <f t="shared" si="104"/>
        <v>#N/A</v>
      </c>
      <c r="F3224" s="80"/>
      <c r="G3224" s="81"/>
      <c r="H3224" s="78"/>
      <c r="I3224" s="78"/>
      <c r="J3224" s="78"/>
    </row>
    <row r="3225" spans="1:10" x14ac:dyDescent="0.2">
      <c r="A3225" s="84">
        <f t="shared" si="103"/>
        <v>3219</v>
      </c>
      <c r="B3225" s="85" t="e">
        <f>+MATCH(D3225,ARTICULOS!$F$10:$F$699,0)</f>
        <v>#N/A</v>
      </c>
      <c r="C3225" s="86" t="e">
        <f>+VLOOKUP(B3225,ARTICULOS!$D$10:$I$699,6)</f>
        <v>#N/A</v>
      </c>
      <c r="D3225" s="212"/>
      <c r="E3225" s="75" t="e">
        <f t="shared" si="104"/>
        <v>#N/A</v>
      </c>
      <c r="F3225" s="80"/>
      <c r="G3225" s="81"/>
      <c r="H3225" s="78"/>
      <c r="I3225" s="78"/>
      <c r="J3225" s="78"/>
    </row>
    <row r="3226" spans="1:10" x14ac:dyDescent="0.2">
      <c r="A3226" s="84">
        <f t="shared" si="103"/>
        <v>3220</v>
      </c>
      <c r="B3226" s="85" t="e">
        <f>+MATCH(D3226,ARTICULOS!$F$10:$F$699,0)</f>
        <v>#N/A</v>
      </c>
      <c r="C3226" s="86" t="e">
        <f>+VLOOKUP(B3226,ARTICULOS!$D$10:$I$699,6)</f>
        <v>#N/A</v>
      </c>
      <c r="D3226" s="212"/>
      <c r="E3226" s="75" t="e">
        <f t="shared" si="104"/>
        <v>#N/A</v>
      </c>
      <c r="F3226" s="80"/>
      <c r="G3226" s="81"/>
      <c r="H3226" s="78"/>
      <c r="I3226" s="78"/>
      <c r="J3226" s="78"/>
    </row>
    <row r="3227" spans="1:10" x14ac:dyDescent="0.2">
      <c r="A3227" s="84">
        <f t="shared" si="103"/>
        <v>3221</v>
      </c>
      <c r="B3227" s="85" t="e">
        <f>+MATCH(D3227,ARTICULOS!$F$10:$F$699,0)</f>
        <v>#N/A</v>
      </c>
      <c r="C3227" s="86" t="e">
        <f>+VLOOKUP(B3227,ARTICULOS!$D$10:$I$699,6)</f>
        <v>#N/A</v>
      </c>
      <c r="D3227" s="212"/>
      <c r="E3227" s="75" t="e">
        <f t="shared" si="104"/>
        <v>#N/A</v>
      </c>
      <c r="F3227" s="80"/>
      <c r="G3227" s="81"/>
      <c r="H3227" s="78"/>
      <c r="I3227" s="78"/>
      <c r="J3227" s="78"/>
    </row>
    <row r="3228" spans="1:10" x14ac:dyDescent="0.2">
      <c r="A3228" s="84">
        <f t="shared" si="103"/>
        <v>3222</v>
      </c>
      <c r="B3228" s="85" t="e">
        <f>+MATCH(D3228,ARTICULOS!$F$10:$F$699,0)</f>
        <v>#N/A</v>
      </c>
      <c r="C3228" s="86" t="e">
        <f>+VLOOKUP(B3228,ARTICULOS!$D$10:$I$699,6)</f>
        <v>#N/A</v>
      </c>
      <c r="D3228" s="212"/>
      <c r="E3228" s="75" t="e">
        <f t="shared" si="104"/>
        <v>#N/A</v>
      </c>
      <c r="F3228" s="80"/>
      <c r="G3228" s="81"/>
      <c r="H3228" s="78"/>
      <c r="I3228" s="78"/>
      <c r="J3228" s="78"/>
    </row>
    <row r="3229" spans="1:10" x14ac:dyDescent="0.2">
      <c r="A3229" s="84">
        <f t="shared" si="103"/>
        <v>3223</v>
      </c>
      <c r="B3229" s="85" t="e">
        <f>+MATCH(D3229,ARTICULOS!$F$10:$F$699,0)</f>
        <v>#N/A</v>
      </c>
      <c r="C3229" s="86" t="e">
        <f>+VLOOKUP(B3229,ARTICULOS!$D$10:$I$699,6)</f>
        <v>#N/A</v>
      </c>
      <c r="D3229" s="212"/>
      <c r="E3229" s="75" t="e">
        <f t="shared" si="104"/>
        <v>#N/A</v>
      </c>
      <c r="F3229" s="80"/>
      <c r="G3229" s="81"/>
      <c r="H3229" s="78"/>
      <c r="I3229" s="78"/>
      <c r="J3229" s="78"/>
    </row>
    <row r="3230" spans="1:10" x14ac:dyDescent="0.2">
      <c r="A3230" s="84">
        <f t="shared" si="103"/>
        <v>3224</v>
      </c>
      <c r="B3230" s="85" t="e">
        <f>+MATCH(D3230,ARTICULOS!$F$10:$F$699,0)</f>
        <v>#N/A</v>
      </c>
      <c r="C3230" s="86" t="e">
        <f>+VLOOKUP(B3230,ARTICULOS!$D$10:$I$699,6)</f>
        <v>#N/A</v>
      </c>
      <c r="D3230" s="212"/>
      <c r="E3230" s="75" t="e">
        <f t="shared" si="104"/>
        <v>#N/A</v>
      </c>
      <c r="F3230" s="80"/>
      <c r="G3230" s="81"/>
      <c r="H3230" s="78"/>
      <c r="I3230" s="78"/>
      <c r="J3230" s="78"/>
    </row>
    <row r="3231" spans="1:10" x14ac:dyDescent="0.2">
      <c r="A3231" s="84">
        <f t="shared" si="103"/>
        <v>3225</v>
      </c>
      <c r="B3231" s="85" t="e">
        <f>+MATCH(D3231,ARTICULOS!$F$10:$F$699,0)</f>
        <v>#N/A</v>
      </c>
      <c r="C3231" s="86" t="e">
        <f>+VLOOKUP(B3231,ARTICULOS!$D$10:$I$699,6)</f>
        <v>#N/A</v>
      </c>
      <c r="D3231" s="212"/>
      <c r="E3231" s="75" t="e">
        <f t="shared" si="104"/>
        <v>#N/A</v>
      </c>
      <c r="F3231" s="80"/>
      <c r="G3231" s="81"/>
      <c r="H3231" s="78"/>
      <c r="I3231" s="78"/>
      <c r="J3231" s="78"/>
    </row>
    <row r="3232" spans="1:10" x14ac:dyDescent="0.2">
      <c r="A3232" s="84">
        <f t="shared" si="103"/>
        <v>3226</v>
      </c>
      <c r="B3232" s="85" t="e">
        <f>+MATCH(D3232,ARTICULOS!$F$10:$F$699,0)</f>
        <v>#N/A</v>
      </c>
      <c r="C3232" s="86" t="e">
        <f>+VLOOKUP(B3232,ARTICULOS!$D$10:$I$699,6)</f>
        <v>#N/A</v>
      </c>
      <c r="D3232" s="212"/>
      <c r="E3232" s="75" t="e">
        <f t="shared" si="104"/>
        <v>#N/A</v>
      </c>
      <c r="F3232" s="80"/>
      <c r="G3232" s="81"/>
      <c r="H3232" s="78"/>
      <c r="I3232" s="78"/>
      <c r="J3232" s="78"/>
    </row>
    <row r="3233" spans="1:10" x14ac:dyDescent="0.2">
      <c r="A3233" s="84">
        <f t="shared" si="103"/>
        <v>3227</v>
      </c>
      <c r="B3233" s="85" t="e">
        <f>+MATCH(D3233,ARTICULOS!$F$10:$F$699,0)</f>
        <v>#N/A</v>
      </c>
      <c r="C3233" s="86" t="e">
        <f>+VLOOKUP(B3233,ARTICULOS!$D$10:$I$699,6)</f>
        <v>#N/A</v>
      </c>
      <c r="D3233" s="212"/>
      <c r="E3233" s="75" t="e">
        <f t="shared" si="104"/>
        <v>#N/A</v>
      </c>
      <c r="F3233" s="80"/>
      <c r="G3233" s="81"/>
      <c r="H3233" s="78"/>
      <c r="I3233" s="78"/>
      <c r="J3233" s="78"/>
    </row>
    <row r="3234" spans="1:10" x14ac:dyDescent="0.2">
      <c r="A3234" s="84">
        <f t="shared" si="103"/>
        <v>3228</v>
      </c>
      <c r="B3234" s="85" t="e">
        <f>+MATCH(D3234,ARTICULOS!$F$10:$F$699,0)</f>
        <v>#N/A</v>
      </c>
      <c r="C3234" s="86" t="e">
        <f>+VLOOKUP(B3234,ARTICULOS!$D$10:$I$699,6)</f>
        <v>#N/A</v>
      </c>
      <c r="D3234" s="212"/>
      <c r="E3234" s="75" t="e">
        <f t="shared" si="104"/>
        <v>#N/A</v>
      </c>
      <c r="F3234" s="80"/>
      <c r="G3234" s="81"/>
      <c r="H3234" s="78"/>
      <c r="I3234" s="78"/>
      <c r="J3234" s="78"/>
    </row>
    <row r="3235" spans="1:10" x14ac:dyDescent="0.2">
      <c r="A3235" s="84">
        <f t="shared" si="103"/>
        <v>3229</v>
      </c>
      <c r="B3235" s="85" t="e">
        <f>+MATCH(D3235,ARTICULOS!$F$10:$F$699,0)</f>
        <v>#N/A</v>
      </c>
      <c r="C3235" s="86" t="e">
        <f>+VLOOKUP(B3235,ARTICULOS!$D$10:$I$699,6)</f>
        <v>#N/A</v>
      </c>
      <c r="D3235" s="212"/>
      <c r="E3235" s="75" t="e">
        <f t="shared" si="104"/>
        <v>#N/A</v>
      </c>
      <c r="F3235" s="80"/>
      <c r="G3235" s="81"/>
      <c r="H3235" s="78"/>
      <c r="I3235" s="78"/>
      <c r="J3235" s="78"/>
    </row>
    <row r="3236" spans="1:10" x14ac:dyDescent="0.2">
      <c r="A3236" s="84">
        <f t="shared" si="103"/>
        <v>3230</v>
      </c>
      <c r="B3236" s="85" t="e">
        <f>+MATCH(D3236,ARTICULOS!$F$10:$F$699,0)</f>
        <v>#N/A</v>
      </c>
      <c r="C3236" s="86" t="e">
        <f>+VLOOKUP(B3236,ARTICULOS!$D$10:$I$699,6)</f>
        <v>#N/A</v>
      </c>
      <c r="D3236" s="212"/>
      <c r="E3236" s="75" t="e">
        <f t="shared" si="104"/>
        <v>#N/A</v>
      </c>
      <c r="F3236" s="80"/>
      <c r="G3236" s="81"/>
      <c r="H3236" s="78"/>
      <c r="I3236" s="78"/>
      <c r="J3236" s="78"/>
    </row>
    <row r="3237" spans="1:10" x14ac:dyDescent="0.2">
      <c r="A3237" s="84">
        <f t="shared" si="103"/>
        <v>3231</v>
      </c>
      <c r="B3237" s="85" t="e">
        <f>+MATCH(D3237,ARTICULOS!$F$10:$F$699,0)</f>
        <v>#N/A</v>
      </c>
      <c r="C3237" s="86" t="e">
        <f>+VLOOKUP(B3237,ARTICULOS!$D$10:$I$699,6)</f>
        <v>#N/A</v>
      </c>
      <c r="D3237" s="212"/>
      <c r="E3237" s="75" t="e">
        <f t="shared" si="104"/>
        <v>#N/A</v>
      </c>
      <c r="F3237" s="80"/>
      <c r="G3237" s="81"/>
      <c r="H3237" s="78"/>
      <c r="I3237" s="78"/>
      <c r="J3237" s="78"/>
    </row>
    <row r="3238" spans="1:10" x14ac:dyDescent="0.2">
      <c r="A3238" s="84">
        <f t="shared" si="103"/>
        <v>3232</v>
      </c>
      <c r="B3238" s="85" t="e">
        <f>+MATCH(D3238,ARTICULOS!$F$10:$F$699,0)</f>
        <v>#N/A</v>
      </c>
      <c r="C3238" s="86" t="e">
        <f>+VLOOKUP(B3238,ARTICULOS!$D$10:$I$699,6)</f>
        <v>#N/A</v>
      </c>
      <c r="D3238" s="212"/>
      <c r="E3238" s="75" t="e">
        <f t="shared" si="104"/>
        <v>#N/A</v>
      </c>
      <c r="F3238" s="80"/>
      <c r="G3238" s="81"/>
      <c r="H3238" s="78"/>
      <c r="I3238" s="78"/>
      <c r="J3238" s="78"/>
    </row>
    <row r="3239" spans="1:10" x14ac:dyDescent="0.2">
      <c r="A3239" s="84">
        <f t="shared" si="103"/>
        <v>3233</v>
      </c>
      <c r="B3239" s="85" t="e">
        <f>+MATCH(D3239,ARTICULOS!$F$10:$F$699,0)</f>
        <v>#N/A</v>
      </c>
      <c r="C3239" s="86" t="e">
        <f>+VLOOKUP(B3239,ARTICULOS!$D$10:$I$699,6)</f>
        <v>#N/A</v>
      </c>
      <c r="D3239" s="212"/>
      <c r="E3239" s="75" t="e">
        <f t="shared" si="104"/>
        <v>#N/A</v>
      </c>
      <c r="F3239" s="80"/>
      <c r="G3239" s="81"/>
      <c r="H3239" s="78"/>
      <c r="I3239" s="78"/>
      <c r="J3239" s="78"/>
    </row>
    <row r="3240" spans="1:10" x14ac:dyDescent="0.2">
      <c r="A3240" s="84">
        <f t="shared" si="103"/>
        <v>3234</v>
      </c>
      <c r="B3240" s="85" t="e">
        <f>+MATCH(D3240,ARTICULOS!$F$10:$F$699,0)</f>
        <v>#N/A</v>
      </c>
      <c r="C3240" s="86" t="e">
        <f>+VLOOKUP(B3240,ARTICULOS!$D$10:$I$699,6)</f>
        <v>#N/A</v>
      </c>
      <c r="D3240" s="212"/>
      <c r="E3240" s="75" t="e">
        <f t="shared" si="104"/>
        <v>#N/A</v>
      </c>
      <c r="F3240" s="80"/>
      <c r="G3240" s="81"/>
      <c r="H3240" s="78"/>
      <c r="I3240" s="78"/>
      <c r="J3240" s="78"/>
    </row>
    <row r="3241" spans="1:10" x14ac:dyDescent="0.2">
      <c r="A3241" s="84">
        <f t="shared" ref="A3241:A3304" si="105">ROW()-6</f>
        <v>3235</v>
      </c>
      <c r="B3241" s="85" t="e">
        <f>+MATCH(D3241,ARTICULOS!$F$10:$F$699,0)</f>
        <v>#N/A</v>
      </c>
      <c r="C3241" s="86" t="e">
        <f>+VLOOKUP(B3241,ARTICULOS!$D$10:$I$699,6)</f>
        <v>#N/A</v>
      </c>
      <c r="D3241" s="212"/>
      <c r="E3241" s="75" t="e">
        <f t="shared" si="104"/>
        <v>#N/A</v>
      </c>
      <c r="F3241" s="80"/>
      <c r="G3241" s="81"/>
      <c r="H3241" s="78"/>
      <c r="I3241" s="78"/>
      <c r="J3241" s="78"/>
    </row>
    <row r="3242" spans="1:10" x14ac:dyDescent="0.2">
      <c r="A3242" s="84">
        <f t="shared" si="105"/>
        <v>3236</v>
      </c>
      <c r="B3242" s="85" t="e">
        <f>+MATCH(D3242,ARTICULOS!$F$10:$F$699,0)</f>
        <v>#N/A</v>
      </c>
      <c r="C3242" s="86" t="e">
        <f>+VLOOKUP(B3242,ARTICULOS!$D$10:$I$699,6)</f>
        <v>#N/A</v>
      </c>
      <c r="D3242" s="212"/>
      <c r="E3242" s="75" t="e">
        <f t="shared" si="104"/>
        <v>#N/A</v>
      </c>
      <c r="F3242" s="80"/>
      <c r="G3242" s="81"/>
      <c r="H3242" s="78"/>
      <c r="I3242" s="78"/>
      <c r="J3242" s="78"/>
    </row>
    <row r="3243" spans="1:10" x14ac:dyDescent="0.2">
      <c r="A3243" s="84">
        <f t="shared" si="105"/>
        <v>3237</v>
      </c>
      <c r="B3243" s="85" t="e">
        <f>+MATCH(D3243,ARTICULOS!$F$10:$F$699,0)</f>
        <v>#N/A</v>
      </c>
      <c r="C3243" s="86" t="e">
        <f>+VLOOKUP(B3243,ARTICULOS!$D$10:$I$699,6)</f>
        <v>#N/A</v>
      </c>
      <c r="D3243" s="212"/>
      <c r="E3243" s="75" t="e">
        <f t="shared" si="104"/>
        <v>#N/A</v>
      </c>
      <c r="F3243" s="80"/>
      <c r="G3243" s="81"/>
      <c r="H3243" s="78"/>
      <c r="I3243" s="78"/>
      <c r="J3243" s="78"/>
    </row>
    <row r="3244" spans="1:10" x14ac:dyDescent="0.2">
      <c r="A3244" s="84">
        <f t="shared" si="105"/>
        <v>3238</v>
      </c>
      <c r="B3244" s="85" t="e">
        <f>+MATCH(D3244,ARTICULOS!$F$10:$F$699,0)</f>
        <v>#N/A</v>
      </c>
      <c r="C3244" s="86" t="e">
        <f>+VLOOKUP(B3244,ARTICULOS!$D$10:$I$699,6)</f>
        <v>#N/A</v>
      </c>
      <c r="D3244" s="212"/>
      <c r="E3244" s="75" t="e">
        <f t="shared" si="104"/>
        <v>#N/A</v>
      </c>
      <c r="F3244" s="80"/>
      <c r="G3244" s="81"/>
      <c r="H3244" s="78"/>
      <c r="I3244" s="78"/>
      <c r="J3244" s="78"/>
    </row>
    <row r="3245" spans="1:10" x14ac:dyDescent="0.2">
      <c r="A3245" s="84">
        <f t="shared" si="105"/>
        <v>3239</v>
      </c>
      <c r="B3245" s="85" t="e">
        <f>+MATCH(D3245,ARTICULOS!$F$10:$F$699,0)</f>
        <v>#N/A</v>
      </c>
      <c r="C3245" s="86" t="e">
        <f>+VLOOKUP(B3245,ARTICULOS!$D$10:$I$699,6)</f>
        <v>#N/A</v>
      </c>
      <c r="D3245" s="212"/>
      <c r="E3245" s="75" t="e">
        <f t="shared" si="104"/>
        <v>#N/A</v>
      </c>
      <c r="F3245" s="80"/>
      <c r="G3245" s="81"/>
      <c r="H3245" s="78"/>
      <c r="I3245" s="78"/>
      <c r="J3245" s="78"/>
    </row>
    <row r="3246" spans="1:10" x14ac:dyDescent="0.2">
      <c r="A3246" s="84">
        <f t="shared" si="105"/>
        <v>3240</v>
      </c>
      <c r="B3246" s="85" t="e">
        <f>+MATCH(D3246,ARTICULOS!$F$10:$F$699,0)</f>
        <v>#N/A</v>
      </c>
      <c r="C3246" s="86" t="e">
        <f>+VLOOKUP(B3246,ARTICULOS!$D$10:$I$699,6)</f>
        <v>#N/A</v>
      </c>
      <c r="D3246" s="212"/>
      <c r="E3246" s="75" t="e">
        <f t="shared" si="104"/>
        <v>#N/A</v>
      </c>
      <c r="F3246" s="80"/>
      <c r="G3246" s="81"/>
      <c r="H3246" s="78"/>
      <c r="I3246" s="78"/>
      <c r="J3246" s="78"/>
    </row>
    <row r="3247" spans="1:10" x14ac:dyDescent="0.2">
      <c r="A3247" s="84">
        <f t="shared" si="105"/>
        <v>3241</v>
      </c>
      <c r="B3247" s="85" t="e">
        <f>+MATCH(D3247,ARTICULOS!$F$10:$F$699,0)</f>
        <v>#N/A</v>
      </c>
      <c r="C3247" s="86" t="e">
        <f>+VLOOKUP(B3247,ARTICULOS!$D$10:$I$699,6)</f>
        <v>#N/A</v>
      </c>
      <c r="D3247" s="212"/>
      <c r="E3247" s="75" t="e">
        <f t="shared" si="104"/>
        <v>#N/A</v>
      </c>
      <c r="F3247" s="80"/>
      <c r="G3247" s="81"/>
      <c r="H3247" s="78"/>
      <c r="I3247" s="78"/>
      <c r="J3247" s="78"/>
    </row>
    <row r="3248" spans="1:10" x14ac:dyDescent="0.2">
      <c r="A3248" s="84">
        <f t="shared" si="105"/>
        <v>3242</v>
      </c>
      <c r="B3248" s="85" t="e">
        <f>+MATCH(D3248,ARTICULOS!$F$10:$F$699,0)</f>
        <v>#N/A</v>
      </c>
      <c r="C3248" s="86" t="e">
        <f>+VLOOKUP(B3248,ARTICULOS!$D$10:$I$699,6)</f>
        <v>#N/A</v>
      </c>
      <c r="D3248" s="212"/>
      <c r="E3248" s="75" t="e">
        <f t="shared" si="104"/>
        <v>#N/A</v>
      </c>
      <c r="F3248" s="80"/>
      <c r="G3248" s="81"/>
      <c r="H3248" s="78"/>
      <c r="I3248" s="78"/>
      <c r="J3248" s="78"/>
    </row>
    <row r="3249" spans="1:10" x14ac:dyDescent="0.2">
      <c r="A3249" s="84">
        <f t="shared" si="105"/>
        <v>3243</v>
      </c>
      <c r="B3249" s="85" t="e">
        <f>+MATCH(D3249,ARTICULOS!$F$10:$F$699,0)</f>
        <v>#N/A</v>
      </c>
      <c r="C3249" s="86" t="e">
        <f>+VLOOKUP(B3249,ARTICULOS!$D$10:$I$699,6)</f>
        <v>#N/A</v>
      </c>
      <c r="D3249" s="212"/>
      <c r="E3249" s="75" t="e">
        <f t="shared" si="104"/>
        <v>#N/A</v>
      </c>
      <c r="F3249" s="80"/>
      <c r="G3249" s="81"/>
      <c r="H3249" s="78"/>
      <c r="I3249" s="78"/>
      <c r="J3249" s="78"/>
    </row>
    <row r="3250" spans="1:10" x14ac:dyDescent="0.2">
      <c r="A3250" s="84">
        <f t="shared" si="105"/>
        <v>3244</v>
      </c>
      <c r="B3250" s="85" t="e">
        <f>+MATCH(D3250,ARTICULOS!$F$10:$F$699,0)</f>
        <v>#N/A</v>
      </c>
      <c r="C3250" s="86" t="e">
        <f>+VLOOKUP(B3250,ARTICULOS!$D$10:$I$699,6)</f>
        <v>#N/A</v>
      </c>
      <c r="D3250" s="212"/>
      <c r="E3250" s="75" t="e">
        <f t="shared" si="104"/>
        <v>#N/A</v>
      </c>
      <c r="F3250" s="80"/>
      <c r="G3250" s="81"/>
      <c r="H3250" s="78"/>
      <c r="I3250" s="78"/>
      <c r="J3250" s="78"/>
    </row>
    <row r="3251" spans="1:10" x14ac:dyDescent="0.2">
      <c r="A3251" s="84">
        <f t="shared" si="105"/>
        <v>3245</v>
      </c>
      <c r="B3251" s="85" t="e">
        <f>+MATCH(D3251,ARTICULOS!$F$10:$F$699,0)</f>
        <v>#N/A</v>
      </c>
      <c r="C3251" s="86" t="e">
        <f>+VLOOKUP(B3251,ARTICULOS!$D$10:$I$699,6)</f>
        <v>#N/A</v>
      </c>
      <c r="D3251" s="212"/>
      <c r="E3251" s="75" t="e">
        <f t="shared" si="104"/>
        <v>#N/A</v>
      </c>
      <c r="F3251" s="80"/>
      <c r="G3251" s="81"/>
      <c r="H3251" s="78"/>
      <c r="I3251" s="78"/>
      <c r="J3251" s="78"/>
    </row>
    <row r="3252" spans="1:10" x14ac:dyDescent="0.2">
      <c r="A3252" s="84">
        <f t="shared" si="105"/>
        <v>3246</v>
      </c>
      <c r="B3252" s="85" t="e">
        <f>+MATCH(D3252,ARTICULOS!$F$10:$F$699,0)</f>
        <v>#N/A</v>
      </c>
      <c r="C3252" s="86" t="e">
        <f>+VLOOKUP(B3252,ARTICULOS!$D$10:$I$699,6)</f>
        <v>#N/A</v>
      </c>
      <c r="D3252" s="212"/>
      <c r="E3252" s="75" t="e">
        <f t="shared" si="104"/>
        <v>#N/A</v>
      </c>
      <c r="F3252" s="80"/>
      <c r="G3252" s="81"/>
      <c r="H3252" s="78"/>
      <c r="I3252" s="78"/>
      <c r="J3252" s="78"/>
    </row>
    <row r="3253" spans="1:10" x14ac:dyDescent="0.2">
      <c r="A3253" s="84">
        <f t="shared" si="105"/>
        <v>3247</v>
      </c>
      <c r="B3253" s="85" t="e">
        <f>+MATCH(D3253,ARTICULOS!$F$10:$F$699,0)</f>
        <v>#N/A</v>
      </c>
      <c r="C3253" s="86" t="e">
        <f>+VLOOKUP(B3253,ARTICULOS!$D$10:$I$699,6)</f>
        <v>#N/A</v>
      </c>
      <c r="D3253" s="212"/>
      <c r="E3253" s="75" t="e">
        <f t="shared" si="104"/>
        <v>#N/A</v>
      </c>
      <c r="F3253" s="80"/>
      <c r="G3253" s="81"/>
      <c r="H3253" s="78"/>
      <c r="I3253" s="78"/>
      <c r="J3253" s="78"/>
    </row>
    <row r="3254" spans="1:10" x14ac:dyDescent="0.2">
      <c r="A3254" s="84">
        <f t="shared" si="105"/>
        <v>3248</v>
      </c>
      <c r="B3254" s="85" t="e">
        <f>+MATCH(D3254,ARTICULOS!$F$10:$F$699,0)</f>
        <v>#N/A</v>
      </c>
      <c r="C3254" s="86" t="e">
        <f>+VLOOKUP(B3254,ARTICULOS!$D$10:$I$699,6)</f>
        <v>#N/A</v>
      </c>
      <c r="D3254" s="212"/>
      <c r="E3254" s="75" t="e">
        <f t="shared" si="104"/>
        <v>#N/A</v>
      </c>
      <c r="F3254" s="80"/>
      <c r="G3254" s="81"/>
      <c r="H3254" s="78"/>
      <c r="I3254" s="78"/>
      <c r="J3254" s="78"/>
    </row>
    <row r="3255" spans="1:10" x14ac:dyDescent="0.2">
      <c r="A3255" s="84">
        <f t="shared" si="105"/>
        <v>3249</v>
      </c>
      <c r="B3255" s="85" t="e">
        <f>+MATCH(D3255,ARTICULOS!$F$10:$F$699,0)</f>
        <v>#N/A</v>
      </c>
      <c r="C3255" s="86" t="e">
        <f>+VLOOKUP(B3255,ARTICULOS!$D$10:$I$699,6)</f>
        <v>#N/A</v>
      </c>
      <c r="D3255" s="212"/>
      <c r="E3255" s="75" t="e">
        <f t="shared" si="104"/>
        <v>#N/A</v>
      </c>
      <c r="F3255" s="80"/>
      <c r="G3255" s="81"/>
      <c r="H3255" s="78"/>
      <c r="I3255" s="78"/>
      <c r="J3255" s="78"/>
    </row>
    <row r="3256" spans="1:10" x14ac:dyDescent="0.2">
      <c r="A3256" s="84">
        <f t="shared" si="105"/>
        <v>3250</v>
      </c>
      <c r="B3256" s="85" t="e">
        <f>+MATCH(D3256,ARTICULOS!$F$10:$F$699,0)</f>
        <v>#N/A</v>
      </c>
      <c r="C3256" s="86" t="e">
        <f>+VLOOKUP(B3256,ARTICULOS!$D$10:$I$699,6)</f>
        <v>#N/A</v>
      </c>
      <c r="D3256" s="212"/>
      <c r="E3256" s="75" t="e">
        <f t="shared" si="104"/>
        <v>#N/A</v>
      </c>
      <c r="F3256" s="80"/>
      <c r="G3256" s="81"/>
      <c r="H3256" s="78"/>
      <c r="I3256" s="78"/>
      <c r="J3256" s="78"/>
    </row>
    <row r="3257" spans="1:10" x14ac:dyDescent="0.2">
      <c r="A3257" s="84">
        <f t="shared" si="105"/>
        <v>3251</v>
      </c>
      <c r="B3257" s="85" t="e">
        <f>+MATCH(D3257,ARTICULOS!$F$10:$F$699,0)</f>
        <v>#N/A</v>
      </c>
      <c r="C3257" s="86" t="e">
        <f>+VLOOKUP(B3257,ARTICULOS!$D$10:$I$699,6)</f>
        <v>#N/A</v>
      </c>
      <c r="D3257" s="212"/>
      <c r="E3257" s="75" t="e">
        <f t="shared" si="104"/>
        <v>#N/A</v>
      </c>
      <c r="F3257" s="80"/>
      <c r="G3257" s="81"/>
      <c r="H3257" s="78"/>
      <c r="I3257" s="78"/>
      <c r="J3257" s="78"/>
    </row>
    <row r="3258" spans="1:10" x14ac:dyDescent="0.2">
      <c r="A3258" s="84">
        <f t="shared" si="105"/>
        <v>3252</v>
      </c>
      <c r="B3258" s="85" t="e">
        <f>+MATCH(D3258,ARTICULOS!$F$10:$F$699,0)</f>
        <v>#N/A</v>
      </c>
      <c r="C3258" s="86" t="e">
        <f>+VLOOKUP(B3258,ARTICULOS!$D$10:$I$699,6)</f>
        <v>#N/A</v>
      </c>
      <c r="D3258" s="212"/>
      <c r="E3258" s="75" t="e">
        <f t="shared" si="104"/>
        <v>#N/A</v>
      </c>
      <c r="F3258" s="80"/>
      <c r="G3258" s="81"/>
      <c r="H3258" s="78"/>
      <c r="I3258" s="78"/>
      <c r="J3258" s="78"/>
    </row>
    <row r="3259" spans="1:10" x14ac:dyDescent="0.2">
      <c r="A3259" s="84">
        <f t="shared" si="105"/>
        <v>3253</v>
      </c>
      <c r="B3259" s="85" t="e">
        <f>+MATCH(D3259,ARTICULOS!$F$10:$F$699,0)</f>
        <v>#N/A</v>
      </c>
      <c r="C3259" s="86" t="e">
        <f>+VLOOKUP(B3259,ARTICULOS!$D$10:$I$699,6)</f>
        <v>#N/A</v>
      </c>
      <c r="D3259" s="212"/>
      <c r="E3259" s="75" t="e">
        <f t="shared" si="104"/>
        <v>#N/A</v>
      </c>
      <c r="F3259" s="80"/>
      <c r="G3259" s="81"/>
      <c r="H3259" s="78"/>
      <c r="I3259" s="78"/>
      <c r="J3259" s="78"/>
    </row>
    <row r="3260" spans="1:10" x14ac:dyDescent="0.2">
      <c r="A3260" s="84">
        <f t="shared" si="105"/>
        <v>3254</v>
      </c>
      <c r="B3260" s="85" t="e">
        <f>+MATCH(D3260,ARTICULOS!$F$10:$F$699,0)</f>
        <v>#N/A</v>
      </c>
      <c r="C3260" s="86" t="e">
        <f>+VLOOKUP(B3260,ARTICULOS!$D$10:$I$699,6)</f>
        <v>#N/A</v>
      </c>
      <c r="D3260" s="212"/>
      <c r="E3260" s="75" t="e">
        <f t="shared" si="104"/>
        <v>#N/A</v>
      </c>
      <c r="F3260" s="80"/>
      <c r="G3260" s="81"/>
      <c r="H3260" s="78"/>
      <c r="I3260" s="78"/>
      <c r="J3260" s="78"/>
    </row>
    <row r="3261" spans="1:10" x14ac:dyDescent="0.2">
      <c r="A3261" s="84">
        <f t="shared" si="105"/>
        <v>3255</v>
      </c>
      <c r="B3261" s="85" t="e">
        <f>+MATCH(D3261,ARTICULOS!$F$10:$F$699,0)</f>
        <v>#N/A</v>
      </c>
      <c r="C3261" s="86" t="e">
        <f>+VLOOKUP(B3261,ARTICULOS!$D$10:$I$699,6)</f>
        <v>#N/A</v>
      </c>
      <c r="D3261" s="212"/>
      <c r="E3261" s="75" t="e">
        <f t="shared" si="104"/>
        <v>#N/A</v>
      </c>
      <c r="F3261" s="80"/>
      <c r="G3261" s="81"/>
      <c r="H3261" s="78"/>
      <c r="I3261" s="78"/>
      <c r="J3261" s="78"/>
    </row>
    <row r="3262" spans="1:10" x14ac:dyDescent="0.2">
      <c r="A3262" s="84">
        <f t="shared" si="105"/>
        <v>3256</v>
      </c>
      <c r="B3262" s="85" t="e">
        <f>+MATCH(D3262,ARTICULOS!$F$10:$F$699,0)</f>
        <v>#N/A</v>
      </c>
      <c r="C3262" s="86" t="e">
        <f>+VLOOKUP(B3262,ARTICULOS!$D$10:$I$699,6)</f>
        <v>#N/A</v>
      </c>
      <c r="D3262" s="212"/>
      <c r="E3262" s="75" t="e">
        <f t="shared" si="104"/>
        <v>#N/A</v>
      </c>
      <c r="F3262" s="80"/>
      <c r="G3262" s="81"/>
      <c r="H3262" s="78"/>
      <c r="I3262" s="78"/>
      <c r="J3262" s="78"/>
    </row>
    <row r="3263" spans="1:10" x14ac:dyDescent="0.2">
      <c r="A3263" s="84">
        <f t="shared" si="105"/>
        <v>3257</v>
      </c>
      <c r="B3263" s="85" t="e">
        <f>+MATCH(D3263,ARTICULOS!$F$10:$F$699,0)</f>
        <v>#N/A</v>
      </c>
      <c r="C3263" s="86" t="e">
        <f>+VLOOKUP(B3263,ARTICULOS!$D$10:$I$699,6)</f>
        <v>#N/A</v>
      </c>
      <c r="D3263" s="212"/>
      <c r="E3263" s="75" t="e">
        <f t="shared" si="104"/>
        <v>#N/A</v>
      </c>
      <c r="F3263" s="80"/>
      <c r="G3263" s="81"/>
      <c r="H3263" s="78"/>
      <c r="I3263" s="78"/>
      <c r="J3263" s="78"/>
    </row>
    <row r="3264" spans="1:10" x14ac:dyDescent="0.2">
      <c r="A3264" s="84">
        <f t="shared" si="105"/>
        <v>3258</v>
      </c>
      <c r="B3264" s="85" t="e">
        <f>+MATCH(D3264,ARTICULOS!$F$10:$F$699,0)</f>
        <v>#N/A</v>
      </c>
      <c r="C3264" s="86" t="e">
        <f>+VLOOKUP(B3264,ARTICULOS!$D$10:$I$699,6)</f>
        <v>#N/A</v>
      </c>
      <c r="D3264" s="212"/>
      <c r="E3264" s="75" t="e">
        <f t="shared" si="104"/>
        <v>#N/A</v>
      </c>
      <c r="F3264" s="80"/>
      <c r="G3264" s="81"/>
      <c r="H3264" s="78"/>
      <c r="I3264" s="78"/>
      <c r="J3264" s="78"/>
    </row>
    <row r="3265" spans="1:10" x14ac:dyDescent="0.2">
      <c r="A3265" s="84">
        <f t="shared" si="105"/>
        <v>3259</v>
      </c>
      <c r="B3265" s="85" t="e">
        <f>+MATCH(D3265,ARTICULOS!$F$10:$F$699,0)</f>
        <v>#N/A</v>
      </c>
      <c r="C3265" s="86" t="e">
        <f>+VLOOKUP(B3265,ARTICULOS!$D$10:$I$699,6)</f>
        <v>#N/A</v>
      </c>
      <c r="D3265" s="212"/>
      <c r="E3265" s="75" t="e">
        <f t="shared" si="104"/>
        <v>#N/A</v>
      </c>
      <c r="F3265" s="80"/>
      <c r="G3265" s="81"/>
      <c r="H3265" s="78"/>
      <c r="I3265" s="78"/>
      <c r="J3265" s="78"/>
    </row>
    <row r="3266" spans="1:10" x14ac:dyDescent="0.2">
      <c r="A3266" s="84">
        <f t="shared" si="105"/>
        <v>3260</v>
      </c>
      <c r="B3266" s="85" t="e">
        <f>+MATCH(D3266,ARTICULOS!$F$10:$F$699,0)</f>
        <v>#N/A</v>
      </c>
      <c r="C3266" s="86" t="e">
        <f>+VLOOKUP(B3266,ARTICULOS!$D$10:$I$699,6)</f>
        <v>#N/A</v>
      </c>
      <c r="D3266" s="212"/>
      <c r="E3266" s="75" t="e">
        <f t="shared" si="104"/>
        <v>#N/A</v>
      </c>
      <c r="F3266" s="80"/>
      <c r="G3266" s="81"/>
      <c r="H3266" s="78"/>
      <c r="I3266" s="78"/>
      <c r="J3266" s="78"/>
    </row>
    <row r="3267" spans="1:10" x14ac:dyDescent="0.2">
      <c r="A3267" s="84">
        <f t="shared" si="105"/>
        <v>3261</v>
      </c>
      <c r="B3267" s="85" t="e">
        <f>+MATCH(D3267,ARTICULOS!$F$10:$F$699,0)</f>
        <v>#N/A</v>
      </c>
      <c r="C3267" s="86" t="e">
        <f>+VLOOKUP(B3267,ARTICULOS!$D$10:$I$699,6)</f>
        <v>#N/A</v>
      </c>
      <c r="D3267" s="212"/>
      <c r="E3267" s="75" t="e">
        <f t="shared" si="104"/>
        <v>#N/A</v>
      </c>
      <c r="F3267" s="80"/>
      <c r="G3267" s="81"/>
      <c r="H3267" s="78"/>
      <c r="I3267" s="78"/>
      <c r="J3267" s="78"/>
    </row>
    <row r="3268" spans="1:10" x14ac:dyDescent="0.2">
      <c r="A3268" s="84">
        <f t="shared" si="105"/>
        <v>3262</v>
      </c>
      <c r="B3268" s="85" t="e">
        <f>+MATCH(D3268,ARTICULOS!$F$10:$F$699,0)</f>
        <v>#N/A</v>
      </c>
      <c r="C3268" s="86" t="e">
        <f>+VLOOKUP(B3268,ARTICULOS!$D$10:$I$699,6)</f>
        <v>#N/A</v>
      </c>
      <c r="D3268" s="212"/>
      <c r="E3268" s="75" t="e">
        <f t="shared" si="104"/>
        <v>#N/A</v>
      </c>
      <c r="F3268" s="80"/>
      <c r="G3268" s="81"/>
      <c r="H3268" s="78"/>
      <c r="I3268" s="78"/>
      <c r="J3268" s="78"/>
    </row>
    <row r="3269" spans="1:10" x14ac:dyDescent="0.2">
      <c r="A3269" s="84">
        <f t="shared" si="105"/>
        <v>3263</v>
      </c>
      <c r="B3269" s="85" t="e">
        <f>+MATCH(D3269,ARTICULOS!$F$10:$F$699,0)</f>
        <v>#N/A</v>
      </c>
      <c r="C3269" s="86" t="e">
        <f>+VLOOKUP(B3269,ARTICULOS!$D$10:$I$699,6)</f>
        <v>#N/A</v>
      </c>
      <c r="D3269" s="212"/>
      <c r="E3269" s="75" t="e">
        <f t="shared" si="104"/>
        <v>#N/A</v>
      </c>
      <c r="F3269" s="80"/>
      <c r="G3269" s="81"/>
      <c r="H3269" s="78"/>
      <c r="I3269" s="78"/>
      <c r="J3269" s="78"/>
    </row>
    <row r="3270" spans="1:10" x14ac:dyDescent="0.2">
      <c r="A3270" s="84">
        <f t="shared" si="105"/>
        <v>3264</v>
      </c>
      <c r="B3270" s="85" t="e">
        <f>+MATCH(D3270,ARTICULOS!$F$10:$F$699,0)</f>
        <v>#N/A</v>
      </c>
      <c r="C3270" s="86" t="e">
        <f>+VLOOKUP(B3270,ARTICULOS!$D$10:$I$699,6)</f>
        <v>#N/A</v>
      </c>
      <c r="D3270" s="212"/>
      <c r="E3270" s="75" t="e">
        <f t="shared" si="104"/>
        <v>#N/A</v>
      </c>
      <c r="F3270" s="80"/>
      <c r="G3270" s="81"/>
      <c r="H3270" s="78"/>
      <c r="I3270" s="78"/>
      <c r="J3270" s="78"/>
    </row>
    <row r="3271" spans="1:10" x14ac:dyDescent="0.2">
      <c r="A3271" s="84">
        <f t="shared" si="105"/>
        <v>3265</v>
      </c>
      <c r="B3271" s="85" t="e">
        <f>+MATCH(D3271,ARTICULOS!$F$10:$F$699,0)</f>
        <v>#N/A</v>
      </c>
      <c r="C3271" s="86" t="e">
        <f>+VLOOKUP(B3271,ARTICULOS!$D$10:$I$699,6)</f>
        <v>#N/A</v>
      </c>
      <c r="D3271" s="212"/>
      <c r="E3271" s="75" t="e">
        <f t="shared" si="104"/>
        <v>#N/A</v>
      </c>
      <c r="F3271" s="80"/>
      <c r="G3271" s="81"/>
      <c r="H3271" s="78"/>
      <c r="I3271" s="78"/>
      <c r="J3271" s="78"/>
    </row>
    <row r="3272" spans="1:10" x14ac:dyDescent="0.2">
      <c r="A3272" s="84">
        <f t="shared" si="105"/>
        <v>3266</v>
      </c>
      <c r="B3272" s="85" t="e">
        <f>+MATCH(D3272,ARTICULOS!$F$10:$F$699,0)</f>
        <v>#N/A</v>
      </c>
      <c r="C3272" s="86" t="e">
        <f>+VLOOKUP(B3272,ARTICULOS!$D$10:$I$699,6)</f>
        <v>#N/A</v>
      </c>
      <c r="D3272" s="212"/>
      <c r="E3272" s="75" t="e">
        <f t="shared" si="104"/>
        <v>#N/A</v>
      </c>
      <c r="F3272" s="80"/>
      <c r="G3272" s="81"/>
      <c r="H3272" s="78"/>
      <c r="I3272" s="78"/>
      <c r="J3272" s="78"/>
    </row>
    <row r="3273" spans="1:10" x14ac:dyDescent="0.2">
      <c r="A3273" s="84">
        <f t="shared" si="105"/>
        <v>3267</v>
      </c>
      <c r="B3273" s="85" t="e">
        <f>+MATCH(D3273,ARTICULOS!$F$10:$F$699,0)</f>
        <v>#N/A</v>
      </c>
      <c r="C3273" s="86" t="e">
        <f>+VLOOKUP(B3273,ARTICULOS!$D$10:$I$699,6)</f>
        <v>#N/A</v>
      </c>
      <c r="D3273" s="212"/>
      <c r="E3273" s="75" t="e">
        <f t="shared" si="104"/>
        <v>#N/A</v>
      </c>
      <c r="F3273" s="80"/>
      <c r="G3273" s="81"/>
      <c r="H3273" s="78"/>
      <c r="I3273" s="78"/>
      <c r="J3273" s="78"/>
    </row>
    <row r="3274" spans="1:10" x14ac:dyDescent="0.2">
      <c r="A3274" s="84">
        <f t="shared" si="105"/>
        <v>3268</v>
      </c>
      <c r="B3274" s="85" t="e">
        <f>+MATCH(D3274,ARTICULOS!$F$10:$F$699,0)</f>
        <v>#N/A</v>
      </c>
      <c r="C3274" s="86" t="e">
        <f>+VLOOKUP(B3274,ARTICULOS!$D$10:$I$699,6)</f>
        <v>#N/A</v>
      </c>
      <c r="D3274" s="212"/>
      <c r="E3274" s="75" t="e">
        <f t="shared" si="104"/>
        <v>#N/A</v>
      </c>
      <c r="F3274" s="80"/>
      <c r="G3274" s="81"/>
      <c r="H3274" s="78"/>
      <c r="I3274" s="78"/>
      <c r="J3274" s="78"/>
    </row>
    <row r="3275" spans="1:10" x14ac:dyDescent="0.2">
      <c r="A3275" s="84">
        <f t="shared" si="105"/>
        <v>3269</v>
      </c>
      <c r="B3275" s="85" t="e">
        <f>+MATCH(D3275,ARTICULOS!$F$10:$F$699,0)</f>
        <v>#N/A</v>
      </c>
      <c r="C3275" s="86" t="e">
        <f>+VLOOKUP(B3275,ARTICULOS!$D$10:$I$699,6)</f>
        <v>#N/A</v>
      </c>
      <c r="D3275" s="212"/>
      <c r="E3275" s="75" t="e">
        <f t="shared" ref="E3275:E3338" si="106">+C3275&amp;F3275</f>
        <v>#N/A</v>
      </c>
      <c r="F3275" s="80"/>
      <c r="G3275" s="81"/>
      <c r="H3275" s="78"/>
      <c r="I3275" s="78"/>
      <c r="J3275" s="78"/>
    </row>
    <row r="3276" spans="1:10" x14ac:dyDescent="0.2">
      <c r="A3276" s="84">
        <f t="shared" si="105"/>
        <v>3270</v>
      </c>
      <c r="B3276" s="85" t="e">
        <f>+MATCH(D3276,ARTICULOS!$F$10:$F$699,0)</f>
        <v>#N/A</v>
      </c>
      <c r="C3276" s="86" t="e">
        <f>+VLOOKUP(B3276,ARTICULOS!$D$10:$I$699,6)</f>
        <v>#N/A</v>
      </c>
      <c r="D3276" s="212"/>
      <c r="E3276" s="75" t="e">
        <f t="shared" si="106"/>
        <v>#N/A</v>
      </c>
      <c r="F3276" s="80"/>
      <c r="G3276" s="81"/>
      <c r="H3276" s="78"/>
      <c r="I3276" s="78"/>
      <c r="J3276" s="78"/>
    </row>
    <row r="3277" spans="1:10" x14ac:dyDescent="0.2">
      <c r="A3277" s="84">
        <f t="shared" si="105"/>
        <v>3271</v>
      </c>
      <c r="B3277" s="85" t="e">
        <f>+MATCH(D3277,ARTICULOS!$F$10:$F$699,0)</f>
        <v>#N/A</v>
      </c>
      <c r="C3277" s="86" t="e">
        <f>+VLOOKUP(B3277,ARTICULOS!$D$10:$I$699,6)</f>
        <v>#N/A</v>
      </c>
      <c r="D3277" s="212"/>
      <c r="E3277" s="75" t="e">
        <f t="shared" si="106"/>
        <v>#N/A</v>
      </c>
      <c r="F3277" s="80"/>
      <c r="G3277" s="81"/>
      <c r="H3277" s="78"/>
      <c r="I3277" s="78"/>
      <c r="J3277" s="78"/>
    </row>
    <row r="3278" spans="1:10" x14ac:dyDescent="0.2">
      <c r="A3278" s="84">
        <f t="shared" si="105"/>
        <v>3272</v>
      </c>
      <c r="B3278" s="85" t="e">
        <f>+MATCH(D3278,ARTICULOS!$F$10:$F$699,0)</f>
        <v>#N/A</v>
      </c>
      <c r="C3278" s="86" t="e">
        <f>+VLOOKUP(B3278,ARTICULOS!$D$10:$I$699,6)</f>
        <v>#N/A</v>
      </c>
      <c r="D3278" s="212"/>
      <c r="E3278" s="75" t="e">
        <f t="shared" si="106"/>
        <v>#N/A</v>
      </c>
      <c r="F3278" s="80"/>
      <c r="G3278" s="81"/>
      <c r="H3278" s="78"/>
      <c r="I3278" s="78"/>
      <c r="J3278" s="78"/>
    </row>
    <row r="3279" spans="1:10" x14ac:dyDescent="0.2">
      <c r="A3279" s="84">
        <f t="shared" si="105"/>
        <v>3273</v>
      </c>
      <c r="B3279" s="85" t="e">
        <f>+MATCH(D3279,ARTICULOS!$F$10:$F$699,0)</f>
        <v>#N/A</v>
      </c>
      <c r="C3279" s="86" t="e">
        <f>+VLOOKUP(B3279,ARTICULOS!$D$10:$I$699,6)</f>
        <v>#N/A</v>
      </c>
      <c r="D3279" s="212"/>
      <c r="E3279" s="75" t="e">
        <f t="shared" si="106"/>
        <v>#N/A</v>
      </c>
      <c r="F3279" s="80"/>
      <c r="G3279" s="81"/>
      <c r="H3279" s="78"/>
      <c r="I3279" s="78"/>
      <c r="J3279" s="78"/>
    </row>
    <row r="3280" spans="1:10" x14ac:dyDescent="0.2">
      <c r="A3280" s="84">
        <f t="shared" si="105"/>
        <v>3274</v>
      </c>
      <c r="B3280" s="85" t="e">
        <f>+MATCH(D3280,ARTICULOS!$F$10:$F$699,0)</f>
        <v>#N/A</v>
      </c>
      <c r="C3280" s="86" t="e">
        <f>+VLOOKUP(B3280,ARTICULOS!$D$10:$I$699,6)</f>
        <v>#N/A</v>
      </c>
      <c r="D3280" s="212"/>
      <c r="E3280" s="75" t="e">
        <f t="shared" si="106"/>
        <v>#N/A</v>
      </c>
      <c r="F3280" s="80"/>
      <c r="G3280" s="81"/>
      <c r="H3280" s="78"/>
      <c r="I3280" s="78"/>
      <c r="J3280" s="78"/>
    </row>
    <row r="3281" spans="1:10" x14ac:dyDescent="0.2">
      <c r="A3281" s="84">
        <f t="shared" si="105"/>
        <v>3275</v>
      </c>
      <c r="B3281" s="85" t="e">
        <f>+MATCH(D3281,ARTICULOS!$F$10:$F$699,0)</f>
        <v>#N/A</v>
      </c>
      <c r="C3281" s="86" t="e">
        <f>+VLOOKUP(B3281,ARTICULOS!$D$10:$I$699,6)</f>
        <v>#N/A</v>
      </c>
      <c r="D3281" s="212"/>
      <c r="E3281" s="75" t="e">
        <f t="shared" si="106"/>
        <v>#N/A</v>
      </c>
      <c r="F3281" s="80"/>
      <c r="G3281" s="81"/>
      <c r="H3281" s="78"/>
      <c r="I3281" s="78"/>
      <c r="J3281" s="78"/>
    </row>
    <row r="3282" spans="1:10" x14ac:dyDescent="0.2">
      <c r="A3282" s="84">
        <f t="shared" si="105"/>
        <v>3276</v>
      </c>
      <c r="B3282" s="85" t="e">
        <f>+MATCH(D3282,ARTICULOS!$F$10:$F$699,0)</f>
        <v>#N/A</v>
      </c>
      <c r="C3282" s="86" t="e">
        <f>+VLOOKUP(B3282,ARTICULOS!$D$10:$I$699,6)</f>
        <v>#N/A</v>
      </c>
      <c r="D3282" s="212"/>
      <c r="E3282" s="75" t="e">
        <f t="shared" si="106"/>
        <v>#N/A</v>
      </c>
      <c r="F3282" s="80"/>
      <c r="G3282" s="81"/>
      <c r="H3282" s="78"/>
      <c r="I3282" s="78"/>
      <c r="J3282" s="78"/>
    </row>
    <row r="3283" spans="1:10" x14ac:dyDescent="0.2">
      <c r="A3283" s="84">
        <f t="shared" si="105"/>
        <v>3277</v>
      </c>
      <c r="B3283" s="85" t="e">
        <f>+MATCH(D3283,ARTICULOS!$F$10:$F$699,0)</f>
        <v>#N/A</v>
      </c>
      <c r="C3283" s="86" t="e">
        <f>+VLOOKUP(B3283,ARTICULOS!$D$10:$I$699,6)</f>
        <v>#N/A</v>
      </c>
      <c r="D3283" s="212"/>
      <c r="E3283" s="75" t="e">
        <f t="shared" si="106"/>
        <v>#N/A</v>
      </c>
      <c r="F3283" s="80"/>
      <c r="G3283" s="81"/>
      <c r="H3283" s="78"/>
      <c r="I3283" s="78"/>
      <c r="J3283" s="78"/>
    </row>
    <row r="3284" spans="1:10" x14ac:dyDescent="0.2">
      <c r="A3284" s="84">
        <f t="shared" si="105"/>
        <v>3278</v>
      </c>
      <c r="B3284" s="85" t="e">
        <f>+MATCH(D3284,ARTICULOS!$F$10:$F$699,0)</f>
        <v>#N/A</v>
      </c>
      <c r="C3284" s="86" t="e">
        <f>+VLOOKUP(B3284,ARTICULOS!$D$10:$I$699,6)</f>
        <v>#N/A</v>
      </c>
      <c r="D3284" s="212"/>
      <c r="E3284" s="75" t="e">
        <f t="shared" si="106"/>
        <v>#N/A</v>
      </c>
      <c r="F3284" s="80"/>
      <c r="G3284" s="81"/>
      <c r="H3284" s="78"/>
      <c r="I3284" s="78"/>
      <c r="J3284" s="78"/>
    </row>
    <row r="3285" spans="1:10" x14ac:dyDescent="0.2">
      <c r="A3285" s="84">
        <f t="shared" si="105"/>
        <v>3279</v>
      </c>
      <c r="B3285" s="85" t="e">
        <f>+MATCH(D3285,ARTICULOS!$F$10:$F$699,0)</f>
        <v>#N/A</v>
      </c>
      <c r="C3285" s="86" t="e">
        <f>+VLOOKUP(B3285,ARTICULOS!$D$10:$I$699,6)</f>
        <v>#N/A</v>
      </c>
      <c r="D3285" s="212"/>
      <c r="E3285" s="75" t="e">
        <f t="shared" si="106"/>
        <v>#N/A</v>
      </c>
      <c r="F3285" s="80"/>
      <c r="G3285" s="81"/>
      <c r="H3285" s="78"/>
      <c r="I3285" s="78"/>
      <c r="J3285" s="78"/>
    </row>
    <row r="3286" spans="1:10" x14ac:dyDescent="0.2">
      <c r="A3286" s="84">
        <f t="shared" si="105"/>
        <v>3280</v>
      </c>
      <c r="B3286" s="85" t="e">
        <f>+MATCH(D3286,ARTICULOS!$F$10:$F$699,0)</f>
        <v>#N/A</v>
      </c>
      <c r="C3286" s="86" t="e">
        <f>+VLOOKUP(B3286,ARTICULOS!$D$10:$I$699,6)</f>
        <v>#N/A</v>
      </c>
      <c r="D3286" s="212"/>
      <c r="E3286" s="75" t="e">
        <f t="shared" si="106"/>
        <v>#N/A</v>
      </c>
      <c r="F3286" s="80"/>
      <c r="G3286" s="81"/>
      <c r="H3286" s="78"/>
      <c r="I3286" s="78"/>
      <c r="J3286" s="78"/>
    </row>
    <row r="3287" spans="1:10" x14ac:dyDescent="0.2">
      <c r="A3287" s="84">
        <f t="shared" si="105"/>
        <v>3281</v>
      </c>
      <c r="B3287" s="85" t="e">
        <f>+MATCH(D3287,ARTICULOS!$F$10:$F$699,0)</f>
        <v>#N/A</v>
      </c>
      <c r="C3287" s="86" t="e">
        <f>+VLOOKUP(B3287,ARTICULOS!$D$10:$I$699,6)</f>
        <v>#N/A</v>
      </c>
      <c r="D3287" s="212"/>
      <c r="E3287" s="75" t="e">
        <f t="shared" si="106"/>
        <v>#N/A</v>
      </c>
      <c r="F3287" s="80"/>
      <c r="G3287" s="81"/>
      <c r="H3287" s="78"/>
      <c r="I3287" s="78"/>
      <c r="J3287" s="78"/>
    </row>
    <row r="3288" spans="1:10" x14ac:dyDescent="0.2">
      <c r="A3288" s="84">
        <f t="shared" si="105"/>
        <v>3282</v>
      </c>
      <c r="B3288" s="85" t="e">
        <f>+MATCH(D3288,ARTICULOS!$F$10:$F$699,0)</f>
        <v>#N/A</v>
      </c>
      <c r="C3288" s="86" t="e">
        <f>+VLOOKUP(B3288,ARTICULOS!$D$10:$I$699,6)</f>
        <v>#N/A</v>
      </c>
      <c r="D3288" s="212"/>
      <c r="E3288" s="75" t="e">
        <f t="shared" si="106"/>
        <v>#N/A</v>
      </c>
      <c r="F3288" s="80"/>
      <c r="G3288" s="81"/>
      <c r="H3288" s="78"/>
      <c r="I3288" s="78"/>
      <c r="J3288" s="78"/>
    </row>
    <row r="3289" spans="1:10" x14ac:dyDescent="0.2">
      <c r="A3289" s="84">
        <f t="shared" si="105"/>
        <v>3283</v>
      </c>
      <c r="B3289" s="85" t="e">
        <f>+MATCH(D3289,ARTICULOS!$F$10:$F$699,0)</f>
        <v>#N/A</v>
      </c>
      <c r="C3289" s="86" t="e">
        <f>+VLOOKUP(B3289,ARTICULOS!$D$10:$I$699,6)</f>
        <v>#N/A</v>
      </c>
      <c r="D3289" s="212"/>
      <c r="E3289" s="75" t="e">
        <f t="shared" si="106"/>
        <v>#N/A</v>
      </c>
      <c r="F3289" s="80"/>
      <c r="G3289" s="81"/>
      <c r="H3289" s="78"/>
      <c r="I3289" s="78"/>
      <c r="J3289" s="78"/>
    </row>
    <row r="3290" spans="1:10" x14ac:dyDescent="0.2">
      <c r="A3290" s="84">
        <f t="shared" si="105"/>
        <v>3284</v>
      </c>
      <c r="B3290" s="85" t="e">
        <f>+MATCH(D3290,ARTICULOS!$F$10:$F$699,0)</f>
        <v>#N/A</v>
      </c>
      <c r="C3290" s="86" t="e">
        <f>+VLOOKUP(B3290,ARTICULOS!$D$10:$I$699,6)</f>
        <v>#N/A</v>
      </c>
      <c r="D3290" s="212"/>
      <c r="E3290" s="75" t="e">
        <f t="shared" si="106"/>
        <v>#N/A</v>
      </c>
      <c r="F3290" s="80"/>
      <c r="G3290" s="81"/>
      <c r="H3290" s="78"/>
      <c r="I3290" s="78"/>
      <c r="J3290" s="78"/>
    </row>
    <row r="3291" spans="1:10" x14ac:dyDescent="0.2">
      <c r="A3291" s="84">
        <f t="shared" si="105"/>
        <v>3285</v>
      </c>
      <c r="B3291" s="85" t="e">
        <f>+MATCH(D3291,ARTICULOS!$F$10:$F$699,0)</f>
        <v>#N/A</v>
      </c>
      <c r="C3291" s="86" t="e">
        <f>+VLOOKUP(B3291,ARTICULOS!$D$10:$I$699,6)</f>
        <v>#N/A</v>
      </c>
      <c r="D3291" s="212"/>
      <c r="E3291" s="75" t="e">
        <f t="shared" si="106"/>
        <v>#N/A</v>
      </c>
      <c r="F3291" s="80"/>
      <c r="G3291" s="81"/>
      <c r="H3291" s="78"/>
      <c r="I3291" s="78"/>
      <c r="J3291" s="78"/>
    </row>
    <row r="3292" spans="1:10" x14ac:dyDescent="0.2">
      <c r="A3292" s="84">
        <f t="shared" si="105"/>
        <v>3286</v>
      </c>
      <c r="B3292" s="85" t="e">
        <f>+MATCH(D3292,ARTICULOS!$F$10:$F$699,0)</f>
        <v>#N/A</v>
      </c>
      <c r="C3292" s="86" t="e">
        <f>+VLOOKUP(B3292,ARTICULOS!$D$10:$I$699,6)</f>
        <v>#N/A</v>
      </c>
      <c r="D3292" s="212"/>
      <c r="E3292" s="75" t="e">
        <f t="shared" si="106"/>
        <v>#N/A</v>
      </c>
      <c r="F3292" s="80"/>
      <c r="G3292" s="81"/>
      <c r="H3292" s="78"/>
      <c r="I3292" s="78"/>
      <c r="J3292" s="78"/>
    </row>
    <row r="3293" spans="1:10" x14ac:dyDescent="0.2">
      <c r="A3293" s="84">
        <f t="shared" si="105"/>
        <v>3287</v>
      </c>
      <c r="B3293" s="85" t="e">
        <f>+MATCH(D3293,ARTICULOS!$F$10:$F$699,0)</f>
        <v>#N/A</v>
      </c>
      <c r="C3293" s="86" t="e">
        <f>+VLOOKUP(B3293,ARTICULOS!$D$10:$I$699,6)</f>
        <v>#N/A</v>
      </c>
      <c r="D3293" s="212"/>
      <c r="E3293" s="75" t="e">
        <f t="shared" si="106"/>
        <v>#N/A</v>
      </c>
      <c r="F3293" s="80"/>
      <c r="G3293" s="81"/>
      <c r="H3293" s="78"/>
      <c r="I3293" s="78"/>
      <c r="J3293" s="78"/>
    </row>
    <row r="3294" spans="1:10" x14ac:dyDescent="0.2">
      <c r="A3294" s="84">
        <f t="shared" si="105"/>
        <v>3288</v>
      </c>
      <c r="B3294" s="85" t="e">
        <f>+MATCH(D3294,ARTICULOS!$F$10:$F$699,0)</f>
        <v>#N/A</v>
      </c>
      <c r="C3294" s="86" t="e">
        <f>+VLOOKUP(B3294,ARTICULOS!$D$10:$I$699,6)</f>
        <v>#N/A</v>
      </c>
      <c r="D3294" s="212"/>
      <c r="E3294" s="75" t="e">
        <f t="shared" si="106"/>
        <v>#N/A</v>
      </c>
      <c r="F3294" s="80"/>
      <c r="G3294" s="81"/>
      <c r="H3294" s="78"/>
      <c r="I3294" s="78"/>
      <c r="J3294" s="78"/>
    </row>
    <row r="3295" spans="1:10" x14ac:dyDescent="0.2">
      <c r="A3295" s="84">
        <f t="shared" si="105"/>
        <v>3289</v>
      </c>
      <c r="B3295" s="85" t="e">
        <f>+MATCH(D3295,ARTICULOS!$F$10:$F$699,0)</f>
        <v>#N/A</v>
      </c>
      <c r="C3295" s="86" t="e">
        <f>+VLOOKUP(B3295,ARTICULOS!$D$10:$I$699,6)</f>
        <v>#N/A</v>
      </c>
      <c r="D3295" s="212"/>
      <c r="E3295" s="75" t="e">
        <f t="shared" si="106"/>
        <v>#N/A</v>
      </c>
      <c r="F3295" s="80"/>
      <c r="G3295" s="81"/>
      <c r="H3295" s="78"/>
      <c r="I3295" s="78"/>
      <c r="J3295" s="78"/>
    </row>
    <row r="3296" spans="1:10" x14ac:dyDescent="0.2">
      <c r="A3296" s="84">
        <f t="shared" si="105"/>
        <v>3290</v>
      </c>
      <c r="B3296" s="85" t="e">
        <f>+MATCH(D3296,ARTICULOS!$F$10:$F$699,0)</f>
        <v>#N/A</v>
      </c>
      <c r="C3296" s="86" t="e">
        <f>+VLOOKUP(B3296,ARTICULOS!$D$10:$I$699,6)</f>
        <v>#N/A</v>
      </c>
      <c r="D3296" s="212"/>
      <c r="E3296" s="75" t="e">
        <f t="shared" si="106"/>
        <v>#N/A</v>
      </c>
      <c r="F3296" s="80"/>
      <c r="G3296" s="81"/>
      <c r="H3296" s="78"/>
      <c r="I3296" s="78"/>
      <c r="J3296" s="78"/>
    </row>
    <row r="3297" spans="1:10" x14ac:dyDescent="0.2">
      <c r="A3297" s="84">
        <f t="shared" si="105"/>
        <v>3291</v>
      </c>
      <c r="B3297" s="85" t="e">
        <f>+MATCH(D3297,ARTICULOS!$F$10:$F$699,0)</f>
        <v>#N/A</v>
      </c>
      <c r="C3297" s="86" t="e">
        <f>+VLOOKUP(B3297,ARTICULOS!$D$10:$I$699,6)</f>
        <v>#N/A</v>
      </c>
      <c r="D3297" s="212"/>
      <c r="E3297" s="75" t="e">
        <f t="shared" si="106"/>
        <v>#N/A</v>
      </c>
      <c r="F3297" s="80"/>
      <c r="G3297" s="81"/>
      <c r="H3297" s="78"/>
      <c r="I3297" s="78"/>
      <c r="J3297" s="78"/>
    </row>
    <row r="3298" spans="1:10" x14ac:dyDescent="0.2">
      <c r="A3298" s="84">
        <f t="shared" si="105"/>
        <v>3292</v>
      </c>
      <c r="B3298" s="85" t="e">
        <f>+MATCH(D3298,ARTICULOS!$F$10:$F$699,0)</f>
        <v>#N/A</v>
      </c>
      <c r="C3298" s="86" t="e">
        <f>+VLOOKUP(B3298,ARTICULOS!$D$10:$I$699,6)</f>
        <v>#N/A</v>
      </c>
      <c r="D3298" s="212"/>
      <c r="E3298" s="75" t="e">
        <f t="shared" si="106"/>
        <v>#N/A</v>
      </c>
      <c r="F3298" s="80"/>
      <c r="G3298" s="81"/>
      <c r="H3298" s="78"/>
      <c r="I3298" s="78"/>
      <c r="J3298" s="78"/>
    </row>
    <row r="3299" spans="1:10" x14ac:dyDescent="0.2">
      <c r="A3299" s="84">
        <f t="shared" si="105"/>
        <v>3293</v>
      </c>
      <c r="B3299" s="85" t="e">
        <f>+MATCH(D3299,ARTICULOS!$F$10:$F$699,0)</f>
        <v>#N/A</v>
      </c>
      <c r="C3299" s="86" t="e">
        <f>+VLOOKUP(B3299,ARTICULOS!$D$10:$I$699,6)</f>
        <v>#N/A</v>
      </c>
      <c r="D3299" s="212"/>
      <c r="E3299" s="75" t="e">
        <f t="shared" si="106"/>
        <v>#N/A</v>
      </c>
      <c r="F3299" s="80"/>
      <c r="G3299" s="81"/>
      <c r="H3299" s="78"/>
      <c r="I3299" s="78"/>
      <c r="J3299" s="78"/>
    </row>
    <row r="3300" spans="1:10" x14ac:dyDescent="0.2">
      <c r="A3300" s="84">
        <f t="shared" si="105"/>
        <v>3294</v>
      </c>
      <c r="B3300" s="85" t="e">
        <f>+MATCH(D3300,ARTICULOS!$F$10:$F$699,0)</f>
        <v>#N/A</v>
      </c>
      <c r="C3300" s="86" t="e">
        <f>+VLOOKUP(B3300,ARTICULOS!$D$10:$I$699,6)</f>
        <v>#N/A</v>
      </c>
      <c r="D3300" s="212"/>
      <c r="E3300" s="75" t="e">
        <f t="shared" si="106"/>
        <v>#N/A</v>
      </c>
      <c r="F3300" s="80"/>
      <c r="G3300" s="81"/>
      <c r="H3300" s="78"/>
      <c r="I3300" s="78"/>
      <c r="J3300" s="78"/>
    </row>
    <row r="3301" spans="1:10" x14ac:dyDescent="0.2">
      <c r="A3301" s="84">
        <f t="shared" si="105"/>
        <v>3295</v>
      </c>
      <c r="B3301" s="85" t="e">
        <f>+MATCH(D3301,ARTICULOS!$F$10:$F$699,0)</f>
        <v>#N/A</v>
      </c>
      <c r="C3301" s="86" t="e">
        <f>+VLOOKUP(B3301,ARTICULOS!$D$10:$I$699,6)</f>
        <v>#N/A</v>
      </c>
      <c r="D3301" s="212"/>
      <c r="E3301" s="75" t="e">
        <f t="shared" si="106"/>
        <v>#N/A</v>
      </c>
      <c r="F3301" s="80"/>
      <c r="G3301" s="81"/>
      <c r="H3301" s="78"/>
      <c r="I3301" s="78"/>
      <c r="J3301" s="78"/>
    </row>
    <row r="3302" spans="1:10" x14ac:dyDescent="0.2">
      <c r="A3302" s="84">
        <f t="shared" si="105"/>
        <v>3296</v>
      </c>
      <c r="B3302" s="85" t="e">
        <f>+MATCH(D3302,ARTICULOS!$F$10:$F$699,0)</f>
        <v>#N/A</v>
      </c>
      <c r="C3302" s="86" t="e">
        <f>+VLOOKUP(B3302,ARTICULOS!$D$10:$I$699,6)</f>
        <v>#N/A</v>
      </c>
      <c r="D3302" s="212"/>
      <c r="E3302" s="75" t="e">
        <f t="shared" si="106"/>
        <v>#N/A</v>
      </c>
      <c r="F3302" s="80"/>
      <c r="G3302" s="81"/>
      <c r="H3302" s="78"/>
      <c r="I3302" s="78"/>
      <c r="J3302" s="78"/>
    </row>
    <row r="3303" spans="1:10" x14ac:dyDescent="0.2">
      <c r="A3303" s="84">
        <f t="shared" si="105"/>
        <v>3297</v>
      </c>
      <c r="B3303" s="85" t="e">
        <f>+MATCH(D3303,ARTICULOS!$F$10:$F$699,0)</f>
        <v>#N/A</v>
      </c>
      <c r="C3303" s="86" t="e">
        <f>+VLOOKUP(B3303,ARTICULOS!$D$10:$I$699,6)</f>
        <v>#N/A</v>
      </c>
      <c r="D3303" s="212"/>
      <c r="E3303" s="75" t="e">
        <f t="shared" si="106"/>
        <v>#N/A</v>
      </c>
      <c r="F3303" s="80"/>
      <c r="G3303" s="81"/>
      <c r="H3303" s="78"/>
      <c r="I3303" s="78"/>
      <c r="J3303" s="78"/>
    </row>
    <row r="3304" spans="1:10" x14ac:dyDescent="0.2">
      <c r="A3304" s="84">
        <f t="shared" si="105"/>
        <v>3298</v>
      </c>
      <c r="B3304" s="85" t="e">
        <f>+MATCH(D3304,ARTICULOS!$F$10:$F$699,0)</f>
        <v>#N/A</v>
      </c>
      <c r="C3304" s="86" t="e">
        <f>+VLOOKUP(B3304,ARTICULOS!$D$10:$I$699,6)</f>
        <v>#N/A</v>
      </c>
      <c r="D3304" s="212"/>
      <c r="E3304" s="75" t="e">
        <f t="shared" si="106"/>
        <v>#N/A</v>
      </c>
      <c r="F3304" s="80"/>
      <c r="G3304" s="81"/>
      <c r="H3304" s="78"/>
      <c r="I3304" s="78"/>
      <c r="J3304" s="78"/>
    </row>
    <row r="3305" spans="1:10" x14ac:dyDescent="0.2">
      <c r="A3305" s="84">
        <f t="shared" ref="A3305:A3368" si="107">ROW()-6</f>
        <v>3299</v>
      </c>
      <c r="B3305" s="85" t="e">
        <f>+MATCH(D3305,ARTICULOS!$F$10:$F$699,0)</f>
        <v>#N/A</v>
      </c>
      <c r="C3305" s="86" t="e">
        <f>+VLOOKUP(B3305,ARTICULOS!$D$10:$I$699,6)</f>
        <v>#N/A</v>
      </c>
      <c r="D3305" s="212"/>
      <c r="E3305" s="75" t="e">
        <f t="shared" si="106"/>
        <v>#N/A</v>
      </c>
      <c r="F3305" s="80"/>
      <c r="G3305" s="81"/>
      <c r="H3305" s="78"/>
      <c r="I3305" s="78"/>
      <c r="J3305" s="78"/>
    </row>
    <row r="3306" spans="1:10" x14ac:dyDescent="0.2">
      <c r="A3306" s="84">
        <f t="shared" si="107"/>
        <v>3300</v>
      </c>
      <c r="B3306" s="85" t="e">
        <f>+MATCH(D3306,ARTICULOS!$F$10:$F$699,0)</f>
        <v>#N/A</v>
      </c>
      <c r="C3306" s="86" t="e">
        <f>+VLOOKUP(B3306,ARTICULOS!$D$10:$I$699,6)</f>
        <v>#N/A</v>
      </c>
      <c r="D3306" s="212"/>
      <c r="E3306" s="75" t="e">
        <f t="shared" si="106"/>
        <v>#N/A</v>
      </c>
      <c r="F3306" s="80"/>
      <c r="G3306" s="81"/>
      <c r="H3306" s="78"/>
      <c r="I3306" s="78"/>
      <c r="J3306" s="78"/>
    </row>
    <row r="3307" spans="1:10" x14ac:dyDescent="0.2">
      <c r="A3307" s="84">
        <f t="shared" si="107"/>
        <v>3301</v>
      </c>
      <c r="B3307" s="85" t="e">
        <f>+MATCH(D3307,ARTICULOS!$F$10:$F$699,0)</f>
        <v>#N/A</v>
      </c>
      <c r="C3307" s="86" t="e">
        <f>+VLOOKUP(B3307,ARTICULOS!$D$10:$I$699,6)</f>
        <v>#N/A</v>
      </c>
      <c r="D3307" s="212"/>
      <c r="E3307" s="75" t="e">
        <f t="shared" si="106"/>
        <v>#N/A</v>
      </c>
      <c r="F3307" s="80"/>
      <c r="G3307" s="81"/>
      <c r="H3307" s="78"/>
      <c r="I3307" s="78"/>
      <c r="J3307" s="78"/>
    </row>
    <row r="3308" spans="1:10" x14ac:dyDescent="0.2">
      <c r="A3308" s="84">
        <f t="shared" si="107"/>
        <v>3302</v>
      </c>
      <c r="B3308" s="85" t="e">
        <f>+MATCH(D3308,ARTICULOS!$F$10:$F$699,0)</f>
        <v>#N/A</v>
      </c>
      <c r="C3308" s="86" t="e">
        <f>+VLOOKUP(B3308,ARTICULOS!$D$10:$I$699,6)</f>
        <v>#N/A</v>
      </c>
      <c r="D3308" s="212"/>
      <c r="E3308" s="75" t="e">
        <f t="shared" si="106"/>
        <v>#N/A</v>
      </c>
      <c r="F3308" s="80"/>
      <c r="G3308" s="81"/>
      <c r="H3308" s="78"/>
      <c r="I3308" s="78"/>
      <c r="J3308" s="78"/>
    </row>
    <row r="3309" spans="1:10" x14ac:dyDescent="0.2">
      <c r="A3309" s="84">
        <f t="shared" si="107"/>
        <v>3303</v>
      </c>
      <c r="B3309" s="85" t="e">
        <f>+MATCH(D3309,ARTICULOS!$F$10:$F$699,0)</f>
        <v>#N/A</v>
      </c>
      <c r="C3309" s="86" t="e">
        <f>+VLOOKUP(B3309,ARTICULOS!$D$10:$I$699,6)</f>
        <v>#N/A</v>
      </c>
      <c r="D3309" s="212"/>
      <c r="E3309" s="75" t="e">
        <f t="shared" si="106"/>
        <v>#N/A</v>
      </c>
      <c r="F3309" s="80"/>
      <c r="G3309" s="81"/>
      <c r="H3309" s="78"/>
      <c r="I3309" s="78"/>
      <c r="J3309" s="78"/>
    </row>
    <row r="3310" spans="1:10" x14ac:dyDescent="0.2">
      <c r="A3310" s="84">
        <f t="shared" si="107"/>
        <v>3304</v>
      </c>
      <c r="B3310" s="85" t="e">
        <f>+MATCH(D3310,ARTICULOS!$F$10:$F$699,0)</f>
        <v>#N/A</v>
      </c>
      <c r="C3310" s="86" t="e">
        <f>+VLOOKUP(B3310,ARTICULOS!$D$10:$I$699,6)</f>
        <v>#N/A</v>
      </c>
      <c r="D3310" s="212"/>
      <c r="E3310" s="75" t="e">
        <f t="shared" si="106"/>
        <v>#N/A</v>
      </c>
      <c r="F3310" s="80"/>
      <c r="G3310" s="81"/>
      <c r="H3310" s="78"/>
      <c r="I3310" s="78"/>
      <c r="J3310" s="78"/>
    </row>
    <row r="3311" spans="1:10" x14ac:dyDescent="0.2">
      <c r="A3311" s="84">
        <f t="shared" si="107"/>
        <v>3305</v>
      </c>
      <c r="B3311" s="85" t="e">
        <f>+MATCH(D3311,ARTICULOS!$F$10:$F$699,0)</f>
        <v>#N/A</v>
      </c>
      <c r="C3311" s="86" t="e">
        <f>+VLOOKUP(B3311,ARTICULOS!$D$10:$I$699,6)</f>
        <v>#N/A</v>
      </c>
      <c r="D3311" s="212"/>
      <c r="E3311" s="75" t="e">
        <f t="shared" si="106"/>
        <v>#N/A</v>
      </c>
      <c r="F3311" s="80"/>
      <c r="G3311" s="81"/>
      <c r="H3311" s="78"/>
      <c r="I3311" s="78"/>
      <c r="J3311" s="78"/>
    </row>
    <row r="3312" spans="1:10" x14ac:dyDescent="0.2">
      <c r="A3312" s="84">
        <f t="shared" si="107"/>
        <v>3306</v>
      </c>
      <c r="B3312" s="85" t="e">
        <f>+MATCH(D3312,ARTICULOS!$F$10:$F$699,0)</f>
        <v>#N/A</v>
      </c>
      <c r="C3312" s="86" t="e">
        <f>+VLOOKUP(B3312,ARTICULOS!$D$10:$I$699,6)</f>
        <v>#N/A</v>
      </c>
      <c r="D3312" s="212"/>
      <c r="E3312" s="75" t="e">
        <f t="shared" si="106"/>
        <v>#N/A</v>
      </c>
      <c r="F3312" s="80"/>
      <c r="G3312" s="81"/>
      <c r="H3312" s="78"/>
      <c r="I3312" s="78"/>
      <c r="J3312" s="78"/>
    </row>
    <row r="3313" spans="1:10" x14ac:dyDescent="0.2">
      <c r="A3313" s="84">
        <f t="shared" si="107"/>
        <v>3307</v>
      </c>
      <c r="B3313" s="85" t="e">
        <f>+MATCH(D3313,ARTICULOS!$F$10:$F$699,0)</f>
        <v>#N/A</v>
      </c>
      <c r="C3313" s="86" t="e">
        <f>+VLOOKUP(B3313,ARTICULOS!$D$10:$I$699,6)</f>
        <v>#N/A</v>
      </c>
      <c r="D3313" s="212"/>
      <c r="E3313" s="75" t="e">
        <f t="shared" si="106"/>
        <v>#N/A</v>
      </c>
      <c r="F3313" s="80"/>
      <c r="G3313" s="81"/>
      <c r="H3313" s="78"/>
      <c r="I3313" s="78"/>
      <c r="J3313" s="78"/>
    </row>
    <row r="3314" spans="1:10" x14ac:dyDescent="0.2">
      <c r="A3314" s="84">
        <f t="shared" si="107"/>
        <v>3308</v>
      </c>
      <c r="B3314" s="85" t="e">
        <f>+MATCH(D3314,ARTICULOS!$F$10:$F$699,0)</f>
        <v>#N/A</v>
      </c>
      <c r="C3314" s="86" t="e">
        <f>+VLOOKUP(B3314,ARTICULOS!$D$10:$I$699,6)</f>
        <v>#N/A</v>
      </c>
      <c r="D3314" s="212"/>
      <c r="E3314" s="75" t="e">
        <f t="shared" si="106"/>
        <v>#N/A</v>
      </c>
      <c r="F3314" s="80"/>
      <c r="G3314" s="81"/>
      <c r="H3314" s="78"/>
      <c r="I3314" s="78"/>
      <c r="J3314" s="78"/>
    </row>
    <row r="3315" spans="1:10" x14ac:dyDescent="0.2">
      <c r="A3315" s="84">
        <f t="shared" si="107"/>
        <v>3309</v>
      </c>
      <c r="B3315" s="85" t="e">
        <f>+MATCH(D3315,ARTICULOS!$F$10:$F$699,0)</f>
        <v>#N/A</v>
      </c>
      <c r="C3315" s="86" t="e">
        <f>+VLOOKUP(B3315,ARTICULOS!$D$10:$I$699,6)</f>
        <v>#N/A</v>
      </c>
      <c r="D3315" s="212"/>
      <c r="E3315" s="75" t="e">
        <f t="shared" si="106"/>
        <v>#N/A</v>
      </c>
      <c r="F3315" s="80"/>
      <c r="G3315" s="81"/>
      <c r="H3315" s="78"/>
      <c r="I3315" s="78"/>
      <c r="J3315" s="78"/>
    </row>
    <row r="3316" spans="1:10" x14ac:dyDescent="0.2">
      <c r="A3316" s="84">
        <f t="shared" si="107"/>
        <v>3310</v>
      </c>
      <c r="B3316" s="85" t="e">
        <f>+MATCH(D3316,ARTICULOS!$F$10:$F$699,0)</f>
        <v>#N/A</v>
      </c>
      <c r="C3316" s="86" t="e">
        <f>+VLOOKUP(B3316,ARTICULOS!$D$10:$I$699,6)</f>
        <v>#N/A</v>
      </c>
      <c r="D3316" s="212"/>
      <c r="E3316" s="75" t="e">
        <f t="shared" si="106"/>
        <v>#N/A</v>
      </c>
      <c r="F3316" s="80"/>
      <c r="G3316" s="81"/>
      <c r="H3316" s="78"/>
      <c r="I3316" s="78"/>
      <c r="J3316" s="78"/>
    </row>
    <row r="3317" spans="1:10" x14ac:dyDescent="0.2">
      <c r="A3317" s="84">
        <f t="shared" si="107"/>
        <v>3311</v>
      </c>
      <c r="B3317" s="85" t="e">
        <f>+MATCH(D3317,ARTICULOS!$F$10:$F$699,0)</f>
        <v>#N/A</v>
      </c>
      <c r="C3317" s="86" t="e">
        <f>+VLOOKUP(B3317,ARTICULOS!$D$10:$I$699,6)</f>
        <v>#N/A</v>
      </c>
      <c r="D3317" s="212"/>
      <c r="E3317" s="75" t="e">
        <f t="shared" si="106"/>
        <v>#N/A</v>
      </c>
      <c r="F3317" s="80"/>
      <c r="G3317" s="81"/>
      <c r="H3317" s="78"/>
      <c r="I3317" s="78"/>
      <c r="J3317" s="78"/>
    </row>
    <row r="3318" spans="1:10" x14ac:dyDescent="0.2">
      <c r="A3318" s="84">
        <f t="shared" si="107"/>
        <v>3312</v>
      </c>
      <c r="B3318" s="85" t="e">
        <f>+MATCH(D3318,ARTICULOS!$F$10:$F$699,0)</f>
        <v>#N/A</v>
      </c>
      <c r="C3318" s="86" t="e">
        <f>+VLOOKUP(B3318,ARTICULOS!$D$10:$I$699,6)</f>
        <v>#N/A</v>
      </c>
      <c r="D3318" s="212"/>
      <c r="E3318" s="75" t="e">
        <f t="shared" si="106"/>
        <v>#N/A</v>
      </c>
      <c r="F3318" s="80"/>
      <c r="G3318" s="81"/>
      <c r="H3318" s="78"/>
      <c r="I3318" s="78"/>
      <c r="J3318" s="78"/>
    </row>
    <row r="3319" spans="1:10" x14ac:dyDescent="0.2">
      <c r="A3319" s="84">
        <f t="shared" si="107"/>
        <v>3313</v>
      </c>
      <c r="B3319" s="85" t="e">
        <f>+MATCH(D3319,ARTICULOS!$F$10:$F$699,0)</f>
        <v>#N/A</v>
      </c>
      <c r="C3319" s="86" t="e">
        <f>+VLOOKUP(B3319,ARTICULOS!$D$10:$I$699,6)</f>
        <v>#N/A</v>
      </c>
      <c r="D3319" s="212"/>
      <c r="E3319" s="75" t="e">
        <f t="shared" si="106"/>
        <v>#N/A</v>
      </c>
      <c r="F3319" s="80"/>
      <c r="G3319" s="81"/>
      <c r="H3319" s="78"/>
      <c r="I3319" s="78"/>
      <c r="J3319" s="78"/>
    </row>
    <row r="3320" spans="1:10" x14ac:dyDescent="0.2">
      <c r="A3320" s="84">
        <f t="shared" si="107"/>
        <v>3314</v>
      </c>
      <c r="B3320" s="85" t="e">
        <f>+MATCH(D3320,ARTICULOS!$F$10:$F$699,0)</f>
        <v>#N/A</v>
      </c>
      <c r="C3320" s="86" t="e">
        <f>+VLOOKUP(B3320,ARTICULOS!$D$10:$I$699,6)</f>
        <v>#N/A</v>
      </c>
      <c r="D3320" s="212"/>
      <c r="E3320" s="75" t="e">
        <f t="shared" si="106"/>
        <v>#N/A</v>
      </c>
      <c r="F3320" s="80"/>
      <c r="G3320" s="81"/>
      <c r="H3320" s="78"/>
      <c r="I3320" s="78"/>
      <c r="J3320" s="78"/>
    </row>
    <row r="3321" spans="1:10" x14ac:dyDescent="0.2">
      <c r="A3321" s="84">
        <f t="shared" si="107"/>
        <v>3315</v>
      </c>
      <c r="B3321" s="85" t="e">
        <f>+MATCH(D3321,ARTICULOS!$F$10:$F$699,0)</f>
        <v>#N/A</v>
      </c>
      <c r="C3321" s="86" t="e">
        <f>+VLOOKUP(B3321,ARTICULOS!$D$10:$I$699,6)</f>
        <v>#N/A</v>
      </c>
      <c r="D3321" s="212"/>
      <c r="E3321" s="75" t="e">
        <f t="shared" si="106"/>
        <v>#N/A</v>
      </c>
      <c r="F3321" s="80"/>
      <c r="G3321" s="81"/>
      <c r="H3321" s="78"/>
      <c r="I3321" s="78"/>
      <c r="J3321" s="78"/>
    </row>
    <row r="3322" spans="1:10" x14ac:dyDescent="0.2">
      <c r="A3322" s="84">
        <f t="shared" si="107"/>
        <v>3316</v>
      </c>
      <c r="B3322" s="85" t="e">
        <f>+MATCH(D3322,ARTICULOS!$F$10:$F$699,0)</f>
        <v>#N/A</v>
      </c>
      <c r="C3322" s="86" t="e">
        <f>+VLOOKUP(B3322,ARTICULOS!$D$10:$I$699,6)</f>
        <v>#N/A</v>
      </c>
      <c r="D3322" s="212"/>
      <c r="E3322" s="75" t="e">
        <f t="shared" si="106"/>
        <v>#N/A</v>
      </c>
      <c r="F3322" s="80"/>
      <c r="G3322" s="81"/>
      <c r="H3322" s="78"/>
      <c r="I3322" s="78"/>
      <c r="J3322" s="78"/>
    </row>
    <row r="3323" spans="1:10" x14ac:dyDescent="0.2">
      <c r="A3323" s="84">
        <f t="shared" si="107"/>
        <v>3317</v>
      </c>
      <c r="B3323" s="85" t="e">
        <f>+MATCH(D3323,ARTICULOS!$F$10:$F$699,0)</f>
        <v>#N/A</v>
      </c>
      <c r="C3323" s="86" t="e">
        <f>+VLOOKUP(B3323,ARTICULOS!$D$10:$I$699,6)</f>
        <v>#N/A</v>
      </c>
      <c r="D3323" s="212"/>
      <c r="E3323" s="75" t="e">
        <f t="shared" si="106"/>
        <v>#N/A</v>
      </c>
      <c r="F3323" s="80"/>
      <c r="G3323" s="81"/>
      <c r="H3323" s="78"/>
      <c r="I3323" s="78"/>
      <c r="J3323" s="78"/>
    </row>
    <row r="3324" spans="1:10" x14ac:dyDescent="0.2">
      <c r="A3324" s="84">
        <f t="shared" si="107"/>
        <v>3318</v>
      </c>
      <c r="B3324" s="85" t="e">
        <f>+MATCH(D3324,ARTICULOS!$F$10:$F$699,0)</f>
        <v>#N/A</v>
      </c>
      <c r="C3324" s="86" t="e">
        <f>+VLOOKUP(B3324,ARTICULOS!$D$10:$I$699,6)</f>
        <v>#N/A</v>
      </c>
      <c r="D3324" s="212"/>
      <c r="E3324" s="75" t="e">
        <f t="shared" si="106"/>
        <v>#N/A</v>
      </c>
      <c r="F3324" s="80"/>
      <c r="G3324" s="81"/>
      <c r="H3324" s="78"/>
      <c r="I3324" s="78"/>
      <c r="J3324" s="78"/>
    </row>
    <row r="3325" spans="1:10" x14ac:dyDescent="0.2">
      <c r="A3325" s="84">
        <f t="shared" si="107"/>
        <v>3319</v>
      </c>
      <c r="B3325" s="85" t="e">
        <f>+MATCH(D3325,ARTICULOS!$F$10:$F$699,0)</f>
        <v>#N/A</v>
      </c>
      <c r="C3325" s="86" t="e">
        <f>+VLOOKUP(B3325,ARTICULOS!$D$10:$I$699,6)</f>
        <v>#N/A</v>
      </c>
      <c r="D3325" s="212"/>
      <c r="E3325" s="75" t="e">
        <f t="shared" si="106"/>
        <v>#N/A</v>
      </c>
      <c r="F3325" s="80"/>
      <c r="G3325" s="81"/>
      <c r="H3325" s="78"/>
      <c r="I3325" s="78"/>
      <c r="J3325" s="78"/>
    </row>
    <row r="3326" spans="1:10" x14ac:dyDescent="0.2">
      <c r="A3326" s="84">
        <f t="shared" si="107"/>
        <v>3320</v>
      </c>
      <c r="B3326" s="85" t="e">
        <f>+MATCH(D3326,ARTICULOS!$F$10:$F$699,0)</f>
        <v>#N/A</v>
      </c>
      <c r="C3326" s="86" t="e">
        <f>+VLOOKUP(B3326,ARTICULOS!$D$10:$I$699,6)</f>
        <v>#N/A</v>
      </c>
      <c r="D3326" s="212"/>
      <c r="E3326" s="75" t="e">
        <f t="shared" si="106"/>
        <v>#N/A</v>
      </c>
      <c r="F3326" s="80"/>
      <c r="G3326" s="81"/>
      <c r="H3326" s="78"/>
      <c r="I3326" s="78"/>
      <c r="J3326" s="78"/>
    </row>
    <row r="3327" spans="1:10" x14ac:dyDescent="0.2">
      <c r="A3327" s="84">
        <f t="shared" si="107"/>
        <v>3321</v>
      </c>
      <c r="B3327" s="85" t="e">
        <f>+MATCH(D3327,ARTICULOS!$F$10:$F$699,0)</f>
        <v>#N/A</v>
      </c>
      <c r="C3327" s="86" t="e">
        <f>+VLOOKUP(B3327,ARTICULOS!$D$10:$I$699,6)</f>
        <v>#N/A</v>
      </c>
      <c r="D3327" s="212"/>
      <c r="E3327" s="75" t="e">
        <f t="shared" si="106"/>
        <v>#N/A</v>
      </c>
      <c r="F3327" s="80"/>
      <c r="G3327" s="81"/>
      <c r="H3327" s="78"/>
      <c r="I3327" s="78"/>
      <c r="J3327" s="78"/>
    </row>
    <row r="3328" spans="1:10" x14ac:dyDescent="0.2">
      <c r="A3328" s="84">
        <f t="shared" si="107"/>
        <v>3322</v>
      </c>
      <c r="B3328" s="85" t="e">
        <f>+MATCH(D3328,ARTICULOS!$F$10:$F$699,0)</f>
        <v>#N/A</v>
      </c>
      <c r="C3328" s="86" t="e">
        <f>+VLOOKUP(B3328,ARTICULOS!$D$10:$I$699,6)</f>
        <v>#N/A</v>
      </c>
      <c r="D3328" s="212"/>
      <c r="E3328" s="75" t="e">
        <f t="shared" si="106"/>
        <v>#N/A</v>
      </c>
      <c r="F3328" s="80"/>
      <c r="G3328" s="81"/>
      <c r="H3328" s="78"/>
      <c r="I3328" s="78"/>
      <c r="J3328" s="78"/>
    </row>
    <row r="3329" spans="1:10" x14ac:dyDescent="0.2">
      <c r="A3329" s="84">
        <f t="shared" si="107"/>
        <v>3323</v>
      </c>
      <c r="B3329" s="85" t="e">
        <f>+MATCH(D3329,ARTICULOS!$F$10:$F$699,0)</f>
        <v>#N/A</v>
      </c>
      <c r="C3329" s="86" t="e">
        <f>+VLOOKUP(B3329,ARTICULOS!$D$10:$I$699,6)</f>
        <v>#N/A</v>
      </c>
      <c r="D3329" s="212"/>
      <c r="E3329" s="75" t="e">
        <f t="shared" si="106"/>
        <v>#N/A</v>
      </c>
      <c r="F3329" s="80"/>
      <c r="G3329" s="81"/>
      <c r="H3329" s="78"/>
      <c r="I3329" s="78"/>
      <c r="J3329" s="78"/>
    </row>
    <row r="3330" spans="1:10" x14ac:dyDescent="0.2">
      <c r="A3330" s="84">
        <f t="shared" si="107"/>
        <v>3324</v>
      </c>
      <c r="B3330" s="85" t="e">
        <f>+MATCH(D3330,ARTICULOS!$F$10:$F$699,0)</f>
        <v>#N/A</v>
      </c>
      <c r="C3330" s="86" t="e">
        <f>+VLOOKUP(B3330,ARTICULOS!$D$10:$I$699,6)</f>
        <v>#N/A</v>
      </c>
      <c r="D3330" s="212"/>
      <c r="E3330" s="75" t="e">
        <f t="shared" si="106"/>
        <v>#N/A</v>
      </c>
      <c r="F3330" s="80"/>
      <c r="G3330" s="81"/>
      <c r="H3330" s="78"/>
      <c r="I3330" s="78"/>
      <c r="J3330" s="78"/>
    </row>
    <row r="3331" spans="1:10" x14ac:dyDescent="0.2">
      <c r="A3331" s="84">
        <f t="shared" si="107"/>
        <v>3325</v>
      </c>
      <c r="B3331" s="85" t="e">
        <f>+MATCH(D3331,ARTICULOS!$F$10:$F$699,0)</f>
        <v>#N/A</v>
      </c>
      <c r="C3331" s="86" t="e">
        <f>+VLOOKUP(B3331,ARTICULOS!$D$10:$I$699,6)</f>
        <v>#N/A</v>
      </c>
      <c r="D3331" s="212"/>
      <c r="E3331" s="75" t="e">
        <f t="shared" si="106"/>
        <v>#N/A</v>
      </c>
      <c r="F3331" s="80"/>
      <c r="G3331" s="81"/>
      <c r="H3331" s="78"/>
      <c r="I3331" s="78"/>
      <c r="J3331" s="78"/>
    </row>
    <row r="3332" spans="1:10" x14ac:dyDescent="0.2">
      <c r="A3332" s="84">
        <f t="shared" si="107"/>
        <v>3326</v>
      </c>
      <c r="B3332" s="85" t="e">
        <f>+MATCH(D3332,ARTICULOS!$F$10:$F$699,0)</f>
        <v>#N/A</v>
      </c>
      <c r="C3332" s="86" t="e">
        <f>+VLOOKUP(B3332,ARTICULOS!$D$10:$I$699,6)</f>
        <v>#N/A</v>
      </c>
      <c r="D3332" s="212"/>
      <c r="E3332" s="75" t="e">
        <f t="shared" si="106"/>
        <v>#N/A</v>
      </c>
      <c r="F3332" s="80"/>
      <c r="G3332" s="81"/>
      <c r="H3332" s="78"/>
      <c r="I3332" s="78"/>
      <c r="J3332" s="78"/>
    </row>
    <row r="3333" spans="1:10" x14ac:dyDescent="0.2">
      <c r="A3333" s="84">
        <f t="shared" si="107"/>
        <v>3327</v>
      </c>
      <c r="B3333" s="85" t="e">
        <f>+MATCH(D3333,ARTICULOS!$F$10:$F$699,0)</f>
        <v>#N/A</v>
      </c>
      <c r="C3333" s="86" t="e">
        <f>+VLOOKUP(B3333,ARTICULOS!$D$10:$I$699,6)</f>
        <v>#N/A</v>
      </c>
      <c r="D3333" s="212"/>
      <c r="E3333" s="75" t="e">
        <f t="shared" si="106"/>
        <v>#N/A</v>
      </c>
      <c r="F3333" s="80"/>
      <c r="G3333" s="81"/>
      <c r="H3333" s="78"/>
      <c r="I3333" s="78"/>
      <c r="J3333" s="78"/>
    </row>
    <row r="3334" spans="1:10" x14ac:dyDescent="0.2">
      <c r="A3334" s="84">
        <f t="shared" si="107"/>
        <v>3328</v>
      </c>
      <c r="B3334" s="85" t="e">
        <f>+MATCH(D3334,ARTICULOS!$F$10:$F$699,0)</f>
        <v>#N/A</v>
      </c>
      <c r="C3334" s="86" t="e">
        <f>+VLOOKUP(B3334,ARTICULOS!$D$10:$I$699,6)</f>
        <v>#N/A</v>
      </c>
      <c r="D3334" s="212"/>
      <c r="E3334" s="75" t="e">
        <f t="shared" si="106"/>
        <v>#N/A</v>
      </c>
      <c r="F3334" s="80"/>
      <c r="G3334" s="81"/>
      <c r="H3334" s="78"/>
      <c r="I3334" s="78"/>
      <c r="J3334" s="78"/>
    </row>
    <row r="3335" spans="1:10" x14ac:dyDescent="0.2">
      <c r="A3335" s="84">
        <f t="shared" si="107"/>
        <v>3329</v>
      </c>
      <c r="B3335" s="85" t="e">
        <f>+MATCH(D3335,ARTICULOS!$F$10:$F$699,0)</f>
        <v>#N/A</v>
      </c>
      <c r="C3335" s="86" t="e">
        <f>+VLOOKUP(B3335,ARTICULOS!$D$10:$I$699,6)</f>
        <v>#N/A</v>
      </c>
      <c r="D3335" s="212"/>
      <c r="E3335" s="75" t="e">
        <f t="shared" si="106"/>
        <v>#N/A</v>
      </c>
      <c r="F3335" s="80"/>
      <c r="G3335" s="81"/>
      <c r="H3335" s="78"/>
      <c r="I3335" s="78"/>
      <c r="J3335" s="78"/>
    </row>
    <row r="3336" spans="1:10" x14ac:dyDescent="0.2">
      <c r="A3336" s="84">
        <f t="shared" si="107"/>
        <v>3330</v>
      </c>
      <c r="B3336" s="85" t="e">
        <f>+MATCH(D3336,ARTICULOS!$F$10:$F$699,0)</f>
        <v>#N/A</v>
      </c>
      <c r="C3336" s="86" t="e">
        <f>+VLOOKUP(B3336,ARTICULOS!$D$10:$I$699,6)</f>
        <v>#N/A</v>
      </c>
      <c r="D3336" s="212"/>
      <c r="E3336" s="75" t="e">
        <f t="shared" si="106"/>
        <v>#N/A</v>
      </c>
      <c r="F3336" s="80"/>
      <c r="G3336" s="81"/>
      <c r="H3336" s="78"/>
      <c r="I3336" s="78"/>
      <c r="J3336" s="78"/>
    </row>
    <row r="3337" spans="1:10" x14ac:dyDescent="0.2">
      <c r="A3337" s="84">
        <f t="shared" si="107"/>
        <v>3331</v>
      </c>
      <c r="B3337" s="85" t="e">
        <f>+MATCH(D3337,ARTICULOS!$F$10:$F$699,0)</f>
        <v>#N/A</v>
      </c>
      <c r="C3337" s="86" t="e">
        <f>+VLOOKUP(B3337,ARTICULOS!$D$10:$I$699,6)</f>
        <v>#N/A</v>
      </c>
      <c r="D3337" s="212"/>
      <c r="E3337" s="75" t="e">
        <f t="shared" si="106"/>
        <v>#N/A</v>
      </c>
      <c r="F3337" s="80"/>
      <c r="G3337" s="81"/>
      <c r="H3337" s="78"/>
      <c r="I3337" s="78"/>
      <c r="J3337" s="78"/>
    </row>
    <row r="3338" spans="1:10" x14ac:dyDescent="0.2">
      <c r="A3338" s="84">
        <f t="shared" si="107"/>
        <v>3332</v>
      </c>
      <c r="B3338" s="85" t="e">
        <f>+MATCH(D3338,ARTICULOS!$F$10:$F$699,0)</f>
        <v>#N/A</v>
      </c>
      <c r="C3338" s="86" t="e">
        <f>+VLOOKUP(B3338,ARTICULOS!$D$10:$I$699,6)</f>
        <v>#N/A</v>
      </c>
      <c r="D3338" s="212"/>
      <c r="E3338" s="75" t="e">
        <f t="shared" si="106"/>
        <v>#N/A</v>
      </c>
      <c r="F3338" s="80"/>
      <c r="G3338" s="81"/>
      <c r="H3338" s="78"/>
      <c r="I3338" s="78"/>
      <c r="J3338" s="78"/>
    </row>
    <row r="3339" spans="1:10" x14ac:dyDescent="0.2">
      <c r="A3339" s="84">
        <f t="shared" si="107"/>
        <v>3333</v>
      </c>
      <c r="B3339" s="85" t="e">
        <f>+MATCH(D3339,ARTICULOS!$F$10:$F$699,0)</f>
        <v>#N/A</v>
      </c>
      <c r="C3339" s="86" t="e">
        <f>+VLOOKUP(B3339,ARTICULOS!$D$10:$I$699,6)</f>
        <v>#N/A</v>
      </c>
      <c r="D3339" s="212"/>
      <c r="E3339" s="75" t="e">
        <f t="shared" ref="E3339:E3402" si="108">+C3339&amp;F3339</f>
        <v>#N/A</v>
      </c>
      <c r="F3339" s="80"/>
      <c r="G3339" s="81"/>
      <c r="H3339" s="78"/>
      <c r="I3339" s="78"/>
      <c r="J3339" s="78"/>
    </row>
    <row r="3340" spans="1:10" x14ac:dyDescent="0.2">
      <c r="A3340" s="84">
        <f t="shared" si="107"/>
        <v>3334</v>
      </c>
      <c r="B3340" s="85" t="e">
        <f>+MATCH(D3340,ARTICULOS!$F$10:$F$699,0)</f>
        <v>#N/A</v>
      </c>
      <c r="C3340" s="86" t="e">
        <f>+VLOOKUP(B3340,ARTICULOS!$D$10:$I$699,6)</f>
        <v>#N/A</v>
      </c>
      <c r="D3340" s="212"/>
      <c r="E3340" s="75" t="e">
        <f t="shared" si="108"/>
        <v>#N/A</v>
      </c>
      <c r="F3340" s="80"/>
      <c r="G3340" s="81"/>
      <c r="H3340" s="78"/>
      <c r="I3340" s="78"/>
      <c r="J3340" s="78"/>
    </row>
    <row r="3341" spans="1:10" x14ac:dyDescent="0.2">
      <c r="A3341" s="84">
        <f t="shared" si="107"/>
        <v>3335</v>
      </c>
      <c r="B3341" s="85" t="e">
        <f>+MATCH(D3341,ARTICULOS!$F$10:$F$699,0)</f>
        <v>#N/A</v>
      </c>
      <c r="C3341" s="86" t="e">
        <f>+VLOOKUP(B3341,ARTICULOS!$D$10:$I$699,6)</f>
        <v>#N/A</v>
      </c>
      <c r="D3341" s="212"/>
      <c r="E3341" s="75" t="e">
        <f t="shared" si="108"/>
        <v>#N/A</v>
      </c>
      <c r="F3341" s="80"/>
      <c r="G3341" s="81"/>
      <c r="H3341" s="78"/>
      <c r="I3341" s="78"/>
      <c r="J3341" s="78"/>
    </row>
    <row r="3342" spans="1:10" x14ac:dyDescent="0.2">
      <c r="A3342" s="84">
        <f t="shared" si="107"/>
        <v>3336</v>
      </c>
      <c r="B3342" s="85" t="e">
        <f>+MATCH(D3342,ARTICULOS!$F$10:$F$699,0)</f>
        <v>#N/A</v>
      </c>
      <c r="C3342" s="86" t="e">
        <f>+VLOOKUP(B3342,ARTICULOS!$D$10:$I$699,6)</f>
        <v>#N/A</v>
      </c>
      <c r="D3342" s="212"/>
      <c r="E3342" s="75" t="e">
        <f t="shared" si="108"/>
        <v>#N/A</v>
      </c>
      <c r="F3342" s="80"/>
      <c r="G3342" s="81"/>
      <c r="H3342" s="78"/>
      <c r="I3342" s="78"/>
      <c r="J3342" s="78"/>
    </row>
    <row r="3343" spans="1:10" x14ac:dyDescent="0.2">
      <c r="A3343" s="84">
        <f t="shared" si="107"/>
        <v>3337</v>
      </c>
      <c r="B3343" s="85" t="e">
        <f>+MATCH(D3343,ARTICULOS!$F$10:$F$699,0)</f>
        <v>#N/A</v>
      </c>
      <c r="C3343" s="86" t="e">
        <f>+VLOOKUP(B3343,ARTICULOS!$D$10:$I$699,6)</f>
        <v>#N/A</v>
      </c>
      <c r="D3343" s="212"/>
      <c r="E3343" s="75" t="e">
        <f t="shared" si="108"/>
        <v>#N/A</v>
      </c>
      <c r="F3343" s="80"/>
      <c r="G3343" s="81"/>
      <c r="H3343" s="78"/>
      <c r="I3343" s="78"/>
      <c r="J3343" s="78"/>
    </row>
    <row r="3344" spans="1:10" x14ac:dyDescent="0.2">
      <c r="A3344" s="84">
        <f t="shared" si="107"/>
        <v>3338</v>
      </c>
      <c r="B3344" s="85" t="e">
        <f>+MATCH(D3344,ARTICULOS!$F$10:$F$699,0)</f>
        <v>#N/A</v>
      </c>
      <c r="C3344" s="86" t="e">
        <f>+VLOOKUP(B3344,ARTICULOS!$D$10:$I$699,6)</f>
        <v>#N/A</v>
      </c>
      <c r="D3344" s="212"/>
      <c r="E3344" s="75" t="e">
        <f t="shared" si="108"/>
        <v>#N/A</v>
      </c>
      <c r="F3344" s="80"/>
      <c r="G3344" s="81"/>
      <c r="H3344" s="78"/>
      <c r="I3344" s="78"/>
      <c r="J3344" s="78"/>
    </row>
    <row r="3345" spans="1:10" x14ac:dyDescent="0.2">
      <c r="A3345" s="84">
        <f t="shared" si="107"/>
        <v>3339</v>
      </c>
      <c r="B3345" s="85" t="e">
        <f>+MATCH(D3345,ARTICULOS!$F$10:$F$699,0)</f>
        <v>#N/A</v>
      </c>
      <c r="C3345" s="86" t="e">
        <f>+VLOOKUP(B3345,ARTICULOS!$D$10:$I$699,6)</f>
        <v>#N/A</v>
      </c>
      <c r="D3345" s="212"/>
      <c r="E3345" s="75" t="e">
        <f t="shared" si="108"/>
        <v>#N/A</v>
      </c>
      <c r="F3345" s="80"/>
      <c r="G3345" s="81"/>
      <c r="H3345" s="78"/>
      <c r="I3345" s="78"/>
      <c r="J3345" s="78"/>
    </row>
    <row r="3346" spans="1:10" x14ac:dyDescent="0.2">
      <c r="A3346" s="84">
        <f t="shared" si="107"/>
        <v>3340</v>
      </c>
      <c r="B3346" s="85" t="e">
        <f>+MATCH(D3346,ARTICULOS!$F$10:$F$699,0)</f>
        <v>#N/A</v>
      </c>
      <c r="C3346" s="86" t="e">
        <f>+VLOOKUP(B3346,ARTICULOS!$D$10:$I$699,6)</f>
        <v>#N/A</v>
      </c>
      <c r="D3346" s="212"/>
      <c r="E3346" s="75" t="e">
        <f t="shared" si="108"/>
        <v>#N/A</v>
      </c>
      <c r="F3346" s="80"/>
      <c r="G3346" s="81"/>
      <c r="H3346" s="78"/>
      <c r="I3346" s="78"/>
      <c r="J3346" s="78"/>
    </row>
    <row r="3347" spans="1:10" x14ac:dyDescent="0.2">
      <c r="A3347" s="84">
        <f t="shared" si="107"/>
        <v>3341</v>
      </c>
      <c r="B3347" s="85" t="e">
        <f>+MATCH(D3347,ARTICULOS!$F$10:$F$699,0)</f>
        <v>#N/A</v>
      </c>
      <c r="C3347" s="86" t="e">
        <f>+VLOOKUP(B3347,ARTICULOS!$D$10:$I$699,6)</f>
        <v>#N/A</v>
      </c>
      <c r="D3347" s="212"/>
      <c r="E3347" s="75" t="e">
        <f t="shared" si="108"/>
        <v>#N/A</v>
      </c>
      <c r="F3347" s="80"/>
      <c r="G3347" s="81"/>
      <c r="H3347" s="78"/>
      <c r="I3347" s="78"/>
      <c r="J3347" s="78"/>
    </row>
    <row r="3348" spans="1:10" x14ac:dyDescent="0.2">
      <c r="A3348" s="84">
        <f t="shared" si="107"/>
        <v>3342</v>
      </c>
      <c r="B3348" s="85" t="e">
        <f>+MATCH(D3348,ARTICULOS!$F$10:$F$699,0)</f>
        <v>#N/A</v>
      </c>
      <c r="C3348" s="86" t="e">
        <f>+VLOOKUP(B3348,ARTICULOS!$D$10:$I$699,6)</f>
        <v>#N/A</v>
      </c>
      <c r="D3348" s="212"/>
      <c r="E3348" s="75" t="e">
        <f t="shared" si="108"/>
        <v>#N/A</v>
      </c>
      <c r="F3348" s="80"/>
      <c r="G3348" s="81"/>
      <c r="H3348" s="78"/>
      <c r="I3348" s="78"/>
      <c r="J3348" s="78"/>
    </row>
    <row r="3349" spans="1:10" x14ac:dyDescent="0.2">
      <c r="A3349" s="84">
        <f t="shared" si="107"/>
        <v>3343</v>
      </c>
      <c r="B3349" s="85" t="e">
        <f>+MATCH(D3349,ARTICULOS!$F$10:$F$699,0)</f>
        <v>#N/A</v>
      </c>
      <c r="C3349" s="86" t="e">
        <f>+VLOOKUP(B3349,ARTICULOS!$D$10:$I$699,6)</f>
        <v>#N/A</v>
      </c>
      <c r="D3349" s="212"/>
      <c r="E3349" s="75" t="e">
        <f t="shared" si="108"/>
        <v>#N/A</v>
      </c>
      <c r="F3349" s="80"/>
      <c r="G3349" s="81"/>
      <c r="H3349" s="78"/>
      <c r="I3349" s="78"/>
      <c r="J3349" s="78"/>
    </row>
    <row r="3350" spans="1:10" x14ac:dyDescent="0.2">
      <c r="A3350" s="84">
        <f t="shared" si="107"/>
        <v>3344</v>
      </c>
      <c r="B3350" s="85" t="e">
        <f>+MATCH(D3350,ARTICULOS!$F$10:$F$699,0)</f>
        <v>#N/A</v>
      </c>
      <c r="C3350" s="86" t="e">
        <f>+VLOOKUP(B3350,ARTICULOS!$D$10:$I$699,6)</f>
        <v>#N/A</v>
      </c>
      <c r="D3350" s="212"/>
      <c r="E3350" s="75" t="e">
        <f t="shared" si="108"/>
        <v>#N/A</v>
      </c>
      <c r="F3350" s="80"/>
      <c r="G3350" s="81"/>
      <c r="H3350" s="78"/>
      <c r="I3350" s="78"/>
      <c r="J3350" s="78"/>
    </row>
    <row r="3351" spans="1:10" x14ac:dyDescent="0.2">
      <c r="A3351" s="84">
        <f t="shared" si="107"/>
        <v>3345</v>
      </c>
      <c r="B3351" s="85" t="e">
        <f>+MATCH(D3351,ARTICULOS!$F$10:$F$699,0)</f>
        <v>#N/A</v>
      </c>
      <c r="C3351" s="86" t="e">
        <f>+VLOOKUP(B3351,ARTICULOS!$D$10:$I$699,6)</f>
        <v>#N/A</v>
      </c>
      <c r="D3351" s="212"/>
      <c r="E3351" s="75" t="e">
        <f t="shared" si="108"/>
        <v>#N/A</v>
      </c>
      <c r="F3351" s="80"/>
      <c r="G3351" s="81"/>
      <c r="H3351" s="78"/>
      <c r="I3351" s="78"/>
      <c r="J3351" s="78"/>
    </row>
    <row r="3352" spans="1:10" x14ac:dyDescent="0.2">
      <c r="A3352" s="84">
        <f t="shared" si="107"/>
        <v>3346</v>
      </c>
      <c r="B3352" s="85" t="e">
        <f>+MATCH(D3352,ARTICULOS!$F$10:$F$699,0)</f>
        <v>#N/A</v>
      </c>
      <c r="C3352" s="86" t="e">
        <f>+VLOOKUP(B3352,ARTICULOS!$D$10:$I$699,6)</f>
        <v>#N/A</v>
      </c>
      <c r="D3352" s="212"/>
      <c r="E3352" s="75" t="e">
        <f t="shared" si="108"/>
        <v>#N/A</v>
      </c>
      <c r="F3352" s="80"/>
      <c r="G3352" s="81"/>
      <c r="H3352" s="78"/>
      <c r="I3352" s="78"/>
      <c r="J3352" s="78"/>
    </row>
    <row r="3353" spans="1:10" x14ac:dyDescent="0.2">
      <c r="A3353" s="84">
        <f t="shared" si="107"/>
        <v>3347</v>
      </c>
      <c r="B3353" s="85" t="e">
        <f>+MATCH(D3353,ARTICULOS!$F$10:$F$699,0)</f>
        <v>#N/A</v>
      </c>
      <c r="C3353" s="86" t="e">
        <f>+VLOOKUP(B3353,ARTICULOS!$D$10:$I$699,6)</f>
        <v>#N/A</v>
      </c>
      <c r="D3353" s="212"/>
      <c r="E3353" s="75" t="e">
        <f t="shared" si="108"/>
        <v>#N/A</v>
      </c>
      <c r="F3353" s="80"/>
      <c r="G3353" s="81"/>
      <c r="H3353" s="78"/>
      <c r="I3353" s="78"/>
      <c r="J3353" s="78"/>
    </row>
    <row r="3354" spans="1:10" x14ac:dyDescent="0.2">
      <c r="A3354" s="84">
        <f t="shared" si="107"/>
        <v>3348</v>
      </c>
      <c r="B3354" s="85" t="e">
        <f>+MATCH(D3354,ARTICULOS!$F$10:$F$699,0)</f>
        <v>#N/A</v>
      </c>
      <c r="C3354" s="86" t="e">
        <f>+VLOOKUP(B3354,ARTICULOS!$D$10:$I$699,6)</f>
        <v>#N/A</v>
      </c>
      <c r="D3354" s="212"/>
      <c r="E3354" s="75" t="e">
        <f t="shared" si="108"/>
        <v>#N/A</v>
      </c>
      <c r="F3354" s="80"/>
      <c r="G3354" s="81"/>
      <c r="H3354" s="78"/>
      <c r="I3354" s="78"/>
      <c r="J3354" s="78"/>
    </row>
    <row r="3355" spans="1:10" x14ac:dyDescent="0.2">
      <c r="A3355" s="84">
        <f t="shared" si="107"/>
        <v>3349</v>
      </c>
      <c r="B3355" s="85" t="e">
        <f>+MATCH(D3355,ARTICULOS!$F$10:$F$699,0)</f>
        <v>#N/A</v>
      </c>
      <c r="C3355" s="86" t="e">
        <f>+VLOOKUP(B3355,ARTICULOS!$D$10:$I$699,6)</f>
        <v>#N/A</v>
      </c>
      <c r="D3355" s="212"/>
      <c r="E3355" s="75" t="e">
        <f t="shared" si="108"/>
        <v>#N/A</v>
      </c>
      <c r="F3355" s="80"/>
      <c r="G3355" s="81"/>
      <c r="H3355" s="78"/>
      <c r="I3355" s="78"/>
      <c r="J3355" s="78"/>
    </row>
    <row r="3356" spans="1:10" x14ac:dyDescent="0.2">
      <c r="A3356" s="84">
        <f t="shared" si="107"/>
        <v>3350</v>
      </c>
      <c r="B3356" s="85" t="e">
        <f>+MATCH(D3356,ARTICULOS!$F$10:$F$699,0)</f>
        <v>#N/A</v>
      </c>
      <c r="C3356" s="86" t="e">
        <f>+VLOOKUP(B3356,ARTICULOS!$D$10:$I$699,6)</f>
        <v>#N/A</v>
      </c>
      <c r="D3356" s="212"/>
      <c r="E3356" s="75" t="e">
        <f t="shared" si="108"/>
        <v>#N/A</v>
      </c>
      <c r="F3356" s="80"/>
      <c r="G3356" s="81"/>
      <c r="H3356" s="78"/>
      <c r="I3356" s="78"/>
      <c r="J3356" s="78"/>
    </row>
    <row r="3357" spans="1:10" x14ac:dyDescent="0.2">
      <c r="A3357" s="84">
        <f t="shared" si="107"/>
        <v>3351</v>
      </c>
      <c r="B3357" s="85" t="e">
        <f>+MATCH(D3357,ARTICULOS!$F$10:$F$699,0)</f>
        <v>#N/A</v>
      </c>
      <c r="C3357" s="86" t="e">
        <f>+VLOOKUP(B3357,ARTICULOS!$D$10:$I$699,6)</f>
        <v>#N/A</v>
      </c>
      <c r="D3357" s="212"/>
      <c r="E3357" s="75" t="e">
        <f t="shared" si="108"/>
        <v>#N/A</v>
      </c>
      <c r="F3357" s="80"/>
      <c r="G3357" s="81"/>
      <c r="H3357" s="78"/>
      <c r="I3357" s="78"/>
      <c r="J3357" s="78"/>
    </row>
    <row r="3358" spans="1:10" x14ac:dyDescent="0.2">
      <c r="A3358" s="84">
        <f t="shared" si="107"/>
        <v>3352</v>
      </c>
      <c r="B3358" s="85" t="e">
        <f>+MATCH(D3358,ARTICULOS!$F$10:$F$699,0)</f>
        <v>#N/A</v>
      </c>
      <c r="C3358" s="86" t="e">
        <f>+VLOOKUP(B3358,ARTICULOS!$D$10:$I$699,6)</f>
        <v>#N/A</v>
      </c>
      <c r="D3358" s="212"/>
      <c r="E3358" s="75" t="e">
        <f t="shared" si="108"/>
        <v>#N/A</v>
      </c>
      <c r="F3358" s="80"/>
      <c r="G3358" s="81"/>
      <c r="H3358" s="78"/>
      <c r="I3358" s="78"/>
      <c r="J3358" s="78"/>
    </row>
    <row r="3359" spans="1:10" x14ac:dyDescent="0.2">
      <c r="A3359" s="84">
        <f t="shared" si="107"/>
        <v>3353</v>
      </c>
      <c r="B3359" s="85" t="e">
        <f>+MATCH(D3359,ARTICULOS!$F$10:$F$699,0)</f>
        <v>#N/A</v>
      </c>
      <c r="C3359" s="86" t="e">
        <f>+VLOOKUP(B3359,ARTICULOS!$D$10:$I$699,6)</f>
        <v>#N/A</v>
      </c>
      <c r="D3359" s="212"/>
      <c r="E3359" s="75" t="e">
        <f t="shared" si="108"/>
        <v>#N/A</v>
      </c>
      <c r="F3359" s="80"/>
      <c r="G3359" s="81"/>
      <c r="H3359" s="78"/>
      <c r="I3359" s="78"/>
      <c r="J3359" s="78"/>
    </row>
    <row r="3360" spans="1:10" x14ac:dyDescent="0.2">
      <c r="A3360" s="84">
        <f t="shared" si="107"/>
        <v>3354</v>
      </c>
      <c r="B3360" s="85" t="e">
        <f>+MATCH(D3360,ARTICULOS!$F$10:$F$699,0)</f>
        <v>#N/A</v>
      </c>
      <c r="C3360" s="86" t="e">
        <f>+VLOOKUP(B3360,ARTICULOS!$D$10:$I$699,6)</f>
        <v>#N/A</v>
      </c>
      <c r="D3360" s="212"/>
      <c r="E3360" s="75" t="e">
        <f t="shared" si="108"/>
        <v>#N/A</v>
      </c>
      <c r="F3360" s="80"/>
      <c r="G3360" s="81"/>
      <c r="H3360" s="78"/>
      <c r="I3360" s="78"/>
      <c r="J3360" s="78"/>
    </row>
    <row r="3361" spans="1:10" x14ac:dyDescent="0.2">
      <c r="A3361" s="84">
        <f t="shared" si="107"/>
        <v>3355</v>
      </c>
      <c r="B3361" s="85" t="e">
        <f>+MATCH(D3361,ARTICULOS!$F$10:$F$699,0)</f>
        <v>#N/A</v>
      </c>
      <c r="C3361" s="86" t="e">
        <f>+VLOOKUP(B3361,ARTICULOS!$D$10:$I$699,6)</f>
        <v>#N/A</v>
      </c>
      <c r="D3361" s="212"/>
      <c r="E3361" s="75" t="e">
        <f t="shared" si="108"/>
        <v>#N/A</v>
      </c>
      <c r="F3361" s="80"/>
      <c r="G3361" s="81"/>
      <c r="H3361" s="78"/>
      <c r="I3361" s="78"/>
      <c r="J3361" s="78"/>
    </row>
    <row r="3362" spans="1:10" x14ac:dyDescent="0.2">
      <c r="A3362" s="84">
        <f t="shared" si="107"/>
        <v>3356</v>
      </c>
      <c r="B3362" s="85" t="e">
        <f>+MATCH(D3362,ARTICULOS!$F$10:$F$699,0)</f>
        <v>#N/A</v>
      </c>
      <c r="C3362" s="86" t="e">
        <f>+VLOOKUP(B3362,ARTICULOS!$D$10:$I$699,6)</f>
        <v>#N/A</v>
      </c>
      <c r="D3362" s="212"/>
      <c r="E3362" s="75" t="e">
        <f t="shared" si="108"/>
        <v>#N/A</v>
      </c>
      <c r="F3362" s="80"/>
      <c r="G3362" s="81"/>
      <c r="H3362" s="78"/>
      <c r="I3362" s="78"/>
      <c r="J3362" s="78"/>
    </row>
    <row r="3363" spans="1:10" x14ac:dyDescent="0.2">
      <c r="A3363" s="84">
        <f t="shared" si="107"/>
        <v>3357</v>
      </c>
      <c r="B3363" s="85" t="e">
        <f>+MATCH(D3363,ARTICULOS!$F$10:$F$699,0)</f>
        <v>#N/A</v>
      </c>
      <c r="C3363" s="86" t="e">
        <f>+VLOOKUP(B3363,ARTICULOS!$D$10:$I$699,6)</f>
        <v>#N/A</v>
      </c>
      <c r="D3363" s="212"/>
      <c r="E3363" s="75" t="e">
        <f t="shared" si="108"/>
        <v>#N/A</v>
      </c>
      <c r="F3363" s="80"/>
      <c r="G3363" s="81"/>
      <c r="H3363" s="78"/>
      <c r="I3363" s="78"/>
      <c r="J3363" s="78"/>
    </row>
    <row r="3364" spans="1:10" x14ac:dyDescent="0.2">
      <c r="A3364" s="84">
        <f t="shared" si="107"/>
        <v>3358</v>
      </c>
      <c r="B3364" s="85" t="e">
        <f>+MATCH(D3364,ARTICULOS!$F$10:$F$699,0)</f>
        <v>#N/A</v>
      </c>
      <c r="C3364" s="86" t="e">
        <f>+VLOOKUP(B3364,ARTICULOS!$D$10:$I$699,6)</f>
        <v>#N/A</v>
      </c>
      <c r="D3364" s="212"/>
      <c r="E3364" s="75" t="e">
        <f t="shared" si="108"/>
        <v>#N/A</v>
      </c>
      <c r="F3364" s="80"/>
      <c r="G3364" s="81"/>
      <c r="H3364" s="78"/>
      <c r="I3364" s="78"/>
      <c r="J3364" s="78"/>
    </row>
    <row r="3365" spans="1:10" x14ac:dyDescent="0.2">
      <c r="A3365" s="84">
        <f t="shared" si="107"/>
        <v>3359</v>
      </c>
      <c r="B3365" s="85" t="e">
        <f>+MATCH(D3365,ARTICULOS!$F$10:$F$699,0)</f>
        <v>#N/A</v>
      </c>
      <c r="C3365" s="86" t="e">
        <f>+VLOOKUP(B3365,ARTICULOS!$D$10:$I$699,6)</f>
        <v>#N/A</v>
      </c>
      <c r="D3365" s="212"/>
      <c r="E3365" s="75" t="e">
        <f t="shared" si="108"/>
        <v>#N/A</v>
      </c>
      <c r="F3365" s="80"/>
      <c r="G3365" s="81"/>
      <c r="H3365" s="78"/>
      <c r="I3365" s="78"/>
      <c r="J3365" s="78"/>
    </row>
    <row r="3366" spans="1:10" x14ac:dyDescent="0.2">
      <c r="A3366" s="84">
        <f t="shared" si="107"/>
        <v>3360</v>
      </c>
      <c r="B3366" s="85" t="e">
        <f>+MATCH(D3366,ARTICULOS!$F$10:$F$699,0)</f>
        <v>#N/A</v>
      </c>
      <c r="C3366" s="86" t="e">
        <f>+VLOOKUP(B3366,ARTICULOS!$D$10:$I$699,6)</f>
        <v>#N/A</v>
      </c>
      <c r="D3366" s="212"/>
      <c r="E3366" s="75" t="e">
        <f t="shared" si="108"/>
        <v>#N/A</v>
      </c>
      <c r="F3366" s="80"/>
      <c r="G3366" s="81"/>
      <c r="H3366" s="78"/>
      <c r="I3366" s="78"/>
      <c r="J3366" s="78"/>
    </row>
    <row r="3367" spans="1:10" x14ac:dyDescent="0.2">
      <c r="A3367" s="84">
        <f t="shared" si="107"/>
        <v>3361</v>
      </c>
      <c r="B3367" s="85" t="e">
        <f>+MATCH(D3367,ARTICULOS!$F$10:$F$699,0)</f>
        <v>#N/A</v>
      </c>
      <c r="C3367" s="86" t="e">
        <f>+VLOOKUP(B3367,ARTICULOS!$D$10:$I$699,6)</f>
        <v>#N/A</v>
      </c>
      <c r="D3367" s="212"/>
      <c r="E3367" s="75" t="e">
        <f t="shared" si="108"/>
        <v>#N/A</v>
      </c>
      <c r="F3367" s="80"/>
      <c r="G3367" s="81"/>
      <c r="H3367" s="78"/>
      <c r="I3367" s="78"/>
      <c r="J3367" s="78"/>
    </row>
    <row r="3368" spans="1:10" x14ac:dyDescent="0.2">
      <c r="A3368" s="84">
        <f t="shared" si="107"/>
        <v>3362</v>
      </c>
      <c r="B3368" s="85" t="e">
        <f>+MATCH(D3368,ARTICULOS!$F$10:$F$699,0)</f>
        <v>#N/A</v>
      </c>
      <c r="C3368" s="86" t="e">
        <f>+VLOOKUP(B3368,ARTICULOS!$D$10:$I$699,6)</f>
        <v>#N/A</v>
      </c>
      <c r="D3368" s="212"/>
      <c r="E3368" s="75" t="e">
        <f t="shared" si="108"/>
        <v>#N/A</v>
      </c>
      <c r="F3368" s="80"/>
      <c r="G3368" s="81"/>
      <c r="H3368" s="78"/>
      <c r="I3368" s="78"/>
      <c r="J3368" s="78"/>
    </row>
    <row r="3369" spans="1:10" x14ac:dyDescent="0.2">
      <c r="A3369" s="84">
        <f t="shared" ref="A3369:A3432" si="109">ROW()-6</f>
        <v>3363</v>
      </c>
      <c r="B3369" s="85" t="e">
        <f>+MATCH(D3369,ARTICULOS!$F$10:$F$699,0)</f>
        <v>#N/A</v>
      </c>
      <c r="C3369" s="86" t="e">
        <f>+VLOOKUP(B3369,ARTICULOS!$D$10:$I$699,6)</f>
        <v>#N/A</v>
      </c>
      <c r="D3369" s="212"/>
      <c r="E3369" s="75" t="e">
        <f t="shared" si="108"/>
        <v>#N/A</v>
      </c>
      <c r="F3369" s="80"/>
      <c r="G3369" s="81"/>
      <c r="H3369" s="78"/>
      <c r="I3369" s="78"/>
      <c r="J3369" s="78"/>
    </row>
    <row r="3370" spans="1:10" x14ac:dyDescent="0.2">
      <c r="A3370" s="84">
        <f t="shared" si="109"/>
        <v>3364</v>
      </c>
      <c r="B3370" s="85" t="e">
        <f>+MATCH(D3370,ARTICULOS!$F$10:$F$699,0)</f>
        <v>#N/A</v>
      </c>
      <c r="C3370" s="86" t="e">
        <f>+VLOOKUP(B3370,ARTICULOS!$D$10:$I$699,6)</f>
        <v>#N/A</v>
      </c>
      <c r="D3370" s="212"/>
      <c r="E3370" s="75" t="e">
        <f t="shared" si="108"/>
        <v>#N/A</v>
      </c>
      <c r="F3370" s="80"/>
      <c r="G3370" s="81"/>
      <c r="H3370" s="78"/>
      <c r="I3370" s="78"/>
      <c r="J3370" s="78"/>
    </row>
    <row r="3371" spans="1:10" x14ac:dyDescent="0.2">
      <c r="A3371" s="84">
        <f t="shared" si="109"/>
        <v>3365</v>
      </c>
      <c r="B3371" s="85" t="e">
        <f>+MATCH(D3371,ARTICULOS!$F$10:$F$699,0)</f>
        <v>#N/A</v>
      </c>
      <c r="C3371" s="86" t="e">
        <f>+VLOOKUP(B3371,ARTICULOS!$D$10:$I$699,6)</f>
        <v>#N/A</v>
      </c>
      <c r="D3371" s="212"/>
      <c r="E3371" s="75" t="e">
        <f t="shared" si="108"/>
        <v>#N/A</v>
      </c>
      <c r="F3371" s="80"/>
      <c r="G3371" s="81"/>
      <c r="H3371" s="78"/>
      <c r="I3371" s="78"/>
      <c r="J3371" s="78"/>
    </row>
    <row r="3372" spans="1:10" x14ac:dyDescent="0.2">
      <c r="A3372" s="84">
        <f t="shared" si="109"/>
        <v>3366</v>
      </c>
      <c r="B3372" s="85" t="e">
        <f>+MATCH(D3372,ARTICULOS!$F$10:$F$699,0)</f>
        <v>#N/A</v>
      </c>
      <c r="C3372" s="86" t="e">
        <f>+VLOOKUP(B3372,ARTICULOS!$D$10:$I$699,6)</f>
        <v>#N/A</v>
      </c>
      <c r="D3372" s="212"/>
      <c r="E3372" s="75" t="e">
        <f t="shared" si="108"/>
        <v>#N/A</v>
      </c>
      <c r="F3372" s="80"/>
      <c r="G3372" s="81"/>
      <c r="H3372" s="78"/>
      <c r="I3372" s="78"/>
      <c r="J3372" s="78"/>
    </row>
    <row r="3373" spans="1:10" x14ac:dyDescent="0.2">
      <c r="A3373" s="84">
        <f t="shared" si="109"/>
        <v>3367</v>
      </c>
      <c r="B3373" s="85" t="e">
        <f>+MATCH(D3373,ARTICULOS!$F$10:$F$699,0)</f>
        <v>#N/A</v>
      </c>
      <c r="C3373" s="86" t="e">
        <f>+VLOOKUP(B3373,ARTICULOS!$D$10:$I$699,6)</f>
        <v>#N/A</v>
      </c>
      <c r="D3373" s="212"/>
      <c r="E3373" s="75" t="e">
        <f t="shared" si="108"/>
        <v>#N/A</v>
      </c>
      <c r="F3373" s="80"/>
      <c r="G3373" s="81"/>
      <c r="H3373" s="78"/>
      <c r="I3373" s="78"/>
      <c r="J3373" s="78"/>
    </row>
    <row r="3374" spans="1:10" x14ac:dyDescent="0.2">
      <c r="A3374" s="84">
        <f t="shared" si="109"/>
        <v>3368</v>
      </c>
      <c r="B3374" s="85" t="e">
        <f>+MATCH(D3374,ARTICULOS!$F$10:$F$699,0)</f>
        <v>#N/A</v>
      </c>
      <c r="C3374" s="86" t="e">
        <f>+VLOOKUP(B3374,ARTICULOS!$D$10:$I$699,6)</f>
        <v>#N/A</v>
      </c>
      <c r="D3374" s="212"/>
      <c r="E3374" s="75" t="e">
        <f t="shared" si="108"/>
        <v>#N/A</v>
      </c>
      <c r="F3374" s="80"/>
      <c r="G3374" s="81"/>
      <c r="H3374" s="78"/>
      <c r="I3374" s="78"/>
      <c r="J3374" s="78"/>
    </row>
    <row r="3375" spans="1:10" x14ac:dyDescent="0.2">
      <c r="A3375" s="84">
        <f t="shared" si="109"/>
        <v>3369</v>
      </c>
      <c r="B3375" s="85" t="e">
        <f>+MATCH(D3375,ARTICULOS!$F$10:$F$699,0)</f>
        <v>#N/A</v>
      </c>
      <c r="C3375" s="86" t="e">
        <f>+VLOOKUP(B3375,ARTICULOS!$D$10:$I$699,6)</f>
        <v>#N/A</v>
      </c>
      <c r="D3375" s="212"/>
      <c r="E3375" s="75" t="e">
        <f t="shared" si="108"/>
        <v>#N/A</v>
      </c>
      <c r="F3375" s="80"/>
      <c r="G3375" s="81"/>
      <c r="H3375" s="78"/>
      <c r="I3375" s="78"/>
      <c r="J3375" s="78"/>
    </row>
    <row r="3376" spans="1:10" x14ac:dyDescent="0.2">
      <c r="A3376" s="84">
        <f t="shared" si="109"/>
        <v>3370</v>
      </c>
      <c r="B3376" s="85" t="e">
        <f>+MATCH(D3376,ARTICULOS!$F$10:$F$699,0)</f>
        <v>#N/A</v>
      </c>
      <c r="C3376" s="86" t="e">
        <f>+VLOOKUP(B3376,ARTICULOS!$D$10:$I$699,6)</f>
        <v>#N/A</v>
      </c>
      <c r="D3376" s="212"/>
      <c r="E3376" s="75" t="e">
        <f t="shared" si="108"/>
        <v>#N/A</v>
      </c>
      <c r="F3376" s="80"/>
      <c r="G3376" s="81"/>
      <c r="H3376" s="78"/>
      <c r="I3376" s="78"/>
      <c r="J3376" s="78"/>
    </row>
    <row r="3377" spans="1:10" x14ac:dyDescent="0.2">
      <c r="A3377" s="84">
        <f t="shared" si="109"/>
        <v>3371</v>
      </c>
      <c r="B3377" s="85" t="e">
        <f>+MATCH(D3377,ARTICULOS!$F$10:$F$699,0)</f>
        <v>#N/A</v>
      </c>
      <c r="C3377" s="86" t="e">
        <f>+VLOOKUP(B3377,ARTICULOS!$D$10:$I$699,6)</f>
        <v>#N/A</v>
      </c>
      <c r="D3377" s="212"/>
      <c r="E3377" s="75" t="e">
        <f t="shared" si="108"/>
        <v>#N/A</v>
      </c>
      <c r="F3377" s="80"/>
      <c r="G3377" s="81"/>
      <c r="H3377" s="78"/>
      <c r="I3377" s="78"/>
      <c r="J3377" s="78"/>
    </row>
    <row r="3378" spans="1:10" x14ac:dyDescent="0.2">
      <c r="A3378" s="84">
        <f t="shared" si="109"/>
        <v>3372</v>
      </c>
      <c r="B3378" s="85" t="e">
        <f>+MATCH(D3378,ARTICULOS!$F$10:$F$699,0)</f>
        <v>#N/A</v>
      </c>
      <c r="C3378" s="86" t="e">
        <f>+VLOOKUP(B3378,ARTICULOS!$D$10:$I$699,6)</f>
        <v>#N/A</v>
      </c>
      <c r="D3378" s="212"/>
      <c r="E3378" s="75" t="e">
        <f t="shared" si="108"/>
        <v>#N/A</v>
      </c>
      <c r="F3378" s="80"/>
      <c r="G3378" s="81"/>
      <c r="H3378" s="78"/>
      <c r="I3378" s="78"/>
      <c r="J3378" s="78"/>
    </row>
    <row r="3379" spans="1:10" x14ac:dyDescent="0.2">
      <c r="A3379" s="84">
        <f t="shared" si="109"/>
        <v>3373</v>
      </c>
      <c r="B3379" s="85" t="e">
        <f>+MATCH(D3379,ARTICULOS!$F$10:$F$699,0)</f>
        <v>#N/A</v>
      </c>
      <c r="C3379" s="86" t="e">
        <f>+VLOOKUP(B3379,ARTICULOS!$D$10:$I$699,6)</f>
        <v>#N/A</v>
      </c>
      <c r="D3379" s="212"/>
      <c r="E3379" s="75" t="e">
        <f t="shared" si="108"/>
        <v>#N/A</v>
      </c>
      <c r="F3379" s="80"/>
      <c r="G3379" s="81"/>
      <c r="H3379" s="78"/>
      <c r="I3379" s="78"/>
      <c r="J3379" s="78"/>
    </row>
    <row r="3380" spans="1:10" x14ac:dyDescent="0.2">
      <c r="A3380" s="84">
        <f t="shared" si="109"/>
        <v>3374</v>
      </c>
      <c r="B3380" s="85" t="e">
        <f>+MATCH(D3380,ARTICULOS!$F$10:$F$699,0)</f>
        <v>#N/A</v>
      </c>
      <c r="C3380" s="86" t="e">
        <f>+VLOOKUP(B3380,ARTICULOS!$D$10:$I$699,6)</f>
        <v>#N/A</v>
      </c>
      <c r="D3380" s="212"/>
      <c r="E3380" s="75" t="e">
        <f t="shared" si="108"/>
        <v>#N/A</v>
      </c>
      <c r="F3380" s="80"/>
      <c r="G3380" s="81"/>
      <c r="H3380" s="78"/>
      <c r="I3380" s="78"/>
      <c r="J3380" s="78"/>
    </row>
    <row r="3381" spans="1:10" x14ac:dyDescent="0.2">
      <c r="A3381" s="84">
        <f t="shared" si="109"/>
        <v>3375</v>
      </c>
      <c r="B3381" s="85" t="e">
        <f>+MATCH(D3381,ARTICULOS!$F$10:$F$699,0)</f>
        <v>#N/A</v>
      </c>
      <c r="C3381" s="86" t="e">
        <f>+VLOOKUP(B3381,ARTICULOS!$D$10:$I$699,6)</f>
        <v>#N/A</v>
      </c>
      <c r="D3381" s="212"/>
      <c r="E3381" s="75" t="e">
        <f t="shared" si="108"/>
        <v>#N/A</v>
      </c>
      <c r="F3381" s="80"/>
      <c r="G3381" s="81"/>
      <c r="H3381" s="78"/>
      <c r="I3381" s="78"/>
      <c r="J3381" s="78"/>
    </row>
    <row r="3382" spans="1:10" x14ac:dyDescent="0.2">
      <c r="A3382" s="84">
        <f t="shared" si="109"/>
        <v>3376</v>
      </c>
      <c r="B3382" s="85" t="e">
        <f>+MATCH(D3382,ARTICULOS!$F$10:$F$699,0)</f>
        <v>#N/A</v>
      </c>
      <c r="C3382" s="86" t="e">
        <f>+VLOOKUP(B3382,ARTICULOS!$D$10:$I$699,6)</f>
        <v>#N/A</v>
      </c>
      <c r="D3382" s="212"/>
      <c r="E3382" s="75" t="e">
        <f t="shared" si="108"/>
        <v>#N/A</v>
      </c>
      <c r="F3382" s="80"/>
      <c r="G3382" s="81"/>
      <c r="H3382" s="78"/>
      <c r="I3382" s="78"/>
      <c r="J3382" s="78"/>
    </row>
    <row r="3383" spans="1:10" x14ac:dyDescent="0.2">
      <c r="A3383" s="84">
        <f t="shared" si="109"/>
        <v>3377</v>
      </c>
      <c r="B3383" s="85" t="e">
        <f>+MATCH(D3383,ARTICULOS!$F$10:$F$699,0)</f>
        <v>#N/A</v>
      </c>
      <c r="C3383" s="86" t="e">
        <f>+VLOOKUP(B3383,ARTICULOS!$D$10:$I$699,6)</f>
        <v>#N/A</v>
      </c>
      <c r="D3383" s="212"/>
      <c r="E3383" s="75" t="e">
        <f t="shared" si="108"/>
        <v>#N/A</v>
      </c>
      <c r="F3383" s="80"/>
      <c r="G3383" s="81"/>
      <c r="H3383" s="78"/>
      <c r="I3383" s="78"/>
      <c r="J3383" s="78"/>
    </row>
    <row r="3384" spans="1:10" x14ac:dyDescent="0.2">
      <c r="A3384" s="84">
        <f t="shared" si="109"/>
        <v>3378</v>
      </c>
      <c r="B3384" s="85" t="e">
        <f>+MATCH(D3384,ARTICULOS!$F$10:$F$699,0)</f>
        <v>#N/A</v>
      </c>
      <c r="C3384" s="86" t="e">
        <f>+VLOOKUP(B3384,ARTICULOS!$D$10:$I$699,6)</f>
        <v>#N/A</v>
      </c>
      <c r="D3384" s="212"/>
      <c r="E3384" s="75" t="e">
        <f t="shared" si="108"/>
        <v>#N/A</v>
      </c>
      <c r="F3384" s="80"/>
      <c r="G3384" s="81"/>
      <c r="H3384" s="78"/>
      <c r="I3384" s="78"/>
      <c r="J3384" s="78"/>
    </row>
    <row r="3385" spans="1:10" x14ac:dyDescent="0.2">
      <c r="A3385" s="84">
        <f t="shared" si="109"/>
        <v>3379</v>
      </c>
      <c r="B3385" s="85" t="e">
        <f>+MATCH(D3385,ARTICULOS!$F$10:$F$699,0)</f>
        <v>#N/A</v>
      </c>
      <c r="C3385" s="86" t="e">
        <f>+VLOOKUP(B3385,ARTICULOS!$D$10:$I$699,6)</f>
        <v>#N/A</v>
      </c>
      <c r="D3385" s="212"/>
      <c r="E3385" s="75" t="e">
        <f t="shared" si="108"/>
        <v>#N/A</v>
      </c>
      <c r="F3385" s="80"/>
      <c r="G3385" s="81"/>
      <c r="H3385" s="78"/>
      <c r="I3385" s="78"/>
      <c r="J3385" s="78"/>
    </row>
    <row r="3386" spans="1:10" x14ac:dyDescent="0.2">
      <c r="A3386" s="84">
        <f t="shared" si="109"/>
        <v>3380</v>
      </c>
      <c r="B3386" s="85" t="e">
        <f>+MATCH(D3386,ARTICULOS!$F$10:$F$699,0)</f>
        <v>#N/A</v>
      </c>
      <c r="C3386" s="86" t="e">
        <f>+VLOOKUP(B3386,ARTICULOS!$D$10:$I$699,6)</f>
        <v>#N/A</v>
      </c>
      <c r="D3386" s="212"/>
      <c r="E3386" s="75" t="e">
        <f t="shared" si="108"/>
        <v>#N/A</v>
      </c>
      <c r="F3386" s="80"/>
      <c r="G3386" s="81"/>
      <c r="H3386" s="78"/>
      <c r="I3386" s="78"/>
      <c r="J3386" s="78"/>
    </row>
    <row r="3387" spans="1:10" x14ac:dyDescent="0.2">
      <c r="A3387" s="84">
        <f t="shared" si="109"/>
        <v>3381</v>
      </c>
      <c r="B3387" s="85" t="e">
        <f>+MATCH(D3387,ARTICULOS!$F$10:$F$699,0)</f>
        <v>#N/A</v>
      </c>
      <c r="C3387" s="86" t="e">
        <f>+VLOOKUP(B3387,ARTICULOS!$D$10:$I$699,6)</f>
        <v>#N/A</v>
      </c>
      <c r="D3387" s="212"/>
      <c r="E3387" s="75" t="e">
        <f t="shared" si="108"/>
        <v>#N/A</v>
      </c>
      <c r="F3387" s="80"/>
      <c r="G3387" s="81"/>
      <c r="H3387" s="78"/>
      <c r="I3387" s="78"/>
      <c r="J3387" s="78"/>
    </row>
    <row r="3388" spans="1:10" x14ac:dyDescent="0.2">
      <c r="A3388" s="84">
        <f t="shared" si="109"/>
        <v>3382</v>
      </c>
      <c r="B3388" s="85" t="e">
        <f>+MATCH(D3388,ARTICULOS!$F$10:$F$699,0)</f>
        <v>#N/A</v>
      </c>
      <c r="C3388" s="86" t="e">
        <f>+VLOOKUP(B3388,ARTICULOS!$D$10:$I$699,6)</f>
        <v>#N/A</v>
      </c>
      <c r="D3388" s="212"/>
      <c r="E3388" s="75" t="e">
        <f t="shared" si="108"/>
        <v>#N/A</v>
      </c>
      <c r="F3388" s="80"/>
      <c r="G3388" s="81"/>
      <c r="H3388" s="78"/>
      <c r="I3388" s="78"/>
      <c r="J3388" s="78"/>
    </row>
    <row r="3389" spans="1:10" x14ac:dyDescent="0.2">
      <c r="A3389" s="84">
        <f t="shared" si="109"/>
        <v>3383</v>
      </c>
      <c r="B3389" s="85" t="e">
        <f>+MATCH(D3389,ARTICULOS!$F$10:$F$699,0)</f>
        <v>#N/A</v>
      </c>
      <c r="C3389" s="86" t="e">
        <f>+VLOOKUP(B3389,ARTICULOS!$D$10:$I$699,6)</f>
        <v>#N/A</v>
      </c>
      <c r="D3389" s="212"/>
      <c r="E3389" s="75" t="e">
        <f t="shared" si="108"/>
        <v>#N/A</v>
      </c>
      <c r="F3389" s="80"/>
      <c r="G3389" s="81"/>
      <c r="H3389" s="78"/>
      <c r="I3389" s="78"/>
      <c r="J3389" s="78"/>
    </row>
    <row r="3390" spans="1:10" x14ac:dyDescent="0.2">
      <c r="A3390" s="84">
        <f t="shared" si="109"/>
        <v>3384</v>
      </c>
      <c r="B3390" s="85" t="e">
        <f>+MATCH(D3390,ARTICULOS!$F$10:$F$699,0)</f>
        <v>#N/A</v>
      </c>
      <c r="C3390" s="86" t="e">
        <f>+VLOOKUP(B3390,ARTICULOS!$D$10:$I$699,6)</f>
        <v>#N/A</v>
      </c>
      <c r="D3390" s="212"/>
      <c r="E3390" s="75" t="e">
        <f t="shared" si="108"/>
        <v>#N/A</v>
      </c>
      <c r="F3390" s="80"/>
      <c r="G3390" s="81"/>
      <c r="H3390" s="78"/>
      <c r="I3390" s="78"/>
      <c r="J3390" s="78"/>
    </row>
    <row r="3391" spans="1:10" x14ac:dyDescent="0.2">
      <c r="A3391" s="84">
        <f t="shared" si="109"/>
        <v>3385</v>
      </c>
      <c r="B3391" s="85" t="e">
        <f>+MATCH(D3391,ARTICULOS!$F$10:$F$699,0)</f>
        <v>#N/A</v>
      </c>
      <c r="C3391" s="86" t="e">
        <f>+VLOOKUP(B3391,ARTICULOS!$D$10:$I$699,6)</f>
        <v>#N/A</v>
      </c>
      <c r="D3391" s="212"/>
      <c r="E3391" s="75" t="e">
        <f t="shared" si="108"/>
        <v>#N/A</v>
      </c>
      <c r="F3391" s="80"/>
      <c r="G3391" s="81"/>
      <c r="H3391" s="78"/>
      <c r="I3391" s="78"/>
      <c r="J3391" s="78"/>
    </row>
    <row r="3392" spans="1:10" x14ac:dyDescent="0.2">
      <c r="A3392" s="84">
        <f t="shared" si="109"/>
        <v>3386</v>
      </c>
      <c r="B3392" s="85" t="e">
        <f>+MATCH(D3392,ARTICULOS!$F$10:$F$699,0)</f>
        <v>#N/A</v>
      </c>
      <c r="C3392" s="86" t="e">
        <f>+VLOOKUP(B3392,ARTICULOS!$D$10:$I$699,6)</f>
        <v>#N/A</v>
      </c>
      <c r="D3392" s="212"/>
      <c r="E3392" s="75" t="e">
        <f t="shared" si="108"/>
        <v>#N/A</v>
      </c>
      <c r="F3392" s="80"/>
      <c r="G3392" s="81"/>
      <c r="H3392" s="78"/>
      <c r="I3392" s="78"/>
      <c r="J3392" s="78"/>
    </row>
    <row r="3393" spans="1:10" x14ac:dyDescent="0.2">
      <c r="A3393" s="84">
        <f t="shared" si="109"/>
        <v>3387</v>
      </c>
      <c r="B3393" s="85" t="e">
        <f>+MATCH(D3393,ARTICULOS!$F$10:$F$699,0)</f>
        <v>#N/A</v>
      </c>
      <c r="C3393" s="86" t="e">
        <f>+VLOOKUP(B3393,ARTICULOS!$D$10:$I$699,6)</f>
        <v>#N/A</v>
      </c>
      <c r="D3393" s="212"/>
      <c r="E3393" s="75" t="e">
        <f t="shared" si="108"/>
        <v>#N/A</v>
      </c>
      <c r="F3393" s="80"/>
      <c r="G3393" s="81"/>
      <c r="H3393" s="78"/>
      <c r="I3393" s="78"/>
      <c r="J3393" s="78"/>
    </row>
    <row r="3394" spans="1:10" x14ac:dyDescent="0.2">
      <c r="A3394" s="84">
        <f t="shared" si="109"/>
        <v>3388</v>
      </c>
      <c r="B3394" s="85" t="e">
        <f>+MATCH(D3394,ARTICULOS!$F$10:$F$699,0)</f>
        <v>#N/A</v>
      </c>
      <c r="C3394" s="86" t="e">
        <f>+VLOOKUP(B3394,ARTICULOS!$D$10:$I$699,6)</f>
        <v>#N/A</v>
      </c>
      <c r="D3394" s="212"/>
      <c r="E3394" s="75" t="e">
        <f t="shared" si="108"/>
        <v>#N/A</v>
      </c>
      <c r="F3394" s="80"/>
      <c r="G3394" s="81"/>
      <c r="H3394" s="78"/>
      <c r="I3394" s="78"/>
      <c r="J3394" s="78"/>
    </row>
    <row r="3395" spans="1:10" x14ac:dyDescent="0.2">
      <c r="A3395" s="84">
        <f t="shared" si="109"/>
        <v>3389</v>
      </c>
      <c r="B3395" s="85" t="e">
        <f>+MATCH(D3395,ARTICULOS!$F$10:$F$699,0)</f>
        <v>#N/A</v>
      </c>
      <c r="C3395" s="86" t="e">
        <f>+VLOOKUP(B3395,ARTICULOS!$D$10:$I$699,6)</f>
        <v>#N/A</v>
      </c>
      <c r="D3395" s="212"/>
      <c r="E3395" s="75" t="e">
        <f t="shared" si="108"/>
        <v>#N/A</v>
      </c>
      <c r="F3395" s="80"/>
      <c r="G3395" s="81"/>
      <c r="H3395" s="78"/>
      <c r="I3395" s="78"/>
      <c r="J3395" s="78"/>
    </row>
    <row r="3396" spans="1:10" x14ac:dyDescent="0.2">
      <c r="A3396" s="84">
        <f t="shared" si="109"/>
        <v>3390</v>
      </c>
      <c r="B3396" s="85" t="e">
        <f>+MATCH(D3396,ARTICULOS!$F$10:$F$699,0)</f>
        <v>#N/A</v>
      </c>
      <c r="C3396" s="86" t="e">
        <f>+VLOOKUP(B3396,ARTICULOS!$D$10:$I$699,6)</f>
        <v>#N/A</v>
      </c>
      <c r="D3396" s="212"/>
      <c r="E3396" s="75" t="e">
        <f t="shared" si="108"/>
        <v>#N/A</v>
      </c>
      <c r="F3396" s="80"/>
      <c r="G3396" s="81"/>
      <c r="H3396" s="78"/>
      <c r="I3396" s="78"/>
      <c r="J3396" s="78"/>
    </row>
    <row r="3397" spans="1:10" x14ac:dyDescent="0.2">
      <c r="A3397" s="84">
        <f t="shared" si="109"/>
        <v>3391</v>
      </c>
      <c r="B3397" s="85" t="e">
        <f>+MATCH(D3397,ARTICULOS!$F$10:$F$699,0)</f>
        <v>#N/A</v>
      </c>
      <c r="C3397" s="86" t="e">
        <f>+VLOOKUP(B3397,ARTICULOS!$D$10:$I$699,6)</f>
        <v>#N/A</v>
      </c>
      <c r="D3397" s="212"/>
      <c r="E3397" s="75" t="e">
        <f t="shared" si="108"/>
        <v>#N/A</v>
      </c>
      <c r="F3397" s="80"/>
      <c r="G3397" s="81"/>
      <c r="H3397" s="78"/>
      <c r="I3397" s="78"/>
      <c r="J3397" s="78"/>
    </row>
    <row r="3398" spans="1:10" x14ac:dyDescent="0.2">
      <c r="A3398" s="84">
        <f t="shared" si="109"/>
        <v>3392</v>
      </c>
      <c r="B3398" s="85" t="e">
        <f>+MATCH(D3398,ARTICULOS!$F$10:$F$699,0)</f>
        <v>#N/A</v>
      </c>
      <c r="C3398" s="86" t="e">
        <f>+VLOOKUP(B3398,ARTICULOS!$D$10:$I$699,6)</f>
        <v>#N/A</v>
      </c>
      <c r="D3398" s="212"/>
      <c r="E3398" s="75" t="e">
        <f t="shared" si="108"/>
        <v>#N/A</v>
      </c>
      <c r="F3398" s="80"/>
      <c r="G3398" s="81"/>
      <c r="H3398" s="78"/>
      <c r="I3398" s="78"/>
      <c r="J3398" s="78"/>
    </row>
    <row r="3399" spans="1:10" x14ac:dyDescent="0.2">
      <c r="A3399" s="84">
        <f t="shared" si="109"/>
        <v>3393</v>
      </c>
      <c r="B3399" s="85" t="e">
        <f>+MATCH(D3399,ARTICULOS!$F$10:$F$699,0)</f>
        <v>#N/A</v>
      </c>
      <c r="C3399" s="86" t="e">
        <f>+VLOOKUP(B3399,ARTICULOS!$D$10:$I$699,6)</f>
        <v>#N/A</v>
      </c>
      <c r="D3399" s="212"/>
      <c r="E3399" s="75" t="e">
        <f t="shared" si="108"/>
        <v>#N/A</v>
      </c>
      <c r="F3399" s="80"/>
      <c r="G3399" s="81"/>
      <c r="H3399" s="78"/>
      <c r="I3399" s="78"/>
      <c r="J3399" s="78"/>
    </row>
    <row r="3400" spans="1:10" x14ac:dyDescent="0.2">
      <c r="A3400" s="84">
        <f t="shared" si="109"/>
        <v>3394</v>
      </c>
      <c r="B3400" s="85" t="e">
        <f>+MATCH(D3400,ARTICULOS!$F$10:$F$699,0)</f>
        <v>#N/A</v>
      </c>
      <c r="C3400" s="86" t="e">
        <f>+VLOOKUP(B3400,ARTICULOS!$D$10:$I$699,6)</f>
        <v>#N/A</v>
      </c>
      <c r="D3400" s="212"/>
      <c r="E3400" s="75" t="e">
        <f t="shared" si="108"/>
        <v>#N/A</v>
      </c>
      <c r="F3400" s="80"/>
      <c r="G3400" s="81"/>
      <c r="H3400" s="78"/>
      <c r="I3400" s="78"/>
      <c r="J3400" s="78"/>
    </row>
    <row r="3401" spans="1:10" x14ac:dyDescent="0.2">
      <c r="A3401" s="84">
        <f t="shared" si="109"/>
        <v>3395</v>
      </c>
      <c r="B3401" s="85" t="e">
        <f>+MATCH(D3401,ARTICULOS!$F$10:$F$699,0)</f>
        <v>#N/A</v>
      </c>
      <c r="C3401" s="86" t="e">
        <f>+VLOOKUP(B3401,ARTICULOS!$D$10:$I$699,6)</f>
        <v>#N/A</v>
      </c>
      <c r="D3401" s="212"/>
      <c r="E3401" s="75" t="e">
        <f t="shared" si="108"/>
        <v>#N/A</v>
      </c>
      <c r="F3401" s="80"/>
      <c r="G3401" s="81"/>
      <c r="H3401" s="78"/>
      <c r="I3401" s="78"/>
      <c r="J3401" s="78"/>
    </row>
    <row r="3402" spans="1:10" x14ac:dyDescent="0.2">
      <c r="A3402" s="84">
        <f t="shared" si="109"/>
        <v>3396</v>
      </c>
      <c r="B3402" s="85" t="e">
        <f>+MATCH(D3402,ARTICULOS!$F$10:$F$699,0)</f>
        <v>#N/A</v>
      </c>
      <c r="C3402" s="86" t="e">
        <f>+VLOOKUP(B3402,ARTICULOS!$D$10:$I$699,6)</f>
        <v>#N/A</v>
      </c>
      <c r="D3402" s="212"/>
      <c r="E3402" s="75" t="e">
        <f t="shared" si="108"/>
        <v>#N/A</v>
      </c>
      <c r="F3402" s="80"/>
      <c r="G3402" s="81"/>
      <c r="H3402" s="78"/>
      <c r="I3402" s="78"/>
      <c r="J3402" s="78"/>
    </row>
    <row r="3403" spans="1:10" x14ac:dyDescent="0.2">
      <c r="A3403" s="84">
        <f t="shared" si="109"/>
        <v>3397</v>
      </c>
      <c r="B3403" s="85" t="e">
        <f>+MATCH(D3403,ARTICULOS!$F$10:$F$699,0)</f>
        <v>#N/A</v>
      </c>
      <c r="C3403" s="86" t="e">
        <f>+VLOOKUP(B3403,ARTICULOS!$D$10:$I$699,6)</f>
        <v>#N/A</v>
      </c>
      <c r="D3403" s="212"/>
      <c r="E3403" s="75" t="e">
        <f t="shared" ref="E3403:E3466" si="110">+C3403&amp;F3403</f>
        <v>#N/A</v>
      </c>
      <c r="F3403" s="80"/>
      <c r="G3403" s="81"/>
      <c r="H3403" s="78"/>
      <c r="I3403" s="78"/>
      <c r="J3403" s="78"/>
    </row>
    <row r="3404" spans="1:10" x14ac:dyDescent="0.2">
      <c r="A3404" s="84">
        <f t="shared" si="109"/>
        <v>3398</v>
      </c>
      <c r="B3404" s="85" t="e">
        <f>+MATCH(D3404,ARTICULOS!$F$10:$F$699,0)</f>
        <v>#N/A</v>
      </c>
      <c r="C3404" s="86" t="e">
        <f>+VLOOKUP(B3404,ARTICULOS!$D$10:$I$699,6)</f>
        <v>#N/A</v>
      </c>
      <c r="D3404" s="212"/>
      <c r="E3404" s="75" t="e">
        <f t="shared" si="110"/>
        <v>#N/A</v>
      </c>
      <c r="F3404" s="80"/>
      <c r="G3404" s="81"/>
      <c r="H3404" s="78"/>
      <c r="I3404" s="78"/>
      <c r="J3404" s="78"/>
    </row>
    <row r="3405" spans="1:10" x14ac:dyDescent="0.2">
      <c r="A3405" s="84">
        <f t="shared" si="109"/>
        <v>3399</v>
      </c>
      <c r="B3405" s="85" t="e">
        <f>+MATCH(D3405,ARTICULOS!$F$10:$F$699,0)</f>
        <v>#N/A</v>
      </c>
      <c r="C3405" s="86" t="e">
        <f>+VLOOKUP(B3405,ARTICULOS!$D$10:$I$699,6)</f>
        <v>#N/A</v>
      </c>
      <c r="D3405" s="212"/>
      <c r="E3405" s="75" t="e">
        <f t="shared" si="110"/>
        <v>#N/A</v>
      </c>
      <c r="F3405" s="80"/>
      <c r="G3405" s="81"/>
      <c r="H3405" s="78"/>
      <c r="I3405" s="78"/>
      <c r="J3405" s="78"/>
    </row>
    <row r="3406" spans="1:10" x14ac:dyDescent="0.2">
      <c r="A3406" s="84">
        <f t="shared" si="109"/>
        <v>3400</v>
      </c>
      <c r="B3406" s="85" t="e">
        <f>+MATCH(D3406,ARTICULOS!$F$10:$F$699,0)</f>
        <v>#N/A</v>
      </c>
      <c r="C3406" s="86" t="e">
        <f>+VLOOKUP(B3406,ARTICULOS!$D$10:$I$699,6)</f>
        <v>#N/A</v>
      </c>
      <c r="D3406" s="212"/>
      <c r="E3406" s="75" t="e">
        <f t="shared" si="110"/>
        <v>#N/A</v>
      </c>
      <c r="F3406" s="80"/>
      <c r="G3406" s="81"/>
      <c r="H3406" s="78"/>
      <c r="I3406" s="78"/>
      <c r="J3406" s="78"/>
    </row>
    <row r="3407" spans="1:10" x14ac:dyDescent="0.2">
      <c r="A3407" s="84">
        <f t="shared" si="109"/>
        <v>3401</v>
      </c>
      <c r="B3407" s="85" t="e">
        <f>+MATCH(D3407,ARTICULOS!$F$10:$F$699,0)</f>
        <v>#N/A</v>
      </c>
      <c r="C3407" s="86" t="e">
        <f>+VLOOKUP(B3407,ARTICULOS!$D$10:$I$699,6)</f>
        <v>#N/A</v>
      </c>
      <c r="D3407" s="212"/>
      <c r="E3407" s="75" t="e">
        <f t="shared" si="110"/>
        <v>#N/A</v>
      </c>
      <c r="F3407" s="80"/>
      <c r="G3407" s="81"/>
      <c r="H3407" s="78"/>
      <c r="I3407" s="78"/>
      <c r="J3407" s="78"/>
    </row>
    <row r="3408" spans="1:10" x14ac:dyDescent="0.2">
      <c r="A3408" s="84">
        <f t="shared" si="109"/>
        <v>3402</v>
      </c>
      <c r="B3408" s="85" t="e">
        <f>+MATCH(D3408,ARTICULOS!$F$10:$F$699,0)</f>
        <v>#N/A</v>
      </c>
      <c r="C3408" s="86" t="e">
        <f>+VLOOKUP(B3408,ARTICULOS!$D$10:$I$699,6)</f>
        <v>#N/A</v>
      </c>
      <c r="D3408" s="212"/>
      <c r="E3408" s="75" t="e">
        <f t="shared" si="110"/>
        <v>#N/A</v>
      </c>
      <c r="F3408" s="80"/>
      <c r="G3408" s="81"/>
      <c r="H3408" s="78"/>
      <c r="I3408" s="78"/>
      <c r="J3408" s="78"/>
    </row>
    <row r="3409" spans="1:10" x14ac:dyDescent="0.2">
      <c r="A3409" s="84">
        <f t="shared" si="109"/>
        <v>3403</v>
      </c>
      <c r="B3409" s="85" t="e">
        <f>+MATCH(D3409,ARTICULOS!$F$10:$F$699,0)</f>
        <v>#N/A</v>
      </c>
      <c r="C3409" s="86" t="e">
        <f>+VLOOKUP(B3409,ARTICULOS!$D$10:$I$699,6)</f>
        <v>#N/A</v>
      </c>
      <c r="D3409" s="212"/>
      <c r="E3409" s="75" t="e">
        <f t="shared" si="110"/>
        <v>#N/A</v>
      </c>
      <c r="F3409" s="80"/>
      <c r="G3409" s="81"/>
      <c r="H3409" s="78"/>
      <c r="I3409" s="78"/>
      <c r="J3409" s="78"/>
    </row>
    <row r="3410" spans="1:10" x14ac:dyDescent="0.2">
      <c r="A3410" s="84">
        <f t="shared" si="109"/>
        <v>3404</v>
      </c>
      <c r="B3410" s="85" t="e">
        <f>+MATCH(D3410,ARTICULOS!$F$10:$F$699,0)</f>
        <v>#N/A</v>
      </c>
      <c r="C3410" s="86" t="e">
        <f>+VLOOKUP(B3410,ARTICULOS!$D$10:$I$699,6)</f>
        <v>#N/A</v>
      </c>
      <c r="D3410" s="212"/>
      <c r="E3410" s="75" t="e">
        <f t="shared" si="110"/>
        <v>#N/A</v>
      </c>
      <c r="F3410" s="80"/>
      <c r="G3410" s="81"/>
      <c r="H3410" s="78"/>
      <c r="I3410" s="78"/>
      <c r="J3410" s="78"/>
    </row>
    <row r="3411" spans="1:10" x14ac:dyDescent="0.2">
      <c r="A3411" s="84">
        <f t="shared" si="109"/>
        <v>3405</v>
      </c>
      <c r="B3411" s="85" t="e">
        <f>+MATCH(D3411,ARTICULOS!$F$10:$F$699,0)</f>
        <v>#N/A</v>
      </c>
      <c r="C3411" s="86" t="e">
        <f>+VLOOKUP(B3411,ARTICULOS!$D$10:$I$699,6)</f>
        <v>#N/A</v>
      </c>
      <c r="D3411" s="212"/>
      <c r="E3411" s="75" t="e">
        <f t="shared" si="110"/>
        <v>#N/A</v>
      </c>
      <c r="F3411" s="80"/>
      <c r="G3411" s="81"/>
      <c r="H3411" s="78"/>
      <c r="I3411" s="78"/>
      <c r="J3411" s="78"/>
    </row>
    <row r="3412" spans="1:10" x14ac:dyDescent="0.2">
      <c r="A3412" s="84">
        <f t="shared" si="109"/>
        <v>3406</v>
      </c>
      <c r="B3412" s="85" t="e">
        <f>+MATCH(D3412,ARTICULOS!$F$10:$F$699,0)</f>
        <v>#N/A</v>
      </c>
      <c r="C3412" s="86" t="e">
        <f>+VLOOKUP(B3412,ARTICULOS!$D$10:$I$699,6)</f>
        <v>#N/A</v>
      </c>
      <c r="D3412" s="212"/>
      <c r="E3412" s="75" t="e">
        <f t="shared" si="110"/>
        <v>#N/A</v>
      </c>
      <c r="F3412" s="80"/>
      <c r="G3412" s="81"/>
      <c r="H3412" s="78"/>
      <c r="I3412" s="78"/>
      <c r="J3412" s="78"/>
    </row>
    <row r="3413" spans="1:10" x14ac:dyDescent="0.2">
      <c r="A3413" s="84">
        <f t="shared" si="109"/>
        <v>3407</v>
      </c>
      <c r="B3413" s="85" t="e">
        <f>+MATCH(D3413,ARTICULOS!$F$10:$F$699,0)</f>
        <v>#N/A</v>
      </c>
      <c r="C3413" s="86" t="e">
        <f>+VLOOKUP(B3413,ARTICULOS!$D$10:$I$699,6)</f>
        <v>#N/A</v>
      </c>
      <c r="D3413" s="212"/>
      <c r="E3413" s="75" t="e">
        <f t="shared" si="110"/>
        <v>#N/A</v>
      </c>
      <c r="F3413" s="80"/>
      <c r="G3413" s="81"/>
      <c r="H3413" s="78"/>
      <c r="I3413" s="78"/>
      <c r="J3413" s="78"/>
    </row>
    <row r="3414" spans="1:10" x14ac:dyDescent="0.2">
      <c r="A3414" s="84">
        <f t="shared" si="109"/>
        <v>3408</v>
      </c>
      <c r="B3414" s="85" t="e">
        <f>+MATCH(D3414,ARTICULOS!$F$10:$F$699,0)</f>
        <v>#N/A</v>
      </c>
      <c r="C3414" s="86" t="e">
        <f>+VLOOKUP(B3414,ARTICULOS!$D$10:$I$699,6)</f>
        <v>#N/A</v>
      </c>
      <c r="D3414" s="212"/>
      <c r="E3414" s="75" t="e">
        <f t="shared" si="110"/>
        <v>#N/A</v>
      </c>
      <c r="F3414" s="80"/>
      <c r="G3414" s="81"/>
      <c r="H3414" s="78"/>
      <c r="I3414" s="78"/>
      <c r="J3414" s="78"/>
    </row>
    <row r="3415" spans="1:10" x14ac:dyDescent="0.2">
      <c r="A3415" s="84">
        <f t="shared" si="109"/>
        <v>3409</v>
      </c>
      <c r="B3415" s="85" t="e">
        <f>+MATCH(D3415,ARTICULOS!$F$10:$F$699,0)</f>
        <v>#N/A</v>
      </c>
      <c r="C3415" s="86" t="e">
        <f>+VLOOKUP(B3415,ARTICULOS!$D$10:$I$699,6)</f>
        <v>#N/A</v>
      </c>
      <c r="D3415" s="212"/>
      <c r="E3415" s="75" t="e">
        <f t="shared" si="110"/>
        <v>#N/A</v>
      </c>
      <c r="F3415" s="80"/>
      <c r="G3415" s="81"/>
      <c r="H3415" s="78"/>
      <c r="I3415" s="78"/>
      <c r="J3415" s="78"/>
    </row>
    <row r="3416" spans="1:10" x14ac:dyDescent="0.2">
      <c r="A3416" s="84">
        <f t="shared" si="109"/>
        <v>3410</v>
      </c>
      <c r="B3416" s="85" t="e">
        <f>+MATCH(D3416,ARTICULOS!$F$10:$F$699,0)</f>
        <v>#N/A</v>
      </c>
      <c r="C3416" s="86" t="e">
        <f>+VLOOKUP(B3416,ARTICULOS!$D$10:$I$699,6)</f>
        <v>#N/A</v>
      </c>
      <c r="D3416" s="212"/>
      <c r="E3416" s="75" t="e">
        <f t="shared" si="110"/>
        <v>#N/A</v>
      </c>
      <c r="F3416" s="80"/>
      <c r="G3416" s="81"/>
      <c r="H3416" s="78"/>
      <c r="I3416" s="78"/>
      <c r="J3416" s="78"/>
    </row>
    <row r="3417" spans="1:10" x14ac:dyDescent="0.2">
      <c r="A3417" s="84">
        <f t="shared" si="109"/>
        <v>3411</v>
      </c>
      <c r="B3417" s="85" t="e">
        <f>+MATCH(D3417,ARTICULOS!$F$10:$F$699,0)</f>
        <v>#N/A</v>
      </c>
      <c r="C3417" s="86" t="e">
        <f>+VLOOKUP(B3417,ARTICULOS!$D$10:$I$699,6)</f>
        <v>#N/A</v>
      </c>
      <c r="D3417" s="212"/>
      <c r="E3417" s="75" t="e">
        <f t="shared" si="110"/>
        <v>#N/A</v>
      </c>
      <c r="F3417" s="80"/>
      <c r="G3417" s="81"/>
      <c r="H3417" s="78"/>
      <c r="I3417" s="78"/>
      <c r="J3417" s="78"/>
    </row>
    <row r="3418" spans="1:10" x14ac:dyDescent="0.2">
      <c r="A3418" s="84">
        <f t="shared" si="109"/>
        <v>3412</v>
      </c>
      <c r="B3418" s="85" t="e">
        <f>+MATCH(D3418,ARTICULOS!$F$10:$F$699,0)</f>
        <v>#N/A</v>
      </c>
      <c r="C3418" s="86" t="e">
        <f>+VLOOKUP(B3418,ARTICULOS!$D$10:$I$699,6)</f>
        <v>#N/A</v>
      </c>
      <c r="D3418" s="212"/>
      <c r="E3418" s="75" t="e">
        <f t="shared" si="110"/>
        <v>#N/A</v>
      </c>
      <c r="F3418" s="80"/>
      <c r="G3418" s="81"/>
      <c r="H3418" s="78"/>
      <c r="I3418" s="78"/>
      <c r="J3418" s="78"/>
    </row>
    <row r="3419" spans="1:10" x14ac:dyDescent="0.2">
      <c r="A3419" s="84">
        <f t="shared" si="109"/>
        <v>3413</v>
      </c>
      <c r="B3419" s="85" t="e">
        <f>+MATCH(D3419,ARTICULOS!$F$10:$F$699,0)</f>
        <v>#N/A</v>
      </c>
      <c r="C3419" s="86" t="e">
        <f>+VLOOKUP(B3419,ARTICULOS!$D$10:$I$699,6)</f>
        <v>#N/A</v>
      </c>
      <c r="D3419" s="212"/>
      <c r="E3419" s="75" t="e">
        <f t="shared" si="110"/>
        <v>#N/A</v>
      </c>
      <c r="F3419" s="80"/>
      <c r="G3419" s="81"/>
      <c r="H3419" s="78"/>
      <c r="I3419" s="78"/>
      <c r="J3419" s="78"/>
    </row>
    <row r="3420" spans="1:10" x14ac:dyDescent="0.2">
      <c r="A3420" s="84">
        <f t="shared" si="109"/>
        <v>3414</v>
      </c>
      <c r="B3420" s="85" t="e">
        <f>+MATCH(D3420,ARTICULOS!$F$10:$F$699,0)</f>
        <v>#N/A</v>
      </c>
      <c r="C3420" s="86" t="e">
        <f>+VLOOKUP(B3420,ARTICULOS!$D$10:$I$699,6)</f>
        <v>#N/A</v>
      </c>
      <c r="D3420" s="212"/>
      <c r="E3420" s="75" t="e">
        <f t="shared" si="110"/>
        <v>#N/A</v>
      </c>
      <c r="F3420" s="80"/>
      <c r="G3420" s="81"/>
      <c r="H3420" s="78"/>
      <c r="I3420" s="78"/>
      <c r="J3420" s="78"/>
    </row>
    <row r="3421" spans="1:10" x14ac:dyDescent="0.2">
      <c r="A3421" s="84">
        <f t="shared" si="109"/>
        <v>3415</v>
      </c>
      <c r="B3421" s="85" t="e">
        <f>+MATCH(D3421,ARTICULOS!$F$10:$F$699,0)</f>
        <v>#N/A</v>
      </c>
      <c r="C3421" s="86" t="e">
        <f>+VLOOKUP(B3421,ARTICULOS!$D$10:$I$699,6)</f>
        <v>#N/A</v>
      </c>
      <c r="D3421" s="212"/>
      <c r="E3421" s="75" t="e">
        <f t="shared" si="110"/>
        <v>#N/A</v>
      </c>
      <c r="F3421" s="80"/>
      <c r="G3421" s="81"/>
      <c r="H3421" s="78"/>
      <c r="I3421" s="78"/>
      <c r="J3421" s="78"/>
    </row>
    <row r="3422" spans="1:10" x14ac:dyDescent="0.2">
      <c r="A3422" s="84">
        <f t="shared" si="109"/>
        <v>3416</v>
      </c>
      <c r="B3422" s="85" t="e">
        <f>+MATCH(D3422,ARTICULOS!$F$10:$F$699,0)</f>
        <v>#N/A</v>
      </c>
      <c r="C3422" s="86" t="e">
        <f>+VLOOKUP(B3422,ARTICULOS!$D$10:$I$699,6)</f>
        <v>#N/A</v>
      </c>
      <c r="D3422" s="212"/>
      <c r="E3422" s="75" t="e">
        <f t="shared" si="110"/>
        <v>#N/A</v>
      </c>
      <c r="F3422" s="80"/>
      <c r="G3422" s="81"/>
      <c r="H3422" s="78"/>
      <c r="I3422" s="78"/>
      <c r="J3422" s="78"/>
    </row>
    <row r="3423" spans="1:10" x14ac:dyDescent="0.2">
      <c r="A3423" s="84">
        <f t="shared" si="109"/>
        <v>3417</v>
      </c>
      <c r="B3423" s="85" t="e">
        <f>+MATCH(D3423,ARTICULOS!$F$10:$F$699,0)</f>
        <v>#N/A</v>
      </c>
      <c r="C3423" s="86" t="e">
        <f>+VLOOKUP(B3423,ARTICULOS!$D$10:$I$699,6)</f>
        <v>#N/A</v>
      </c>
      <c r="D3423" s="212"/>
      <c r="E3423" s="75" t="e">
        <f t="shared" si="110"/>
        <v>#N/A</v>
      </c>
      <c r="F3423" s="80"/>
      <c r="G3423" s="81"/>
      <c r="H3423" s="78"/>
      <c r="I3423" s="78"/>
      <c r="J3423" s="78"/>
    </row>
    <row r="3424" spans="1:10" x14ac:dyDescent="0.2">
      <c r="A3424" s="84">
        <f t="shared" si="109"/>
        <v>3418</v>
      </c>
      <c r="B3424" s="85" t="e">
        <f>+MATCH(D3424,ARTICULOS!$F$10:$F$699,0)</f>
        <v>#N/A</v>
      </c>
      <c r="C3424" s="86" t="e">
        <f>+VLOOKUP(B3424,ARTICULOS!$D$10:$I$699,6)</f>
        <v>#N/A</v>
      </c>
      <c r="D3424" s="212"/>
      <c r="E3424" s="75" t="e">
        <f t="shared" si="110"/>
        <v>#N/A</v>
      </c>
      <c r="F3424" s="80"/>
      <c r="G3424" s="81"/>
      <c r="H3424" s="78"/>
      <c r="I3424" s="78"/>
      <c r="J3424" s="78"/>
    </row>
    <row r="3425" spans="1:10" x14ac:dyDescent="0.2">
      <c r="A3425" s="84">
        <f t="shared" si="109"/>
        <v>3419</v>
      </c>
      <c r="B3425" s="85" t="e">
        <f>+MATCH(D3425,ARTICULOS!$F$10:$F$699,0)</f>
        <v>#N/A</v>
      </c>
      <c r="C3425" s="86" t="e">
        <f>+VLOOKUP(B3425,ARTICULOS!$D$10:$I$699,6)</f>
        <v>#N/A</v>
      </c>
      <c r="D3425" s="212"/>
      <c r="E3425" s="75" t="e">
        <f t="shared" si="110"/>
        <v>#N/A</v>
      </c>
      <c r="F3425" s="80"/>
      <c r="G3425" s="81"/>
      <c r="H3425" s="78"/>
      <c r="I3425" s="78"/>
      <c r="J3425" s="78"/>
    </row>
    <row r="3426" spans="1:10" x14ac:dyDescent="0.2">
      <c r="A3426" s="84">
        <f t="shared" si="109"/>
        <v>3420</v>
      </c>
      <c r="B3426" s="85" t="e">
        <f>+MATCH(D3426,ARTICULOS!$F$10:$F$699,0)</f>
        <v>#N/A</v>
      </c>
      <c r="C3426" s="86" t="e">
        <f>+VLOOKUP(B3426,ARTICULOS!$D$10:$I$699,6)</f>
        <v>#N/A</v>
      </c>
      <c r="D3426" s="212"/>
      <c r="E3426" s="75" t="e">
        <f t="shared" si="110"/>
        <v>#N/A</v>
      </c>
      <c r="F3426" s="80"/>
      <c r="G3426" s="81"/>
      <c r="H3426" s="78"/>
      <c r="I3426" s="78"/>
      <c r="J3426" s="78"/>
    </row>
    <row r="3427" spans="1:10" x14ac:dyDescent="0.2">
      <c r="A3427" s="84">
        <f t="shared" si="109"/>
        <v>3421</v>
      </c>
      <c r="B3427" s="85" t="e">
        <f>+MATCH(D3427,ARTICULOS!$F$10:$F$699,0)</f>
        <v>#N/A</v>
      </c>
      <c r="C3427" s="86" t="e">
        <f>+VLOOKUP(B3427,ARTICULOS!$D$10:$I$699,6)</f>
        <v>#N/A</v>
      </c>
      <c r="D3427" s="212"/>
      <c r="E3427" s="75" t="e">
        <f t="shared" si="110"/>
        <v>#N/A</v>
      </c>
      <c r="F3427" s="80"/>
      <c r="G3427" s="81"/>
      <c r="H3427" s="78"/>
      <c r="I3427" s="78"/>
      <c r="J3427" s="78"/>
    </row>
    <row r="3428" spans="1:10" x14ac:dyDescent="0.2">
      <c r="A3428" s="84">
        <f t="shared" si="109"/>
        <v>3422</v>
      </c>
      <c r="B3428" s="85" t="e">
        <f>+MATCH(D3428,ARTICULOS!$F$10:$F$699,0)</f>
        <v>#N/A</v>
      </c>
      <c r="C3428" s="86" t="e">
        <f>+VLOOKUP(B3428,ARTICULOS!$D$10:$I$699,6)</f>
        <v>#N/A</v>
      </c>
      <c r="D3428" s="212"/>
      <c r="E3428" s="75" t="e">
        <f t="shared" si="110"/>
        <v>#N/A</v>
      </c>
      <c r="F3428" s="80"/>
      <c r="G3428" s="81"/>
      <c r="H3428" s="78"/>
      <c r="I3428" s="78"/>
      <c r="J3428" s="78"/>
    </row>
    <row r="3429" spans="1:10" x14ac:dyDescent="0.2">
      <c r="A3429" s="84">
        <f t="shared" si="109"/>
        <v>3423</v>
      </c>
      <c r="B3429" s="85" t="e">
        <f>+MATCH(D3429,ARTICULOS!$F$10:$F$699,0)</f>
        <v>#N/A</v>
      </c>
      <c r="C3429" s="86" t="e">
        <f>+VLOOKUP(B3429,ARTICULOS!$D$10:$I$699,6)</f>
        <v>#N/A</v>
      </c>
      <c r="D3429" s="212"/>
      <c r="E3429" s="75" t="e">
        <f t="shared" si="110"/>
        <v>#N/A</v>
      </c>
      <c r="F3429" s="80"/>
      <c r="G3429" s="81"/>
      <c r="H3429" s="78"/>
      <c r="I3429" s="78"/>
      <c r="J3429" s="78"/>
    </row>
    <row r="3430" spans="1:10" x14ac:dyDescent="0.2">
      <c r="A3430" s="84">
        <f t="shared" si="109"/>
        <v>3424</v>
      </c>
      <c r="B3430" s="85" t="e">
        <f>+MATCH(D3430,ARTICULOS!$F$10:$F$699,0)</f>
        <v>#N/A</v>
      </c>
      <c r="C3430" s="86" t="e">
        <f>+VLOOKUP(B3430,ARTICULOS!$D$10:$I$699,6)</f>
        <v>#N/A</v>
      </c>
      <c r="D3430" s="212"/>
      <c r="E3430" s="75" t="e">
        <f t="shared" si="110"/>
        <v>#N/A</v>
      </c>
      <c r="F3430" s="80"/>
      <c r="G3430" s="81"/>
      <c r="H3430" s="78"/>
      <c r="I3430" s="78"/>
      <c r="J3430" s="78"/>
    </row>
    <row r="3431" spans="1:10" x14ac:dyDescent="0.2">
      <c r="A3431" s="84">
        <f t="shared" si="109"/>
        <v>3425</v>
      </c>
      <c r="B3431" s="85" t="e">
        <f>+MATCH(D3431,ARTICULOS!$F$10:$F$699,0)</f>
        <v>#N/A</v>
      </c>
      <c r="C3431" s="86" t="e">
        <f>+VLOOKUP(B3431,ARTICULOS!$D$10:$I$699,6)</f>
        <v>#N/A</v>
      </c>
      <c r="D3431" s="212"/>
      <c r="E3431" s="75" t="e">
        <f t="shared" si="110"/>
        <v>#N/A</v>
      </c>
      <c r="F3431" s="80"/>
      <c r="G3431" s="81"/>
      <c r="H3431" s="78"/>
      <c r="I3431" s="78"/>
      <c r="J3431" s="78"/>
    </row>
    <row r="3432" spans="1:10" x14ac:dyDescent="0.2">
      <c r="A3432" s="84">
        <f t="shared" si="109"/>
        <v>3426</v>
      </c>
      <c r="B3432" s="85" t="e">
        <f>+MATCH(D3432,ARTICULOS!$F$10:$F$699,0)</f>
        <v>#N/A</v>
      </c>
      <c r="C3432" s="86" t="e">
        <f>+VLOOKUP(B3432,ARTICULOS!$D$10:$I$699,6)</f>
        <v>#N/A</v>
      </c>
      <c r="D3432" s="212"/>
      <c r="E3432" s="75" t="e">
        <f t="shared" si="110"/>
        <v>#N/A</v>
      </c>
      <c r="F3432" s="80"/>
      <c r="G3432" s="81"/>
      <c r="H3432" s="78"/>
      <c r="I3432" s="78"/>
      <c r="J3432" s="78"/>
    </row>
    <row r="3433" spans="1:10" x14ac:dyDescent="0.2">
      <c r="A3433" s="84">
        <f t="shared" ref="A3433:A3496" si="111">ROW()-6</f>
        <v>3427</v>
      </c>
      <c r="B3433" s="85" t="e">
        <f>+MATCH(D3433,ARTICULOS!$F$10:$F$699,0)</f>
        <v>#N/A</v>
      </c>
      <c r="C3433" s="86" t="e">
        <f>+VLOOKUP(B3433,ARTICULOS!$D$10:$I$699,6)</f>
        <v>#N/A</v>
      </c>
      <c r="D3433" s="212"/>
      <c r="E3433" s="75" t="e">
        <f t="shared" si="110"/>
        <v>#N/A</v>
      </c>
      <c r="F3433" s="80"/>
      <c r="G3433" s="81"/>
      <c r="H3433" s="78"/>
      <c r="I3433" s="78"/>
      <c r="J3433" s="78"/>
    </row>
    <row r="3434" spans="1:10" x14ac:dyDescent="0.2">
      <c r="A3434" s="84">
        <f t="shared" si="111"/>
        <v>3428</v>
      </c>
      <c r="B3434" s="85" t="e">
        <f>+MATCH(D3434,ARTICULOS!$F$10:$F$699,0)</f>
        <v>#N/A</v>
      </c>
      <c r="C3434" s="86" t="e">
        <f>+VLOOKUP(B3434,ARTICULOS!$D$10:$I$699,6)</f>
        <v>#N/A</v>
      </c>
      <c r="D3434" s="212"/>
      <c r="E3434" s="75" t="e">
        <f t="shared" si="110"/>
        <v>#N/A</v>
      </c>
      <c r="F3434" s="80"/>
      <c r="G3434" s="81"/>
      <c r="H3434" s="78"/>
      <c r="I3434" s="78"/>
      <c r="J3434" s="78"/>
    </row>
    <row r="3435" spans="1:10" x14ac:dyDescent="0.2">
      <c r="A3435" s="84">
        <f t="shared" si="111"/>
        <v>3429</v>
      </c>
      <c r="B3435" s="85" t="e">
        <f>+MATCH(D3435,ARTICULOS!$F$10:$F$699,0)</f>
        <v>#N/A</v>
      </c>
      <c r="C3435" s="86" t="e">
        <f>+VLOOKUP(B3435,ARTICULOS!$D$10:$I$699,6)</f>
        <v>#N/A</v>
      </c>
      <c r="D3435" s="212"/>
      <c r="E3435" s="75" t="e">
        <f t="shared" si="110"/>
        <v>#N/A</v>
      </c>
      <c r="F3435" s="80"/>
      <c r="G3435" s="81"/>
      <c r="H3435" s="78"/>
      <c r="I3435" s="78"/>
      <c r="J3435" s="78"/>
    </row>
    <row r="3436" spans="1:10" x14ac:dyDescent="0.2">
      <c r="A3436" s="84">
        <f t="shared" si="111"/>
        <v>3430</v>
      </c>
      <c r="B3436" s="85" t="e">
        <f>+MATCH(D3436,ARTICULOS!$F$10:$F$699,0)</f>
        <v>#N/A</v>
      </c>
      <c r="C3436" s="86" t="e">
        <f>+VLOOKUP(B3436,ARTICULOS!$D$10:$I$699,6)</f>
        <v>#N/A</v>
      </c>
      <c r="D3436" s="212"/>
      <c r="E3436" s="75" t="e">
        <f t="shared" si="110"/>
        <v>#N/A</v>
      </c>
      <c r="F3436" s="80"/>
      <c r="G3436" s="81"/>
      <c r="H3436" s="78"/>
      <c r="I3436" s="78"/>
      <c r="J3436" s="78"/>
    </row>
    <row r="3437" spans="1:10" x14ac:dyDescent="0.2">
      <c r="A3437" s="84">
        <f t="shared" si="111"/>
        <v>3431</v>
      </c>
      <c r="B3437" s="85" t="e">
        <f>+MATCH(D3437,ARTICULOS!$F$10:$F$699,0)</f>
        <v>#N/A</v>
      </c>
      <c r="C3437" s="86" t="e">
        <f>+VLOOKUP(B3437,ARTICULOS!$D$10:$I$699,6)</f>
        <v>#N/A</v>
      </c>
      <c r="D3437" s="212"/>
      <c r="E3437" s="75" t="e">
        <f t="shared" si="110"/>
        <v>#N/A</v>
      </c>
      <c r="F3437" s="80"/>
      <c r="G3437" s="81"/>
      <c r="H3437" s="78"/>
      <c r="I3437" s="78"/>
      <c r="J3437" s="78"/>
    </row>
    <row r="3438" spans="1:10" x14ac:dyDescent="0.2">
      <c r="A3438" s="84">
        <f t="shared" si="111"/>
        <v>3432</v>
      </c>
      <c r="B3438" s="85" t="e">
        <f>+MATCH(D3438,ARTICULOS!$F$10:$F$699,0)</f>
        <v>#N/A</v>
      </c>
      <c r="C3438" s="86" t="e">
        <f>+VLOOKUP(B3438,ARTICULOS!$D$10:$I$699,6)</f>
        <v>#N/A</v>
      </c>
      <c r="D3438" s="212"/>
      <c r="E3438" s="75" t="e">
        <f t="shared" si="110"/>
        <v>#N/A</v>
      </c>
      <c r="F3438" s="80"/>
      <c r="G3438" s="81"/>
      <c r="H3438" s="78"/>
      <c r="I3438" s="78"/>
      <c r="J3438" s="78"/>
    </row>
    <row r="3439" spans="1:10" x14ac:dyDescent="0.2">
      <c r="A3439" s="84">
        <f t="shared" si="111"/>
        <v>3433</v>
      </c>
      <c r="B3439" s="85" t="e">
        <f>+MATCH(D3439,ARTICULOS!$F$10:$F$699,0)</f>
        <v>#N/A</v>
      </c>
      <c r="C3439" s="86" t="e">
        <f>+VLOOKUP(B3439,ARTICULOS!$D$10:$I$699,6)</f>
        <v>#N/A</v>
      </c>
      <c r="D3439" s="212"/>
      <c r="E3439" s="75" t="e">
        <f t="shared" si="110"/>
        <v>#N/A</v>
      </c>
      <c r="F3439" s="80"/>
      <c r="G3439" s="81"/>
      <c r="H3439" s="78"/>
      <c r="I3439" s="78"/>
      <c r="J3439" s="78"/>
    </row>
    <row r="3440" spans="1:10" x14ac:dyDescent="0.2">
      <c r="A3440" s="84">
        <f t="shared" si="111"/>
        <v>3434</v>
      </c>
      <c r="B3440" s="85" t="e">
        <f>+MATCH(D3440,ARTICULOS!$F$10:$F$699,0)</f>
        <v>#N/A</v>
      </c>
      <c r="C3440" s="86" t="e">
        <f>+VLOOKUP(B3440,ARTICULOS!$D$10:$I$699,6)</f>
        <v>#N/A</v>
      </c>
      <c r="D3440" s="212"/>
      <c r="E3440" s="75" t="e">
        <f t="shared" si="110"/>
        <v>#N/A</v>
      </c>
      <c r="F3440" s="80"/>
      <c r="G3440" s="81"/>
      <c r="H3440" s="78"/>
      <c r="I3440" s="78"/>
      <c r="J3440" s="78"/>
    </row>
    <row r="3441" spans="1:10" x14ac:dyDescent="0.2">
      <c r="A3441" s="84">
        <f t="shared" si="111"/>
        <v>3435</v>
      </c>
      <c r="B3441" s="85" t="e">
        <f>+MATCH(D3441,ARTICULOS!$F$10:$F$699,0)</f>
        <v>#N/A</v>
      </c>
      <c r="C3441" s="86" t="e">
        <f>+VLOOKUP(B3441,ARTICULOS!$D$10:$I$699,6)</f>
        <v>#N/A</v>
      </c>
      <c r="D3441" s="212"/>
      <c r="E3441" s="75" t="e">
        <f t="shared" si="110"/>
        <v>#N/A</v>
      </c>
      <c r="F3441" s="80"/>
      <c r="G3441" s="81"/>
      <c r="H3441" s="78"/>
      <c r="I3441" s="78"/>
      <c r="J3441" s="78"/>
    </row>
    <row r="3442" spans="1:10" x14ac:dyDescent="0.2">
      <c r="A3442" s="84">
        <f t="shared" si="111"/>
        <v>3436</v>
      </c>
      <c r="B3442" s="85" t="e">
        <f>+MATCH(D3442,ARTICULOS!$F$10:$F$699,0)</f>
        <v>#N/A</v>
      </c>
      <c r="C3442" s="86" t="e">
        <f>+VLOOKUP(B3442,ARTICULOS!$D$10:$I$699,6)</f>
        <v>#N/A</v>
      </c>
      <c r="D3442" s="212"/>
      <c r="E3442" s="75" t="e">
        <f t="shared" si="110"/>
        <v>#N/A</v>
      </c>
      <c r="F3442" s="80"/>
      <c r="G3442" s="81"/>
      <c r="H3442" s="78"/>
      <c r="I3442" s="78"/>
      <c r="J3442" s="78"/>
    </row>
    <row r="3443" spans="1:10" x14ac:dyDescent="0.2">
      <c r="A3443" s="84">
        <f t="shared" si="111"/>
        <v>3437</v>
      </c>
      <c r="B3443" s="85" t="e">
        <f>+MATCH(D3443,ARTICULOS!$F$10:$F$699,0)</f>
        <v>#N/A</v>
      </c>
      <c r="C3443" s="86" t="e">
        <f>+VLOOKUP(B3443,ARTICULOS!$D$10:$I$699,6)</f>
        <v>#N/A</v>
      </c>
      <c r="D3443" s="212"/>
      <c r="E3443" s="75" t="e">
        <f t="shared" si="110"/>
        <v>#N/A</v>
      </c>
      <c r="F3443" s="80"/>
      <c r="G3443" s="81"/>
      <c r="H3443" s="78"/>
      <c r="I3443" s="78"/>
      <c r="J3443" s="78"/>
    </row>
    <row r="3444" spans="1:10" x14ac:dyDescent="0.2">
      <c r="A3444" s="84">
        <f t="shared" si="111"/>
        <v>3438</v>
      </c>
      <c r="B3444" s="85" t="e">
        <f>+MATCH(D3444,ARTICULOS!$F$10:$F$699,0)</f>
        <v>#N/A</v>
      </c>
      <c r="C3444" s="86" t="e">
        <f>+VLOOKUP(B3444,ARTICULOS!$D$10:$I$699,6)</f>
        <v>#N/A</v>
      </c>
      <c r="D3444" s="212"/>
      <c r="E3444" s="75" t="e">
        <f t="shared" si="110"/>
        <v>#N/A</v>
      </c>
      <c r="F3444" s="80"/>
      <c r="G3444" s="81"/>
      <c r="H3444" s="78"/>
      <c r="I3444" s="78"/>
      <c r="J3444" s="78"/>
    </row>
    <row r="3445" spans="1:10" x14ac:dyDescent="0.2">
      <c r="A3445" s="84">
        <f t="shared" si="111"/>
        <v>3439</v>
      </c>
      <c r="B3445" s="85" t="e">
        <f>+MATCH(D3445,ARTICULOS!$F$10:$F$699,0)</f>
        <v>#N/A</v>
      </c>
      <c r="C3445" s="86" t="e">
        <f>+VLOOKUP(B3445,ARTICULOS!$D$10:$I$699,6)</f>
        <v>#N/A</v>
      </c>
      <c r="D3445" s="212"/>
      <c r="E3445" s="75" t="e">
        <f t="shared" si="110"/>
        <v>#N/A</v>
      </c>
      <c r="F3445" s="80"/>
      <c r="G3445" s="81"/>
      <c r="H3445" s="78"/>
      <c r="I3445" s="78"/>
      <c r="J3445" s="78"/>
    </row>
    <row r="3446" spans="1:10" x14ac:dyDescent="0.2">
      <c r="A3446" s="84">
        <f t="shared" si="111"/>
        <v>3440</v>
      </c>
      <c r="B3446" s="85" t="e">
        <f>+MATCH(D3446,ARTICULOS!$F$10:$F$699,0)</f>
        <v>#N/A</v>
      </c>
      <c r="C3446" s="86" t="e">
        <f>+VLOOKUP(B3446,ARTICULOS!$D$10:$I$699,6)</f>
        <v>#N/A</v>
      </c>
      <c r="D3446" s="212"/>
      <c r="E3446" s="75" t="e">
        <f t="shared" si="110"/>
        <v>#N/A</v>
      </c>
      <c r="F3446" s="80"/>
      <c r="G3446" s="81"/>
      <c r="H3446" s="78"/>
      <c r="I3446" s="78"/>
      <c r="J3446" s="78"/>
    </row>
    <row r="3447" spans="1:10" x14ac:dyDescent="0.2">
      <c r="A3447" s="84">
        <f t="shared" si="111"/>
        <v>3441</v>
      </c>
      <c r="B3447" s="85" t="e">
        <f>+MATCH(D3447,ARTICULOS!$F$10:$F$699,0)</f>
        <v>#N/A</v>
      </c>
      <c r="C3447" s="86" t="e">
        <f>+VLOOKUP(B3447,ARTICULOS!$D$10:$I$699,6)</f>
        <v>#N/A</v>
      </c>
      <c r="D3447" s="212"/>
      <c r="E3447" s="75" t="e">
        <f t="shared" si="110"/>
        <v>#N/A</v>
      </c>
      <c r="F3447" s="80"/>
      <c r="G3447" s="81"/>
      <c r="H3447" s="78"/>
      <c r="I3447" s="78"/>
      <c r="J3447" s="78"/>
    </row>
    <row r="3448" spans="1:10" x14ac:dyDescent="0.2">
      <c r="A3448" s="84">
        <f t="shared" si="111"/>
        <v>3442</v>
      </c>
      <c r="B3448" s="85" t="e">
        <f>+MATCH(D3448,ARTICULOS!$F$10:$F$699,0)</f>
        <v>#N/A</v>
      </c>
      <c r="C3448" s="86" t="e">
        <f>+VLOOKUP(B3448,ARTICULOS!$D$10:$I$699,6)</f>
        <v>#N/A</v>
      </c>
      <c r="D3448" s="212"/>
      <c r="E3448" s="75" t="e">
        <f t="shared" si="110"/>
        <v>#N/A</v>
      </c>
      <c r="F3448" s="80"/>
      <c r="G3448" s="81"/>
      <c r="H3448" s="78"/>
      <c r="I3448" s="78"/>
      <c r="J3448" s="78"/>
    </row>
    <row r="3449" spans="1:10" x14ac:dyDescent="0.2">
      <c r="A3449" s="84">
        <f t="shared" si="111"/>
        <v>3443</v>
      </c>
      <c r="B3449" s="85" t="e">
        <f>+MATCH(D3449,ARTICULOS!$F$10:$F$699,0)</f>
        <v>#N/A</v>
      </c>
      <c r="C3449" s="86" t="e">
        <f>+VLOOKUP(B3449,ARTICULOS!$D$10:$I$699,6)</f>
        <v>#N/A</v>
      </c>
      <c r="D3449" s="212"/>
      <c r="E3449" s="75" t="e">
        <f t="shared" si="110"/>
        <v>#N/A</v>
      </c>
      <c r="F3449" s="80"/>
      <c r="G3449" s="81"/>
      <c r="H3449" s="78"/>
      <c r="I3449" s="78"/>
      <c r="J3449" s="78"/>
    </row>
    <row r="3450" spans="1:10" x14ac:dyDescent="0.2">
      <c r="A3450" s="84">
        <f t="shared" si="111"/>
        <v>3444</v>
      </c>
      <c r="B3450" s="85" t="e">
        <f>+MATCH(D3450,ARTICULOS!$F$10:$F$699,0)</f>
        <v>#N/A</v>
      </c>
      <c r="C3450" s="86" t="e">
        <f>+VLOOKUP(B3450,ARTICULOS!$D$10:$I$699,6)</f>
        <v>#N/A</v>
      </c>
      <c r="D3450" s="212"/>
      <c r="E3450" s="75" t="e">
        <f t="shared" si="110"/>
        <v>#N/A</v>
      </c>
      <c r="F3450" s="80"/>
      <c r="G3450" s="81"/>
      <c r="H3450" s="78"/>
      <c r="I3450" s="78"/>
      <c r="J3450" s="78"/>
    </row>
    <row r="3451" spans="1:10" x14ac:dyDescent="0.2">
      <c r="A3451" s="84">
        <f t="shared" si="111"/>
        <v>3445</v>
      </c>
      <c r="B3451" s="85" t="e">
        <f>+MATCH(D3451,ARTICULOS!$F$10:$F$699,0)</f>
        <v>#N/A</v>
      </c>
      <c r="C3451" s="86" t="e">
        <f>+VLOOKUP(B3451,ARTICULOS!$D$10:$I$699,6)</f>
        <v>#N/A</v>
      </c>
      <c r="D3451" s="212"/>
      <c r="E3451" s="75" t="e">
        <f t="shared" si="110"/>
        <v>#N/A</v>
      </c>
      <c r="F3451" s="80"/>
      <c r="G3451" s="81"/>
      <c r="H3451" s="78"/>
      <c r="I3451" s="78"/>
      <c r="J3451" s="78"/>
    </row>
    <row r="3452" spans="1:10" x14ac:dyDescent="0.2">
      <c r="A3452" s="84">
        <f t="shared" si="111"/>
        <v>3446</v>
      </c>
      <c r="B3452" s="85" t="e">
        <f>+MATCH(D3452,ARTICULOS!$F$10:$F$699,0)</f>
        <v>#N/A</v>
      </c>
      <c r="C3452" s="86" t="e">
        <f>+VLOOKUP(B3452,ARTICULOS!$D$10:$I$699,6)</f>
        <v>#N/A</v>
      </c>
      <c r="D3452" s="212"/>
      <c r="E3452" s="75" t="e">
        <f t="shared" si="110"/>
        <v>#N/A</v>
      </c>
      <c r="F3452" s="80"/>
      <c r="G3452" s="81"/>
      <c r="H3452" s="78"/>
      <c r="I3452" s="78"/>
      <c r="J3452" s="78"/>
    </row>
    <row r="3453" spans="1:10" x14ac:dyDescent="0.2">
      <c r="A3453" s="84">
        <f t="shared" si="111"/>
        <v>3447</v>
      </c>
      <c r="B3453" s="85" t="e">
        <f>+MATCH(D3453,ARTICULOS!$F$10:$F$699,0)</f>
        <v>#N/A</v>
      </c>
      <c r="C3453" s="86" t="e">
        <f>+VLOOKUP(B3453,ARTICULOS!$D$10:$I$699,6)</f>
        <v>#N/A</v>
      </c>
      <c r="D3453" s="212"/>
      <c r="E3453" s="75" t="e">
        <f t="shared" si="110"/>
        <v>#N/A</v>
      </c>
      <c r="F3453" s="80"/>
      <c r="G3453" s="81"/>
      <c r="H3453" s="78"/>
      <c r="I3453" s="78"/>
      <c r="J3453" s="78"/>
    </row>
    <row r="3454" spans="1:10" x14ac:dyDescent="0.2">
      <c r="A3454" s="84">
        <f t="shared" si="111"/>
        <v>3448</v>
      </c>
      <c r="B3454" s="85" t="e">
        <f>+MATCH(D3454,ARTICULOS!$F$10:$F$699,0)</f>
        <v>#N/A</v>
      </c>
      <c r="C3454" s="86" t="e">
        <f>+VLOOKUP(B3454,ARTICULOS!$D$10:$I$699,6)</f>
        <v>#N/A</v>
      </c>
      <c r="D3454" s="212"/>
      <c r="E3454" s="75" t="e">
        <f t="shared" si="110"/>
        <v>#N/A</v>
      </c>
      <c r="F3454" s="80"/>
      <c r="G3454" s="81"/>
      <c r="H3454" s="78"/>
      <c r="I3454" s="78"/>
      <c r="J3454" s="78"/>
    </row>
    <row r="3455" spans="1:10" x14ac:dyDescent="0.2">
      <c r="A3455" s="84">
        <f t="shared" si="111"/>
        <v>3449</v>
      </c>
      <c r="B3455" s="85" t="e">
        <f>+MATCH(D3455,ARTICULOS!$F$10:$F$699,0)</f>
        <v>#N/A</v>
      </c>
      <c r="C3455" s="86" t="e">
        <f>+VLOOKUP(B3455,ARTICULOS!$D$10:$I$699,6)</f>
        <v>#N/A</v>
      </c>
      <c r="D3455" s="212"/>
      <c r="E3455" s="75" t="e">
        <f t="shared" si="110"/>
        <v>#N/A</v>
      </c>
      <c r="F3455" s="80"/>
      <c r="G3455" s="81"/>
      <c r="H3455" s="78"/>
      <c r="I3455" s="78"/>
      <c r="J3455" s="78"/>
    </row>
    <row r="3456" spans="1:10" x14ac:dyDescent="0.2">
      <c r="A3456" s="84">
        <f t="shared" si="111"/>
        <v>3450</v>
      </c>
      <c r="B3456" s="85" t="e">
        <f>+MATCH(D3456,ARTICULOS!$F$10:$F$699,0)</f>
        <v>#N/A</v>
      </c>
      <c r="C3456" s="86" t="e">
        <f>+VLOOKUP(B3456,ARTICULOS!$D$10:$I$699,6)</f>
        <v>#N/A</v>
      </c>
      <c r="D3456" s="212"/>
      <c r="E3456" s="75" t="e">
        <f t="shared" si="110"/>
        <v>#N/A</v>
      </c>
      <c r="F3456" s="80"/>
      <c r="G3456" s="81"/>
      <c r="H3456" s="78"/>
      <c r="I3456" s="78"/>
      <c r="J3456" s="78"/>
    </row>
    <row r="3457" spans="1:10" x14ac:dyDescent="0.2">
      <c r="A3457" s="84">
        <f t="shared" si="111"/>
        <v>3451</v>
      </c>
      <c r="B3457" s="85" t="e">
        <f>+MATCH(D3457,ARTICULOS!$F$10:$F$699,0)</f>
        <v>#N/A</v>
      </c>
      <c r="C3457" s="86" t="e">
        <f>+VLOOKUP(B3457,ARTICULOS!$D$10:$I$699,6)</f>
        <v>#N/A</v>
      </c>
      <c r="D3457" s="212"/>
      <c r="E3457" s="75" t="e">
        <f t="shared" si="110"/>
        <v>#N/A</v>
      </c>
      <c r="F3457" s="80"/>
      <c r="G3457" s="81"/>
      <c r="H3457" s="78"/>
      <c r="I3457" s="78"/>
      <c r="J3457" s="78"/>
    </row>
    <row r="3458" spans="1:10" x14ac:dyDescent="0.2">
      <c r="A3458" s="84">
        <f t="shared" si="111"/>
        <v>3452</v>
      </c>
      <c r="B3458" s="85" t="e">
        <f>+MATCH(D3458,ARTICULOS!$F$10:$F$699,0)</f>
        <v>#N/A</v>
      </c>
      <c r="C3458" s="86" t="e">
        <f>+VLOOKUP(B3458,ARTICULOS!$D$10:$I$699,6)</f>
        <v>#N/A</v>
      </c>
      <c r="D3458" s="212"/>
      <c r="E3458" s="75" t="e">
        <f t="shared" si="110"/>
        <v>#N/A</v>
      </c>
      <c r="F3458" s="80"/>
      <c r="G3458" s="81"/>
      <c r="H3458" s="78"/>
      <c r="I3458" s="78"/>
      <c r="J3458" s="78"/>
    </row>
    <row r="3459" spans="1:10" x14ac:dyDescent="0.2">
      <c r="A3459" s="84">
        <f t="shared" si="111"/>
        <v>3453</v>
      </c>
      <c r="B3459" s="85" t="e">
        <f>+MATCH(D3459,ARTICULOS!$F$10:$F$699,0)</f>
        <v>#N/A</v>
      </c>
      <c r="C3459" s="86" t="e">
        <f>+VLOOKUP(B3459,ARTICULOS!$D$10:$I$699,6)</f>
        <v>#N/A</v>
      </c>
      <c r="D3459" s="212"/>
      <c r="E3459" s="75" t="e">
        <f t="shared" si="110"/>
        <v>#N/A</v>
      </c>
      <c r="F3459" s="80"/>
      <c r="G3459" s="81"/>
      <c r="H3459" s="78"/>
      <c r="I3459" s="78"/>
      <c r="J3459" s="78"/>
    </row>
    <row r="3460" spans="1:10" x14ac:dyDescent="0.2">
      <c r="A3460" s="84">
        <f t="shared" si="111"/>
        <v>3454</v>
      </c>
      <c r="B3460" s="85" t="e">
        <f>+MATCH(D3460,ARTICULOS!$F$10:$F$699,0)</f>
        <v>#N/A</v>
      </c>
      <c r="C3460" s="86" t="e">
        <f>+VLOOKUP(B3460,ARTICULOS!$D$10:$I$699,6)</f>
        <v>#N/A</v>
      </c>
      <c r="D3460" s="212"/>
      <c r="E3460" s="75" t="e">
        <f t="shared" si="110"/>
        <v>#N/A</v>
      </c>
      <c r="F3460" s="80"/>
      <c r="G3460" s="81"/>
      <c r="H3460" s="78"/>
      <c r="I3460" s="78"/>
      <c r="J3460" s="78"/>
    </row>
    <row r="3461" spans="1:10" x14ac:dyDescent="0.2">
      <c r="A3461" s="84">
        <f t="shared" si="111"/>
        <v>3455</v>
      </c>
      <c r="B3461" s="85" t="e">
        <f>+MATCH(D3461,ARTICULOS!$F$10:$F$699,0)</f>
        <v>#N/A</v>
      </c>
      <c r="C3461" s="86" t="e">
        <f>+VLOOKUP(B3461,ARTICULOS!$D$10:$I$699,6)</f>
        <v>#N/A</v>
      </c>
      <c r="D3461" s="212"/>
      <c r="E3461" s="75" t="e">
        <f t="shared" si="110"/>
        <v>#N/A</v>
      </c>
      <c r="F3461" s="80"/>
      <c r="G3461" s="81"/>
      <c r="H3461" s="78"/>
      <c r="I3461" s="78"/>
      <c r="J3461" s="78"/>
    </row>
    <row r="3462" spans="1:10" x14ac:dyDescent="0.2">
      <c r="A3462" s="84">
        <f t="shared" si="111"/>
        <v>3456</v>
      </c>
      <c r="B3462" s="85" t="e">
        <f>+MATCH(D3462,ARTICULOS!$F$10:$F$699,0)</f>
        <v>#N/A</v>
      </c>
      <c r="C3462" s="86" t="e">
        <f>+VLOOKUP(B3462,ARTICULOS!$D$10:$I$699,6)</f>
        <v>#N/A</v>
      </c>
      <c r="D3462" s="212"/>
      <c r="E3462" s="75" t="e">
        <f t="shared" si="110"/>
        <v>#N/A</v>
      </c>
      <c r="F3462" s="80"/>
      <c r="G3462" s="81"/>
      <c r="H3462" s="78"/>
      <c r="I3462" s="78"/>
      <c r="J3462" s="78"/>
    </row>
    <row r="3463" spans="1:10" x14ac:dyDescent="0.2">
      <c r="A3463" s="84">
        <f t="shared" si="111"/>
        <v>3457</v>
      </c>
      <c r="B3463" s="85" t="e">
        <f>+MATCH(D3463,ARTICULOS!$F$10:$F$699,0)</f>
        <v>#N/A</v>
      </c>
      <c r="C3463" s="86" t="e">
        <f>+VLOOKUP(B3463,ARTICULOS!$D$10:$I$699,6)</f>
        <v>#N/A</v>
      </c>
      <c r="D3463" s="212"/>
      <c r="E3463" s="75" t="e">
        <f t="shared" si="110"/>
        <v>#N/A</v>
      </c>
      <c r="F3463" s="80"/>
      <c r="G3463" s="81"/>
      <c r="H3463" s="78"/>
      <c r="I3463" s="78"/>
      <c r="J3463" s="78"/>
    </row>
    <row r="3464" spans="1:10" x14ac:dyDescent="0.2">
      <c r="A3464" s="84">
        <f t="shared" si="111"/>
        <v>3458</v>
      </c>
      <c r="B3464" s="85" t="e">
        <f>+MATCH(D3464,ARTICULOS!$F$10:$F$699,0)</f>
        <v>#N/A</v>
      </c>
      <c r="C3464" s="86" t="e">
        <f>+VLOOKUP(B3464,ARTICULOS!$D$10:$I$699,6)</f>
        <v>#N/A</v>
      </c>
      <c r="D3464" s="212"/>
      <c r="E3464" s="75" t="e">
        <f t="shared" si="110"/>
        <v>#N/A</v>
      </c>
      <c r="F3464" s="80"/>
      <c r="G3464" s="81"/>
      <c r="H3464" s="78"/>
      <c r="I3464" s="78"/>
      <c r="J3464" s="78"/>
    </row>
    <row r="3465" spans="1:10" x14ac:dyDescent="0.2">
      <c r="A3465" s="84">
        <f t="shared" si="111"/>
        <v>3459</v>
      </c>
      <c r="B3465" s="85" t="e">
        <f>+MATCH(D3465,ARTICULOS!$F$10:$F$699,0)</f>
        <v>#N/A</v>
      </c>
      <c r="C3465" s="86" t="e">
        <f>+VLOOKUP(B3465,ARTICULOS!$D$10:$I$699,6)</f>
        <v>#N/A</v>
      </c>
      <c r="D3465" s="212"/>
      <c r="E3465" s="75" t="e">
        <f t="shared" si="110"/>
        <v>#N/A</v>
      </c>
      <c r="F3465" s="80"/>
      <c r="G3465" s="81"/>
      <c r="H3465" s="78"/>
      <c r="I3465" s="78"/>
      <c r="J3465" s="78"/>
    </row>
    <row r="3466" spans="1:10" x14ac:dyDescent="0.2">
      <c r="A3466" s="84">
        <f t="shared" si="111"/>
        <v>3460</v>
      </c>
      <c r="B3466" s="85" t="e">
        <f>+MATCH(D3466,ARTICULOS!$F$10:$F$699,0)</f>
        <v>#N/A</v>
      </c>
      <c r="C3466" s="86" t="e">
        <f>+VLOOKUP(B3466,ARTICULOS!$D$10:$I$699,6)</f>
        <v>#N/A</v>
      </c>
      <c r="D3466" s="212"/>
      <c r="E3466" s="75" t="e">
        <f t="shared" si="110"/>
        <v>#N/A</v>
      </c>
      <c r="F3466" s="80"/>
      <c r="G3466" s="81"/>
      <c r="H3466" s="78"/>
      <c r="I3466" s="78"/>
      <c r="J3466" s="78"/>
    </row>
    <row r="3467" spans="1:10" x14ac:dyDescent="0.2">
      <c r="A3467" s="84">
        <f t="shared" si="111"/>
        <v>3461</v>
      </c>
      <c r="B3467" s="85" t="e">
        <f>+MATCH(D3467,ARTICULOS!$F$10:$F$699,0)</f>
        <v>#N/A</v>
      </c>
      <c r="C3467" s="86" t="e">
        <f>+VLOOKUP(B3467,ARTICULOS!$D$10:$I$699,6)</f>
        <v>#N/A</v>
      </c>
      <c r="D3467" s="212"/>
      <c r="E3467" s="75" t="e">
        <f t="shared" ref="E3467:E3530" si="112">+C3467&amp;F3467</f>
        <v>#N/A</v>
      </c>
      <c r="F3467" s="80"/>
      <c r="G3467" s="81"/>
      <c r="H3467" s="78"/>
      <c r="I3467" s="78"/>
      <c r="J3467" s="78"/>
    </row>
    <row r="3468" spans="1:10" x14ac:dyDescent="0.2">
      <c r="A3468" s="84">
        <f t="shared" si="111"/>
        <v>3462</v>
      </c>
      <c r="B3468" s="85" t="e">
        <f>+MATCH(D3468,ARTICULOS!$F$10:$F$699,0)</f>
        <v>#N/A</v>
      </c>
      <c r="C3468" s="86" t="e">
        <f>+VLOOKUP(B3468,ARTICULOS!$D$10:$I$699,6)</f>
        <v>#N/A</v>
      </c>
      <c r="D3468" s="212"/>
      <c r="E3468" s="75" t="e">
        <f t="shared" si="112"/>
        <v>#N/A</v>
      </c>
      <c r="F3468" s="80"/>
      <c r="G3468" s="81"/>
      <c r="H3468" s="78"/>
      <c r="I3468" s="78"/>
      <c r="J3468" s="78"/>
    </row>
    <row r="3469" spans="1:10" x14ac:dyDescent="0.2">
      <c r="A3469" s="84">
        <f t="shared" si="111"/>
        <v>3463</v>
      </c>
      <c r="B3469" s="85" t="e">
        <f>+MATCH(D3469,ARTICULOS!$F$10:$F$699,0)</f>
        <v>#N/A</v>
      </c>
      <c r="C3469" s="86" t="e">
        <f>+VLOOKUP(B3469,ARTICULOS!$D$10:$I$699,6)</f>
        <v>#N/A</v>
      </c>
      <c r="D3469" s="212"/>
      <c r="E3469" s="75" t="e">
        <f t="shared" si="112"/>
        <v>#N/A</v>
      </c>
      <c r="F3469" s="80"/>
      <c r="G3469" s="81"/>
      <c r="H3469" s="78"/>
      <c r="I3469" s="78"/>
      <c r="J3469" s="78"/>
    </row>
    <row r="3470" spans="1:10" x14ac:dyDescent="0.2">
      <c r="A3470" s="84">
        <f t="shared" si="111"/>
        <v>3464</v>
      </c>
      <c r="B3470" s="85" t="e">
        <f>+MATCH(D3470,ARTICULOS!$F$10:$F$699,0)</f>
        <v>#N/A</v>
      </c>
      <c r="C3470" s="86" t="e">
        <f>+VLOOKUP(B3470,ARTICULOS!$D$10:$I$699,6)</f>
        <v>#N/A</v>
      </c>
      <c r="D3470" s="212"/>
      <c r="E3470" s="75" t="e">
        <f t="shared" si="112"/>
        <v>#N/A</v>
      </c>
      <c r="F3470" s="80"/>
      <c r="G3470" s="81"/>
      <c r="H3470" s="78"/>
      <c r="I3470" s="78"/>
      <c r="J3470" s="78"/>
    </row>
    <row r="3471" spans="1:10" x14ac:dyDescent="0.2">
      <c r="A3471" s="84">
        <f t="shared" si="111"/>
        <v>3465</v>
      </c>
      <c r="B3471" s="85" t="e">
        <f>+MATCH(D3471,ARTICULOS!$F$10:$F$699,0)</f>
        <v>#N/A</v>
      </c>
      <c r="C3471" s="86" t="e">
        <f>+VLOOKUP(B3471,ARTICULOS!$D$10:$I$699,6)</f>
        <v>#N/A</v>
      </c>
      <c r="D3471" s="212"/>
      <c r="E3471" s="75" t="e">
        <f t="shared" si="112"/>
        <v>#N/A</v>
      </c>
      <c r="F3471" s="80"/>
      <c r="G3471" s="81"/>
      <c r="H3471" s="78"/>
      <c r="I3471" s="78"/>
      <c r="J3471" s="78"/>
    </row>
    <row r="3472" spans="1:10" x14ac:dyDescent="0.2">
      <c r="A3472" s="84">
        <f t="shared" si="111"/>
        <v>3466</v>
      </c>
      <c r="B3472" s="85" t="e">
        <f>+MATCH(D3472,ARTICULOS!$F$10:$F$699,0)</f>
        <v>#N/A</v>
      </c>
      <c r="C3472" s="86" t="e">
        <f>+VLOOKUP(B3472,ARTICULOS!$D$10:$I$699,6)</f>
        <v>#N/A</v>
      </c>
      <c r="D3472" s="212"/>
      <c r="E3472" s="75" t="e">
        <f t="shared" si="112"/>
        <v>#N/A</v>
      </c>
      <c r="F3472" s="80"/>
      <c r="G3472" s="81"/>
      <c r="H3472" s="78"/>
      <c r="I3472" s="78"/>
      <c r="J3472" s="78"/>
    </row>
    <row r="3473" spans="1:10" x14ac:dyDescent="0.2">
      <c r="A3473" s="84">
        <f t="shared" si="111"/>
        <v>3467</v>
      </c>
      <c r="B3473" s="85" t="e">
        <f>+MATCH(D3473,ARTICULOS!$F$10:$F$699,0)</f>
        <v>#N/A</v>
      </c>
      <c r="C3473" s="86" t="e">
        <f>+VLOOKUP(B3473,ARTICULOS!$D$10:$I$699,6)</f>
        <v>#N/A</v>
      </c>
      <c r="D3473" s="212"/>
      <c r="E3473" s="75" t="e">
        <f t="shared" si="112"/>
        <v>#N/A</v>
      </c>
      <c r="F3473" s="80"/>
      <c r="G3473" s="81"/>
      <c r="H3473" s="78"/>
      <c r="I3473" s="78"/>
      <c r="J3473" s="78"/>
    </row>
    <row r="3474" spans="1:10" x14ac:dyDescent="0.2">
      <c r="A3474" s="84">
        <f t="shared" si="111"/>
        <v>3468</v>
      </c>
      <c r="B3474" s="85" t="e">
        <f>+MATCH(D3474,ARTICULOS!$F$10:$F$699,0)</f>
        <v>#N/A</v>
      </c>
      <c r="C3474" s="86" t="e">
        <f>+VLOOKUP(B3474,ARTICULOS!$D$10:$I$699,6)</f>
        <v>#N/A</v>
      </c>
      <c r="D3474" s="212"/>
      <c r="E3474" s="75" t="e">
        <f t="shared" si="112"/>
        <v>#N/A</v>
      </c>
      <c r="F3474" s="80"/>
      <c r="G3474" s="81"/>
      <c r="H3474" s="78"/>
      <c r="I3474" s="78"/>
      <c r="J3474" s="78"/>
    </row>
    <row r="3475" spans="1:10" x14ac:dyDescent="0.2">
      <c r="A3475" s="84">
        <f t="shared" si="111"/>
        <v>3469</v>
      </c>
      <c r="B3475" s="85" t="e">
        <f>+MATCH(D3475,ARTICULOS!$F$10:$F$699,0)</f>
        <v>#N/A</v>
      </c>
      <c r="C3475" s="86" t="e">
        <f>+VLOOKUP(B3475,ARTICULOS!$D$10:$I$699,6)</f>
        <v>#N/A</v>
      </c>
      <c r="D3475" s="212"/>
      <c r="E3475" s="75" t="e">
        <f t="shared" si="112"/>
        <v>#N/A</v>
      </c>
      <c r="F3475" s="80"/>
      <c r="G3475" s="81"/>
      <c r="H3475" s="78"/>
      <c r="I3475" s="78"/>
      <c r="J3475" s="78"/>
    </row>
    <row r="3476" spans="1:10" x14ac:dyDescent="0.2">
      <c r="A3476" s="84">
        <f t="shared" si="111"/>
        <v>3470</v>
      </c>
      <c r="B3476" s="85" t="e">
        <f>+MATCH(D3476,ARTICULOS!$F$10:$F$699,0)</f>
        <v>#N/A</v>
      </c>
      <c r="C3476" s="86" t="e">
        <f>+VLOOKUP(B3476,ARTICULOS!$D$10:$I$699,6)</f>
        <v>#N/A</v>
      </c>
      <c r="D3476" s="212"/>
      <c r="E3476" s="75" t="e">
        <f t="shared" si="112"/>
        <v>#N/A</v>
      </c>
      <c r="F3476" s="80"/>
      <c r="G3476" s="81"/>
      <c r="H3476" s="78"/>
      <c r="I3476" s="78"/>
      <c r="J3476" s="78"/>
    </row>
    <row r="3477" spans="1:10" x14ac:dyDescent="0.2">
      <c r="A3477" s="84">
        <f t="shared" si="111"/>
        <v>3471</v>
      </c>
      <c r="B3477" s="85" t="e">
        <f>+MATCH(D3477,ARTICULOS!$F$10:$F$699,0)</f>
        <v>#N/A</v>
      </c>
      <c r="C3477" s="86" t="e">
        <f>+VLOOKUP(B3477,ARTICULOS!$D$10:$I$699,6)</f>
        <v>#N/A</v>
      </c>
      <c r="D3477" s="212"/>
      <c r="E3477" s="75" t="e">
        <f t="shared" si="112"/>
        <v>#N/A</v>
      </c>
      <c r="F3477" s="80"/>
      <c r="G3477" s="81"/>
      <c r="H3477" s="78"/>
      <c r="I3477" s="78"/>
      <c r="J3477" s="78"/>
    </row>
    <row r="3478" spans="1:10" x14ac:dyDescent="0.2">
      <c r="A3478" s="84">
        <f t="shared" si="111"/>
        <v>3472</v>
      </c>
      <c r="B3478" s="85" t="e">
        <f>+MATCH(D3478,ARTICULOS!$F$10:$F$699,0)</f>
        <v>#N/A</v>
      </c>
      <c r="C3478" s="86" t="e">
        <f>+VLOOKUP(B3478,ARTICULOS!$D$10:$I$699,6)</f>
        <v>#N/A</v>
      </c>
      <c r="D3478" s="212"/>
      <c r="E3478" s="75" t="e">
        <f t="shared" si="112"/>
        <v>#N/A</v>
      </c>
      <c r="F3478" s="80"/>
      <c r="G3478" s="81"/>
      <c r="H3478" s="78"/>
      <c r="I3478" s="78"/>
      <c r="J3478" s="78"/>
    </row>
    <row r="3479" spans="1:10" x14ac:dyDescent="0.2">
      <c r="A3479" s="84">
        <f t="shared" si="111"/>
        <v>3473</v>
      </c>
      <c r="B3479" s="85" t="e">
        <f>+MATCH(D3479,ARTICULOS!$F$10:$F$699,0)</f>
        <v>#N/A</v>
      </c>
      <c r="C3479" s="86" t="e">
        <f>+VLOOKUP(B3479,ARTICULOS!$D$10:$I$699,6)</f>
        <v>#N/A</v>
      </c>
      <c r="D3479" s="212"/>
      <c r="E3479" s="75" t="e">
        <f t="shared" si="112"/>
        <v>#N/A</v>
      </c>
      <c r="F3479" s="80"/>
      <c r="G3479" s="81"/>
      <c r="H3479" s="78"/>
      <c r="I3479" s="78"/>
      <c r="J3479" s="78"/>
    </row>
    <row r="3480" spans="1:10" x14ac:dyDescent="0.2">
      <c r="A3480" s="84">
        <f t="shared" si="111"/>
        <v>3474</v>
      </c>
      <c r="B3480" s="85" t="e">
        <f>+MATCH(D3480,ARTICULOS!$F$10:$F$699,0)</f>
        <v>#N/A</v>
      </c>
      <c r="C3480" s="86" t="e">
        <f>+VLOOKUP(B3480,ARTICULOS!$D$10:$I$699,6)</f>
        <v>#N/A</v>
      </c>
      <c r="D3480" s="212"/>
      <c r="E3480" s="75" t="e">
        <f t="shared" si="112"/>
        <v>#N/A</v>
      </c>
      <c r="F3480" s="80"/>
      <c r="G3480" s="81"/>
      <c r="H3480" s="78"/>
      <c r="I3480" s="78"/>
      <c r="J3480" s="78"/>
    </row>
    <row r="3481" spans="1:10" x14ac:dyDescent="0.2">
      <c r="A3481" s="84">
        <f t="shared" si="111"/>
        <v>3475</v>
      </c>
      <c r="B3481" s="85" t="e">
        <f>+MATCH(D3481,ARTICULOS!$F$10:$F$699,0)</f>
        <v>#N/A</v>
      </c>
      <c r="C3481" s="86" t="e">
        <f>+VLOOKUP(B3481,ARTICULOS!$D$10:$I$699,6)</f>
        <v>#N/A</v>
      </c>
      <c r="D3481" s="212"/>
      <c r="E3481" s="75" t="e">
        <f t="shared" si="112"/>
        <v>#N/A</v>
      </c>
      <c r="F3481" s="80"/>
      <c r="G3481" s="81"/>
      <c r="H3481" s="78"/>
      <c r="I3481" s="78"/>
      <c r="J3481" s="78"/>
    </row>
    <row r="3482" spans="1:10" x14ac:dyDescent="0.2">
      <c r="A3482" s="84">
        <f t="shared" si="111"/>
        <v>3476</v>
      </c>
      <c r="B3482" s="85" t="e">
        <f>+MATCH(D3482,ARTICULOS!$F$10:$F$699,0)</f>
        <v>#N/A</v>
      </c>
      <c r="C3482" s="86" t="e">
        <f>+VLOOKUP(B3482,ARTICULOS!$D$10:$I$699,6)</f>
        <v>#N/A</v>
      </c>
      <c r="D3482" s="212"/>
      <c r="E3482" s="75" t="e">
        <f t="shared" si="112"/>
        <v>#N/A</v>
      </c>
      <c r="F3482" s="80"/>
      <c r="G3482" s="81"/>
      <c r="H3482" s="78"/>
      <c r="I3482" s="78"/>
      <c r="J3482" s="78"/>
    </row>
    <row r="3483" spans="1:10" x14ac:dyDescent="0.2">
      <c r="A3483" s="84">
        <f t="shared" si="111"/>
        <v>3477</v>
      </c>
      <c r="B3483" s="85" t="e">
        <f>+MATCH(D3483,ARTICULOS!$F$10:$F$699,0)</f>
        <v>#N/A</v>
      </c>
      <c r="C3483" s="86" t="e">
        <f>+VLOOKUP(B3483,ARTICULOS!$D$10:$I$699,6)</f>
        <v>#N/A</v>
      </c>
      <c r="D3483" s="212"/>
      <c r="E3483" s="75" t="e">
        <f t="shared" si="112"/>
        <v>#N/A</v>
      </c>
      <c r="F3483" s="80"/>
      <c r="G3483" s="81"/>
      <c r="H3483" s="78"/>
      <c r="I3483" s="78"/>
      <c r="J3483" s="78"/>
    </row>
    <row r="3484" spans="1:10" x14ac:dyDescent="0.2">
      <c r="A3484" s="84">
        <f t="shared" si="111"/>
        <v>3478</v>
      </c>
      <c r="B3484" s="85" t="e">
        <f>+MATCH(D3484,ARTICULOS!$F$10:$F$699,0)</f>
        <v>#N/A</v>
      </c>
      <c r="C3484" s="86" t="e">
        <f>+VLOOKUP(B3484,ARTICULOS!$D$10:$I$699,6)</f>
        <v>#N/A</v>
      </c>
      <c r="D3484" s="212"/>
      <c r="E3484" s="75" t="e">
        <f t="shared" si="112"/>
        <v>#N/A</v>
      </c>
      <c r="F3484" s="80"/>
      <c r="G3484" s="81"/>
      <c r="H3484" s="78"/>
      <c r="I3484" s="78"/>
      <c r="J3484" s="78"/>
    </row>
    <row r="3485" spans="1:10" x14ac:dyDescent="0.2">
      <c r="A3485" s="84">
        <f t="shared" si="111"/>
        <v>3479</v>
      </c>
      <c r="B3485" s="85" t="e">
        <f>+MATCH(D3485,ARTICULOS!$F$10:$F$699,0)</f>
        <v>#N/A</v>
      </c>
      <c r="C3485" s="86" t="e">
        <f>+VLOOKUP(B3485,ARTICULOS!$D$10:$I$699,6)</f>
        <v>#N/A</v>
      </c>
      <c r="D3485" s="212"/>
      <c r="E3485" s="75" t="e">
        <f t="shared" si="112"/>
        <v>#N/A</v>
      </c>
      <c r="F3485" s="80"/>
      <c r="G3485" s="81"/>
      <c r="H3485" s="78"/>
      <c r="I3485" s="78"/>
      <c r="J3485" s="78"/>
    </row>
    <row r="3486" spans="1:10" x14ac:dyDescent="0.2">
      <c r="A3486" s="84">
        <f t="shared" si="111"/>
        <v>3480</v>
      </c>
      <c r="B3486" s="85" t="e">
        <f>+MATCH(D3486,ARTICULOS!$F$10:$F$699,0)</f>
        <v>#N/A</v>
      </c>
      <c r="C3486" s="86" t="e">
        <f>+VLOOKUP(B3486,ARTICULOS!$D$10:$I$699,6)</f>
        <v>#N/A</v>
      </c>
      <c r="D3486" s="212"/>
      <c r="E3486" s="75" t="e">
        <f t="shared" si="112"/>
        <v>#N/A</v>
      </c>
      <c r="F3486" s="80"/>
      <c r="G3486" s="81"/>
      <c r="H3486" s="78"/>
      <c r="I3486" s="78"/>
      <c r="J3486" s="78"/>
    </row>
    <row r="3487" spans="1:10" x14ac:dyDescent="0.2">
      <c r="A3487" s="84">
        <f t="shared" si="111"/>
        <v>3481</v>
      </c>
      <c r="B3487" s="85" t="e">
        <f>+MATCH(D3487,ARTICULOS!$F$10:$F$699,0)</f>
        <v>#N/A</v>
      </c>
      <c r="C3487" s="86" t="e">
        <f>+VLOOKUP(B3487,ARTICULOS!$D$10:$I$699,6)</f>
        <v>#N/A</v>
      </c>
      <c r="D3487" s="212"/>
      <c r="E3487" s="75" t="e">
        <f t="shared" si="112"/>
        <v>#N/A</v>
      </c>
      <c r="F3487" s="80"/>
      <c r="G3487" s="81"/>
      <c r="H3487" s="78"/>
      <c r="I3487" s="78"/>
      <c r="J3487" s="78"/>
    </row>
    <row r="3488" spans="1:10" x14ac:dyDescent="0.2">
      <c r="A3488" s="84">
        <f t="shared" si="111"/>
        <v>3482</v>
      </c>
      <c r="B3488" s="85" t="e">
        <f>+MATCH(D3488,ARTICULOS!$F$10:$F$699,0)</f>
        <v>#N/A</v>
      </c>
      <c r="C3488" s="86" t="e">
        <f>+VLOOKUP(B3488,ARTICULOS!$D$10:$I$699,6)</f>
        <v>#N/A</v>
      </c>
      <c r="D3488" s="212"/>
      <c r="E3488" s="75" t="e">
        <f t="shared" si="112"/>
        <v>#N/A</v>
      </c>
      <c r="F3488" s="80"/>
      <c r="G3488" s="81"/>
      <c r="H3488" s="78"/>
      <c r="I3488" s="78"/>
      <c r="J3488" s="78"/>
    </row>
    <row r="3489" spans="1:10" x14ac:dyDescent="0.2">
      <c r="A3489" s="84">
        <f t="shared" si="111"/>
        <v>3483</v>
      </c>
      <c r="B3489" s="85" t="e">
        <f>+MATCH(D3489,ARTICULOS!$F$10:$F$699,0)</f>
        <v>#N/A</v>
      </c>
      <c r="C3489" s="86" t="e">
        <f>+VLOOKUP(B3489,ARTICULOS!$D$10:$I$699,6)</f>
        <v>#N/A</v>
      </c>
      <c r="D3489" s="212"/>
      <c r="E3489" s="75" t="e">
        <f t="shared" si="112"/>
        <v>#N/A</v>
      </c>
      <c r="F3489" s="80"/>
      <c r="G3489" s="81"/>
      <c r="H3489" s="78"/>
      <c r="I3489" s="78"/>
      <c r="J3489" s="78"/>
    </row>
    <row r="3490" spans="1:10" x14ac:dyDescent="0.2">
      <c r="A3490" s="84">
        <f t="shared" si="111"/>
        <v>3484</v>
      </c>
      <c r="B3490" s="85" t="e">
        <f>+MATCH(D3490,ARTICULOS!$F$10:$F$699,0)</f>
        <v>#N/A</v>
      </c>
      <c r="C3490" s="86" t="e">
        <f>+VLOOKUP(B3490,ARTICULOS!$D$10:$I$699,6)</f>
        <v>#N/A</v>
      </c>
      <c r="D3490" s="212"/>
      <c r="E3490" s="75" t="e">
        <f t="shared" si="112"/>
        <v>#N/A</v>
      </c>
      <c r="F3490" s="80"/>
      <c r="G3490" s="81"/>
      <c r="H3490" s="78"/>
      <c r="I3490" s="78"/>
      <c r="J3490" s="78"/>
    </row>
    <row r="3491" spans="1:10" x14ac:dyDescent="0.2">
      <c r="A3491" s="84">
        <f t="shared" si="111"/>
        <v>3485</v>
      </c>
      <c r="B3491" s="85" t="e">
        <f>+MATCH(D3491,ARTICULOS!$F$10:$F$699,0)</f>
        <v>#N/A</v>
      </c>
      <c r="C3491" s="86" t="e">
        <f>+VLOOKUP(B3491,ARTICULOS!$D$10:$I$699,6)</f>
        <v>#N/A</v>
      </c>
      <c r="D3491" s="212"/>
      <c r="E3491" s="75" t="e">
        <f t="shared" si="112"/>
        <v>#N/A</v>
      </c>
      <c r="F3491" s="80"/>
      <c r="G3491" s="81"/>
      <c r="H3491" s="78"/>
      <c r="I3491" s="78"/>
      <c r="J3491" s="78"/>
    </row>
    <row r="3492" spans="1:10" x14ac:dyDescent="0.2">
      <c r="A3492" s="84">
        <f t="shared" si="111"/>
        <v>3486</v>
      </c>
      <c r="B3492" s="85" t="e">
        <f>+MATCH(D3492,ARTICULOS!$F$10:$F$699,0)</f>
        <v>#N/A</v>
      </c>
      <c r="C3492" s="86" t="e">
        <f>+VLOOKUP(B3492,ARTICULOS!$D$10:$I$699,6)</f>
        <v>#N/A</v>
      </c>
      <c r="D3492" s="212"/>
      <c r="E3492" s="75" t="e">
        <f t="shared" si="112"/>
        <v>#N/A</v>
      </c>
      <c r="F3492" s="80"/>
      <c r="G3492" s="81"/>
      <c r="H3492" s="78"/>
      <c r="I3492" s="78"/>
      <c r="J3492" s="78"/>
    </row>
    <row r="3493" spans="1:10" x14ac:dyDescent="0.2">
      <c r="A3493" s="84">
        <f t="shared" si="111"/>
        <v>3487</v>
      </c>
      <c r="B3493" s="85" t="e">
        <f>+MATCH(D3493,ARTICULOS!$F$10:$F$699,0)</f>
        <v>#N/A</v>
      </c>
      <c r="C3493" s="86" t="e">
        <f>+VLOOKUP(B3493,ARTICULOS!$D$10:$I$699,6)</f>
        <v>#N/A</v>
      </c>
      <c r="D3493" s="212"/>
      <c r="E3493" s="75" t="e">
        <f t="shared" si="112"/>
        <v>#N/A</v>
      </c>
      <c r="F3493" s="80"/>
      <c r="G3493" s="81"/>
      <c r="H3493" s="78"/>
      <c r="I3493" s="78"/>
      <c r="J3493" s="78"/>
    </row>
    <row r="3494" spans="1:10" x14ac:dyDescent="0.2">
      <c r="A3494" s="84">
        <f t="shared" si="111"/>
        <v>3488</v>
      </c>
      <c r="B3494" s="85" t="e">
        <f>+MATCH(D3494,ARTICULOS!$F$10:$F$699,0)</f>
        <v>#N/A</v>
      </c>
      <c r="C3494" s="86" t="e">
        <f>+VLOOKUP(B3494,ARTICULOS!$D$10:$I$699,6)</f>
        <v>#N/A</v>
      </c>
      <c r="D3494" s="212"/>
      <c r="E3494" s="75" t="e">
        <f t="shared" si="112"/>
        <v>#N/A</v>
      </c>
      <c r="F3494" s="80"/>
      <c r="G3494" s="81"/>
      <c r="H3494" s="78"/>
      <c r="I3494" s="78"/>
      <c r="J3494" s="78"/>
    </row>
    <row r="3495" spans="1:10" x14ac:dyDescent="0.2">
      <c r="A3495" s="84">
        <f t="shared" si="111"/>
        <v>3489</v>
      </c>
      <c r="B3495" s="85" t="e">
        <f>+MATCH(D3495,ARTICULOS!$F$10:$F$699,0)</f>
        <v>#N/A</v>
      </c>
      <c r="C3495" s="86" t="e">
        <f>+VLOOKUP(B3495,ARTICULOS!$D$10:$I$699,6)</f>
        <v>#N/A</v>
      </c>
      <c r="D3495" s="212"/>
      <c r="E3495" s="75" t="e">
        <f t="shared" si="112"/>
        <v>#N/A</v>
      </c>
      <c r="F3495" s="80"/>
      <c r="G3495" s="81"/>
      <c r="H3495" s="78"/>
      <c r="I3495" s="78"/>
      <c r="J3495" s="78"/>
    </row>
    <row r="3496" spans="1:10" x14ac:dyDescent="0.2">
      <c r="A3496" s="84">
        <f t="shared" si="111"/>
        <v>3490</v>
      </c>
      <c r="B3496" s="85" t="e">
        <f>+MATCH(D3496,ARTICULOS!$F$10:$F$699,0)</f>
        <v>#N/A</v>
      </c>
      <c r="C3496" s="86" t="e">
        <f>+VLOOKUP(B3496,ARTICULOS!$D$10:$I$699,6)</f>
        <v>#N/A</v>
      </c>
      <c r="D3496" s="212"/>
      <c r="E3496" s="75" t="e">
        <f t="shared" si="112"/>
        <v>#N/A</v>
      </c>
      <c r="F3496" s="80"/>
      <c r="G3496" s="81"/>
      <c r="H3496" s="78"/>
      <c r="I3496" s="78"/>
      <c r="J3496" s="78"/>
    </row>
    <row r="3497" spans="1:10" x14ac:dyDescent="0.2">
      <c r="A3497" s="84">
        <f t="shared" ref="A3497:A3560" si="113">ROW()-6</f>
        <v>3491</v>
      </c>
      <c r="B3497" s="85" t="e">
        <f>+MATCH(D3497,ARTICULOS!$F$10:$F$699,0)</f>
        <v>#N/A</v>
      </c>
      <c r="C3497" s="86" t="e">
        <f>+VLOOKUP(B3497,ARTICULOS!$D$10:$I$699,6)</f>
        <v>#N/A</v>
      </c>
      <c r="D3497" s="212"/>
      <c r="E3497" s="75" t="e">
        <f t="shared" si="112"/>
        <v>#N/A</v>
      </c>
      <c r="F3497" s="80"/>
      <c r="G3497" s="81"/>
      <c r="H3497" s="78"/>
      <c r="I3497" s="78"/>
      <c r="J3497" s="78"/>
    </row>
    <row r="3498" spans="1:10" x14ac:dyDescent="0.2">
      <c r="A3498" s="84">
        <f t="shared" si="113"/>
        <v>3492</v>
      </c>
      <c r="B3498" s="85" t="e">
        <f>+MATCH(D3498,ARTICULOS!$F$10:$F$699,0)</f>
        <v>#N/A</v>
      </c>
      <c r="C3498" s="86" t="e">
        <f>+VLOOKUP(B3498,ARTICULOS!$D$10:$I$699,6)</f>
        <v>#N/A</v>
      </c>
      <c r="D3498" s="212"/>
      <c r="E3498" s="75" t="e">
        <f t="shared" si="112"/>
        <v>#N/A</v>
      </c>
      <c r="F3498" s="80"/>
      <c r="G3498" s="81"/>
      <c r="H3498" s="78"/>
      <c r="I3498" s="78"/>
      <c r="J3498" s="78"/>
    </row>
    <row r="3499" spans="1:10" x14ac:dyDescent="0.2">
      <c r="A3499" s="84">
        <f t="shared" si="113"/>
        <v>3493</v>
      </c>
      <c r="B3499" s="85" t="e">
        <f>+MATCH(D3499,ARTICULOS!$F$10:$F$699,0)</f>
        <v>#N/A</v>
      </c>
      <c r="C3499" s="86" t="e">
        <f>+VLOOKUP(B3499,ARTICULOS!$D$10:$I$699,6)</f>
        <v>#N/A</v>
      </c>
      <c r="D3499" s="212"/>
      <c r="E3499" s="75" t="e">
        <f t="shared" si="112"/>
        <v>#N/A</v>
      </c>
      <c r="F3499" s="80"/>
      <c r="G3499" s="81"/>
      <c r="H3499" s="78"/>
      <c r="I3499" s="78"/>
      <c r="J3499" s="78"/>
    </row>
    <row r="3500" spans="1:10" x14ac:dyDescent="0.2">
      <c r="A3500" s="84">
        <f t="shared" si="113"/>
        <v>3494</v>
      </c>
      <c r="B3500" s="85" t="e">
        <f>+MATCH(D3500,ARTICULOS!$F$10:$F$699,0)</f>
        <v>#N/A</v>
      </c>
      <c r="C3500" s="86" t="e">
        <f>+VLOOKUP(B3500,ARTICULOS!$D$10:$I$699,6)</f>
        <v>#N/A</v>
      </c>
      <c r="D3500" s="212"/>
      <c r="E3500" s="75" t="e">
        <f t="shared" si="112"/>
        <v>#N/A</v>
      </c>
      <c r="F3500" s="80"/>
      <c r="G3500" s="81"/>
      <c r="H3500" s="78"/>
      <c r="I3500" s="78"/>
      <c r="J3500" s="78"/>
    </row>
    <row r="3501" spans="1:10" x14ac:dyDescent="0.2">
      <c r="A3501" s="84">
        <f t="shared" si="113"/>
        <v>3495</v>
      </c>
      <c r="B3501" s="85" t="e">
        <f>+MATCH(D3501,ARTICULOS!$F$10:$F$699,0)</f>
        <v>#N/A</v>
      </c>
      <c r="C3501" s="86" t="e">
        <f>+VLOOKUP(B3501,ARTICULOS!$D$10:$I$699,6)</f>
        <v>#N/A</v>
      </c>
      <c r="D3501" s="212"/>
      <c r="E3501" s="75" t="e">
        <f t="shared" si="112"/>
        <v>#N/A</v>
      </c>
      <c r="F3501" s="80"/>
      <c r="G3501" s="81"/>
      <c r="H3501" s="78"/>
      <c r="I3501" s="78"/>
      <c r="J3501" s="78"/>
    </row>
    <row r="3502" spans="1:10" x14ac:dyDescent="0.2">
      <c r="A3502" s="84">
        <f t="shared" si="113"/>
        <v>3496</v>
      </c>
      <c r="B3502" s="85" t="e">
        <f>+MATCH(D3502,ARTICULOS!$F$10:$F$699,0)</f>
        <v>#N/A</v>
      </c>
      <c r="C3502" s="86" t="e">
        <f>+VLOOKUP(B3502,ARTICULOS!$D$10:$I$699,6)</f>
        <v>#N/A</v>
      </c>
      <c r="D3502" s="212"/>
      <c r="E3502" s="75" t="e">
        <f t="shared" si="112"/>
        <v>#N/A</v>
      </c>
      <c r="F3502" s="80"/>
      <c r="G3502" s="81"/>
      <c r="H3502" s="78"/>
      <c r="I3502" s="78"/>
      <c r="J3502" s="78"/>
    </row>
    <row r="3503" spans="1:10" x14ac:dyDescent="0.2">
      <c r="A3503" s="84">
        <f t="shared" si="113"/>
        <v>3497</v>
      </c>
      <c r="B3503" s="85" t="e">
        <f>+MATCH(D3503,ARTICULOS!$F$10:$F$699,0)</f>
        <v>#N/A</v>
      </c>
      <c r="C3503" s="86" t="e">
        <f>+VLOOKUP(B3503,ARTICULOS!$D$10:$I$699,6)</f>
        <v>#N/A</v>
      </c>
      <c r="D3503" s="212"/>
      <c r="E3503" s="75" t="e">
        <f t="shared" si="112"/>
        <v>#N/A</v>
      </c>
      <c r="F3503" s="80"/>
      <c r="G3503" s="81"/>
      <c r="H3503" s="78"/>
      <c r="I3503" s="78"/>
      <c r="J3503" s="78"/>
    </row>
    <row r="3504" spans="1:10" x14ac:dyDescent="0.2">
      <c r="A3504" s="84">
        <f t="shared" si="113"/>
        <v>3498</v>
      </c>
      <c r="B3504" s="85" t="e">
        <f>+MATCH(D3504,ARTICULOS!$F$10:$F$699,0)</f>
        <v>#N/A</v>
      </c>
      <c r="C3504" s="86" t="e">
        <f>+VLOOKUP(B3504,ARTICULOS!$D$10:$I$699,6)</f>
        <v>#N/A</v>
      </c>
      <c r="D3504" s="212"/>
      <c r="E3504" s="75" t="e">
        <f t="shared" si="112"/>
        <v>#N/A</v>
      </c>
      <c r="F3504" s="80"/>
      <c r="G3504" s="81"/>
      <c r="H3504" s="78"/>
      <c r="I3504" s="78"/>
      <c r="J3504" s="78"/>
    </row>
    <row r="3505" spans="1:10" x14ac:dyDescent="0.2">
      <c r="A3505" s="84">
        <f t="shared" si="113"/>
        <v>3499</v>
      </c>
      <c r="B3505" s="85" t="e">
        <f>+MATCH(D3505,ARTICULOS!$F$10:$F$699,0)</f>
        <v>#N/A</v>
      </c>
      <c r="C3505" s="86" t="e">
        <f>+VLOOKUP(B3505,ARTICULOS!$D$10:$I$699,6)</f>
        <v>#N/A</v>
      </c>
      <c r="D3505" s="212"/>
      <c r="E3505" s="75" t="e">
        <f t="shared" si="112"/>
        <v>#N/A</v>
      </c>
      <c r="F3505" s="80"/>
      <c r="G3505" s="81"/>
      <c r="H3505" s="78"/>
      <c r="I3505" s="78"/>
      <c r="J3505" s="78"/>
    </row>
    <row r="3506" spans="1:10" x14ac:dyDescent="0.2">
      <c r="A3506" s="84">
        <f t="shared" si="113"/>
        <v>3500</v>
      </c>
      <c r="B3506" s="85" t="e">
        <f>+MATCH(D3506,ARTICULOS!$F$10:$F$699,0)</f>
        <v>#N/A</v>
      </c>
      <c r="C3506" s="86" t="e">
        <f>+VLOOKUP(B3506,ARTICULOS!$D$10:$I$699,6)</f>
        <v>#N/A</v>
      </c>
      <c r="D3506" s="212"/>
      <c r="E3506" s="75" t="e">
        <f t="shared" si="112"/>
        <v>#N/A</v>
      </c>
      <c r="F3506" s="80"/>
      <c r="G3506" s="81"/>
      <c r="H3506" s="78"/>
      <c r="I3506" s="78"/>
      <c r="J3506" s="78"/>
    </row>
    <row r="3507" spans="1:10" x14ac:dyDescent="0.2">
      <c r="A3507" s="84">
        <f t="shared" si="113"/>
        <v>3501</v>
      </c>
      <c r="B3507" s="85" t="e">
        <f>+MATCH(D3507,ARTICULOS!$F$10:$F$699,0)</f>
        <v>#N/A</v>
      </c>
      <c r="C3507" s="86" t="e">
        <f>+VLOOKUP(B3507,ARTICULOS!$D$10:$I$699,6)</f>
        <v>#N/A</v>
      </c>
      <c r="D3507" s="212"/>
      <c r="E3507" s="75" t="e">
        <f t="shared" si="112"/>
        <v>#N/A</v>
      </c>
      <c r="F3507" s="80"/>
      <c r="G3507" s="81"/>
      <c r="H3507" s="78"/>
      <c r="I3507" s="78"/>
      <c r="J3507" s="78"/>
    </row>
    <row r="3508" spans="1:10" x14ac:dyDescent="0.2">
      <c r="A3508" s="84">
        <f t="shared" si="113"/>
        <v>3502</v>
      </c>
      <c r="B3508" s="85" t="e">
        <f>+MATCH(D3508,ARTICULOS!$F$10:$F$699,0)</f>
        <v>#N/A</v>
      </c>
      <c r="C3508" s="86" t="e">
        <f>+VLOOKUP(B3508,ARTICULOS!$D$10:$I$699,6)</f>
        <v>#N/A</v>
      </c>
      <c r="D3508" s="212"/>
      <c r="E3508" s="75" t="e">
        <f t="shared" si="112"/>
        <v>#N/A</v>
      </c>
      <c r="F3508" s="80"/>
      <c r="G3508" s="81"/>
      <c r="H3508" s="78"/>
      <c r="I3508" s="78"/>
      <c r="J3508" s="78"/>
    </row>
    <row r="3509" spans="1:10" x14ac:dyDescent="0.2">
      <c r="A3509" s="84">
        <f t="shared" si="113"/>
        <v>3503</v>
      </c>
      <c r="B3509" s="85" t="e">
        <f>+MATCH(D3509,ARTICULOS!$F$10:$F$699,0)</f>
        <v>#N/A</v>
      </c>
      <c r="C3509" s="86" t="e">
        <f>+VLOOKUP(B3509,ARTICULOS!$D$10:$I$699,6)</f>
        <v>#N/A</v>
      </c>
      <c r="D3509" s="212"/>
      <c r="E3509" s="75" t="e">
        <f t="shared" si="112"/>
        <v>#N/A</v>
      </c>
      <c r="F3509" s="80"/>
      <c r="G3509" s="81"/>
      <c r="H3509" s="78"/>
      <c r="I3509" s="78"/>
      <c r="J3509" s="78"/>
    </row>
    <row r="3510" spans="1:10" x14ac:dyDescent="0.2">
      <c r="A3510" s="84">
        <f t="shared" si="113"/>
        <v>3504</v>
      </c>
      <c r="B3510" s="85" t="e">
        <f>+MATCH(D3510,ARTICULOS!$F$10:$F$699,0)</f>
        <v>#N/A</v>
      </c>
      <c r="C3510" s="86" t="e">
        <f>+VLOOKUP(B3510,ARTICULOS!$D$10:$I$699,6)</f>
        <v>#N/A</v>
      </c>
      <c r="D3510" s="212"/>
      <c r="E3510" s="75" t="e">
        <f t="shared" si="112"/>
        <v>#N/A</v>
      </c>
      <c r="F3510" s="80"/>
      <c r="G3510" s="81"/>
      <c r="H3510" s="78"/>
      <c r="I3510" s="78"/>
      <c r="J3510" s="78"/>
    </row>
    <row r="3511" spans="1:10" x14ac:dyDescent="0.2">
      <c r="A3511" s="84">
        <f t="shared" si="113"/>
        <v>3505</v>
      </c>
      <c r="B3511" s="85" t="e">
        <f>+MATCH(D3511,ARTICULOS!$F$10:$F$699,0)</f>
        <v>#N/A</v>
      </c>
      <c r="C3511" s="86" t="e">
        <f>+VLOOKUP(B3511,ARTICULOS!$D$10:$I$699,6)</f>
        <v>#N/A</v>
      </c>
      <c r="D3511" s="212"/>
      <c r="E3511" s="75" t="e">
        <f t="shared" si="112"/>
        <v>#N/A</v>
      </c>
      <c r="F3511" s="80"/>
      <c r="G3511" s="81"/>
      <c r="H3511" s="78"/>
      <c r="I3511" s="78"/>
      <c r="J3511" s="78"/>
    </row>
    <row r="3512" spans="1:10" x14ac:dyDescent="0.2">
      <c r="A3512" s="84">
        <f t="shared" si="113"/>
        <v>3506</v>
      </c>
      <c r="B3512" s="85" t="e">
        <f>+MATCH(D3512,ARTICULOS!$F$10:$F$699,0)</f>
        <v>#N/A</v>
      </c>
      <c r="C3512" s="86" t="e">
        <f>+VLOOKUP(B3512,ARTICULOS!$D$10:$I$699,6)</f>
        <v>#N/A</v>
      </c>
      <c r="D3512" s="212"/>
      <c r="E3512" s="75" t="e">
        <f t="shared" si="112"/>
        <v>#N/A</v>
      </c>
      <c r="F3512" s="80"/>
      <c r="G3512" s="81"/>
      <c r="H3512" s="78"/>
      <c r="I3512" s="78"/>
      <c r="J3512" s="78"/>
    </row>
    <row r="3513" spans="1:10" x14ac:dyDescent="0.2">
      <c r="A3513" s="84">
        <f t="shared" si="113"/>
        <v>3507</v>
      </c>
      <c r="B3513" s="85" t="e">
        <f>+MATCH(D3513,ARTICULOS!$F$10:$F$699,0)</f>
        <v>#N/A</v>
      </c>
      <c r="C3513" s="86" t="e">
        <f>+VLOOKUP(B3513,ARTICULOS!$D$10:$I$699,6)</f>
        <v>#N/A</v>
      </c>
      <c r="D3513" s="212"/>
      <c r="E3513" s="75" t="e">
        <f t="shared" si="112"/>
        <v>#N/A</v>
      </c>
      <c r="F3513" s="80"/>
      <c r="G3513" s="81"/>
      <c r="H3513" s="78"/>
      <c r="I3513" s="78"/>
      <c r="J3513" s="78"/>
    </row>
    <row r="3514" spans="1:10" x14ac:dyDescent="0.2">
      <c r="A3514" s="84">
        <f t="shared" si="113"/>
        <v>3508</v>
      </c>
      <c r="B3514" s="85" t="e">
        <f>+MATCH(D3514,ARTICULOS!$F$10:$F$699,0)</f>
        <v>#N/A</v>
      </c>
      <c r="C3514" s="86" t="e">
        <f>+VLOOKUP(B3514,ARTICULOS!$D$10:$I$699,6)</f>
        <v>#N/A</v>
      </c>
      <c r="D3514" s="212"/>
      <c r="E3514" s="75" t="e">
        <f t="shared" si="112"/>
        <v>#N/A</v>
      </c>
      <c r="F3514" s="80"/>
      <c r="G3514" s="81"/>
      <c r="H3514" s="78"/>
      <c r="I3514" s="78"/>
      <c r="J3514" s="78"/>
    </row>
    <row r="3515" spans="1:10" x14ac:dyDescent="0.2">
      <c r="A3515" s="84">
        <f t="shared" si="113"/>
        <v>3509</v>
      </c>
      <c r="B3515" s="85" t="e">
        <f>+MATCH(D3515,ARTICULOS!$F$10:$F$699,0)</f>
        <v>#N/A</v>
      </c>
      <c r="C3515" s="86" t="e">
        <f>+VLOOKUP(B3515,ARTICULOS!$D$10:$I$699,6)</f>
        <v>#N/A</v>
      </c>
      <c r="D3515" s="212"/>
      <c r="E3515" s="75" t="e">
        <f t="shared" si="112"/>
        <v>#N/A</v>
      </c>
      <c r="F3515" s="80"/>
      <c r="G3515" s="81"/>
      <c r="H3515" s="78"/>
      <c r="I3515" s="78"/>
      <c r="J3515" s="78"/>
    </row>
    <row r="3516" spans="1:10" x14ac:dyDescent="0.2">
      <c r="A3516" s="84">
        <f t="shared" si="113"/>
        <v>3510</v>
      </c>
      <c r="B3516" s="85" t="e">
        <f>+MATCH(D3516,ARTICULOS!$F$10:$F$699,0)</f>
        <v>#N/A</v>
      </c>
      <c r="C3516" s="86" t="e">
        <f>+VLOOKUP(B3516,ARTICULOS!$D$10:$I$699,6)</f>
        <v>#N/A</v>
      </c>
      <c r="D3516" s="212"/>
      <c r="E3516" s="75" t="e">
        <f t="shared" si="112"/>
        <v>#N/A</v>
      </c>
      <c r="F3516" s="80"/>
      <c r="G3516" s="81"/>
      <c r="H3516" s="78"/>
      <c r="I3516" s="78"/>
      <c r="J3516" s="78"/>
    </row>
    <row r="3517" spans="1:10" x14ac:dyDescent="0.2">
      <c r="A3517" s="84">
        <f t="shared" si="113"/>
        <v>3511</v>
      </c>
      <c r="B3517" s="85" t="e">
        <f>+MATCH(D3517,ARTICULOS!$F$10:$F$699,0)</f>
        <v>#N/A</v>
      </c>
      <c r="C3517" s="86" t="e">
        <f>+VLOOKUP(B3517,ARTICULOS!$D$10:$I$699,6)</f>
        <v>#N/A</v>
      </c>
      <c r="D3517" s="212"/>
      <c r="E3517" s="75" t="e">
        <f t="shared" si="112"/>
        <v>#N/A</v>
      </c>
      <c r="F3517" s="80"/>
      <c r="G3517" s="81"/>
      <c r="H3517" s="78"/>
      <c r="I3517" s="78"/>
      <c r="J3517" s="78"/>
    </row>
    <row r="3518" spans="1:10" x14ac:dyDescent="0.2">
      <c r="A3518" s="84">
        <f t="shared" si="113"/>
        <v>3512</v>
      </c>
      <c r="B3518" s="85" t="e">
        <f>+MATCH(D3518,ARTICULOS!$F$10:$F$699,0)</f>
        <v>#N/A</v>
      </c>
      <c r="C3518" s="86" t="e">
        <f>+VLOOKUP(B3518,ARTICULOS!$D$10:$I$699,6)</f>
        <v>#N/A</v>
      </c>
      <c r="D3518" s="212"/>
      <c r="E3518" s="75" t="e">
        <f t="shared" si="112"/>
        <v>#N/A</v>
      </c>
      <c r="F3518" s="80"/>
      <c r="G3518" s="81"/>
      <c r="H3518" s="78"/>
      <c r="I3518" s="78"/>
      <c r="J3518" s="78"/>
    </row>
    <row r="3519" spans="1:10" x14ac:dyDescent="0.2">
      <c r="A3519" s="84">
        <f t="shared" si="113"/>
        <v>3513</v>
      </c>
      <c r="B3519" s="85" t="e">
        <f>+MATCH(D3519,ARTICULOS!$F$10:$F$699,0)</f>
        <v>#N/A</v>
      </c>
      <c r="C3519" s="86" t="e">
        <f>+VLOOKUP(B3519,ARTICULOS!$D$10:$I$699,6)</f>
        <v>#N/A</v>
      </c>
      <c r="D3519" s="212"/>
      <c r="E3519" s="75" t="e">
        <f t="shared" si="112"/>
        <v>#N/A</v>
      </c>
      <c r="F3519" s="80"/>
      <c r="G3519" s="81"/>
      <c r="H3519" s="78"/>
      <c r="I3519" s="78"/>
      <c r="J3519" s="78"/>
    </row>
    <row r="3520" spans="1:10" x14ac:dyDescent="0.2">
      <c r="A3520" s="84">
        <f t="shared" si="113"/>
        <v>3514</v>
      </c>
      <c r="B3520" s="85" t="e">
        <f>+MATCH(D3520,ARTICULOS!$F$10:$F$699,0)</f>
        <v>#N/A</v>
      </c>
      <c r="C3520" s="86" t="e">
        <f>+VLOOKUP(B3520,ARTICULOS!$D$10:$I$699,6)</f>
        <v>#N/A</v>
      </c>
      <c r="D3520" s="212"/>
      <c r="E3520" s="75" t="e">
        <f t="shared" si="112"/>
        <v>#N/A</v>
      </c>
      <c r="F3520" s="80"/>
      <c r="G3520" s="81"/>
      <c r="H3520" s="78"/>
      <c r="I3520" s="78"/>
      <c r="J3520" s="78"/>
    </row>
    <row r="3521" spans="1:10" x14ac:dyDescent="0.2">
      <c r="A3521" s="84">
        <f t="shared" si="113"/>
        <v>3515</v>
      </c>
      <c r="B3521" s="85" t="e">
        <f>+MATCH(D3521,ARTICULOS!$F$10:$F$699,0)</f>
        <v>#N/A</v>
      </c>
      <c r="C3521" s="86" t="e">
        <f>+VLOOKUP(B3521,ARTICULOS!$D$10:$I$699,6)</f>
        <v>#N/A</v>
      </c>
      <c r="D3521" s="212"/>
      <c r="E3521" s="75" t="e">
        <f t="shared" si="112"/>
        <v>#N/A</v>
      </c>
      <c r="F3521" s="80"/>
      <c r="G3521" s="81"/>
      <c r="H3521" s="78"/>
      <c r="I3521" s="78"/>
      <c r="J3521" s="78"/>
    </row>
    <row r="3522" spans="1:10" x14ac:dyDescent="0.2">
      <c r="A3522" s="84">
        <f t="shared" si="113"/>
        <v>3516</v>
      </c>
      <c r="B3522" s="85" t="e">
        <f>+MATCH(D3522,ARTICULOS!$F$10:$F$699,0)</f>
        <v>#N/A</v>
      </c>
      <c r="C3522" s="86" t="e">
        <f>+VLOOKUP(B3522,ARTICULOS!$D$10:$I$699,6)</f>
        <v>#N/A</v>
      </c>
      <c r="D3522" s="212"/>
      <c r="E3522" s="75" t="e">
        <f t="shared" si="112"/>
        <v>#N/A</v>
      </c>
      <c r="F3522" s="80"/>
      <c r="G3522" s="81"/>
      <c r="H3522" s="78"/>
      <c r="I3522" s="78"/>
      <c r="J3522" s="78"/>
    </row>
    <row r="3523" spans="1:10" x14ac:dyDescent="0.2">
      <c r="A3523" s="84">
        <f t="shared" si="113"/>
        <v>3517</v>
      </c>
      <c r="B3523" s="85" t="e">
        <f>+MATCH(D3523,ARTICULOS!$F$10:$F$699,0)</f>
        <v>#N/A</v>
      </c>
      <c r="C3523" s="86" t="e">
        <f>+VLOOKUP(B3523,ARTICULOS!$D$10:$I$699,6)</f>
        <v>#N/A</v>
      </c>
      <c r="D3523" s="212"/>
      <c r="E3523" s="75" t="e">
        <f t="shared" si="112"/>
        <v>#N/A</v>
      </c>
      <c r="F3523" s="80"/>
      <c r="G3523" s="81"/>
      <c r="H3523" s="78"/>
      <c r="I3523" s="78"/>
      <c r="J3523" s="78"/>
    </row>
    <row r="3524" spans="1:10" x14ac:dyDescent="0.2">
      <c r="A3524" s="84">
        <f t="shared" si="113"/>
        <v>3518</v>
      </c>
      <c r="B3524" s="85" t="e">
        <f>+MATCH(D3524,ARTICULOS!$F$10:$F$699,0)</f>
        <v>#N/A</v>
      </c>
      <c r="C3524" s="86" t="e">
        <f>+VLOOKUP(B3524,ARTICULOS!$D$10:$I$699,6)</f>
        <v>#N/A</v>
      </c>
      <c r="D3524" s="212"/>
      <c r="E3524" s="75" t="e">
        <f t="shared" si="112"/>
        <v>#N/A</v>
      </c>
      <c r="F3524" s="80"/>
      <c r="G3524" s="81"/>
      <c r="H3524" s="78"/>
      <c r="I3524" s="78"/>
      <c r="J3524" s="78"/>
    </row>
    <row r="3525" spans="1:10" x14ac:dyDescent="0.2">
      <c r="A3525" s="84">
        <f t="shared" si="113"/>
        <v>3519</v>
      </c>
      <c r="B3525" s="85" t="e">
        <f>+MATCH(D3525,ARTICULOS!$F$10:$F$699,0)</f>
        <v>#N/A</v>
      </c>
      <c r="C3525" s="86" t="e">
        <f>+VLOOKUP(B3525,ARTICULOS!$D$10:$I$699,6)</f>
        <v>#N/A</v>
      </c>
      <c r="D3525" s="212"/>
      <c r="E3525" s="75" t="e">
        <f t="shared" si="112"/>
        <v>#N/A</v>
      </c>
      <c r="F3525" s="80"/>
      <c r="G3525" s="81"/>
      <c r="H3525" s="78"/>
      <c r="I3525" s="78"/>
      <c r="J3525" s="78"/>
    </row>
    <row r="3526" spans="1:10" x14ac:dyDescent="0.2">
      <c r="A3526" s="84">
        <f t="shared" si="113"/>
        <v>3520</v>
      </c>
      <c r="B3526" s="85" t="e">
        <f>+MATCH(D3526,ARTICULOS!$F$10:$F$699,0)</f>
        <v>#N/A</v>
      </c>
      <c r="C3526" s="86" t="e">
        <f>+VLOOKUP(B3526,ARTICULOS!$D$10:$I$699,6)</f>
        <v>#N/A</v>
      </c>
      <c r="D3526" s="212"/>
      <c r="E3526" s="75" t="e">
        <f t="shared" si="112"/>
        <v>#N/A</v>
      </c>
      <c r="F3526" s="80"/>
      <c r="G3526" s="81"/>
      <c r="H3526" s="78"/>
      <c r="I3526" s="78"/>
      <c r="J3526" s="78"/>
    </row>
    <row r="3527" spans="1:10" x14ac:dyDescent="0.2">
      <c r="A3527" s="84">
        <f t="shared" si="113"/>
        <v>3521</v>
      </c>
      <c r="B3527" s="85" t="e">
        <f>+MATCH(D3527,ARTICULOS!$F$10:$F$699,0)</f>
        <v>#N/A</v>
      </c>
      <c r="C3527" s="86" t="e">
        <f>+VLOOKUP(B3527,ARTICULOS!$D$10:$I$699,6)</f>
        <v>#N/A</v>
      </c>
      <c r="D3527" s="212"/>
      <c r="E3527" s="75" t="e">
        <f t="shared" si="112"/>
        <v>#N/A</v>
      </c>
      <c r="F3527" s="80"/>
      <c r="G3527" s="81"/>
      <c r="H3527" s="78"/>
      <c r="I3527" s="78"/>
      <c r="J3527" s="78"/>
    </row>
    <row r="3528" spans="1:10" x14ac:dyDescent="0.2">
      <c r="A3528" s="84">
        <f t="shared" si="113"/>
        <v>3522</v>
      </c>
      <c r="B3528" s="85" t="e">
        <f>+MATCH(D3528,ARTICULOS!$F$10:$F$699,0)</f>
        <v>#N/A</v>
      </c>
      <c r="C3528" s="86" t="e">
        <f>+VLOOKUP(B3528,ARTICULOS!$D$10:$I$699,6)</f>
        <v>#N/A</v>
      </c>
      <c r="D3528" s="212"/>
      <c r="E3528" s="75" t="e">
        <f t="shared" si="112"/>
        <v>#N/A</v>
      </c>
      <c r="F3528" s="80"/>
      <c r="G3528" s="81"/>
      <c r="H3528" s="78"/>
      <c r="I3528" s="78"/>
      <c r="J3528" s="78"/>
    </row>
    <row r="3529" spans="1:10" x14ac:dyDescent="0.2">
      <c r="A3529" s="84">
        <f t="shared" si="113"/>
        <v>3523</v>
      </c>
      <c r="B3529" s="85" t="e">
        <f>+MATCH(D3529,ARTICULOS!$F$10:$F$699,0)</f>
        <v>#N/A</v>
      </c>
      <c r="C3529" s="86" t="e">
        <f>+VLOOKUP(B3529,ARTICULOS!$D$10:$I$699,6)</f>
        <v>#N/A</v>
      </c>
      <c r="D3529" s="212"/>
      <c r="E3529" s="75" t="e">
        <f t="shared" si="112"/>
        <v>#N/A</v>
      </c>
      <c r="F3529" s="80"/>
      <c r="G3529" s="81"/>
      <c r="H3529" s="78"/>
      <c r="I3529" s="78"/>
      <c r="J3529" s="78"/>
    </row>
    <row r="3530" spans="1:10" x14ac:dyDescent="0.2">
      <c r="A3530" s="84">
        <f t="shared" si="113"/>
        <v>3524</v>
      </c>
      <c r="B3530" s="85" t="e">
        <f>+MATCH(D3530,ARTICULOS!$F$10:$F$699,0)</f>
        <v>#N/A</v>
      </c>
      <c r="C3530" s="86" t="e">
        <f>+VLOOKUP(B3530,ARTICULOS!$D$10:$I$699,6)</f>
        <v>#N/A</v>
      </c>
      <c r="D3530" s="212"/>
      <c r="E3530" s="75" t="e">
        <f t="shared" si="112"/>
        <v>#N/A</v>
      </c>
      <c r="F3530" s="80"/>
      <c r="G3530" s="81"/>
      <c r="H3530" s="78"/>
      <c r="I3530" s="78"/>
      <c r="J3530" s="78"/>
    </row>
    <row r="3531" spans="1:10" x14ac:dyDescent="0.2">
      <c r="A3531" s="84">
        <f t="shared" si="113"/>
        <v>3525</v>
      </c>
      <c r="B3531" s="85" t="e">
        <f>+MATCH(D3531,ARTICULOS!$F$10:$F$699,0)</f>
        <v>#N/A</v>
      </c>
      <c r="C3531" s="86" t="e">
        <f>+VLOOKUP(B3531,ARTICULOS!$D$10:$I$699,6)</f>
        <v>#N/A</v>
      </c>
      <c r="D3531" s="212"/>
      <c r="E3531" s="75" t="e">
        <f t="shared" ref="E3531:E3594" si="114">+C3531&amp;F3531</f>
        <v>#N/A</v>
      </c>
      <c r="F3531" s="80"/>
      <c r="G3531" s="81"/>
      <c r="H3531" s="78"/>
      <c r="I3531" s="78"/>
      <c r="J3531" s="78"/>
    </row>
    <row r="3532" spans="1:10" x14ac:dyDescent="0.2">
      <c r="A3532" s="84">
        <f t="shared" si="113"/>
        <v>3526</v>
      </c>
      <c r="B3532" s="85" t="e">
        <f>+MATCH(D3532,ARTICULOS!$F$10:$F$699,0)</f>
        <v>#N/A</v>
      </c>
      <c r="C3532" s="86" t="e">
        <f>+VLOOKUP(B3532,ARTICULOS!$D$10:$I$699,6)</f>
        <v>#N/A</v>
      </c>
      <c r="D3532" s="212"/>
      <c r="E3532" s="75" t="e">
        <f t="shared" si="114"/>
        <v>#N/A</v>
      </c>
      <c r="F3532" s="80"/>
      <c r="G3532" s="81"/>
      <c r="H3532" s="78"/>
      <c r="I3532" s="78"/>
      <c r="J3532" s="78"/>
    </row>
    <row r="3533" spans="1:10" x14ac:dyDescent="0.2">
      <c r="A3533" s="84">
        <f t="shared" si="113"/>
        <v>3527</v>
      </c>
      <c r="B3533" s="85" t="e">
        <f>+MATCH(D3533,ARTICULOS!$F$10:$F$699,0)</f>
        <v>#N/A</v>
      </c>
      <c r="C3533" s="86" t="e">
        <f>+VLOOKUP(B3533,ARTICULOS!$D$10:$I$699,6)</f>
        <v>#N/A</v>
      </c>
      <c r="D3533" s="212"/>
      <c r="E3533" s="75" t="e">
        <f t="shared" si="114"/>
        <v>#N/A</v>
      </c>
      <c r="F3533" s="80"/>
      <c r="G3533" s="81"/>
      <c r="H3533" s="78"/>
      <c r="I3533" s="78"/>
      <c r="J3533" s="78"/>
    </row>
    <row r="3534" spans="1:10" x14ac:dyDescent="0.2">
      <c r="A3534" s="84">
        <f t="shared" si="113"/>
        <v>3528</v>
      </c>
      <c r="B3534" s="85" t="e">
        <f>+MATCH(D3534,ARTICULOS!$F$10:$F$699,0)</f>
        <v>#N/A</v>
      </c>
      <c r="C3534" s="86" t="e">
        <f>+VLOOKUP(B3534,ARTICULOS!$D$10:$I$699,6)</f>
        <v>#N/A</v>
      </c>
      <c r="D3534" s="212"/>
      <c r="E3534" s="75" t="e">
        <f t="shared" si="114"/>
        <v>#N/A</v>
      </c>
      <c r="F3534" s="80"/>
      <c r="G3534" s="81"/>
      <c r="H3534" s="78"/>
      <c r="I3534" s="78"/>
      <c r="J3534" s="78"/>
    </row>
    <row r="3535" spans="1:10" x14ac:dyDescent="0.2">
      <c r="A3535" s="84">
        <f t="shared" si="113"/>
        <v>3529</v>
      </c>
      <c r="B3535" s="85" t="e">
        <f>+MATCH(D3535,ARTICULOS!$F$10:$F$699,0)</f>
        <v>#N/A</v>
      </c>
      <c r="C3535" s="86" t="e">
        <f>+VLOOKUP(B3535,ARTICULOS!$D$10:$I$699,6)</f>
        <v>#N/A</v>
      </c>
      <c r="D3535" s="212"/>
      <c r="E3535" s="75" t="e">
        <f t="shared" si="114"/>
        <v>#N/A</v>
      </c>
      <c r="F3535" s="80"/>
      <c r="G3535" s="81"/>
      <c r="H3535" s="78"/>
      <c r="I3535" s="78"/>
      <c r="J3535" s="78"/>
    </row>
    <row r="3536" spans="1:10" x14ac:dyDescent="0.2">
      <c r="A3536" s="84">
        <f t="shared" si="113"/>
        <v>3530</v>
      </c>
      <c r="B3536" s="85" t="e">
        <f>+MATCH(D3536,ARTICULOS!$F$10:$F$699,0)</f>
        <v>#N/A</v>
      </c>
      <c r="C3536" s="86" t="e">
        <f>+VLOOKUP(B3536,ARTICULOS!$D$10:$I$699,6)</f>
        <v>#N/A</v>
      </c>
      <c r="D3536" s="212"/>
      <c r="E3536" s="75" t="e">
        <f t="shared" si="114"/>
        <v>#N/A</v>
      </c>
      <c r="F3536" s="80"/>
      <c r="G3536" s="81"/>
      <c r="H3536" s="78"/>
      <c r="I3536" s="78"/>
      <c r="J3536" s="78"/>
    </row>
    <row r="3537" spans="1:10" x14ac:dyDescent="0.2">
      <c r="A3537" s="84">
        <f t="shared" si="113"/>
        <v>3531</v>
      </c>
      <c r="B3537" s="85" t="e">
        <f>+MATCH(D3537,ARTICULOS!$F$10:$F$699,0)</f>
        <v>#N/A</v>
      </c>
      <c r="C3537" s="86" t="e">
        <f>+VLOOKUP(B3537,ARTICULOS!$D$10:$I$699,6)</f>
        <v>#N/A</v>
      </c>
      <c r="D3537" s="212"/>
      <c r="E3537" s="75" t="e">
        <f t="shared" si="114"/>
        <v>#N/A</v>
      </c>
      <c r="F3537" s="80"/>
      <c r="G3537" s="81"/>
      <c r="H3537" s="78"/>
      <c r="I3537" s="78"/>
      <c r="J3537" s="78"/>
    </row>
    <row r="3538" spans="1:10" x14ac:dyDescent="0.2">
      <c r="A3538" s="84">
        <f t="shared" si="113"/>
        <v>3532</v>
      </c>
      <c r="B3538" s="85" t="e">
        <f>+MATCH(D3538,ARTICULOS!$F$10:$F$699,0)</f>
        <v>#N/A</v>
      </c>
      <c r="C3538" s="86" t="e">
        <f>+VLOOKUP(B3538,ARTICULOS!$D$10:$I$699,6)</f>
        <v>#N/A</v>
      </c>
      <c r="D3538" s="212"/>
      <c r="E3538" s="75" t="e">
        <f t="shared" si="114"/>
        <v>#N/A</v>
      </c>
      <c r="F3538" s="80"/>
      <c r="G3538" s="81"/>
      <c r="H3538" s="78"/>
      <c r="I3538" s="78"/>
      <c r="J3538" s="78"/>
    </row>
    <row r="3539" spans="1:10" x14ac:dyDescent="0.2">
      <c r="A3539" s="84">
        <f t="shared" si="113"/>
        <v>3533</v>
      </c>
      <c r="B3539" s="85" t="e">
        <f>+MATCH(D3539,ARTICULOS!$F$10:$F$699,0)</f>
        <v>#N/A</v>
      </c>
      <c r="C3539" s="86" t="e">
        <f>+VLOOKUP(B3539,ARTICULOS!$D$10:$I$699,6)</f>
        <v>#N/A</v>
      </c>
      <c r="D3539" s="212"/>
      <c r="E3539" s="75" t="e">
        <f t="shared" si="114"/>
        <v>#N/A</v>
      </c>
      <c r="F3539" s="80"/>
      <c r="G3539" s="81"/>
      <c r="H3539" s="78"/>
      <c r="I3539" s="78"/>
      <c r="J3539" s="78"/>
    </row>
    <row r="3540" spans="1:10" x14ac:dyDescent="0.2">
      <c r="A3540" s="84">
        <f t="shared" si="113"/>
        <v>3534</v>
      </c>
      <c r="B3540" s="85" t="e">
        <f>+MATCH(D3540,ARTICULOS!$F$10:$F$699,0)</f>
        <v>#N/A</v>
      </c>
      <c r="C3540" s="86" t="e">
        <f>+VLOOKUP(B3540,ARTICULOS!$D$10:$I$699,6)</f>
        <v>#N/A</v>
      </c>
      <c r="D3540" s="212"/>
      <c r="E3540" s="75" t="e">
        <f t="shared" si="114"/>
        <v>#N/A</v>
      </c>
      <c r="F3540" s="80"/>
      <c r="G3540" s="81"/>
      <c r="H3540" s="78"/>
      <c r="I3540" s="78"/>
      <c r="J3540" s="78"/>
    </row>
    <row r="3541" spans="1:10" x14ac:dyDescent="0.2">
      <c r="A3541" s="84">
        <f t="shared" si="113"/>
        <v>3535</v>
      </c>
      <c r="B3541" s="85" t="e">
        <f>+MATCH(D3541,ARTICULOS!$F$10:$F$699,0)</f>
        <v>#N/A</v>
      </c>
      <c r="C3541" s="86" t="e">
        <f>+VLOOKUP(B3541,ARTICULOS!$D$10:$I$699,6)</f>
        <v>#N/A</v>
      </c>
      <c r="D3541" s="212"/>
      <c r="E3541" s="75" t="e">
        <f t="shared" si="114"/>
        <v>#N/A</v>
      </c>
      <c r="F3541" s="80"/>
      <c r="G3541" s="81"/>
      <c r="H3541" s="78"/>
      <c r="I3541" s="78"/>
      <c r="J3541" s="78"/>
    </row>
    <row r="3542" spans="1:10" x14ac:dyDescent="0.2">
      <c r="A3542" s="84">
        <f t="shared" si="113"/>
        <v>3536</v>
      </c>
      <c r="B3542" s="85" t="e">
        <f>+MATCH(D3542,ARTICULOS!$F$10:$F$699,0)</f>
        <v>#N/A</v>
      </c>
      <c r="C3542" s="86" t="e">
        <f>+VLOOKUP(B3542,ARTICULOS!$D$10:$I$699,6)</f>
        <v>#N/A</v>
      </c>
      <c r="D3542" s="212"/>
      <c r="E3542" s="75" t="e">
        <f t="shared" si="114"/>
        <v>#N/A</v>
      </c>
      <c r="F3542" s="80"/>
      <c r="G3542" s="81"/>
      <c r="H3542" s="78"/>
      <c r="I3542" s="78"/>
      <c r="J3542" s="78"/>
    </row>
    <row r="3543" spans="1:10" x14ac:dyDescent="0.2">
      <c r="A3543" s="84">
        <f t="shared" si="113"/>
        <v>3537</v>
      </c>
      <c r="B3543" s="85" t="e">
        <f>+MATCH(D3543,ARTICULOS!$F$10:$F$699,0)</f>
        <v>#N/A</v>
      </c>
      <c r="C3543" s="86" t="e">
        <f>+VLOOKUP(B3543,ARTICULOS!$D$10:$I$699,6)</f>
        <v>#N/A</v>
      </c>
      <c r="D3543" s="212"/>
      <c r="E3543" s="75" t="e">
        <f t="shared" si="114"/>
        <v>#N/A</v>
      </c>
      <c r="F3543" s="80"/>
      <c r="G3543" s="81"/>
      <c r="H3543" s="78"/>
      <c r="I3543" s="78"/>
      <c r="J3543" s="78"/>
    </row>
    <row r="3544" spans="1:10" x14ac:dyDescent="0.2">
      <c r="A3544" s="84">
        <f t="shared" si="113"/>
        <v>3538</v>
      </c>
      <c r="B3544" s="85" t="e">
        <f>+MATCH(D3544,ARTICULOS!$F$10:$F$699,0)</f>
        <v>#N/A</v>
      </c>
      <c r="C3544" s="86" t="e">
        <f>+VLOOKUP(B3544,ARTICULOS!$D$10:$I$699,6)</f>
        <v>#N/A</v>
      </c>
      <c r="D3544" s="212"/>
      <c r="E3544" s="75" t="e">
        <f t="shared" si="114"/>
        <v>#N/A</v>
      </c>
      <c r="F3544" s="80"/>
      <c r="G3544" s="81"/>
      <c r="H3544" s="78"/>
      <c r="I3544" s="78"/>
      <c r="J3544" s="78"/>
    </row>
    <row r="3545" spans="1:10" x14ac:dyDescent="0.2">
      <c r="A3545" s="84">
        <f t="shared" si="113"/>
        <v>3539</v>
      </c>
      <c r="B3545" s="85" t="e">
        <f>+MATCH(D3545,ARTICULOS!$F$10:$F$699,0)</f>
        <v>#N/A</v>
      </c>
      <c r="C3545" s="86" t="e">
        <f>+VLOOKUP(B3545,ARTICULOS!$D$10:$I$699,6)</f>
        <v>#N/A</v>
      </c>
      <c r="D3545" s="212"/>
      <c r="E3545" s="75" t="e">
        <f t="shared" si="114"/>
        <v>#N/A</v>
      </c>
      <c r="F3545" s="80"/>
      <c r="G3545" s="81"/>
      <c r="H3545" s="78"/>
      <c r="I3545" s="78"/>
      <c r="J3545" s="78"/>
    </row>
    <row r="3546" spans="1:10" x14ac:dyDescent="0.2">
      <c r="A3546" s="84">
        <f t="shared" si="113"/>
        <v>3540</v>
      </c>
      <c r="B3546" s="85" t="e">
        <f>+MATCH(D3546,ARTICULOS!$F$10:$F$699,0)</f>
        <v>#N/A</v>
      </c>
      <c r="C3546" s="86" t="e">
        <f>+VLOOKUP(B3546,ARTICULOS!$D$10:$I$699,6)</f>
        <v>#N/A</v>
      </c>
      <c r="D3546" s="212"/>
      <c r="E3546" s="75" t="e">
        <f t="shared" si="114"/>
        <v>#N/A</v>
      </c>
      <c r="F3546" s="80"/>
      <c r="G3546" s="81"/>
      <c r="H3546" s="78"/>
      <c r="I3546" s="78"/>
      <c r="J3546" s="78"/>
    </row>
    <row r="3547" spans="1:10" x14ac:dyDescent="0.2">
      <c r="A3547" s="84">
        <f t="shared" si="113"/>
        <v>3541</v>
      </c>
      <c r="B3547" s="85" t="e">
        <f>+MATCH(D3547,ARTICULOS!$F$10:$F$699,0)</f>
        <v>#N/A</v>
      </c>
      <c r="C3547" s="86" t="e">
        <f>+VLOOKUP(B3547,ARTICULOS!$D$10:$I$699,6)</f>
        <v>#N/A</v>
      </c>
      <c r="D3547" s="212"/>
      <c r="E3547" s="75" t="e">
        <f t="shared" si="114"/>
        <v>#N/A</v>
      </c>
      <c r="F3547" s="80"/>
      <c r="G3547" s="81"/>
      <c r="H3547" s="78"/>
      <c r="I3547" s="78"/>
      <c r="J3547" s="78"/>
    </row>
    <row r="3548" spans="1:10" x14ac:dyDescent="0.2">
      <c r="A3548" s="84">
        <f t="shared" si="113"/>
        <v>3542</v>
      </c>
      <c r="B3548" s="85" t="e">
        <f>+MATCH(D3548,ARTICULOS!$F$10:$F$699,0)</f>
        <v>#N/A</v>
      </c>
      <c r="C3548" s="86" t="e">
        <f>+VLOOKUP(B3548,ARTICULOS!$D$10:$I$699,6)</f>
        <v>#N/A</v>
      </c>
      <c r="D3548" s="212"/>
      <c r="E3548" s="75" t="e">
        <f t="shared" si="114"/>
        <v>#N/A</v>
      </c>
      <c r="F3548" s="80"/>
      <c r="G3548" s="81"/>
      <c r="H3548" s="78"/>
      <c r="I3548" s="78"/>
      <c r="J3548" s="78"/>
    </row>
    <row r="3549" spans="1:10" x14ac:dyDescent="0.2">
      <c r="A3549" s="84">
        <f t="shared" si="113"/>
        <v>3543</v>
      </c>
      <c r="B3549" s="85" t="e">
        <f>+MATCH(D3549,ARTICULOS!$F$10:$F$699,0)</f>
        <v>#N/A</v>
      </c>
      <c r="C3549" s="86" t="e">
        <f>+VLOOKUP(B3549,ARTICULOS!$D$10:$I$699,6)</f>
        <v>#N/A</v>
      </c>
      <c r="D3549" s="212"/>
      <c r="E3549" s="75" t="e">
        <f t="shared" si="114"/>
        <v>#N/A</v>
      </c>
      <c r="F3549" s="80"/>
      <c r="G3549" s="81"/>
      <c r="H3549" s="78"/>
      <c r="I3549" s="78"/>
      <c r="J3549" s="78"/>
    </row>
    <row r="3550" spans="1:10" x14ac:dyDescent="0.2">
      <c r="A3550" s="84">
        <f t="shared" si="113"/>
        <v>3544</v>
      </c>
      <c r="B3550" s="85" t="e">
        <f>+MATCH(D3550,ARTICULOS!$F$10:$F$699,0)</f>
        <v>#N/A</v>
      </c>
      <c r="C3550" s="86" t="e">
        <f>+VLOOKUP(B3550,ARTICULOS!$D$10:$I$699,6)</f>
        <v>#N/A</v>
      </c>
      <c r="D3550" s="212"/>
      <c r="E3550" s="75" t="e">
        <f t="shared" si="114"/>
        <v>#N/A</v>
      </c>
      <c r="F3550" s="80"/>
      <c r="G3550" s="81"/>
      <c r="H3550" s="78"/>
      <c r="I3550" s="78"/>
      <c r="J3550" s="78"/>
    </row>
    <row r="3551" spans="1:10" x14ac:dyDescent="0.2">
      <c r="A3551" s="84">
        <f t="shared" si="113"/>
        <v>3545</v>
      </c>
      <c r="B3551" s="85" t="e">
        <f>+MATCH(D3551,ARTICULOS!$F$10:$F$699,0)</f>
        <v>#N/A</v>
      </c>
      <c r="C3551" s="86" t="e">
        <f>+VLOOKUP(B3551,ARTICULOS!$D$10:$I$699,6)</f>
        <v>#N/A</v>
      </c>
      <c r="D3551" s="212"/>
      <c r="E3551" s="75" t="e">
        <f t="shared" si="114"/>
        <v>#N/A</v>
      </c>
      <c r="F3551" s="80"/>
      <c r="G3551" s="81"/>
      <c r="H3551" s="78"/>
      <c r="I3551" s="78"/>
      <c r="J3551" s="78"/>
    </row>
    <row r="3552" spans="1:10" x14ac:dyDescent="0.2">
      <c r="A3552" s="84">
        <f t="shared" si="113"/>
        <v>3546</v>
      </c>
      <c r="B3552" s="85" t="e">
        <f>+MATCH(D3552,ARTICULOS!$F$10:$F$699,0)</f>
        <v>#N/A</v>
      </c>
      <c r="C3552" s="86" t="e">
        <f>+VLOOKUP(B3552,ARTICULOS!$D$10:$I$699,6)</f>
        <v>#N/A</v>
      </c>
      <c r="D3552" s="212"/>
      <c r="E3552" s="75" t="e">
        <f t="shared" si="114"/>
        <v>#N/A</v>
      </c>
      <c r="F3552" s="80"/>
      <c r="G3552" s="81"/>
      <c r="H3552" s="78"/>
      <c r="I3552" s="78"/>
      <c r="J3552" s="78"/>
    </row>
    <row r="3553" spans="1:10" x14ac:dyDescent="0.2">
      <c r="A3553" s="84">
        <f t="shared" si="113"/>
        <v>3547</v>
      </c>
      <c r="B3553" s="85" t="e">
        <f>+MATCH(D3553,ARTICULOS!$F$10:$F$699,0)</f>
        <v>#N/A</v>
      </c>
      <c r="C3553" s="86" t="e">
        <f>+VLOOKUP(B3553,ARTICULOS!$D$10:$I$699,6)</f>
        <v>#N/A</v>
      </c>
      <c r="D3553" s="212"/>
      <c r="E3553" s="75" t="e">
        <f t="shared" si="114"/>
        <v>#N/A</v>
      </c>
      <c r="F3553" s="80"/>
      <c r="G3553" s="81"/>
      <c r="H3553" s="78"/>
      <c r="I3553" s="78"/>
      <c r="J3553" s="78"/>
    </row>
    <row r="3554" spans="1:10" x14ac:dyDescent="0.2">
      <c r="A3554" s="84">
        <f t="shared" si="113"/>
        <v>3548</v>
      </c>
      <c r="B3554" s="85" t="e">
        <f>+MATCH(D3554,ARTICULOS!$F$10:$F$699,0)</f>
        <v>#N/A</v>
      </c>
      <c r="C3554" s="86" t="e">
        <f>+VLOOKUP(B3554,ARTICULOS!$D$10:$I$699,6)</f>
        <v>#N/A</v>
      </c>
      <c r="D3554" s="212"/>
      <c r="E3554" s="75" t="e">
        <f t="shared" si="114"/>
        <v>#N/A</v>
      </c>
      <c r="F3554" s="80"/>
      <c r="G3554" s="81"/>
      <c r="H3554" s="78"/>
      <c r="I3554" s="78"/>
      <c r="J3554" s="78"/>
    </row>
    <row r="3555" spans="1:10" x14ac:dyDescent="0.2">
      <c r="A3555" s="84">
        <f t="shared" si="113"/>
        <v>3549</v>
      </c>
      <c r="B3555" s="85" t="e">
        <f>+MATCH(D3555,ARTICULOS!$F$10:$F$699,0)</f>
        <v>#N/A</v>
      </c>
      <c r="C3555" s="86" t="e">
        <f>+VLOOKUP(B3555,ARTICULOS!$D$10:$I$699,6)</f>
        <v>#N/A</v>
      </c>
      <c r="D3555" s="212"/>
      <c r="E3555" s="75" t="e">
        <f t="shared" si="114"/>
        <v>#N/A</v>
      </c>
      <c r="F3555" s="80"/>
      <c r="G3555" s="81"/>
      <c r="H3555" s="78"/>
      <c r="I3555" s="78"/>
      <c r="J3555" s="78"/>
    </row>
    <row r="3556" spans="1:10" x14ac:dyDescent="0.2">
      <c r="A3556" s="84">
        <f t="shared" si="113"/>
        <v>3550</v>
      </c>
      <c r="B3556" s="85" t="e">
        <f>+MATCH(D3556,ARTICULOS!$F$10:$F$699,0)</f>
        <v>#N/A</v>
      </c>
      <c r="C3556" s="86" t="e">
        <f>+VLOOKUP(B3556,ARTICULOS!$D$10:$I$699,6)</f>
        <v>#N/A</v>
      </c>
      <c r="D3556" s="212"/>
      <c r="E3556" s="75" t="e">
        <f t="shared" si="114"/>
        <v>#N/A</v>
      </c>
      <c r="F3556" s="80"/>
      <c r="G3556" s="81"/>
      <c r="H3556" s="78"/>
      <c r="I3556" s="78"/>
      <c r="J3556" s="78"/>
    </row>
    <row r="3557" spans="1:10" x14ac:dyDescent="0.2">
      <c r="A3557" s="84">
        <f t="shared" si="113"/>
        <v>3551</v>
      </c>
      <c r="B3557" s="85" t="e">
        <f>+MATCH(D3557,ARTICULOS!$F$10:$F$699,0)</f>
        <v>#N/A</v>
      </c>
      <c r="C3557" s="86" t="e">
        <f>+VLOOKUP(B3557,ARTICULOS!$D$10:$I$699,6)</f>
        <v>#N/A</v>
      </c>
      <c r="D3557" s="212"/>
      <c r="E3557" s="75" t="e">
        <f t="shared" si="114"/>
        <v>#N/A</v>
      </c>
      <c r="F3557" s="80"/>
      <c r="G3557" s="81"/>
      <c r="H3557" s="78"/>
      <c r="I3557" s="78"/>
      <c r="J3557" s="78"/>
    </row>
    <row r="3558" spans="1:10" x14ac:dyDescent="0.2">
      <c r="A3558" s="84">
        <f t="shared" si="113"/>
        <v>3552</v>
      </c>
      <c r="B3558" s="85" t="e">
        <f>+MATCH(D3558,ARTICULOS!$F$10:$F$699,0)</f>
        <v>#N/A</v>
      </c>
      <c r="C3558" s="86" t="e">
        <f>+VLOOKUP(B3558,ARTICULOS!$D$10:$I$699,6)</f>
        <v>#N/A</v>
      </c>
      <c r="D3558" s="212"/>
      <c r="E3558" s="75" t="e">
        <f t="shared" si="114"/>
        <v>#N/A</v>
      </c>
      <c r="F3558" s="80"/>
      <c r="G3558" s="81"/>
      <c r="H3558" s="78"/>
      <c r="I3558" s="78"/>
      <c r="J3558" s="78"/>
    </row>
    <row r="3559" spans="1:10" x14ac:dyDescent="0.2">
      <c r="A3559" s="84">
        <f t="shared" si="113"/>
        <v>3553</v>
      </c>
      <c r="B3559" s="85" t="e">
        <f>+MATCH(D3559,ARTICULOS!$F$10:$F$699,0)</f>
        <v>#N/A</v>
      </c>
      <c r="C3559" s="86" t="e">
        <f>+VLOOKUP(B3559,ARTICULOS!$D$10:$I$699,6)</f>
        <v>#N/A</v>
      </c>
      <c r="D3559" s="212"/>
      <c r="E3559" s="75" t="e">
        <f t="shared" si="114"/>
        <v>#N/A</v>
      </c>
      <c r="F3559" s="80"/>
      <c r="G3559" s="81"/>
      <c r="H3559" s="78"/>
      <c r="I3559" s="78"/>
      <c r="J3559" s="78"/>
    </row>
    <row r="3560" spans="1:10" x14ac:dyDescent="0.2">
      <c r="A3560" s="84">
        <f t="shared" si="113"/>
        <v>3554</v>
      </c>
      <c r="B3560" s="85" t="e">
        <f>+MATCH(D3560,ARTICULOS!$F$10:$F$699,0)</f>
        <v>#N/A</v>
      </c>
      <c r="C3560" s="86" t="e">
        <f>+VLOOKUP(B3560,ARTICULOS!$D$10:$I$699,6)</f>
        <v>#N/A</v>
      </c>
      <c r="D3560" s="212"/>
      <c r="E3560" s="75" t="e">
        <f t="shared" si="114"/>
        <v>#N/A</v>
      </c>
      <c r="F3560" s="80"/>
      <c r="G3560" s="81"/>
      <c r="H3560" s="78"/>
      <c r="I3560" s="78"/>
      <c r="J3560" s="78"/>
    </row>
    <row r="3561" spans="1:10" x14ac:dyDescent="0.2">
      <c r="A3561" s="84">
        <f t="shared" ref="A3561:A3624" si="115">ROW()-6</f>
        <v>3555</v>
      </c>
      <c r="B3561" s="85" t="e">
        <f>+MATCH(D3561,ARTICULOS!$F$10:$F$699,0)</f>
        <v>#N/A</v>
      </c>
      <c r="C3561" s="86" t="e">
        <f>+VLOOKUP(B3561,ARTICULOS!$D$10:$I$699,6)</f>
        <v>#N/A</v>
      </c>
      <c r="D3561" s="212"/>
      <c r="E3561" s="75" t="e">
        <f t="shared" si="114"/>
        <v>#N/A</v>
      </c>
      <c r="F3561" s="80"/>
      <c r="G3561" s="81"/>
      <c r="H3561" s="78"/>
      <c r="I3561" s="78"/>
      <c r="J3561" s="78"/>
    </row>
    <row r="3562" spans="1:10" x14ac:dyDescent="0.2">
      <c r="A3562" s="84">
        <f t="shared" si="115"/>
        <v>3556</v>
      </c>
      <c r="B3562" s="85" t="e">
        <f>+MATCH(D3562,ARTICULOS!$F$10:$F$699,0)</f>
        <v>#N/A</v>
      </c>
      <c r="C3562" s="86" t="e">
        <f>+VLOOKUP(B3562,ARTICULOS!$D$10:$I$699,6)</f>
        <v>#N/A</v>
      </c>
      <c r="D3562" s="212"/>
      <c r="E3562" s="75" t="e">
        <f t="shared" si="114"/>
        <v>#N/A</v>
      </c>
      <c r="F3562" s="80"/>
      <c r="G3562" s="81"/>
      <c r="H3562" s="78"/>
      <c r="I3562" s="78"/>
      <c r="J3562" s="78"/>
    </row>
    <row r="3563" spans="1:10" x14ac:dyDescent="0.2">
      <c r="A3563" s="84">
        <f t="shared" si="115"/>
        <v>3557</v>
      </c>
      <c r="B3563" s="85" t="e">
        <f>+MATCH(D3563,ARTICULOS!$F$10:$F$699,0)</f>
        <v>#N/A</v>
      </c>
      <c r="C3563" s="86" t="e">
        <f>+VLOOKUP(B3563,ARTICULOS!$D$10:$I$699,6)</f>
        <v>#N/A</v>
      </c>
      <c r="D3563" s="212"/>
      <c r="E3563" s="75" t="e">
        <f t="shared" si="114"/>
        <v>#N/A</v>
      </c>
      <c r="F3563" s="80"/>
      <c r="G3563" s="81"/>
      <c r="H3563" s="78"/>
      <c r="I3563" s="78"/>
      <c r="J3563" s="78"/>
    </row>
    <row r="3564" spans="1:10" x14ac:dyDescent="0.2">
      <c r="A3564" s="84">
        <f t="shared" si="115"/>
        <v>3558</v>
      </c>
      <c r="B3564" s="85" t="e">
        <f>+MATCH(D3564,ARTICULOS!$F$10:$F$699,0)</f>
        <v>#N/A</v>
      </c>
      <c r="C3564" s="86" t="e">
        <f>+VLOOKUP(B3564,ARTICULOS!$D$10:$I$699,6)</f>
        <v>#N/A</v>
      </c>
      <c r="D3564" s="212"/>
      <c r="E3564" s="75" t="e">
        <f t="shared" si="114"/>
        <v>#N/A</v>
      </c>
      <c r="F3564" s="80"/>
      <c r="G3564" s="81"/>
      <c r="H3564" s="78"/>
      <c r="I3564" s="78"/>
      <c r="J3564" s="78"/>
    </row>
    <row r="3565" spans="1:10" x14ac:dyDescent="0.2">
      <c r="A3565" s="84">
        <f t="shared" si="115"/>
        <v>3559</v>
      </c>
      <c r="B3565" s="85" t="e">
        <f>+MATCH(D3565,ARTICULOS!$F$10:$F$699,0)</f>
        <v>#N/A</v>
      </c>
      <c r="C3565" s="86" t="e">
        <f>+VLOOKUP(B3565,ARTICULOS!$D$10:$I$699,6)</f>
        <v>#N/A</v>
      </c>
      <c r="D3565" s="212"/>
      <c r="E3565" s="75" t="e">
        <f t="shared" si="114"/>
        <v>#N/A</v>
      </c>
      <c r="F3565" s="80"/>
      <c r="G3565" s="81"/>
      <c r="H3565" s="78"/>
      <c r="I3565" s="78"/>
      <c r="J3565" s="78"/>
    </row>
    <row r="3566" spans="1:10" x14ac:dyDescent="0.2">
      <c r="A3566" s="84">
        <f t="shared" si="115"/>
        <v>3560</v>
      </c>
      <c r="B3566" s="85" t="e">
        <f>+MATCH(D3566,ARTICULOS!$F$10:$F$699,0)</f>
        <v>#N/A</v>
      </c>
      <c r="C3566" s="86" t="e">
        <f>+VLOOKUP(B3566,ARTICULOS!$D$10:$I$699,6)</f>
        <v>#N/A</v>
      </c>
      <c r="D3566" s="212"/>
      <c r="E3566" s="75" t="e">
        <f t="shared" si="114"/>
        <v>#N/A</v>
      </c>
      <c r="F3566" s="80"/>
      <c r="G3566" s="81"/>
      <c r="H3566" s="78"/>
      <c r="I3566" s="78"/>
      <c r="J3566" s="78"/>
    </row>
    <row r="3567" spans="1:10" x14ac:dyDescent="0.2">
      <c r="A3567" s="84">
        <f t="shared" si="115"/>
        <v>3561</v>
      </c>
      <c r="B3567" s="85" t="e">
        <f>+MATCH(D3567,ARTICULOS!$F$10:$F$699,0)</f>
        <v>#N/A</v>
      </c>
      <c r="C3567" s="86" t="e">
        <f>+VLOOKUP(B3567,ARTICULOS!$D$10:$I$699,6)</f>
        <v>#N/A</v>
      </c>
      <c r="D3567" s="212"/>
      <c r="E3567" s="75" t="e">
        <f t="shared" si="114"/>
        <v>#N/A</v>
      </c>
      <c r="F3567" s="80"/>
      <c r="G3567" s="81"/>
      <c r="H3567" s="78"/>
      <c r="I3567" s="78"/>
      <c r="J3567" s="78"/>
    </row>
    <row r="3568" spans="1:10" x14ac:dyDescent="0.2">
      <c r="A3568" s="84">
        <f t="shared" si="115"/>
        <v>3562</v>
      </c>
      <c r="B3568" s="85" t="e">
        <f>+MATCH(D3568,ARTICULOS!$F$10:$F$699,0)</f>
        <v>#N/A</v>
      </c>
      <c r="C3568" s="86" t="e">
        <f>+VLOOKUP(B3568,ARTICULOS!$D$10:$I$699,6)</f>
        <v>#N/A</v>
      </c>
      <c r="D3568" s="212"/>
      <c r="E3568" s="75" t="e">
        <f t="shared" si="114"/>
        <v>#N/A</v>
      </c>
      <c r="F3568" s="80"/>
      <c r="G3568" s="81"/>
      <c r="H3568" s="78"/>
      <c r="I3568" s="78"/>
      <c r="J3568" s="78"/>
    </row>
    <row r="3569" spans="1:10" x14ac:dyDescent="0.2">
      <c r="A3569" s="84">
        <f t="shared" si="115"/>
        <v>3563</v>
      </c>
      <c r="B3569" s="85" t="e">
        <f>+MATCH(D3569,ARTICULOS!$F$10:$F$699,0)</f>
        <v>#N/A</v>
      </c>
      <c r="C3569" s="86" t="e">
        <f>+VLOOKUP(B3569,ARTICULOS!$D$10:$I$699,6)</f>
        <v>#N/A</v>
      </c>
      <c r="D3569" s="212"/>
      <c r="E3569" s="75" t="e">
        <f t="shared" si="114"/>
        <v>#N/A</v>
      </c>
      <c r="F3569" s="80"/>
      <c r="G3569" s="81"/>
      <c r="H3569" s="78"/>
      <c r="I3569" s="78"/>
      <c r="J3569" s="78"/>
    </row>
    <row r="3570" spans="1:10" x14ac:dyDescent="0.2">
      <c r="A3570" s="84">
        <f t="shared" si="115"/>
        <v>3564</v>
      </c>
      <c r="B3570" s="85" t="e">
        <f>+MATCH(D3570,ARTICULOS!$F$10:$F$699,0)</f>
        <v>#N/A</v>
      </c>
      <c r="C3570" s="86" t="e">
        <f>+VLOOKUP(B3570,ARTICULOS!$D$10:$I$699,6)</f>
        <v>#N/A</v>
      </c>
      <c r="D3570" s="212"/>
      <c r="E3570" s="75" t="e">
        <f t="shared" si="114"/>
        <v>#N/A</v>
      </c>
      <c r="F3570" s="80"/>
      <c r="G3570" s="81"/>
      <c r="H3570" s="78"/>
      <c r="I3570" s="78"/>
      <c r="J3570" s="78"/>
    </row>
    <row r="3571" spans="1:10" x14ac:dyDescent="0.2">
      <c r="A3571" s="84">
        <f t="shared" si="115"/>
        <v>3565</v>
      </c>
      <c r="B3571" s="85" t="e">
        <f>+MATCH(D3571,ARTICULOS!$F$10:$F$699,0)</f>
        <v>#N/A</v>
      </c>
      <c r="C3571" s="86" t="e">
        <f>+VLOOKUP(B3571,ARTICULOS!$D$10:$I$699,6)</f>
        <v>#N/A</v>
      </c>
      <c r="D3571" s="212"/>
      <c r="E3571" s="75" t="e">
        <f t="shared" si="114"/>
        <v>#N/A</v>
      </c>
      <c r="F3571" s="80"/>
      <c r="G3571" s="81"/>
      <c r="H3571" s="78"/>
      <c r="I3571" s="78"/>
      <c r="J3571" s="78"/>
    </row>
    <row r="3572" spans="1:10" x14ac:dyDescent="0.2">
      <c r="A3572" s="84">
        <f t="shared" si="115"/>
        <v>3566</v>
      </c>
      <c r="B3572" s="85" t="e">
        <f>+MATCH(D3572,ARTICULOS!$F$10:$F$699,0)</f>
        <v>#N/A</v>
      </c>
      <c r="C3572" s="86" t="e">
        <f>+VLOOKUP(B3572,ARTICULOS!$D$10:$I$699,6)</f>
        <v>#N/A</v>
      </c>
      <c r="D3572" s="212"/>
      <c r="E3572" s="75" t="e">
        <f t="shared" si="114"/>
        <v>#N/A</v>
      </c>
      <c r="F3572" s="80"/>
      <c r="G3572" s="81"/>
      <c r="H3572" s="78"/>
      <c r="I3572" s="78"/>
      <c r="J3572" s="78"/>
    </row>
    <row r="3573" spans="1:10" x14ac:dyDescent="0.2">
      <c r="A3573" s="84">
        <f t="shared" si="115"/>
        <v>3567</v>
      </c>
      <c r="B3573" s="85" t="e">
        <f>+MATCH(D3573,ARTICULOS!$F$10:$F$699,0)</f>
        <v>#N/A</v>
      </c>
      <c r="C3573" s="86" t="e">
        <f>+VLOOKUP(B3573,ARTICULOS!$D$10:$I$699,6)</f>
        <v>#N/A</v>
      </c>
      <c r="D3573" s="212"/>
      <c r="E3573" s="75" t="e">
        <f t="shared" si="114"/>
        <v>#N/A</v>
      </c>
      <c r="F3573" s="80"/>
      <c r="G3573" s="81"/>
      <c r="H3573" s="78"/>
      <c r="I3573" s="78"/>
      <c r="J3573" s="78"/>
    </row>
    <row r="3574" spans="1:10" x14ac:dyDescent="0.2">
      <c r="A3574" s="84">
        <f t="shared" si="115"/>
        <v>3568</v>
      </c>
      <c r="B3574" s="85" t="e">
        <f>+MATCH(D3574,ARTICULOS!$F$10:$F$699,0)</f>
        <v>#N/A</v>
      </c>
      <c r="C3574" s="86" t="e">
        <f>+VLOOKUP(B3574,ARTICULOS!$D$10:$I$699,6)</f>
        <v>#N/A</v>
      </c>
      <c r="D3574" s="212"/>
      <c r="E3574" s="75" t="e">
        <f t="shared" si="114"/>
        <v>#N/A</v>
      </c>
      <c r="F3574" s="80"/>
      <c r="G3574" s="81"/>
      <c r="H3574" s="78"/>
      <c r="I3574" s="78"/>
      <c r="J3574" s="78"/>
    </row>
    <row r="3575" spans="1:10" x14ac:dyDescent="0.2">
      <c r="A3575" s="84">
        <f t="shared" si="115"/>
        <v>3569</v>
      </c>
      <c r="B3575" s="85" t="e">
        <f>+MATCH(D3575,ARTICULOS!$F$10:$F$699,0)</f>
        <v>#N/A</v>
      </c>
      <c r="C3575" s="86" t="e">
        <f>+VLOOKUP(B3575,ARTICULOS!$D$10:$I$699,6)</f>
        <v>#N/A</v>
      </c>
      <c r="D3575" s="212"/>
      <c r="E3575" s="75" t="e">
        <f t="shared" si="114"/>
        <v>#N/A</v>
      </c>
      <c r="F3575" s="80"/>
      <c r="G3575" s="81"/>
      <c r="H3575" s="78"/>
      <c r="I3575" s="78"/>
      <c r="J3575" s="78"/>
    </row>
    <row r="3576" spans="1:10" x14ac:dyDescent="0.2">
      <c r="A3576" s="84">
        <f t="shared" si="115"/>
        <v>3570</v>
      </c>
      <c r="B3576" s="85" t="e">
        <f>+MATCH(D3576,ARTICULOS!$F$10:$F$699,0)</f>
        <v>#N/A</v>
      </c>
      <c r="C3576" s="86" t="e">
        <f>+VLOOKUP(B3576,ARTICULOS!$D$10:$I$699,6)</f>
        <v>#N/A</v>
      </c>
      <c r="D3576" s="212"/>
      <c r="E3576" s="75" t="e">
        <f t="shared" si="114"/>
        <v>#N/A</v>
      </c>
      <c r="F3576" s="80"/>
      <c r="G3576" s="81"/>
      <c r="H3576" s="78"/>
      <c r="I3576" s="78"/>
      <c r="J3576" s="78"/>
    </row>
    <row r="3577" spans="1:10" x14ac:dyDescent="0.2">
      <c r="A3577" s="84">
        <f t="shared" si="115"/>
        <v>3571</v>
      </c>
      <c r="B3577" s="85" t="e">
        <f>+MATCH(D3577,ARTICULOS!$F$10:$F$699,0)</f>
        <v>#N/A</v>
      </c>
      <c r="C3577" s="86" t="e">
        <f>+VLOOKUP(B3577,ARTICULOS!$D$10:$I$699,6)</f>
        <v>#N/A</v>
      </c>
      <c r="D3577" s="212"/>
      <c r="E3577" s="75" t="e">
        <f t="shared" si="114"/>
        <v>#N/A</v>
      </c>
      <c r="F3577" s="80"/>
      <c r="G3577" s="81"/>
      <c r="H3577" s="78"/>
      <c r="I3577" s="78"/>
      <c r="J3577" s="78"/>
    </row>
    <row r="3578" spans="1:10" x14ac:dyDescent="0.2">
      <c r="A3578" s="84">
        <f t="shared" si="115"/>
        <v>3572</v>
      </c>
      <c r="B3578" s="85" t="e">
        <f>+MATCH(D3578,ARTICULOS!$F$10:$F$699,0)</f>
        <v>#N/A</v>
      </c>
      <c r="C3578" s="86" t="e">
        <f>+VLOOKUP(B3578,ARTICULOS!$D$10:$I$699,6)</f>
        <v>#N/A</v>
      </c>
      <c r="D3578" s="212"/>
      <c r="E3578" s="75" t="e">
        <f t="shared" si="114"/>
        <v>#N/A</v>
      </c>
      <c r="F3578" s="80"/>
      <c r="G3578" s="81"/>
      <c r="H3578" s="78"/>
      <c r="I3578" s="78"/>
      <c r="J3578" s="78"/>
    </row>
    <row r="3579" spans="1:10" x14ac:dyDescent="0.2">
      <c r="A3579" s="84">
        <f t="shared" si="115"/>
        <v>3573</v>
      </c>
      <c r="B3579" s="85" t="e">
        <f>+MATCH(D3579,ARTICULOS!$F$10:$F$699,0)</f>
        <v>#N/A</v>
      </c>
      <c r="C3579" s="86" t="e">
        <f>+VLOOKUP(B3579,ARTICULOS!$D$10:$I$699,6)</f>
        <v>#N/A</v>
      </c>
      <c r="D3579" s="212"/>
      <c r="E3579" s="75" t="e">
        <f t="shared" si="114"/>
        <v>#N/A</v>
      </c>
      <c r="F3579" s="80"/>
      <c r="G3579" s="81"/>
      <c r="H3579" s="78"/>
      <c r="I3579" s="78"/>
      <c r="J3579" s="78"/>
    </row>
    <row r="3580" spans="1:10" x14ac:dyDescent="0.2">
      <c r="A3580" s="84">
        <f t="shared" si="115"/>
        <v>3574</v>
      </c>
      <c r="B3580" s="85" t="e">
        <f>+MATCH(D3580,ARTICULOS!$F$10:$F$699,0)</f>
        <v>#N/A</v>
      </c>
      <c r="C3580" s="86" t="e">
        <f>+VLOOKUP(B3580,ARTICULOS!$D$10:$I$699,6)</f>
        <v>#N/A</v>
      </c>
      <c r="D3580" s="212"/>
      <c r="E3580" s="75" t="e">
        <f t="shared" si="114"/>
        <v>#N/A</v>
      </c>
      <c r="F3580" s="80"/>
      <c r="G3580" s="81"/>
      <c r="H3580" s="78"/>
      <c r="I3580" s="78"/>
      <c r="J3580" s="78"/>
    </row>
    <row r="3581" spans="1:10" x14ac:dyDescent="0.2">
      <c r="A3581" s="84">
        <f t="shared" si="115"/>
        <v>3575</v>
      </c>
      <c r="B3581" s="85" t="e">
        <f>+MATCH(D3581,ARTICULOS!$F$10:$F$699,0)</f>
        <v>#N/A</v>
      </c>
      <c r="C3581" s="86" t="e">
        <f>+VLOOKUP(B3581,ARTICULOS!$D$10:$I$699,6)</f>
        <v>#N/A</v>
      </c>
      <c r="D3581" s="212"/>
      <c r="E3581" s="75" t="e">
        <f t="shared" si="114"/>
        <v>#N/A</v>
      </c>
      <c r="F3581" s="80"/>
      <c r="G3581" s="81"/>
      <c r="H3581" s="78"/>
      <c r="I3581" s="78"/>
      <c r="J3581" s="78"/>
    </row>
    <row r="3582" spans="1:10" x14ac:dyDescent="0.2">
      <c r="A3582" s="84">
        <f t="shared" si="115"/>
        <v>3576</v>
      </c>
      <c r="B3582" s="85" t="e">
        <f>+MATCH(D3582,ARTICULOS!$F$10:$F$699,0)</f>
        <v>#N/A</v>
      </c>
      <c r="C3582" s="86" t="e">
        <f>+VLOOKUP(B3582,ARTICULOS!$D$10:$I$699,6)</f>
        <v>#N/A</v>
      </c>
      <c r="D3582" s="212"/>
      <c r="E3582" s="75" t="e">
        <f t="shared" si="114"/>
        <v>#N/A</v>
      </c>
      <c r="F3582" s="80"/>
      <c r="G3582" s="81"/>
      <c r="H3582" s="78"/>
      <c r="I3582" s="78"/>
      <c r="J3582" s="78"/>
    </row>
    <row r="3583" spans="1:10" x14ac:dyDescent="0.2">
      <c r="A3583" s="84">
        <f t="shared" si="115"/>
        <v>3577</v>
      </c>
      <c r="B3583" s="85" t="e">
        <f>+MATCH(D3583,ARTICULOS!$F$10:$F$699,0)</f>
        <v>#N/A</v>
      </c>
      <c r="C3583" s="86" t="e">
        <f>+VLOOKUP(B3583,ARTICULOS!$D$10:$I$699,6)</f>
        <v>#N/A</v>
      </c>
      <c r="D3583" s="212"/>
      <c r="E3583" s="75" t="e">
        <f t="shared" si="114"/>
        <v>#N/A</v>
      </c>
      <c r="F3583" s="80"/>
      <c r="G3583" s="81"/>
      <c r="H3583" s="78"/>
      <c r="I3583" s="78"/>
      <c r="J3583" s="78"/>
    </row>
    <row r="3584" spans="1:10" x14ac:dyDescent="0.2">
      <c r="A3584" s="84">
        <f t="shared" si="115"/>
        <v>3578</v>
      </c>
      <c r="B3584" s="85" t="e">
        <f>+MATCH(D3584,ARTICULOS!$F$10:$F$699,0)</f>
        <v>#N/A</v>
      </c>
      <c r="C3584" s="86" t="e">
        <f>+VLOOKUP(B3584,ARTICULOS!$D$10:$I$699,6)</f>
        <v>#N/A</v>
      </c>
      <c r="D3584" s="212"/>
      <c r="E3584" s="75" t="e">
        <f t="shared" si="114"/>
        <v>#N/A</v>
      </c>
      <c r="F3584" s="80"/>
      <c r="G3584" s="81"/>
      <c r="H3584" s="78"/>
      <c r="I3584" s="78"/>
      <c r="J3584" s="78"/>
    </row>
    <row r="3585" spans="1:10" x14ac:dyDescent="0.2">
      <c r="A3585" s="84">
        <f t="shared" si="115"/>
        <v>3579</v>
      </c>
      <c r="B3585" s="85" t="e">
        <f>+MATCH(D3585,ARTICULOS!$F$10:$F$699,0)</f>
        <v>#N/A</v>
      </c>
      <c r="C3585" s="86" t="e">
        <f>+VLOOKUP(B3585,ARTICULOS!$D$10:$I$699,6)</f>
        <v>#N/A</v>
      </c>
      <c r="D3585" s="212"/>
      <c r="E3585" s="75" t="e">
        <f t="shared" si="114"/>
        <v>#N/A</v>
      </c>
      <c r="F3585" s="80"/>
      <c r="G3585" s="81"/>
      <c r="H3585" s="78"/>
      <c r="I3585" s="78"/>
      <c r="J3585" s="78"/>
    </row>
    <row r="3586" spans="1:10" x14ac:dyDescent="0.2">
      <c r="A3586" s="84">
        <f t="shared" si="115"/>
        <v>3580</v>
      </c>
      <c r="B3586" s="85" t="e">
        <f>+MATCH(D3586,ARTICULOS!$F$10:$F$699,0)</f>
        <v>#N/A</v>
      </c>
      <c r="C3586" s="86" t="e">
        <f>+VLOOKUP(B3586,ARTICULOS!$D$10:$I$699,6)</f>
        <v>#N/A</v>
      </c>
      <c r="D3586" s="212"/>
      <c r="E3586" s="75" t="e">
        <f t="shared" si="114"/>
        <v>#N/A</v>
      </c>
      <c r="F3586" s="80"/>
      <c r="G3586" s="81"/>
      <c r="H3586" s="78"/>
      <c r="I3586" s="78"/>
      <c r="J3586" s="78"/>
    </row>
    <row r="3587" spans="1:10" x14ac:dyDescent="0.2">
      <c r="A3587" s="84">
        <f t="shared" si="115"/>
        <v>3581</v>
      </c>
      <c r="B3587" s="85" t="e">
        <f>+MATCH(D3587,ARTICULOS!$F$10:$F$699,0)</f>
        <v>#N/A</v>
      </c>
      <c r="C3587" s="86" t="e">
        <f>+VLOOKUP(B3587,ARTICULOS!$D$10:$I$699,6)</f>
        <v>#N/A</v>
      </c>
      <c r="D3587" s="212"/>
      <c r="E3587" s="75" t="e">
        <f t="shared" si="114"/>
        <v>#N/A</v>
      </c>
      <c r="F3587" s="80"/>
      <c r="G3587" s="81"/>
      <c r="H3587" s="78"/>
      <c r="I3587" s="78"/>
      <c r="J3587" s="78"/>
    </row>
    <row r="3588" spans="1:10" x14ac:dyDescent="0.2">
      <c r="A3588" s="84">
        <f t="shared" si="115"/>
        <v>3582</v>
      </c>
      <c r="B3588" s="85" t="e">
        <f>+MATCH(D3588,ARTICULOS!$F$10:$F$699,0)</f>
        <v>#N/A</v>
      </c>
      <c r="C3588" s="86" t="e">
        <f>+VLOOKUP(B3588,ARTICULOS!$D$10:$I$699,6)</f>
        <v>#N/A</v>
      </c>
      <c r="D3588" s="212"/>
      <c r="E3588" s="75" t="e">
        <f t="shared" si="114"/>
        <v>#N/A</v>
      </c>
      <c r="F3588" s="80"/>
      <c r="G3588" s="81"/>
      <c r="H3588" s="78"/>
      <c r="I3588" s="78"/>
      <c r="J3588" s="78"/>
    </row>
    <row r="3589" spans="1:10" x14ac:dyDescent="0.2">
      <c r="A3589" s="84">
        <f t="shared" si="115"/>
        <v>3583</v>
      </c>
      <c r="B3589" s="85" t="e">
        <f>+MATCH(D3589,ARTICULOS!$F$10:$F$699,0)</f>
        <v>#N/A</v>
      </c>
      <c r="C3589" s="86" t="e">
        <f>+VLOOKUP(B3589,ARTICULOS!$D$10:$I$699,6)</f>
        <v>#N/A</v>
      </c>
      <c r="D3589" s="212"/>
      <c r="E3589" s="75" t="e">
        <f t="shared" si="114"/>
        <v>#N/A</v>
      </c>
      <c r="F3589" s="80"/>
      <c r="G3589" s="81"/>
      <c r="H3589" s="78"/>
      <c r="I3589" s="78"/>
      <c r="J3589" s="78"/>
    </row>
    <row r="3590" spans="1:10" x14ac:dyDescent="0.2">
      <c r="A3590" s="84">
        <f t="shared" si="115"/>
        <v>3584</v>
      </c>
      <c r="B3590" s="85" t="e">
        <f>+MATCH(D3590,ARTICULOS!$F$10:$F$699,0)</f>
        <v>#N/A</v>
      </c>
      <c r="C3590" s="86" t="e">
        <f>+VLOOKUP(B3590,ARTICULOS!$D$10:$I$699,6)</f>
        <v>#N/A</v>
      </c>
      <c r="D3590" s="212"/>
      <c r="E3590" s="75" t="e">
        <f t="shared" si="114"/>
        <v>#N/A</v>
      </c>
      <c r="F3590" s="80"/>
      <c r="G3590" s="81"/>
      <c r="H3590" s="78"/>
      <c r="I3590" s="78"/>
      <c r="J3590" s="78"/>
    </row>
    <row r="3591" spans="1:10" x14ac:dyDescent="0.2">
      <c r="A3591" s="84">
        <f t="shared" si="115"/>
        <v>3585</v>
      </c>
      <c r="B3591" s="85" t="e">
        <f>+MATCH(D3591,ARTICULOS!$F$10:$F$699,0)</f>
        <v>#N/A</v>
      </c>
      <c r="C3591" s="86" t="e">
        <f>+VLOOKUP(B3591,ARTICULOS!$D$10:$I$699,6)</f>
        <v>#N/A</v>
      </c>
      <c r="D3591" s="212"/>
      <c r="E3591" s="75" t="e">
        <f t="shared" si="114"/>
        <v>#N/A</v>
      </c>
      <c r="F3591" s="80"/>
      <c r="G3591" s="81"/>
      <c r="H3591" s="78"/>
      <c r="I3591" s="78"/>
      <c r="J3591" s="78"/>
    </row>
    <row r="3592" spans="1:10" x14ac:dyDescent="0.2">
      <c r="A3592" s="84">
        <f t="shared" si="115"/>
        <v>3586</v>
      </c>
      <c r="B3592" s="85" t="e">
        <f>+MATCH(D3592,ARTICULOS!$F$10:$F$699,0)</f>
        <v>#N/A</v>
      </c>
      <c r="C3592" s="86" t="e">
        <f>+VLOOKUP(B3592,ARTICULOS!$D$10:$I$699,6)</f>
        <v>#N/A</v>
      </c>
      <c r="D3592" s="212"/>
      <c r="E3592" s="75" t="e">
        <f t="shared" si="114"/>
        <v>#N/A</v>
      </c>
      <c r="F3592" s="80"/>
      <c r="G3592" s="81"/>
      <c r="H3592" s="78"/>
      <c r="I3592" s="78"/>
      <c r="J3592" s="78"/>
    </row>
    <row r="3593" spans="1:10" x14ac:dyDescent="0.2">
      <c r="A3593" s="84">
        <f t="shared" si="115"/>
        <v>3587</v>
      </c>
      <c r="B3593" s="85" t="e">
        <f>+MATCH(D3593,ARTICULOS!$F$10:$F$699,0)</f>
        <v>#N/A</v>
      </c>
      <c r="C3593" s="86" t="e">
        <f>+VLOOKUP(B3593,ARTICULOS!$D$10:$I$699,6)</f>
        <v>#N/A</v>
      </c>
      <c r="D3593" s="212"/>
      <c r="E3593" s="75" t="e">
        <f t="shared" si="114"/>
        <v>#N/A</v>
      </c>
      <c r="F3593" s="80"/>
      <c r="G3593" s="81"/>
      <c r="H3593" s="78"/>
      <c r="I3593" s="78"/>
      <c r="J3593" s="78"/>
    </row>
    <row r="3594" spans="1:10" x14ac:dyDescent="0.2">
      <c r="A3594" s="84">
        <f t="shared" si="115"/>
        <v>3588</v>
      </c>
      <c r="B3594" s="85" t="e">
        <f>+MATCH(D3594,ARTICULOS!$F$10:$F$699,0)</f>
        <v>#N/A</v>
      </c>
      <c r="C3594" s="86" t="e">
        <f>+VLOOKUP(B3594,ARTICULOS!$D$10:$I$699,6)</f>
        <v>#N/A</v>
      </c>
      <c r="D3594" s="212"/>
      <c r="E3594" s="75" t="e">
        <f t="shared" si="114"/>
        <v>#N/A</v>
      </c>
      <c r="F3594" s="80"/>
      <c r="G3594" s="81"/>
      <c r="H3594" s="78"/>
      <c r="I3594" s="78"/>
      <c r="J3594" s="78"/>
    </row>
    <row r="3595" spans="1:10" x14ac:dyDescent="0.2">
      <c r="A3595" s="84">
        <f t="shared" si="115"/>
        <v>3589</v>
      </c>
      <c r="B3595" s="85" t="e">
        <f>+MATCH(D3595,ARTICULOS!$F$10:$F$699,0)</f>
        <v>#N/A</v>
      </c>
      <c r="C3595" s="86" t="e">
        <f>+VLOOKUP(B3595,ARTICULOS!$D$10:$I$699,6)</f>
        <v>#N/A</v>
      </c>
      <c r="D3595" s="212"/>
      <c r="E3595" s="75" t="e">
        <f t="shared" ref="E3595:E3658" si="116">+C3595&amp;F3595</f>
        <v>#N/A</v>
      </c>
      <c r="F3595" s="80"/>
      <c r="G3595" s="81"/>
      <c r="H3595" s="78"/>
      <c r="I3595" s="78"/>
      <c r="J3595" s="78"/>
    </row>
    <row r="3596" spans="1:10" x14ac:dyDescent="0.2">
      <c r="A3596" s="84">
        <f t="shared" si="115"/>
        <v>3590</v>
      </c>
      <c r="B3596" s="85" t="e">
        <f>+MATCH(D3596,ARTICULOS!$F$10:$F$699,0)</f>
        <v>#N/A</v>
      </c>
      <c r="C3596" s="86" t="e">
        <f>+VLOOKUP(B3596,ARTICULOS!$D$10:$I$699,6)</f>
        <v>#N/A</v>
      </c>
      <c r="D3596" s="212"/>
      <c r="E3596" s="75" t="e">
        <f t="shared" si="116"/>
        <v>#N/A</v>
      </c>
      <c r="F3596" s="80"/>
      <c r="G3596" s="81"/>
      <c r="H3596" s="78"/>
      <c r="I3596" s="78"/>
      <c r="J3596" s="78"/>
    </row>
    <row r="3597" spans="1:10" x14ac:dyDescent="0.2">
      <c r="A3597" s="84">
        <f t="shared" si="115"/>
        <v>3591</v>
      </c>
      <c r="B3597" s="85" t="e">
        <f>+MATCH(D3597,ARTICULOS!$F$10:$F$699,0)</f>
        <v>#N/A</v>
      </c>
      <c r="C3597" s="86" t="e">
        <f>+VLOOKUP(B3597,ARTICULOS!$D$10:$I$699,6)</f>
        <v>#N/A</v>
      </c>
      <c r="D3597" s="212"/>
      <c r="E3597" s="75" t="e">
        <f t="shared" si="116"/>
        <v>#N/A</v>
      </c>
      <c r="F3597" s="80"/>
      <c r="G3597" s="81"/>
      <c r="H3597" s="78"/>
      <c r="I3597" s="78"/>
      <c r="J3597" s="78"/>
    </row>
    <row r="3598" spans="1:10" x14ac:dyDescent="0.2">
      <c r="A3598" s="84">
        <f t="shared" si="115"/>
        <v>3592</v>
      </c>
      <c r="B3598" s="85" t="e">
        <f>+MATCH(D3598,ARTICULOS!$F$10:$F$699,0)</f>
        <v>#N/A</v>
      </c>
      <c r="C3598" s="86" t="e">
        <f>+VLOOKUP(B3598,ARTICULOS!$D$10:$I$699,6)</f>
        <v>#N/A</v>
      </c>
      <c r="D3598" s="212"/>
      <c r="E3598" s="75" t="e">
        <f t="shared" si="116"/>
        <v>#N/A</v>
      </c>
      <c r="F3598" s="80"/>
      <c r="G3598" s="81"/>
      <c r="H3598" s="78"/>
      <c r="I3598" s="78"/>
      <c r="J3598" s="78"/>
    </row>
    <row r="3599" spans="1:10" x14ac:dyDescent="0.2">
      <c r="A3599" s="84">
        <f t="shared" si="115"/>
        <v>3593</v>
      </c>
      <c r="B3599" s="85" t="e">
        <f>+MATCH(D3599,ARTICULOS!$F$10:$F$699,0)</f>
        <v>#N/A</v>
      </c>
      <c r="C3599" s="86" t="e">
        <f>+VLOOKUP(B3599,ARTICULOS!$D$10:$I$699,6)</f>
        <v>#N/A</v>
      </c>
      <c r="D3599" s="212"/>
      <c r="E3599" s="75" t="e">
        <f t="shared" si="116"/>
        <v>#N/A</v>
      </c>
      <c r="F3599" s="80"/>
      <c r="G3599" s="81"/>
      <c r="H3599" s="78"/>
      <c r="I3599" s="78"/>
      <c r="J3599" s="78"/>
    </row>
    <row r="3600" spans="1:10" x14ac:dyDescent="0.2">
      <c r="A3600" s="84">
        <f t="shared" si="115"/>
        <v>3594</v>
      </c>
      <c r="B3600" s="85" t="e">
        <f>+MATCH(D3600,ARTICULOS!$F$10:$F$699,0)</f>
        <v>#N/A</v>
      </c>
      <c r="C3600" s="86" t="e">
        <f>+VLOOKUP(B3600,ARTICULOS!$D$10:$I$699,6)</f>
        <v>#N/A</v>
      </c>
      <c r="D3600" s="212"/>
      <c r="E3600" s="75" t="e">
        <f t="shared" si="116"/>
        <v>#N/A</v>
      </c>
      <c r="F3600" s="80"/>
      <c r="G3600" s="81"/>
      <c r="H3600" s="78"/>
      <c r="I3600" s="78"/>
      <c r="J3600" s="78"/>
    </row>
    <row r="3601" spans="1:10" x14ac:dyDescent="0.2">
      <c r="A3601" s="84">
        <f t="shared" si="115"/>
        <v>3595</v>
      </c>
      <c r="B3601" s="85" t="e">
        <f>+MATCH(D3601,ARTICULOS!$F$10:$F$699,0)</f>
        <v>#N/A</v>
      </c>
      <c r="C3601" s="86" t="e">
        <f>+VLOOKUP(B3601,ARTICULOS!$D$10:$I$699,6)</f>
        <v>#N/A</v>
      </c>
      <c r="D3601" s="212"/>
      <c r="E3601" s="75" t="e">
        <f t="shared" si="116"/>
        <v>#N/A</v>
      </c>
      <c r="F3601" s="80"/>
      <c r="G3601" s="81"/>
      <c r="H3601" s="78"/>
      <c r="I3601" s="78"/>
      <c r="J3601" s="78"/>
    </row>
    <row r="3602" spans="1:10" x14ac:dyDescent="0.2">
      <c r="A3602" s="84">
        <f t="shared" si="115"/>
        <v>3596</v>
      </c>
      <c r="B3602" s="85" t="e">
        <f>+MATCH(D3602,ARTICULOS!$F$10:$F$699,0)</f>
        <v>#N/A</v>
      </c>
      <c r="C3602" s="86" t="e">
        <f>+VLOOKUP(B3602,ARTICULOS!$D$10:$I$699,6)</f>
        <v>#N/A</v>
      </c>
      <c r="D3602" s="212"/>
      <c r="E3602" s="75" t="e">
        <f t="shared" si="116"/>
        <v>#N/A</v>
      </c>
      <c r="F3602" s="80"/>
      <c r="G3602" s="81"/>
      <c r="H3602" s="78"/>
      <c r="I3602" s="78"/>
      <c r="J3602" s="78"/>
    </row>
    <row r="3603" spans="1:10" x14ac:dyDescent="0.2">
      <c r="A3603" s="84">
        <f t="shared" si="115"/>
        <v>3597</v>
      </c>
      <c r="B3603" s="85" t="e">
        <f>+MATCH(D3603,ARTICULOS!$F$10:$F$699,0)</f>
        <v>#N/A</v>
      </c>
      <c r="C3603" s="86" t="e">
        <f>+VLOOKUP(B3603,ARTICULOS!$D$10:$I$699,6)</f>
        <v>#N/A</v>
      </c>
      <c r="D3603" s="212"/>
      <c r="E3603" s="75" t="e">
        <f t="shared" si="116"/>
        <v>#N/A</v>
      </c>
      <c r="F3603" s="80"/>
      <c r="G3603" s="81"/>
      <c r="H3603" s="78"/>
      <c r="I3603" s="78"/>
      <c r="J3603" s="78"/>
    </row>
    <row r="3604" spans="1:10" x14ac:dyDescent="0.2">
      <c r="A3604" s="84">
        <f t="shared" si="115"/>
        <v>3598</v>
      </c>
      <c r="B3604" s="85" t="e">
        <f>+MATCH(D3604,ARTICULOS!$F$10:$F$699,0)</f>
        <v>#N/A</v>
      </c>
      <c r="C3604" s="86" t="e">
        <f>+VLOOKUP(B3604,ARTICULOS!$D$10:$I$699,6)</f>
        <v>#N/A</v>
      </c>
      <c r="D3604" s="212"/>
      <c r="E3604" s="75" t="e">
        <f t="shared" si="116"/>
        <v>#N/A</v>
      </c>
      <c r="F3604" s="80"/>
      <c r="G3604" s="81"/>
      <c r="H3604" s="78"/>
      <c r="I3604" s="78"/>
      <c r="J3604" s="78"/>
    </row>
    <row r="3605" spans="1:10" x14ac:dyDescent="0.2">
      <c r="A3605" s="84">
        <f t="shared" si="115"/>
        <v>3599</v>
      </c>
      <c r="B3605" s="85" t="e">
        <f>+MATCH(D3605,ARTICULOS!$F$10:$F$699,0)</f>
        <v>#N/A</v>
      </c>
      <c r="C3605" s="86" t="e">
        <f>+VLOOKUP(B3605,ARTICULOS!$D$10:$I$699,6)</f>
        <v>#N/A</v>
      </c>
      <c r="D3605" s="212"/>
      <c r="E3605" s="75" t="e">
        <f t="shared" si="116"/>
        <v>#N/A</v>
      </c>
      <c r="F3605" s="80"/>
      <c r="G3605" s="81"/>
      <c r="H3605" s="78"/>
      <c r="I3605" s="78"/>
      <c r="J3605" s="78"/>
    </row>
    <row r="3606" spans="1:10" x14ac:dyDescent="0.2">
      <c r="A3606" s="84">
        <f t="shared" si="115"/>
        <v>3600</v>
      </c>
      <c r="B3606" s="85" t="e">
        <f>+MATCH(D3606,ARTICULOS!$F$10:$F$699,0)</f>
        <v>#N/A</v>
      </c>
      <c r="C3606" s="86" t="e">
        <f>+VLOOKUP(B3606,ARTICULOS!$D$10:$I$699,6)</f>
        <v>#N/A</v>
      </c>
      <c r="D3606" s="212"/>
      <c r="E3606" s="75" t="e">
        <f t="shared" si="116"/>
        <v>#N/A</v>
      </c>
      <c r="F3606" s="80"/>
      <c r="G3606" s="81"/>
      <c r="H3606" s="78"/>
      <c r="I3606" s="78"/>
      <c r="J3606" s="78"/>
    </row>
    <row r="3607" spans="1:10" x14ac:dyDescent="0.2">
      <c r="A3607" s="84">
        <f t="shared" si="115"/>
        <v>3601</v>
      </c>
      <c r="B3607" s="85" t="e">
        <f>+MATCH(D3607,ARTICULOS!$F$10:$F$699,0)</f>
        <v>#N/A</v>
      </c>
      <c r="C3607" s="86" t="e">
        <f>+VLOOKUP(B3607,ARTICULOS!$D$10:$I$699,6)</f>
        <v>#N/A</v>
      </c>
      <c r="D3607" s="212"/>
      <c r="E3607" s="75" t="e">
        <f t="shared" si="116"/>
        <v>#N/A</v>
      </c>
      <c r="F3607" s="80"/>
      <c r="G3607" s="81"/>
      <c r="H3607" s="78"/>
      <c r="I3607" s="78"/>
      <c r="J3607" s="78"/>
    </row>
    <row r="3608" spans="1:10" x14ac:dyDescent="0.2">
      <c r="A3608" s="84">
        <f t="shared" si="115"/>
        <v>3602</v>
      </c>
      <c r="B3608" s="85" t="e">
        <f>+MATCH(D3608,ARTICULOS!$F$10:$F$699,0)</f>
        <v>#N/A</v>
      </c>
      <c r="C3608" s="86" t="e">
        <f>+VLOOKUP(B3608,ARTICULOS!$D$10:$I$699,6)</f>
        <v>#N/A</v>
      </c>
      <c r="D3608" s="212"/>
      <c r="E3608" s="75" t="e">
        <f t="shared" si="116"/>
        <v>#N/A</v>
      </c>
      <c r="F3608" s="80"/>
      <c r="G3608" s="81"/>
      <c r="H3608" s="78"/>
      <c r="I3608" s="78"/>
      <c r="J3608" s="78"/>
    </row>
    <row r="3609" spans="1:10" x14ac:dyDescent="0.2">
      <c r="A3609" s="84">
        <f t="shared" si="115"/>
        <v>3603</v>
      </c>
      <c r="B3609" s="85" t="e">
        <f>+MATCH(D3609,ARTICULOS!$F$10:$F$699,0)</f>
        <v>#N/A</v>
      </c>
      <c r="C3609" s="86" t="e">
        <f>+VLOOKUP(B3609,ARTICULOS!$D$10:$I$699,6)</f>
        <v>#N/A</v>
      </c>
      <c r="D3609" s="212"/>
      <c r="E3609" s="75" t="e">
        <f t="shared" si="116"/>
        <v>#N/A</v>
      </c>
      <c r="F3609" s="80"/>
      <c r="G3609" s="81"/>
      <c r="H3609" s="78"/>
      <c r="I3609" s="78"/>
      <c r="J3609" s="78"/>
    </row>
    <row r="3610" spans="1:10" x14ac:dyDescent="0.2">
      <c r="A3610" s="84">
        <f t="shared" si="115"/>
        <v>3604</v>
      </c>
      <c r="B3610" s="85" t="e">
        <f>+MATCH(D3610,ARTICULOS!$F$10:$F$699,0)</f>
        <v>#N/A</v>
      </c>
      <c r="C3610" s="86" t="e">
        <f>+VLOOKUP(B3610,ARTICULOS!$D$10:$I$699,6)</f>
        <v>#N/A</v>
      </c>
      <c r="D3610" s="212"/>
      <c r="E3610" s="75" t="e">
        <f t="shared" si="116"/>
        <v>#N/A</v>
      </c>
      <c r="F3610" s="80"/>
      <c r="G3610" s="81"/>
      <c r="H3610" s="78"/>
      <c r="I3610" s="78"/>
      <c r="J3610" s="78"/>
    </row>
    <row r="3611" spans="1:10" x14ac:dyDescent="0.2">
      <c r="A3611" s="84">
        <f t="shared" si="115"/>
        <v>3605</v>
      </c>
      <c r="B3611" s="85" t="e">
        <f>+MATCH(D3611,ARTICULOS!$F$10:$F$699,0)</f>
        <v>#N/A</v>
      </c>
      <c r="C3611" s="86" t="e">
        <f>+VLOOKUP(B3611,ARTICULOS!$D$10:$I$699,6)</f>
        <v>#N/A</v>
      </c>
      <c r="D3611" s="212"/>
      <c r="E3611" s="75" t="e">
        <f t="shared" si="116"/>
        <v>#N/A</v>
      </c>
      <c r="F3611" s="80"/>
      <c r="G3611" s="81"/>
      <c r="H3611" s="78"/>
      <c r="I3611" s="78"/>
      <c r="J3611" s="78"/>
    </row>
    <row r="3612" spans="1:10" x14ac:dyDescent="0.2">
      <c r="A3612" s="84">
        <f t="shared" si="115"/>
        <v>3606</v>
      </c>
      <c r="B3612" s="85" t="e">
        <f>+MATCH(D3612,ARTICULOS!$F$10:$F$699,0)</f>
        <v>#N/A</v>
      </c>
      <c r="C3612" s="86" t="e">
        <f>+VLOOKUP(B3612,ARTICULOS!$D$10:$I$699,6)</f>
        <v>#N/A</v>
      </c>
      <c r="D3612" s="212"/>
      <c r="E3612" s="75" t="e">
        <f t="shared" si="116"/>
        <v>#N/A</v>
      </c>
      <c r="F3612" s="80"/>
      <c r="G3612" s="81"/>
      <c r="H3612" s="78"/>
      <c r="I3612" s="78"/>
      <c r="J3612" s="78"/>
    </row>
    <row r="3613" spans="1:10" x14ac:dyDescent="0.2">
      <c r="A3613" s="84">
        <f t="shared" si="115"/>
        <v>3607</v>
      </c>
      <c r="B3613" s="85" t="e">
        <f>+MATCH(D3613,ARTICULOS!$F$10:$F$699,0)</f>
        <v>#N/A</v>
      </c>
      <c r="C3613" s="86" t="e">
        <f>+VLOOKUP(B3613,ARTICULOS!$D$10:$I$699,6)</f>
        <v>#N/A</v>
      </c>
      <c r="D3613" s="212"/>
      <c r="E3613" s="75" t="e">
        <f t="shared" si="116"/>
        <v>#N/A</v>
      </c>
      <c r="F3613" s="80"/>
      <c r="G3613" s="81"/>
      <c r="H3613" s="78"/>
      <c r="I3613" s="78"/>
      <c r="J3613" s="78"/>
    </row>
    <row r="3614" spans="1:10" x14ac:dyDescent="0.2">
      <c r="A3614" s="84">
        <f t="shared" si="115"/>
        <v>3608</v>
      </c>
      <c r="B3614" s="85" t="e">
        <f>+MATCH(D3614,ARTICULOS!$F$10:$F$699,0)</f>
        <v>#N/A</v>
      </c>
      <c r="C3614" s="86" t="e">
        <f>+VLOOKUP(B3614,ARTICULOS!$D$10:$I$699,6)</f>
        <v>#N/A</v>
      </c>
      <c r="D3614" s="212"/>
      <c r="E3614" s="75" t="e">
        <f t="shared" si="116"/>
        <v>#N/A</v>
      </c>
      <c r="F3614" s="80"/>
      <c r="G3614" s="81"/>
      <c r="H3614" s="78"/>
      <c r="I3614" s="78"/>
      <c r="J3614" s="78"/>
    </row>
    <row r="3615" spans="1:10" x14ac:dyDescent="0.2">
      <c r="A3615" s="84">
        <f t="shared" si="115"/>
        <v>3609</v>
      </c>
      <c r="B3615" s="85" t="e">
        <f>+MATCH(D3615,ARTICULOS!$F$10:$F$699,0)</f>
        <v>#N/A</v>
      </c>
      <c r="C3615" s="86" t="e">
        <f>+VLOOKUP(B3615,ARTICULOS!$D$10:$I$699,6)</f>
        <v>#N/A</v>
      </c>
      <c r="D3615" s="212"/>
      <c r="E3615" s="75" t="e">
        <f t="shared" si="116"/>
        <v>#N/A</v>
      </c>
      <c r="F3615" s="80"/>
      <c r="G3615" s="81"/>
      <c r="H3615" s="78"/>
      <c r="I3615" s="78"/>
      <c r="J3615" s="78"/>
    </row>
    <row r="3616" spans="1:10" x14ac:dyDescent="0.2">
      <c r="A3616" s="84">
        <f t="shared" si="115"/>
        <v>3610</v>
      </c>
      <c r="B3616" s="85" t="e">
        <f>+MATCH(D3616,ARTICULOS!$F$10:$F$699,0)</f>
        <v>#N/A</v>
      </c>
      <c r="C3616" s="86" t="e">
        <f>+VLOOKUP(B3616,ARTICULOS!$D$10:$I$699,6)</f>
        <v>#N/A</v>
      </c>
      <c r="D3616" s="212"/>
      <c r="E3616" s="75" t="e">
        <f t="shared" si="116"/>
        <v>#N/A</v>
      </c>
      <c r="F3616" s="80"/>
      <c r="G3616" s="81"/>
      <c r="H3616" s="78"/>
      <c r="I3616" s="78"/>
      <c r="J3616" s="78"/>
    </row>
    <row r="3617" spans="1:10" x14ac:dyDescent="0.2">
      <c r="A3617" s="84">
        <f t="shared" si="115"/>
        <v>3611</v>
      </c>
      <c r="B3617" s="85" t="e">
        <f>+MATCH(D3617,ARTICULOS!$F$10:$F$699,0)</f>
        <v>#N/A</v>
      </c>
      <c r="C3617" s="86" t="e">
        <f>+VLOOKUP(B3617,ARTICULOS!$D$10:$I$699,6)</f>
        <v>#N/A</v>
      </c>
      <c r="D3617" s="212"/>
      <c r="E3617" s="75" t="e">
        <f t="shared" si="116"/>
        <v>#N/A</v>
      </c>
      <c r="F3617" s="80"/>
      <c r="G3617" s="81"/>
      <c r="H3617" s="78"/>
      <c r="I3617" s="78"/>
      <c r="J3617" s="78"/>
    </row>
    <row r="3618" spans="1:10" x14ac:dyDescent="0.2">
      <c r="A3618" s="84">
        <f t="shared" si="115"/>
        <v>3612</v>
      </c>
      <c r="B3618" s="85" t="e">
        <f>+MATCH(D3618,ARTICULOS!$F$10:$F$699,0)</f>
        <v>#N/A</v>
      </c>
      <c r="C3618" s="86" t="e">
        <f>+VLOOKUP(B3618,ARTICULOS!$D$10:$I$699,6)</f>
        <v>#N/A</v>
      </c>
      <c r="D3618" s="212"/>
      <c r="E3618" s="75" t="e">
        <f t="shared" si="116"/>
        <v>#N/A</v>
      </c>
      <c r="F3618" s="80"/>
      <c r="G3618" s="81"/>
      <c r="H3618" s="78"/>
      <c r="I3618" s="78"/>
      <c r="J3618" s="78"/>
    </row>
    <row r="3619" spans="1:10" x14ac:dyDescent="0.2">
      <c r="A3619" s="84">
        <f t="shared" si="115"/>
        <v>3613</v>
      </c>
      <c r="B3619" s="85" t="e">
        <f>+MATCH(D3619,ARTICULOS!$F$10:$F$699,0)</f>
        <v>#N/A</v>
      </c>
      <c r="C3619" s="86" t="e">
        <f>+VLOOKUP(B3619,ARTICULOS!$D$10:$I$699,6)</f>
        <v>#N/A</v>
      </c>
      <c r="D3619" s="212"/>
      <c r="E3619" s="75" t="e">
        <f t="shared" si="116"/>
        <v>#N/A</v>
      </c>
      <c r="F3619" s="80"/>
      <c r="G3619" s="81"/>
      <c r="H3619" s="78"/>
      <c r="I3619" s="78"/>
      <c r="J3619" s="78"/>
    </row>
    <row r="3620" spans="1:10" x14ac:dyDescent="0.2">
      <c r="A3620" s="84">
        <f t="shared" si="115"/>
        <v>3614</v>
      </c>
      <c r="B3620" s="85" t="e">
        <f>+MATCH(D3620,ARTICULOS!$F$10:$F$699,0)</f>
        <v>#N/A</v>
      </c>
      <c r="C3620" s="86" t="e">
        <f>+VLOOKUP(B3620,ARTICULOS!$D$10:$I$699,6)</f>
        <v>#N/A</v>
      </c>
      <c r="D3620" s="212"/>
      <c r="E3620" s="75" t="e">
        <f t="shared" si="116"/>
        <v>#N/A</v>
      </c>
      <c r="F3620" s="80"/>
      <c r="G3620" s="81"/>
      <c r="H3620" s="78"/>
      <c r="I3620" s="78"/>
      <c r="J3620" s="78"/>
    </row>
    <row r="3621" spans="1:10" x14ac:dyDescent="0.2">
      <c r="A3621" s="84">
        <f t="shared" si="115"/>
        <v>3615</v>
      </c>
      <c r="B3621" s="85" t="e">
        <f>+MATCH(D3621,ARTICULOS!$F$10:$F$699,0)</f>
        <v>#N/A</v>
      </c>
      <c r="C3621" s="86" t="e">
        <f>+VLOOKUP(B3621,ARTICULOS!$D$10:$I$699,6)</f>
        <v>#N/A</v>
      </c>
      <c r="D3621" s="212"/>
      <c r="E3621" s="75" t="e">
        <f t="shared" si="116"/>
        <v>#N/A</v>
      </c>
      <c r="F3621" s="80"/>
      <c r="G3621" s="81"/>
      <c r="H3621" s="78"/>
      <c r="I3621" s="78"/>
      <c r="J3621" s="78"/>
    </row>
    <row r="3622" spans="1:10" x14ac:dyDescent="0.2">
      <c r="A3622" s="84">
        <f t="shared" si="115"/>
        <v>3616</v>
      </c>
      <c r="B3622" s="85" t="e">
        <f>+MATCH(D3622,ARTICULOS!$F$10:$F$699,0)</f>
        <v>#N/A</v>
      </c>
      <c r="C3622" s="86" t="e">
        <f>+VLOOKUP(B3622,ARTICULOS!$D$10:$I$699,6)</f>
        <v>#N/A</v>
      </c>
      <c r="D3622" s="212"/>
      <c r="E3622" s="75" t="e">
        <f t="shared" si="116"/>
        <v>#N/A</v>
      </c>
      <c r="F3622" s="80"/>
      <c r="G3622" s="81"/>
      <c r="H3622" s="78"/>
      <c r="I3622" s="78"/>
      <c r="J3622" s="78"/>
    </row>
    <row r="3623" spans="1:10" x14ac:dyDescent="0.2">
      <c r="A3623" s="84">
        <f t="shared" si="115"/>
        <v>3617</v>
      </c>
      <c r="B3623" s="85" t="e">
        <f>+MATCH(D3623,ARTICULOS!$F$10:$F$699,0)</f>
        <v>#N/A</v>
      </c>
      <c r="C3623" s="86" t="e">
        <f>+VLOOKUP(B3623,ARTICULOS!$D$10:$I$699,6)</f>
        <v>#N/A</v>
      </c>
      <c r="D3623" s="212"/>
      <c r="E3623" s="75" t="e">
        <f t="shared" si="116"/>
        <v>#N/A</v>
      </c>
      <c r="F3623" s="80"/>
      <c r="G3623" s="81"/>
      <c r="H3623" s="78"/>
      <c r="I3623" s="78"/>
      <c r="J3623" s="78"/>
    </row>
    <row r="3624" spans="1:10" x14ac:dyDescent="0.2">
      <c r="A3624" s="84">
        <f t="shared" si="115"/>
        <v>3618</v>
      </c>
      <c r="B3624" s="85" t="e">
        <f>+MATCH(D3624,ARTICULOS!$F$10:$F$699,0)</f>
        <v>#N/A</v>
      </c>
      <c r="C3624" s="86" t="e">
        <f>+VLOOKUP(B3624,ARTICULOS!$D$10:$I$699,6)</f>
        <v>#N/A</v>
      </c>
      <c r="D3624" s="212"/>
      <c r="E3624" s="75" t="e">
        <f t="shared" si="116"/>
        <v>#N/A</v>
      </c>
      <c r="F3624" s="80"/>
      <c r="G3624" s="81"/>
      <c r="H3624" s="78"/>
      <c r="I3624" s="78"/>
      <c r="J3624" s="78"/>
    </row>
    <row r="3625" spans="1:10" x14ac:dyDescent="0.2">
      <c r="A3625" s="84">
        <f t="shared" ref="A3625:A3688" si="117">ROW()-6</f>
        <v>3619</v>
      </c>
      <c r="B3625" s="85" t="e">
        <f>+MATCH(D3625,ARTICULOS!$F$10:$F$699,0)</f>
        <v>#N/A</v>
      </c>
      <c r="C3625" s="86" t="e">
        <f>+VLOOKUP(B3625,ARTICULOS!$D$10:$I$699,6)</f>
        <v>#N/A</v>
      </c>
      <c r="D3625" s="212"/>
      <c r="E3625" s="75" t="e">
        <f t="shared" si="116"/>
        <v>#N/A</v>
      </c>
      <c r="F3625" s="80"/>
      <c r="G3625" s="81"/>
      <c r="H3625" s="78"/>
      <c r="I3625" s="78"/>
      <c r="J3625" s="78"/>
    </row>
    <row r="3626" spans="1:10" x14ac:dyDescent="0.2">
      <c r="A3626" s="84">
        <f t="shared" si="117"/>
        <v>3620</v>
      </c>
      <c r="B3626" s="85" t="e">
        <f>+MATCH(D3626,ARTICULOS!$F$10:$F$699,0)</f>
        <v>#N/A</v>
      </c>
      <c r="C3626" s="86" t="e">
        <f>+VLOOKUP(B3626,ARTICULOS!$D$10:$I$699,6)</f>
        <v>#N/A</v>
      </c>
      <c r="D3626" s="212"/>
      <c r="E3626" s="75" t="e">
        <f t="shared" si="116"/>
        <v>#N/A</v>
      </c>
      <c r="F3626" s="80"/>
      <c r="G3626" s="81"/>
      <c r="H3626" s="78"/>
      <c r="I3626" s="78"/>
      <c r="J3626" s="78"/>
    </row>
    <row r="3627" spans="1:10" x14ac:dyDescent="0.2">
      <c r="A3627" s="84">
        <f t="shared" si="117"/>
        <v>3621</v>
      </c>
      <c r="B3627" s="85" t="e">
        <f>+MATCH(D3627,ARTICULOS!$F$10:$F$699,0)</f>
        <v>#N/A</v>
      </c>
      <c r="C3627" s="86" t="e">
        <f>+VLOOKUP(B3627,ARTICULOS!$D$10:$I$699,6)</f>
        <v>#N/A</v>
      </c>
      <c r="D3627" s="212"/>
      <c r="E3627" s="75" t="e">
        <f t="shared" si="116"/>
        <v>#N/A</v>
      </c>
      <c r="F3627" s="80"/>
      <c r="G3627" s="81"/>
      <c r="H3627" s="78"/>
      <c r="I3627" s="78"/>
      <c r="J3627" s="78"/>
    </row>
    <row r="3628" spans="1:10" x14ac:dyDescent="0.2">
      <c r="A3628" s="84">
        <f t="shared" si="117"/>
        <v>3622</v>
      </c>
      <c r="B3628" s="85" t="e">
        <f>+MATCH(D3628,ARTICULOS!$F$10:$F$699,0)</f>
        <v>#N/A</v>
      </c>
      <c r="C3628" s="86" t="e">
        <f>+VLOOKUP(B3628,ARTICULOS!$D$10:$I$699,6)</f>
        <v>#N/A</v>
      </c>
      <c r="D3628" s="212"/>
      <c r="E3628" s="75" t="e">
        <f t="shared" si="116"/>
        <v>#N/A</v>
      </c>
      <c r="F3628" s="80"/>
      <c r="G3628" s="81"/>
      <c r="H3628" s="78"/>
      <c r="I3628" s="78"/>
      <c r="J3628" s="78"/>
    </row>
    <row r="3629" spans="1:10" x14ac:dyDescent="0.2">
      <c r="A3629" s="84">
        <f t="shared" si="117"/>
        <v>3623</v>
      </c>
      <c r="B3629" s="85" t="e">
        <f>+MATCH(D3629,ARTICULOS!$F$10:$F$699,0)</f>
        <v>#N/A</v>
      </c>
      <c r="C3629" s="86" t="e">
        <f>+VLOOKUP(B3629,ARTICULOS!$D$10:$I$699,6)</f>
        <v>#N/A</v>
      </c>
      <c r="D3629" s="212"/>
      <c r="E3629" s="75" t="e">
        <f t="shared" si="116"/>
        <v>#N/A</v>
      </c>
      <c r="F3629" s="80"/>
      <c r="G3629" s="81"/>
      <c r="H3629" s="78"/>
      <c r="I3629" s="78"/>
      <c r="J3629" s="78"/>
    </row>
    <row r="3630" spans="1:10" x14ac:dyDescent="0.2">
      <c r="A3630" s="84">
        <f t="shared" si="117"/>
        <v>3624</v>
      </c>
      <c r="B3630" s="85" t="e">
        <f>+MATCH(D3630,ARTICULOS!$F$10:$F$699,0)</f>
        <v>#N/A</v>
      </c>
      <c r="C3630" s="86" t="e">
        <f>+VLOOKUP(B3630,ARTICULOS!$D$10:$I$699,6)</f>
        <v>#N/A</v>
      </c>
      <c r="D3630" s="212"/>
      <c r="E3630" s="75" t="e">
        <f t="shared" si="116"/>
        <v>#N/A</v>
      </c>
      <c r="F3630" s="80"/>
      <c r="G3630" s="81"/>
      <c r="H3630" s="78"/>
      <c r="I3630" s="78"/>
      <c r="J3630" s="78"/>
    </row>
    <row r="3631" spans="1:10" x14ac:dyDescent="0.2">
      <c r="A3631" s="84">
        <f t="shared" si="117"/>
        <v>3625</v>
      </c>
      <c r="B3631" s="85" t="e">
        <f>+MATCH(D3631,ARTICULOS!$F$10:$F$699,0)</f>
        <v>#N/A</v>
      </c>
      <c r="C3631" s="86" t="e">
        <f>+VLOOKUP(B3631,ARTICULOS!$D$10:$I$699,6)</f>
        <v>#N/A</v>
      </c>
      <c r="D3631" s="212"/>
      <c r="E3631" s="75" t="e">
        <f t="shared" si="116"/>
        <v>#N/A</v>
      </c>
      <c r="F3631" s="80"/>
      <c r="G3631" s="81"/>
      <c r="H3631" s="78"/>
      <c r="I3631" s="78"/>
      <c r="J3631" s="78"/>
    </row>
    <row r="3632" spans="1:10" x14ac:dyDescent="0.2">
      <c r="A3632" s="84">
        <f t="shared" si="117"/>
        <v>3626</v>
      </c>
      <c r="B3632" s="85" t="e">
        <f>+MATCH(D3632,ARTICULOS!$F$10:$F$699,0)</f>
        <v>#N/A</v>
      </c>
      <c r="C3632" s="86" t="e">
        <f>+VLOOKUP(B3632,ARTICULOS!$D$10:$I$699,6)</f>
        <v>#N/A</v>
      </c>
      <c r="D3632" s="212"/>
      <c r="E3632" s="75" t="e">
        <f t="shared" si="116"/>
        <v>#N/A</v>
      </c>
      <c r="F3632" s="80"/>
      <c r="G3632" s="81"/>
      <c r="H3632" s="78"/>
      <c r="I3632" s="78"/>
      <c r="J3632" s="78"/>
    </row>
    <row r="3633" spans="1:10" x14ac:dyDescent="0.2">
      <c r="A3633" s="84">
        <f t="shared" si="117"/>
        <v>3627</v>
      </c>
      <c r="B3633" s="85" t="e">
        <f>+MATCH(D3633,ARTICULOS!$F$10:$F$699,0)</f>
        <v>#N/A</v>
      </c>
      <c r="C3633" s="86" t="e">
        <f>+VLOOKUP(B3633,ARTICULOS!$D$10:$I$699,6)</f>
        <v>#N/A</v>
      </c>
      <c r="D3633" s="212"/>
      <c r="E3633" s="75" t="e">
        <f t="shared" si="116"/>
        <v>#N/A</v>
      </c>
      <c r="F3633" s="80"/>
      <c r="G3633" s="81"/>
      <c r="H3633" s="78"/>
      <c r="I3633" s="78"/>
      <c r="J3633" s="78"/>
    </row>
    <row r="3634" spans="1:10" x14ac:dyDescent="0.2">
      <c r="A3634" s="84">
        <f t="shared" si="117"/>
        <v>3628</v>
      </c>
      <c r="B3634" s="85" t="e">
        <f>+MATCH(D3634,ARTICULOS!$F$10:$F$699,0)</f>
        <v>#N/A</v>
      </c>
      <c r="C3634" s="86" t="e">
        <f>+VLOOKUP(B3634,ARTICULOS!$D$10:$I$699,6)</f>
        <v>#N/A</v>
      </c>
      <c r="D3634" s="212"/>
      <c r="E3634" s="75" t="e">
        <f t="shared" si="116"/>
        <v>#N/A</v>
      </c>
      <c r="F3634" s="80"/>
      <c r="G3634" s="81"/>
      <c r="H3634" s="78"/>
      <c r="I3634" s="78"/>
      <c r="J3634" s="78"/>
    </row>
    <row r="3635" spans="1:10" x14ac:dyDescent="0.2">
      <c r="A3635" s="84">
        <f t="shared" si="117"/>
        <v>3629</v>
      </c>
      <c r="B3635" s="85" t="e">
        <f>+MATCH(D3635,ARTICULOS!$F$10:$F$699,0)</f>
        <v>#N/A</v>
      </c>
      <c r="C3635" s="86" t="e">
        <f>+VLOOKUP(B3635,ARTICULOS!$D$10:$I$699,6)</f>
        <v>#N/A</v>
      </c>
      <c r="D3635" s="212"/>
      <c r="E3635" s="75" t="e">
        <f t="shared" si="116"/>
        <v>#N/A</v>
      </c>
      <c r="F3635" s="80"/>
      <c r="G3635" s="81"/>
      <c r="H3635" s="78"/>
      <c r="I3635" s="78"/>
      <c r="J3635" s="78"/>
    </row>
    <row r="3636" spans="1:10" x14ac:dyDescent="0.2">
      <c r="A3636" s="84">
        <f t="shared" si="117"/>
        <v>3630</v>
      </c>
      <c r="B3636" s="85" t="e">
        <f>+MATCH(D3636,ARTICULOS!$F$10:$F$699,0)</f>
        <v>#N/A</v>
      </c>
      <c r="C3636" s="86" t="e">
        <f>+VLOOKUP(B3636,ARTICULOS!$D$10:$I$699,6)</f>
        <v>#N/A</v>
      </c>
      <c r="D3636" s="212"/>
      <c r="E3636" s="75" t="e">
        <f t="shared" si="116"/>
        <v>#N/A</v>
      </c>
      <c r="F3636" s="80"/>
      <c r="G3636" s="81"/>
      <c r="H3636" s="78"/>
      <c r="I3636" s="78"/>
      <c r="J3636" s="78"/>
    </row>
    <row r="3637" spans="1:10" x14ac:dyDescent="0.2">
      <c r="A3637" s="84">
        <f t="shared" si="117"/>
        <v>3631</v>
      </c>
      <c r="B3637" s="85" t="e">
        <f>+MATCH(D3637,ARTICULOS!$F$10:$F$699,0)</f>
        <v>#N/A</v>
      </c>
      <c r="C3637" s="86" t="e">
        <f>+VLOOKUP(B3637,ARTICULOS!$D$10:$I$699,6)</f>
        <v>#N/A</v>
      </c>
      <c r="D3637" s="212"/>
      <c r="E3637" s="75" t="e">
        <f t="shared" si="116"/>
        <v>#N/A</v>
      </c>
      <c r="F3637" s="80"/>
      <c r="G3637" s="81"/>
      <c r="H3637" s="78"/>
      <c r="I3637" s="78"/>
      <c r="J3637" s="78"/>
    </row>
    <row r="3638" spans="1:10" x14ac:dyDescent="0.2">
      <c r="A3638" s="84">
        <f t="shared" si="117"/>
        <v>3632</v>
      </c>
      <c r="B3638" s="85" t="e">
        <f>+MATCH(D3638,ARTICULOS!$F$10:$F$699,0)</f>
        <v>#N/A</v>
      </c>
      <c r="C3638" s="86" t="e">
        <f>+VLOOKUP(B3638,ARTICULOS!$D$10:$I$699,6)</f>
        <v>#N/A</v>
      </c>
      <c r="D3638" s="212"/>
      <c r="E3638" s="75" t="e">
        <f t="shared" si="116"/>
        <v>#N/A</v>
      </c>
      <c r="F3638" s="80"/>
      <c r="G3638" s="81"/>
      <c r="H3638" s="78"/>
      <c r="I3638" s="78"/>
      <c r="J3638" s="78"/>
    </row>
    <row r="3639" spans="1:10" x14ac:dyDescent="0.2">
      <c r="A3639" s="84">
        <f t="shared" si="117"/>
        <v>3633</v>
      </c>
      <c r="B3639" s="85" t="e">
        <f>+MATCH(D3639,ARTICULOS!$F$10:$F$699,0)</f>
        <v>#N/A</v>
      </c>
      <c r="C3639" s="86" t="e">
        <f>+VLOOKUP(B3639,ARTICULOS!$D$10:$I$699,6)</f>
        <v>#N/A</v>
      </c>
      <c r="D3639" s="212"/>
      <c r="E3639" s="75" t="e">
        <f t="shared" si="116"/>
        <v>#N/A</v>
      </c>
      <c r="F3639" s="80"/>
      <c r="G3639" s="81"/>
      <c r="H3639" s="78"/>
      <c r="I3639" s="78"/>
      <c r="J3639" s="78"/>
    </row>
    <row r="3640" spans="1:10" x14ac:dyDescent="0.2">
      <c r="A3640" s="84">
        <f t="shared" si="117"/>
        <v>3634</v>
      </c>
      <c r="B3640" s="85" t="e">
        <f>+MATCH(D3640,ARTICULOS!$F$10:$F$699,0)</f>
        <v>#N/A</v>
      </c>
      <c r="C3640" s="86" t="e">
        <f>+VLOOKUP(B3640,ARTICULOS!$D$10:$I$699,6)</f>
        <v>#N/A</v>
      </c>
      <c r="D3640" s="212"/>
      <c r="E3640" s="75" t="e">
        <f t="shared" si="116"/>
        <v>#N/A</v>
      </c>
      <c r="F3640" s="80"/>
      <c r="G3640" s="81"/>
      <c r="H3640" s="78"/>
      <c r="I3640" s="78"/>
      <c r="J3640" s="78"/>
    </row>
    <row r="3641" spans="1:10" x14ac:dyDescent="0.2">
      <c r="A3641" s="84">
        <f t="shared" si="117"/>
        <v>3635</v>
      </c>
      <c r="B3641" s="85" t="e">
        <f>+MATCH(D3641,ARTICULOS!$F$10:$F$699,0)</f>
        <v>#N/A</v>
      </c>
      <c r="C3641" s="86" t="e">
        <f>+VLOOKUP(B3641,ARTICULOS!$D$10:$I$699,6)</f>
        <v>#N/A</v>
      </c>
      <c r="D3641" s="212"/>
      <c r="E3641" s="75" t="e">
        <f t="shared" si="116"/>
        <v>#N/A</v>
      </c>
      <c r="F3641" s="80"/>
      <c r="G3641" s="81"/>
      <c r="H3641" s="78"/>
      <c r="I3641" s="78"/>
      <c r="J3641" s="78"/>
    </row>
    <row r="3642" spans="1:10" x14ac:dyDescent="0.2">
      <c r="A3642" s="84">
        <f t="shared" si="117"/>
        <v>3636</v>
      </c>
      <c r="B3642" s="85" t="e">
        <f>+MATCH(D3642,ARTICULOS!$F$10:$F$699,0)</f>
        <v>#N/A</v>
      </c>
      <c r="C3642" s="86" t="e">
        <f>+VLOOKUP(B3642,ARTICULOS!$D$10:$I$699,6)</f>
        <v>#N/A</v>
      </c>
      <c r="D3642" s="212"/>
      <c r="E3642" s="75" t="e">
        <f t="shared" si="116"/>
        <v>#N/A</v>
      </c>
      <c r="F3642" s="80"/>
      <c r="G3642" s="81"/>
      <c r="H3642" s="78"/>
      <c r="I3642" s="78"/>
      <c r="J3642" s="78"/>
    </row>
    <row r="3643" spans="1:10" x14ac:dyDescent="0.2">
      <c r="A3643" s="84">
        <f t="shared" si="117"/>
        <v>3637</v>
      </c>
      <c r="B3643" s="85" t="e">
        <f>+MATCH(D3643,ARTICULOS!$F$10:$F$699,0)</f>
        <v>#N/A</v>
      </c>
      <c r="C3643" s="86" t="e">
        <f>+VLOOKUP(B3643,ARTICULOS!$D$10:$I$699,6)</f>
        <v>#N/A</v>
      </c>
      <c r="D3643" s="212"/>
      <c r="E3643" s="75" t="e">
        <f t="shared" si="116"/>
        <v>#N/A</v>
      </c>
      <c r="F3643" s="80"/>
      <c r="G3643" s="81"/>
      <c r="H3643" s="78"/>
      <c r="I3643" s="78"/>
      <c r="J3643" s="78"/>
    </row>
    <row r="3644" spans="1:10" x14ac:dyDescent="0.2">
      <c r="A3644" s="84">
        <f t="shared" si="117"/>
        <v>3638</v>
      </c>
      <c r="B3644" s="85" t="e">
        <f>+MATCH(D3644,ARTICULOS!$F$10:$F$699,0)</f>
        <v>#N/A</v>
      </c>
      <c r="C3644" s="86" t="e">
        <f>+VLOOKUP(B3644,ARTICULOS!$D$10:$I$699,6)</f>
        <v>#N/A</v>
      </c>
      <c r="D3644" s="212"/>
      <c r="E3644" s="75" t="e">
        <f t="shared" si="116"/>
        <v>#N/A</v>
      </c>
      <c r="F3644" s="80"/>
      <c r="G3644" s="81"/>
      <c r="H3644" s="78"/>
      <c r="I3644" s="78"/>
      <c r="J3644" s="78"/>
    </row>
    <row r="3645" spans="1:10" x14ac:dyDescent="0.2">
      <c r="A3645" s="84">
        <f t="shared" si="117"/>
        <v>3639</v>
      </c>
      <c r="B3645" s="85" t="e">
        <f>+MATCH(D3645,ARTICULOS!$F$10:$F$699,0)</f>
        <v>#N/A</v>
      </c>
      <c r="C3645" s="86" t="e">
        <f>+VLOOKUP(B3645,ARTICULOS!$D$10:$I$699,6)</f>
        <v>#N/A</v>
      </c>
      <c r="D3645" s="212"/>
      <c r="E3645" s="75" t="e">
        <f t="shared" si="116"/>
        <v>#N/A</v>
      </c>
      <c r="F3645" s="80"/>
      <c r="G3645" s="81"/>
      <c r="H3645" s="78"/>
      <c r="I3645" s="78"/>
      <c r="J3645" s="78"/>
    </row>
    <row r="3646" spans="1:10" x14ac:dyDescent="0.2">
      <c r="A3646" s="84">
        <f t="shared" si="117"/>
        <v>3640</v>
      </c>
      <c r="B3646" s="85" t="e">
        <f>+MATCH(D3646,ARTICULOS!$F$10:$F$699,0)</f>
        <v>#N/A</v>
      </c>
      <c r="C3646" s="86" t="e">
        <f>+VLOOKUP(B3646,ARTICULOS!$D$10:$I$699,6)</f>
        <v>#N/A</v>
      </c>
      <c r="D3646" s="212"/>
      <c r="E3646" s="75" t="e">
        <f t="shared" si="116"/>
        <v>#N/A</v>
      </c>
      <c r="F3646" s="80"/>
      <c r="G3646" s="81"/>
      <c r="H3646" s="78"/>
      <c r="I3646" s="78"/>
      <c r="J3646" s="78"/>
    </row>
    <row r="3647" spans="1:10" x14ac:dyDescent="0.2">
      <c r="A3647" s="84">
        <f t="shared" si="117"/>
        <v>3641</v>
      </c>
      <c r="B3647" s="85" t="e">
        <f>+MATCH(D3647,ARTICULOS!$F$10:$F$699,0)</f>
        <v>#N/A</v>
      </c>
      <c r="C3647" s="86" t="e">
        <f>+VLOOKUP(B3647,ARTICULOS!$D$10:$I$699,6)</f>
        <v>#N/A</v>
      </c>
      <c r="D3647" s="212"/>
      <c r="E3647" s="75" t="e">
        <f t="shared" si="116"/>
        <v>#N/A</v>
      </c>
      <c r="F3647" s="80"/>
      <c r="G3647" s="81"/>
      <c r="H3647" s="78"/>
      <c r="I3647" s="78"/>
      <c r="J3647" s="78"/>
    </row>
    <row r="3648" spans="1:10" x14ac:dyDescent="0.2">
      <c r="A3648" s="84">
        <f t="shared" si="117"/>
        <v>3642</v>
      </c>
      <c r="B3648" s="85" t="e">
        <f>+MATCH(D3648,ARTICULOS!$F$10:$F$699,0)</f>
        <v>#N/A</v>
      </c>
      <c r="C3648" s="86" t="e">
        <f>+VLOOKUP(B3648,ARTICULOS!$D$10:$I$699,6)</f>
        <v>#N/A</v>
      </c>
      <c r="D3648" s="212"/>
      <c r="E3648" s="75" t="e">
        <f t="shared" si="116"/>
        <v>#N/A</v>
      </c>
      <c r="F3648" s="80"/>
      <c r="G3648" s="81"/>
      <c r="H3648" s="78"/>
      <c r="I3648" s="78"/>
      <c r="J3648" s="78"/>
    </row>
    <row r="3649" spans="1:10" x14ac:dyDescent="0.2">
      <c r="A3649" s="84">
        <f t="shared" si="117"/>
        <v>3643</v>
      </c>
      <c r="B3649" s="85" t="e">
        <f>+MATCH(D3649,ARTICULOS!$F$10:$F$699,0)</f>
        <v>#N/A</v>
      </c>
      <c r="C3649" s="86" t="e">
        <f>+VLOOKUP(B3649,ARTICULOS!$D$10:$I$699,6)</f>
        <v>#N/A</v>
      </c>
      <c r="D3649" s="212"/>
      <c r="E3649" s="75" t="e">
        <f t="shared" si="116"/>
        <v>#N/A</v>
      </c>
      <c r="F3649" s="80"/>
      <c r="G3649" s="81"/>
      <c r="H3649" s="78"/>
      <c r="I3649" s="78"/>
      <c r="J3649" s="78"/>
    </row>
    <row r="3650" spans="1:10" x14ac:dyDescent="0.2">
      <c r="A3650" s="84">
        <f t="shared" si="117"/>
        <v>3644</v>
      </c>
      <c r="B3650" s="85" t="e">
        <f>+MATCH(D3650,ARTICULOS!$F$10:$F$699,0)</f>
        <v>#N/A</v>
      </c>
      <c r="C3650" s="86" t="e">
        <f>+VLOOKUP(B3650,ARTICULOS!$D$10:$I$699,6)</f>
        <v>#N/A</v>
      </c>
      <c r="D3650" s="212"/>
      <c r="E3650" s="75" t="e">
        <f t="shared" si="116"/>
        <v>#N/A</v>
      </c>
      <c r="F3650" s="80"/>
      <c r="G3650" s="81"/>
      <c r="H3650" s="78"/>
      <c r="I3650" s="78"/>
      <c r="J3650" s="78"/>
    </row>
    <row r="3651" spans="1:10" x14ac:dyDescent="0.2">
      <c r="A3651" s="84">
        <f t="shared" si="117"/>
        <v>3645</v>
      </c>
      <c r="B3651" s="85" t="e">
        <f>+MATCH(D3651,ARTICULOS!$F$10:$F$699,0)</f>
        <v>#N/A</v>
      </c>
      <c r="C3651" s="86" t="e">
        <f>+VLOOKUP(B3651,ARTICULOS!$D$10:$I$699,6)</f>
        <v>#N/A</v>
      </c>
      <c r="D3651" s="212"/>
      <c r="E3651" s="75" t="e">
        <f t="shared" si="116"/>
        <v>#N/A</v>
      </c>
      <c r="F3651" s="80"/>
      <c r="G3651" s="81"/>
      <c r="H3651" s="78"/>
      <c r="I3651" s="78"/>
      <c r="J3651" s="78"/>
    </row>
    <row r="3652" spans="1:10" x14ac:dyDescent="0.2">
      <c r="A3652" s="84">
        <f t="shared" si="117"/>
        <v>3646</v>
      </c>
      <c r="B3652" s="85" t="e">
        <f>+MATCH(D3652,ARTICULOS!$F$10:$F$699,0)</f>
        <v>#N/A</v>
      </c>
      <c r="C3652" s="86" t="e">
        <f>+VLOOKUP(B3652,ARTICULOS!$D$10:$I$699,6)</f>
        <v>#N/A</v>
      </c>
      <c r="D3652" s="212"/>
      <c r="E3652" s="75" t="e">
        <f t="shared" si="116"/>
        <v>#N/A</v>
      </c>
      <c r="F3652" s="80"/>
      <c r="G3652" s="81"/>
      <c r="H3652" s="78"/>
      <c r="I3652" s="78"/>
      <c r="J3652" s="78"/>
    </row>
    <row r="3653" spans="1:10" x14ac:dyDescent="0.2">
      <c r="A3653" s="84">
        <f t="shared" si="117"/>
        <v>3647</v>
      </c>
      <c r="B3653" s="85" t="e">
        <f>+MATCH(D3653,ARTICULOS!$F$10:$F$699,0)</f>
        <v>#N/A</v>
      </c>
      <c r="C3653" s="86" t="e">
        <f>+VLOOKUP(B3653,ARTICULOS!$D$10:$I$699,6)</f>
        <v>#N/A</v>
      </c>
      <c r="D3653" s="212"/>
      <c r="E3653" s="75" t="e">
        <f t="shared" si="116"/>
        <v>#N/A</v>
      </c>
      <c r="F3653" s="80"/>
      <c r="G3653" s="81"/>
      <c r="H3653" s="78"/>
      <c r="I3653" s="78"/>
      <c r="J3653" s="78"/>
    </row>
    <row r="3654" spans="1:10" x14ac:dyDescent="0.2">
      <c r="A3654" s="84">
        <f t="shared" si="117"/>
        <v>3648</v>
      </c>
      <c r="B3654" s="85" t="e">
        <f>+MATCH(D3654,ARTICULOS!$F$10:$F$699,0)</f>
        <v>#N/A</v>
      </c>
      <c r="C3654" s="86" t="e">
        <f>+VLOOKUP(B3654,ARTICULOS!$D$10:$I$699,6)</f>
        <v>#N/A</v>
      </c>
      <c r="D3654" s="212"/>
      <c r="E3654" s="75" t="e">
        <f t="shared" si="116"/>
        <v>#N/A</v>
      </c>
      <c r="F3654" s="80"/>
      <c r="G3654" s="81"/>
      <c r="H3654" s="78"/>
      <c r="I3654" s="78"/>
      <c r="J3654" s="78"/>
    </row>
    <row r="3655" spans="1:10" x14ac:dyDescent="0.2">
      <c r="A3655" s="84">
        <f t="shared" si="117"/>
        <v>3649</v>
      </c>
      <c r="B3655" s="85" t="e">
        <f>+MATCH(D3655,ARTICULOS!$F$10:$F$699,0)</f>
        <v>#N/A</v>
      </c>
      <c r="C3655" s="86" t="e">
        <f>+VLOOKUP(B3655,ARTICULOS!$D$10:$I$699,6)</f>
        <v>#N/A</v>
      </c>
      <c r="D3655" s="212"/>
      <c r="E3655" s="75" t="e">
        <f t="shared" si="116"/>
        <v>#N/A</v>
      </c>
      <c r="F3655" s="80"/>
      <c r="G3655" s="81"/>
      <c r="H3655" s="78"/>
      <c r="I3655" s="78"/>
      <c r="J3655" s="78"/>
    </row>
    <row r="3656" spans="1:10" x14ac:dyDescent="0.2">
      <c r="A3656" s="84">
        <f t="shared" si="117"/>
        <v>3650</v>
      </c>
      <c r="B3656" s="85" t="e">
        <f>+MATCH(D3656,ARTICULOS!$F$10:$F$699,0)</f>
        <v>#N/A</v>
      </c>
      <c r="C3656" s="86" t="e">
        <f>+VLOOKUP(B3656,ARTICULOS!$D$10:$I$699,6)</f>
        <v>#N/A</v>
      </c>
      <c r="D3656" s="212"/>
      <c r="E3656" s="75" t="e">
        <f t="shared" si="116"/>
        <v>#N/A</v>
      </c>
      <c r="F3656" s="80"/>
      <c r="G3656" s="81"/>
      <c r="H3656" s="78"/>
      <c r="I3656" s="78"/>
      <c r="J3656" s="78"/>
    </row>
    <row r="3657" spans="1:10" x14ac:dyDescent="0.2">
      <c r="A3657" s="84">
        <f t="shared" si="117"/>
        <v>3651</v>
      </c>
      <c r="B3657" s="85" t="e">
        <f>+MATCH(D3657,ARTICULOS!$F$10:$F$699,0)</f>
        <v>#N/A</v>
      </c>
      <c r="C3657" s="86" t="e">
        <f>+VLOOKUP(B3657,ARTICULOS!$D$10:$I$699,6)</f>
        <v>#N/A</v>
      </c>
      <c r="D3657" s="212"/>
      <c r="E3657" s="75" t="e">
        <f t="shared" si="116"/>
        <v>#N/A</v>
      </c>
      <c r="F3657" s="80"/>
      <c r="G3657" s="81"/>
      <c r="H3657" s="78"/>
      <c r="I3657" s="78"/>
      <c r="J3657" s="78"/>
    </row>
    <row r="3658" spans="1:10" x14ac:dyDescent="0.2">
      <c r="A3658" s="84">
        <f t="shared" si="117"/>
        <v>3652</v>
      </c>
      <c r="B3658" s="85" t="e">
        <f>+MATCH(D3658,ARTICULOS!$F$10:$F$699,0)</f>
        <v>#N/A</v>
      </c>
      <c r="C3658" s="86" t="e">
        <f>+VLOOKUP(B3658,ARTICULOS!$D$10:$I$699,6)</f>
        <v>#N/A</v>
      </c>
      <c r="D3658" s="212"/>
      <c r="E3658" s="75" t="e">
        <f t="shared" si="116"/>
        <v>#N/A</v>
      </c>
      <c r="F3658" s="80"/>
      <c r="G3658" s="81"/>
      <c r="H3658" s="78"/>
      <c r="I3658" s="78"/>
      <c r="J3658" s="78"/>
    </row>
    <row r="3659" spans="1:10" x14ac:dyDescent="0.2">
      <c r="A3659" s="84">
        <f t="shared" si="117"/>
        <v>3653</v>
      </c>
      <c r="B3659" s="85" t="e">
        <f>+MATCH(D3659,ARTICULOS!$F$10:$F$699,0)</f>
        <v>#N/A</v>
      </c>
      <c r="C3659" s="86" t="e">
        <f>+VLOOKUP(B3659,ARTICULOS!$D$10:$I$699,6)</f>
        <v>#N/A</v>
      </c>
      <c r="D3659" s="212"/>
      <c r="E3659" s="75" t="e">
        <f t="shared" ref="E3659:E3722" si="118">+C3659&amp;F3659</f>
        <v>#N/A</v>
      </c>
      <c r="F3659" s="80"/>
      <c r="G3659" s="81"/>
      <c r="H3659" s="78"/>
      <c r="I3659" s="78"/>
      <c r="J3659" s="78"/>
    </row>
    <row r="3660" spans="1:10" x14ac:dyDescent="0.2">
      <c r="A3660" s="84">
        <f t="shared" si="117"/>
        <v>3654</v>
      </c>
      <c r="B3660" s="85" t="e">
        <f>+MATCH(D3660,ARTICULOS!$F$10:$F$699,0)</f>
        <v>#N/A</v>
      </c>
      <c r="C3660" s="86" t="e">
        <f>+VLOOKUP(B3660,ARTICULOS!$D$10:$I$699,6)</f>
        <v>#N/A</v>
      </c>
      <c r="D3660" s="212"/>
      <c r="E3660" s="75" t="e">
        <f t="shared" si="118"/>
        <v>#N/A</v>
      </c>
      <c r="F3660" s="80"/>
      <c r="G3660" s="81"/>
      <c r="H3660" s="78"/>
      <c r="I3660" s="78"/>
      <c r="J3660" s="78"/>
    </row>
    <row r="3661" spans="1:10" x14ac:dyDescent="0.2">
      <c r="A3661" s="84">
        <f t="shared" si="117"/>
        <v>3655</v>
      </c>
      <c r="B3661" s="85" t="e">
        <f>+MATCH(D3661,ARTICULOS!$F$10:$F$699,0)</f>
        <v>#N/A</v>
      </c>
      <c r="C3661" s="86" t="e">
        <f>+VLOOKUP(B3661,ARTICULOS!$D$10:$I$699,6)</f>
        <v>#N/A</v>
      </c>
      <c r="D3661" s="212"/>
      <c r="E3661" s="75" t="e">
        <f t="shared" si="118"/>
        <v>#N/A</v>
      </c>
      <c r="F3661" s="80"/>
      <c r="G3661" s="81"/>
      <c r="H3661" s="78"/>
      <c r="I3661" s="78"/>
      <c r="J3661" s="78"/>
    </row>
    <row r="3662" spans="1:10" x14ac:dyDescent="0.2">
      <c r="A3662" s="84">
        <f t="shared" si="117"/>
        <v>3656</v>
      </c>
      <c r="B3662" s="85" t="e">
        <f>+MATCH(D3662,ARTICULOS!$F$10:$F$699,0)</f>
        <v>#N/A</v>
      </c>
      <c r="C3662" s="86" t="e">
        <f>+VLOOKUP(B3662,ARTICULOS!$D$10:$I$699,6)</f>
        <v>#N/A</v>
      </c>
      <c r="D3662" s="212"/>
      <c r="E3662" s="75" t="e">
        <f t="shared" si="118"/>
        <v>#N/A</v>
      </c>
      <c r="F3662" s="80"/>
      <c r="G3662" s="81"/>
      <c r="H3662" s="78"/>
      <c r="I3662" s="78"/>
      <c r="J3662" s="78"/>
    </row>
    <row r="3663" spans="1:10" x14ac:dyDescent="0.2">
      <c r="A3663" s="84">
        <f t="shared" si="117"/>
        <v>3657</v>
      </c>
      <c r="B3663" s="85" t="e">
        <f>+MATCH(D3663,ARTICULOS!$F$10:$F$699,0)</f>
        <v>#N/A</v>
      </c>
      <c r="C3663" s="86" t="e">
        <f>+VLOOKUP(B3663,ARTICULOS!$D$10:$I$699,6)</f>
        <v>#N/A</v>
      </c>
      <c r="D3663" s="212"/>
      <c r="E3663" s="75" t="e">
        <f t="shared" si="118"/>
        <v>#N/A</v>
      </c>
      <c r="F3663" s="80"/>
      <c r="G3663" s="81"/>
      <c r="H3663" s="78"/>
      <c r="I3663" s="78"/>
      <c r="J3663" s="78"/>
    </row>
    <row r="3664" spans="1:10" x14ac:dyDescent="0.2">
      <c r="A3664" s="84">
        <f t="shared" si="117"/>
        <v>3658</v>
      </c>
      <c r="B3664" s="85" t="e">
        <f>+MATCH(D3664,ARTICULOS!$F$10:$F$699,0)</f>
        <v>#N/A</v>
      </c>
      <c r="C3664" s="86" t="e">
        <f>+VLOOKUP(B3664,ARTICULOS!$D$10:$I$699,6)</f>
        <v>#N/A</v>
      </c>
      <c r="D3664" s="212"/>
      <c r="E3664" s="75" t="e">
        <f t="shared" si="118"/>
        <v>#N/A</v>
      </c>
      <c r="F3664" s="80"/>
      <c r="G3664" s="81"/>
      <c r="H3664" s="78"/>
      <c r="I3664" s="78"/>
      <c r="J3664" s="78"/>
    </row>
    <row r="3665" spans="1:10" x14ac:dyDescent="0.2">
      <c r="A3665" s="84">
        <f t="shared" si="117"/>
        <v>3659</v>
      </c>
      <c r="B3665" s="85" t="e">
        <f>+MATCH(D3665,ARTICULOS!$F$10:$F$699,0)</f>
        <v>#N/A</v>
      </c>
      <c r="C3665" s="86" t="e">
        <f>+VLOOKUP(B3665,ARTICULOS!$D$10:$I$699,6)</f>
        <v>#N/A</v>
      </c>
      <c r="D3665" s="212"/>
      <c r="E3665" s="75" t="e">
        <f t="shared" si="118"/>
        <v>#N/A</v>
      </c>
      <c r="F3665" s="80"/>
      <c r="G3665" s="81"/>
      <c r="H3665" s="78"/>
      <c r="I3665" s="78"/>
      <c r="J3665" s="78"/>
    </row>
    <row r="3666" spans="1:10" x14ac:dyDescent="0.2">
      <c r="A3666" s="84">
        <f t="shared" si="117"/>
        <v>3660</v>
      </c>
      <c r="B3666" s="85" t="e">
        <f>+MATCH(D3666,ARTICULOS!$F$10:$F$699,0)</f>
        <v>#N/A</v>
      </c>
      <c r="C3666" s="86" t="e">
        <f>+VLOOKUP(B3666,ARTICULOS!$D$10:$I$699,6)</f>
        <v>#N/A</v>
      </c>
      <c r="D3666" s="212"/>
      <c r="E3666" s="75" t="e">
        <f t="shared" si="118"/>
        <v>#N/A</v>
      </c>
      <c r="F3666" s="80"/>
      <c r="G3666" s="81"/>
      <c r="H3666" s="78"/>
      <c r="I3666" s="78"/>
      <c r="J3666" s="78"/>
    </row>
    <row r="3667" spans="1:10" x14ac:dyDescent="0.2">
      <c r="A3667" s="84">
        <f t="shared" si="117"/>
        <v>3661</v>
      </c>
      <c r="B3667" s="85" t="e">
        <f>+MATCH(D3667,ARTICULOS!$F$10:$F$699,0)</f>
        <v>#N/A</v>
      </c>
      <c r="C3667" s="86" t="e">
        <f>+VLOOKUP(B3667,ARTICULOS!$D$10:$I$699,6)</f>
        <v>#N/A</v>
      </c>
      <c r="D3667" s="212"/>
      <c r="E3667" s="75" t="e">
        <f t="shared" si="118"/>
        <v>#N/A</v>
      </c>
      <c r="F3667" s="80"/>
      <c r="G3667" s="81"/>
      <c r="H3667" s="78"/>
      <c r="I3667" s="78"/>
      <c r="J3667" s="78"/>
    </row>
    <row r="3668" spans="1:10" x14ac:dyDescent="0.2">
      <c r="A3668" s="84">
        <f t="shared" si="117"/>
        <v>3662</v>
      </c>
      <c r="B3668" s="85" t="e">
        <f>+MATCH(D3668,ARTICULOS!$F$10:$F$699,0)</f>
        <v>#N/A</v>
      </c>
      <c r="C3668" s="86" t="e">
        <f>+VLOOKUP(B3668,ARTICULOS!$D$10:$I$699,6)</f>
        <v>#N/A</v>
      </c>
      <c r="D3668" s="212"/>
      <c r="E3668" s="75" t="e">
        <f t="shared" si="118"/>
        <v>#N/A</v>
      </c>
      <c r="F3668" s="80"/>
      <c r="G3668" s="81"/>
      <c r="H3668" s="78"/>
      <c r="I3668" s="78"/>
      <c r="J3668" s="78"/>
    </row>
    <row r="3669" spans="1:10" x14ac:dyDescent="0.2">
      <c r="A3669" s="84">
        <f t="shared" si="117"/>
        <v>3663</v>
      </c>
      <c r="B3669" s="85" t="e">
        <f>+MATCH(D3669,ARTICULOS!$F$10:$F$699,0)</f>
        <v>#N/A</v>
      </c>
      <c r="C3669" s="86" t="e">
        <f>+VLOOKUP(B3669,ARTICULOS!$D$10:$I$699,6)</f>
        <v>#N/A</v>
      </c>
      <c r="D3669" s="212"/>
      <c r="E3669" s="75" t="e">
        <f t="shared" si="118"/>
        <v>#N/A</v>
      </c>
      <c r="F3669" s="80"/>
      <c r="G3669" s="81"/>
      <c r="H3669" s="78"/>
      <c r="I3669" s="78"/>
      <c r="J3669" s="78"/>
    </row>
    <row r="3670" spans="1:10" x14ac:dyDescent="0.2">
      <c r="A3670" s="84">
        <f t="shared" si="117"/>
        <v>3664</v>
      </c>
      <c r="B3670" s="85" t="e">
        <f>+MATCH(D3670,ARTICULOS!$F$10:$F$699,0)</f>
        <v>#N/A</v>
      </c>
      <c r="C3670" s="86" t="e">
        <f>+VLOOKUP(B3670,ARTICULOS!$D$10:$I$699,6)</f>
        <v>#N/A</v>
      </c>
      <c r="D3670" s="212"/>
      <c r="E3670" s="75" t="e">
        <f t="shared" si="118"/>
        <v>#N/A</v>
      </c>
      <c r="F3670" s="80"/>
      <c r="G3670" s="81"/>
      <c r="H3670" s="78"/>
      <c r="I3670" s="78"/>
      <c r="J3670" s="78"/>
    </row>
    <row r="3671" spans="1:10" x14ac:dyDescent="0.2">
      <c r="A3671" s="84">
        <f t="shared" si="117"/>
        <v>3665</v>
      </c>
      <c r="B3671" s="85" t="e">
        <f>+MATCH(D3671,ARTICULOS!$F$10:$F$699,0)</f>
        <v>#N/A</v>
      </c>
      <c r="C3671" s="86" t="e">
        <f>+VLOOKUP(B3671,ARTICULOS!$D$10:$I$699,6)</f>
        <v>#N/A</v>
      </c>
      <c r="D3671" s="212"/>
      <c r="E3671" s="75" t="e">
        <f t="shared" si="118"/>
        <v>#N/A</v>
      </c>
      <c r="F3671" s="80"/>
      <c r="G3671" s="81"/>
      <c r="H3671" s="78"/>
      <c r="I3671" s="78"/>
      <c r="J3671" s="78"/>
    </row>
    <row r="3672" spans="1:10" x14ac:dyDescent="0.2">
      <c r="A3672" s="84">
        <f t="shared" si="117"/>
        <v>3666</v>
      </c>
      <c r="B3672" s="85" t="e">
        <f>+MATCH(D3672,ARTICULOS!$F$10:$F$699,0)</f>
        <v>#N/A</v>
      </c>
      <c r="C3672" s="86" t="e">
        <f>+VLOOKUP(B3672,ARTICULOS!$D$10:$I$699,6)</f>
        <v>#N/A</v>
      </c>
      <c r="D3672" s="212"/>
      <c r="E3672" s="75" t="e">
        <f t="shared" si="118"/>
        <v>#N/A</v>
      </c>
      <c r="F3672" s="80"/>
      <c r="G3672" s="81"/>
      <c r="H3672" s="78"/>
      <c r="I3672" s="78"/>
      <c r="J3672" s="78"/>
    </row>
    <row r="3673" spans="1:10" x14ac:dyDescent="0.2">
      <c r="A3673" s="84">
        <f t="shared" si="117"/>
        <v>3667</v>
      </c>
      <c r="B3673" s="85" t="e">
        <f>+MATCH(D3673,ARTICULOS!$F$10:$F$699,0)</f>
        <v>#N/A</v>
      </c>
      <c r="C3673" s="86" t="e">
        <f>+VLOOKUP(B3673,ARTICULOS!$D$10:$I$699,6)</f>
        <v>#N/A</v>
      </c>
      <c r="D3673" s="212"/>
      <c r="E3673" s="75" t="e">
        <f t="shared" si="118"/>
        <v>#N/A</v>
      </c>
      <c r="F3673" s="80"/>
      <c r="G3673" s="81"/>
      <c r="H3673" s="78"/>
      <c r="I3673" s="78"/>
      <c r="J3673" s="78"/>
    </row>
    <row r="3674" spans="1:10" x14ac:dyDescent="0.2">
      <c r="A3674" s="84">
        <f t="shared" si="117"/>
        <v>3668</v>
      </c>
      <c r="B3674" s="85" t="e">
        <f>+MATCH(D3674,ARTICULOS!$F$10:$F$699,0)</f>
        <v>#N/A</v>
      </c>
      <c r="C3674" s="86" t="e">
        <f>+VLOOKUP(B3674,ARTICULOS!$D$10:$I$699,6)</f>
        <v>#N/A</v>
      </c>
      <c r="D3674" s="212"/>
      <c r="E3674" s="75" t="e">
        <f t="shared" si="118"/>
        <v>#N/A</v>
      </c>
      <c r="F3674" s="80"/>
      <c r="G3674" s="81"/>
      <c r="H3674" s="78"/>
      <c r="I3674" s="78"/>
      <c r="J3674" s="78"/>
    </row>
    <row r="3675" spans="1:10" x14ac:dyDescent="0.2">
      <c r="A3675" s="84">
        <f t="shared" si="117"/>
        <v>3669</v>
      </c>
      <c r="B3675" s="85" t="e">
        <f>+MATCH(D3675,ARTICULOS!$F$10:$F$699,0)</f>
        <v>#N/A</v>
      </c>
      <c r="C3675" s="86" t="e">
        <f>+VLOOKUP(B3675,ARTICULOS!$D$10:$I$699,6)</f>
        <v>#N/A</v>
      </c>
      <c r="D3675" s="212"/>
      <c r="E3675" s="75" t="e">
        <f t="shared" si="118"/>
        <v>#N/A</v>
      </c>
      <c r="F3675" s="80"/>
      <c r="G3675" s="81"/>
      <c r="H3675" s="78"/>
      <c r="I3675" s="78"/>
      <c r="J3675" s="78"/>
    </row>
    <row r="3676" spans="1:10" x14ac:dyDescent="0.2">
      <c r="A3676" s="84">
        <f t="shared" si="117"/>
        <v>3670</v>
      </c>
      <c r="B3676" s="85" t="e">
        <f>+MATCH(D3676,ARTICULOS!$F$10:$F$699,0)</f>
        <v>#N/A</v>
      </c>
      <c r="C3676" s="86" t="e">
        <f>+VLOOKUP(B3676,ARTICULOS!$D$10:$I$699,6)</f>
        <v>#N/A</v>
      </c>
      <c r="D3676" s="212"/>
      <c r="E3676" s="75" t="e">
        <f t="shared" si="118"/>
        <v>#N/A</v>
      </c>
      <c r="F3676" s="80"/>
      <c r="G3676" s="81"/>
      <c r="H3676" s="78"/>
      <c r="I3676" s="78"/>
      <c r="J3676" s="78"/>
    </row>
    <row r="3677" spans="1:10" x14ac:dyDescent="0.2">
      <c r="A3677" s="84">
        <f t="shared" si="117"/>
        <v>3671</v>
      </c>
      <c r="B3677" s="85" t="e">
        <f>+MATCH(D3677,ARTICULOS!$F$10:$F$699,0)</f>
        <v>#N/A</v>
      </c>
      <c r="C3677" s="86" t="e">
        <f>+VLOOKUP(B3677,ARTICULOS!$D$10:$I$699,6)</f>
        <v>#N/A</v>
      </c>
      <c r="D3677" s="212"/>
      <c r="E3677" s="75" t="e">
        <f t="shared" si="118"/>
        <v>#N/A</v>
      </c>
      <c r="F3677" s="80"/>
      <c r="G3677" s="81"/>
      <c r="H3677" s="78"/>
      <c r="I3677" s="78"/>
      <c r="J3677" s="78"/>
    </row>
    <row r="3678" spans="1:10" x14ac:dyDescent="0.2">
      <c r="A3678" s="84">
        <f t="shared" si="117"/>
        <v>3672</v>
      </c>
      <c r="B3678" s="85" t="e">
        <f>+MATCH(D3678,ARTICULOS!$F$10:$F$699,0)</f>
        <v>#N/A</v>
      </c>
      <c r="C3678" s="86" t="e">
        <f>+VLOOKUP(B3678,ARTICULOS!$D$10:$I$699,6)</f>
        <v>#N/A</v>
      </c>
      <c r="D3678" s="212"/>
      <c r="E3678" s="75" t="e">
        <f t="shared" si="118"/>
        <v>#N/A</v>
      </c>
      <c r="F3678" s="80"/>
      <c r="G3678" s="81"/>
      <c r="H3678" s="78"/>
      <c r="I3678" s="78"/>
      <c r="J3678" s="78"/>
    </row>
    <row r="3679" spans="1:10" x14ac:dyDescent="0.2">
      <c r="A3679" s="84">
        <f t="shared" si="117"/>
        <v>3673</v>
      </c>
      <c r="B3679" s="85" t="e">
        <f>+MATCH(D3679,ARTICULOS!$F$10:$F$699,0)</f>
        <v>#N/A</v>
      </c>
      <c r="C3679" s="86" t="e">
        <f>+VLOOKUP(B3679,ARTICULOS!$D$10:$I$699,6)</f>
        <v>#N/A</v>
      </c>
      <c r="D3679" s="212"/>
      <c r="E3679" s="75" t="e">
        <f t="shared" si="118"/>
        <v>#N/A</v>
      </c>
      <c r="F3679" s="80"/>
      <c r="G3679" s="81"/>
      <c r="H3679" s="78"/>
      <c r="I3679" s="78"/>
      <c r="J3679" s="78"/>
    </row>
    <row r="3680" spans="1:10" x14ac:dyDescent="0.2">
      <c r="A3680" s="84">
        <f t="shared" si="117"/>
        <v>3674</v>
      </c>
      <c r="B3680" s="85" t="e">
        <f>+MATCH(D3680,ARTICULOS!$F$10:$F$699,0)</f>
        <v>#N/A</v>
      </c>
      <c r="C3680" s="86" t="e">
        <f>+VLOOKUP(B3680,ARTICULOS!$D$10:$I$699,6)</f>
        <v>#N/A</v>
      </c>
      <c r="D3680" s="212"/>
      <c r="E3680" s="75" t="e">
        <f t="shared" si="118"/>
        <v>#N/A</v>
      </c>
      <c r="F3680" s="80"/>
      <c r="G3680" s="81"/>
      <c r="H3680" s="78"/>
      <c r="I3680" s="78"/>
      <c r="J3680" s="78"/>
    </row>
    <row r="3681" spans="1:10" x14ac:dyDescent="0.2">
      <c r="A3681" s="84">
        <f t="shared" si="117"/>
        <v>3675</v>
      </c>
      <c r="B3681" s="85" t="e">
        <f>+MATCH(D3681,ARTICULOS!$F$10:$F$699,0)</f>
        <v>#N/A</v>
      </c>
      <c r="C3681" s="86" t="e">
        <f>+VLOOKUP(B3681,ARTICULOS!$D$10:$I$699,6)</f>
        <v>#N/A</v>
      </c>
      <c r="D3681" s="212"/>
      <c r="E3681" s="75" t="e">
        <f t="shared" si="118"/>
        <v>#N/A</v>
      </c>
      <c r="F3681" s="80"/>
      <c r="G3681" s="81"/>
      <c r="H3681" s="78"/>
      <c r="I3681" s="78"/>
      <c r="J3681" s="78"/>
    </row>
    <row r="3682" spans="1:10" x14ac:dyDescent="0.2">
      <c r="A3682" s="84">
        <f t="shared" si="117"/>
        <v>3676</v>
      </c>
      <c r="B3682" s="85" t="e">
        <f>+MATCH(D3682,ARTICULOS!$F$10:$F$699,0)</f>
        <v>#N/A</v>
      </c>
      <c r="C3682" s="86" t="e">
        <f>+VLOOKUP(B3682,ARTICULOS!$D$10:$I$699,6)</f>
        <v>#N/A</v>
      </c>
      <c r="D3682" s="212"/>
      <c r="E3682" s="75" t="e">
        <f t="shared" si="118"/>
        <v>#N/A</v>
      </c>
      <c r="F3682" s="80"/>
      <c r="G3682" s="81"/>
      <c r="H3682" s="78"/>
      <c r="I3682" s="78"/>
      <c r="J3682" s="78"/>
    </row>
    <row r="3683" spans="1:10" x14ac:dyDescent="0.2">
      <c r="A3683" s="84">
        <f t="shared" si="117"/>
        <v>3677</v>
      </c>
      <c r="B3683" s="85" t="e">
        <f>+MATCH(D3683,ARTICULOS!$F$10:$F$699,0)</f>
        <v>#N/A</v>
      </c>
      <c r="C3683" s="86" t="e">
        <f>+VLOOKUP(B3683,ARTICULOS!$D$10:$I$699,6)</f>
        <v>#N/A</v>
      </c>
      <c r="D3683" s="212"/>
      <c r="E3683" s="75" t="e">
        <f t="shared" si="118"/>
        <v>#N/A</v>
      </c>
      <c r="F3683" s="80"/>
      <c r="G3683" s="81"/>
      <c r="H3683" s="78"/>
      <c r="I3683" s="78"/>
      <c r="J3683" s="78"/>
    </row>
    <row r="3684" spans="1:10" x14ac:dyDescent="0.2">
      <c r="A3684" s="84">
        <f t="shared" si="117"/>
        <v>3678</v>
      </c>
      <c r="B3684" s="85" t="e">
        <f>+MATCH(D3684,ARTICULOS!$F$10:$F$699,0)</f>
        <v>#N/A</v>
      </c>
      <c r="C3684" s="86" t="e">
        <f>+VLOOKUP(B3684,ARTICULOS!$D$10:$I$699,6)</f>
        <v>#N/A</v>
      </c>
      <c r="D3684" s="212"/>
      <c r="E3684" s="75" t="e">
        <f t="shared" si="118"/>
        <v>#N/A</v>
      </c>
      <c r="F3684" s="80"/>
      <c r="G3684" s="81"/>
      <c r="H3684" s="78"/>
      <c r="I3684" s="78"/>
      <c r="J3684" s="78"/>
    </row>
    <row r="3685" spans="1:10" x14ac:dyDescent="0.2">
      <c r="A3685" s="84">
        <f t="shared" si="117"/>
        <v>3679</v>
      </c>
      <c r="B3685" s="85" t="e">
        <f>+MATCH(D3685,ARTICULOS!$F$10:$F$699,0)</f>
        <v>#N/A</v>
      </c>
      <c r="C3685" s="86" t="e">
        <f>+VLOOKUP(B3685,ARTICULOS!$D$10:$I$699,6)</f>
        <v>#N/A</v>
      </c>
      <c r="D3685" s="212"/>
      <c r="E3685" s="75" t="e">
        <f t="shared" si="118"/>
        <v>#N/A</v>
      </c>
      <c r="F3685" s="80"/>
      <c r="G3685" s="81"/>
      <c r="H3685" s="78"/>
      <c r="I3685" s="78"/>
      <c r="J3685" s="78"/>
    </row>
    <row r="3686" spans="1:10" x14ac:dyDescent="0.2">
      <c r="A3686" s="84">
        <f t="shared" si="117"/>
        <v>3680</v>
      </c>
      <c r="B3686" s="85" t="e">
        <f>+MATCH(D3686,ARTICULOS!$F$10:$F$699,0)</f>
        <v>#N/A</v>
      </c>
      <c r="C3686" s="86" t="e">
        <f>+VLOOKUP(B3686,ARTICULOS!$D$10:$I$699,6)</f>
        <v>#N/A</v>
      </c>
      <c r="D3686" s="212"/>
      <c r="E3686" s="75" t="e">
        <f t="shared" si="118"/>
        <v>#N/A</v>
      </c>
      <c r="F3686" s="80"/>
      <c r="G3686" s="81"/>
      <c r="H3686" s="78"/>
      <c r="I3686" s="78"/>
      <c r="J3686" s="78"/>
    </row>
    <row r="3687" spans="1:10" x14ac:dyDescent="0.2">
      <c r="A3687" s="84">
        <f t="shared" si="117"/>
        <v>3681</v>
      </c>
      <c r="B3687" s="85" t="e">
        <f>+MATCH(D3687,ARTICULOS!$F$10:$F$699,0)</f>
        <v>#N/A</v>
      </c>
      <c r="C3687" s="86" t="e">
        <f>+VLOOKUP(B3687,ARTICULOS!$D$10:$I$699,6)</f>
        <v>#N/A</v>
      </c>
      <c r="D3687" s="212"/>
      <c r="E3687" s="75" t="e">
        <f t="shared" si="118"/>
        <v>#N/A</v>
      </c>
      <c r="F3687" s="80"/>
      <c r="G3687" s="81"/>
      <c r="H3687" s="78"/>
      <c r="I3687" s="78"/>
      <c r="J3687" s="78"/>
    </row>
    <row r="3688" spans="1:10" x14ac:dyDescent="0.2">
      <c r="A3688" s="84">
        <f t="shared" si="117"/>
        <v>3682</v>
      </c>
      <c r="B3688" s="85" t="e">
        <f>+MATCH(D3688,ARTICULOS!$F$10:$F$699,0)</f>
        <v>#N/A</v>
      </c>
      <c r="C3688" s="86" t="e">
        <f>+VLOOKUP(B3688,ARTICULOS!$D$10:$I$699,6)</f>
        <v>#N/A</v>
      </c>
      <c r="D3688" s="212"/>
      <c r="E3688" s="75" t="e">
        <f t="shared" si="118"/>
        <v>#N/A</v>
      </c>
      <c r="F3688" s="80"/>
      <c r="G3688" s="81"/>
      <c r="H3688" s="78"/>
      <c r="I3688" s="78"/>
      <c r="J3688" s="78"/>
    </row>
    <row r="3689" spans="1:10" x14ac:dyDescent="0.2">
      <c r="A3689" s="84">
        <f t="shared" ref="A3689:A3752" si="119">ROW()-6</f>
        <v>3683</v>
      </c>
      <c r="B3689" s="85" t="e">
        <f>+MATCH(D3689,ARTICULOS!$F$10:$F$699,0)</f>
        <v>#N/A</v>
      </c>
      <c r="C3689" s="86" t="e">
        <f>+VLOOKUP(B3689,ARTICULOS!$D$10:$I$699,6)</f>
        <v>#N/A</v>
      </c>
      <c r="D3689" s="212"/>
      <c r="E3689" s="75" t="e">
        <f t="shared" si="118"/>
        <v>#N/A</v>
      </c>
      <c r="F3689" s="80"/>
      <c r="G3689" s="81"/>
      <c r="H3689" s="78"/>
      <c r="I3689" s="78"/>
      <c r="J3689" s="78"/>
    </row>
    <row r="3690" spans="1:10" x14ac:dyDescent="0.2">
      <c r="A3690" s="84">
        <f t="shared" si="119"/>
        <v>3684</v>
      </c>
      <c r="B3690" s="85" t="e">
        <f>+MATCH(D3690,ARTICULOS!$F$10:$F$699,0)</f>
        <v>#N/A</v>
      </c>
      <c r="C3690" s="86" t="e">
        <f>+VLOOKUP(B3690,ARTICULOS!$D$10:$I$699,6)</f>
        <v>#N/A</v>
      </c>
      <c r="D3690" s="212"/>
      <c r="E3690" s="75" t="e">
        <f t="shared" si="118"/>
        <v>#N/A</v>
      </c>
      <c r="F3690" s="80"/>
      <c r="G3690" s="81"/>
      <c r="H3690" s="78"/>
      <c r="I3690" s="78"/>
      <c r="J3690" s="78"/>
    </row>
    <row r="3691" spans="1:10" x14ac:dyDescent="0.2">
      <c r="A3691" s="84">
        <f t="shared" si="119"/>
        <v>3685</v>
      </c>
      <c r="B3691" s="85" t="e">
        <f>+MATCH(D3691,ARTICULOS!$F$10:$F$699,0)</f>
        <v>#N/A</v>
      </c>
      <c r="C3691" s="86" t="e">
        <f>+VLOOKUP(B3691,ARTICULOS!$D$10:$I$699,6)</f>
        <v>#N/A</v>
      </c>
      <c r="D3691" s="212"/>
      <c r="E3691" s="75" t="e">
        <f t="shared" si="118"/>
        <v>#N/A</v>
      </c>
      <c r="F3691" s="80"/>
      <c r="G3691" s="81"/>
      <c r="H3691" s="78"/>
      <c r="I3691" s="78"/>
      <c r="J3691" s="78"/>
    </row>
    <row r="3692" spans="1:10" x14ac:dyDescent="0.2">
      <c r="A3692" s="84">
        <f t="shared" si="119"/>
        <v>3686</v>
      </c>
      <c r="B3692" s="85" t="e">
        <f>+MATCH(D3692,ARTICULOS!$F$10:$F$699,0)</f>
        <v>#N/A</v>
      </c>
      <c r="C3692" s="86" t="e">
        <f>+VLOOKUP(B3692,ARTICULOS!$D$10:$I$699,6)</f>
        <v>#N/A</v>
      </c>
      <c r="D3692" s="212"/>
      <c r="E3692" s="75" t="e">
        <f t="shared" si="118"/>
        <v>#N/A</v>
      </c>
      <c r="F3692" s="80"/>
      <c r="G3692" s="81"/>
      <c r="H3692" s="78"/>
      <c r="I3692" s="78"/>
      <c r="J3692" s="78"/>
    </row>
    <row r="3693" spans="1:10" x14ac:dyDescent="0.2">
      <c r="A3693" s="84">
        <f t="shared" si="119"/>
        <v>3687</v>
      </c>
      <c r="B3693" s="85" t="e">
        <f>+MATCH(D3693,ARTICULOS!$F$10:$F$699,0)</f>
        <v>#N/A</v>
      </c>
      <c r="C3693" s="86" t="e">
        <f>+VLOOKUP(B3693,ARTICULOS!$D$10:$I$699,6)</f>
        <v>#N/A</v>
      </c>
      <c r="D3693" s="212"/>
      <c r="E3693" s="75" t="e">
        <f t="shared" si="118"/>
        <v>#N/A</v>
      </c>
      <c r="F3693" s="80"/>
      <c r="G3693" s="81"/>
      <c r="H3693" s="78"/>
      <c r="I3693" s="78"/>
      <c r="J3693" s="78"/>
    </row>
    <row r="3694" spans="1:10" x14ac:dyDescent="0.2">
      <c r="A3694" s="84">
        <f t="shared" si="119"/>
        <v>3688</v>
      </c>
      <c r="B3694" s="85" t="e">
        <f>+MATCH(D3694,ARTICULOS!$F$10:$F$699,0)</f>
        <v>#N/A</v>
      </c>
      <c r="C3694" s="86" t="e">
        <f>+VLOOKUP(B3694,ARTICULOS!$D$10:$I$699,6)</f>
        <v>#N/A</v>
      </c>
      <c r="D3694" s="212"/>
      <c r="E3694" s="75" t="e">
        <f t="shared" si="118"/>
        <v>#N/A</v>
      </c>
      <c r="F3694" s="80"/>
      <c r="G3694" s="81"/>
      <c r="H3694" s="78"/>
      <c r="I3694" s="78"/>
      <c r="J3694" s="78"/>
    </row>
    <row r="3695" spans="1:10" x14ac:dyDescent="0.2">
      <c r="A3695" s="84">
        <f t="shared" si="119"/>
        <v>3689</v>
      </c>
      <c r="B3695" s="85" t="e">
        <f>+MATCH(D3695,ARTICULOS!$F$10:$F$699,0)</f>
        <v>#N/A</v>
      </c>
      <c r="C3695" s="86" t="e">
        <f>+VLOOKUP(B3695,ARTICULOS!$D$10:$I$699,6)</f>
        <v>#N/A</v>
      </c>
      <c r="D3695" s="212"/>
      <c r="E3695" s="75" t="e">
        <f t="shared" si="118"/>
        <v>#N/A</v>
      </c>
      <c r="F3695" s="80"/>
      <c r="G3695" s="81"/>
      <c r="H3695" s="78"/>
      <c r="I3695" s="78"/>
      <c r="J3695" s="78"/>
    </row>
    <row r="3696" spans="1:10" x14ac:dyDescent="0.2">
      <c r="A3696" s="84">
        <f t="shared" si="119"/>
        <v>3690</v>
      </c>
      <c r="B3696" s="85" t="e">
        <f>+MATCH(D3696,ARTICULOS!$F$10:$F$699,0)</f>
        <v>#N/A</v>
      </c>
      <c r="C3696" s="86" t="e">
        <f>+VLOOKUP(B3696,ARTICULOS!$D$10:$I$699,6)</f>
        <v>#N/A</v>
      </c>
      <c r="D3696" s="212"/>
      <c r="E3696" s="75" t="e">
        <f t="shared" si="118"/>
        <v>#N/A</v>
      </c>
      <c r="F3696" s="80"/>
      <c r="G3696" s="81"/>
      <c r="H3696" s="78"/>
      <c r="I3696" s="78"/>
      <c r="J3696" s="78"/>
    </row>
    <row r="3697" spans="1:10" x14ac:dyDescent="0.2">
      <c r="A3697" s="84">
        <f t="shared" si="119"/>
        <v>3691</v>
      </c>
      <c r="B3697" s="85" t="e">
        <f>+MATCH(D3697,ARTICULOS!$F$10:$F$699,0)</f>
        <v>#N/A</v>
      </c>
      <c r="C3697" s="86" t="e">
        <f>+VLOOKUP(B3697,ARTICULOS!$D$10:$I$699,6)</f>
        <v>#N/A</v>
      </c>
      <c r="D3697" s="212"/>
      <c r="E3697" s="75" t="e">
        <f t="shared" si="118"/>
        <v>#N/A</v>
      </c>
      <c r="F3697" s="80"/>
      <c r="G3697" s="81"/>
      <c r="H3697" s="78"/>
      <c r="I3697" s="78"/>
      <c r="J3697" s="78"/>
    </row>
    <row r="3698" spans="1:10" x14ac:dyDescent="0.2">
      <c r="A3698" s="84">
        <f t="shared" si="119"/>
        <v>3692</v>
      </c>
      <c r="B3698" s="85" t="e">
        <f>+MATCH(D3698,ARTICULOS!$F$10:$F$699,0)</f>
        <v>#N/A</v>
      </c>
      <c r="C3698" s="86" t="e">
        <f>+VLOOKUP(B3698,ARTICULOS!$D$10:$I$699,6)</f>
        <v>#N/A</v>
      </c>
      <c r="D3698" s="212"/>
      <c r="E3698" s="75" t="e">
        <f t="shared" si="118"/>
        <v>#N/A</v>
      </c>
      <c r="F3698" s="80"/>
      <c r="G3698" s="81"/>
      <c r="H3698" s="78"/>
      <c r="I3698" s="78"/>
      <c r="J3698" s="78"/>
    </row>
    <row r="3699" spans="1:10" x14ac:dyDescent="0.2">
      <c r="A3699" s="84">
        <f t="shared" si="119"/>
        <v>3693</v>
      </c>
      <c r="B3699" s="85" t="e">
        <f>+MATCH(D3699,ARTICULOS!$F$10:$F$699,0)</f>
        <v>#N/A</v>
      </c>
      <c r="C3699" s="86" t="e">
        <f>+VLOOKUP(B3699,ARTICULOS!$D$10:$I$699,6)</f>
        <v>#N/A</v>
      </c>
      <c r="D3699" s="212"/>
      <c r="E3699" s="75" t="e">
        <f t="shared" si="118"/>
        <v>#N/A</v>
      </c>
      <c r="F3699" s="80"/>
      <c r="G3699" s="81"/>
      <c r="H3699" s="78"/>
      <c r="I3699" s="78"/>
      <c r="J3699" s="78"/>
    </row>
    <row r="3700" spans="1:10" x14ac:dyDescent="0.2">
      <c r="A3700" s="84">
        <f t="shared" si="119"/>
        <v>3694</v>
      </c>
      <c r="B3700" s="85" t="e">
        <f>+MATCH(D3700,ARTICULOS!$F$10:$F$699,0)</f>
        <v>#N/A</v>
      </c>
      <c r="C3700" s="86" t="e">
        <f>+VLOOKUP(B3700,ARTICULOS!$D$10:$I$699,6)</f>
        <v>#N/A</v>
      </c>
      <c r="D3700" s="212"/>
      <c r="E3700" s="75" t="e">
        <f t="shared" si="118"/>
        <v>#N/A</v>
      </c>
      <c r="F3700" s="80"/>
      <c r="G3700" s="81"/>
      <c r="H3700" s="78"/>
      <c r="I3700" s="78"/>
      <c r="J3700" s="78"/>
    </row>
    <row r="3701" spans="1:10" x14ac:dyDescent="0.2">
      <c r="A3701" s="84">
        <f t="shared" si="119"/>
        <v>3695</v>
      </c>
      <c r="B3701" s="85" t="e">
        <f>+MATCH(D3701,ARTICULOS!$F$10:$F$699,0)</f>
        <v>#N/A</v>
      </c>
      <c r="C3701" s="86" t="e">
        <f>+VLOOKUP(B3701,ARTICULOS!$D$10:$I$699,6)</f>
        <v>#N/A</v>
      </c>
      <c r="D3701" s="212"/>
      <c r="E3701" s="75" t="e">
        <f t="shared" si="118"/>
        <v>#N/A</v>
      </c>
      <c r="F3701" s="80"/>
      <c r="G3701" s="81"/>
      <c r="H3701" s="78"/>
      <c r="I3701" s="78"/>
      <c r="J3701" s="78"/>
    </row>
    <row r="3702" spans="1:10" x14ac:dyDescent="0.2">
      <c r="A3702" s="84">
        <f t="shared" si="119"/>
        <v>3696</v>
      </c>
      <c r="B3702" s="85" t="e">
        <f>+MATCH(D3702,ARTICULOS!$F$10:$F$699,0)</f>
        <v>#N/A</v>
      </c>
      <c r="C3702" s="86" t="e">
        <f>+VLOOKUP(B3702,ARTICULOS!$D$10:$I$699,6)</f>
        <v>#N/A</v>
      </c>
      <c r="D3702" s="212"/>
      <c r="E3702" s="75" t="e">
        <f t="shared" si="118"/>
        <v>#N/A</v>
      </c>
      <c r="F3702" s="80"/>
      <c r="G3702" s="81"/>
      <c r="H3702" s="78"/>
      <c r="I3702" s="78"/>
      <c r="J3702" s="78"/>
    </row>
    <row r="3703" spans="1:10" x14ac:dyDescent="0.2">
      <c r="A3703" s="84">
        <f t="shared" si="119"/>
        <v>3697</v>
      </c>
      <c r="B3703" s="85" t="e">
        <f>+MATCH(D3703,ARTICULOS!$F$10:$F$699,0)</f>
        <v>#N/A</v>
      </c>
      <c r="C3703" s="86" t="e">
        <f>+VLOOKUP(B3703,ARTICULOS!$D$10:$I$699,6)</f>
        <v>#N/A</v>
      </c>
      <c r="D3703" s="212"/>
      <c r="E3703" s="75" t="e">
        <f t="shared" si="118"/>
        <v>#N/A</v>
      </c>
      <c r="F3703" s="80"/>
      <c r="G3703" s="81"/>
      <c r="H3703" s="78"/>
      <c r="I3703" s="78"/>
      <c r="J3703" s="78"/>
    </row>
    <row r="3704" spans="1:10" x14ac:dyDescent="0.2">
      <c r="A3704" s="84">
        <f t="shared" si="119"/>
        <v>3698</v>
      </c>
      <c r="B3704" s="85" t="e">
        <f>+MATCH(D3704,ARTICULOS!$F$10:$F$699,0)</f>
        <v>#N/A</v>
      </c>
      <c r="C3704" s="86" t="e">
        <f>+VLOOKUP(B3704,ARTICULOS!$D$10:$I$699,6)</f>
        <v>#N/A</v>
      </c>
      <c r="D3704" s="212"/>
      <c r="E3704" s="75" t="e">
        <f t="shared" si="118"/>
        <v>#N/A</v>
      </c>
      <c r="F3704" s="80"/>
      <c r="G3704" s="81"/>
      <c r="H3704" s="78"/>
      <c r="I3704" s="78"/>
      <c r="J3704" s="78"/>
    </row>
    <row r="3705" spans="1:10" x14ac:dyDescent="0.2">
      <c r="A3705" s="84">
        <f t="shared" si="119"/>
        <v>3699</v>
      </c>
      <c r="B3705" s="85" t="e">
        <f>+MATCH(D3705,ARTICULOS!$F$10:$F$699,0)</f>
        <v>#N/A</v>
      </c>
      <c r="C3705" s="86" t="e">
        <f>+VLOOKUP(B3705,ARTICULOS!$D$10:$I$699,6)</f>
        <v>#N/A</v>
      </c>
      <c r="D3705" s="212"/>
      <c r="E3705" s="75" t="e">
        <f t="shared" si="118"/>
        <v>#N/A</v>
      </c>
      <c r="F3705" s="80"/>
      <c r="G3705" s="81"/>
      <c r="H3705" s="78"/>
      <c r="I3705" s="78"/>
      <c r="J3705" s="78"/>
    </row>
    <row r="3706" spans="1:10" x14ac:dyDescent="0.2">
      <c r="A3706" s="84">
        <f t="shared" si="119"/>
        <v>3700</v>
      </c>
      <c r="B3706" s="85" t="e">
        <f>+MATCH(D3706,ARTICULOS!$F$10:$F$699,0)</f>
        <v>#N/A</v>
      </c>
      <c r="C3706" s="86" t="e">
        <f>+VLOOKUP(B3706,ARTICULOS!$D$10:$I$699,6)</f>
        <v>#N/A</v>
      </c>
      <c r="D3706" s="212"/>
      <c r="E3706" s="75" t="e">
        <f t="shared" si="118"/>
        <v>#N/A</v>
      </c>
      <c r="F3706" s="80"/>
      <c r="G3706" s="81"/>
      <c r="H3706" s="78"/>
      <c r="I3706" s="78"/>
      <c r="J3706" s="78"/>
    </row>
    <row r="3707" spans="1:10" x14ac:dyDescent="0.2">
      <c r="A3707" s="84">
        <f t="shared" si="119"/>
        <v>3701</v>
      </c>
      <c r="B3707" s="85" t="e">
        <f>+MATCH(D3707,ARTICULOS!$F$10:$F$699,0)</f>
        <v>#N/A</v>
      </c>
      <c r="C3707" s="86" t="e">
        <f>+VLOOKUP(B3707,ARTICULOS!$D$10:$I$699,6)</f>
        <v>#N/A</v>
      </c>
      <c r="D3707" s="212"/>
      <c r="E3707" s="75" t="e">
        <f t="shared" si="118"/>
        <v>#N/A</v>
      </c>
      <c r="F3707" s="80"/>
      <c r="G3707" s="81"/>
      <c r="H3707" s="78"/>
      <c r="I3707" s="78"/>
      <c r="J3707" s="78"/>
    </row>
    <row r="3708" spans="1:10" x14ac:dyDescent="0.2">
      <c r="A3708" s="84">
        <f t="shared" si="119"/>
        <v>3702</v>
      </c>
      <c r="B3708" s="85" t="e">
        <f>+MATCH(D3708,ARTICULOS!$F$10:$F$699,0)</f>
        <v>#N/A</v>
      </c>
      <c r="C3708" s="86" t="e">
        <f>+VLOOKUP(B3708,ARTICULOS!$D$10:$I$699,6)</f>
        <v>#N/A</v>
      </c>
      <c r="D3708" s="212"/>
      <c r="E3708" s="75" t="e">
        <f t="shared" si="118"/>
        <v>#N/A</v>
      </c>
      <c r="F3708" s="80"/>
      <c r="G3708" s="81"/>
      <c r="H3708" s="78"/>
      <c r="I3708" s="78"/>
      <c r="J3708" s="78"/>
    </row>
    <row r="3709" spans="1:10" x14ac:dyDescent="0.2">
      <c r="A3709" s="84">
        <f t="shared" si="119"/>
        <v>3703</v>
      </c>
      <c r="B3709" s="85" t="e">
        <f>+MATCH(D3709,ARTICULOS!$F$10:$F$699,0)</f>
        <v>#N/A</v>
      </c>
      <c r="C3709" s="86" t="e">
        <f>+VLOOKUP(B3709,ARTICULOS!$D$10:$I$699,6)</f>
        <v>#N/A</v>
      </c>
      <c r="D3709" s="212"/>
      <c r="E3709" s="75" t="e">
        <f t="shared" si="118"/>
        <v>#N/A</v>
      </c>
      <c r="F3709" s="80"/>
      <c r="G3709" s="81"/>
      <c r="H3709" s="78"/>
      <c r="I3709" s="78"/>
      <c r="J3709" s="78"/>
    </row>
    <row r="3710" spans="1:10" x14ac:dyDescent="0.2">
      <c r="A3710" s="84">
        <f t="shared" si="119"/>
        <v>3704</v>
      </c>
      <c r="B3710" s="85" t="e">
        <f>+MATCH(D3710,ARTICULOS!$F$10:$F$699,0)</f>
        <v>#N/A</v>
      </c>
      <c r="C3710" s="86" t="e">
        <f>+VLOOKUP(B3710,ARTICULOS!$D$10:$I$699,6)</f>
        <v>#N/A</v>
      </c>
      <c r="D3710" s="212"/>
      <c r="E3710" s="75" t="e">
        <f t="shared" si="118"/>
        <v>#N/A</v>
      </c>
      <c r="F3710" s="80"/>
      <c r="G3710" s="81"/>
      <c r="H3710" s="78"/>
      <c r="I3710" s="78"/>
      <c r="J3710" s="78"/>
    </row>
    <row r="3711" spans="1:10" x14ac:dyDescent="0.2">
      <c r="A3711" s="84">
        <f t="shared" si="119"/>
        <v>3705</v>
      </c>
      <c r="B3711" s="85" t="e">
        <f>+MATCH(D3711,ARTICULOS!$F$10:$F$699,0)</f>
        <v>#N/A</v>
      </c>
      <c r="C3711" s="86" t="e">
        <f>+VLOOKUP(B3711,ARTICULOS!$D$10:$I$699,6)</f>
        <v>#N/A</v>
      </c>
      <c r="D3711" s="212"/>
      <c r="E3711" s="75" t="e">
        <f t="shared" si="118"/>
        <v>#N/A</v>
      </c>
      <c r="F3711" s="80"/>
      <c r="G3711" s="81"/>
      <c r="H3711" s="78"/>
      <c r="I3711" s="78"/>
      <c r="J3711" s="78"/>
    </row>
    <row r="3712" spans="1:10" x14ac:dyDescent="0.2">
      <c r="A3712" s="84">
        <f t="shared" si="119"/>
        <v>3706</v>
      </c>
      <c r="B3712" s="85" t="e">
        <f>+MATCH(D3712,ARTICULOS!$F$10:$F$699,0)</f>
        <v>#N/A</v>
      </c>
      <c r="C3712" s="86" t="e">
        <f>+VLOOKUP(B3712,ARTICULOS!$D$10:$I$699,6)</f>
        <v>#N/A</v>
      </c>
      <c r="D3712" s="212"/>
      <c r="E3712" s="75" t="e">
        <f t="shared" si="118"/>
        <v>#N/A</v>
      </c>
      <c r="F3712" s="80"/>
      <c r="G3712" s="81"/>
      <c r="H3712" s="78"/>
      <c r="I3712" s="78"/>
      <c r="J3712" s="78"/>
    </row>
    <row r="3713" spans="1:10" x14ac:dyDescent="0.2">
      <c r="A3713" s="84">
        <f t="shared" si="119"/>
        <v>3707</v>
      </c>
      <c r="B3713" s="85" t="e">
        <f>+MATCH(D3713,ARTICULOS!$F$10:$F$699,0)</f>
        <v>#N/A</v>
      </c>
      <c r="C3713" s="86" t="e">
        <f>+VLOOKUP(B3713,ARTICULOS!$D$10:$I$699,6)</f>
        <v>#N/A</v>
      </c>
      <c r="D3713" s="212"/>
      <c r="E3713" s="75" t="e">
        <f t="shared" si="118"/>
        <v>#N/A</v>
      </c>
      <c r="F3713" s="80"/>
      <c r="G3713" s="81"/>
      <c r="H3713" s="78"/>
      <c r="I3713" s="78"/>
      <c r="J3713" s="78"/>
    </row>
    <row r="3714" spans="1:10" x14ac:dyDescent="0.2">
      <c r="A3714" s="84">
        <f t="shared" si="119"/>
        <v>3708</v>
      </c>
      <c r="B3714" s="85" t="e">
        <f>+MATCH(D3714,ARTICULOS!$F$10:$F$699,0)</f>
        <v>#N/A</v>
      </c>
      <c r="C3714" s="86" t="e">
        <f>+VLOOKUP(B3714,ARTICULOS!$D$10:$I$699,6)</f>
        <v>#N/A</v>
      </c>
      <c r="D3714" s="212"/>
      <c r="E3714" s="75" t="e">
        <f t="shared" si="118"/>
        <v>#N/A</v>
      </c>
      <c r="F3714" s="80"/>
      <c r="G3714" s="81"/>
      <c r="H3714" s="78"/>
      <c r="I3714" s="78"/>
      <c r="J3714" s="78"/>
    </row>
    <row r="3715" spans="1:10" x14ac:dyDescent="0.2">
      <c r="A3715" s="84">
        <f t="shared" si="119"/>
        <v>3709</v>
      </c>
      <c r="B3715" s="85" t="e">
        <f>+MATCH(D3715,ARTICULOS!$F$10:$F$699,0)</f>
        <v>#N/A</v>
      </c>
      <c r="C3715" s="86" t="e">
        <f>+VLOOKUP(B3715,ARTICULOS!$D$10:$I$699,6)</f>
        <v>#N/A</v>
      </c>
      <c r="D3715" s="212"/>
      <c r="E3715" s="75" t="e">
        <f t="shared" si="118"/>
        <v>#N/A</v>
      </c>
      <c r="F3715" s="80"/>
      <c r="G3715" s="81"/>
      <c r="H3715" s="78"/>
      <c r="I3715" s="78"/>
      <c r="J3715" s="78"/>
    </row>
    <row r="3716" spans="1:10" x14ac:dyDescent="0.2">
      <c r="A3716" s="84">
        <f t="shared" si="119"/>
        <v>3710</v>
      </c>
      <c r="B3716" s="85" t="e">
        <f>+MATCH(D3716,ARTICULOS!$F$10:$F$699,0)</f>
        <v>#N/A</v>
      </c>
      <c r="C3716" s="86" t="e">
        <f>+VLOOKUP(B3716,ARTICULOS!$D$10:$I$699,6)</f>
        <v>#N/A</v>
      </c>
      <c r="D3716" s="212"/>
      <c r="E3716" s="75" t="e">
        <f t="shared" si="118"/>
        <v>#N/A</v>
      </c>
      <c r="F3716" s="80"/>
      <c r="G3716" s="81"/>
      <c r="H3716" s="78"/>
      <c r="I3716" s="78"/>
      <c r="J3716" s="78"/>
    </row>
    <row r="3717" spans="1:10" x14ac:dyDescent="0.2">
      <c r="A3717" s="84">
        <f t="shared" si="119"/>
        <v>3711</v>
      </c>
      <c r="B3717" s="85" t="e">
        <f>+MATCH(D3717,ARTICULOS!$F$10:$F$699,0)</f>
        <v>#N/A</v>
      </c>
      <c r="C3717" s="86" t="e">
        <f>+VLOOKUP(B3717,ARTICULOS!$D$10:$I$699,6)</f>
        <v>#N/A</v>
      </c>
      <c r="D3717" s="212"/>
      <c r="E3717" s="75" t="e">
        <f t="shared" si="118"/>
        <v>#N/A</v>
      </c>
      <c r="F3717" s="80"/>
      <c r="G3717" s="81"/>
      <c r="H3717" s="78"/>
      <c r="I3717" s="78"/>
      <c r="J3717" s="78"/>
    </row>
    <row r="3718" spans="1:10" x14ac:dyDescent="0.2">
      <c r="A3718" s="84">
        <f t="shared" si="119"/>
        <v>3712</v>
      </c>
      <c r="B3718" s="85" t="e">
        <f>+MATCH(D3718,ARTICULOS!$F$10:$F$699,0)</f>
        <v>#N/A</v>
      </c>
      <c r="C3718" s="86" t="e">
        <f>+VLOOKUP(B3718,ARTICULOS!$D$10:$I$699,6)</f>
        <v>#N/A</v>
      </c>
      <c r="D3718" s="212"/>
      <c r="E3718" s="75" t="e">
        <f t="shared" si="118"/>
        <v>#N/A</v>
      </c>
      <c r="F3718" s="80"/>
      <c r="G3718" s="81"/>
      <c r="H3718" s="78"/>
      <c r="I3718" s="78"/>
      <c r="J3718" s="78"/>
    </row>
    <row r="3719" spans="1:10" x14ac:dyDescent="0.2">
      <c r="A3719" s="84">
        <f t="shared" si="119"/>
        <v>3713</v>
      </c>
      <c r="B3719" s="85" t="e">
        <f>+MATCH(D3719,ARTICULOS!$F$10:$F$699,0)</f>
        <v>#N/A</v>
      </c>
      <c r="C3719" s="86" t="e">
        <f>+VLOOKUP(B3719,ARTICULOS!$D$10:$I$699,6)</f>
        <v>#N/A</v>
      </c>
      <c r="D3719" s="212"/>
      <c r="E3719" s="75" t="e">
        <f t="shared" si="118"/>
        <v>#N/A</v>
      </c>
      <c r="F3719" s="80"/>
      <c r="G3719" s="81"/>
      <c r="H3719" s="78"/>
      <c r="I3719" s="78"/>
      <c r="J3719" s="78"/>
    </row>
    <row r="3720" spans="1:10" x14ac:dyDescent="0.2">
      <c r="A3720" s="84">
        <f t="shared" si="119"/>
        <v>3714</v>
      </c>
      <c r="B3720" s="85" t="e">
        <f>+MATCH(D3720,ARTICULOS!$F$10:$F$699,0)</f>
        <v>#N/A</v>
      </c>
      <c r="C3720" s="86" t="e">
        <f>+VLOOKUP(B3720,ARTICULOS!$D$10:$I$699,6)</f>
        <v>#N/A</v>
      </c>
      <c r="D3720" s="212"/>
      <c r="E3720" s="75" t="e">
        <f t="shared" si="118"/>
        <v>#N/A</v>
      </c>
      <c r="F3720" s="80"/>
      <c r="G3720" s="81"/>
      <c r="H3720" s="78"/>
      <c r="I3720" s="78"/>
      <c r="J3720" s="78"/>
    </row>
    <row r="3721" spans="1:10" x14ac:dyDescent="0.2">
      <c r="A3721" s="84">
        <f t="shared" si="119"/>
        <v>3715</v>
      </c>
      <c r="B3721" s="85" t="e">
        <f>+MATCH(D3721,ARTICULOS!$F$10:$F$699,0)</f>
        <v>#N/A</v>
      </c>
      <c r="C3721" s="86" t="e">
        <f>+VLOOKUP(B3721,ARTICULOS!$D$10:$I$699,6)</f>
        <v>#N/A</v>
      </c>
      <c r="D3721" s="212"/>
      <c r="E3721" s="75" t="e">
        <f t="shared" si="118"/>
        <v>#N/A</v>
      </c>
      <c r="F3721" s="80"/>
      <c r="G3721" s="81"/>
      <c r="H3721" s="78"/>
      <c r="I3721" s="78"/>
      <c r="J3721" s="78"/>
    </row>
    <row r="3722" spans="1:10" x14ac:dyDescent="0.2">
      <c r="A3722" s="84">
        <f t="shared" si="119"/>
        <v>3716</v>
      </c>
      <c r="B3722" s="85" t="e">
        <f>+MATCH(D3722,ARTICULOS!$F$10:$F$699,0)</f>
        <v>#N/A</v>
      </c>
      <c r="C3722" s="86" t="e">
        <f>+VLOOKUP(B3722,ARTICULOS!$D$10:$I$699,6)</f>
        <v>#N/A</v>
      </c>
      <c r="D3722" s="212"/>
      <c r="E3722" s="75" t="e">
        <f t="shared" si="118"/>
        <v>#N/A</v>
      </c>
      <c r="F3722" s="80"/>
      <c r="G3722" s="81"/>
      <c r="H3722" s="78"/>
      <c r="I3722" s="78"/>
      <c r="J3722" s="78"/>
    </row>
    <row r="3723" spans="1:10" x14ac:dyDescent="0.2">
      <c r="A3723" s="84">
        <f t="shared" si="119"/>
        <v>3717</v>
      </c>
      <c r="B3723" s="85" t="e">
        <f>+MATCH(D3723,ARTICULOS!$F$10:$F$699,0)</f>
        <v>#N/A</v>
      </c>
      <c r="C3723" s="86" t="e">
        <f>+VLOOKUP(B3723,ARTICULOS!$D$10:$I$699,6)</f>
        <v>#N/A</v>
      </c>
      <c r="D3723" s="212"/>
      <c r="E3723" s="75" t="e">
        <f t="shared" ref="E3723:E3786" si="120">+C3723&amp;F3723</f>
        <v>#N/A</v>
      </c>
      <c r="F3723" s="80"/>
      <c r="G3723" s="81"/>
      <c r="H3723" s="78"/>
      <c r="I3723" s="78"/>
      <c r="J3723" s="78"/>
    </row>
    <row r="3724" spans="1:10" x14ac:dyDescent="0.2">
      <c r="A3724" s="84">
        <f t="shared" si="119"/>
        <v>3718</v>
      </c>
      <c r="B3724" s="85" t="e">
        <f>+MATCH(D3724,ARTICULOS!$F$10:$F$699,0)</f>
        <v>#N/A</v>
      </c>
      <c r="C3724" s="86" t="e">
        <f>+VLOOKUP(B3724,ARTICULOS!$D$10:$I$699,6)</f>
        <v>#N/A</v>
      </c>
      <c r="D3724" s="212"/>
      <c r="E3724" s="75" t="e">
        <f t="shared" si="120"/>
        <v>#N/A</v>
      </c>
      <c r="F3724" s="80"/>
      <c r="G3724" s="81"/>
      <c r="H3724" s="78"/>
      <c r="I3724" s="78"/>
      <c r="J3724" s="78"/>
    </row>
    <row r="3725" spans="1:10" x14ac:dyDescent="0.2">
      <c r="A3725" s="84">
        <f t="shared" si="119"/>
        <v>3719</v>
      </c>
      <c r="B3725" s="85" t="e">
        <f>+MATCH(D3725,ARTICULOS!$F$10:$F$699,0)</f>
        <v>#N/A</v>
      </c>
      <c r="C3725" s="86" t="e">
        <f>+VLOOKUP(B3725,ARTICULOS!$D$10:$I$699,6)</f>
        <v>#N/A</v>
      </c>
      <c r="D3725" s="212"/>
      <c r="E3725" s="75" t="e">
        <f t="shared" si="120"/>
        <v>#N/A</v>
      </c>
      <c r="F3725" s="80"/>
      <c r="G3725" s="81"/>
      <c r="H3725" s="78"/>
      <c r="I3725" s="78"/>
      <c r="J3725" s="78"/>
    </row>
    <row r="3726" spans="1:10" x14ac:dyDescent="0.2">
      <c r="A3726" s="84">
        <f t="shared" si="119"/>
        <v>3720</v>
      </c>
      <c r="B3726" s="85" t="e">
        <f>+MATCH(D3726,ARTICULOS!$F$10:$F$699,0)</f>
        <v>#N/A</v>
      </c>
      <c r="C3726" s="86" t="e">
        <f>+VLOOKUP(B3726,ARTICULOS!$D$10:$I$699,6)</f>
        <v>#N/A</v>
      </c>
      <c r="D3726" s="212"/>
      <c r="E3726" s="75" t="e">
        <f t="shared" si="120"/>
        <v>#N/A</v>
      </c>
      <c r="F3726" s="80"/>
      <c r="G3726" s="81"/>
      <c r="H3726" s="78"/>
      <c r="I3726" s="78"/>
      <c r="J3726" s="78"/>
    </row>
    <row r="3727" spans="1:10" x14ac:dyDescent="0.2">
      <c r="A3727" s="84">
        <f t="shared" si="119"/>
        <v>3721</v>
      </c>
      <c r="B3727" s="85" t="e">
        <f>+MATCH(D3727,ARTICULOS!$F$10:$F$699,0)</f>
        <v>#N/A</v>
      </c>
      <c r="C3727" s="86" t="e">
        <f>+VLOOKUP(B3727,ARTICULOS!$D$10:$I$699,6)</f>
        <v>#N/A</v>
      </c>
      <c r="D3727" s="212"/>
      <c r="E3727" s="75" t="e">
        <f t="shared" si="120"/>
        <v>#N/A</v>
      </c>
      <c r="F3727" s="80"/>
      <c r="G3727" s="81"/>
      <c r="H3727" s="78"/>
      <c r="I3727" s="78"/>
      <c r="J3727" s="78"/>
    </row>
    <row r="3728" spans="1:10" x14ac:dyDescent="0.2">
      <c r="A3728" s="84">
        <f t="shared" si="119"/>
        <v>3722</v>
      </c>
      <c r="B3728" s="85" t="e">
        <f>+MATCH(D3728,ARTICULOS!$F$10:$F$699,0)</f>
        <v>#N/A</v>
      </c>
      <c r="C3728" s="86" t="e">
        <f>+VLOOKUP(B3728,ARTICULOS!$D$10:$I$699,6)</f>
        <v>#N/A</v>
      </c>
      <c r="D3728" s="212"/>
      <c r="E3728" s="75" t="e">
        <f t="shared" si="120"/>
        <v>#N/A</v>
      </c>
      <c r="F3728" s="80"/>
      <c r="G3728" s="81"/>
      <c r="H3728" s="78"/>
      <c r="I3728" s="78"/>
      <c r="J3728" s="78"/>
    </row>
    <row r="3729" spans="1:10" x14ac:dyDescent="0.2">
      <c r="A3729" s="84">
        <f t="shared" si="119"/>
        <v>3723</v>
      </c>
      <c r="B3729" s="85" t="e">
        <f>+MATCH(D3729,ARTICULOS!$F$10:$F$699,0)</f>
        <v>#N/A</v>
      </c>
      <c r="C3729" s="86" t="e">
        <f>+VLOOKUP(B3729,ARTICULOS!$D$10:$I$699,6)</f>
        <v>#N/A</v>
      </c>
      <c r="D3729" s="212"/>
      <c r="E3729" s="75" t="e">
        <f t="shared" si="120"/>
        <v>#N/A</v>
      </c>
      <c r="F3729" s="80"/>
      <c r="G3729" s="81"/>
      <c r="H3729" s="78"/>
      <c r="I3729" s="78"/>
      <c r="J3729" s="78"/>
    </row>
    <row r="3730" spans="1:10" x14ac:dyDescent="0.2">
      <c r="A3730" s="84">
        <f t="shared" si="119"/>
        <v>3724</v>
      </c>
      <c r="B3730" s="85" t="e">
        <f>+MATCH(D3730,ARTICULOS!$F$10:$F$699,0)</f>
        <v>#N/A</v>
      </c>
      <c r="C3730" s="86" t="e">
        <f>+VLOOKUP(B3730,ARTICULOS!$D$10:$I$699,6)</f>
        <v>#N/A</v>
      </c>
      <c r="D3730" s="212"/>
      <c r="E3730" s="75" t="e">
        <f t="shared" si="120"/>
        <v>#N/A</v>
      </c>
      <c r="F3730" s="80"/>
      <c r="G3730" s="81"/>
      <c r="H3730" s="78"/>
      <c r="I3730" s="78"/>
      <c r="J3730" s="78"/>
    </row>
    <row r="3731" spans="1:10" x14ac:dyDescent="0.2">
      <c r="A3731" s="84">
        <f t="shared" si="119"/>
        <v>3725</v>
      </c>
      <c r="B3731" s="85" t="e">
        <f>+MATCH(D3731,ARTICULOS!$F$10:$F$699,0)</f>
        <v>#N/A</v>
      </c>
      <c r="C3731" s="86" t="e">
        <f>+VLOOKUP(B3731,ARTICULOS!$D$10:$I$699,6)</f>
        <v>#N/A</v>
      </c>
      <c r="D3731" s="212"/>
      <c r="E3731" s="75" t="e">
        <f t="shared" si="120"/>
        <v>#N/A</v>
      </c>
      <c r="F3731" s="80"/>
      <c r="G3731" s="81"/>
      <c r="H3731" s="78"/>
      <c r="I3731" s="78"/>
      <c r="J3731" s="78"/>
    </row>
    <row r="3732" spans="1:10" x14ac:dyDescent="0.2">
      <c r="A3732" s="84">
        <f t="shared" si="119"/>
        <v>3726</v>
      </c>
      <c r="B3732" s="85" t="e">
        <f>+MATCH(D3732,ARTICULOS!$F$10:$F$699,0)</f>
        <v>#N/A</v>
      </c>
      <c r="C3732" s="86" t="e">
        <f>+VLOOKUP(B3732,ARTICULOS!$D$10:$I$699,6)</f>
        <v>#N/A</v>
      </c>
      <c r="D3732" s="212"/>
      <c r="E3732" s="75" t="e">
        <f t="shared" si="120"/>
        <v>#N/A</v>
      </c>
      <c r="F3732" s="80"/>
      <c r="G3732" s="81"/>
      <c r="H3732" s="78"/>
      <c r="I3732" s="78"/>
      <c r="J3732" s="78"/>
    </row>
    <row r="3733" spans="1:10" x14ac:dyDescent="0.2">
      <c r="A3733" s="84">
        <f t="shared" si="119"/>
        <v>3727</v>
      </c>
      <c r="B3733" s="85" t="e">
        <f>+MATCH(D3733,ARTICULOS!$F$10:$F$699,0)</f>
        <v>#N/A</v>
      </c>
      <c r="C3733" s="86" t="e">
        <f>+VLOOKUP(B3733,ARTICULOS!$D$10:$I$699,6)</f>
        <v>#N/A</v>
      </c>
      <c r="D3733" s="212"/>
      <c r="E3733" s="75" t="e">
        <f t="shared" si="120"/>
        <v>#N/A</v>
      </c>
      <c r="F3733" s="80"/>
      <c r="G3733" s="81"/>
      <c r="H3733" s="78"/>
      <c r="I3733" s="78"/>
      <c r="J3733" s="78"/>
    </row>
    <row r="3734" spans="1:10" x14ac:dyDescent="0.2">
      <c r="A3734" s="84">
        <f t="shared" si="119"/>
        <v>3728</v>
      </c>
      <c r="B3734" s="85" t="e">
        <f>+MATCH(D3734,ARTICULOS!$F$10:$F$699,0)</f>
        <v>#N/A</v>
      </c>
      <c r="C3734" s="86" t="e">
        <f>+VLOOKUP(B3734,ARTICULOS!$D$10:$I$699,6)</f>
        <v>#N/A</v>
      </c>
      <c r="D3734" s="212"/>
      <c r="E3734" s="75" t="e">
        <f t="shared" si="120"/>
        <v>#N/A</v>
      </c>
      <c r="F3734" s="80"/>
      <c r="G3734" s="81"/>
      <c r="H3734" s="78"/>
      <c r="I3734" s="78"/>
      <c r="J3734" s="78"/>
    </row>
    <row r="3735" spans="1:10" x14ac:dyDescent="0.2">
      <c r="A3735" s="84">
        <f t="shared" si="119"/>
        <v>3729</v>
      </c>
      <c r="B3735" s="85" t="e">
        <f>+MATCH(D3735,ARTICULOS!$F$10:$F$699,0)</f>
        <v>#N/A</v>
      </c>
      <c r="C3735" s="86" t="e">
        <f>+VLOOKUP(B3735,ARTICULOS!$D$10:$I$699,6)</f>
        <v>#N/A</v>
      </c>
      <c r="D3735" s="212"/>
      <c r="E3735" s="75" t="e">
        <f t="shared" si="120"/>
        <v>#N/A</v>
      </c>
      <c r="F3735" s="80"/>
      <c r="G3735" s="81"/>
      <c r="H3735" s="78"/>
      <c r="I3735" s="78"/>
      <c r="J3735" s="78"/>
    </row>
    <row r="3736" spans="1:10" x14ac:dyDescent="0.2">
      <c r="A3736" s="84">
        <f t="shared" si="119"/>
        <v>3730</v>
      </c>
      <c r="B3736" s="85" t="e">
        <f>+MATCH(D3736,ARTICULOS!$F$10:$F$699,0)</f>
        <v>#N/A</v>
      </c>
      <c r="C3736" s="86" t="e">
        <f>+VLOOKUP(B3736,ARTICULOS!$D$10:$I$699,6)</f>
        <v>#N/A</v>
      </c>
      <c r="D3736" s="212"/>
      <c r="E3736" s="75" t="e">
        <f t="shared" si="120"/>
        <v>#N/A</v>
      </c>
      <c r="F3736" s="80"/>
      <c r="G3736" s="81"/>
      <c r="H3736" s="78"/>
      <c r="I3736" s="78"/>
      <c r="J3736" s="78"/>
    </row>
    <row r="3737" spans="1:10" x14ac:dyDescent="0.2">
      <c r="A3737" s="84">
        <f t="shared" si="119"/>
        <v>3731</v>
      </c>
      <c r="B3737" s="85" t="e">
        <f>+MATCH(D3737,ARTICULOS!$F$10:$F$699,0)</f>
        <v>#N/A</v>
      </c>
      <c r="C3737" s="86" t="e">
        <f>+VLOOKUP(B3737,ARTICULOS!$D$10:$I$699,6)</f>
        <v>#N/A</v>
      </c>
      <c r="D3737" s="212"/>
      <c r="E3737" s="75" t="e">
        <f t="shared" si="120"/>
        <v>#N/A</v>
      </c>
      <c r="F3737" s="80"/>
      <c r="G3737" s="81"/>
      <c r="H3737" s="78"/>
      <c r="I3737" s="78"/>
      <c r="J3737" s="78"/>
    </row>
    <row r="3738" spans="1:10" x14ac:dyDescent="0.2">
      <c r="A3738" s="84">
        <f t="shared" si="119"/>
        <v>3732</v>
      </c>
      <c r="B3738" s="85" t="e">
        <f>+MATCH(D3738,ARTICULOS!$F$10:$F$699,0)</f>
        <v>#N/A</v>
      </c>
      <c r="C3738" s="86" t="e">
        <f>+VLOOKUP(B3738,ARTICULOS!$D$10:$I$699,6)</f>
        <v>#N/A</v>
      </c>
      <c r="D3738" s="212"/>
      <c r="E3738" s="75" t="e">
        <f t="shared" si="120"/>
        <v>#N/A</v>
      </c>
      <c r="F3738" s="80"/>
      <c r="G3738" s="81"/>
      <c r="H3738" s="78"/>
      <c r="I3738" s="78"/>
      <c r="J3738" s="78"/>
    </row>
    <row r="3739" spans="1:10" x14ac:dyDescent="0.2">
      <c r="A3739" s="84">
        <f t="shared" si="119"/>
        <v>3733</v>
      </c>
      <c r="B3739" s="85" t="e">
        <f>+MATCH(D3739,ARTICULOS!$F$10:$F$699,0)</f>
        <v>#N/A</v>
      </c>
      <c r="C3739" s="86" t="e">
        <f>+VLOOKUP(B3739,ARTICULOS!$D$10:$I$699,6)</f>
        <v>#N/A</v>
      </c>
      <c r="D3739" s="212"/>
      <c r="E3739" s="75" t="e">
        <f t="shared" si="120"/>
        <v>#N/A</v>
      </c>
      <c r="F3739" s="80"/>
      <c r="G3739" s="81"/>
      <c r="H3739" s="78"/>
      <c r="I3739" s="78"/>
      <c r="J3739" s="78"/>
    </row>
    <row r="3740" spans="1:10" x14ac:dyDescent="0.2">
      <c r="A3740" s="84">
        <f t="shared" si="119"/>
        <v>3734</v>
      </c>
      <c r="B3740" s="85" t="e">
        <f>+MATCH(D3740,ARTICULOS!$F$10:$F$699,0)</f>
        <v>#N/A</v>
      </c>
      <c r="C3740" s="86" t="e">
        <f>+VLOOKUP(B3740,ARTICULOS!$D$10:$I$699,6)</f>
        <v>#N/A</v>
      </c>
      <c r="D3740" s="212"/>
      <c r="E3740" s="75" t="e">
        <f t="shared" si="120"/>
        <v>#N/A</v>
      </c>
      <c r="F3740" s="80"/>
      <c r="G3740" s="81"/>
      <c r="H3740" s="78"/>
      <c r="I3740" s="78"/>
      <c r="J3740" s="78"/>
    </row>
    <row r="3741" spans="1:10" x14ac:dyDescent="0.2">
      <c r="A3741" s="84">
        <f t="shared" si="119"/>
        <v>3735</v>
      </c>
      <c r="B3741" s="85" t="e">
        <f>+MATCH(D3741,ARTICULOS!$F$10:$F$699,0)</f>
        <v>#N/A</v>
      </c>
      <c r="C3741" s="86" t="e">
        <f>+VLOOKUP(B3741,ARTICULOS!$D$10:$I$699,6)</f>
        <v>#N/A</v>
      </c>
      <c r="D3741" s="212"/>
      <c r="E3741" s="75" t="e">
        <f t="shared" si="120"/>
        <v>#N/A</v>
      </c>
      <c r="F3741" s="80"/>
      <c r="G3741" s="81"/>
      <c r="H3741" s="78"/>
      <c r="I3741" s="78"/>
      <c r="J3741" s="78"/>
    </row>
    <row r="3742" spans="1:10" x14ac:dyDescent="0.2">
      <c r="A3742" s="84">
        <f t="shared" si="119"/>
        <v>3736</v>
      </c>
      <c r="B3742" s="85" t="e">
        <f>+MATCH(D3742,ARTICULOS!$F$10:$F$699,0)</f>
        <v>#N/A</v>
      </c>
      <c r="C3742" s="86" t="e">
        <f>+VLOOKUP(B3742,ARTICULOS!$D$10:$I$699,6)</f>
        <v>#N/A</v>
      </c>
      <c r="D3742" s="212"/>
      <c r="E3742" s="75" t="e">
        <f t="shared" si="120"/>
        <v>#N/A</v>
      </c>
      <c r="F3742" s="80"/>
      <c r="G3742" s="81"/>
      <c r="H3742" s="78"/>
      <c r="I3742" s="78"/>
      <c r="J3742" s="78"/>
    </row>
    <row r="3743" spans="1:10" x14ac:dyDescent="0.2">
      <c r="A3743" s="84">
        <f t="shared" si="119"/>
        <v>3737</v>
      </c>
      <c r="B3743" s="85" t="e">
        <f>+MATCH(D3743,ARTICULOS!$F$10:$F$699,0)</f>
        <v>#N/A</v>
      </c>
      <c r="C3743" s="86" t="e">
        <f>+VLOOKUP(B3743,ARTICULOS!$D$10:$I$699,6)</f>
        <v>#N/A</v>
      </c>
      <c r="D3743" s="212"/>
      <c r="E3743" s="75" t="e">
        <f t="shared" si="120"/>
        <v>#N/A</v>
      </c>
      <c r="F3743" s="80"/>
      <c r="G3743" s="81"/>
      <c r="H3743" s="78"/>
      <c r="I3743" s="78"/>
      <c r="J3743" s="78"/>
    </row>
    <row r="3744" spans="1:10" x14ac:dyDescent="0.2">
      <c r="A3744" s="84">
        <f t="shared" si="119"/>
        <v>3738</v>
      </c>
      <c r="B3744" s="85" t="e">
        <f>+MATCH(D3744,ARTICULOS!$F$10:$F$699,0)</f>
        <v>#N/A</v>
      </c>
      <c r="C3744" s="86" t="e">
        <f>+VLOOKUP(B3744,ARTICULOS!$D$10:$I$699,6)</f>
        <v>#N/A</v>
      </c>
      <c r="D3744" s="212"/>
      <c r="E3744" s="75" t="e">
        <f t="shared" si="120"/>
        <v>#N/A</v>
      </c>
      <c r="F3744" s="80"/>
      <c r="G3744" s="81"/>
      <c r="H3744" s="78"/>
      <c r="I3744" s="78"/>
      <c r="J3744" s="78"/>
    </row>
    <row r="3745" spans="1:10" x14ac:dyDescent="0.2">
      <c r="A3745" s="84">
        <f t="shared" si="119"/>
        <v>3739</v>
      </c>
      <c r="B3745" s="85" t="e">
        <f>+MATCH(D3745,ARTICULOS!$F$10:$F$699,0)</f>
        <v>#N/A</v>
      </c>
      <c r="C3745" s="86" t="e">
        <f>+VLOOKUP(B3745,ARTICULOS!$D$10:$I$699,6)</f>
        <v>#N/A</v>
      </c>
      <c r="D3745" s="212"/>
      <c r="E3745" s="75" t="e">
        <f t="shared" si="120"/>
        <v>#N/A</v>
      </c>
      <c r="F3745" s="80"/>
      <c r="G3745" s="81"/>
      <c r="H3745" s="78"/>
      <c r="I3745" s="78"/>
      <c r="J3745" s="78"/>
    </row>
    <row r="3746" spans="1:10" x14ac:dyDescent="0.2">
      <c r="A3746" s="84">
        <f t="shared" si="119"/>
        <v>3740</v>
      </c>
      <c r="B3746" s="85" t="e">
        <f>+MATCH(D3746,ARTICULOS!$F$10:$F$699,0)</f>
        <v>#N/A</v>
      </c>
      <c r="C3746" s="86" t="e">
        <f>+VLOOKUP(B3746,ARTICULOS!$D$10:$I$699,6)</f>
        <v>#N/A</v>
      </c>
      <c r="D3746" s="212"/>
      <c r="E3746" s="75" t="e">
        <f t="shared" si="120"/>
        <v>#N/A</v>
      </c>
      <c r="F3746" s="80"/>
      <c r="G3746" s="81"/>
      <c r="H3746" s="78"/>
      <c r="I3746" s="78"/>
      <c r="J3746" s="78"/>
    </row>
    <row r="3747" spans="1:10" x14ac:dyDescent="0.2">
      <c r="A3747" s="84">
        <f t="shared" si="119"/>
        <v>3741</v>
      </c>
      <c r="B3747" s="85" t="e">
        <f>+MATCH(D3747,ARTICULOS!$F$10:$F$699,0)</f>
        <v>#N/A</v>
      </c>
      <c r="C3747" s="86" t="e">
        <f>+VLOOKUP(B3747,ARTICULOS!$D$10:$I$699,6)</f>
        <v>#N/A</v>
      </c>
      <c r="D3747" s="212"/>
      <c r="E3747" s="75" t="e">
        <f t="shared" si="120"/>
        <v>#N/A</v>
      </c>
      <c r="F3747" s="80"/>
      <c r="G3747" s="81"/>
      <c r="H3747" s="78"/>
      <c r="I3747" s="78"/>
      <c r="J3747" s="78"/>
    </row>
    <row r="3748" spans="1:10" x14ac:dyDescent="0.2">
      <c r="A3748" s="84">
        <f t="shared" si="119"/>
        <v>3742</v>
      </c>
      <c r="B3748" s="85" t="e">
        <f>+MATCH(D3748,ARTICULOS!$F$10:$F$699,0)</f>
        <v>#N/A</v>
      </c>
      <c r="C3748" s="86" t="e">
        <f>+VLOOKUP(B3748,ARTICULOS!$D$10:$I$699,6)</f>
        <v>#N/A</v>
      </c>
      <c r="D3748" s="212"/>
      <c r="E3748" s="75" t="e">
        <f t="shared" si="120"/>
        <v>#N/A</v>
      </c>
      <c r="F3748" s="80"/>
      <c r="G3748" s="81"/>
      <c r="H3748" s="78"/>
      <c r="I3748" s="78"/>
      <c r="J3748" s="78"/>
    </row>
    <row r="3749" spans="1:10" x14ac:dyDescent="0.2">
      <c r="A3749" s="84">
        <f t="shared" si="119"/>
        <v>3743</v>
      </c>
      <c r="B3749" s="85" t="e">
        <f>+MATCH(D3749,ARTICULOS!$F$10:$F$699,0)</f>
        <v>#N/A</v>
      </c>
      <c r="C3749" s="86" t="e">
        <f>+VLOOKUP(B3749,ARTICULOS!$D$10:$I$699,6)</f>
        <v>#N/A</v>
      </c>
      <c r="D3749" s="212"/>
      <c r="E3749" s="75" t="e">
        <f t="shared" si="120"/>
        <v>#N/A</v>
      </c>
      <c r="F3749" s="80"/>
      <c r="G3749" s="81"/>
      <c r="H3749" s="78"/>
      <c r="I3749" s="78"/>
      <c r="J3749" s="78"/>
    </row>
    <row r="3750" spans="1:10" x14ac:dyDescent="0.2">
      <c r="A3750" s="84">
        <f t="shared" si="119"/>
        <v>3744</v>
      </c>
      <c r="B3750" s="85" t="e">
        <f>+MATCH(D3750,ARTICULOS!$F$10:$F$699,0)</f>
        <v>#N/A</v>
      </c>
      <c r="C3750" s="86" t="e">
        <f>+VLOOKUP(B3750,ARTICULOS!$D$10:$I$699,6)</f>
        <v>#N/A</v>
      </c>
      <c r="D3750" s="212"/>
      <c r="E3750" s="75" t="e">
        <f t="shared" si="120"/>
        <v>#N/A</v>
      </c>
      <c r="F3750" s="80"/>
      <c r="G3750" s="81"/>
      <c r="H3750" s="78"/>
      <c r="I3750" s="78"/>
      <c r="J3750" s="78"/>
    </row>
    <row r="3751" spans="1:10" x14ac:dyDescent="0.2">
      <c r="A3751" s="84">
        <f t="shared" si="119"/>
        <v>3745</v>
      </c>
      <c r="B3751" s="85" t="e">
        <f>+MATCH(D3751,ARTICULOS!$F$10:$F$699,0)</f>
        <v>#N/A</v>
      </c>
      <c r="C3751" s="86" t="e">
        <f>+VLOOKUP(B3751,ARTICULOS!$D$10:$I$699,6)</f>
        <v>#N/A</v>
      </c>
      <c r="D3751" s="212"/>
      <c r="E3751" s="75" t="e">
        <f t="shared" si="120"/>
        <v>#N/A</v>
      </c>
      <c r="F3751" s="80"/>
      <c r="G3751" s="81"/>
      <c r="H3751" s="78"/>
      <c r="I3751" s="78"/>
      <c r="J3751" s="78"/>
    </row>
    <row r="3752" spans="1:10" x14ac:dyDescent="0.2">
      <c r="A3752" s="84">
        <f t="shared" si="119"/>
        <v>3746</v>
      </c>
      <c r="B3752" s="85" t="e">
        <f>+MATCH(D3752,ARTICULOS!$F$10:$F$699,0)</f>
        <v>#N/A</v>
      </c>
      <c r="C3752" s="86" t="e">
        <f>+VLOOKUP(B3752,ARTICULOS!$D$10:$I$699,6)</f>
        <v>#N/A</v>
      </c>
      <c r="D3752" s="212"/>
      <c r="E3752" s="75" t="e">
        <f t="shared" si="120"/>
        <v>#N/A</v>
      </c>
      <c r="F3752" s="80"/>
      <c r="G3752" s="81"/>
      <c r="H3752" s="78"/>
      <c r="I3752" s="78"/>
      <c r="J3752" s="78"/>
    </row>
    <row r="3753" spans="1:10" x14ac:dyDescent="0.2">
      <c r="A3753" s="84">
        <f t="shared" ref="A3753:A3816" si="121">ROW()-6</f>
        <v>3747</v>
      </c>
      <c r="B3753" s="85" t="e">
        <f>+MATCH(D3753,ARTICULOS!$F$10:$F$699,0)</f>
        <v>#N/A</v>
      </c>
      <c r="C3753" s="86" t="e">
        <f>+VLOOKUP(B3753,ARTICULOS!$D$10:$I$699,6)</f>
        <v>#N/A</v>
      </c>
      <c r="D3753" s="212"/>
      <c r="E3753" s="75" t="e">
        <f t="shared" si="120"/>
        <v>#N/A</v>
      </c>
      <c r="F3753" s="80"/>
      <c r="G3753" s="81"/>
      <c r="H3753" s="78"/>
      <c r="I3753" s="78"/>
      <c r="J3753" s="78"/>
    </row>
    <row r="3754" spans="1:10" x14ac:dyDescent="0.2">
      <c r="A3754" s="84">
        <f t="shared" si="121"/>
        <v>3748</v>
      </c>
      <c r="B3754" s="85" t="e">
        <f>+MATCH(D3754,ARTICULOS!$F$10:$F$699,0)</f>
        <v>#N/A</v>
      </c>
      <c r="C3754" s="86" t="e">
        <f>+VLOOKUP(B3754,ARTICULOS!$D$10:$I$699,6)</f>
        <v>#N/A</v>
      </c>
      <c r="D3754" s="212"/>
      <c r="E3754" s="75" t="e">
        <f t="shared" si="120"/>
        <v>#N/A</v>
      </c>
      <c r="F3754" s="80"/>
      <c r="G3754" s="81"/>
      <c r="H3754" s="78"/>
      <c r="I3754" s="78"/>
      <c r="J3754" s="78"/>
    </row>
    <row r="3755" spans="1:10" x14ac:dyDescent="0.2">
      <c r="A3755" s="84">
        <f t="shared" si="121"/>
        <v>3749</v>
      </c>
      <c r="B3755" s="85" t="e">
        <f>+MATCH(D3755,ARTICULOS!$F$10:$F$699,0)</f>
        <v>#N/A</v>
      </c>
      <c r="C3755" s="86" t="e">
        <f>+VLOOKUP(B3755,ARTICULOS!$D$10:$I$699,6)</f>
        <v>#N/A</v>
      </c>
      <c r="D3755" s="212"/>
      <c r="E3755" s="75" t="e">
        <f t="shared" si="120"/>
        <v>#N/A</v>
      </c>
      <c r="F3755" s="80"/>
      <c r="G3755" s="81"/>
      <c r="H3755" s="78"/>
      <c r="I3755" s="78"/>
      <c r="J3755" s="78"/>
    </row>
    <row r="3756" spans="1:10" x14ac:dyDescent="0.2">
      <c r="A3756" s="84">
        <f t="shared" si="121"/>
        <v>3750</v>
      </c>
      <c r="B3756" s="85" t="e">
        <f>+MATCH(D3756,ARTICULOS!$F$10:$F$699,0)</f>
        <v>#N/A</v>
      </c>
      <c r="C3756" s="86" t="e">
        <f>+VLOOKUP(B3756,ARTICULOS!$D$10:$I$699,6)</f>
        <v>#N/A</v>
      </c>
      <c r="D3756" s="212"/>
      <c r="E3756" s="75" t="e">
        <f t="shared" si="120"/>
        <v>#N/A</v>
      </c>
      <c r="F3756" s="80"/>
      <c r="G3756" s="81"/>
      <c r="H3756" s="78"/>
      <c r="I3756" s="78"/>
      <c r="J3756" s="78"/>
    </row>
    <row r="3757" spans="1:10" x14ac:dyDescent="0.2">
      <c r="A3757" s="84">
        <f t="shared" si="121"/>
        <v>3751</v>
      </c>
      <c r="B3757" s="85" t="e">
        <f>+MATCH(D3757,ARTICULOS!$F$10:$F$699,0)</f>
        <v>#N/A</v>
      </c>
      <c r="C3757" s="86" t="e">
        <f>+VLOOKUP(B3757,ARTICULOS!$D$10:$I$699,6)</f>
        <v>#N/A</v>
      </c>
      <c r="D3757" s="212"/>
      <c r="E3757" s="75" t="e">
        <f t="shared" si="120"/>
        <v>#N/A</v>
      </c>
      <c r="F3757" s="80"/>
      <c r="G3757" s="81"/>
      <c r="H3757" s="78"/>
      <c r="I3757" s="78"/>
      <c r="J3757" s="78"/>
    </row>
    <row r="3758" spans="1:10" x14ac:dyDescent="0.2">
      <c r="A3758" s="84">
        <f t="shared" si="121"/>
        <v>3752</v>
      </c>
      <c r="B3758" s="85" t="e">
        <f>+MATCH(D3758,ARTICULOS!$F$10:$F$699,0)</f>
        <v>#N/A</v>
      </c>
      <c r="C3758" s="86" t="e">
        <f>+VLOOKUP(B3758,ARTICULOS!$D$10:$I$699,6)</f>
        <v>#N/A</v>
      </c>
      <c r="D3758" s="212"/>
      <c r="E3758" s="75" t="e">
        <f t="shared" si="120"/>
        <v>#N/A</v>
      </c>
      <c r="F3758" s="80"/>
      <c r="G3758" s="81"/>
      <c r="H3758" s="78"/>
      <c r="I3758" s="78"/>
      <c r="J3758" s="78"/>
    </row>
    <row r="3759" spans="1:10" x14ac:dyDescent="0.2">
      <c r="A3759" s="84">
        <f t="shared" si="121"/>
        <v>3753</v>
      </c>
      <c r="B3759" s="85" t="e">
        <f>+MATCH(D3759,ARTICULOS!$F$10:$F$699,0)</f>
        <v>#N/A</v>
      </c>
      <c r="C3759" s="86" t="e">
        <f>+VLOOKUP(B3759,ARTICULOS!$D$10:$I$699,6)</f>
        <v>#N/A</v>
      </c>
      <c r="D3759" s="212"/>
      <c r="E3759" s="75" t="e">
        <f t="shared" si="120"/>
        <v>#N/A</v>
      </c>
      <c r="F3759" s="80"/>
      <c r="G3759" s="81"/>
      <c r="H3759" s="78"/>
      <c r="I3759" s="78"/>
      <c r="J3759" s="78"/>
    </row>
    <row r="3760" spans="1:10" x14ac:dyDescent="0.2">
      <c r="A3760" s="84">
        <f t="shared" si="121"/>
        <v>3754</v>
      </c>
      <c r="B3760" s="85" t="e">
        <f>+MATCH(D3760,ARTICULOS!$F$10:$F$699,0)</f>
        <v>#N/A</v>
      </c>
      <c r="C3760" s="86" t="e">
        <f>+VLOOKUP(B3760,ARTICULOS!$D$10:$I$699,6)</f>
        <v>#N/A</v>
      </c>
      <c r="D3760" s="212"/>
      <c r="E3760" s="75" t="e">
        <f t="shared" si="120"/>
        <v>#N/A</v>
      </c>
      <c r="F3760" s="80"/>
      <c r="G3760" s="81"/>
      <c r="H3760" s="78"/>
      <c r="I3760" s="78"/>
      <c r="J3760" s="78"/>
    </row>
    <row r="3761" spans="1:10" x14ac:dyDescent="0.2">
      <c r="A3761" s="84">
        <f t="shared" si="121"/>
        <v>3755</v>
      </c>
      <c r="B3761" s="85" t="e">
        <f>+MATCH(D3761,ARTICULOS!$F$10:$F$699,0)</f>
        <v>#N/A</v>
      </c>
      <c r="C3761" s="86" t="e">
        <f>+VLOOKUP(B3761,ARTICULOS!$D$10:$I$699,6)</f>
        <v>#N/A</v>
      </c>
      <c r="D3761" s="212"/>
      <c r="E3761" s="75" t="e">
        <f t="shared" si="120"/>
        <v>#N/A</v>
      </c>
      <c r="F3761" s="80"/>
      <c r="G3761" s="81"/>
      <c r="H3761" s="78"/>
      <c r="I3761" s="78"/>
      <c r="J3761" s="78"/>
    </row>
    <row r="3762" spans="1:10" x14ac:dyDescent="0.2">
      <c r="A3762" s="84">
        <f t="shared" si="121"/>
        <v>3756</v>
      </c>
      <c r="B3762" s="85" t="e">
        <f>+MATCH(D3762,ARTICULOS!$F$10:$F$699,0)</f>
        <v>#N/A</v>
      </c>
      <c r="C3762" s="86" t="e">
        <f>+VLOOKUP(B3762,ARTICULOS!$D$10:$I$699,6)</f>
        <v>#N/A</v>
      </c>
      <c r="D3762" s="212"/>
      <c r="E3762" s="75" t="e">
        <f t="shared" si="120"/>
        <v>#N/A</v>
      </c>
      <c r="F3762" s="80"/>
      <c r="G3762" s="81"/>
      <c r="H3762" s="78"/>
      <c r="I3762" s="78"/>
      <c r="J3762" s="78"/>
    </row>
    <row r="3763" spans="1:10" x14ac:dyDescent="0.2">
      <c r="A3763" s="84">
        <f t="shared" si="121"/>
        <v>3757</v>
      </c>
      <c r="B3763" s="85" t="e">
        <f>+MATCH(D3763,ARTICULOS!$F$10:$F$699,0)</f>
        <v>#N/A</v>
      </c>
      <c r="C3763" s="86" t="e">
        <f>+VLOOKUP(B3763,ARTICULOS!$D$10:$I$699,6)</f>
        <v>#N/A</v>
      </c>
      <c r="D3763" s="212"/>
      <c r="E3763" s="75" t="e">
        <f t="shared" si="120"/>
        <v>#N/A</v>
      </c>
      <c r="F3763" s="80"/>
      <c r="G3763" s="81"/>
      <c r="H3763" s="78"/>
      <c r="I3763" s="78"/>
      <c r="J3763" s="78"/>
    </row>
    <row r="3764" spans="1:10" x14ac:dyDescent="0.2">
      <c r="A3764" s="84">
        <f t="shared" si="121"/>
        <v>3758</v>
      </c>
      <c r="B3764" s="85" t="e">
        <f>+MATCH(D3764,ARTICULOS!$F$10:$F$699,0)</f>
        <v>#N/A</v>
      </c>
      <c r="C3764" s="86" t="e">
        <f>+VLOOKUP(B3764,ARTICULOS!$D$10:$I$699,6)</f>
        <v>#N/A</v>
      </c>
      <c r="D3764" s="212"/>
      <c r="E3764" s="75" t="e">
        <f t="shared" si="120"/>
        <v>#N/A</v>
      </c>
      <c r="F3764" s="80"/>
      <c r="G3764" s="81"/>
      <c r="H3764" s="78"/>
      <c r="I3764" s="78"/>
      <c r="J3764" s="78"/>
    </row>
    <row r="3765" spans="1:10" x14ac:dyDescent="0.2">
      <c r="A3765" s="84">
        <f t="shared" si="121"/>
        <v>3759</v>
      </c>
      <c r="B3765" s="85" t="e">
        <f>+MATCH(D3765,ARTICULOS!$F$10:$F$699,0)</f>
        <v>#N/A</v>
      </c>
      <c r="C3765" s="86" t="e">
        <f>+VLOOKUP(B3765,ARTICULOS!$D$10:$I$699,6)</f>
        <v>#N/A</v>
      </c>
      <c r="D3765" s="212"/>
      <c r="E3765" s="75" t="e">
        <f t="shared" si="120"/>
        <v>#N/A</v>
      </c>
      <c r="F3765" s="80"/>
      <c r="G3765" s="81"/>
      <c r="H3765" s="78"/>
      <c r="I3765" s="78"/>
      <c r="J3765" s="78"/>
    </row>
    <row r="3766" spans="1:10" x14ac:dyDescent="0.2">
      <c r="A3766" s="84">
        <f t="shared" si="121"/>
        <v>3760</v>
      </c>
      <c r="B3766" s="85" t="e">
        <f>+MATCH(D3766,ARTICULOS!$F$10:$F$699,0)</f>
        <v>#N/A</v>
      </c>
      <c r="C3766" s="86" t="e">
        <f>+VLOOKUP(B3766,ARTICULOS!$D$10:$I$699,6)</f>
        <v>#N/A</v>
      </c>
      <c r="D3766" s="212"/>
      <c r="E3766" s="75" t="e">
        <f t="shared" si="120"/>
        <v>#N/A</v>
      </c>
      <c r="F3766" s="80"/>
      <c r="G3766" s="81"/>
      <c r="H3766" s="78"/>
      <c r="I3766" s="78"/>
      <c r="J3766" s="78"/>
    </row>
    <row r="3767" spans="1:10" x14ac:dyDescent="0.2">
      <c r="A3767" s="84">
        <f t="shared" si="121"/>
        <v>3761</v>
      </c>
      <c r="B3767" s="85" t="e">
        <f>+MATCH(D3767,ARTICULOS!$F$10:$F$699,0)</f>
        <v>#N/A</v>
      </c>
      <c r="C3767" s="86" t="e">
        <f>+VLOOKUP(B3767,ARTICULOS!$D$10:$I$699,6)</f>
        <v>#N/A</v>
      </c>
      <c r="D3767" s="212"/>
      <c r="E3767" s="75" t="e">
        <f t="shared" si="120"/>
        <v>#N/A</v>
      </c>
      <c r="F3767" s="80"/>
      <c r="G3767" s="81"/>
      <c r="H3767" s="78"/>
      <c r="I3767" s="78"/>
      <c r="J3767" s="78"/>
    </row>
    <row r="3768" spans="1:10" x14ac:dyDescent="0.2">
      <c r="A3768" s="84">
        <f t="shared" si="121"/>
        <v>3762</v>
      </c>
      <c r="B3768" s="85" t="e">
        <f>+MATCH(D3768,ARTICULOS!$F$10:$F$699,0)</f>
        <v>#N/A</v>
      </c>
      <c r="C3768" s="86" t="e">
        <f>+VLOOKUP(B3768,ARTICULOS!$D$10:$I$699,6)</f>
        <v>#N/A</v>
      </c>
      <c r="D3768" s="212"/>
      <c r="E3768" s="75" t="e">
        <f t="shared" si="120"/>
        <v>#N/A</v>
      </c>
      <c r="F3768" s="80"/>
      <c r="G3768" s="81"/>
      <c r="H3768" s="78"/>
      <c r="I3768" s="78"/>
      <c r="J3768" s="78"/>
    </row>
    <row r="3769" spans="1:10" x14ac:dyDescent="0.2">
      <c r="A3769" s="84">
        <f t="shared" si="121"/>
        <v>3763</v>
      </c>
      <c r="B3769" s="85" t="e">
        <f>+MATCH(D3769,ARTICULOS!$F$10:$F$699,0)</f>
        <v>#N/A</v>
      </c>
      <c r="C3769" s="86" t="e">
        <f>+VLOOKUP(B3769,ARTICULOS!$D$10:$I$699,6)</f>
        <v>#N/A</v>
      </c>
      <c r="D3769" s="212"/>
      <c r="E3769" s="75" t="e">
        <f t="shared" si="120"/>
        <v>#N/A</v>
      </c>
      <c r="F3769" s="80"/>
      <c r="G3769" s="81"/>
      <c r="H3769" s="78"/>
      <c r="I3769" s="78"/>
      <c r="J3769" s="78"/>
    </row>
    <row r="3770" spans="1:10" x14ac:dyDescent="0.2">
      <c r="A3770" s="84">
        <f t="shared" si="121"/>
        <v>3764</v>
      </c>
      <c r="B3770" s="85" t="e">
        <f>+MATCH(D3770,ARTICULOS!$F$10:$F$699,0)</f>
        <v>#N/A</v>
      </c>
      <c r="C3770" s="86" t="e">
        <f>+VLOOKUP(B3770,ARTICULOS!$D$10:$I$699,6)</f>
        <v>#N/A</v>
      </c>
      <c r="D3770" s="212"/>
      <c r="E3770" s="75" t="e">
        <f t="shared" si="120"/>
        <v>#N/A</v>
      </c>
      <c r="F3770" s="80"/>
      <c r="G3770" s="81"/>
      <c r="H3770" s="78"/>
      <c r="I3770" s="78"/>
      <c r="J3770" s="78"/>
    </row>
    <row r="3771" spans="1:10" x14ac:dyDescent="0.2">
      <c r="A3771" s="84">
        <f t="shared" si="121"/>
        <v>3765</v>
      </c>
      <c r="B3771" s="85" t="e">
        <f>+MATCH(D3771,ARTICULOS!$F$10:$F$699,0)</f>
        <v>#N/A</v>
      </c>
      <c r="C3771" s="86" t="e">
        <f>+VLOOKUP(B3771,ARTICULOS!$D$10:$I$699,6)</f>
        <v>#N/A</v>
      </c>
      <c r="D3771" s="212"/>
      <c r="E3771" s="75" t="e">
        <f t="shared" si="120"/>
        <v>#N/A</v>
      </c>
      <c r="F3771" s="80"/>
      <c r="G3771" s="81"/>
      <c r="H3771" s="78"/>
      <c r="I3771" s="78"/>
      <c r="J3771" s="78"/>
    </row>
    <row r="3772" spans="1:10" x14ac:dyDescent="0.2">
      <c r="A3772" s="84">
        <f t="shared" si="121"/>
        <v>3766</v>
      </c>
      <c r="B3772" s="85" t="e">
        <f>+MATCH(D3772,ARTICULOS!$F$10:$F$699,0)</f>
        <v>#N/A</v>
      </c>
      <c r="C3772" s="86" t="e">
        <f>+VLOOKUP(B3772,ARTICULOS!$D$10:$I$699,6)</f>
        <v>#N/A</v>
      </c>
      <c r="D3772" s="212"/>
      <c r="E3772" s="75" t="e">
        <f t="shared" si="120"/>
        <v>#N/A</v>
      </c>
      <c r="F3772" s="80"/>
      <c r="G3772" s="81"/>
      <c r="H3772" s="78"/>
      <c r="I3772" s="78"/>
      <c r="J3772" s="78"/>
    </row>
    <row r="3773" spans="1:10" x14ac:dyDescent="0.2">
      <c r="A3773" s="84">
        <f t="shared" si="121"/>
        <v>3767</v>
      </c>
      <c r="B3773" s="85" t="e">
        <f>+MATCH(D3773,ARTICULOS!$F$10:$F$699,0)</f>
        <v>#N/A</v>
      </c>
      <c r="C3773" s="86" t="e">
        <f>+VLOOKUP(B3773,ARTICULOS!$D$10:$I$699,6)</f>
        <v>#N/A</v>
      </c>
      <c r="D3773" s="212"/>
      <c r="E3773" s="75" t="e">
        <f t="shared" si="120"/>
        <v>#N/A</v>
      </c>
      <c r="F3773" s="80"/>
      <c r="G3773" s="81"/>
      <c r="H3773" s="78"/>
      <c r="I3773" s="78"/>
      <c r="J3773" s="78"/>
    </row>
    <row r="3774" spans="1:10" x14ac:dyDescent="0.2">
      <c r="A3774" s="84">
        <f t="shared" si="121"/>
        <v>3768</v>
      </c>
      <c r="B3774" s="85" t="e">
        <f>+MATCH(D3774,ARTICULOS!$F$10:$F$699,0)</f>
        <v>#N/A</v>
      </c>
      <c r="C3774" s="86" t="e">
        <f>+VLOOKUP(B3774,ARTICULOS!$D$10:$I$699,6)</f>
        <v>#N/A</v>
      </c>
      <c r="D3774" s="212"/>
      <c r="E3774" s="75" t="e">
        <f t="shared" si="120"/>
        <v>#N/A</v>
      </c>
      <c r="F3774" s="80"/>
      <c r="G3774" s="81"/>
      <c r="H3774" s="78"/>
      <c r="I3774" s="78"/>
      <c r="J3774" s="78"/>
    </row>
    <row r="3775" spans="1:10" x14ac:dyDescent="0.2">
      <c r="A3775" s="84">
        <f t="shared" si="121"/>
        <v>3769</v>
      </c>
      <c r="B3775" s="85" t="e">
        <f>+MATCH(D3775,ARTICULOS!$F$10:$F$699,0)</f>
        <v>#N/A</v>
      </c>
      <c r="C3775" s="86" t="e">
        <f>+VLOOKUP(B3775,ARTICULOS!$D$10:$I$699,6)</f>
        <v>#N/A</v>
      </c>
      <c r="D3775" s="212"/>
      <c r="E3775" s="75" t="e">
        <f t="shared" si="120"/>
        <v>#N/A</v>
      </c>
      <c r="F3775" s="80"/>
      <c r="G3775" s="81"/>
      <c r="H3775" s="78"/>
      <c r="I3775" s="78"/>
      <c r="J3775" s="78"/>
    </row>
    <row r="3776" spans="1:10" x14ac:dyDescent="0.2">
      <c r="A3776" s="84">
        <f t="shared" si="121"/>
        <v>3770</v>
      </c>
      <c r="B3776" s="85" t="e">
        <f>+MATCH(D3776,ARTICULOS!$F$10:$F$699,0)</f>
        <v>#N/A</v>
      </c>
      <c r="C3776" s="86" t="e">
        <f>+VLOOKUP(B3776,ARTICULOS!$D$10:$I$699,6)</f>
        <v>#N/A</v>
      </c>
      <c r="D3776" s="212"/>
      <c r="E3776" s="75" t="e">
        <f t="shared" si="120"/>
        <v>#N/A</v>
      </c>
      <c r="F3776" s="80"/>
      <c r="G3776" s="81"/>
      <c r="H3776" s="78"/>
      <c r="I3776" s="78"/>
      <c r="J3776" s="78"/>
    </row>
    <row r="3777" spans="1:10" x14ac:dyDescent="0.2">
      <c r="A3777" s="84">
        <f t="shared" si="121"/>
        <v>3771</v>
      </c>
      <c r="B3777" s="85" t="e">
        <f>+MATCH(D3777,ARTICULOS!$F$10:$F$699,0)</f>
        <v>#N/A</v>
      </c>
      <c r="C3777" s="86" t="e">
        <f>+VLOOKUP(B3777,ARTICULOS!$D$10:$I$699,6)</f>
        <v>#N/A</v>
      </c>
      <c r="D3777" s="212"/>
      <c r="E3777" s="75" t="e">
        <f t="shared" si="120"/>
        <v>#N/A</v>
      </c>
      <c r="F3777" s="80"/>
      <c r="G3777" s="81"/>
      <c r="H3777" s="78"/>
      <c r="I3777" s="78"/>
      <c r="J3777" s="78"/>
    </row>
    <row r="3778" spans="1:10" x14ac:dyDescent="0.2">
      <c r="A3778" s="84">
        <f t="shared" si="121"/>
        <v>3772</v>
      </c>
      <c r="B3778" s="85" t="e">
        <f>+MATCH(D3778,ARTICULOS!$F$10:$F$699,0)</f>
        <v>#N/A</v>
      </c>
      <c r="C3778" s="86" t="e">
        <f>+VLOOKUP(B3778,ARTICULOS!$D$10:$I$699,6)</f>
        <v>#N/A</v>
      </c>
      <c r="D3778" s="212"/>
      <c r="E3778" s="75" t="e">
        <f t="shared" si="120"/>
        <v>#N/A</v>
      </c>
      <c r="F3778" s="80"/>
      <c r="G3778" s="81"/>
      <c r="H3778" s="78"/>
      <c r="I3778" s="78"/>
      <c r="J3778" s="78"/>
    </row>
    <row r="3779" spans="1:10" x14ac:dyDescent="0.2">
      <c r="A3779" s="84">
        <f t="shared" si="121"/>
        <v>3773</v>
      </c>
      <c r="B3779" s="85" t="e">
        <f>+MATCH(D3779,ARTICULOS!$F$10:$F$699,0)</f>
        <v>#N/A</v>
      </c>
      <c r="C3779" s="86" t="e">
        <f>+VLOOKUP(B3779,ARTICULOS!$D$10:$I$699,6)</f>
        <v>#N/A</v>
      </c>
      <c r="D3779" s="212"/>
      <c r="E3779" s="75" t="e">
        <f t="shared" si="120"/>
        <v>#N/A</v>
      </c>
      <c r="F3779" s="80"/>
      <c r="G3779" s="81"/>
      <c r="H3779" s="78"/>
      <c r="I3779" s="78"/>
      <c r="J3779" s="78"/>
    </row>
    <row r="3780" spans="1:10" x14ac:dyDescent="0.2">
      <c r="A3780" s="84">
        <f t="shared" si="121"/>
        <v>3774</v>
      </c>
      <c r="B3780" s="85" t="e">
        <f>+MATCH(D3780,ARTICULOS!$F$10:$F$699,0)</f>
        <v>#N/A</v>
      </c>
      <c r="C3780" s="86" t="e">
        <f>+VLOOKUP(B3780,ARTICULOS!$D$10:$I$699,6)</f>
        <v>#N/A</v>
      </c>
      <c r="D3780" s="212"/>
      <c r="E3780" s="75" t="e">
        <f t="shared" si="120"/>
        <v>#N/A</v>
      </c>
      <c r="F3780" s="80"/>
      <c r="G3780" s="81"/>
      <c r="H3780" s="78"/>
      <c r="I3780" s="78"/>
      <c r="J3780" s="78"/>
    </row>
    <row r="3781" spans="1:10" x14ac:dyDescent="0.2">
      <c r="A3781" s="84">
        <f t="shared" si="121"/>
        <v>3775</v>
      </c>
      <c r="B3781" s="85" t="e">
        <f>+MATCH(D3781,ARTICULOS!$F$10:$F$699,0)</f>
        <v>#N/A</v>
      </c>
      <c r="C3781" s="86" t="e">
        <f>+VLOOKUP(B3781,ARTICULOS!$D$10:$I$699,6)</f>
        <v>#N/A</v>
      </c>
      <c r="D3781" s="212"/>
      <c r="E3781" s="75" t="e">
        <f t="shared" si="120"/>
        <v>#N/A</v>
      </c>
      <c r="F3781" s="80"/>
      <c r="G3781" s="81"/>
      <c r="H3781" s="78"/>
      <c r="I3781" s="78"/>
      <c r="J3781" s="78"/>
    </row>
    <row r="3782" spans="1:10" x14ac:dyDescent="0.2">
      <c r="A3782" s="84">
        <f t="shared" si="121"/>
        <v>3776</v>
      </c>
      <c r="B3782" s="85" t="e">
        <f>+MATCH(D3782,ARTICULOS!$F$10:$F$699,0)</f>
        <v>#N/A</v>
      </c>
      <c r="C3782" s="86" t="e">
        <f>+VLOOKUP(B3782,ARTICULOS!$D$10:$I$699,6)</f>
        <v>#N/A</v>
      </c>
      <c r="D3782" s="212"/>
      <c r="E3782" s="75" t="e">
        <f t="shared" si="120"/>
        <v>#N/A</v>
      </c>
      <c r="F3782" s="80"/>
      <c r="G3782" s="81"/>
      <c r="H3782" s="78"/>
      <c r="I3782" s="78"/>
      <c r="J3782" s="78"/>
    </row>
    <row r="3783" spans="1:10" x14ac:dyDescent="0.2">
      <c r="A3783" s="84">
        <f t="shared" si="121"/>
        <v>3777</v>
      </c>
      <c r="B3783" s="85" t="e">
        <f>+MATCH(D3783,ARTICULOS!$F$10:$F$699,0)</f>
        <v>#N/A</v>
      </c>
      <c r="C3783" s="86" t="e">
        <f>+VLOOKUP(B3783,ARTICULOS!$D$10:$I$699,6)</f>
        <v>#N/A</v>
      </c>
      <c r="D3783" s="212"/>
      <c r="E3783" s="75" t="e">
        <f t="shared" si="120"/>
        <v>#N/A</v>
      </c>
      <c r="F3783" s="80"/>
      <c r="G3783" s="81"/>
      <c r="H3783" s="78"/>
      <c r="I3783" s="78"/>
      <c r="J3783" s="78"/>
    </row>
    <row r="3784" spans="1:10" x14ac:dyDescent="0.2">
      <c r="A3784" s="84">
        <f t="shared" si="121"/>
        <v>3778</v>
      </c>
      <c r="B3784" s="85" t="e">
        <f>+MATCH(D3784,ARTICULOS!$F$10:$F$699,0)</f>
        <v>#N/A</v>
      </c>
      <c r="C3784" s="86" t="e">
        <f>+VLOOKUP(B3784,ARTICULOS!$D$10:$I$699,6)</f>
        <v>#N/A</v>
      </c>
      <c r="D3784" s="212"/>
      <c r="E3784" s="75" t="e">
        <f t="shared" si="120"/>
        <v>#N/A</v>
      </c>
      <c r="F3784" s="80"/>
      <c r="G3784" s="81"/>
      <c r="H3784" s="78"/>
      <c r="I3784" s="78"/>
      <c r="J3784" s="78"/>
    </row>
    <row r="3785" spans="1:10" x14ac:dyDescent="0.2">
      <c r="A3785" s="84">
        <f t="shared" si="121"/>
        <v>3779</v>
      </c>
      <c r="B3785" s="85" t="e">
        <f>+MATCH(D3785,ARTICULOS!$F$10:$F$699,0)</f>
        <v>#N/A</v>
      </c>
      <c r="C3785" s="86" t="e">
        <f>+VLOOKUP(B3785,ARTICULOS!$D$10:$I$699,6)</f>
        <v>#N/A</v>
      </c>
      <c r="D3785" s="212"/>
      <c r="E3785" s="75" t="e">
        <f t="shared" si="120"/>
        <v>#N/A</v>
      </c>
      <c r="F3785" s="80"/>
      <c r="G3785" s="81"/>
      <c r="H3785" s="78"/>
      <c r="I3785" s="78"/>
      <c r="J3785" s="78"/>
    </row>
    <row r="3786" spans="1:10" x14ac:dyDescent="0.2">
      <c r="A3786" s="84">
        <f t="shared" si="121"/>
        <v>3780</v>
      </c>
      <c r="B3786" s="85" t="e">
        <f>+MATCH(D3786,ARTICULOS!$F$10:$F$699,0)</f>
        <v>#N/A</v>
      </c>
      <c r="C3786" s="86" t="e">
        <f>+VLOOKUP(B3786,ARTICULOS!$D$10:$I$699,6)</f>
        <v>#N/A</v>
      </c>
      <c r="D3786" s="212"/>
      <c r="E3786" s="75" t="e">
        <f t="shared" si="120"/>
        <v>#N/A</v>
      </c>
      <c r="F3786" s="80"/>
      <c r="G3786" s="81"/>
      <c r="H3786" s="78"/>
      <c r="I3786" s="78"/>
      <c r="J3786" s="78"/>
    </row>
    <row r="3787" spans="1:10" x14ac:dyDescent="0.2">
      <c r="A3787" s="84">
        <f t="shared" si="121"/>
        <v>3781</v>
      </c>
      <c r="B3787" s="85" t="e">
        <f>+MATCH(D3787,ARTICULOS!$F$10:$F$699,0)</f>
        <v>#N/A</v>
      </c>
      <c r="C3787" s="86" t="e">
        <f>+VLOOKUP(B3787,ARTICULOS!$D$10:$I$699,6)</f>
        <v>#N/A</v>
      </c>
      <c r="D3787" s="212"/>
      <c r="E3787" s="75" t="e">
        <f t="shared" ref="E3787:E3850" si="122">+C3787&amp;F3787</f>
        <v>#N/A</v>
      </c>
      <c r="F3787" s="80"/>
      <c r="G3787" s="81"/>
      <c r="H3787" s="78"/>
      <c r="I3787" s="78"/>
      <c r="J3787" s="78"/>
    </row>
    <row r="3788" spans="1:10" x14ac:dyDescent="0.2">
      <c r="A3788" s="84">
        <f t="shared" si="121"/>
        <v>3782</v>
      </c>
      <c r="B3788" s="85" t="e">
        <f>+MATCH(D3788,ARTICULOS!$F$10:$F$699,0)</f>
        <v>#N/A</v>
      </c>
      <c r="C3788" s="86" t="e">
        <f>+VLOOKUP(B3788,ARTICULOS!$D$10:$I$699,6)</f>
        <v>#N/A</v>
      </c>
      <c r="D3788" s="212"/>
      <c r="E3788" s="75" t="e">
        <f t="shared" si="122"/>
        <v>#N/A</v>
      </c>
      <c r="F3788" s="80"/>
      <c r="G3788" s="81"/>
      <c r="H3788" s="78"/>
      <c r="I3788" s="78"/>
      <c r="J3788" s="78"/>
    </row>
    <row r="3789" spans="1:10" x14ac:dyDescent="0.2">
      <c r="A3789" s="84">
        <f t="shared" si="121"/>
        <v>3783</v>
      </c>
      <c r="B3789" s="85" t="e">
        <f>+MATCH(D3789,ARTICULOS!$F$10:$F$699,0)</f>
        <v>#N/A</v>
      </c>
      <c r="C3789" s="86" t="e">
        <f>+VLOOKUP(B3789,ARTICULOS!$D$10:$I$699,6)</f>
        <v>#N/A</v>
      </c>
      <c r="D3789" s="212"/>
      <c r="E3789" s="75" t="e">
        <f t="shared" si="122"/>
        <v>#N/A</v>
      </c>
      <c r="F3789" s="80"/>
      <c r="G3789" s="81"/>
      <c r="H3789" s="78"/>
      <c r="I3789" s="78"/>
      <c r="J3789" s="78"/>
    </row>
    <row r="3790" spans="1:10" x14ac:dyDescent="0.2">
      <c r="A3790" s="84">
        <f t="shared" si="121"/>
        <v>3784</v>
      </c>
      <c r="B3790" s="85" t="e">
        <f>+MATCH(D3790,ARTICULOS!$F$10:$F$699,0)</f>
        <v>#N/A</v>
      </c>
      <c r="C3790" s="86" t="e">
        <f>+VLOOKUP(B3790,ARTICULOS!$D$10:$I$699,6)</f>
        <v>#N/A</v>
      </c>
      <c r="D3790" s="212"/>
      <c r="E3790" s="75" t="e">
        <f t="shared" si="122"/>
        <v>#N/A</v>
      </c>
      <c r="F3790" s="80"/>
      <c r="G3790" s="81"/>
      <c r="H3790" s="78"/>
      <c r="I3790" s="78"/>
      <c r="J3790" s="78"/>
    </row>
    <row r="3791" spans="1:10" x14ac:dyDescent="0.2">
      <c r="A3791" s="84">
        <f t="shared" si="121"/>
        <v>3785</v>
      </c>
      <c r="B3791" s="85" t="e">
        <f>+MATCH(D3791,ARTICULOS!$F$10:$F$699,0)</f>
        <v>#N/A</v>
      </c>
      <c r="C3791" s="86" t="e">
        <f>+VLOOKUP(B3791,ARTICULOS!$D$10:$I$699,6)</f>
        <v>#N/A</v>
      </c>
      <c r="D3791" s="212"/>
      <c r="E3791" s="75" t="e">
        <f t="shared" si="122"/>
        <v>#N/A</v>
      </c>
      <c r="F3791" s="80"/>
      <c r="G3791" s="81"/>
      <c r="H3791" s="78"/>
      <c r="I3791" s="78"/>
      <c r="J3791" s="78"/>
    </row>
    <row r="3792" spans="1:10" x14ac:dyDescent="0.2">
      <c r="A3792" s="84">
        <f t="shared" si="121"/>
        <v>3786</v>
      </c>
      <c r="B3792" s="85" t="e">
        <f>+MATCH(D3792,ARTICULOS!$F$10:$F$699,0)</f>
        <v>#N/A</v>
      </c>
      <c r="C3792" s="86" t="e">
        <f>+VLOOKUP(B3792,ARTICULOS!$D$10:$I$699,6)</f>
        <v>#N/A</v>
      </c>
      <c r="D3792" s="212"/>
      <c r="E3792" s="75" t="e">
        <f t="shared" si="122"/>
        <v>#N/A</v>
      </c>
      <c r="F3792" s="80"/>
      <c r="G3792" s="81"/>
      <c r="H3792" s="78"/>
      <c r="I3792" s="78"/>
      <c r="J3792" s="78"/>
    </row>
    <row r="3793" spans="1:10" x14ac:dyDescent="0.2">
      <c r="A3793" s="84">
        <f t="shared" si="121"/>
        <v>3787</v>
      </c>
      <c r="B3793" s="85" t="e">
        <f>+MATCH(D3793,ARTICULOS!$F$10:$F$699,0)</f>
        <v>#N/A</v>
      </c>
      <c r="C3793" s="86" t="e">
        <f>+VLOOKUP(B3793,ARTICULOS!$D$10:$I$699,6)</f>
        <v>#N/A</v>
      </c>
      <c r="D3793" s="212"/>
      <c r="E3793" s="75" t="e">
        <f t="shared" si="122"/>
        <v>#N/A</v>
      </c>
      <c r="F3793" s="80"/>
      <c r="G3793" s="81"/>
      <c r="H3793" s="78"/>
      <c r="I3793" s="78"/>
      <c r="J3793" s="78"/>
    </row>
    <row r="3794" spans="1:10" x14ac:dyDescent="0.2">
      <c r="A3794" s="84">
        <f t="shared" si="121"/>
        <v>3788</v>
      </c>
      <c r="B3794" s="85" t="e">
        <f>+MATCH(D3794,ARTICULOS!$F$10:$F$699,0)</f>
        <v>#N/A</v>
      </c>
      <c r="C3794" s="86" t="e">
        <f>+VLOOKUP(B3794,ARTICULOS!$D$10:$I$699,6)</f>
        <v>#N/A</v>
      </c>
      <c r="D3794" s="212"/>
      <c r="E3794" s="75" t="e">
        <f t="shared" si="122"/>
        <v>#N/A</v>
      </c>
      <c r="F3794" s="80"/>
      <c r="G3794" s="81"/>
      <c r="H3794" s="78"/>
      <c r="I3794" s="78"/>
      <c r="J3794" s="78"/>
    </row>
    <row r="3795" spans="1:10" x14ac:dyDescent="0.2">
      <c r="A3795" s="84">
        <f t="shared" si="121"/>
        <v>3789</v>
      </c>
      <c r="B3795" s="85" t="e">
        <f>+MATCH(D3795,ARTICULOS!$F$10:$F$699,0)</f>
        <v>#N/A</v>
      </c>
      <c r="C3795" s="86" t="e">
        <f>+VLOOKUP(B3795,ARTICULOS!$D$10:$I$699,6)</f>
        <v>#N/A</v>
      </c>
      <c r="D3795" s="212"/>
      <c r="E3795" s="75" t="e">
        <f t="shared" si="122"/>
        <v>#N/A</v>
      </c>
      <c r="F3795" s="80"/>
      <c r="G3795" s="81"/>
      <c r="H3795" s="78"/>
      <c r="I3795" s="78"/>
      <c r="J3795" s="78"/>
    </row>
    <row r="3796" spans="1:10" x14ac:dyDescent="0.2">
      <c r="A3796" s="84">
        <f t="shared" si="121"/>
        <v>3790</v>
      </c>
      <c r="B3796" s="85" t="e">
        <f>+MATCH(D3796,ARTICULOS!$F$10:$F$699,0)</f>
        <v>#N/A</v>
      </c>
      <c r="C3796" s="86" t="e">
        <f>+VLOOKUP(B3796,ARTICULOS!$D$10:$I$699,6)</f>
        <v>#N/A</v>
      </c>
      <c r="D3796" s="212"/>
      <c r="E3796" s="75" t="e">
        <f t="shared" si="122"/>
        <v>#N/A</v>
      </c>
      <c r="F3796" s="80"/>
      <c r="G3796" s="81"/>
      <c r="H3796" s="78"/>
      <c r="I3796" s="78"/>
      <c r="J3796" s="78"/>
    </row>
    <row r="3797" spans="1:10" x14ac:dyDescent="0.2">
      <c r="A3797" s="84">
        <f t="shared" si="121"/>
        <v>3791</v>
      </c>
      <c r="B3797" s="85" t="e">
        <f>+MATCH(D3797,ARTICULOS!$F$10:$F$699,0)</f>
        <v>#N/A</v>
      </c>
      <c r="C3797" s="86" t="e">
        <f>+VLOOKUP(B3797,ARTICULOS!$D$10:$I$699,6)</f>
        <v>#N/A</v>
      </c>
      <c r="D3797" s="212"/>
      <c r="E3797" s="75" t="e">
        <f t="shared" si="122"/>
        <v>#N/A</v>
      </c>
      <c r="F3797" s="80"/>
      <c r="G3797" s="81"/>
      <c r="H3797" s="78"/>
      <c r="I3797" s="78"/>
      <c r="J3797" s="78"/>
    </row>
    <row r="3798" spans="1:10" x14ac:dyDescent="0.2">
      <c r="A3798" s="84">
        <f t="shared" si="121"/>
        <v>3792</v>
      </c>
      <c r="B3798" s="85" t="e">
        <f>+MATCH(D3798,ARTICULOS!$F$10:$F$699,0)</f>
        <v>#N/A</v>
      </c>
      <c r="C3798" s="86" t="e">
        <f>+VLOOKUP(B3798,ARTICULOS!$D$10:$I$699,6)</f>
        <v>#N/A</v>
      </c>
      <c r="D3798" s="212"/>
      <c r="E3798" s="75" t="e">
        <f t="shared" si="122"/>
        <v>#N/A</v>
      </c>
      <c r="F3798" s="80"/>
      <c r="G3798" s="81"/>
      <c r="H3798" s="78"/>
      <c r="I3798" s="78"/>
      <c r="J3798" s="78"/>
    </row>
    <row r="3799" spans="1:10" x14ac:dyDescent="0.2">
      <c r="A3799" s="84">
        <f t="shared" si="121"/>
        <v>3793</v>
      </c>
      <c r="B3799" s="85" t="e">
        <f>+MATCH(D3799,ARTICULOS!$F$10:$F$699,0)</f>
        <v>#N/A</v>
      </c>
      <c r="C3799" s="86" t="e">
        <f>+VLOOKUP(B3799,ARTICULOS!$D$10:$I$699,6)</f>
        <v>#N/A</v>
      </c>
      <c r="D3799" s="212"/>
      <c r="E3799" s="75" t="e">
        <f t="shared" si="122"/>
        <v>#N/A</v>
      </c>
      <c r="F3799" s="80"/>
      <c r="G3799" s="81"/>
      <c r="H3799" s="78"/>
      <c r="I3799" s="78"/>
      <c r="J3799" s="78"/>
    </row>
    <row r="3800" spans="1:10" x14ac:dyDescent="0.2">
      <c r="A3800" s="84">
        <f t="shared" si="121"/>
        <v>3794</v>
      </c>
      <c r="B3800" s="85" t="e">
        <f>+MATCH(D3800,ARTICULOS!$F$10:$F$699,0)</f>
        <v>#N/A</v>
      </c>
      <c r="C3800" s="86" t="e">
        <f>+VLOOKUP(B3800,ARTICULOS!$D$10:$I$699,6)</f>
        <v>#N/A</v>
      </c>
      <c r="D3800" s="212"/>
      <c r="E3800" s="75" t="e">
        <f t="shared" si="122"/>
        <v>#N/A</v>
      </c>
      <c r="F3800" s="80"/>
      <c r="G3800" s="81"/>
      <c r="H3800" s="78"/>
      <c r="I3800" s="78"/>
      <c r="J3800" s="78"/>
    </row>
    <row r="3801" spans="1:10" x14ac:dyDescent="0.2">
      <c r="A3801" s="84">
        <f t="shared" si="121"/>
        <v>3795</v>
      </c>
      <c r="B3801" s="85" t="e">
        <f>+MATCH(D3801,ARTICULOS!$F$10:$F$699,0)</f>
        <v>#N/A</v>
      </c>
      <c r="C3801" s="86" t="e">
        <f>+VLOOKUP(B3801,ARTICULOS!$D$10:$I$699,6)</f>
        <v>#N/A</v>
      </c>
      <c r="D3801" s="212"/>
      <c r="E3801" s="75" t="e">
        <f t="shared" si="122"/>
        <v>#N/A</v>
      </c>
      <c r="F3801" s="80"/>
      <c r="G3801" s="81"/>
      <c r="H3801" s="78"/>
      <c r="I3801" s="78"/>
      <c r="J3801" s="78"/>
    </row>
    <row r="3802" spans="1:10" x14ac:dyDescent="0.2">
      <c r="A3802" s="84">
        <f t="shared" si="121"/>
        <v>3796</v>
      </c>
      <c r="B3802" s="85" t="e">
        <f>+MATCH(D3802,ARTICULOS!$F$10:$F$699,0)</f>
        <v>#N/A</v>
      </c>
      <c r="C3802" s="86" t="e">
        <f>+VLOOKUP(B3802,ARTICULOS!$D$10:$I$699,6)</f>
        <v>#N/A</v>
      </c>
      <c r="D3802" s="212"/>
      <c r="E3802" s="75" t="e">
        <f t="shared" si="122"/>
        <v>#N/A</v>
      </c>
      <c r="F3802" s="80"/>
      <c r="G3802" s="81"/>
      <c r="H3802" s="78"/>
      <c r="I3802" s="78"/>
      <c r="J3802" s="78"/>
    </row>
    <row r="3803" spans="1:10" x14ac:dyDescent="0.2">
      <c r="A3803" s="84">
        <f t="shared" si="121"/>
        <v>3797</v>
      </c>
      <c r="B3803" s="85" t="e">
        <f>+MATCH(D3803,ARTICULOS!$F$10:$F$699,0)</f>
        <v>#N/A</v>
      </c>
      <c r="C3803" s="86" t="e">
        <f>+VLOOKUP(B3803,ARTICULOS!$D$10:$I$699,6)</f>
        <v>#N/A</v>
      </c>
      <c r="D3803" s="212"/>
      <c r="E3803" s="75" t="e">
        <f t="shared" si="122"/>
        <v>#N/A</v>
      </c>
      <c r="F3803" s="80"/>
      <c r="G3803" s="81"/>
      <c r="H3803" s="78"/>
      <c r="I3803" s="78"/>
      <c r="J3803" s="78"/>
    </row>
    <row r="3804" spans="1:10" x14ac:dyDescent="0.2">
      <c r="A3804" s="84">
        <f t="shared" si="121"/>
        <v>3798</v>
      </c>
      <c r="B3804" s="85" t="e">
        <f>+MATCH(D3804,ARTICULOS!$F$10:$F$699,0)</f>
        <v>#N/A</v>
      </c>
      <c r="C3804" s="86" t="e">
        <f>+VLOOKUP(B3804,ARTICULOS!$D$10:$I$699,6)</f>
        <v>#N/A</v>
      </c>
      <c r="D3804" s="212"/>
      <c r="E3804" s="75" t="e">
        <f t="shared" si="122"/>
        <v>#N/A</v>
      </c>
      <c r="F3804" s="80"/>
      <c r="G3804" s="81"/>
      <c r="H3804" s="78"/>
      <c r="I3804" s="78"/>
      <c r="J3804" s="78"/>
    </row>
    <row r="3805" spans="1:10" x14ac:dyDescent="0.2">
      <c r="A3805" s="84">
        <f t="shared" si="121"/>
        <v>3799</v>
      </c>
      <c r="B3805" s="85" t="e">
        <f>+MATCH(D3805,ARTICULOS!$F$10:$F$699,0)</f>
        <v>#N/A</v>
      </c>
      <c r="C3805" s="86" t="e">
        <f>+VLOOKUP(B3805,ARTICULOS!$D$10:$I$699,6)</f>
        <v>#N/A</v>
      </c>
      <c r="D3805" s="212"/>
      <c r="E3805" s="75" t="e">
        <f t="shared" si="122"/>
        <v>#N/A</v>
      </c>
      <c r="F3805" s="80"/>
      <c r="G3805" s="81"/>
      <c r="H3805" s="78"/>
      <c r="I3805" s="78"/>
      <c r="J3805" s="78"/>
    </row>
    <row r="3806" spans="1:10" x14ac:dyDescent="0.2">
      <c r="A3806" s="84">
        <f t="shared" si="121"/>
        <v>3800</v>
      </c>
      <c r="B3806" s="85" t="e">
        <f>+MATCH(D3806,ARTICULOS!$F$10:$F$699,0)</f>
        <v>#N/A</v>
      </c>
      <c r="C3806" s="86" t="e">
        <f>+VLOOKUP(B3806,ARTICULOS!$D$10:$I$699,6)</f>
        <v>#N/A</v>
      </c>
      <c r="D3806" s="212"/>
      <c r="E3806" s="75" t="e">
        <f t="shared" si="122"/>
        <v>#N/A</v>
      </c>
      <c r="F3806" s="80"/>
      <c r="G3806" s="81"/>
      <c r="H3806" s="78"/>
      <c r="I3806" s="78"/>
      <c r="J3806" s="78"/>
    </row>
    <row r="3807" spans="1:10" x14ac:dyDescent="0.2">
      <c r="A3807" s="84">
        <f t="shared" si="121"/>
        <v>3801</v>
      </c>
      <c r="B3807" s="85" t="e">
        <f>+MATCH(D3807,ARTICULOS!$F$10:$F$699,0)</f>
        <v>#N/A</v>
      </c>
      <c r="C3807" s="86" t="e">
        <f>+VLOOKUP(B3807,ARTICULOS!$D$10:$I$699,6)</f>
        <v>#N/A</v>
      </c>
      <c r="D3807" s="212"/>
      <c r="E3807" s="75" t="e">
        <f t="shared" si="122"/>
        <v>#N/A</v>
      </c>
      <c r="F3807" s="80"/>
      <c r="G3807" s="81"/>
      <c r="H3807" s="78"/>
      <c r="I3807" s="78"/>
      <c r="J3807" s="78"/>
    </row>
    <row r="3808" spans="1:10" x14ac:dyDescent="0.2">
      <c r="A3808" s="84">
        <f t="shared" si="121"/>
        <v>3802</v>
      </c>
      <c r="B3808" s="85" t="e">
        <f>+MATCH(D3808,ARTICULOS!$F$10:$F$699,0)</f>
        <v>#N/A</v>
      </c>
      <c r="C3808" s="86" t="e">
        <f>+VLOOKUP(B3808,ARTICULOS!$D$10:$I$699,6)</f>
        <v>#N/A</v>
      </c>
      <c r="D3808" s="212"/>
      <c r="E3808" s="75" t="e">
        <f t="shared" si="122"/>
        <v>#N/A</v>
      </c>
      <c r="F3808" s="80"/>
      <c r="G3808" s="81"/>
      <c r="H3808" s="78"/>
      <c r="I3808" s="78"/>
      <c r="J3808" s="78"/>
    </row>
    <row r="3809" spans="1:10" x14ac:dyDescent="0.2">
      <c r="A3809" s="84">
        <f t="shared" si="121"/>
        <v>3803</v>
      </c>
      <c r="B3809" s="85" t="e">
        <f>+MATCH(D3809,ARTICULOS!$F$10:$F$699,0)</f>
        <v>#N/A</v>
      </c>
      <c r="C3809" s="86" t="e">
        <f>+VLOOKUP(B3809,ARTICULOS!$D$10:$I$699,6)</f>
        <v>#N/A</v>
      </c>
      <c r="D3809" s="212"/>
      <c r="E3809" s="75" t="e">
        <f t="shared" si="122"/>
        <v>#N/A</v>
      </c>
      <c r="F3809" s="80"/>
      <c r="G3809" s="81"/>
      <c r="H3809" s="78"/>
      <c r="I3809" s="78"/>
      <c r="J3809" s="78"/>
    </row>
    <row r="3810" spans="1:10" x14ac:dyDescent="0.2">
      <c r="A3810" s="84">
        <f t="shared" si="121"/>
        <v>3804</v>
      </c>
      <c r="B3810" s="85" t="e">
        <f>+MATCH(D3810,ARTICULOS!$F$10:$F$699,0)</f>
        <v>#N/A</v>
      </c>
      <c r="C3810" s="86" t="e">
        <f>+VLOOKUP(B3810,ARTICULOS!$D$10:$I$699,6)</f>
        <v>#N/A</v>
      </c>
      <c r="D3810" s="212"/>
      <c r="E3810" s="75" t="e">
        <f t="shared" si="122"/>
        <v>#N/A</v>
      </c>
      <c r="F3810" s="80"/>
      <c r="G3810" s="81"/>
      <c r="H3810" s="78"/>
      <c r="I3810" s="78"/>
      <c r="J3810" s="78"/>
    </row>
    <row r="3811" spans="1:10" x14ac:dyDescent="0.2">
      <c r="A3811" s="84">
        <f t="shared" si="121"/>
        <v>3805</v>
      </c>
      <c r="B3811" s="85" t="e">
        <f>+MATCH(D3811,ARTICULOS!$F$10:$F$699,0)</f>
        <v>#N/A</v>
      </c>
      <c r="C3811" s="86" t="e">
        <f>+VLOOKUP(B3811,ARTICULOS!$D$10:$I$699,6)</f>
        <v>#N/A</v>
      </c>
      <c r="D3811" s="212"/>
      <c r="E3811" s="75" t="e">
        <f t="shared" si="122"/>
        <v>#N/A</v>
      </c>
      <c r="F3811" s="80"/>
      <c r="G3811" s="81"/>
      <c r="H3811" s="78"/>
      <c r="I3811" s="78"/>
      <c r="J3811" s="78"/>
    </row>
    <row r="3812" spans="1:10" x14ac:dyDescent="0.2">
      <c r="A3812" s="84">
        <f t="shared" si="121"/>
        <v>3806</v>
      </c>
      <c r="B3812" s="85" t="e">
        <f>+MATCH(D3812,ARTICULOS!$F$10:$F$699,0)</f>
        <v>#N/A</v>
      </c>
      <c r="C3812" s="86" t="e">
        <f>+VLOOKUP(B3812,ARTICULOS!$D$10:$I$699,6)</f>
        <v>#N/A</v>
      </c>
      <c r="D3812" s="212"/>
      <c r="E3812" s="75" t="e">
        <f t="shared" si="122"/>
        <v>#N/A</v>
      </c>
      <c r="F3812" s="80"/>
      <c r="G3812" s="81"/>
      <c r="H3812" s="78"/>
      <c r="I3812" s="78"/>
      <c r="J3812" s="78"/>
    </row>
    <row r="3813" spans="1:10" x14ac:dyDescent="0.2">
      <c r="A3813" s="84">
        <f t="shared" si="121"/>
        <v>3807</v>
      </c>
      <c r="B3813" s="85" t="e">
        <f>+MATCH(D3813,ARTICULOS!$F$10:$F$699,0)</f>
        <v>#N/A</v>
      </c>
      <c r="C3813" s="86" t="e">
        <f>+VLOOKUP(B3813,ARTICULOS!$D$10:$I$699,6)</f>
        <v>#N/A</v>
      </c>
      <c r="D3813" s="212"/>
      <c r="E3813" s="75" t="e">
        <f t="shared" si="122"/>
        <v>#N/A</v>
      </c>
      <c r="F3813" s="80"/>
      <c r="G3813" s="81"/>
      <c r="H3813" s="78"/>
      <c r="I3813" s="78"/>
      <c r="J3813" s="78"/>
    </row>
    <row r="3814" spans="1:10" x14ac:dyDescent="0.2">
      <c r="A3814" s="84">
        <f t="shared" si="121"/>
        <v>3808</v>
      </c>
      <c r="B3814" s="85" t="e">
        <f>+MATCH(D3814,ARTICULOS!$F$10:$F$699,0)</f>
        <v>#N/A</v>
      </c>
      <c r="C3814" s="86" t="e">
        <f>+VLOOKUP(B3814,ARTICULOS!$D$10:$I$699,6)</f>
        <v>#N/A</v>
      </c>
      <c r="D3814" s="212"/>
      <c r="E3814" s="75" t="e">
        <f t="shared" si="122"/>
        <v>#N/A</v>
      </c>
      <c r="F3814" s="80"/>
      <c r="G3814" s="81"/>
      <c r="H3814" s="78"/>
      <c r="I3814" s="78"/>
      <c r="J3814" s="78"/>
    </row>
    <row r="3815" spans="1:10" x14ac:dyDescent="0.2">
      <c r="A3815" s="84">
        <f t="shared" si="121"/>
        <v>3809</v>
      </c>
      <c r="B3815" s="85" t="e">
        <f>+MATCH(D3815,ARTICULOS!$F$10:$F$699,0)</f>
        <v>#N/A</v>
      </c>
      <c r="C3815" s="86" t="e">
        <f>+VLOOKUP(B3815,ARTICULOS!$D$10:$I$699,6)</f>
        <v>#N/A</v>
      </c>
      <c r="D3815" s="212"/>
      <c r="E3815" s="75" t="e">
        <f t="shared" si="122"/>
        <v>#N/A</v>
      </c>
      <c r="F3815" s="80"/>
      <c r="G3815" s="81"/>
      <c r="H3815" s="78"/>
      <c r="I3815" s="78"/>
      <c r="J3815" s="78"/>
    </row>
    <row r="3816" spans="1:10" x14ac:dyDescent="0.2">
      <c r="A3816" s="84">
        <f t="shared" si="121"/>
        <v>3810</v>
      </c>
      <c r="B3816" s="85" t="e">
        <f>+MATCH(D3816,ARTICULOS!$F$10:$F$699,0)</f>
        <v>#N/A</v>
      </c>
      <c r="C3816" s="86" t="e">
        <f>+VLOOKUP(B3816,ARTICULOS!$D$10:$I$699,6)</f>
        <v>#N/A</v>
      </c>
      <c r="D3816" s="212"/>
      <c r="E3816" s="75" t="e">
        <f t="shared" si="122"/>
        <v>#N/A</v>
      </c>
      <c r="F3816" s="80"/>
      <c r="G3816" s="81"/>
      <c r="H3816" s="78"/>
      <c r="I3816" s="78"/>
      <c r="J3816" s="78"/>
    </row>
    <row r="3817" spans="1:10" x14ac:dyDescent="0.2">
      <c r="A3817" s="84">
        <f t="shared" ref="A3817:A3880" si="123">ROW()-6</f>
        <v>3811</v>
      </c>
      <c r="B3817" s="85" t="e">
        <f>+MATCH(D3817,ARTICULOS!$F$10:$F$699,0)</f>
        <v>#N/A</v>
      </c>
      <c r="C3817" s="86" t="e">
        <f>+VLOOKUP(B3817,ARTICULOS!$D$10:$I$699,6)</f>
        <v>#N/A</v>
      </c>
      <c r="D3817" s="212"/>
      <c r="E3817" s="75" t="e">
        <f t="shared" si="122"/>
        <v>#N/A</v>
      </c>
      <c r="F3817" s="80"/>
      <c r="G3817" s="81"/>
      <c r="H3817" s="78"/>
      <c r="I3817" s="78"/>
      <c r="J3817" s="78"/>
    </row>
    <row r="3818" spans="1:10" x14ac:dyDescent="0.2">
      <c r="A3818" s="84">
        <f t="shared" si="123"/>
        <v>3812</v>
      </c>
      <c r="B3818" s="85" t="e">
        <f>+MATCH(D3818,ARTICULOS!$F$10:$F$699,0)</f>
        <v>#N/A</v>
      </c>
      <c r="C3818" s="86" t="e">
        <f>+VLOOKUP(B3818,ARTICULOS!$D$10:$I$699,6)</f>
        <v>#N/A</v>
      </c>
      <c r="D3818" s="212"/>
      <c r="E3818" s="75" t="e">
        <f t="shared" si="122"/>
        <v>#N/A</v>
      </c>
      <c r="F3818" s="80"/>
      <c r="G3818" s="81"/>
      <c r="H3818" s="78"/>
      <c r="I3818" s="78"/>
      <c r="J3818" s="78"/>
    </row>
    <row r="3819" spans="1:10" x14ac:dyDescent="0.2">
      <c r="A3819" s="84">
        <f t="shared" si="123"/>
        <v>3813</v>
      </c>
      <c r="B3819" s="85" t="e">
        <f>+MATCH(D3819,ARTICULOS!$F$10:$F$699,0)</f>
        <v>#N/A</v>
      </c>
      <c r="C3819" s="86" t="e">
        <f>+VLOOKUP(B3819,ARTICULOS!$D$10:$I$699,6)</f>
        <v>#N/A</v>
      </c>
      <c r="D3819" s="212"/>
      <c r="E3819" s="75" t="e">
        <f t="shared" si="122"/>
        <v>#N/A</v>
      </c>
      <c r="F3819" s="80"/>
      <c r="G3819" s="81"/>
      <c r="H3819" s="78"/>
      <c r="I3819" s="78"/>
      <c r="J3819" s="78"/>
    </row>
    <row r="3820" spans="1:10" x14ac:dyDescent="0.2">
      <c r="A3820" s="84">
        <f t="shared" si="123"/>
        <v>3814</v>
      </c>
      <c r="B3820" s="85" t="e">
        <f>+MATCH(D3820,ARTICULOS!$F$10:$F$699,0)</f>
        <v>#N/A</v>
      </c>
      <c r="C3820" s="86" t="e">
        <f>+VLOOKUP(B3820,ARTICULOS!$D$10:$I$699,6)</f>
        <v>#N/A</v>
      </c>
      <c r="D3820" s="212"/>
      <c r="E3820" s="75" t="e">
        <f t="shared" si="122"/>
        <v>#N/A</v>
      </c>
      <c r="F3820" s="80"/>
      <c r="G3820" s="81"/>
      <c r="H3820" s="78"/>
      <c r="I3820" s="78"/>
      <c r="J3820" s="78"/>
    </row>
    <row r="3821" spans="1:10" x14ac:dyDescent="0.2">
      <c r="A3821" s="84">
        <f t="shared" si="123"/>
        <v>3815</v>
      </c>
      <c r="B3821" s="85" t="e">
        <f>+MATCH(D3821,ARTICULOS!$F$10:$F$699,0)</f>
        <v>#N/A</v>
      </c>
      <c r="C3821" s="86" t="e">
        <f>+VLOOKUP(B3821,ARTICULOS!$D$10:$I$699,6)</f>
        <v>#N/A</v>
      </c>
      <c r="D3821" s="212"/>
      <c r="E3821" s="75" t="e">
        <f t="shared" si="122"/>
        <v>#N/A</v>
      </c>
      <c r="F3821" s="80"/>
      <c r="G3821" s="81"/>
      <c r="H3821" s="78"/>
      <c r="I3821" s="78"/>
      <c r="J3821" s="78"/>
    </row>
    <row r="3822" spans="1:10" x14ac:dyDescent="0.2">
      <c r="A3822" s="84">
        <f t="shared" si="123"/>
        <v>3816</v>
      </c>
      <c r="B3822" s="85" t="e">
        <f>+MATCH(D3822,ARTICULOS!$F$10:$F$699,0)</f>
        <v>#N/A</v>
      </c>
      <c r="C3822" s="86" t="e">
        <f>+VLOOKUP(B3822,ARTICULOS!$D$10:$I$699,6)</f>
        <v>#N/A</v>
      </c>
      <c r="D3822" s="212"/>
      <c r="E3822" s="75" t="e">
        <f t="shared" si="122"/>
        <v>#N/A</v>
      </c>
      <c r="F3822" s="80"/>
      <c r="G3822" s="81"/>
      <c r="H3822" s="78"/>
      <c r="I3822" s="78"/>
      <c r="J3822" s="78"/>
    </row>
    <row r="3823" spans="1:10" x14ac:dyDescent="0.2">
      <c r="A3823" s="84">
        <f t="shared" si="123"/>
        <v>3817</v>
      </c>
      <c r="B3823" s="85" t="e">
        <f>+MATCH(D3823,ARTICULOS!$F$10:$F$699,0)</f>
        <v>#N/A</v>
      </c>
      <c r="C3823" s="86" t="e">
        <f>+VLOOKUP(B3823,ARTICULOS!$D$10:$I$699,6)</f>
        <v>#N/A</v>
      </c>
      <c r="D3823" s="212"/>
      <c r="E3823" s="75" t="e">
        <f t="shared" si="122"/>
        <v>#N/A</v>
      </c>
      <c r="F3823" s="80"/>
      <c r="G3823" s="81"/>
      <c r="H3823" s="78"/>
      <c r="I3823" s="78"/>
      <c r="J3823" s="78"/>
    </row>
    <row r="3824" spans="1:10" x14ac:dyDescent="0.2">
      <c r="A3824" s="84">
        <f t="shared" si="123"/>
        <v>3818</v>
      </c>
      <c r="B3824" s="85" t="e">
        <f>+MATCH(D3824,ARTICULOS!$F$10:$F$699,0)</f>
        <v>#N/A</v>
      </c>
      <c r="C3824" s="86" t="e">
        <f>+VLOOKUP(B3824,ARTICULOS!$D$10:$I$699,6)</f>
        <v>#N/A</v>
      </c>
      <c r="D3824" s="212"/>
      <c r="E3824" s="75" t="e">
        <f t="shared" si="122"/>
        <v>#N/A</v>
      </c>
      <c r="F3824" s="80"/>
      <c r="G3824" s="81"/>
      <c r="H3824" s="78"/>
      <c r="I3824" s="78"/>
      <c r="J3824" s="78"/>
    </row>
    <row r="3825" spans="1:10" x14ac:dyDescent="0.2">
      <c r="A3825" s="84">
        <f t="shared" si="123"/>
        <v>3819</v>
      </c>
      <c r="B3825" s="85" t="e">
        <f>+MATCH(D3825,ARTICULOS!$F$10:$F$699,0)</f>
        <v>#N/A</v>
      </c>
      <c r="C3825" s="86" t="e">
        <f>+VLOOKUP(B3825,ARTICULOS!$D$10:$I$699,6)</f>
        <v>#N/A</v>
      </c>
      <c r="D3825" s="212"/>
      <c r="E3825" s="75" t="e">
        <f t="shared" si="122"/>
        <v>#N/A</v>
      </c>
      <c r="F3825" s="80"/>
      <c r="G3825" s="81"/>
      <c r="H3825" s="78"/>
      <c r="I3825" s="78"/>
      <c r="J3825" s="78"/>
    </row>
    <row r="3826" spans="1:10" x14ac:dyDescent="0.2">
      <c r="A3826" s="84">
        <f t="shared" si="123"/>
        <v>3820</v>
      </c>
      <c r="B3826" s="85" t="e">
        <f>+MATCH(D3826,ARTICULOS!$F$10:$F$699,0)</f>
        <v>#N/A</v>
      </c>
      <c r="C3826" s="86" t="e">
        <f>+VLOOKUP(B3826,ARTICULOS!$D$10:$I$699,6)</f>
        <v>#N/A</v>
      </c>
      <c r="D3826" s="212"/>
      <c r="E3826" s="75" t="e">
        <f t="shared" si="122"/>
        <v>#N/A</v>
      </c>
      <c r="F3826" s="80"/>
      <c r="G3826" s="81"/>
      <c r="H3826" s="78"/>
      <c r="I3826" s="78"/>
      <c r="J3826" s="78"/>
    </row>
    <row r="3827" spans="1:10" x14ac:dyDescent="0.2">
      <c r="A3827" s="84">
        <f t="shared" si="123"/>
        <v>3821</v>
      </c>
      <c r="B3827" s="85" t="e">
        <f>+MATCH(D3827,ARTICULOS!$F$10:$F$699,0)</f>
        <v>#N/A</v>
      </c>
      <c r="C3827" s="86" t="e">
        <f>+VLOOKUP(B3827,ARTICULOS!$D$10:$I$699,6)</f>
        <v>#N/A</v>
      </c>
      <c r="D3827" s="212"/>
      <c r="E3827" s="75" t="e">
        <f t="shared" si="122"/>
        <v>#N/A</v>
      </c>
      <c r="F3827" s="80"/>
      <c r="G3827" s="81"/>
      <c r="H3827" s="78"/>
      <c r="I3827" s="78"/>
      <c r="J3827" s="78"/>
    </row>
    <row r="3828" spans="1:10" x14ac:dyDescent="0.2">
      <c r="A3828" s="84">
        <f t="shared" si="123"/>
        <v>3822</v>
      </c>
      <c r="B3828" s="85" t="e">
        <f>+MATCH(D3828,ARTICULOS!$F$10:$F$699,0)</f>
        <v>#N/A</v>
      </c>
      <c r="C3828" s="86" t="e">
        <f>+VLOOKUP(B3828,ARTICULOS!$D$10:$I$699,6)</f>
        <v>#N/A</v>
      </c>
      <c r="D3828" s="212"/>
      <c r="E3828" s="75" t="e">
        <f t="shared" si="122"/>
        <v>#N/A</v>
      </c>
      <c r="F3828" s="80"/>
      <c r="G3828" s="81"/>
      <c r="H3828" s="78"/>
      <c r="I3828" s="78"/>
      <c r="J3828" s="78"/>
    </row>
    <row r="3829" spans="1:10" x14ac:dyDescent="0.2">
      <c r="A3829" s="84">
        <f t="shared" si="123"/>
        <v>3823</v>
      </c>
      <c r="B3829" s="85" t="e">
        <f>+MATCH(D3829,ARTICULOS!$F$10:$F$699,0)</f>
        <v>#N/A</v>
      </c>
      <c r="C3829" s="86" t="e">
        <f>+VLOOKUP(B3829,ARTICULOS!$D$10:$I$699,6)</f>
        <v>#N/A</v>
      </c>
      <c r="D3829" s="212"/>
      <c r="E3829" s="75" t="e">
        <f t="shared" si="122"/>
        <v>#N/A</v>
      </c>
      <c r="F3829" s="80"/>
      <c r="G3829" s="81"/>
      <c r="H3829" s="78"/>
      <c r="I3829" s="78"/>
      <c r="J3829" s="78"/>
    </row>
    <row r="3830" spans="1:10" x14ac:dyDescent="0.2">
      <c r="A3830" s="84">
        <f t="shared" si="123"/>
        <v>3824</v>
      </c>
      <c r="B3830" s="85" t="e">
        <f>+MATCH(D3830,ARTICULOS!$F$10:$F$699,0)</f>
        <v>#N/A</v>
      </c>
      <c r="C3830" s="86" t="e">
        <f>+VLOOKUP(B3830,ARTICULOS!$D$10:$I$699,6)</f>
        <v>#N/A</v>
      </c>
      <c r="D3830" s="212"/>
      <c r="E3830" s="75" t="e">
        <f t="shared" si="122"/>
        <v>#N/A</v>
      </c>
      <c r="F3830" s="80"/>
      <c r="G3830" s="81"/>
      <c r="H3830" s="78"/>
      <c r="I3830" s="78"/>
      <c r="J3830" s="78"/>
    </row>
    <row r="3831" spans="1:10" x14ac:dyDescent="0.2">
      <c r="A3831" s="84">
        <f t="shared" si="123"/>
        <v>3825</v>
      </c>
      <c r="B3831" s="85" t="e">
        <f>+MATCH(D3831,ARTICULOS!$F$10:$F$699,0)</f>
        <v>#N/A</v>
      </c>
      <c r="C3831" s="86" t="e">
        <f>+VLOOKUP(B3831,ARTICULOS!$D$10:$I$699,6)</f>
        <v>#N/A</v>
      </c>
      <c r="D3831" s="212"/>
      <c r="E3831" s="75" t="e">
        <f t="shared" si="122"/>
        <v>#N/A</v>
      </c>
      <c r="F3831" s="80"/>
      <c r="G3831" s="81"/>
      <c r="H3831" s="78"/>
      <c r="I3831" s="78"/>
      <c r="J3831" s="78"/>
    </row>
    <row r="3832" spans="1:10" x14ac:dyDescent="0.2">
      <c r="A3832" s="84">
        <f t="shared" si="123"/>
        <v>3826</v>
      </c>
      <c r="B3832" s="85" t="e">
        <f>+MATCH(D3832,ARTICULOS!$F$10:$F$699,0)</f>
        <v>#N/A</v>
      </c>
      <c r="C3832" s="86" t="e">
        <f>+VLOOKUP(B3832,ARTICULOS!$D$10:$I$699,6)</f>
        <v>#N/A</v>
      </c>
      <c r="D3832" s="212"/>
      <c r="E3832" s="75" t="e">
        <f t="shared" si="122"/>
        <v>#N/A</v>
      </c>
      <c r="F3832" s="80"/>
      <c r="G3832" s="81"/>
      <c r="H3832" s="78"/>
      <c r="I3832" s="78"/>
      <c r="J3832" s="78"/>
    </row>
    <row r="3833" spans="1:10" x14ac:dyDescent="0.2">
      <c r="A3833" s="84">
        <f t="shared" si="123"/>
        <v>3827</v>
      </c>
      <c r="B3833" s="85" t="e">
        <f>+MATCH(D3833,ARTICULOS!$F$10:$F$699,0)</f>
        <v>#N/A</v>
      </c>
      <c r="C3833" s="86" t="e">
        <f>+VLOOKUP(B3833,ARTICULOS!$D$10:$I$699,6)</f>
        <v>#N/A</v>
      </c>
      <c r="D3833" s="212"/>
      <c r="E3833" s="75" t="e">
        <f t="shared" si="122"/>
        <v>#N/A</v>
      </c>
      <c r="F3833" s="80"/>
      <c r="G3833" s="81"/>
      <c r="H3833" s="78"/>
      <c r="I3833" s="78"/>
      <c r="J3833" s="78"/>
    </row>
    <row r="3834" spans="1:10" x14ac:dyDescent="0.2">
      <c r="A3834" s="84">
        <f t="shared" si="123"/>
        <v>3828</v>
      </c>
      <c r="B3834" s="85" t="e">
        <f>+MATCH(D3834,ARTICULOS!$F$10:$F$699,0)</f>
        <v>#N/A</v>
      </c>
      <c r="C3834" s="86" t="e">
        <f>+VLOOKUP(B3834,ARTICULOS!$D$10:$I$699,6)</f>
        <v>#N/A</v>
      </c>
      <c r="D3834" s="212"/>
      <c r="E3834" s="75" t="e">
        <f t="shared" si="122"/>
        <v>#N/A</v>
      </c>
      <c r="F3834" s="80"/>
      <c r="G3834" s="81"/>
      <c r="H3834" s="78"/>
      <c r="I3834" s="78"/>
      <c r="J3834" s="78"/>
    </row>
    <row r="3835" spans="1:10" x14ac:dyDescent="0.2">
      <c r="A3835" s="84">
        <f t="shared" si="123"/>
        <v>3829</v>
      </c>
      <c r="B3835" s="85" t="e">
        <f>+MATCH(D3835,ARTICULOS!$F$10:$F$699,0)</f>
        <v>#N/A</v>
      </c>
      <c r="C3835" s="86" t="e">
        <f>+VLOOKUP(B3835,ARTICULOS!$D$10:$I$699,6)</f>
        <v>#N/A</v>
      </c>
      <c r="D3835" s="212"/>
      <c r="E3835" s="75" t="e">
        <f t="shared" si="122"/>
        <v>#N/A</v>
      </c>
      <c r="F3835" s="80"/>
      <c r="G3835" s="81"/>
      <c r="H3835" s="78"/>
      <c r="I3835" s="78"/>
      <c r="J3835" s="78"/>
    </row>
    <row r="3836" spans="1:10" x14ac:dyDescent="0.2">
      <c r="A3836" s="84">
        <f t="shared" si="123"/>
        <v>3830</v>
      </c>
      <c r="B3836" s="85" t="e">
        <f>+MATCH(D3836,ARTICULOS!$F$10:$F$699,0)</f>
        <v>#N/A</v>
      </c>
      <c r="C3836" s="86" t="e">
        <f>+VLOOKUP(B3836,ARTICULOS!$D$10:$I$699,6)</f>
        <v>#N/A</v>
      </c>
      <c r="D3836" s="212"/>
      <c r="E3836" s="75" t="e">
        <f t="shared" si="122"/>
        <v>#N/A</v>
      </c>
      <c r="F3836" s="80"/>
      <c r="G3836" s="81"/>
      <c r="H3836" s="78"/>
      <c r="I3836" s="78"/>
      <c r="J3836" s="78"/>
    </row>
    <row r="3837" spans="1:10" x14ac:dyDescent="0.2">
      <c r="A3837" s="84">
        <f t="shared" si="123"/>
        <v>3831</v>
      </c>
      <c r="B3837" s="85" t="e">
        <f>+MATCH(D3837,ARTICULOS!$F$10:$F$699,0)</f>
        <v>#N/A</v>
      </c>
      <c r="C3837" s="86" t="e">
        <f>+VLOOKUP(B3837,ARTICULOS!$D$10:$I$699,6)</f>
        <v>#N/A</v>
      </c>
      <c r="D3837" s="212"/>
      <c r="E3837" s="75" t="e">
        <f t="shared" si="122"/>
        <v>#N/A</v>
      </c>
      <c r="F3837" s="80"/>
      <c r="G3837" s="81"/>
      <c r="H3837" s="78"/>
      <c r="I3837" s="78"/>
      <c r="J3837" s="78"/>
    </row>
    <row r="3838" spans="1:10" x14ac:dyDescent="0.2">
      <c r="A3838" s="84">
        <f t="shared" si="123"/>
        <v>3832</v>
      </c>
      <c r="B3838" s="85" t="e">
        <f>+MATCH(D3838,ARTICULOS!$F$10:$F$699,0)</f>
        <v>#N/A</v>
      </c>
      <c r="C3838" s="86" t="e">
        <f>+VLOOKUP(B3838,ARTICULOS!$D$10:$I$699,6)</f>
        <v>#N/A</v>
      </c>
      <c r="D3838" s="212"/>
      <c r="E3838" s="75" t="e">
        <f t="shared" si="122"/>
        <v>#N/A</v>
      </c>
      <c r="F3838" s="80"/>
      <c r="G3838" s="81"/>
      <c r="H3838" s="78"/>
      <c r="I3838" s="78"/>
      <c r="J3838" s="78"/>
    </row>
    <row r="3839" spans="1:10" x14ac:dyDescent="0.2">
      <c r="A3839" s="84">
        <f t="shared" si="123"/>
        <v>3833</v>
      </c>
      <c r="B3839" s="85" t="e">
        <f>+MATCH(D3839,ARTICULOS!$F$10:$F$699,0)</f>
        <v>#N/A</v>
      </c>
      <c r="C3839" s="86" t="e">
        <f>+VLOOKUP(B3839,ARTICULOS!$D$10:$I$699,6)</f>
        <v>#N/A</v>
      </c>
      <c r="D3839" s="212"/>
      <c r="E3839" s="75" t="e">
        <f t="shared" si="122"/>
        <v>#N/A</v>
      </c>
      <c r="F3839" s="80"/>
      <c r="G3839" s="81"/>
      <c r="H3839" s="78"/>
      <c r="I3839" s="78"/>
      <c r="J3839" s="78"/>
    </row>
    <row r="3840" spans="1:10" x14ac:dyDescent="0.2">
      <c r="A3840" s="84">
        <f t="shared" si="123"/>
        <v>3834</v>
      </c>
      <c r="B3840" s="85" t="e">
        <f>+MATCH(D3840,ARTICULOS!$F$10:$F$699,0)</f>
        <v>#N/A</v>
      </c>
      <c r="C3840" s="86" t="e">
        <f>+VLOOKUP(B3840,ARTICULOS!$D$10:$I$699,6)</f>
        <v>#N/A</v>
      </c>
      <c r="D3840" s="212"/>
      <c r="E3840" s="75" t="e">
        <f t="shared" si="122"/>
        <v>#N/A</v>
      </c>
      <c r="F3840" s="80"/>
      <c r="G3840" s="81"/>
      <c r="H3840" s="78"/>
      <c r="I3840" s="78"/>
      <c r="J3840" s="78"/>
    </row>
    <row r="3841" spans="1:10" x14ac:dyDescent="0.2">
      <c r="A3841" s="84">
        <f t="shared" si="123"/>
        <v>3835</v>
      </c>
      <c r="B3841" s="85" t="e">
        <f>+MATCH(D3841,ARTICULOS!$F$10:$F$699,0)</f>
        <v>#N/A</v>
      </c>
      <c r="C3841" s="86" t="e">
        <f>+VLOOKUP(B3841,ARTICULOS!$D$10:$I$699,6)</f>
        <v>#N/A</v>
      </c>
      <c r="D3841" s="212"/>
      <c r="E3841" s="75" t="e">
        <f t="shared" si="122"/>
        <v>#N/A</v>
      </c>
      <c r="F3841" s="80"/>
      <c r="G3841" s="81"/>
      <c r="H3841" s="78"/>
      <c r="I3841" s="78"/>
      <c r="J3841" s="78"/>
    </row>
    <row r="3842" spans="1:10" x14ac:dyDescent="0.2">
      <c r="A3842" s="84">
        <f t="shared" si="123"/>
        <v>3836</v>
      </c>
      <c r="B3842" s="85" t="e">
        <f>+MATCH(D3842,ARTICULOS!$F$10:$F$699,0)</f>
        <v>#N/A</v>
      </c>
      <c r="C3842" s="86" t="e">
        <f>+VLOOKUP(B3842,ARTICULOS!$D$10:$I$699,6)</f>
        <v>#N/A</v>
      </c>
      <c r="D3842" s="212"/>
      <c r="E3842" s="75" t="e">
        <f t="shared" si="122"/>
        <v>#N/A</v>
      </c>
      <c r="F3842" s="80"/>
      <c r="G3842" s="81"/>
      <c r="H3842" s="78"/>
      <c r="I3842" s="78"/>
      <c r="J3842" s="78"/>
    </row>
    <row r="3843" spans="1:10" x14ac:dyDescent="0.2">
      <c r="A3843" s="84">
        <f t="shared" si="123"/>
        <v>3837</v>
      </c>
      <c r="B3843" s="85" t="e">
        <f>+MATCH(D3843,ARTICULOS!$F$10:$F$699,0)</f>
        <v>#N/A</v>
      </c>
      <c r="C3843" s="86" t="e">
        <f>+VLOOKUP(B3843,ARTICULOS!$D$10:$I$699,6)</f>
        <v>#N/A</v>
      </c>
      <c r="D3843" s="212"/>
      <c r="E3843" s="75" t="e">
        <f t="shared" si="122"/>
        <v>#N/A</v>
      </c>
      <c r="F3843" s="80"/>
      <c r="G3843" s="81"/>
      <c r="H3843" s="78"/>
      <c r="I3843" s="78"/>
      <c r="J3843" s="78"/>
    </row>
    <row r="3844" spans="1:10" x14ac:dyDescent="0.2">
      <c r="A3844" s="84">
        <f t="shared" si="123"/>
        <v>3838</v>
      </c>
      <c r="B3844" s="85" t="e">
        <f>+MATCH(D3844,ARTICULOS!$F$10:$F$699,0)</f>
        <v>#N/A</v>
      </c>
      <c r="C3844" s="86" t="e">
        <f>+VLOOKUP(B3844,ARTICULOS!$D$10:$I$699,6)</f>
        <v>#N/A</v>
      </c>
      <c r="D3844" s="212"/>
      <c r="E3844" s="75" t="e">
        <f t="shared" si="122"/>
        <v>#N/A</v>
      </c>
      <c r="F3844" s="80"/>
      <c r="G3844" s="81"/>
      <c r="H3844" s="78"/>
      <c r="I3844" s="78"/>
      <c r="J3844" s="78"/>
    </row>
    <row r="3845" spans="1:10" x14ac:dyDescent="0.2">
      <c r="A3845" s="84">
        <f t="shared" si="123"/>
        <v>3839</v>
      </c>
      <c r="B3845" s="85" t="e">
        <f>+MATCH(D3845,ARTICULOS!$F$10:$F$699,0)</f>
        <v>#N/A</v>
      </c>
      <c r="C3845" s="86" t="e">
        <f>+VLOOKUP(B3845,ARTICULOS!$D$10:$I$699,6)</f>
        <v>#N/A</v>
      </c>
      <c r="D3845" s="212"/>
      <c r="E3845" s="75" t="e">
        <f t="shared" si="122"/>
        <v>#N/A</v>
      </c>
      <c r="F3845" s="80"/>
      <c r="G3845" s="81"/>
      <c r="H3845" s="78"/>
      <c r="I3845" s="78"/>
      <c r="J3845" s="78"/>
    </row>
    <row r="3846" spans="1:10" x14ac:dyDescent="0.2">
      <c r="A3846" s="84">
        <f t="shared" si="123"/>
        <v>3840</v>
      </c>
      <c r="B3846" s="85" t="e">
        <f>+MATCH(D3846,ARTICULOS!$F$10:$F$699,0)</f>
        <v>#N/A</v>
      </c>
      <c r="C3846" s="86" t="e">
        <f>+VLOOKUP(B3846,ARTICULOS!$D$10:$I$699,6)</f>
        <v>#N/A</v>
      </c>
      <c r="D3846" s="212"/>
      <c r="E3846" s="75" t="e">
        <f t="shared" si="122"/>
        <v>#N/A</v>
      </c>
      <c r="F3846" s="80"/>
      <c r="G3846" s="81"/>
      <c r="H3846" s="78"/>
      <c r="I3846" s="78"/>
      <c r="J3846" s="78"/>
    </row>
    <row r="3847" spans="1:10" x14ac:dyDescent="0.2">
      <c r="A3847" s="84">
        <f t="shared" si="123"/>
        <v>3841</v>
      </c>
      <c r="B3847" s="85" t="e">
        <f>+MATCH(D3847,ARTICULOS!$F$10:$F$699,0)</f>
        <v>#N/A</v>
      </c>
      <c r="C3847" s="86" t="e">
        <f>+VLOOKUP(B3847,ARTICULOS!$D$10:$I$699,6)</f>
        <v>#N/A</v>
      </c>
      <c r="D3847" s="212"/>
      <c r="E3847" s="75" t="e">
        <f t="shared" si="122"/>
        <v>#N/A</v>
      </c>
      <c r="F3847" s="80"/>
      <c r="G3847" s="81"/>
      <c r="H3847" s="78"/>
      <c r="I3847" s="78"/>
      <c r="J3847" s="78"/>
    </row>
    <row r="3848" spans="1:10" x14ac:dyDescent="0.2">
      <c r="A3848" s="84">
        <f t="shared" si="123"/>
        <v>3842</v>
      </c>
      <c r="B3848" s="85" t="e">
        <f>+MATCH(D3848,ARTICULOS!$F$10:$F$699,0)</f>
        <v>#N/A</v>
      </c>
      <c r="C3848" s="86" t="e">
        <f>+VLOOKUP(B3848,ARTICULOS!$D$10:$I$699,6)</f>
        <v>#N/A</v>
      </c>
      <c r="D3848" s="212"/>
      <c r="E3848" s="75" t="e">
        <f t="shared" si="122"/>
        <v>#N/A</v>
      </c>
      <c r="F3848" s="80"/>
      <c r="G3848" s="81"/>
      <c r="H3848" s="78"/>
      <c r="I3848" s="78"/>
      <c r="J3848" s="78"/>
    </row>
    <row r="3849" spans="1:10" x14ac:dyDescent="0.2">
      <c r="A3849" s="84">
        <f t="shared" si="123"/>
        <v>3843</v>
      </c>
      <c r="B3849" s="85" t="e">
        <f>+MATCH(D3849,ARTICULOS!$F$10:$F$699,0)</f>
        <v>#N/A</v>
      </c>
      <c r="C3849" s="86" t="e">
        <f>+VLOOKUP(B3849,ARTICULOS!$D$10:$I$699,6)</f>
        <v>#N/A</v>
      </c>
      <c r="D3849" s="212"/>
      <c r="E3849" s="75" t="e">
        <f t="shared" si="122"/>
        <v>#N/A</v>
      </c>
      <c r="F3849" s="80"/>
      <c r="G3849" s="81"/>
      <c r="H3849" s="78"/>
      <c r="I3849" s="78"/>
      <c r="J3849" s="78"/>
    </row>
    <row r="3850" spans="1:10" x14ac:dyDescent="0.2">
      <c r="A3850" s="84">
        <f t="shared" si="123"/>
        <v>3844</v>
      </c>
      <c r="B3850" s="85" t="e">
        <f>+MATCH(D3850,ARTICULOS!$F$10:$F$699,0)</f>
        <v>#N/A</v>
      </c>
      <c r="C3850" s="86" t="e">
        <f>+VLOOKUP(B3850,ARTICULOS!$D$10:$I$699,6)</f>
        <v>#N/A</v>
      </c>
      <c r="D3850" s="212"/>
      <c r="E3850" s="75" t="e">
        <f t="shared" si="122"/>
        <v>#N/A</v>
      </c>
      <c r="F3850" s="80"/>
      <c r="G3850" s="81"/>
      <c r="H3850" s="78"/>
      <c r="I3850" s="78"/>
      <c r="J3850" s="78"/>
    </row>
    <row r="3851" spans="1:10" x14ac:dyDescent="0.2">
      <c r="A3851" s="84">
        <f t="shared" si="123"/>
        <v>3845</v>
      </c>
      <c r="B3851" s="85" t="e">
        <f>+MATCH(D3851,ARTICULOS!$F$10:$F$699,0)</f>
        <v>#N/A</v>
      </c>
      <c r="C3851" s="86" t="e">
        <f>+VLOOKUP(B3851,ARTICULOS!$D$10:$I$699,6)</f>
        <v>#N/A</v>
      </c>
      <c r="D3851" s="212"/>
      <c r="E3851" s="75" t="e">
        <f t="shared" ref="E3851:E3914" si="124">+C3851&amp;F3851</f>
        <v>#N/A</v>
      </c>
      <c r="F3851" s="80"/>
      <c r="G3851" s="81"/>
      <c r="H3851" s="78"/>
      <c r="I3851" s="78"/>
      <c r="J3851" s="78"/>
    </row>
    <row r="3852" spans="1:10" x14ac:dyDescent="0.2">
      <c r="A3852" s="84">
        <f t="shared" si="123"/>
        <v>3846</v>
      </c>
      <c r="B3852" s="85" t="e">
        <f>+MATCH(D3852,ARTICULOS!$F$10:$F$699,0)</f>
        <v>#N/A</v>
      </c>
      <c r="C3852" s="86" t="e">
        <f>+VLOOKUP(B3852,ARTICULOS!$D$10:$I$699,6)</f>
        <v>#N/A</v>
      </c>
      <c r="D3852" s="212"/>
      <c r="E3852" s="75" t="e">
        <f t="shared" si="124"/>
        <v>#N/A</v>
      </c>
      <c r="F3852" s="80"/>
      <c r="G3852" s="81"/>
      <c r="H3852" s="78"/>
      <c r="I3852" s="78"/>
      <c r="J3852" s="78"/>
    </row>
    <row r="3853" spans="1:10" x14ac:dyDescent="0.2">
      <c r="A3853" s="84">
        <f t="shared" si="123"/>
        <v>3847</v>
      </c>
      <c r="B3853" s="85" t="e">
        <f>+MATCH(D3853,ARTICULOS!$F$10:$F$699,0)</f>
        <v>#N/A</v>
      </c>
      <c r="C3853" s="86" t="e">
        <f>+VLOOKUP(B3853,ARTICULOS!$D$10:$I$699,6)</f>
        <v>#N/A</v>
      </c>
      <c r="D3853" s="212"/>
      <c r="E3853" s="75" t="e">
        <f t="shared" si="124"/>
        <v>#N/A</v>
      </c>
      <c r="F3853" s="80"/>
      <c r="G3853" s="81"/>
      <c r="H3853" s="78"/>
      <c r="I3853" s="78"/>
      <c r="J3853" s="78"/>
    </row>
    <row r="3854" spans="1:10" x14ac:dyDescent="0.2">
      <c r="A3854" s="84">
        <f t="shared" si="123"/>
        <v>3848</v>
      </c>
      <c r="B3854" s="85" t="e">
        <f>+MATCH(D3854,ARTICULOS!$F$10:$F$699,0)</f>
        <v>#N/A</v>
      </c>
      <c r="C3854" s="86" t="e">
        <f>+VLOOKUP(B3854,ARTICULOS!$D$10:$I$699,6)</f>
        <v>#N/A</v>
      </c>
      <c r="D3854" s="212"/>
      <c r="E3854" s="75" t="e">
        <f t="shared" si="124"/>
        <v>#N/A</v>
      </c>
      <c r="F3854" s="80"/>
      <c r="G3854" s="81"/>
      <c r="H3854" s="78"/>
      <c r="I3854" s="78"/>
      <c r="J3854" s="78"/>
    </row>
    <row r="3855" spans="1:10" x14ac:dyDescent="0.2">
      <c r="A3855" s="84">
        <f t="shared" si="123"/>
        <v>3849</v>
      </c>
      <c r="B3855" s="85" t="e">
        <f>+MATCH(D3855,ARTICULOS!$F$10:$F$699,0)</f>
        <v>#N/A</v>
      </c>
      <c r="C3855" s="86" t="e">
        <f>+VLOOKUP(B3855,ARTICULOS!$D$10:$I$699,6)</f>
        <v>#N/A</v>
      </c>
      <c r="D3855" s="212"/>
      <c r="E3855" s="75" t="e">
        <f t="shared" si="124"/>
        <v>#N/A</v>
      </c>
      <c r="F3855" s="80"/>
      <c r="G3855" s="81"/>
      <c r="H3855" s="78"/>
      <c r="I3855" s="78"/>
      <c r="J3855" s="78"/>
    </row>
    <row r="3856" spans="1:10" x14ac:dyDescent="0.2">
      <c r="A3856" s="84">
        <f t="shared" si="123"/>
        <v>3850</v>
      </c>
      <c r="B3856" s="85" t="e">
        <f>+MATCH(D3856,ARTICULOS!$F$10:$F$699,0)</f>
        <v>#N/A</v>
      </c>
      <c r="C3856" s="86" t="e">
        <f>+VLOOKUP(B3856,ARTICULOS!$D$10:$I$699,6)</f>
        <v>#N/A</v>
      </c>
      <c r="D3856" s="212"/>
      <c r="E3856" s="75" t="e">
        <f t="shared" si="124"/>
        <v>#N/A</v>
      </c>
      <c r="F3856" s="80"/>
      <c r="G3856" s="81"/>
      <c r="H3856" s="78"/>
      <c r="I3856" s="78"/>
      <c r="J3856" s="78"/>
    </row>
    <row r="3857" spans="1:10" x14ac:dyDescent="0.2">
      <c r="A3857" s="84">
        <f t="shared" si="123"/>
        <v>3851</v>
      </c>
      <c r="B3857" s="85" t="e">
        <f>+MATCH(D3857,ARTICULOS!$F$10:$F$699,0)</f>
        <v>#N/A</v>
      </c>
      <c r="C3857" s="86" t="e">
        <f>+VLOOKUP(B3857,ARTICULOS!$D$10:$I$699,6)</f>
        <v>#N/A</v>
      </c>
      <c r="D3857" s="212"/>
      <c r="E3857" s="75" t="e">
        <f t="shared" si="124"/>
        <v>#N/A</v>
      </c>
      <c r="F3857" s="80"/>
      <c r="G3857" s="81"/>
      <c r="H3857" s="78"/>
      <c r="I3857" s="78"/>
      <c r="J3857" s="78"/>
    </row>
    <row r="3858" spans="1:10" x14ac:dyDescent="0.2">
      <c r="A3858" s="84">
        <f t="shared" si="123"/>
        <v>3852</v>
      </c>
      <c r="B3858" s="85" t="e">
        <f>+MATCH(D3858,ARTICULOS!$F$10:$F$699,0)</f>
        <v>#N/A</v>
      </c>
      <c r="C3858" s="86" t="e">
        <f>+VLOOKUP(B3858,ARTICULOS!$D$10:$I$699,6)</f>
        <v>#N/A</v>
      </c>
      <c r="D3858" s="212"/>
      <c r="E3858" s="75" t="e">
        <f t="shared" si="124"/>
        <v>#N/A</v>
      </c>
      <c r="F3858" s="80"/>
      <c r="G3858" s="81"/>
      <c r="H3858" s="78"/>
      <c r="I3858" s="78"/>
      <c r="J3858" s="78"/>
    </row>
    <row r="3859" spans="1:10" x14ac:dyDescent="0.2">
      <c r="A3859" s="84">
        <f t="shared" si="123"/>
        <v>3853</v>
      </c>
      <c r="B3859" s="85" t="e">
        <f>+MATCH(D3859,ARTICULOS!$F$10:$F$699,0)</f>
        <v>#N/A</v>
      </c>
      <c r="C3859" s="86" t="e">
        <f>+VLOOKUP(B3859,ARTICULOS!$D$10:$I$699,6)</f>
        <v>#N/A</v>
      </c>
      <c r="D3859" s="212"/>
      <c r="E3859" s="75" t="e">
        <f t="shared" si="124"/>
        <v>#N/A</v>
      </c>
      <c r="F3859" s="80"/>
      <c r="G3859" s="81"/>
      <c r="H3859" s="78"/>
      <c r="I3859" s="78"/>
      <c r="J3859" s="78"/>
    </row>
    <row r="3860" spans="1:10" x14ac:dyDescent="0.2">
      <c r="A3860" s="84">
        <f t="shared" si="123"/>
        <v>3854</v>
      </c>
      <c r="B3860" s="85" t="e">
        <f>+MATCH(D3860,ARTICULOS!$F$10:$F$699,0)</f>
        <v>#N/A</v>
      </c>
      <c r="C3860" s="86" t="e">
        <f>+VLOOKUP(B3860,ARTICULOS!$D$10:$I$699,6)</f>
        <v>#N/A</v>
      </c>
      <c r="D3860" s="212"/>
      <c r="E3860" s="75" t="e">
        <f t="shared" si="124"/>
        <v>#N/A</v>
      </c>
      <c r="F3860" s="80"/>
      <c r="G3860" s="81"/>
      <c r="H3860" s="78"/>
      <c r="I3860" s="78"/>
      <c r="J3860" s="78"/>
    </row>
    <row r="3861" spans="1:10" x14ac:dyDescent="0.2">
      <c r="A3861" s="84">
        <f t="shared" si="123"/>
        <v>3855</v>
      </c>
      <c r="B3861" s="85" t="e">
        <f>+MATCH(D3861,ARTICULOS!$F$10:$F$699,0)</f>
        <v>#N/A</v>
      </c>
      <c r="C3861" s="86" t="e">
        <f>+VLOOKUP(B3861,ARTICULOS!$D$10:$I$699,6)</f>
        <v>#N/A</v>
      </c>
      <c r="D3861" s="212"/>
      <c r="E3861" s="75" t="e">
        <f t="shared" si="124"/>
        <v>#N/A</v>
      </c>
      <c r="F3861" s="80"/>
      <c r="G3861" s="81"/>
      <c r="H3861" s="78"/>
      <c r="I3861" s="78"/>
      <c r="J3861" s="78"/>
    </row>
    <row r="3862" spans="1:10" x14ac:dyDescent="0.2">
      <c r="A3862" s="84">
        <f t="shared" si="123"/>
        <v>3856</v>
      </c>
      <c r="B3862" s="85" t="e">
        <f>+MATCH(D3862,ARTICULOS!$F$10:$F$699,0)</f>
        <v>#N/A</v>
      </c>
      <c r="C3862" s="86" t="e">
        <f>+VLOOKUP(B3862,ARTICULOS!$D$10:$I$699,6)</f>
        <v>#N/A</v>
      </c>
      <c r="D3862" s="212"/>
      <c r="E3862" s="75" t="e">
        <f t="shared" si="124"/>
        <v>#N/A</v>
      </c>
      <c r="F3862" s="80"/>
      <c r="G3862" s="81"/>
      <c r="H3862" s="78"/>
      <c r="I3862" s="78"/>
      <c r="J3862" s="78"/>
    </row>
    <row r="3863" spans="1:10" x14ac:dyDescent="0.2">
      <c r="A3863" s="84">
        <f t="shared" si="123"/>
        <v>3857</v>
      </c>
      <c r="B3863" s="85" t="e">
        <f>+MATCH(D3863,ARTICULOS!$F$10:$F$699,0)</f>
        <v>#N/A</v>
      </c>
      <c r="C3863" s="86" t="e">
        <f>+VLOOKUP(B3863,ARTICULOS!$D$10:$I$699,6)</f>
        <v>#N/A</v>
      </c>
      <c r="D3863" s="212"/>
      <c r="E3863" s="75" t="e">
        <f t="shared" si="124"/>
        <v>#N/A</v>
      </c>
      <c r="F3863" s="80"/>
      <c r="G3863" s="81"/>
      <c r="H3863" s="78"/>
      <c r="I3863" s="78"/>
      <c r="J3863" s="78"/>
    </row>
    <row r="3864" spans="1:10" x14ac:dyDescent="0.2">
      <c r="A3864" s="84">
        <f t="shared" si="123"/>
        <v>3858</v>
      </c>
      <c r="B3864" s="85" t="e">
        <f>+MATCH(D3864,ARTICULOS!$F$10:$F$699,0)</f>
        <v>#N/A</v>
      </c>
      <c r="C3864" s="86" t="e">
        <f>+VLOOKUP(B3864,ARTICULOS!$D$10:$I$699,6)</f>
        <v>#N/A</v>
      </c>
      <c r="D3864" s="212"/>
      <c r="E3864" s="75" t="e">
        <f t="shared" si="124"/>
        <v>#N/A</v>
      </c>
      <c r="F3864" s="80"/>
      <c r="G3864" s="81"/>
      <c r="H3864" s="78"/>
      <c r="I3864" s="78"/>
      <c r="J3864" s="78"/>
    </row>
    <row r="3865" spans="1:10" x14ac:dyDescent="0.2">
      <c r="A3865" s="84">
        <f t="shared" si="123"/>
        <v>3859</v>
      </c>
      <c r="B3865" s="85" t="e">
        <f>+MATCH(D3865,ARTICULOS!$F$10:$F$699,0)</f>
        <v>#N/A</v>
      </c>
      <c r="C3865" s="86" t="e">
        <f>+VLOOKUP(B3865,ARTICULOS!$D$10:$I$699,6)</f>
        <v>#N/A</v>
      </c>
      <c r="D3865" s="212"/>
      <c r="E3865" s="75" t="e">
        <f t="shared" si="124"/>
        <v>#N/A</v>
      </c>
      <c r="F3865" s="80"/>
      <c r="G3865" s="81"/>
      <c r="H3865" s="78"/>
      <c r="I3865" s="78"/>
      <c r="J3865" s="78"/>
    </row>
    <row r="3866" spans="1:10" x14ac:dyDescent="0.2">
      <c r="A3866" s="84">
        <f t="shared" si="123"/>
        <v>3860</v>
      </c>
      <c r="B3866" s="85" t="e">
        <f>+MATCH(D3866,ARTICULOS!$F$10:$F$699,0)</f>
        <v>#N/A</v>
      </c>
      <c r="C3866" s="86" t="e">
        <f>+VLOOKUP(B3866,ARTICULOS!$D$10:$I$699,6)</f>
        <v>#N/A</v>
      </c>
      <c r="D3866" s="212"/>
      <c r="E3866" s="75" t="e">
        <f t="shared" si="124"/>
        <v>#N/A</v>
      </c>
      <c r="F3866" s="80"/>
      <c r="G3866" s="81"/>
      <c r="H3866" s="78"/>
      <c r="I3866" s="78"/>
      <c r="J3866" s="78"/>
    </row>
    <row r="3867" spans="1:10" x14ac:dyDescent="0.2">
      <c r="A3867" s="84">
        <f t="shared" si="123"/>
        <v>3861</v>
      </c>
      <c r="B3867" s="85" t="e">
        <f>+MATCH(D3867,ARTICULOS!$F$10:$F$699,0)</f>
        <v>#N/A</v>
      </c>
      <c r="C3867" s="86" t="e">
        <f>+VLOOKUP(B3867,ARTICULOS!$D$10:$I$699,6)</f>
        <v>#N/A</v>
      </c>
      <c r="D3867" s="212"/>
      <c r="E3867" s="75" t="e">
        <f t="shared" si="124"/>
        <v>#N/A</v>
      </c>
      <c r="F3867" s="80"/>
      <c r="G3867" s="81"/>
      <c r="H3867" s="78"/>
      <c r="I3867" s="78"/>
      <c r="J3867" s="78"/>
    </row>
    <row r="3868" spans="1:10" x14ac:dyDescent="0.2">
      <c r="A3868" s="84">
        <f t="shared" si="123"/>
        <v>3862</v>
      </c>
      <c r="B3868" s="85" t="e">
        <f>+MATCH(D3868,ARTICULOS!$F$10:$F$699,0)</f>
        <v>#N/A</v>
      </c>
      <c r="C3868" s="86" t="e">
        <f>+VLOOKUP(B3868,ARTICULOS!$D$10:$I$699,6)</f>
        <v>#N/A</v>
      </c>
      <c r="D3868" s="212"/>
      <c r="E3868" s="75" t="e">
        <f t="shared" si="124"/>
        <v>#N/A</v>
      </c>
      <c r="F3868" s="80"/>
      <c r="G3868" s="81"/>
      <c r="H3868" s="78"/>
      <c r="I3868" s="78"/>
      <c r="J3868" s="78"/>
    </row>
    <row r="3869" spans="1:10" x14ac:dyDescent="0.2">
      <c r="A3869" s="84">
        <f t="shared" si="123"/>
        <v>3863</v>
      </c>
      <c r="B3869" s="85" t="e">
        <f>+MATCH(D3869,ARTICULOS!$F$10:$F$699,0)</f>
        <v>#N/A</v>
      </c>
      <c r="C3869" s="86" t="e">
        <f>+VLOOKUP(B3869,ARTICULOS!$D$10:$I$699,6)</f>
        <v>#N/A</v>
      </c>
      <c r="D3869" s="212"/>
      <c r="E3869" s="75" t="e">
        <f t="shared" si="124"/>
        <v>#N/A</v>
      </c>
      <c r="F3869" s="80"/>
      <c r="G3869" s="81"/>
      <c r="H3869" s="78"/>
      <c r="I3869" s="78"/>
      <c r="J3869" s="78"/>
    </row>
    <row r="3870" spans="1:10" x14ac:dyDescent="0.2">
      <c r="A3870" s="84">
        <f t="shared" si="123"/>
        <v>3864</v>
      </c>
      <c r="B3870" s="85" t="e">
        <f>+MATCH(D3870,ARTICULOS!$F$10:$F$699,0)</f>
        <v>#N/A</v>
      </c>
      <c r="C3870" s="86" t="e">
        <f>+VLOOKUP(B3870,ARTICULOS!$D$10:$I$699,6)</f>
        <v>#N/A</v>
      </c>
      <c r="D3870" s="212"/>
      <c r="E3870" s="75" t="e">
        <f t="shared" si="124"/>
        <v>#N/A</v>
      </c>
      <c r="F3870" s="80"/>
      <c r="G3870" s="81"/>
      <c r="H3870" s="78"/>
      <c r="I3870" s="78"/>
      <c r="J3870" s="78"/>
    </row>
    <row r="3871" spans="1:10" x14ac:dyDescent="0.2">
      <c r="A3871" s="84">
        <f t="shared" si="123"/>
        <v>3865</v>
      </c>
      <c r="B3871" s="85" t="e">
        <f>+MATCH(D3871,ARTICULOS!$F$10:$F$699,0)</f>
        <v>#N/A</v>
      </c>
      <c r="C3871" s="86" t="e">
        <f>+VLOOKUP(B3871,ARTICULOS!$D$10:$I$699,6)</f>
        <v>#N/A</v>
      </c>
      <c r="D3871" s="212"/>
      <c r="E3871" s="75" t="e">
        <f t="shared" si="124"/>
        <v>#N/A</v>
      </c>
      <c r="F3871" s="80"/>
      <c r="G3871" s="81"/>
      <c r="H3871" s="78"/>
      <c r="I3871" s="78"/>
      <c r="J3871" s="78"/>
    </row>
    <row r="3872" spans="1:10" x14ac:dyDescent="0.2">
      <c r="A3872" s="84">
        <f t="shared" si="123"/>
        <v>3866</v>
      </c>
      <c r="B3872" s="85" t="e">
        <f>+MATCH(D3872,ARTICULOS!$F$10:$F$699,0)</f>
        <v>#N/A</v>
      </c>
      <c r="C3872" s="86" t="e">
        <f>+VLOOKUP(B3872,ARTICULOS!$D$10:$I$699,6)</f>
        <v>#N/A</v>
      </c>
      <c r="D3872" s="212"/>
      <c r="E3872" s="75" t="e">
        <f t="shared" si="124"/>
        <v>#N/A</v>
      </c>
      <c r="F3872" s="80"/>
      <c r="G3872" s="81"/>
      <c r="H3872" s="78"/>
      <c r="I3872" s="78"/>
      <c r="J3872" s="78"/>
    </row>
    <row r="3873" spans="1:10" x14ac:dyDescent="0.2">
      <c r="A3873" s="84">
        <f t="shared" si="123"/>
        <v>3867</v>
      </c>
      <c r="B3873" s="85" t="e">
        <f>+MATCH(D3873,ARTICULOS!$F$10:$F$699,0)</f>
        <v>#N/A</v>
      </c>
      <c r="C3873" s="86" t="e">
        <f>+VLOOKUP(B3873,ARTICULOS!$D$10:$I$699,6)</f>
        <v>#N/A</v>
      </c>
      <c r="D3873" s="212"/>
      <c r="E3873" s="75" t="e">
        <f t="shared" si="124"/>
        <v>#N/A</v>
      </c>
      <c r="F3873" s="80"/>
      <c r="G3873" s="81"/>
      <c r="H3873" s="78"/>
      <c r="I3873" s="78"/>
      <c r="J3873" s="78"/>
    </row>
    <row r="3874" spans="1:10" x14ac:dyDescent="0.2">
      <c r="A3874" s="84">
        <f t="shared" si="123"/>
        <v>3868</v>
      </c>
      <c r="B3874" s="85" t="e">
        <f>+MATCH(D3874,ARTICULOS!$F$10:$F$699,0)</f>
        <v>#N/A</v>
      </c>
      <c r="C3874" s="86" t="e">
        <f>+VLOOKUP(B3874,ARTICULOS!$D$10:$I$699,6)</f>
        <v>#N/A</v>
      </c>
      <c r="D3874" s="212"/>
      <c r="E3874" s="75" t="e">
        <f t="shared" si="124"/>
        <v>#N/A</v>
      </c>
      <c r="F3874" s="80"/>
      <c r="G3874" s="81"/>
      <c r="H3874" s="78"/>
      <c r="I3874" s="78"/>
      <c r="J3874" s="78"/>
    </row>
    <row r="3875" spans="1:10" x14ac:dyDescent="0.2">
      <c r="A3875" s="84">
        <f t="shared" si="123"/>
        <v>3869</v>
      </c>
      <c r="B3875" s="85" t="e">
        <f>+MATCH(D3875,ARTICULOS!$F$10:$F$699,0)</f>
        <v>#N/A</v>
      </c>
      <c r="C3875" s="86" t="e">
        <f>+VLOOKUP(B3875,ARTICULOS!$D$10:$I$699,6)</f>
        <v>#N/A</v>
      </c>
      <c r="D3875" s="212"/>
      <c r="E3875" s="75" t="e">
        <f t="shared" si="124"/>
        <v>#N/A</v>
      </c>
      <c r="F3875" s="80"/>
      <c r="G3875" s="81"/>
      <c r="H3875" s="78"/>
      <c r="I3875" s="78"/>
      <c r="J3875" s="78"/>
    </row>
    <row r="3876" spans="1:10" x14ac:dyDescent="0.2">
      <c r="A3876" s="84">
        <f t="shared" si="123"/>
        <v>3870</v>
      </c>
      <c r="B3876" s="85" t="e">
        <f>+MATCH(D3876,ARTICULOS!$F$10:$F$699,0)</f>
        <v>#N/A</v>
      </c>
      <c r="C3876" s="86" t="e">
        <f>+VLOOKUP(B3876,ARTICULOS!$D$10:$I$699,6)</f>
        <v>#N/A</v>
      </c>
      <c r="D3876" s="212"/>
      <c r="E3876" s="75" t="e">
        <f t="shared" si="124"/>
        <v>#N/A</v>
      </c>
      <c r="F3876" s="80"/>
      <c r="G3876" s="81"/>
      <c r="H3876" s="78"/>
      <c r="I3876" s="78"/>
      <c r="J3876" s="78"/>
    </row>
    <row r="3877" spans="1:10" x14ac:dyDescent="0.2">
      <c r="A3877" s="84">
        <f t="shared" si="123"/>
        <v>3871</v>
      </c>
      <c r="B3877" s="85" t="e">
        <f>+MATCH(D3877,ARTICULOS!$F$10:$F$699,0)</f>
        <v>#N/A</v>
      </c>
      <c r="C3877" s="86" t="e">
        <f>+VLOOKUP(B3877,ARTICULOS!$D$10:$I$699,6)</f>
        <v>#N/A</v>
      </c>
      <c r="D3877" s="212"/>
      <c r="E3877" s="75" t="e">
        <f t="shared" si="124"/>
        <v>#N/A</v>
      </c>
      <c r="F3877" s="80"/>
      <c r="G3877" s="81"/>
      <c r="H3877" s="78"/>
      <c r="I3877" s="78"/>
      <c r="J3877" s="78"/>
    </row>
    <row r="3878" spans="1:10" x14ac:dyDescent="0.2">
      <c r="A3878" s="84">
        <f t="shared" si="123"/>
        <v>3872</v>
      </c>
      <c r="B3878" s="85" t="e">
        <f>+MATCH(D3878,ARTICULOS!$F$10:$F$699,0)</f>
        <v>#N/A</v>
      </c>
      <c r="C3878" s="86" t="e">
        <f>+VLOOKUP(B3878,ARTICULOS!$D$10:$I$699,6)</f>
        <v>#N/A</v>
      </c>
      <c r="D3878" s="212"/>
      <c r="E3878" s="75" t="e">
        <f t="shared" si="124"/>
        <v>#N/A</v>
      </c>
      <c r="F3878" s="80"/>
      <c r="G3878" s="81"/>
      <c r="H3878" s="78"/>
      <c r="I3878" s="78"/>
      <c r="J3878" s="78"/>
    </row>
    <row r="3879" spans="1:10" x14ac:dyDescent="0.2">
      <c r="A3879" s="84">
        <f t="shared" si="123"/>
        <v>3873</v>
      </c>
      <c r="B3879" s="85" t="e">
        <f>+MATCH(D3879,ARTICULOS!$F$10:$F$699,0)</f>
        <v>#N/A</v>
      </c>
      <c r="C3879" s="86" t="e">
        <f>+VLOOKUP(B3879,ARTICULOS!$D$10:$I$699,6)</f>
        <v>#N/A</v>
      </c>
      <c r="D3879" s="212"/>
      <c r="E3879" s="75" t="e">
        <f t="shared" si="124"/>
        <v>#N/A</v>
      </c>
      <c r="F3879" s="80"/>
      <c r="G3879" s="81"/>
      <c r="H3879" s="78"/>
      <c r="I3879" s="78"/>
      <c r="J3879" s="78"/>
    </row>
    <row r="3880" spans="1:10" x14ac:dyDescent="0.2">
      <c r="A3880" s="84">
        <f t="shared" si="123"/>
        <v>3874</v>
      </c>
      <c r="B3880" s="85" t="e">
        <f>+MATCH(D3880,ARTICULOS!$F$10:$F$699,0)</f>
        <v>#N/A</v>
      </c>
      <c r="C3880" s="86" t="e">
        <f>+VLOOKUP(B3880,ARTICULOS!$D$10:$I$699,6)</f>
        <v>#N/A</v>
      </c>
      <c r="D3880" s="212"/>
      <c r="E3880" s="75" t="e">
        <f t="shared" si="124"/>
        <v>#N/A</v>
      </c>
      <c r="F3880" s="80"/>
      <c r="G3880" s="81"/>
      <c r="H3880" s="78"/>
      <c r="I3880" s="78"/>
      <c r="J3880" s="78"/>
    </row>
    <row r="3881" spans="1:10" x14ac:dyDescent="0.2">
      <c r="A3881" s="84">
        <f t="shared" ref="A3881:A3944" si="125">ROW()-6</f>
        <v>3875</v>
      </c>
      <c r="B3881" s="85" t="e">
        <f>+MATCH(D3881,ARTICULOS!$F$10:$F$699,0)</f>
        <v>#N/A</v>
      </c>
      <c r="C3881" s="86" t="e">
        <f>+VLOOKUP(B3881,ARTICULOS!$D$10:$I$699,6)</f>
        <v>#N/A</v>
      </c>
      <c r="D3881" s="212"/>
      <c r="E3881" s="75" t="e">
        <f t="shared" si="124"/>
        <v>#N/A</v>
      </c>
      <c r="F3881" s="80"/>
      <c r="G3881" s="81"/>
      <c r="H3881" s="78"/>
      <c r="I3881" s="78"/>
      <c r="J3881" s="78"/>
    </row>
    <row r="3882" spans="1:10" x14ac:dyDescent="0.2">
      <c r="A3882" s="84">
        <f t="shared" si="125"/>
        <v>3876</v>
      </c>
      <c r="B3882" s="85" t="e">
        <f>+MATCH(D3882,ARTICULOS!$F$10:$F$699,0)</f>
        <v>#N/A</v>
      </c>
      <c r="C3882" s="86" t="e">
        <f>+VLOOKUP(B3882,ARTICULOS!$D$10:$I$699,6)</f>
        <v>#N/A</v>
      </c>
      <c r="D3882" s="212"/>
      <c r="E3882" s="75" t="e">
        <f t="shared" si="124"/>
        <v>#N/A</v>
      </c>
      <c r="F3882" s="80"/>
      <c r="G3882" s="81"/>
      <c r="H3882" s="78"/>
      <c r="I3882" s="78"/>
      <c r="J3882" s="78"/>
    </row>
    <row r="3883" spans="1:10" x14ac:dyDescent="0.2">
      <c r="A3883" s="84">
        <f t="shared" si="125"/>
        <v>3877</v>
      </c>
      <c r="B3883" s="85" t="e">
        <f>+MATCH(D3883,ARTICULOS!$F$10:$F$699,0)</f>
        <v>#N/A</v>
      </c>
      <c r="C3883" s="86" t="e">
        <f>+VLOOKUP(B3883,ARTICULOS!$D$10:$I$699,6)</f>
        <v>#N/A</v>
      </c>
      <c r="D3883" s="212"/>
      <c r="E3883" s="75" t="e">
        <f t="shared" si="124"/>
        <v>#N/A</v>
      </c>
      <c r="F3883" s="80"/>
      <c r="G3883" s="81"/>
      <c r="H3883" s="78"/>
      <c r="I3883" s="78"/>
      <c r="J3883" s="78"/>
    </row>
    <row r="3884" spans="1:10" x14ac:dyDescent="0.2">
      <c r="A3884" s="84">
        <f t="shared" si="125"/>
        <v>3878</v>
      </c>
      <c r="B3884" s="85" t="e">
        <f>+MATCH(D3884,ARTICULOS!$F$10:$F$699,0)</f>
        <v>#N/A</v>
      </c>
      <c r="C3884" s="86" t="e">
        <f>+VLOOKUP(B3884,ARTICULOS!$D$10:$I$699,6)</f>
        <v>#N/A</v>
      </c>
      <c r="D3884" s="212"/>
      <c r="E3884" s="75" t="e">
        <f t="shared" si="124"/>
        <v>#N/A</v>
      </c>
      <c r="F3884" s="80"/>
      <c r="G3884" s="81"/>
      <c r="H3884" s="78"/>
      <c r="I3884" s="78"/>
      <c r="J3884" s="78"/>
    </row>
    <row r="3885" spans="1:10" x14ac:dyDescent="0.2">
      <c r="A3885" s="84">
        <f t="shared" si="125"/>
        <v>3879</v>
      </c>
      <c r="B3885" s="85" t="e">
        <f>+MATCH(D3885,ARTICULOS!$F$10:$F$699,0)</f>
        <v>#N/A</v>
      </c>
      <c r="C3885" s="86" t="e">
        <f>+VLOOKUP(B3885,ARTICULOS!$D$10:$I$699,6)</f>
        <v>#N/A</v>
      </c>
      <c r="D3885" s="212"/>
      <c r="E3885" s="75" t="e">
        <f t="shared" si="124"/>
        <v>#N/A</v>
      </c>
      <c r="F3885" s="80"/>
      <c r="G3885" s="81"/>
      <c r="H3885" s="78"/>
      <c r="I3885" s="78"/>
      <c r="J3885" s="78"/>
    </row>
    <row r="3886" spans="1:10" x14ac:dyDescent="0.2">
      <c r="A3886" s="84">
        <f t="shared" si="125"/>
        <v>3880</v>
      </c>
      <c r="B3886" s="85" t="e">
        <f>+MATCH(D3886,ARTICULOS!$F$10:$F$699,0)</f>
        <v>#N/A</v>
      </c>
      <c r="C3886" s="86" t="e">
        <f>+VLOOKUP(B3886,ARTICULOS!$D$10:$I$699,6)</f>
        <v>#N/A</v>
      </c>
      <c r="D3886" s="212"/>
      <c r="E3886" s="75" t="e">
        <f t="shared" si="124"/>
        <v>#N/A</v>
      </c>
      <c r="F3886" s="80"/>
      <c r="G3886" s="81"/>
      <c r="H3886" s="78"/>
      <c r="I3886" s="78"/>
      <c r="J3886" s="78"/>
    </row>
    <row r="3887" spans="1:10" x14ac:dyDescent="0.2">
      <c r="A3887" s="84">
        <f t="shared" si="125"/>
        <v>3881</v>
      </c>
      <c r="B3887" s="85" t="e">
        <f>+MATCH(D3887,ARTICULOS!$F$10:$F$699,0)</f>
        <v>#N/A</v>
      </c>
      <c r="C3887" s="86" t="e">
        <f>+VLOOKUP(B3887,ARTICULOS!$D$10:$I$699,6)</f>
        <v>#N/A</v>
      </c>
      <c r="D3887" s="212"/>
      <c r="E3887" s="75" t="e">
        <f t="shared" si="124"/>
        <v>#N/A</v>
      </c>
      <c r="F3887" s="80"/>
      <c r="G3887" s="81"/>
      <c r="H3887" s="78"/>
      <c r="I3887" s="78"/>
      <c r="J3887" s="78"/>
    </row>
    <row r="3888" spans="1:10" x14ac:dyDescent="0.2">
      <c r="A3888" s="84">
        <f t="shared" si="125"/>
        <v>3882</v>
      </c>
      <c r="B3888" s="85" t="e">
        <f>+MATCH(D3888,ARTICULOS!$F$10:$F$699,0)</f>
        <v>#N/A</v>
      </c>
      <c r="C3888" s="86" t="e">
        <f>+VLOOKUP(B3888,ARTICULOS!$D$10:$I$699,6)</f>
        <v>#N/A</v>
      </c>
      <c r="D3888" s="212"/>
      <c r="E3888" s="75" t="e">
        <f t="shared" si="124"/>
        <v>#N/A</v>
      </c>
      <c r="F3888" s="80"/>
      <c r="G3888" s="81"/>
      <c r="H3888" s="78"/>
      <c r="I3888" s="78"/>
      <c r="J3888" s="78"/>
    </row>
    <row r="3889" spans="1:10" x14ac:dyDescent="0.2">
      <c r="A3889" s="84">
        <f t="shared" si="125"/>
        <v>3883</v>
      </c>
      <c r="B3889" s="85" t="e">
        <f>+MATCH(D3889,ARTICULOS!$F$10:$F$699,0)</f>
        <v>#N/A</v>
      </c>
      <c r="C3889" s="86" t="e">
        <f>+VLOOKUP(B3889,ARTICULOS!$D$10:$I$699,6)</f>
        <v>#N/A</v>
      </c>
      <c r="D3889" s="212"/>
      <c r="E3889" s="75" t="e">
        <f t="shared" si="124"/>
        <v>#N/A</v>
      </c>
      <c r="F3889" s="80"/>
      <c r="G3889" s="81"/>
      <c r="H3889" s="78"/>
      <c r="I3889" s="78"/>
      <c r="J3889" s="78"/>
    </row>
    <row r="3890" spans="1:10" x14ac:dyDescent="0.2">
      <c r="A3890" s="84">
        <f t="shared" si="125"/>
        <v>3884</v>
      </c>
      <c r="B3890" s="85" t="e">
        <f>+MATCH(D3890,ARTICULOS!$F$10:$F$699,0)</f>
        <v>#N/A</v>
      </c>
      <c r="C3890" s="86" t="e">
        <f>+VLOOKUP(B3890,ARTICULOS!$D$10:$I$699,6)</f>
        <v>#N/A</v>
      </c>
      <c r="D3890" s="212"/>
      <c r="E3890" s="75" t="e">
        <f t="shared" si="124"/>
        <v>#N/A</v>
      </c>
      <c r="F3890" s="80"/>
      <c r="G3890" s="81"/>
      <c r="H3890" s="78"/>
      <c r="I3890" s="78"/>
      <c r="J3890" s="78"/>
    </row>
    <row r="3891" spans="1:10" x14ac:dyDescent="0.2">
      <c r="A3891" s="84">
        <f t="shared" si="125"/>
        <v>3885</v>
      </c>
      <c r="B3891" s="85" t="e">
        <f>+MATCH(D3891,ARTICULOS!$F$10:$F$699,0)</f>
        <v>#N/A</v>
      </c>
      <c r="C3891" s="86" t="e">
        <f>+VLOOKUP(B3891,ARTICULOS!$D$10:$I$699,6)</f>
        <v>#N/A</v>
      </c>
      <c r="D3891" s="212"/>
      <c r="E3891" s="75" t="e">
        <f t="shared" si="124"/>
        <v>#N/A</v>
      </c>
      <c r="F3891" s="80"/>
      <c r="G3891" s="81"/>
      <c r="H3891" s="78"/>
      <c r="I3891" s="78"/>
      <c r="J3891" s="78"/>
    </row>
    <row r="3892" spans="1:10" x14ac:dyDescent="0.2">
      <c r="A3892" s="84">
        <f t="shared" si="125"/>
        <v>3886</v>
      </c>
      <c r="B3892" s="85" t="e">
        <f>+MATCH(D3892,ARTICULOS!$F$10:$F$699,0)</f>
        <v>#N/A</v>
      </c>
      <c r="C3892" s="86" t="e">
        <f>+VLOOKUP(B3892,ARTICULOS!$D$10:$I$699,6)</f>
        <v>#N/A</v>
      </c>
      <c r="D3892" s="212"/>
      <c r="E3892" s="75" t="e">
        <f t="shared" si="124"/>
        <v>#N/A</v>
      </c>
      <c r="F3892" s="80"/>
      <c r="G3892" s="81"/>
      <c r="H3892" s="78"/>
      <c r="I3892" s="78"/>
      <c r="J3892" s="78"/>
    </row>
    <row r="3893" spans="1:10" x14ac:dyDescent="0.2">
      <c r="A3893" s="84">
        <f t="shared" si="125"/>
        <v>3887</v>
      </c>
      <c r="B3893" s="85" t="e">
        <f>+MATCH(D3893,ARTICULOS!$F$10:$F$699,0)</f>
        <v>#N/A</v>
      </c>
      <c r="C3893" s="86" t="e">
        <f>+VLOOKUP(B3893,ARTICULOS!$D$10:$I$699,6)</f>
        <v>#N/A</v>
      </c>
      <c r="D3893" s="212"/>
      <c r="E3893" s="75" t="e">
        <f t="shared" si="124"/>
        <v>#N/A</v>
      </c>
      <c r="F3893" s="80"/>
      <c r="G3893" s="81"/>
      <c r="H3893" s="78"/>
      <c r="I3893" s="78"/>
      <c r="J3893" s="78"/>
    </row>
    <row r="3894" spans="1:10" x14ac:dyDescent="0.2">
      <c r="A3894" s="84">
        <f t="shared" si="125"/>
        <v>3888</v>
      </c>
      <c r="B3894" s="85" t="e">
        <f>+MATCH(D3894,ARTICULOS!$F$10:$F$699,0)</f>
        <v>#N/A</v>
      </c>
      <c r="C3894" s="86" t="e">
        <f>+VLOOKUP(B3894,ARTICULOS!$D$10:$I$699,6)</f>
        <v>#N/A</v>
      </c>
      <c r="D3894" s="212"/>
      <c r="E3894" s="75" t="e">
        <f t="shared" si="124"/>
        <v>#N/A</v>
      </c>
      <c r="F3894" s="80"/>
      <c r="G3894" s="81"/>
      <c r="H3894" s="78"/>
      <c r="I3894" s="78"/>
      <c r="J3894" s="78"/>
    </row>
    <row r="3895" spans="1:10" x14ac:dyDescent="0.2">
      <c r="A3895" s="84">
        <f t="shared" si="125"/>
        <v>3889</v>
      </c>
      <c r="B3895" s="85" t="e">
        <f>+MATCH(D3895,ARTICULOS!$F$10:$F$699,0)</f>
        <v>#N/A</v>
      </c>
      <c r="C3895" s="86" t="e">
        <f>+VLOOKUP(B3895,ARTICULOS!$D$10:$I$699,6)</f>
        <v>#N/A</v>
      </c>
      <c r="D3895" s="212"/>
      <c r="E3895" s="75" t="e">
        <f t="shared" si="124"/>
        <v>#N/A</v>
      </c>
      <c r="F3895" s="80"/>
      <c r="G3895" s="81"/>
      <c r="H3895" s="78"/>
      <c r="I3895" s="78"/>
      <c r="J3895" s="78"/>
    </row>
    <row r="3896" spans="1:10" x14ac:dyDescent="0.2">
      <c r="A3896" s="84">
        <f t="shared" si="125"/>
        <v>3890</v>
      </c>
      <c r="B3896" s="85" t="e">
        <f>+MATCH(D3896,ARTICULOS!$F$10:$F$699,0)</f>
        <v>#N/A</v>
      </c>
      <c r="C3896" s="86" t="e">
        <f>+VLOOKUP(B3896,ARTICULOS!$D$10:$I$699,6)</f>
        <v>#N/A</v>
      </c>
      <c r="D3896" s="212"/>
      <c r="E3896" s="75" t="e">
        <f t="shared" si="124"/>
        <v>#N/A</v>
      </c>
      <c r="F3896" s="80"/>
      <c r="G3896" s="81"/>
      <c r="H3896" s="78"/>
      <c r="I3896" s="78"/>
      <c r="J3896" s="78"/>
    </row>
    <row r="3897" spans="1:10" x14ac:dyDescent="0.2">
      <c r="A3897" s="84">
        <f t="shared" si="125"/>
        <v>3891</v>
      </c>
      <c r="B3897" s="85" t="e">
        <f>+MATCH(D3897,ARTICULOS!$F$10:$F$699,0)</f>
        <v>#N/A</v>
      </c>
      <c r="C3897" s="86" t="e">
        <f>+VLOOKUP(B3897,ARTICULOS!$D$10:$I$699,6)</f>
        <v>#N/A</v>
      </c>
      <c r="D3897" s="212"/>
      <c r="E3897" s="75" t="e">
        <f t="shared" si="124"/>
        <v>#N/A</v>
      </c>
      <c r="F3897" s="80"/>
      <c r="G3897" s="81"/>
      <c r="H3897" s="78"/>
      <c r="I3897" s="78"/>
      <c r="J3897" s="78"/>
    </row>
    <row r="3898" spans="1:10" x14ac:dyDescent="0.2">
      <c r="A3898" s="84">
        <f t="shared" si="125"/>
        <v>3892</v>
      </c>
      <c r="B3898" s="85" t="e">
        <f>+MATCH(D3898,ARTICULOS!$F$10:$F$699,0)</f>
        <v>#N/A</v>
      </c>
      <c r="C3898" s="86" t="e">
        <f>+VLOOKUP(B3898,ARTICULOS!$D$10:$I$699,6)</f>
        <v>#N/A</v>
      </c>
      <c r="D3898" s="212"/>
      <c r="E3898" s="75" t="e">
        <f t="shared" si="124"/>
        <v>#N/A</v>
      </c>
      <c r="F3898" s="80"/>
      <c r="G3898" s="81"/>
      <c r="H3898" s="78"/>
      <c r="I3898" s="78"/>
      <c r="J3898" s="78"/>
    </row>
    <row r="3899" spans="1:10" x14ac:dyDescent="0.2">
      <c r="A3899" s="84">
        <f t="shared" si="125"/>
        <v>3893</v>
      </c>
      <c r="B3899" s="85" t="e">
        <f>+MATCH(D3899,ARTICULOS!$F$10:$F$699,0)</f>
        <v>#N/A</v>
      </c>
      <c r="C3899" s="86" t="e">
        <f>+VLOOKUP(B3899,ARTICULOS!$D$10:$I$699,6)</f>
        <v>#N/A</v>
      </c>
      <c r="D3899" s="212"/>
      <c r="E3899" s="75" t="e">
        <f t="shared" si="124"/>
        <v>#N/A</v>
      </c>
      <c r="F3899" s="80"/>
      <c r="G3899" s="81"/>
      <c r="H3899" s="78"/>
      <c r="I3899" s="78"/>
      <c r="J3899" s="78"/>
    </row>
    <row r="3900" spans="1:10" x14ac:dyDescent="0.2">
      <c r="A3900" s="84">
        <f t="shared" si="125"/>
        <v>3894</v>
      </c>
      <c r="B3900" s="85" t="e">
        <f>+MATCH(D3900,ARTICULOS!$F$10:$F$699,0)</f>
        <v>#N/A</v>
      </c>
      <c r="C3900" s="86" t="e">
        <f>+VLOOKUP(B3900,ARTICULOS!$D$10:$I$699,6)</f>
        <v>#N/A</v>
      </c>
      <c r="D3900" s="212"/>
      <c r="E3900" s="75" t="e">
        <f t="shared" si="124"/>
        <v>#N/A</v>
      </c>
      <c r="F3900" s="80"/>
      <c r="G3900" s="81"/>
      <c r="H3900" s="78"/>
      <c r="I3900" s="78"/>
      <c r="J3900" s="78"/>
    </row>
    <row r="3901" spans="1:10" x14ac:dyDescent="0.2">
      <c r="A3901" s="84">
        <f t="shared" si="125"/>
        <v>3895</v>
      </c>
      <c r="B3901" s="85" t="e">
        <f>+MATCH(D3901,ARTICULOS!$F$10:$F$699,0)</f>
        <v>#N/A</v>
      </c>
      <c r="C3901" s="86" t="e">
        <f>+VLOOKUP(B3901,ARTICULOS!$D$10:$I$699,6)</f>
        <v>#N/A</v>
      </c>
      <c r="D3901" s="212"/>
      <c r="E3901" s="75" t="e">
        <f t="shared" si="124"/>
        <v>#N/A</v>
      </c>
      <c r="F3901" s="80"/>
      <c r="G3901" s="81"/>
      <c r="H3901" s="78"/>
      <c r="I3901" s="78"/>
      <c r="J3901" s="78"/>
    </row>
    <row r="3902" spans="1:10" x14ac:dyDescent="0.2">
      <c r="A3902" s="84">
        <f t="shared" si="125"/>
        <v>3896</v>
      </c>
      <c r="B3902" s="85" t="e">
        <f>+MATCH(D3902,ARTICULOS!$F$10:$F$699,0)</f>
        <v>#N/A</v>
      </c>
      <c r="C3902" s="86" t="e">
        <f>+VLOOKUP(B3902,ARTICULOS!$D$10:$I$699,6)</f>
        <v>#N/A</v>
      </c>
      <c r="D3902" s="212"/>
      <c r="E3902" s="75" t="e">
        <f t="shared" si="124"/>
        <v>#N/A</v>
      </c>
      <c r="F3902" s="80"/>
      <c r="G3902" s="81"/>
      <c r="H3902" s="78"/>
      <c r="I3902" s="78"/>
      <c r="J3902" s="78"/>
    </row>
    <row r="3903" spans="1:10" x14ac:dyDescent="0.2">
      <c r="A3903" s="84">
        <f t="shared" si="125"/>
        <v>3897</v>
      </c>
      <c r="B3903" s="85" t="e">
        <f>+MATCH(D3903,ARTICULOS!$F$10:$F$699,0)</f>
        <v>#N/A</v>
      </c>
      <c r="C3903" s="86" t="e">
        <f>+VLOOKUP(B3903,ARTICULOS!$D$10:$I$699,6)</f>
        <v>#N/A</v>
      </c>
      <c r="D3903" s="212"/>
      <c r="E3903" s="75" t="e">
        <f t="shared" si="124"/>
        <v>#N/A</v>
      </c>
      <c r="F3903" s="80"/>
      <c r="G3903" s="81"/>
      <c r="H3903" s="78"/>
      <c r="I3903" s="78"/>
      <c r="J3903" s="78"/>
    </row>
    <row r="3904" spans="1:10" x14ac:dyDescent="0.2">
      <c r="A3904" s="84">
        <f t="shared" si="125"/>
        <v>3898</v>
      </c>
      <c r="B3904" s="85" t="e">
        <f>+MATCH(D3904,ARTICULOS!$F$10:$F$699,0)</f>
        <v>#N/A</v>
      </c>
      <c r="C3904" s="86" t="e">
        <f>+VLOOKUP(B3904,ARTICULOS!$D$10:$I$699,6)</f>
        <v>#N/A</v>
      </c>
      <c r="D3904" s="212"/>
      <c r="E3904" s="75" t="e">
        <f t="shared" si="124"/>
        <v>#N/A</v>
      </c>
      <c r="F3904" s="80"/>
      <c r="G3904" s="81"/>
      <c r="H3904" s="78"/>
      <c r="I3904" s="78"/>
      <c r="J3904" s="78"/>
    </row>
    <row r="3905" spans="1:10" x14ac:dyDescent="0.2">
      <c r="A3905" s="84">
        <f t="shared" si="125"/>
        <v>3899</v>
      </c>
      <c r="B3905" s="85" t="e">
        <f>+MATCH(D3905,ARTICULOS!$F$10:$F$699,0)</f>
        <v>#N/A</v>
      </c>
      <c r="C3905" s="86" t="e">
        <f>+VLOOKUP(B3905,ARTICULOS!$D$10:$I$699,6)</f>
        <v>#N/A</v>
      </c>
      <c r="D3905" s="212"/>
      <c r="E3905" s="75" t="e">
        <f t="shared" si="124"/>
        <v>#N/A</v>
      </c>
      <c r="F3905" s="80"/>
      <c r="G3905" s="81"/>
      <c r="H3905" s="78"/>
      <c r="I3905" s="78"/>
      <c r="J3905" s="78"/>
    </row>
    <row r="3906" spans="1:10" x14ac:dyDescent="0.2">
      <c r="A3906" s="84">
        <f t="shared" si="125"/>
        <v>3900</v>
      </c>
      <c r="B3906" s="85" t="e">
        <f>+MATCH(D3906,ARTICULOS!$F$10:$F$699,0)</f>
        <v>#N/A</v>
      </c>
      <c r="C3906" s="86" t="e">
        <f>+VLOOKUP(B3906,ARTICULOS!$D$10:$I$699,6)</f>
        <v>#N/A</v>
      </c>
      <c r="D3906" s="212"/>
      <c r="E3906" s="75" t="e">
        <f t="shared" si="124"/>
        <v>#N/A</v>
      </c>
      <c r="F3906" s="80"/>
      <c r="G3906" s="81"/>
      <c r="H3906" s="78"/>
      <c r="I3906" s="78"/>
      <c r="J3906" s="78"/>
    </row>
    <row r="3907" spans="1:10" x14ac:dyDescent="0.2">
      <c r="A3907" s="84">
        <f t="shared" si="125"/>
        <v>3901</v>
      </c>
      <c r="B3907" s="85" t="e">
        <f>+MATCH(D3907,ARTICULOS!$F$10:$F$699,0)</f>
        <v>#N/A</v>
      </c>
      <c r="C3907" s="86" t="e">
        <f>+VLOOKUP(B3907,ARTICULOS!$D$10:$I$699,6)</f>
        <v>#N/A</v>
      </c>
      <c r="D3907" s="212"/>
      <c r="E3907" s="75" t="e">
        <f t="shared" si="124"/>
        <v>#N/A</v>
      </c>
      <c r="F3907" s="80"/>
      <c r="G3907" s="81"/>
      <c r="H3907" s="78"/>
      <c r="I3907" s="78"/>
      <c r="J3907" s="78"/>
    </row>
    <row r="3908" spans="1:10" x14ac:dyDescent="0.2">
      <c r="A3908" s="84">
        <f t="shared" si="125"/>
        <v>3902</v>
      </c>
      <c r="B3908" s="85" t="e">
        <f>+MATCH(D3908,ARTICULOS!$F$10:$F$699,0)</f>
        <v>#N/A</v>
      </c>
      <c r="C3908" s="86" t="e">
        <f>+VLOOKUP(B3908,ARTICULOS!$D$10:$I$699,6)</f>
        <v>#N/A</v>
      </c>
      <c r="D3908" s="212"/>
      <c r="E3908" s="75" t="e">
        <f t="shared" si="124"/>
        <v>#N/A</v>
      </c>
      <c r="F3908" s="80"/>
      <c r="G3908" s="81"/>
      <c r="H3908" s="78"/>
      <c r="I3908" s="78"/>
      <c r="J3908" s="78"/>
    </row>
    <row r="3909" spans="1:10" x14ac:dyDescent="0.2">
      <c r="A3909" s="84">
        <f t="shared" si="125"/>
        <v>3903</v>
      </c>
      <c r="B3909" s="85" t="e">
        <f>+MATCH(D3909,ARTICULOS!$F$10:$F$699,0)</f>
        <v>#N/A</v>
      </c>
      <c r="C3909" s="86" t="e">
        <f>+VLOOKUP(B3909,ARTICULOS!$D$10:$I$699,6)</f>
        <v>#N/A</v>
      </c>
      <c r="D3909" s="212"/>
      <c r="E3909" s="75" t="e">
        <f t="shared" si="124"/>
        <v>#N/A</v>
      </c>
      <c r="F3909" s="80"/>
      <c r="G3909" s="81"/>
      <c r="H3909" s="78"/>
      <c r="I3909" s="78"/>
      <c r="J3909" s="78"/>
    </row>
    <row r="3910" spans="1:10" x14ac:dyDescent="0.2">
      <c r="A3910" s="84">
        <f t="shared" si="125"/>
        <v>3904</v>
      </c>
      <c r="B3910" s="85" t="e">
        <f>+MATCH(D3910,ARTICULOS!$F$10:$F$699,0)</f>
        <v>#N/A</v>
      </c>
      <c r="C3910" s="86" t="e">
        <f>+VLOOKUP(B3910,ARTICULOS!$D$10:$I$699,6)</f>
        <v>#N/A</v>
      </c>
      <c r="D3910" s="212"/>
      <c r="E3910" s="75" t="e">
        <f t="shared" si="124"/>
        <v>#N/A</v>
      </c>
      <c r="F3910" s="80"/>
      <c r="G3910" s="81"/>
      <c r="H3910" s="78"/>
      <c r="I3910" s="78"/>
      <c r="J3910" s="78"/>
    </row>
    <row r="3911" spans="1:10" x14ac:dyDescent="0.2">
      <c r="A3911" s="84">
        <f t="shared" si="125"/>
        <v>3905</v>
      </c>
      <c r="B3911" s="85" t="e">
        <f>+MATCH(D3911,ARTICULOS!$F$10:$F$699,0)</f>
        <v>#N/A</v>
      </c>
      <c r="C3911" s="86" t="e">
        <f>+VLOOKUP(B3911,ARTICULOS!$D$10:$I$699,6)</f>
        <v>#N/A</v>
      </c>
      <c r="D3911" s="212"/>
      <c r="E3911" s="75" t="e">
        <f t="shared" si="124"/>
        <v>#N/A</v>
      </c>
      <c r="F3911" s="80"/>
      <c r="G3911" s="81"/>
      <c r="H3911" s="78"/>
      <c r="I3911" s="78"/>
      <c r="J3911" s="78"/>
    </row>
    <row r="3912" spans="1:10" x14ac:dyDescent="0.2">
      <c r="A3912" s="84">
        <f t="shared" si="125"/>
        <v>3906</v>
      </c>
      <c r="B3912" s="85" t="e">
        <f>+MATCH(D3912,ARTICULOS!$F$10:$F$699,0)</f>
        <v>#N/A</v>
      </c>
      <c r="C3912" s="86" t="e">
        <f>+VLOOKUP(B3912,ARTICULOS!$D$10:$I$699,6)</f>
        <v>#N/A</v>
      </c>
      <c r="D3912" s="212"/>
      <c r="E3912" s="75" t="e">
        <f t="shared" si="124"/>
        <v>#N/A</v>
      </c>
      <c r="F3912" s="80"/>
      <c r="G3912" s="81"/>
      <c r="H3912" s="78"/>
      <c r="I3912" s="78"/>
      <c r="J3912" s="78"/>
    </row>
    <row r="3913" spans="1:10" x14ac:dyDescent="0.2">
      <c r="A3913" s="84">
        <f t="shared" si="125"/>
        <v>3907</v>
      </c>
      <c r="B3913" s="85" t="e">
        <f>+MATCH(D3913,ARTICULOS!$F$10:$F$699,0)</f>
        <v>#N/A</v>
      </c>
      <c r="C3913" s="86" t="e">
        <f>+VLOOKUP(B3913,ARTICULOS!$D$10:$I$699,6)</f>
        <v>#N/A</v>
      </c>
      <c r="D3913" s="212"/>
      <c r="E3913" s="75" t="e">
        <f t="shared" si="124"/>
        <v>#N/A</v>
      </c>
      <c r="F3913" s="80"/>
      <c r="G3913" s="81"/>
      <c r="H3913" s="78"/>
      <c r="I3913" s="78"/>
      <c r="J3913" s="78"/>
    </row>
    <row r="3914" spans="1:10" x14ac:dyDescent="0.2">
      <c r="A3914" s="84">
        <f t="shared" si="125"/>
        <v>3908</v>
      </c>
      <c r="B3914" s="85" t="e">
        <f>+MATCH(D3914,ARTICULOS!$F$10:$F$699,0)</f>
        <v>#N/A</v>
      </c>
      <c r="C3914" s="86" t="e">
        <f>+VLOOKUP(B3914,ARTICULOS!$D$10:$I$699,6)</f>
        <v>#N/A</v>
      </c>
      <c r="D3914" s="212"/>
      <c r="E3914" s="75" t="e">
        <f t="shared" si="124"/>
        <v>#N/A</v>
      </c>
      <c r="F3914" s="80"/>
      <c r="G3914" s="81"/>
      <c r="H3914" s="78"/>
      <c r="I3914" s="78"/>
      <c r="J3914" s="78"/>
    </row>
    <row r="3915" spans="1:10" x14ac:dyDescent="0.2">
      <c r="A3915" s="84">
        <f t="shared" si="125"/>
        <v>3909</v>
      </c>
      <c r="B3915" s="85" t="e">
        <f>+MATCH(D3915,ARTICULOS!$F$10:$F$699,0)</f>
        <v>#N/A</v>
      </c>
      <c r="C3915" s="86" t="e">
        <f>+VLOOKUP(B3915,ARTICULOS!$D$10:$I$699,6)</f>
        <v>#N/A</v>
      </c>
      <c r="D3915" s="212"/>
      <c r="E3915" s="75" t="e">
        <f t="shared" ref="E3915:E3978" si="126">+C3915&amp;F3915</f>
        <v>#N/A</v>
      </c>
      <c r="F3915" s="80"/>
      <c r="G3915" s="81"/>
      <c r="H3915" s="78"/>
      <c r="I3915" s="78"/>
      <c r="J3915" s="78"/>
    </row>
    <row r="3916" spans="1:10" x14ac:dyDescent="0.2">
      <c r="A3916" s="84">
        <f t="shared" si="125"/>
        <v>3910</v>
      </c>
      <c r="B3916" s="85" t="e">
        <f>+MATCH(D3916,ARTICULOS!$F$10:$F$699,0)</f>
        <v>#N/A</v>
      </c>
      <c r="C3916" s="86" t="e">
        <f>+VLOOKUP(B3916,ARTICULOS!$D$10:$I$699,6)</f>
        <v>#N/A</v>
      </c>
      <c r="D3916" s="212"/>
      <c r="E3916" s="75" t="e">
        <f t="shared" si="126"/>
        <v>#N/A</v>
      </c>
      <c r="F3916" s="80"/>
      <c r="G3916" s="81"/>
      <c r="H3916" s="78"/>
      <c r="I3916" s="78"/>
      <c r="J3916" s="78"/>
    </row>
    <row r="3917" spans="1:10" x14ac:dyDescent="0.2">
      <c r="A3917" s="84">
        <f t="shared" si="125"/>
        <v>3911</v>
      </c>
      <c r="B3917" s="85" t="e">
        <f>+MATCH(D3917,ARTICULOS!$F$10:$F$699,0)</f>
        <v>#N/A</v>
      </c>
      <c r="C3917" s="86" t="e">
        <f>+VLOOKUP(B3917,ARTICULOS!$D$10:$I$699,6)</f>
        <v>#N/A</v>
      </c>
      <c r="D3917" s="212"/>
      <c r="E3917" s="75" t="e">
        <f t="shared" si="126"/>
        <v>#N/A</v>
      </c>
      <c r="F3917" s="80"/>
      <c r="G3917" s="81"/>
      <c r="H3917" s="78"/>
      <c r="I3917" s="78"/>
      <c r="J3917" s="78"/>
    </row>
    <row r="3918" spans="1:10" x14ac:dyDescent="0.2">
      <c r="A3918" s="84">
        <f t="shared" si="125"/>
        <v>3912</v>
      </c>
      <c r="B3918" s="85" t="e">
        <f>+MATCH(D3918,ARTICULOS!$F$10:$F$699,0)</f>
        <v>#N/A</v>
      </c>
      <c r="C3918" s="86" t="e">
        <f>+VLOOKUP(B3918,ARTICULOS!$D$10:$I$699,6)</f>
        <v>#N/A</v>
      </c>
      <c r="D3918" s="212"/>
      <c r="E3918" s="75" t="e">
        <f t="shared" si="126"/>
        <v>#N/A</v>
      </c>
      <c r="F3918" s="80"/>
      <c r="G3918" s="81"/>
      <c r="H3918" s="78"/>
      <c r="I3918" s="78"/>
      <c r="J3918" s="78"/>
    </row>
    <row r="3919" spans="1:10" x14ac:dyDescent="0.2">
      <c r="A3919" s="84">
        <f t="shared" si="125"/>
        <v>3913</v>
      </c>
      <c r="B3919" s="85" t="e">
        <f>+MATCH(D3919,ARTICULOS!$F$10:$F$699,0)</f>
        <v>#N/A</v>
      </c>
      <c r="C3919" s="86" t="e">
        <f>+VLOOKUP(B3919,ARTICULOS!$D$10:$I$699,6)</f>
        <v>#N/A</v>
      </c>
      <c r="D3919" s="212"/>
      <c r="E3919" s="75" t="e">
        <f t="shared" si="126"/>
        <v>#N/A</v>
      </c>
      <c r="F3919" s="80"/>
      <c r="G3919" s="81"/>
      <c r="H3919" s="78"/>
      <c r="I3919" s="78"/>
      <c r="J3919" s="78"/>
    </row>
    <row r="3920" spans="1:10" x14ac:dyDescent="0.2">
      <c r="A3920" s="84">
        <f t="shared" si="125"/>
        <v>3914</v>
      </c>
      <c r="B3920" s="85" t="e">
        <f>+MATCH(D3920,ARTICULOS!$F$10:$F$699,0)</f>
        <v>#N/A</v>
      </c>
      <c r="C3920" s="86" t="e">
        <f>+VLOOKUP(B3920,ARTICULOS!$D$10:$I$699,6)</f>
        <v>#N/A</v>
      </c>
      <c r="D3920" s="212"/>
      <c r="E3920" s="75" t="e">
        <f t="shared" si="126"/>
        <v>#N/A</v>
      </c>
      <c r="F3920" s="80"/>
      <c r="G3920" s="81"/>
      <c r="H3920" s="78"/>
      <c r="I3920" s="78"/>
      <c r="J3920" s="78"/>
    </row>
    <row r="3921" spans="1:10" x14ac:dyDescent="0.2">
      <c r="A3921" s="84">
        <f t="shared" si="125"/>
        <v>3915</v>
      </c>
      <c r="B3921" s="85" t="e">
        <f>+MATCH(D3921,ARTICULOS!$F$10:$F$699,0)</f>
        <v>#N/A</v>
      </c>
      <c r="C3921" s="86" t="e">
        <f>+VLOOKUP(B3921,ARTICULOS!$D$10:$I$699,6)</f>
        <v>#N/A</v>
      </c>
      <c r="D3921" s="212"/>
      <c r="E3921" s="75" t="e">
        <f t="shared" si="126"/>
        <v>#N/A</v>
      </c>
      <c r="F3921" s="80"/>
      <c r="G3921" s="81"/>
      <c r="H3921" s="78"/>
      <c r="I3921" s="78"/>
      <c r="J3921" s="78"/>
    </row>
    <row r="3922" spans="1:10" x14ac:dyDescent="0.2">
      <c r="A3922" s="84">
        <f t="shared" si="125"/>
        <v>3916</v>
      </c>
      <c r="B3922" s="85" t="e">
        <f>+MATCH(D3922,ARTICULOS!$F$10:$F$699,0)</f>
        <v>#N/A</v>
      </c>
      <c r="C3922" s="86" t="e">
        <f>+VLOOKUP(B3922,ARTICULOS!$D$10:$I$699,6)</f>
        <v>#N/A</v>
      </c>
      <c r="D3922" s="212"/>
      <c r="E3922" s="75" t="e">
        <f t="shared" si="126"/>
        <v>#N/A</v>
      </c>
      <c r="F3922" s="80"/>
      <c r="G3922" s="81"/>
      <c r="H3922" s="78"/>
      <c r="I3922" s="78"/>
      <c r="J3922" s="78"/>
    </row>
    <row r="3923" spans="1:10" x14ac:dyDescent="0.2">
      <c r="A3923" s="84">
        <f t="shared" si="125"/>
        <v>3917</v>
      </c>
      <c r="B3923" s="85" t="e">
        <f>+MATCH(D3923,ARTICULOS!$F$10:$F$699,0)</f>
        <v>#N/A</v>
      </c>
      <c r="C3923" s="86" t="e">
        <f>+VLOOKUP(B3923,ARTICULOS!$D$10:$I$699,6)</f>
        <v>#N/A</v>
      </c>
      <c r="D3923" s="212"/>
      <c r="E3923" s="75" t="e">
        <f t="shared" si="126"/>
        <v>#N/A</v>
      </c>
      <c r="F3923" s="80"/>
      <c r="G3923" s="81"/>
      <c r="H3923" s="78"/>
      <c r="I3923" s="78"/>
      <c r="J3923" s="78"/>
    </row>
    <row r="3924" spans="1:10" x14ac:dyDescent="0.2">
      <c r="A3924" s="84">
        <f t="shared" si="125"/>
        <v>3918</v>
      </c>
      <c r="B3924" s="85" t="e">
        <f>+MATCH(D3924,ARTICULOS!$F$10:$F$699,0)</f>
        <v>#N/A</v>
      </c>
      <c r="C3924" s="86" t="e">
        <f>+VLOOKUP(B3924,ARTICULOS!$D$10:$I$699,6)</f>
        <v>#N/A</v>
      </c>
      <c r="D3924" s="212"/>
      <c r="E3924" s="75" t="e">
        <f t="shared" si="126"/>
        <v>#N/A</v>
      </c>
      <c r="F3924" s="80"/>
      <c r="G3924" s="81"/>
      <c r="H3924" s="78"/>
      <c r="I3924" s="78"/>
      <c r="J3924" s="78"/>
    </row>
    <row r="3925" spans="1:10" x14ac:dyDescent="0.2">
      <c r="A3925" s="84">
        <f t="shared" si="125"/>
        <v>3919</v>
      </c>
      <c r="B3925" s="85" t="e">
        <f>+MATCH(D3925,ARTICULOS!$F$10:$F$699,0)</f>
        <v>#N/A</v>
      </c>
      <c r="C3925" s="86" t="e">
        <f>+VLOOKUP(B3925,ARTICULOS!$D$10:$I$699,6)</f>
        <v>#N/A</v>
      </c>
      <c r="D3925" s="212"/>
      <c r="E3925" s="75" t="e">
        <f t="shared" si="126"/>
        <v>#N/A</v>
      </c>
      <c r="F3925" s="80"/>
      <c r="G3925" s="81"/>
      <c r="H3925" s="78"/>
      <c r="I3925" s="78"/>
      <c r="J3925" s="78"/>
    </row>
    <row r="3926" spans="1:10" x14ac:dyDescent="0.2">
      <c r="A3926" s="84">
        <f t="shared" si="125"/>
        <v>3920</v>
      </c>
      <c r="B3926" s="85" t="e">
        <f>+MATCH(D3926,ARTICULOS!$F$10:$F$699,0)</f>
        <v>#N/A</v>
      </c>
      <c r="C3926" s="86" t="e">
        <f>+VLOOKUP(B3926,ARTICULOS!$D$10:$I$699,6)</f>
        <v>#N/A</v>
      </c>
      <c r="D3926" s="212"/>
      <c r="E3926" s="75" t="e">
        <f t="shared" si="126"/>
        <v>#N/A</v>
      </c>
      <c r="F3926" s="80"/>
      <c r="G3926" s="81"/>
      <c r="H3926" s="78"/>
      <c r="I3926" s="78"/>
      <c r="J3926" s="78"/>
    </row>
    <row r="3927" spans="1:10" x14ac:dyDescent="0.2">
      <c r="A3927" s="84">
        <f t="shared" si="125"/>
        <v>3921</v>
      </c>
      <c r="B3927" s="85" t="e">
        <f>+MATCH(D3927,ARTICULOS!$F$10:$F$699,0)</f>
        <v>#N/A</v>
      </c>
      <c r="C3927" s="86" t="e">
        <f>+VLOOKUP(B3927,ARTICULOS!$D$10:$I$699,6)</f>
        <v>#N/A</v>
      </c>
      <c r="D3927" s="212"/>
      <c r="E3927" s="75" t="e">
        <f t="shared" si="126"/>
        <v>#N/A</v>
      </c>
      <c r="F3927" s="80"/>
      <c r="G3927" s="81"/>
      <c r="H3927" s="78"/>
      <c r="I3927" s="78"/>
      <c r="J3927" s="78"/>
    </row>
    <row r="3928" spans="1:10" x14ac:dyDescent="0.2">
      <c r="A3928" s="84">
        <f t="shared" si="125"/>
        <v>3922</v>
      </c>
      <c r="B3928" s="85" t="e">
        <f>+MATCH(D3928,ARTICULOS!$F$10:$F$699,0)</f>
        <v>#N/A</v>
      </c>
      <c r="C3928" s="86" t="e">
        <f>+VLOOKUP(B3928,ARTICULOS!$D$10:$I$699,6)</f>
        <v>#N/A</v>
      </c>
      <c r="D3928" s="212"/>
      <c r="E3928" s="75" t="e">
        <f t="shared" si="126"/>
        <v>#N/A</v>
      </c>
      <c r="F3928" s="80"/>
      <c r="G3928" s="81"/>
      <c r="H3928" s="78"/>
      <c r="I3928" s="78"/>
      <c r="J3928" s="78"/>
    </row>
    <row r="3929" spans="1:10" x14ac:dyDescent="0.2">
      <c r="A3929" s="84">
        <f t="shared" si="125"/>
        <v>3923</v>
      </c>
      <c r="B3929" s="85" t="e">
        <f>+MATCH(D3929,ARTICULOS!$F$10:$F$699,0)</f>
        <v>#N/A</v>
      </c>
      <c r="C3929" s="86" t="e">
        <f>+VLOOKUP(B3929,ARTICULOS!$D$10:$I$699,6)</f>
        <v>#N/A</v>
      </c>
      <c r="D3929" s="212"/>
      <c r="E3929" s="75" t="e">
        <f t="shared" si="126"/>
        <v>#N/A</v>
      </c>
      <c r="F3929" s="80"/>
      <c r="G3929" s="81"/>
      <c r="H3929" s="78"/>
      <c r="I3929" s="78"/>
      <c r="J3929" s="78"/>
    </row>
    <row r="3930" spans="1:10" x14ac:dyDescent="0.2">
      <c r="A3930" s="84">
        <f t="shared" si="125"/>
        <v>3924</v>
      </c>
      <c r="B3930" s="85" t="e">
        <f>+MATCH(D3930,ARTICULOS!$F$10:$F$699,0)</f>
        <v>#N/A</v>
      </c>
      <c r="C3930" s="86" t="e">
        <f>+VLOOKUP(B3930,ARTICULOS!$D$10:$I$699,6)</f>
        <v>#N/A</v>
      </c>
      <c r="D3930" s="212"/>
      <c r="E3930" s="75" t="e">
        <f t="shared" si="126"/>
        <v>#N/A</v>
      </c>
      <c r="F3930" s="80"/>
      <c r="G3930" s="81"/>
      <c r="H3930" s="78"/>
      <c r="I3930" s="78"/>
      <c r="J3930" s="78"/>
    </row>
    <row r="3931" spans="1:10" x14ac:dyDescent="0.2">
      <c r="A3931" s="84">
        <f t="shared" si="125"/>
        <v>3925</v>
      </c>
      <c r="B3931" s="85" t="e">
        <f>+MATCH(D3931,ARTICULOS!$F$10:$F$699,0)</f>
        <v>#N/A</v>
      </c>
      <c r="C3931" s="86" t="e">
        <f>+VLOOKUP(B3931,ARTICULOS!$D$10:$I$699,6)</f>
        <v>#N/A</v>
      </c>
      <c r="D3931" s="212"/>
      <c r="E3931" s="75" t="e">
        <f t="shared" si="126"/>
        <v>#N/A</v>
      </c>
      <c r="F3931" s="80"/>
      <c r="G3931" s="81"/>
      <c r="H3931" s="78"/>
      <c r="I3931" s="78"/>
      <c r="J3931" s="78"/>
    </row>
    <row r="3932" spans="1:10" x14ac:dyDescent="0.2">
      <c r="A3932" s="84">
        <f t="shared" si="125"/>
        <v>3926</v>
      </c>
      <c r="B3932" s="85" t="e">
        <f>+MATCH(D3932,ARTICULOS!$F$10:$F$699,0)</f>
        <v>#N/A</v>
      </c>
      <c r="C3932" s="86" t="e">
        <f>+VLOOKUP(B3932,ARTICULOS!$D$10:$I$699,6)</f>
        <v>#N/A</v>
      </c>
      <c r="D3932" s="212"/>
      <c r="E3932" s="75" t="e">
        <f t="shared" si="126"/>
        <v>#N/A</v>
      </c>
      <c r="F3932" s="80"/>
      <c r="G3932" s="81"/>
      <c r="H3932" s="78"/>
      <c r="I3932" s="78"/>
      <c r="J3932" s="78"/>
    </row>
    <row r="3933" spans="1:10" x14ac:dyDescent="0.2">
      <c r="A3933" s="84">
        <f t="shared" si="125"/>
        <v>3927</v>
      </c>
      <c r="B3933" s="85" t="e">
        <f>+MATCH(D3933,ARTICULOS!$F$10:$F$699,0)</f>
        <v>#N/A</v>
      </c>
      <c r="C3933" s="86" t="e">
        <f>+VLOOKUP(B3933,ARTICULOS!$D$10:$I$699,6)</f>
        <v>#N/A</v>
      </c>
      <c r="D3933" s="212"/>
      <c r="E3933" s="75" t="e">
        <f t="shared" si="126"/>
        <v>#N/A</v>
      </c>
      <c r="F3933" s="80"/>
      <c r="G3933" s="81"/>
      <c r="H3933" s="78"/>
      <c r="I3933" s="78"/>
      <c r="J3933" s="78"/>
    </row>
    <row r="3934" spans="1:10" x14ac:dyDescent="0.2">
      <c r="A3934" s="84">
        <f t="shared" si="125"/>
        <v>3928</v>
      </c>
      <c r="B3934" s="85" t="e">
        <f>+MATCH(D3934,ARTICULOS!$F$10:$F$699,0)</f>
        <v>#N/A</v>
      </c>
      <c r="C3934" s="86" t="e">
        <f>+VLOOKUP(B3934,ARTICULOS!$D$10:$I$699,6)</f>
        <v>#N/A</v>
      </c>
      <c r="D3934" s="212"/>
      <c r="E3934" s="75" t="e">
        <f t="shared" si="126"/>
        <v>#N/A</v>
      </c>
      <c r="F3934" s="80"/>
      <c r="G3934" s="81"/>
      <c r="H3934" s="78"/>
      <c r="I3934" s="78"/>
      <c r="J3934" s="78"/>
    </row>
    <row r="3935" spans="1:10" x14ac:dyDescent="0.2">
      <c r="A3935" s="84">
        <f t="shared" si="125"/>
        <v>3929</v>
      </c>
      <c r="B3935" s="85" t="e">
        <f>+MATCH(D3935,ARTICULOS!$F$10:$F$699,0)</f>
        <v>#N/A</v>
      </c>
      <c r="C3935" s="86" t="e">
        <f>+VLOOKUP(B3935,ARTICULOS!$D$10:$I$699,6)</f>
        <v>#N/A</v>
      </c>
      <c r="D3935" s="212"/>
      <c r="E3935" s="75" t="e">
        <f t="shared" si="126"/>
        <v>#N/A</v>
      </c>
      <c r="F3935" s="80"/>
      <c r="G3935" s="81"/>
      <c r="H3935" s="78"/>
      <c r="I3935" s="78"/>
      <c r="J3935" s="78"/>
    </row>
    <row r="3936" spans="1:10" x14ac:dyDescent="0.2">
      <c r="A3936" s="84">
        <f t="shared" si="125"/>
        <v>3930</v>
      </c>
      <c r="B3936" s="85" t="e">
        <f>+MATCH(D3936,ARTICULOS!$F$10:$F$699,0)</f>
        <v>#N/A</v>
      </c>
      <c r="C3936" s="86" t="e">
        <f>+VLOOKUP(B3936,ARTICULOS!$D$10:$I$699,6)</f>
        <v>#N/A</v>
      </c>
      <c r="D3936" s="212"/>
      <c r="E3936" s="75" t="e">
        <f t="shared" si="126"/>
        <v>#N/A</v>
      </c>
      <c r="F3936" s="80"/>
      <c r="G3936" s="81"/>
      <c r="H3936" s="78"/>
      <c r="I3936" s="78"/>
      <c r="J3936" s="78"/>
    </row>
    <row r="3937" spans="1:10" x14ac:dyDescent="0.2">
      <c r="A3937" s="84">
        <f t="shared" si="125"/>
        <v>3931</v>
      </c>
      <c r="B3937" s="85" t="e">
        <f>+MATCH(D3937,ARTICULOS!$F$10:$F$699,0)</f>
        <v>#N/A</v>
      </c>
      <c r="C3937" s="86" t="e">
        <f>+VLOOKUP(B3937,ARTICULOS!$D$10:$I$699,6)</f>
        <v>#N/A</v>
      </c>
      <c r="D3937" s="212"/>
      <c r="E3937" s="75" t="e">
        <f t="shared" si="126"/>
        <v>#N/A</v>
      </c>
      <c r="F3937" s="80"/>
      <c r="G3937" s="81"/>
      <c r="H3937" s="78"/>
      <c r="I3937" s="78"/>
      <c r="J3937" s="78"/>
    </row>
    <row r="3938" spans="1:10" x14ac:dyDescent="0.2">
      <c r="A3938" s="84">
        <f t="shared" si="125"/>
        <v>3932</v>
      </c>
      <c r="B3938" s="85" t="e">
        <f>+MATCH(D3938,ARTICULOS!$F$10:$F$699,0)</f>
        <v>#N/A</v>
      </c>
      <c r="C3938" s="86" t="e">
        <f>+VLOOKUP(B3938,ARTICULOS!$D$10:$I$699,6)</f>
        <v>#N/A</v>
      </c>
      <c r="D3938" s="212"/>
      <c r="E3938" s="75" t="e">
        <f t="shared" si="126"/>
        <v>#N/A</v>
      </c>
      <c r="F3938" s="80"/>
      <c r="G3938" s="81"/>
      <c r="H3938" s="78"/>
      <c r="I3938" s="78"/>
      <c r="J3938" s="78"/>
    </row>
    <row r="3939" spans="1:10" x14ac:dyDescent="0.2">
      <c r="A3939" s="84">
        <f t="shared" si="125"/>
        <v>3933</v>
      </c>
      <c r="B3939" s="85" t="e">
        <f>+MATCH(D3939,ARTICULOS!$F$10:$F$699,0)</f>
        <v>#N/A</v>
      </c>
      <c r="C3939" s="86" t="e">
        <f>+VLOOKUP(B3939,ARTICULOS!$D$10:$I$699,6)</f>
        <v>#N/A</v>
      </c>
      <c r="D3939" s="212"/>
      <c r="E3939" s="75" t="e">
        <f t="shared" si="126"/>
        <v>#N/A</v>
      </c>
      <c r="F3939" s="80"/>
      <c r="G3939" s="81"/>
      <c r="H3939" s="78"/>
      <c r="I3939" s="78"/>
      <c r="J3939" s="78"/>
    </row>
    <row r="3940" spans="1:10" x14ac:dyDescent="0.2">
      <c r="A3940" s="84">
        <f t="shared" si="125"/>
        <v>3934</v>
      </c>
      <c r="B3940" s="85" t="e">
        <f>+MATCH(D3940,ARTICULOS!$F$10:$F$699,0)</f>
        <v>#N/A</v>
      </c>
      <c r="C3940" s="86" t="e">
        <f>+VLOOKUP(B3940,ARTICULOS!$D$10:$I$699,6)</f>
        <v>#N/A</v>
      </c>
      <c r="D3940" s="212"/>
      <c r="E3940" s="75" t="e">
        <f t="shared" si="126"/>
        <v>#N/A</v>
      </c>
      <c r="F3940" s="80"/>
      <c r="G3940" s="81"/>
      <c r="H3940" s="78"/>
      <c r="I3940" s="78"/>
      <c r="J3940" s="78"/>
    </row>
    <row r="3941" spans="1:10" x14ac:dyDescent="0.2">
      <c r="A3941" s="84">
        <f t="shared" si="125"/>
        <v>3935</v>
      </c>
      <c r="B3941" s="85" t="e">
        <f>+MATCH(D3941,ARTICULOS!$F$10:$F$699,0)</f>
        <v>#N/A</v>
      </c>
      <c r="C3941" s="86" t="e">
        <f>+VLOOKUP(B3941,ARTICULOS!$D$10:$I$699,6)</f>
        <v>#N/A</v>
      </c>
      <c r="D3941" s="212"/>
      <c r="E3941" s="75" t="e">
        <f t="shared" si="126"/>
        <v>#N/A</v>
      </c>
      <c r="F3941" s="80"/>
      <c r="G3941" s="81"/>
      <c r="H3941" s="78"/>
      <c r="I3941" s="78"/>
      <c r="J3941" s="78"/>
    </row>
    <row r="3942" spans="1:10" x14ac:dyDescent="0.2">
      <c r="A3942" s="84">
        <f t="shared" si="125"/>
        <v>3936</v>
      </c>
      <c r="B3942" s="85" t="e">
        <f>+MATCH(D3942,ARTICULOS!$F$10:$F$699,0)</f>
        <v>#N/A</v>
      </c>
      <c r="C3942" s="86" t="e">
        <f>+VLOOKUP(B3942,ARTICULOS!$D$10:$I$699,6)</f>
        <v>#N/A</v>
      </c>
      <c r="D3942" s="212"/>
      <c r="E3942" s="75" t="e">
        <f t="shared" si="126"/>
        <v>#N/A</v>
      </c>
      <c r="F3942" s="80"/>
      <c r="G3942" s="81"/>
      <c r="H3942" s="78"/>
      <c r="I3942" s="78"/>
      <c r="J3942" s="78"/>
    </row>
    <row r="3943" spans="1:10" x14ac:dyDescent="0.2">
      <c r="A3943" s="84">
        <f t="shared" si="125"/>
        <v>3937</v>
      </c>
      <c r="B3943" s="85" t="e">
        <f>+MATCH(D3943,ARTICULOS!$F$10:$F$699,0)</f>
        <v>#N/A</v>
      </c>
      <c r="C3943" s="86" t="e">
        <f>+VLOOKUP(B3943,ARTICULOS!$D$10:$I$699,6)</f>
        <v>#N/A</v>
      </c>
      <c r="D3943" s="212"/>
      <c r="E3943" s="75" t="e">
        <f t="shared" si="126"/>
        <v>#N/A</v>
      </c>
      <c r="F3943" s="80"/>
      <c r="G3943" s="81"/>
      <c r="H3943" s="78"/>
      <c r="I3943" s="78"/>
      <c r="J3943" s="78"/>
    </row>
    <row r="3944" spans="1:10" x14ac:dyDescent="0.2">
      <c r="A3944" s="84">
        <f t="shared" si="125"/>
        <v>3938</v>
      </c>
      <c r="B3944" s="85" t="e">
        <f>+MATCH(D3944,ARTICULOS!$F$10:$F$699,0)</f>
        <v>#N/A</v>
      </c>
      <c r="C3944" s="86" t="e">
        <f>+VLOOKUP(B3944,ARTICULOS!$D$10:$I$699,6)</f>
        <v>#N/A</v>
      </c>
      <c r="D3944" s="212"/>
      <c r="E3944" s="75" t="e">
        <f t="shared" si="126"/>
        <v>#N/A</v>
      </c>
      <c r="F3944" s="80"/>
      <c r="G3944" s="81"/>
      <c r="H3944" s="78"/>
      <c r="I3944" s="78"/>
      <c r="J3944" s="78"/>
    </row>
    <row r="3945" spans="1:10" x14ac:dyDescent="0.2">
      <c r="A3945" s="84">
        <f t="shared" ref="A3945:A4008" si="127">ROW()-6</f>
        <v>3939</v>
      </c>
      <c r="B3945" s="85" t="e">
        <f>+MATCH(D3945,ARTICULOS!$F$10:$F$699,0)</f>
        <v>#N/A</v>
      </c>
      <c r="C3945" s="86" t="e">
        <f>+VLOOKUP(B3945,ARTICULOS!$D$10:$I$699,6)</f>
        <v>#N/A</v>
      </c>
      <c r="D3945" s="212"/>
      <c r="E3945" s="75" t="e">
        <f t="shared" si="126"/>
        <v>#N/A</v>
      </c>
      <c r="F3945" s="80"/>
      <c r="G3945" s="81"/>
      <c r="H3945" s="78"/>
      <c r="I3945" s="78"/>
      <c r="J3945" s="78"/>
    </row>
    <row r="3946" spans="1:10" x14ac:dyDescent="0.2">
      <c r="A3946" s="84">
        <f t="shared" si="127"/>
        <v>3940</v>
      </c>
      <c r="B3946" s="85" t="e">
        <f>+MATCH(D3946,ARTICULOS!$F$10:$F$699,0)</f>
        <v>#N/A</v>
      </c>
      <c r="C3946" s="86" t="e">
        <f>+VLOOKUP(B3946,ARTICULOS!$D$10:$I$699,6)</f>
        <v>#N/A</v>
      </c>
      <c r="D3946" s="212"/>
      <c r="E3946" s="75" t="e">
        <f t="shared" si="126"/>
        <v>#N/A</v>
      </c>
      <c r="F3946" s="80"/>
      <c r="G3946" s="81"/>
      <c r="H3946" s="78"/>
      <c r="I3946" s="78"/>
      <c r="J3946" s="78"/>
    </row>
    <row r="3947" spans="1:10" x14ac:dyDescent="0.2">
      <c r="A3947" s="84">
        <f t="shared" si="127"/>
        <v>3941</v>
      </c>
      <c r="B3947" s="85" t="e">
        <f>+MATCH(D3947,ARTICULOS!$F$10:$F$699,0)</f>
        <v>#N/A</v>
      </c>
      <c r="C3947" s="86" t="e">
        <f>+VLOOKUP(B3947,ARTICULOS!$D$10:$I$699,6)</f>
        <v>#N/A</v>
      </c>
      <c r="D3947" s="212"/>
      <c r="E3947" s="75" t="e">
        <f t="shared" si="126"/>
        <v>#N/A</v>
      </c>
      <c r="F3947" s="80"/>
      <c r="G3947" s="81"/>
      <c r="H3947" s="78"/>
      <c r="I3947" s="78"/>
      <c r="J3947" s="78"/>
    </row>
    <row r="3948" spans="1:10" x14ac:dyDescent="0.2">
      <c r="A3948" s="84">
        <f t="shared" si="127"/>
        <v>3942</v>
      </c>
      <c r="B3948" s="85" t="e">
        <f>+MATCH(D3948,ARTICULOS!$F$10:$F$699,0)</f>
        <v>#N/A</v>
      </c>
      <c r="C3948" s="86" t="e">
        <f>+VLOOKUP(B3948,ARTICULOS!$D$10:$I$699,6)</f>
        <v>#N/A</v>
      </c>
      <c r="D3948" s="212"/>
      <c r="E3948" s="75" t="e">
        <f t="shared" si="126"/>
        <v>#N/A</v>
      </c>
      <c r="F3948" s="80"/>
      <c r="G3948" s="81"/>
      <c r="H3948" s="78"/>
      <c r="I3948" s="78"/>
      <c r="J3948" s="78"/>
    </row>
    <row r="3949" spans="1:10" x14ac:dyDescent="0.2">
      <c r="A3949" s="84">
        <f t="shared" si="127"/>
        <v>3943</v>
      </c>
      <c r="B3949" s="85" t="e">
        <f>+MATCH(D3949,ARTICULOS!$F$10:$F$699,0)</f>
        <v>#N/A</v>
      </c>
      <c r="C3949" s="86" t="e">
        <f>+VLOOKUP(B3949,ARTICULOS!$D$10:$I$699,6)</f>
        <v>#N/A</v>
      </c>
      <c r="D3949" s="212"/>
      <c r="E3949" s="75" t="e">
        <f t="shared" si="126"/>
        <v>#N/A</v>
      </c>
      <c r="F3949" s="80"/>
      <c r="G3949" s="81"/>
      <c r="H3949" s="78"/>
      <c r="I3949" s="78"/>
      <c r="J3949" s="78"/>
    </row>
    <row r="3950" spans="1:10" x14ac:dyDescent="0.2">
      <c r="A3950" s="84">
        <f t="shared" si="127"/>
        <v>3944</v>
      </c>
      <c r="B3950" s="85" t="e">
        <f>+MATCH(D3950,ARTICULOS!$F$10:$F$699,0)</f>
        <v>#N/A</v>
      </c>
      <c r="C3950" s="86" t="e">
        <f>+VLOOKUP(B3950,ARTICULOS!$D$10:$I$699,6)</f>
        <v>#N/A</v>
      </c>
      <c r="D3950" s="212"/>
      <c r="E3950" s="75" t="e">
        <f t="shared" si="126"/>
        <v>#N/A</v>
      </c>
      <c r="F3950" s="80"/>
      <c r="G3950" s="81"/>
      <c r="H3950" s="78"/>
      <c r="I3950" s="78"/>
      <c r="J3950" s="78"/>
    </row>
    <row r="3951" spans="1:10" x14ac:dyDescent="0.2">
      <c r="A3951" s="84">
        <f t="shared" si="127"/>
        <v>3945</v>
      </c>
      <c r="B3951" s="85" t="e">
        <f>+MATCH(D3951,ARTICULOS!$F$10:$F$699,0)</f>
        <v>#N/A</v>
      </c>
      <c r="C3951" s="86" t="e">
        <f>+VLOOKUP(B3951,ARTICULOS!$D$10:$I$699,6)</f>
        <v>#N/A</v>
      </c>
      <c r="D3951" s="212"/>
      <c r="E3951" s="75" t="e">
        <f t="shared" si="126"/>
        <v>#N/A</v>
      </c>
      <c r="F3951" s="80"/>
      <c r="G3951" s="81"/>
      <c r="H3951" s="78"/>
      <c r="I3951" s="78"/>
      <c r="J3951" s="78"/>
    </row>
    <row r="3952" spans="1:10" x14ac:dyDescent="0.2">
      <c r="A3952" s="84">
        <f t="shared" si="127"/>
        <v>3946</v>
      </c>
      <c r="B3952" s="85" t="e">
        <f>+MATCH(D3952,ARTICULOS!$F$10:$F$699,0)</f>
        <v>#N/A</v>
      </c>
      <c r="C3952" s="86" t="e">
        <f>+VLOOKUP(B3952,ARTICULOS!$D$10:$I$699,6)</f>
        <v>#N/A</v>
      </c>
      <c r="D3952" s="212"/>
      <c r="E3952" s="75" t="e">
        <f t="shared" si="126"/>
        <v>#N/A</v>
      </c>
      <c r="F3952" s="80"/>
      <c r="G3952" s="81"/>
      <c r="H3952" s="78"/>
      <c r="I3952" s="78"/>
      <c r="J3952" s="78"/>
    </row>
    <row r="3953" spans="1:10" x14ac:dyDescent="0.2">
      <c r="A3953" s="84">
        <f t="shared" si="127"/>
        <v>3947</v>
      </c>
      <c r="B3953" s="85" t="e">
        <f>+MATCH(D3953,ARTICULOS!$F$10:$F$699,0)</f>
        <v>#N/A</v>
      </c>
      <c r="C3953" s="86" t="e">
        <f>+VLOOKUP(B3953,ARTICULOS!$D$10:$I$699,6)</f>
        <v>#N/A</v>
      </c>
      <c r="D3953" s="212"/>
      <c r="E3953" s="75" t="e">
        <f t="shared" si="126"/>
        <v>#N/A</v>
      </c>
      <c r="F3953" s="80"/>
      <c r="G3953" s="81"/>
      <c r="H3953" s="78"/>
      <c r="I3953" s="78"/>
      <c r="J3953" s="78"/>
    </row>
    <row r="3954" spans="1:10" x14ac:dyDescent="0.2">
      <c r="A3954" s="84">
        <f t="shared" si="127"/>
        <v>3948</v>
      </c>
      <c r="B3954" s="85" t="e">
        <f>+MATCH(D3954,ARTICULOS!$F$10:$F$699,0)</f>
        <v>#N/A</v>
      </c>
      <c r="C3954" s="86" t="e">
        <f>+VLOOKUP(B3954,ARTICULOS!$D$10:$I$699,6)</f>
        <v>#N/A</v>
      </c>
      <c r="D3954" s="212"/>
      <c r="E3954" s="75" t="e">
        <f t="shared" si="126"/>
        <v>#N/A</v>
      </c>
      <c r="F3954" s="80"/>
      <c r="G3954" s="81"/>
      <c r="H3954" s="78"/>
      <c r="I3954" s="78"/>
      <c r="J3954" s="78"/>
    </row>
    <row r="3955" spans="1:10" x14ac:dyDescent="0.2">
      <c r="A3955" s="84">
        <f t="shared" si="127"/>
        <v>3949</v>
      </c>
      <c r="B3955" s="85" t="e">
        <f>+MATCH(D3955,ARTICULOS!$F$10:$F$699,0)</f>
        <v>#N/A</v>
      </c>
      <c r="C3955" s="86" t="e">
        <f>+VLOOKUP(B3955,ARTICULOS!$D$10:$I$699,6)</f>
        <v>#N/A</v>
      </c>
      <c r="D3955" s="212"/>
      <c r="E3955" s="75" t="e">
        <f t="shared" si="126"/>
        <v>#N/A</v>
      </c>
      <c r="F3955" s="80"/>
      <c r="G3955" s="81"/>
      <c r="H3955" s="78"/>
      <c r="I3955" s="78"/>
      <c r="J3955" s="78"/>
    </row>
    <row r="3956" spans="1:10" x14ac:dyDescent="0.2">
      <c r="A3956" s="84">
        <f t="shared" si="127"/>
        <v>3950</v>
      </c>
      <c r="B3956" s="85" t="e">
        <f>+MATCH(D3956,ARTICULOS!$F$10:$F$699,0)</f>
        <v>#N/A</v>
      </c>
      <c r="C3956" s="86" t="e">
        <f>+VLOOKUP(B3956,ARTICULOS!$D$10:$I$699,6)</f>
        <v>#N/A</v>
      </c>
      <c r="D3956" s="212"/>
      <c r="E3956" s="75" t="e">
        <f t="shared" si="126"/>
        <v>#N/A</v>
      </c>
      <c r="F3956" s="80"/>
      <c r="G3956" s="81"/>
      <c r="H3956" s="78"/>
      <c r="I3956" s="78"/>
      <c r="J3956" s="78"/>
    </row>
    <row r="3957" spans="1:10" x14ac:dyDescent="0.2">
      <c r="A3957" s="84">
        <f t="shared" si="127"/>
        <v>3951</v>
      </c>
      <c r="B3957" s="85" t="e">
        <f>+MATCH(D3957,ARTICULOS!$F$10:$F$699,0)</f>
        <v>#N/A</v>
      </c>
      <c r="C3957" s="86" t="e">
        <f>+VLOOKUP(B3957,ARTICULOS!$D$10:$I$699,6)</f>
        <v>#N/A</v>
      </c>
      <c r="D3957" s="212"/>
      <c r="E3957" s="75" t="e">
        <f t="shared" si="126"/>
        <v>#N/A</v>
      </c>
      <c r="F3957" s="80"/>
      <c r="G3957" s="81"/>
      <c r="H3957" s="78"/>
      <c r="I3957" s="78"/>
      <c r="J3957" s="78"/>
    </row>
    <row r="3958" spans="1:10" x14ac:dyDescent="0.2">
      <c r="A3958" s="84">
        <f t="shared" si="127"/>
        <v>3952</v>
      </c>
      <c r="B3958" s="85" t="e">
        <f>+MATCH(D3958,ARTICULOS!$F$10:$F$699,0)</f>
        <v>#N/A</v>
      </c>
      <c r="C3958" s="86" t="e">
        <f>+VLOOKUP(B3958,ARTICULOS!$D$10:$I$699,6)</f>
        <v>#N/A</v>
      </c>
      <c r="D3958" s="212"/>
      <c r="E3958" s="75" t="e">
        <f t="shared" si="126"/>
        <v>#N/A</v>
      </c>
      <c r="F3958" s="80"/>
      <c r="G3958" s="81"/>
      <c r="H3958" s="78"/>
      <c r="I3958" s="78"/>
      <c r="J3958" s="78"/>
    </row>
    <row r="3959" spans="1:10" x14ac:dyDescent="0.2">
      <c r="A3959" s="84">
        <f t="shared" si="127"/>
        <v>3953</v>
      </c>
      <c r="B3959" s="85" t="e">
        <f>+MATCH(D3959,ARTICULOS!$F$10:$F$699,0)</f>
        <v>#N/A</v>
      </c>
      <c r="C3959" s="86" t="e">
        <f>+VLOOKUP(B3959,ARTICULOS!$D$10:$I$699,6)</f>
        <v>#N/A</v>
      </c>
      <c r="D3959" s="212"/>
      <c r="E3959" s="75" t="e">
        <f t="shared" si="126"/>
        <v>#N/A</v>
      </c>
      <c r="F3959" s="80"/>
      <c r="G3959" s="81"/>
      <c r="H3959" s="78"/>
      <c r="I3959" s="78"/>
      <c r="J3959" s="78"/>
    </row>
    <row r="3960" spans="1:10" x14ac:dyDescent="0.2">
      <c r="A3960" s="84">
        <f t="shared" si="127"/>
        <v>3954</v>
      </c>
      <c r="B3960" s="85" t="e">
        <f>+MATCH(D3960,ARTICULOS!$F$10:$F$699,0)</f>
        <v>#N/A</v>
      </c>
      <c r="C3960" s="86" t="e">
        <f>+VLOOKUP(B3960,ARTICULOS!$D$10:$I$699,6)</f>
        <v>#N/A</v>
      </c>
      <c r="D3960" s="212"/>
      <c r="E3960" s="75" t="e">
        <f t="shared" si="126"/>
        <v>#N/A</v>
      </c>
      <c r="F3960" s="80"/>
      <c r="G3960" s="81"/>
      <c r="H3960" s="78"/>
      <c r="I3960" s="78"/>
      <c r="J3960" s="78"/>
    </row>
    <row r="3961" spans="1:10" x14ac:dyDescent="0.2">
      <c r="A3961" s="84">
        <f t="shared" si="127"/>
        <v>3955</v>
      </c>
      <c r="B3961" s="85" t="e">
        <f>+MATCH(D3961,ARTICULOS!$F$10:$F$699,0)</f>
        <v>#N/A</v>
      </c>
      <c r="C3961" s="86" t="e">
        <f>+VLOOKUP(B3961,ARTICULOS!$D$10:$I$699,6)</f>
        <v>#N/A</v>
      </c>
      <c r="D3961" s="212"/>
      <c r="E3961" s="75" t="e">
        <f t="shared" si="126"/>
        <v>#N/A</v>
      </c>
      <c r="F3961" s="80"/>
      <c r="G3961" s="81"/>
      <c r="H3961" s="78"/>
      <c r="I3961" s="78"/>
      <c r="J3961" s="78"/>
    </row>
    <row r="3962" spans="1:10" x14ac:dyDescent="0.2">
      <c r="A3962" s="84">
        <f t="shared" si="127"/>
        <v>3956</v>
      </c>
      <c r="B3962" s="85" t="e">
        <f>+MATCH(D3962,ARTICULOS!$F$10:$F$699,0)</f>
        <v>#N/A</v>
      </c>
      <c r="C3962" s="86" t="e">
        <f>+VLOOKUP(B3962,ARTICULOS!$D$10:$I$699,6)</f>
        <v>#N/A</v>
      </c>
      <c r="D3962" s="212"/>
      <c r="E3962" s="75" t="e">
        <f t="shared" si="126"/>
        <v>#N/A</v>
      </c>
      <c r="F3962" s="80"/>
      <c r="G3962" s="81"/>
      <c r="H3962" s="78"/>
      <c r="I3962" s="78"/>
      <c r="J3962" s="78"/>
    </row>
    <row r="3963" spans="1:10" x14ac:dyDescent="0.2">
      <c r="A3963" s="84">
        <f t="shared" si="127"/>
        <v>3957</v>
      </c>
      <c r="B3963" s="85" t="e">
        <f>+MATCH(D3963,ARTICULOS!$F$10:$F$699,0)</f>
        <v>#N/A</v>
      </c>
      <c r="C3963" s="86" t="e">
        <f>+VLOOKUP(B3963,ARTICULOS!$D$10:$I$699,6)</f>
        <v>#N/A</v>
      </c>
      <c r="D3963" s="212"/>
      <c r="E3963" s="75" t="e">
        <f t="shared" si="126"/>
        <v>#N/A</v>
      </c>
      <c r="F3963" s="80"/>
      <c r="G3963" s="81"/>
      <c r="H3963" s="78"/>
      <c r="I3963" s="78"/>
      <c r="J3963" s="78"/>
    </row>
    <row r="3964" spans="1:10" x14ac:dyDescent="0.2">
      <c r="A3964" s="84">
        <f t="shared" si="127"/>
        <v>3958</v>
      </c>
      <c r="B3964" s="85" t="e">
        <f>+MATCH(D3964,ARTICULOS!$F$10:$F$699,0)</f>
        <v>#N/A</v>
      </c>
      <c r="C3964" s="86" t="e">
        <f>+VLOOKUP(B3964,ARTICULOS!$D$10:$I$699,6)</f>
        <v>#N/A</v>
      </c>
      <c r="D3964" s="212"/>
      <c r="E3964" s="75" t="e">
        <f t="shared" si="126"/>
        <v>#N/A</v>
      </c>
      <c r="F3964" s="80"/>
      <c r="G3964" s="81"/>
      <c r="H3964" s="78"/>
      <c r="I3964" s="78"/>
      <c r="J3964" s="78"/>
    </row>
    <row r="3965" spans="1:10" x14ac:dyDescent="0.2">
      <c r="A3965" s="84">
        <f t="shared" si="127"/>
        <v>3959</v>
      </c>
      <c r="B3965" s="85" t="e">
        <f>+MATCH(D3965,ARTICULOS!$F$10:$F$699,0)</f>
        <v>#N/A</v>
      </c>
      <c r="C3965" s="86" t="e">
        <f>+VLOOKUP(B3965,ARTICULOS!$D$10:$I$699,6)</f>
        <v>#N/A</v>
      </c>
      <c r="D3965" s="212"/>
      <c r="E3965" s="75" t="e">
        <f t="shared" si="126"/>
        <v>#N/A</v>
      </c>
      <c r="F3965" s="80"/>
      <c r="G3965" s="81"/>
      <c r="H3965" s="78"/>
      <c r="I3965" s="78"/>
      <c r="J3965" s="78"/>
    </row>
    <row r="3966" spans="1:10" x14ac:dyDescent="0.2">
      <c r="A3966" s="84">
        <f t="shared" si="127"/>
        <v>3960</v>
      </c>
      <c r="B3966" s="85" t="e">
        <f>+MATCH(D3966,ARTICULOS!$F$10:$F$699,0)</f>
        <v>#N/A</v>
      </c>
      <c r="C3966" s="86" t="e">
        <f>+VLOOKUP(B3966,ARTICULOS!$D$10:$I$699,6)</f>
        <v>#N/A</v>
      </c>
      <c r="D3966" s="212"/>
      <c r="E3966" s="75" t="e">
        <f t="shared" si="126"/>
        <v>#N/A</v>
      </c>
      <c r="F3966" s="80"/>
      <c r="G3966" s="81"/>
      <c r="H3966" s="78"/>
      <c r="I3966" s="78"/>
      <c r="J3966" s="78"/>
    </row>
    <row r="3967" spans="1:10" x14ac:dyDescent="0.2">
      <c r="A3967" s="84">
        <f t="shared" si="127"/>
        <v>3961</v>
      </c>
      <c r="B3967" s="85" t="e">
        <f>+MATCH(D3967,ARTICULOS!$F$10:$F$699,0)</f>
        <v>#N/A</v>
      </c>
      <c r="C3967" s="86" t="e">
        <f>+VLOOKUP(B3967,ARTICULOS!$D$10:$I$699,6)</f>
        <v>#N/A</v>
      </c>
      <c r="D3967" s="212"/>
      <c r="E3967" s="75" t="e">
        <f t="shared" si="126"/>
        <v>#N/A</v>
      </c>
      <c r="F3967" s="80"/>
      <c r="G3967" s="81"/>
      <c r="H3967" s="78"/>
      <c r="I3967" s="78"/>
      <c r="J3967" s="78"/>
    </row>
    <row r="3968" spans="1:10" x14ac:dyDescent="0.2">
      <c r="A3968" s="84">
        <f t="shared" si="127"/>
        <v>3962</v>
      </c>
      <c r="B3968" s="85" t="e">
        <f>+MATCH(D3968,ARTICULOS!$F$10:$F$699,0)</f>
        <v>#N/A</v>
      </c>
      <c r="C3968" s="86" t="e">
        <f>+VLOOKUP(B3968,ARTICULOS!$D$10:$I$699,6)</f>
        <v>#N/A</v>
      </c>
      <c r="D3968" s="212"/>
      <c r="E3968" s="75" t="e">
        <f t="shared" si="126"/>
        <v>#N/A</v>
      </c>
      <c r="F3968" s="80"/>
      <c r="G3968" s="81"/>
      <c r="H3968" s="78"/>
      <c r="I3968" s="78"/>
      <c r="J3968" s="78"/>
    </row>
    <row r="3969" spans="1:10" x14ac:dyDescent="0.2">
      <c r="A3969" s="84">
        <f t="shared" si="127"/>
        <v>3963</v>
      </c>
      <c r="B3969" s="85" t="e">
        <f>+MATCH(D3969,ARTICULOS!$F$10:$F$699,0)</f>
        <v>#N/A</v>
      </c>
      <c r="C3969" s="86" t="e">
        <f>+VLOOKUP(B3969,ARTICULOS!$D$10:$I$699,6)</f>
        <v>#N/A</v>
      </c>
      <c r="D3969" s="212"/>
      <c r="E3969" s="75" t="e">
        <f t="shared" si="126"/>
        <v>#N/A</v>
      </c>
      <c r="F3969" s="80"/>
      <c r="G3969" s="81"/>
      <c r="H3969" s="78"/>
      <c r="I3969" s="78"/>
      <c r="J3969" s="78"/>
    </row>
    <row r="3970" spans="1:10" x14ac:dyDescent="0.2">
      <c r="A3970" s="84">
        <f t="shared" si="127"/>
        <v>3964</v>
      </c>
      <c r="B3970" s="85" t="e">
        <f>+MATCH(D3970,ARTICULOS!$F$10:$F$699,0)</f>
        <v>#N/A</v>
      </c>
      <c r="C3970" s="86" t="e">
        <f>+VLOOKUP(B3970,ARTICULOS!$D$10:$I$699,6)</f>
        <v>#N/A</v>
      </c>
      <c r="D3970" s="212"/>
      <c r="E3970" s="75" t="e">
        <f t="shared" si="126"/>
        <v>#N/A</v>
      </c>
      <c r="F3970" s="80"/>
      <c r="G3970" s="81"/>
      <c r="H3970" s="78"/>
      <c r="I3970" s="78"/>
      <c r="J3970" s="78"/>
    </row>
    <row r="3971" spans="1:10" x14ac:dyDescent="0.2">
      <c r="A3971" s="84">
        <f t="shared" si="127"/>
        <v>3965</v>
      </c>
      <c r="B3971" s="85" t="e">
        <f>+MATCH(D3971,ARTICULOS!$F$10:$F$699,0)</f>
        <v>#N/A</v>
      </c>
      <c r="C3971" s="86" t="e">
        <f>+VLOOKUP(B3971,ARTICULOS!$D$10:$I$699,6)</f>
        <v>#N/A</v>
      </c>
      <c r="D3971" s="212"/>
      <c r="E3971" s="75" t="e">
        <f t="shared" si="126"/>
        <v>#N/A</v>
      </c>
      <c r="F3971" s="80"/>
      <c r="G3971" s="81"/>
      <c r="H3971" s="78"/>
      <c r="I3971" s="78"/>
      <c r="J3971" s="78"/>
    </row>
    <row r="3972" spans="1:10" x14ac:dyDescent="0.2">
      <c r="A3972" s="84">
        <f t="shared" si="127"/>
        <v>3966</v>
      </c>
      <c r="B3972" s="85" t="e">
        <f>+MATCH(D3972,ARTICULOS!$F$10:$F$699,0)</f>
        <v>#N/A</v>
      </c>
      <c r="C3972" s="86" t="e">
        <f>+VLOOKUP(B3972,ARTICULOS!$D$10:$I$699,6)</f>
        <v>#N/A</v>
      </c>
      <c r="D3972" s="212"/>
      <c r="E3972" s="75" t="e">
        <f t="shared" si="126"/>
        <v>#N/A</v>
      </c>
      <c r="F3972" s="80"/>
      <c r="G3972" s="81"/>
      <c r="H3972" s="78"/>
      <c r="I3972" s="78"/>
      <c r="J3972" s="78"/>
    </row>
    <row r="3973" spans="1:10" x14ac:dyDescent="0.2">
      <c r="A3973" s="84">
        <f t="shared" si="127"/>
        <v>3967</v>
      </c>
      <c r="B3973" s="85" t="e">
        <f>+MATCH(D3973,ARTICULOS!$F$10:$F$699,0)</f>
        <v>#N/A</v>
      </c>
      <c r="C3973" s="86" t="e">
        <f>+VLOOKUP(B3973,ARTICULOS!$D$10:$I$699,6)</f>
        <v>#N/A</v>
      </c>
      <c r="D3973" s="212"/>
      <c r="E3973" s="75" t="e">
        <f t="shared" si="126"/>
        <v>#N/A</v>
      </c>
      <c r="F3973" s="80"/>
      <c r="G3973" s="81"/>
      <c r="H3973" s="78"/>
      <c r="I3973" s="78"/>
      <c r="J3973" s="78"/>
    </row>
    <row r="3974" spans="1:10" x14ac:dyDescent="0.2">
      <c r="A3974" s="84">
        <f t="shared" si="127"/>
        <v>3968</v>
      </c>
      <c r="B3974" s="85" t="e">
        <f>+MATCH(D3974,ARTICULOS!$F$10:$F$699,0)</f>
        <v>#N/A</v>
      </c>
      <c r="C3974" s="86" t="e">
        <f>+VLOOKUP(B3974,ARTICULOS!$D$10:$I$699,6)</f>
        <v>#N/A</v>
      </c>
      <c r="D3974" s="212"/>
      <c r="E3974" s="75" t="e">
        <f t="shared" si="126"/>
        <v>#N/A</v>
      </c>
      <c r="F3974" s="80"/>
      <c r="G3974" s="81"/>
      <c r="H3974" s="78"/>
      <c r="I3974" s="78"/>
      <c r="J3974" s="78"/>
    </row>
    <row r="3975" spans="1:10" x14ac:dyDescent="0.2">
      <c r="A3975" s="84">
        <f t="shared" si="127"/>
        <v>3969</v>
      </c>
      <c r="B3975" s="85" t="e">
        <f>+MATCH(D3975,ARTICULOS!$F$10:$F$699,0)</f>
        <v>#N/A</v>
      </c>
      <c r="C3975" s="86" t="e">
        <f>+VLOOKUP(B3975,ARTICULOS!$D$10:$I$699,6)</f>
        <v>#N/A</v>
      </c>
      <c r="D3975" s="212"/>
      <c r="E3975" s="75" t="e">
        <f t="shared" si="126"/>
        <v>#N/A</v>
      </c>
      <c r="F3975" s="80"/>
      <c r="G3975" s="81"/>
      <c r="H3975" s="78"/>
      <c r="I3975" s="78"/>
      <c r="J3975" s="78"/>
    </row>
    <row r="3976" spans="1:10" x14ac:dyDescent="0.2">
      <c r="A3976" s="84">
        <f t="shared" si="127"/>
        <v>3970</v>
      </c>
      <c r="B3976" s="85" t="e">
        <f>+MATCH(D3976,ARTICULOS!$F$10:$F$699,0)</f>
        <v>#N/A</v>
      </c>
      <c r="C3976" s="86" t="e">
        <f>+VLOOKUP(B3976,ARTICULOS!$D$10:$I$699,6)</f>
        <v>#N/A</v>
      </c>
      <c r="D3976" s="212"/>
      <c r="E3976" s="75" t="e">
        <f t="shared" si="126"/>
        <v>#N/A</v>
      </c>
      <c r="F3976" s="80"/>
      <c r="G3976" s="81"/>
      <c r="H3976" s="78"/>
      <c r="I3976" s="78"/>
      <c r="J3976" s="78"/>
    </row>
    <row r="3977" spans="1:10" x14ac:dyDescent="0.2">
      <c r="A3977" s="84">
        <f t="shared" si="127"/>
        <v>3971</v>
      </c>
      <c r="B3977" s="85" t="e">
        <f>+MATCH(D3977,ARTICULOS!$F$10:$F$699,0)</f>
        <v>#N/A</v>
      </c>
      <c r="C3977" s="86" t="e">
        <f>+VLOOKUP(B3977,ARTICULOS!$D$10:$I$699,6)</f>
        <v>#N/A</v>
      </c>
      <c r="D3977" s="212"/>
      <c r="E3977" s="75" t="e">
        <f t="shared" si="126"/>
        <v>#N/A</v>
      </c>
      <c r="F3977" s="80"/>
      <c r="G3977" s="81"/>
      <c r="H3977" s="78"/>
      <c r="I3977" s="78"/>
      <c r="J3977" s="78"/>
    </row>
    <row r="3978" spans="1:10" x14ac:dyDescent="0.2">
      <c r="A3978" s="84">
        <f t="shared" si="127"/>
        <v>3972</v>
      </c>
      <c r="B3978" s="85" t="e">
        <f>+MATCH(D3978,ARTICULOS!$F$10:$F$699,0)</f>
        <v>#N/A</v>
      </c>
      <c r="C3978" s="86" t="e">
        <f>+VLOOKUP(B3978,ARTICULOS!$D$10:$I$699,6)</f>
        <v>#N/A</v>
      </c>
      <c r="D3978" s="212"/>
      <c r="E3978" s="75" t="e">
        <f t="shared" si="126"/>
        <v>#N/A</v>
      </c>
      <c r="F3978" s="80"/>
      <c r="G3978" s="81"/>
      <c r="H3978" s="78"/>
      <c r="I3978" s="78"/>
      <c r="J3978" s="78"/>
    </row>
    <row r="3979" spans="1:10" x14ac:dyDescent="0.2">
      <c r="A3979" s="84">
        <f t="shared" si="127"/>
        <v>3973</v>
      </c>
      <c r="B3979" s="85" t="e">
        <f>+MATCH(D3979,ARTICULOS!$F$10:$F$699,0)</f>
        <v>#N/A</v>
      </c>
      <c r="C3979" s="86" t="e">
        <f>+VLOOKUP(B3979,ARTICULOS!$D$10:$I$699,6)</f>
        <v>#N/A</v>
      </c>
      <c r="D3979" s="212"/>
      <c r="E3979" s="75" t="e">
        <f t="shared" ref="E3979:E4042" si="128">+C3979&amp;F3979</f>
        <v>#N/A</v>
      </c>
      <c r="F3979" s="80"/>
      <c r="G3979" s="81"/>
      <c r="H3979" s="78"/>
      <c r="I3979" s="78"/>
      <c r="J3979" s="78"/>
    </row>
    <row r="3980" spans="1:10" x14ac:dyDescent="0.2">
      <c r="A3980" s="84">
        <f t="shared" si="127"/>
        <v>3974</v>
      </c>
      <c r="B3980" s="85" t="e">
        <f>+MATCH(D3980,ARTICULOS!$F$10:$F$699,0)</f>
        <v>#N/A</v>
      </c>
      <c r="C3980" s="86" t="e">
        <f>+VLOOKUP(B3980,ARTICULOS!$D$10:$I$699,6)</f>
        <v>#N/A</v>
      </c>
      <c r="D3980" s="212"/>
      <c r="E3980" s="75" t="e">
        <f t="shared" si="128"/>
        <v>#N/A</v>
      </c>
      <c r="F3980" s="80"/>
      <c r="G3980" s="81"/>
      <c r="H3980" s="78"/>
      <c r="I3980" s="78"/>
      <c r="J3980" s="78"/>
    </row>
    <row r="3981" spans="1:10" x14ac:dyDescent="0.2">
      <c r="A3981" s="84">
        <f t="shared" si="127"/>
        <v>3975</v>
      </c>
      <c r="B3981" s="85" t="e">
        <f>+MATCH(D3981,ARTICULOS!$F$10:$F$699,0)</f>
        <v>#N/A</v>
      </c>
      <c r="C3981" s="86" t="e">
        <f>+VLOOKUP(B3981,ARTICULOS!$D$10:$I$699,6)</f>
        <v>#N/A</v>
      </c>
      <c r="D3981" s="212"/>
      <c r="E3981" s="75" t="e">
        <f t="shared" si="128"/>
        <v>#N/A</v>
      </c>
      <c r="F3981" s="80"/>
      <c r="G3981" s="81"/>
      <c r="H3981" s="78"/>
      <c r="I3981" s="78"/>
      <c r="J3981" s="78"/>
    </row>
    <row r="3982" spans="1:10" x14ac:dyDescent="0.2">
      <c r="A3982" s="84">
        <f t="shared" si="127"/>
        <v>3976</v>
      </c>
      <c r="B3982" s="85" t="e">
        <f>+MATCH(D3982,ARTICULOS!$F$10:$F$699,0)</f>
        <v>#N/A</v>
      </c>
      <c r="C3982" s="86" t="e">
        <f>+VLOOKUP(B3982,ARTICULOS!$D$10:$I$699,6)</f>
        <v>#N/A</v>
      </c>
      <c r="D3982" s="212"/>
      <c r="E3982" s="75" t="e">
        <f t="shared" si="128"/>
        <v>#N/A</v>
      </c>
      <c r="F3982" s="80"/>
      <c r="G3982" s="81"/>
      <c r="H3982" s="78"/>
      <c r="I3982" s="78"/>
      <c r="J3982" s="78"/>
    </row>
    <row r="3983" spans="1:10" x14ac:dyDescent="0.2">
      <c r="A3983" s="84">
        <f t="shared" si="127"/>
        <v>3977</v>
      </c>
      <c r="B3983" s="85" t="e">
        <f>+MATCH(D3983,ARTICULOS!$F$10:$F$699,0)</f>
        <v>#N/A</v>
      </c>
      <c r="C3983" s="86" t="e">
        <f>+VLOOKUP(B3983,ARTICULOS!$D$10:$I$699,6)</f>
        <v>#N/A</v>
      </c>
      <c r="D3983" s="212"/>
      <c r="E3983" s="75" t="e">
        <f t="shared" si="128"/>
        <v>#N/A</v>
      </c>
      <c r="F3983" s="80"/>
      <c r="G3983" s="81"/>
      <c r="H3983" s="78"/>
      <c r="I3983" s="78"/>
      <c r="J3983" s="78"/>
    </row>
    <row r="3984" spans="1:10" x14ac:dyDescent="0.2">
      <c r="A3984" s="84">
        <f t="shared" si="127"/>
        <v>3978</v>
      </c>
      <c r="B3984" s="85" t="e">
        <f>+MATCH(D3984,ARTICULOS!$F$10:$F$699,0)</f>
        <v>#N/A</v>
      </c>
      <c r="C3984" s="86" t="e">
        <f>+VLOOKUP(B3984,ARTICULOS!$D$10:$I$699,6)</f>
        <v>#N/A</v>
      </c>
      <c r="D3984" s="212"/>
      <c r="E3984" s="75" t="e">
        <f t="shared" si="128"/>
        <v>#N/A</v>
      </c>
      <c r="F3984" s="80"/>
      <c r="G3984" s="81"/>
      <c r="H3984" s="78"/>
      <c r="I3984" s="78"/>
      <c r="J3984" s="78"/>
    </row>
    <row r="3985" spans="1:10" x14ac:dyDescent="0.2">
      <c r="A3985" s="84">
        <f t="shared" si="127"/>
        <v>3979</v>
      </c>
      <c r="B3985" s="85" t="e">
        <f>+MATCH(D3985,ARTICULOS!$F$10:$F$699,0)</f>
        <v>#N/A</v>
      </c>
      <c r="C3985" s="86" t="e">
        <f>+VLOOKUP(B3985,ARTICULOS!$D$10:$I$699,6)</f>
        <v>#N/A</v>
      </c>
      <c r="D3985" s="212"/>
      <c r="E3985" s="75" t="e">
        <f t="shared" si="128"/>
        <v>#N/A</v>
      </c>
      <c r="F3985" s="80"/>
      <c r="G3985" s="81"/>
      <c r="H3985" s="78"/>
      <c r="I3985" s="78"/>
      <c r="J3985" s="78"/>
    </row>
    <row r="3986" spans="1:10" x14ac:dyDescent="0.2">
      <c r="A3986" s="84">
        <f t="shared" si="127"/>
        <v>3980</v>
      </c>
      <c r="B3986" s="85" t="e">
        <f>+MATCH(D3986,ARTICULOS!$F$10:$F$699,0)</f>
        <v>#N/A</v>
      </c>
      <c r="C3986" s="86" t="e">
        <f>+VLOOKUP(B3986,ARTICULOS!$D$10:$I$699,6)</f>
        <v>#N/A</v>
      </c>
      <c r="D3986" s="212"/>
      <c r="E3986" s="75" t="e">
        <f t="shared" si="128"/>
        <v>#N/A</v>
      </c>
      <c r="F3986" s="80"/>
      <c r="G3986" s="81"/>
      <c r="H3986" s="78"/>
      <c r="I3986" s="78"/>
      <c r="J3986" s="78"/>
    </row>
    <row r="3987" spans="1:10" x14ac:dyDescent="0.2">
      <c r="A3987" s="84">
        <f t="shared" si="127"/>
        <v>3981</v>
      </c>
      <c r="B3987" s="85" t="e">
        <f>+MATCH(D3987,ARTICULOS!$F$10:$F$699,0)</f>
        <v>#N/A</v>
      </c>
      <c r="C3987" s="86" t="e">
        <f>+VLOOKUP(B3987,ARTICULOS!$D$10:$I$699,6)</f>
        <v>#N/A</v>
      </c>
      <c r="D3987" s="212"/>
      <c r="E3987" s="75" t="e">
        <f t="shared" si="128"/>
        <v>#N/A</v>
      </c>
      <c r="F3987" s="80"/>
      <c r="G3987" s="81"/>
      <c r="H3987" s="78"/>
      <c r="I3987" s="78"/>
      <c r="J3987" s="78"/>
    </row>
    <row r="3988" spans="1:10" x14ac:dyDescent="0.2">
      <c r="A3988" s="84">
        <f t="shared" si="127"/>
        <v>3982</v>
      </c>
      <c r="B3988" s="85" t="e">
        <f>+MATCH(D3988,ARTICULOS!$F$10:$F$699,0)</f>
        <v>#N/A</v>
      </c>
      <c r="C3988" s="86" t="e">
        <f>+VLOOKUP(B3988,ARTICULOS!$D$10:$I$699,6)</f>
        <v>#N/A</v>
      </c>
      <c r="D3988" s="212"/>
      <c r="E3988" s="75" t="e">
        <f t="shared" si="128"/>
        <v>#N/A</v>
      </c>
      <c r="F3988" s="80"/>
      <c r="G3988" s="81"/>
      <c r="H3988" s="78"/>
      <c r="I3988" s="78"/>
      <c r="J3988" s="78"/>
    </row>
    <row r="3989" spans="1:10" x14ac:dyDescent="0.2">
      <c r="A3989" s="84">
        <f t="shared" si="127"/>
        <v>3983</v>
      </c>
      <c r="B3989" s="85" t="e">
        <f>+MATCH(D3989,ARTICULOS!$F$10:$F$699,0)</f>
        <v>#N/A</v>
      </c>
      <c r="C3989" s="86" t="e">
        <f>+VLOOKUP(B3989,ARTICULOS!$D$10:$I$699,6)</f>
        <v>#N/A</v>
      </c>
      <c r="D3989" s="212"/>
      <c r="E3989" s="75" t="e">
        <f t="shared" si="128"/>
        <v>#N/A</v>
      </c>
      <c r="F3989" s="80"/>
      <c r="G3989" s="81"/>
      <c r="H3989" s="78"/>
      <c r="I3989" s="78"/>
      <c r="J3989" s="78"/>
    </row>
    <row r="3990" spans="1:10" x14ac:dyDescent="0.2">
      <c r="A3990" s="84">
        <f t="shared" si="127"/>
        <v>3984</v>
      </c>
      <c r="B3990" s="85" t="e">
        <f>+MATCH(D3990,ARTICULOS!$F$10:$F$699,0)</f>
        <v>#N/A</v>
      </c>
      <c r="C3990" s="86" t="e">
        <f>+VLOOKUP(B3990,ARTICULOS!$D$10:$I$699,6)</f>
        <v>#N/A</v>
      </c>
      <c r="D3990" s="212"/>
      <c r="E3990" s="75" t="e">
        <f t="shared" si="128"/>
        <v>#N/A</v>
      </c>
      <c r="F3990" s="80"/>
      <c r="G3990" s="81"/>
      <c r="H3990" s="78"/>
      <c r="I3990" s="78"/>
      <c r="J3990" s="78"/>
    </row>
    <row r="3991" spans="1:10" x14ac:dyDescent="0.2">
      <c r="A3991" s="84">
        <f t="shared" si="127"/>
        <v>3985</v>
      </c>
      <c r="B3991" s="85" t="e">
        <f>+MATCH(D3991,ARTICULOS!$F$10:$F$699,0)</f>
        <v>#N/A</v>
      </c>
      <c r="C3991" s="86" t="e">
        <f>+VLOOKUP(B3991,ARTICULOS!$D$10:$I$699,6)</f>
        <v>#N/A</v>
      </c>
      <c r="D3991" s="212"/>
      <c r="E3991" s="75" t="e">
        <f t="shared" si="128"/>
        <v>#N/A</v>
      </c>
      <c r="F3991" s="80"/>
      <c r="G3991" s="81"/>
      <c r="H3991" s="78"/>
      <c r="I3991" s="78"/>
      <c r="J3991" s="78"/>
    </row>
    <row r="3992" spans="1:10" x14ac:dyDescent="0.2">
      <c r="A3992" s="84">
        <f t="shared" si="127"/>
        <v>3986</v>
      </c>
      <c r="B3992" s="85" t="e">
        <f>+MATCH(D3992,ARTICULOS!$F$10:$F$699,0)</f>
        <v>#N/A</v>
      </c>
      <c r="C3992" s="86" t="e">
        <f>+VLOOKUP(B3992,ARTICULOS!$D$10:$I$699,6)</f>
        <v>#N/A</v>
      </c>
      <c r="D3992" s="212"/>
      <c r="E3992" s="75" t="e">
        <f t="shared" si="128"/>
        <v>#N/A</v>
      </c>
      <c r="F3992" s="80"/>
      <c r="G3992" s="81"/>
      <c r="H3992" s="78"/>
      <c r="I3992" s="78"/>
      <c r="J3992" s="78"/>
    </row>
    <row r="3993" spans="1:10" x14ac:dyDescent="0.2">
      <c r="A3993" s="84">
        <f t="shared" si="127"/>
        <v>3987</v>
      </c>
      <c r="B3993" s="85" t="e">
        <f>+MATCH(D3993,ARTICULOS!$F$10:$F$699,0)</f>
        <v>#N/A</v>
      </c>
      <c r="C3993" s="86" t="e">
        <f>+VLOOKUP(B3993,ARTICULOS!$D$10:$I$699,6)</f>
        <v>#N/A</v>
      </c>
      <c r="D3993" s="212"/>
      <c r="E3993" s="75" t="e">
        <f t="shared" si="128"/>
        <v>#N/A</v>
      </c>
      <c r="F3993" s="80"/>
      <c r="G3993" s="81"/>
      <c r="H3993" s="78"/>
      <c r="I3993" s="78"/>
      <c r="J3993" s="78"/>
    </row>
    <row r="3994" spans="1:10" x14ac:dyDescent="0.2">
      <c r="A3994" s="84">
        <f t="shared" si="127"/>
        <v>3988</v>
      </c>
      <c r="B3994" s="85" t="e">
        <f>+MATCH(D3994,ARTICULOS!$F$10:$F$699,0)</f>
        <v>#N/A</v>
      </c>
      <c r="C3994" s="86" t="e">
        <f>+VLOOKUP(B3994,ARTICULOS!$D$10:$I$699,6)</f>
        <v>#N/A</v>
      </c>
      <c r="D3994" s="212"/>
      <c r="E3994" s="75" t="e">
        <f t="shared" si="128"/>
        <v>#N/A</v>
      </c>
      <c r="F3994" s="80"/>
      <c r="G3994" s="81"/>
      <c r="H3994" s="78"/>
      <c r="I3994" s="78"/>
      <c r="J3994" s="78"/>
    </row>
    <row r="3995" spans="1:10" x14ac:dyDescent="0.2">
      <c r="A3995" s="84">
        <f t="shared" si="127"/>
        <v>3989</v>
      </c>
      <c r="B3995" s="85" t="e">
        <f>+MATCH(D3995,ARTICULOS!$F$10:$F$699,0)</f>
        <v>#N/A</v>
      </c>
      <c r="C3995" s="86" t="e">
        <f>+VLOOKUP(B3995,ARTICULOS!$D$10:$I$699,6)</f>
        <v>#N/A</v>
      </c>
      <c r="D3995" s="212"/>
      <c r="E3995" s="75" t="e">
        <f t="shared" si="128"/>
        <v>#N/A</v>
      </c>
      <c r="F3995" s="80"/>
      <c r="G3995" s="81"/>
      <c r="H3995" s="78"/>
      <c r="I3995" s="78"/>
      <c r="J3995" s="78"/>
    </row>
    <row r="3996" spans="1:10" x14ac:dyDescent="0.2">
      <c r="A3996" s="84">
        <f t="shared" si="127"/>
        <v>3990</v>
      </c>
      <c r="B3996" s="85" t="e">
        <f>+MATCH(D3996,ARTICULOS!$F$10:$F$699,0)</f>
        <v>#N/A</v>
      </c>
      <c r="C3996" s="86" t="e">
        <f>+VLOOKUP(B3996,ARTICULOS!$D$10:$I$699,6)</f>
        <v>#N/A</v>
      </c>
      <c r="D3996" s="212"/>
      <c r="E3996" s="75" t="e">
        <f t="shared" si="128"/>
        <v>#N/A</v>
      </c>
      <c r="F3996" s="80"/>
      <c r="G3996" s="81"/>
      <c r="H3996" s="78"/>
      <c r="I3996" s="78"/>
      <c r="J3996" s="78"/>
    </row>
    <row r="3997" spans="1:10" x14ac:dyDescent="0.2">
      <c r="A3997" s="84">
        <f t="shared" si="127"/>
        <v>3991</v>
      </c>
      <c r="B3997" s="85" t="e">
        <f>+MATCH(D3997,ARTICULOS!$F$10:$F$699,0)</f>
        <v>#N/A</v>
      </c>
      <c r="C3997" s="86" t="e">
        <f>+VLOOKUP(B3997,ARTICULOS!$D$10:$I$699,6)</f>
        <v>#N/A</v>
      </c>
      <c r="D3997" s="212"/>
      <c r="E3997" s="75" t="e">
        <f t="shared" si="128"/>
        <v>#N/A</v>
      </c>
      <c r="F3997" s="80"/>
      <c r="G3997" s="81"/>
      <c r="H3997" s="78"/>
      <c r="I3997" s="78"/>
      <c r="J3997" s="78"/>
    </row>
    <row r="3998" spans="1:10" x14ac:dyDescent="0.2">
      <c r="A3998" s="84">
        <f t="shared" si="127"/>
        <v>3992</v>
      </c>
      <c r="B3998" s="85" t="e">
        <f>+MATCH(D3998,ARTICULOS!$F$10:$F$699,0)</f>
        <v>#N/A</v>
      </c>
      <c r="C3998" s="86" t="e">
        <f>+VLOOKUP(B3998,ARTICULOS!$D$10:$I$699,6)</f>
        <v>#N/A</v>
      </c>
      <c r="D3998" s="212"/>
      <c r="E3998" s="75" t="e">
        <f t="shared" si="128"/>
        <v>#N/A</v>
      </c>
      <c r="F3998" s="80"/>
      <c r="G3998" s="81"/>
      <c r="H3998" s="78"/>
      <c r="I3998" s="78"/>
      <c r="J3998" s="78"/>
    </row>
    <row r="3999" spans="1:10" x14ac:dyDescent="0.2">
      <c r="A3999" s="84">
        <f t="shared" si="127"/>
        <v>3993</v>
      </c>
      <c r="B3999" s="85" t="e">
        <f>+MATCH(D3999,ARTICULOS!$F$10:$F$699,0)</f>
        <v>#N/A</v>
      </c>
      <c r="C3999" s="86" t="e">
        <f>+VLOOKUP(B3999,ARTICULOS!$D$10:$I$699,6)</f>
        <v>#N/A</v>
      </c>
      <c r="D3999" s="212"/>
      <c r="E3999" s="75" t="e">
        <f t="shared" si="128"/>
        <v>#N/A</v>
      </c>
      <c r="F3999" s="80"/>
      <c r="G3999" s="81"/>
      <c r="H3999" s="78"/>
      <c r="I3999" s="78"/>
      <c r="J3999" s="78"/>
    </row>
    <row r="4000" spans="1:10" x14ac:dyDescent="0.2">
      <c r="A4000" s="84">
        <f t="shared" si="127"/>
        <v>3994</v>
      </c>
      <c r="B4000" s="85" t="e">
        <f>+MATCH(D4000,ARTICULOS!$F$10:$F$699,0)</f>
        <v>#N/A</v>
      </c>
      <c r="C4000" s="86" t="e">
        <f>+VLOOKUP(B4000,ARTICULOS!$D$10:$I$699,6)</f>
        <v>#N/A</v>
      </c>
      <c r="D4000" s="212"/>
      <c r="E4000" s="75" t="e">
        <f t="shared" si="128"/>
        <v>#N/A</v>
      </c>
      <c r="F4000" s="80"/>
      <c r="G4000" s="81"/>
      <c r="H4000" s="78"/>
      <c r="I4000" s="78"/>
      <c r="J4000" s="78"/>
    </row>
    <row r="4001" spans="1:10" x14ac:dyDescent="0.2">
      <c r="A4001" s="84">
        <f t="shared" si="127"/>
        <v>3995</v>
      </c>
      <c r="B4001" s="85" t="e">
        <f>+MATCH(D4001,ARTICULOS!$F$10:$F$699,0)</f>
        <v>#N/A</v>
      </c>
      <c r="C4001" s="86" t="e">
        <f>+VLOOKUP(B4001,ARTICULOS!$D$10:$I$699,6)</f>
        <v>#N/A</v>
      </c>
      <c r="D4001" s="212"/>
      <c r="E4001" s="75" t="e">
        <f t="shared" si="128"/>
        <v>#N/A</v>
      </c>
      <c r="F4001" s="80"/>
      <c r="G4001" s="81"/>
      <c r="H4001" s="78"/>
      <c r="I4001" s="78"/>
      <c r="J4001" s="78"/>
    </row>
    <row r="4002" spans="1:10" x14ac:dyDescent="0.2">
      <c r="A4002" s="84">
        <f t="shared" si="127"/>
        <v>3996</v>
      </c>
      <c r="B4002" s="85" t="e">
        <f>+MATCH(D4002,ARTICULOS!$F$10:$F$699,0)</f>
        <v>#N/A</v>
      </c>
      <c r="C4002" s="86" t="e">
        <f>+VLOOKUP(B4002,ARTICULOS!$D$10:$I$699,6)</f>
        <v>#N/A</v>
      </c>
      <c r="D4002" s="212"/>
      <c r="E4002" s="75" t="e">
        <f t="shared" si="128"/>
        <v>#N/A</v>
      </c>
      <c r="F4002" s="80"/>
      <c r="G4002" s="81"/>
      <c r="H4002" s="78"/>
      <c r="I4002" s="78"/>
      <c r="J4002" s="78"/>
    </row>
    <row r="4003" spans="1:10" x14ac:dyDescent="0.2">
      <c r="A4003" s="84">
        <f t="shared" si="127"/>
        <v>3997</v>
      </c>
      <c r="B4003" s="85" t="e">
        <f>+MATCH(D4003,ARTICULOS!$F$10:$F$699,0)</f>
        <v>#N/A</v>
      </c>
      <c r="C4003" s="86" t="e">
        <f>+VLOOKUP(B4003,ARTICULOS!$D$10:$I$699,6)</f>
        <v>#N/A</v>
      </c>
      <c r="D4003" s="212"/>
      <c r="E4003" s="75" t="e">
        <f t="shared" si="128"/>
        <v>#N/A</v>
      </c>
      <c r="F4003" s="80"/>
      <c r="G4003" s="81"/>
      <c r="H4003" s="78"/>
      <c r="I4003" s="78"/>
      <c r="J4003" s="78"/>
    </row>
    <row r="4004" spans="1:10" x14ac:dyDescent="0.2">
      <c r="A4004" s="84">
        <f t="shared" si="127"/>
        <v>3998</v>
      </c>
      <c r="B4004" s="85" t="e">
        <f>+MATCH(D4004,ARTICULOS!$F$10:$F$699,0)</f>
        <v>#N/A</v>
      </c>
      <c r="C4004" s="86" t="e">
        <f>+VLOOKUP(B4004,ARTICULOS!$D$10:$I$699,6)</f>
        <v>#N/A</v>
      </c>
      <c r="D4004" s="212"/>
      <c r="E4004" s="75" t="e">
        <f t="shared" si="128"/>
        <v>#N/A</v>
      </c>
      <c r="F4004" s="80"/>
      <c r="G4004" s="81"/>
      <c r="H4004" s="78"/>
      <c r="I4004" s="78"/>
      <c r="J4004" s="78"/>
    </row>
    <row r="4005" spans="1:10" x14ac:dyDescent="0.2">
      <c r="A4005" s="84">
        <f t="shared" si="127"/>
        <v>3999</v>
      </c>
      <c r="B4005" s="85" t="e">
        <f>+MATCH(D4005,ARTICULOS!$F$10:$F$699,0)</f>
        <v>#N/A</v>
      </c>
      <c r="C4005" s="86" t="e">
        <f>+VLOOKUP(B4005,ARTICULOS!$D$10:$I$699,6)</f>
        <v>#N/A</v>
      </c>
      <c r="D4005" s="212"/>
      <c r="E4005" s="75" t="e">
        <f t="shared" si="128"/>
        <v>#N/A</v>
      </c>
      <c r="F4005" s="80"/>
      <c r="G4005" s="81"/>
      <c r="H4005" s="78"/>
      <c r="I4005" s="78"/>
      <c r="J4005" s="78"/>
    </row>
    <row r="4006" spans="1:10" x14ac:dyDescent="0.2">
      <c r="A4006" s="84">
        <f t="shared" si="127"/>
        <v>4000</v>
      </c>
      <c r="B4006" s="85" t="e">
        <f>+MATCH(D4006,ARTICULOS!$F$10:$F$699,0)</f>
        <v>#N/A</v>
      </c>
      <c r="C4006" s="86" t="e">
        <f>+VLOOKUP(B4006,ARTICULOS!$D$10:$I$699,6)</f>
        <v>#N/A</v>
      </c>
      <c r="D4006" s="212"/>
      <c r="E4006" s="75" t="e">
        <f t="shared" si="128"/>
        <v>#N/A</v>
      </c>
      <c r="F4006" s="80"/>
      <c r="G4006" s="81"/>
      <c r="H4006" s="78"/>
      <c r="I4006" s="78"/>
      <c r="J4006" s="78"/>
    </row>
    <row r="4007" spans="1:10" x14ac:dyDescent="0.2">
      <c r="A4007" s="84">
        <f t="shared" si="127"/>
        <v>4001</v>
      </c>
      <c r="B4007" s="85" t="e">
        <f>+MATCH(D4007,ARTICULOS!$F$10:$F$699,0)</f>
        <v>#N/A</v>
      </c>
      <c r="C4007" s="86" t="e">
        <f>+VLOOKUP(B4007,ARTICULOS!$D$10:$I$699,6)</f>
        <v>#N/A</v>
      </c>
      <c r="D4007" s="212"/>
      <c r="E4007" s="75" t="e">
        <f t="shared" si="128"/>
        <v>#N/A</v>
      </c>
      <c r="F4007" s="80"/>
      <c r="G4007" s="81"/>
      <c r="H4007" s="78"/>
      <c r="I4007" s="78"/>
      <c r="J4007" s="78"/>
    </row>
    <row r="4008" spans="1:10" x14ac:dyDescent="0.2">
      <c r="A4008" s="84">
        <f t="shared" si="127"/>
        <v>4002</v>
      </c>
      <c r="B4008" s="85" t="e">
        <f>+MATCH(D4008,ARTICULOS!$F$10:$F$699,0)</f>
        <v>#N/A</v>
      </c>
      <c r="C4008" s="86" t="e">
        <f>+VLOOKUP(B4008,ARTICULOS!$D$10:$I$699,6)</f>
        <v>#N/A</v>
      </c>
      <c r="D4008" s="212"/>
      <c r="E4008" s="75" t="e">
        <f t="shared" si="128"/>
        <v>#N/A</v>
      </c>
      <c r="F4008" s="80"/>
      <c r="G4008" s="81"/>
      <c r="H4008" s="78"/>
      <c r="I4008" s="78"/>
      <c r="J4008" s="78"/>
    </row>
    <row r="4009" spans="1:10" x14ac:dyDescent="0.2">
      <c r="A4009" s="84">
        <f t="shared" ref="A4009:A4072" si="129">ROW()-6</f>
        <v>4003</v>
      </c>
      <c r="B4009" s="85" t="e">
        <f>+MATCH(D4009,ARTICULOS!$F$10:$F$699,0)</f>
        <v>#N/A</v>
      </c>
      <c r="C4009" s="86" t="e">
        <f>+VLOOKUP(B4009,ARTICULOS!$D$10:$I$699,6)</f>
        <v>#N/A</v>
      </c>
      <c r="D4009" s="212"/>
      <c r="E4009" s="75" t="e">
        <f t="shared" si="128"/>
        <v>#N/A</v>
      </c>
      <c r="F4009" s="80"/>
      <c r="G4009" s="81"/>
      <c r="H4009" s="78"/>
      <c r="I4009" s="78"/>
      <c r="J4009" s="78"/>
    </row>
    <row r="4010" spans="1:10" x14ac:dyDescent="0.2">
      <c r="A4010" s="84">
        <f t="shared" si="129"/>
        <v>4004</v>
      </c>
      <c r="B4010" s="85" t="e">
        <f>+MATCH(D4010,ARTICULOS!$F$10:$F$699,0)</f>
        <v>#N/A</v>
      </c>
      <c r="C4010" s="86" t="e">
        <f>+VLOOKUP(B4010,ARTICULOS!$D$10:$I$699,6)</f>
        <v>#N/A</v>
      </c>
      <c r="D4010" s="212"/>
      <c r="E4010" s="75" t="e">
        <f t="shared" si="128"/>
        <v>#N/A</v>
      </c>
      <c r="F4010" s="80"/>
      <c r="G4010" s="81"/>
      <c r="H4010" s="78"/>
      <c r="I4010" s="78"/>
      <c r="J4010" s="78"/>
    </row>
    <row r="4011" spans="1:10" x14ac:dyDescent="0.2">
      <c r="A4011" s="84">
        <f t="shared" si="129"/>
        <v>4005</v>
      </c>
      <c r="B4011" s="85" t="e">
        <f>+MATCH(D4011,ARTICULOS!$F$10:$F$699,0)</f>
        <v>#N/A</v>
      </c>
      <c r="C4011" s="86" t="e">
        <f>+VLOOKUP(B4011,ARTICULOS!$D$10:$I$699,6)</f>
        <v>#N/A</v>
      </c>
      <c r="D4011" s="212"/>
      <c r="E4011" s="75" t="e">
        <f t="shared" si="128"/>
        <v>#N/A</v>
      </c>
      <c r="F4011" s="80"/>
      <c r="G4011" s="81"/>
      <c r="H4011" s="78"/>
      <c r="I4011" s="78"/>
      <c r="J4011" s="78"/>
    </row>
    <row r="4012" spans="1:10" x14ac:dyDescent="0.2">
      <c r="A4012" s="84">
        <f t="shared" si="129"/>
        <v>4006</v>
      </c>
      <c r="B4012" s="85" t="e">
        <f>+MATCH(D4012,ARTICULOS!$F$10:$F$699,0)</f>
        <v>#N/A</v>
      </c>
      <c r="C4012" s="86" t="e">
        <f>+VLOOKUP(B4012,ARTICULOS!$D$10:$I$699,6)</f>
        <v>#N/A</v>
      </c>
      <c r="D4012" s="212"/>
      <c r="E4012" s="75" t="e">
        <f t="shared" si="128"/>
        <v>#N/A</v>
      </c>
      <c r="F4012" s="80"/>
      <c r="G4012" s="81"/>
      <c r="H4012" s="78"/>
      <c r="I4012" s="78"/>
      <c r="J4012" s="78"/>
    </row>
    <row r="4013" spans="1:10" x14ac:dyDescent="0.2">
      <c r="A4013" s="84">
        <f t="shared" si="129"/>
        <v>4007</v>
      </c>
      <c r="B4013" s="85" t="e">
        <f>+MATCH(D4013,ARTICULOS!$F$10:$F$699,0)</f>
        <v>#N/A</v>
      </c>
      <c r="C4013" s="86" t="e">
        <f>+VLOOKUP(B4013,ARTICULOS!$D$10:$I$699,6)</f>
        <v>#N/A</v>
      </c>
      <c r="D4013" s="212"/>
      <c r="E4013" s="75" t="e">
        <f t="shared" si="128"/>
        <v>#N/A</v>
      </c>
      <c r="F4013" s="80"/>
      <c r="G4013" s="81"/>
      <c r="H4013" s="78"/>
      <c r="I4013" s="78"/>
      <c r="J4013" s="78"/>
    </row>
    <row r="4014" spans="1:10" x14ac:dyDescent="0.2">
      <c r="A4014" s="84">
        <f t="shared" si="129"/>
        <v>4008</v>
      </c>
      <c r="B4014" s="85" t="e">
        <f>+MATCH(D4014,ARTICULOS!$F$10:$F$699,0)</f>
        <v>#N/A</v>
      </c>
      <c r="C4014" s="86" t="e">
        <f>+VLOOKUP(B4014,ARTICULOS!$D$10:$I$699,6)</f>
        <v>#N/A</v>
      </c>
      <c r="D4014" s="212"/>
      <c r="E4014" s="75" t="e">
        <f t="shared" si="128"/>
        <v>#N/A</v>
      </c>
      <c r="F4014" s="80"/>
      <c r="G4014" s="81"/>
      <c r="H4014" s="78"/>
      <c r="I4014" s="78"/>
      <c r="J4014" s="78"/>
    </row>
    <row r="4015" spans="1:10" x14ac:dyDescent="0.2">
      <c r="A4015" s="84">
        <f t="shared" si="129"/>
        <v>4009</v>
      </c>
      <c r="B4015" s="85" t="e">
        <f>+MATCH(D4015,ARTICULOS!$F$10:$F$699,0)</f>
        <v>#N/A</v>
      </c>
      <c r="C4015" s="86" t="e">
        <f>+VLOOKUP(B4015,ARTICULOS!$D$10:$I$699,6)</f>
        <v>#N/A</v>
      </c>
      <c r="D4015" s="212"/>
      <c r="E4015" s="75" t="e">
        <f t="shared" si="128"/>
        <v>#N/A</v>
      </c>
      <c r="F4015" s="80"/>
      <c r="G4015" s="81"/>
      <c r="H4015" s="78"/>
      <c r="I4015" s="78"/>
      <c r="J4015" s="78"/>
    </row>
    <row r="4016" spans="1:10" x14ac:dyDescent="0.2">
      <c r="A4016" s="84">
        <f t="shared" si="129"/>
        <v>4010</v>
      </c>
      <c r="B4016" s="85" t="e">
        <f>+MATCH(D4016,ARTICULOS!$F$10:$F$699,0)</f>
        <v>#N/A</v>
      </c>
      <c r="C4016" s="86" t="e">
        <f>+VLOOKUP(B4016,ARTICULOS!$D$10:$I$699,6)</f>
        <v>#N/A</v>
      </c>
      <c r="D4016" s="212"/>
      <c r="E4016" s="75" t="e">
        <f t="shared" si="128"/>
        <v>#N/A</v>
      </c>
      <c r="F4016" s="80"/>
      <c r="G4016" s="81"/>
      <c r="H4016" s="78"/>
      <c r="I4016" s="78"/>
      <c r="J4016" s="78"/>
    </row>
    <row r="4017" spans="1:10" x14ac:dyDescent="0.2">
      <c r="A4017" s="84">
        <f t="shared" si="129"/>
        <v>4011</v>
      </c>
      <c r="B4017" s="85" t="e">
        <f>+MATCH(D4017,ARTICULOS!$F$10:$F$699,0)</f>
        <v>#N/A</v>
      </c>
      <c r="C4017" s="86" t="e">
        <f>+VLOOKUP(B4017,ARTICULOS!$D$10:$I$699,6)</f>
        <v>#N/A</v>
      </c>
      <c r="D4017" s="212"/>
      <c r="E4017" s="75" t="e">
        <f t="shared" si="128"/>
        <v>#N/A</v>
      </c>
      <c r="F4017" s="80"/>
      <c r="G4017" s="81"/>
      <c r="H4017" s="78"/>
      <c r="I4017" s="78"/>
      <c r="J4017" s="78"/>
    </row>
    <row r="4018" spans="1:10" x14ac:dyDescent="0.2">
      <c r="A4018" s="84">
        <f t="shared" si="129"/>
        <v>4012</v>
      </c>
      <c r="B4018" s="85" t="e">
        <f>+MATCH(D4018,ARTICULOS!$F$10:$F$699,0)</f>
        <v>#N/A</v>
      </c>
      <c r="C4018" s="86" t="e">
        <f>+VLOOKUP(B4018,ARTICULOS!$D$10:$I$699,6)</f>
        <v>#N/A</v>
      </c>
      <c r="D4018" s="212"/>
      <c r="E4018" s="75" t="e">
        <f t="shared" si="128"/>
        <v>#N/A</v>
      </c>
      <c r="F4018" s="80"/>
      <c r="G4018" s="81"/>
      <c r="H4018" s="78"/>
      <c r="I4018" s="78"/>
      <c r="J4018" s="78"/>
    </row>
    <row r="4019" spans="1:10" x14ac:dyDescent="0.2">
      <c r="A4019" s="84">
        <f t="shared" si="129"/>
        <v>4013</v>
      </c>
      <c r="B4019" s="85" t="e">
        <f>+MATCH(D4019,ARTICULOS!$F$10:$F$699,0)</f>
        <v>#N/A</v>
      </c>
      <c r="C4019" s="86" t="e">
        <f>+VLOOKUP(B4019,ARTICULOS!$D$10:$I$699,6)</f>
        <v>#N/A</v>
      </c>
      <c r="D4019" s="212"/>
      <c r="E4019" s="75" t="e">
        <f t="shared" si="128"/>
        <v>#N/A</v>
      </c>
      <c r="F4019" s="80"/>
      <c r="G4019" s="81"/>
      <c r="H4019" s="78"/>
      <c r="I4019" s="78"/>
      <c r="J4019" s="78"/>
    </row>
    <row r="4020" spans="1:10" x14ac:dyDescent="0.2">
      <c r="A4020" s="84">
        <f t="shared" si="129"/>
        <v>4014</v>
      </c>
      <c r="B4020" s="85" t="e">
        <f>+MATCH(D4020,ARTICULOS!$F$10:$F$699,0)</f>
        <v>#N/A</v>
      </c>
      <c r="C4020" s="86" t="e">
        <f>+VLOOKUP(B4020,ARTICULOS!$D$10:$I$699,6)</f>
        <v>#N/A</v>
      </c>
      <c r="D4020" s="212"/>
      <c r="E4020" s="75" t="e">
        <f t="shared" si="128"/>
        <v>#N/A</v>
      </c>
      <c r="F4020" s="80"/>
      <c r="G4020" s="81"/>
      <c r="H4020" s="78"/>
      <c r="I4020" s="78"/>
      <c r="J4020" s="78"/>
    </row>
    <row r="4021" spans="1:10" x14ac:dyDescent="0.2">
      <c r="A4021" s="84">
        <f t="shared" si="129"/>
        <v>4015</v>
      </c>
      <c r="B4021" s="85" t="e">
        <f>+MATCH(D4021,ARTICULOS!$F$10:$F$699,0)</f>
        <v>#N/A</v>
      </c>
      <c r="C4021" s="86" t="e">
        <f>+VLOOKUP(B4021,ARTICULOS!$D$10:$I$699,6)</f>
        <v>#N/A</v>
      </c>
      <c r="D4021" s="212"/>
      <c r="E4021" s="75" t="e">
        <f t="shared" si="128"/>
        <v>#N/A</v>
      </c>
      <c r="F4021" s="80"/>
      <c r="G4021" s="81"/>
      <c r="H4021" s="78"/>
      <c r="I4021" s="78"/>
      <c r="J4021" s="78"/>
    </row>
    <row r="4022" spans="1:10" x14ac:dyDescent="0.2">
      <c r="A4022" s="84">
        <f t="shared" si="129"/>
        <v>4016</v>
      </c>
      <c r="B4022" s="85" t="e">
        <f>+MATCH(D4022,ARTICULOS!$F$10:$F$699,0)</f>
        <v>#N/A</v>
      </c>
      <c r="C4022" s="86" t="e">
        <f>+VLOOKUP(B4022,ARTICULOS!$D$10:$I$699,6)</f>
        <v>#N/A</v>
      </c>
      <c r="D4022" s="212"/>
      <c r="E4022" s="75" t="e">
        <f t="shared" si="128"/>
        <v>#N/A</v>
      </c>
      <c r="F4022" s="80"/>
      <c r="G4022" s="81"/>
      <c r="H4022" s="78"/>
      <c r="I4022" s="78"/>
      <c r="J4022" s="78"/>
    </row>
    <row r="4023" spans="1:10" x14ac:dyDescent="0.2">
      <c r="A4023" s="84">
        <f t="shared" si="129"/>
        <v>4017</v>
      </c>
      <c r="B4023" s="85" t="e">
        <f>+MATCH(D4023,ARTICULOS!$F$10:$F$699,0)</f>
        <v>#N/A</v>
      </c>
      <c r="C4023" s="86" t="e">
        <f>+VLOOKUP(B4023,ARTICULOS!$D$10:$I$699,6)</f>
        <v>#N/A</v>
      </c>
      <c r="D4023" s="212"/>
      <c r="E4023" s="75" t="e">
        <f t="shared" si="128"/>
        <v>#N/A</v>
      </c>
      <c r="F4023" s="80"/>
      <c r="G4023" s="81"/>
      <c r="H4023" s="78"/>
      <c r="I4023" s="78"/>
      <c r="J4023" s="78"/>
    </row>
    <row r="4024" spans="1:10" x14ac:dyDescent="0.2">
      <c r="A4024" s="84">
        <f t="shared" si="129"/>
        <v>4018</v>
      </c>
      <c r="B4024" s="85" t="e">
        <f>+MATCH(D4024,ARTICULOS!$F$10:$F$699,0)</f>
        <v>#N/A</v>
      </c>
      <c r="C4024" s="86" t="e">
        <f>+VLOOKUP(B4024,ARTICULOS!$D$10:$I$699,6)</f>
        <v>#N/A</v>
      </c>
      <c r="D4024" s="212"/>
      <c r="E4024" s="75" t="e">
        <f t="shared" si="128"/>
        <v>#N/A</v>
      </c>
      <c r="F4024" s="80"/>
      <c r="G4024" s="81"/>
      <c r="H4024" s="78"/>
      <c r="I4024" s="78"/>
      <c r="J4024" s="78"/>
    </row>
    <row r="4025" spans="1:10" x14ac:dyDescent="0.2">
      <c r="A4025" s="84">
        <f t="shared" si="129"/>
        <v>4019</v>
      </c>
      <c r="B4025" s="85" t="e">
        <f>+MATCH(D4025,ARTICULOS!$F$10:$F$699,0)</f>
        <v>#N/A</v>
      </c>
      <c r="C4025" s="86" t="e">
        <f>+VLOOKUP(B4025,ARTICULOS!$D$10:$I$699,6)</f>
        <v>#N/A</v>
      </c>
      <c r="D4025" s="212"/>
      <c r="E4025" s="75" t="e">
        <f t="shared" si="128"/>
        <v>#N/A</v>
      </c>
      <c r="F4025" s="80"/>
      <c r="G4025" s="81"/>
      <c r="H4025" s="78"/>
      <c r="I4025" s="78"/>
      <c r="J4025" s="78"/>
    </row>
    <row r="4026" spans="1:10" x14ac:dyDescent="0.2">
      <c r="A4026" s="84">
        <f t="shared" si="129"/>
        <v>4020</v>
      </c>
      <c r="B4026" s="85" t="e">
        <f>+MATCH(D4026,ARTICULOS!$F$10:$F$699,0)</f>
        <v>#N/A</v>
      </c>
      <c r="C4026" s="86" t="e">
        <f>+VLOOKUP(B4026,ARTICULOS!$D$10:$I$699,6)</f>
        <v>#N/A</v>
      </c>
      <c r="D4026" s="212"/>
      <c r="E4026" s="75" t="e">
        <f t="shared" si="128"/>
        <v>#N/A</v>
      </c>
      <c r="F4026" s="80"/>
      <c r="G4026" s="81"/>
      <c r="H4026" s="78"/>
      <c r="I4026" s="78"/>
      <c r="J4026" s="78"/>
    </row>
    <row r="4027" spans="1:10" x14ac:dyDescent="0.2">
      <c r="A4027" s="84">
        <f t="shared" si="129"/>
        <v>4021</v>
      </c>
      <c r="B4027" s="85" t="e">
        <f>+MATCH(D4027,ARTICULOS!$F$10:$F$699,0)</f>
        <v>#N/A</v>
      </c>
      <c r="C4027" s="86" t="e">
        <f>+VLOOKUP(B4027,ARTICULOS!$D$10:$I$699,6)</f>
        <v>#N/A</v>
      </c>
      <c r="D4027" s="212"/>
      <c r="E4027" s="75" t="e">
        <f t="shared" si="128"/>
        <v>#N/A</v>
      </c>
      <c r="F4027" s="80"/>
      <c r="G4027" s="81"/>
      <c r="H4027" s="78"/>
      <c r="I4027" s="78"/>
      <c r="J4027" s="78"/>
    </row>
    <row r="4028" spans="1:10" x14ac:dyDescent="0.2">
      <c r="A4028" s="84">
        <f t="shared" si="129"/>
        <v>4022</v>
      </c>
      <c r="B4028" s="85" t="e">
        <f>+MATCH(D4028,ARTICULOS!$F$10:$F$699,0)</f>
        <v>#N/A</v>
      </c>
      <c r="C4028" s="86" t="e">
        <f>+VLOOKUP(B4028,ARTICULOS!$D$10:$I$699,6)</f>
        <v>#N/A</v>
      </c>
      <c r="D4028" s="212"/>
      <c r="E4028" s="75" t="e">
        <f t="shared" si="128"/>
        <v>#N/A</v>
      </c>
      <c r="F4028" s="80"/>
      <c r="G4028" s="81"/>
      <c r="H4028" s="78"/>
      <c r="I4028" s="78"/>
      <c r="J4028" s="78"/>
    </row>
    <row r="4029" spans="1:10" x14ac:dyDescent="0.2">
      <c r="A4029" s="84">
        <f t="shared" si="129"/>
        <v>4023</v>
      </c>
      <c r="B4029" s="85" t="e">
        <f>+MATCH(D4029,ARTICULOS!$F$10:$F$699,0)</f>
        <v>#N/A</v>
      </c>
      <c r="C4029" s="86" t="e">
        <f>+VLOOKUP(B4029,ARTICULOS!$D$10:$I$699,6)</f>
        <v>#N/A</v>
      </c>
      <c r="D4029" s="212"/>
      <c r="E4029" s="75" t="e">
        <f t="shared" si="128"/>
        <v>#N/A</v>
      </c>
      <c r="F4029" s="80"/>
      <c r="G4029" s="81"/>
      <c r="H4029" s="78"/>
      <c r="I4029" s="78"/>
      <c r="J4029" s="78"/>
    </row>
    <row r="4030" spans="1:10" x14ac:dyDescent="0.2">
      <c r="A4030" s="84">
        <f t="shared" si="129"/>
        <v>4024</v>
      </c>
      <c r="B4030" s="85" t="e">
        <f>+MATCH(D4030,ARTICULOS!$F$10:$F$699,0)</f>
        <v>#N/A</v>
      </c>
      <c r="C4030" s="86" t="e">
        <f>+VLOOKUP(B4030,ARTICULOS!$D$10:$I$699,6)</f>
        <v>#N/A</v>
      </c>
      <c r="D4030" s="212"/>
      <c r="E4030" s="75" t="e">
        <f t="shared" si="128"/>
        <v>#N/A</v>
      </c>
      <c r="F4030" s="80"/>
      <c r="G4030" s="81"/>
      <c r="H4030" s="78"/>
      <c r="I4030" s="78"/>
      <c r="J4030" s="78"/>
    </row>
    <row r="4031" spans="1:10" x14ac:dyDescent="0.2">
      <c r="A4031" s="84">
        <f t="shared" si="129"/>
        <v>4025</v>
      </c>
      <c r="B4031" s="85" t="e">
        <f>+MATCH(D4031,ARTICULOS!$F$10:$F$699,0)</f>
        <v>#N/A</v>
      </c>
      <c r="C4031" s="86" t="e">
        <f>+VLOOKUP(B4031,ARTICULOS!$D$10:$I$699,6)</f>
        <v>#N/A</v>
      </c>
      <c r="D4031" s="212"/>
      <c r="E4031" s="75" t="e">
        <f t="shared" si="128"/>
        <v>#N/A</v>
      </c>
      <c r="F4031" s="80"/>
      <c r="G4031" s="81"/>
      <c r="H4031" s="78"/>
      <c r="I4031" s="78"/>
      <c r="J4031" s="78"/>
    </row>
    <row r="4032" spans="1:10" x14ac:dyDescent="0.2">
      <c r="A4032" s="84">
        <f t="shared" si="129"/>
        <v>4026</v>
      </c>
      <c r="B4032" s="85" t="e">
        <f>+MATCH(D4032,ARTICULOS!$F$10:$F$699,0)</f>
        <v>#N/A</v>
      </c>
      <c r="C4032" s="86" t="e">
        <f>+VLOOKUP(B4032,ARTICULOS!$D$10:$I$699,6)</f>
        <v>#N/A</v>
      </c>
      <c r="D4032" s="212"/>
      <c r="E4032" s="75" t="e">
        <f t="shared" si="128"/>
        <v>#N/A</v>
      </c>
      <c r="F4032" s="80"/>
      <c r="G4032" s="81"/>
      <c r="H4032" s="78"/>
      <c r="I4032" s="78"/>
      <c r="J4032" s="78"/>
    </row>
    <row r="4033" spans="1:10" x14ac:dyDescent="0.2">
      <c r="A4033" s="84">
        <f t="shared" si="129"/>
        <v>4027</v>
      </c>
      <c r="B4033" s="85" t="e">
        <f>+MATCH(D4033,ARTICULOS!$F$10:$F$699,0)</f>
        <v>#N/A</v>
      </c>
      <c r="C4033" s="86" t="e">
        <f>+VLOOKUP(B4033,ARTICULOS!$D$10:$I$699,6)</f>
        <v>#N/A</v>
      </c>
      <c r="D4033" s="212"/>
      <c r="E4033" s="75" t="e">
        <f t="shared" si="128"/>
        <v>#N/A</v>
      </c>
      <c r="F4033" s="80"/>
      <c r="G4033" s="81"/>
      <c r="H4033" s="78"/>
      <c r="I4033" s="78"/>
      <c r="J4033" s="78"/>
    </row>
    <row r="4034" spans="1:10" x14ac:dyDescent="0.2">
      <c r="A4034" s="84">
        <f t="shared" si="129"/>
        <v>4028</v>
      </c>
      <c r="B4034" s="85" t="e">
        <f>+MATCH(D4034,ARTICULOS!$F$10:$F$699,0)</f>
        <v>#N/A</v>
      </c>
      <c r="C4034" s="86" t="e">
        <f>+VLOOKUP(B4034,ARTICULOS!$D$10:$I$699,6)</f>
        <v>#N/A</v>
      </c>
      <c r="D4034" s="212"/>
      <c r="E4034" s="75" t="e">
        <f t="shared" si="128"/>
        <v>#N/A</v>
      </c>
      <c r="F4034" s="80"/>
      <c r="G4034" s="81"/>
      <c r="H4034" s="78"/>
      <c r="I4034" s="78"/>
      <c r="J4034" s="78"/>
    </row>
    <row r="4035" spans="1:10" x14ac:dyDescent="0.2">
      <c r="A4035" s="84">
        <f t="shared" si="129"/>
        <v>4029</v>
      </c>
      <c r="B4035" s="85" t="e">
        <f>+MATCH(D4035,ARTICULOS!$F$10:$F$699,0)</f>
        <v>#N/A</v>
      </c>
      <c r="C4035" s="86" t="e">
        <f>+VLOOKUP(B4035,ARTICULOS!$D$10:$I$699,6)</f>
        <v>#N/A</v>
      </c>
      <c r="D4035" s="212"/>
      <c r="E4035" s="75" t="e">
        <f t="shared" si="128"/>
        <v>#N/A</v>
      </c>
      <c r="F4035" s="80"/>
      <c r="G4035" s="81"/>
      <c r="H4035" s="78"/>
      <c r="I4035" s="78"/>
      <c r="J4035" s="78"/>
    </row>
    <row r="4036" spans="1:10" x14ac:dyDescent="0.2">
      <c r="A4036" s="84">
        <f t="shared" si="129"/>
        <v>4030</v>
      </c>
      <c r="B4036" s="85" t="e">
        <f>+MATCH(D4036,ARTICULOS!$F$10:$F$699,0)</f>
        <v>#N/A</v>
      </c>
      <c r="C4036" s="86" t="e">
        <f>+VLOOKUP(B4036,ARTICULOS!$D$10:$I$699,6)</f>
        <v>#N/A</v>
      </c>
      <c r="D4036" s="212"/>
      <c r="E4036" s="75" t="e">
        <f t="shared" si="128"/>
        <v>#N/A</v>
      </c>
      <c r="F4036" s="80"/>
      <c r="G4036" s="81"/>
      <c r="H4036" s="78"/>
      <c r="I4036" s="78"/>
      <c r="J4036" s="78"/>
    </row>
    <row r="4037" spans="1:10" x14ac:dyDescent="0.2">
      <c r="A4037" s="84">
        <f t="shared" si="129"/>
        <v>4031</v>
      </c>
      <c r="B4037" s="85" t="e">
        <f>+MATCH(D4037,ARTICULOS!$F$10:$F$699,0)</f>
        <v>#N/A</v>
      </c>
      <c r="C4037" s="86" t="e">
        <f>+VLOOKUP(B4037,ARTICULOS!$D$10:$I$699,6)</f>
        <v>#N/A</v>
      </c>
      <c r="D4037" s="212"/>
      <c r="E4037" s="75" t="e">
        <f t="shared" si="128"/>
        <v>#N/A</v>
      </c>
      <c r="F4037" s="80"/>
      <c r="G4037" s="81"/>
      <c r="H4037" s="78"/>
      <c r="I4037" s="78"/>
      <c r="J4037" s="78"/>
    </row>
    <row r="4038" spans="1:10" x14ac:dyDescent="0.2">
      <c r="A4038" s="84">
        <f t="shared" si="129"/>
        <v>4032</v>
      </c>
      <c r="B4038" s="85" t="e">
        <f>+MATCH(D4038,ARTICULOS!$F$10:$F$699,0)</f>
        <v>#N/A</v>
      </c>
      <c r="C4038" s="86" t="e">
        <f>+VLOOKUP(B4038,ARTICULOS!$D$10:$I$699,6)</f>
        <v>#N/A</v>
      </c>
      <c r="D4038" s="212"/>
      <c r="E4038" s="75" t="e">
        <f t="shared" si="128"/>
        <v>#N/A</v>
      </c>
      <c r="F4038" s="80"/>
      <c r="G4038" s="81"/>
      <c r="H4038" s="78"/>
      <c r="I4038" s="78"/>
      <c r="J4038" s="78"/>
    </row>
    <row r="4039" spans="1:10" x14ac:dyDescent="0.2">
      <c r="A4039" s="84">
        <f t="shared" si="129"/>
        <v>4033</v>
      </c>
      <c r="B4039" s="85" t="e">
        <f>+MATCH(D4039,ARTICULOS!$F$10:$F$699,0)</f>
        <v>#N/A</v>
      </c>
      <c r="C4039" s="86" t="e">
        <f>+VLOOKUP(B4039,ARTICULOS!$D$10:$I$699,6)</f>
        <v>#N/A</v>
      </c>
      <c r="D4039" s="212"/>
      <c r="E4039" s="75" t="e">
        <f t="shared" si="128"/>
        <v>#N/A</v>
      </c>
      <c r="F4039" s="80"/>
      <c r="G4039" s="81"/>
      <c r="H4039" s="78"/>
      <c r="I4039" s="78"/>
      <c r="J4039" s="78"/>
    </row>
    <row r="4040" spans="1:10" x14ac:dyDescent="0.2">
      <c r="A4040" s="84">
        <f t="shared" si="129"/>
        <v>4034</v>
      </c>
      <c r="B4040" s="85" t="e">
        <f>+MATCH(D4040,ARTICULOS!$F$10:$F$699,0)</f>
        <v>#N/A</v>
      </c>
      <c r="C4040" s="86" t="e">
        <f>+VLOOKUP(B4040,ARTICULOS!$D$10:$I$699,6)</f>
        <v>#N/A</v>
      </c>
      <c r="D4040" s="212"/>
      <c r="E4040" s="75" t="e">
        <f t="shared" si="128"/>
        <v>#N/A</v>
      </c>
      <c r="F4040" s="80"/>
      <c r="G4040" s="81"/>
      <c r="H4040" s="78"/>
      <c r="I4040" s="78"/>
      <c r="J4040" s="78"/>
    </row>
    <row r="4041" spans="1:10" x14ac:dyDescent="0.2">
      <c r="A4041" s="84">
        <f t="shared" si="129"/>
        <v>4035</v>
      </c>
      <c r="B4041" s="85" t="e">
        <f>+MATCH(D4041,ARTICULOS!$F$10:$F$699,0)</f>
        <v>#N/A</v>
      </c>
      <c r="C4041" s="86" t="e">
        <f>+VLOOKUP(B4041,ARTICULOS!$D$10:$I$699,6)</f>
        <v>#N/A</v>
      </c>
      <c r="D4041" s="212"/>
      <c r="E4041" s="75" t="e">
        <f t="shared" si="128"/>
        <v>#N/A</v>
      </c>
      <c r="F4041" s="80"/>
      <c r="G4041" s="81"/>
      <c r="H4041" s="78"/>
      <c r="I4041" s="78"/>
      <c r="J4041" s="78"/>
    </row>
    <row r="4042" spans="1:10" x14ac:dyDescent="0.2">
      <c r="A4042" s="84">
        <f t="shared" si="129"/>
        <v>4036</v>
      </c>
      <c r="B4042" s="85" t="e">
        <f>+MATCH(D4042,ARTICULOS!$F$10:$F$699,0)</f>
        <v>#N/A</v>
      </c>
      <c r="C4042" s="86" t="e">
        <f>+VLOOKUP(B4042,ARTICULOS!$D$10:$I$699,6)</f>
        <v>#N/A</v>
      </c>
      <c r="D4042" s="212"/>
      <c r="E4042" s="75" t="e">
        <f t="shared" si="128"/>
        <v>#N/A</v>
      </c>
      <c r="F4042" s="80"/>
      <c r="G4042" s="81"/>
      <c r="H4042" s="78"/>
      <c r="I4042" s="78"/>
      <c r="J4042" s="78"/>
    </row>
    <row r="4043" spans="1:10" x14ac:dyDescent="0.2">
      <c r="A4043" s="84">
        <f t="shared" si="129"/>
        <v>4037</v>
      </c>
      <c r="B4043" s="85" t="e">
        <f>+MATCH(D4043,ARTICULOS!$F$10:$F$699,0)</f>
        <v>#N/A</v>
      </c>
      <c r="C4043" s="86" t="e">
        <f>+VLOOKUP(B4043,ARTICULOS!$D$10:$I$699,6)</f>
        <v>#N/A</v>
      </c>
      <c r="D4043" s="212"/>
      <c r="E4043" s="75" t="e">
        <f t="shared" ref="E4043:E4106" si="130">+C4043&amp;F4043</f>
        <v>#N/A</v>
      </c>
      <c r="F4043" s="80"/>
      <c r="G4043" s="81"/>
      <c r="H4043" s="78"/>
      <c r="I4043" s="78"/>
      <c r="J4043" s="78"/>
    </row>
    <row r="4044" spans="1:10" x14ac:dyDescent="0.2">
      <c r="A4044" s="84">
        <f t="shared" si="129"/>
        <v>4038</v>
      </c>
      <c r="B4044" s="85" t="e">
        <f>+MATCH(D4044,ARTICULOS!$F$10:$F$699,0)</f>
        <v>#N/A</v>
      </c>
      <c r="C4044" s="86" t="e">
        <f>+VLOOKUP(B4044,ARTICULOS!$D$10:$I$699,6)</f>
        <v>#N/A</v>
      </c>
      <c r="D4044" s="212"/>
      <c r="E4044" s="75" t="e">
        <f t="shared" si="130"/>
        <v>#N/A</v>
      </c>
      <c r="F4044" s="80"/>
      <c r="G4044" s="81"/>
      <c r="H4044" s="78"/>
      <c r="I4044" s="78"/>
      <c r="J4044" s="78"/>
    </row>
    <row r="4045" spans="1:10" x14ac:dyDescent="0.2">
      <c r="A4045" s="84">
        <f t="shared" si="129"/>
        <v>4039</v>
      </c>
      <c r="B4045" s="85" t="e">
        <f>+MATCH(D4045,ARTICULOS!$F$10:$F$699,0)</f>
        <v>#N/A</v>
      </c>
      <c r="C4045" s="86" t="e">
        <f>+VLOOKUP(B4045,ARTICULOS!$D$10:$I$699,6)</f>
        <v>#N/A</v>
      </c>
      <c r="D4045" s="212"/>
      <c r="E4045" s="75" t="e">
        <f t="shared" si="130"/>
        <v>#N/A</v>
      </c>
      <c r="F4045" s="80"/>
      <c r="G4045" s="81"/>
      <c r="H4045" s="78"/>
      <c r="I4045" s="78"/>
      <c r="J4045" s="78"/>
    </row>
    <row r="4046" spans="1:10" x14ac:dyDescent="0.2">
      <c r="A4046" s="84">
        <f t="shared" si="129"/>
        <v>4040</v>
      </c>
      <c r="B4046" s="85" t="e">
        <f>+MATCH(D4046,ARTICULOS!$F$10:$F$699,0)</f>
        <v>#N/A</v>
      </c>
      <c r="C4046" s="86" t="e">
        <f>+VLOOKUP(B4046,ARTICULOS!$D$10:$I$699,6)</f>
        <v>#N/A</v>
      </c>
      <c r="D4046" s="212"/>
      <c r="E4046" s="75" t="e">
        <f t="shared" si="130"/>
        <v>#N/A</v>
      </c>
      <c r="F4046" s="80"/>
      <c r="G4046" s="81"/>
      <c r="H4046" s="78"/>
      <c r="I4046" s="78"/>
      <c r="J4046" s="78"/>
    </row>
    <row r="4047" spans="1:10" x14ac:dyDescent="0.2">
      <c r="A4047" s="84">
        <f t="shared" si="129"/>
        <v>4041</v>
      </c>
      <c r="B4047" s="85" t="e">
        <f>+MATCH(D4047,ARTICULOS!$F$10:$F$699,0)</f>
        <v>#N/A</v>
      </c>
      <c r="C4047" s="86" t="e">
        <f>+VLOOKUP(B4047,ARTICULOS!$D$10:$I$699,6)</f>
        <v>#N/A</v>
      </c>
      <c r="D4047" s="212"/>
      <c r="E4047" s="75" t="e">
        <f t="shared" si="130"/>
        <v>#N/A</v>
      </c>
      <c r="F4047" s="80"/>
      <c r="G4047" s="81"/>
      <c r="H4047" s="78"/>
      <c r="I4047" s="78"/>
      <c r="J4047" s="78"/>
    </row>
    <row r="4048" spans="1:10" x14ac:dyDescent="0.2">
      <c r="A4048" s="84">
        <f t="shared" si="129"/>
        <v>4042</v>
      </c>
      <c r="B4048" s="85" t="e">
        <f>+MATCH(D4048,ARTICULOS!$F$10:$F$699,0)</f>
        <v>#N/A</v>
      </c>
      <c r="C4048" s="86" t="e">
        <f>+VLOOKUP(B4048,ARTICULOS!$D$10:$I$699,6)</f>
        <v>#N/A</v>
      </c>
      <c r="D4048" s="212"/>
      <c r="E4048" s="75" t="e">
        <f t="shared" si="130"/>
        <v>#N/A</v>
      </c>
      <c r="F4048" s="80"/>
      <c r="G4048" s="81"/>
      <c r="H4048" s="78"/>
      <c r="I4048" s="78"/>
      <c r="J4048" s="78"/>
    </row>
    <row r="4049" spans="1:10" x14ac:dyDescent="0.2">
      <c r="A4049" s="84">
        <f t="shared" si="129"/>
        <v>4043</v>
      </c>
      <c r="B4049" s="85" t="e">
        <f>+MATCH(D4049,ARTICULOS!$F$10:$F$699,0)</f>
        <v>#N/A</v>
      </c>
      <c r="C4049" s="86" t="e">
        <f>+VLOOKUP(B4049,ARTICULOS!$D$10:$I$699,6)</f>
        <v>#N/A</v>
      </c>
      <c r="D4049" s="212"/>
      <c r="E4049" s="75" t="e">
        <f t="shared" si="130"/>
        <v>#N/A</v>
      </c>
      <c r="F4049" s="80"/>
      <c r="G4049" s="81"/>
      <c r="H4049" s="78"/>
      <c r="I4049" s="78"/>
      <c r="J4049" s="78"/>
    </row>
    <row r="4050" spans="1:10" x14ac:dyDescent="0.2">
      <c r="A4050" s="84">
        <f t="shared" si="129"/>
        <v>4044</v>
      </c>
      <c r="B4050" s="85" t="e">
        <f>+MATCH(D4050,ARTICULOS!$F$10:$F$699,0)</f>
        <v>#N/A</v>
      </c>
      <c r="C4050" s="86" t="e">
        <f>+VLOOKUP(B4050,ARTICULOS!$D$10:$I$699,6)</f>
        <v>#N/A</v>
      </c>
      <c r="D4050" s="212"/>
      <c r="E4050" s="75" t="e">
        <f t="shared" si="130"/>
        <v>#N/A</v>
      </c>
      <c r="F4050" s="80"/>
      <c r="G4050" s="81"/>
      <c r="H4050" s="78"/>
      <c r="I4050" s="78"/>
      <c r="J4050" s="78"/>
    </row>
    <row r="4051" spans="1:10" x14ac:dyDescent="0.2">
      <c r="A4051" s="84">
        <f t="shared" si="129"/>
        <v>4045</v>
      </c>
      <c r="B4051" s="85" t="e">
        <f>+MATCH(D4051,ARTICULOS!$F$10:$F$699,0)</f>
        <v>#N/A</v>
      </c>
      <c r="C4051" s="86" t="e">
        <f>+VLOOKUP(B4051,ARTICULOS!$D$10:$I$699,6)</f>
        <v>#N/A</v>
      </c>
      <c r="D4051" s="212"/>
      <c r="E4051" s="75" t="e">
        <f t="shared" si="130"/>
        <v>#N/A</v>
      </c>
      <c r="F4051" s="80"/>
      <c r="G4051" s="81"/>
      <c r="H4051" s="78"/>
      <c r="I4051" s="78"/>
      <c r="J4051" s="78"/>
    </row>
    <row r="4052" spans="1:10" x14ac:dyDescent="0.2">
      <c r="A4052" s="84">
        <f t="shared" si="129"/>
        <v>4046</v>
      </c>
      <c r="B4052" s="85" t="e">
        <f>+MATCH(D4052,ARTICULOS!$F$10:$F$699,0)</f>
        <v>#N/A</v>
      </c>
      <c r="C4052" s="86" t="e">
        <f>+VLOOKUP(B4052,ARTICULOS!$D$10:$I$699,6)</f>
        <v>#N/A</v>
      </c>
      <c r="D4052" s="212"/>
      <c r="E4052" s="75" t="e">
        <f t="shared" si="130"/>
        <v>#N/A</v>
      </c>
      <c r="F4052" s="80"/>
      <c r="G4052" s="81"/>
      <c r="H4052" s="78"/>
      <c r="I4052" s="78"/>
      <c r="J4052" s="78"/>
    </row>
    <row r="4053" spans="1:10" x14ac:dyDescent="0.2">
      <c r="A4053" s="84">
        <f t="shared" si="129"/>
        <v>4047</v>
      </c>
      <c r="B4053" s="85" t="e">
        <f>+MATCH(D4053,ARTICULOS!$F$10:$F$699,0)</f>
        <v>#N/A</v>
      </c>
      <c r="C4053" s="86" t="e">
        <f>+VLOOKUP(B4053,ARTICULOS!$D$10:$I$699,6)</f>
        <v>#N/A</v>
      </c>
      <c r="D4053" s="212"/>
      <c r="E4053" s="75" t="e">
        <f t="shared" si="130"/>
        <v>#N/A</v>
      </c>
      <c r="F4053" s="80"/>
      <c r="G4053" s="81"/>
      <c r="H4053" s="78"/>
      <c r="I4053" s="78"/>
      <c r="J4053" s="78"/>
    </row>
    <row r="4054" spans="1:10" x14ac:dyDescent="0.2">
      <c r="A4054" s="84">
        <f t="shared" si="129"/>
        <v>4048</v>
      </c>
      <c r="B4054" s="85" t="e">
        <f>+MATCH(D4054,ARTICULOS!$F$10:$F$699,0)</f>
        <v>#N/A</v>
      </c>
      <c r="C4054" s="86" t="e">
        <f>+VLOOKUP(B4054,ARTICULOS!$D$10:$I$699,6)</f>
        <v>#N/A</v>
      </c>
      <c r="D4054" s="212"/>
      <c r="E4054" s="75" t="e">
        <f t="shared" si="130"/>
        <v>#N/A</v>
      </c>
      <c r="F4054" s="80"/>
      <c r="G4054" s="81"/>
      <c r="H4054" s="78"/>
      <c r="I4054" s="78"/>
      <c r="J4054" s="78"/>
    </row>
    <row r="4055" spans="1:10" x14ac:dyDescent="0.2">
      <c r="A4055" s="84">
        <f t="shared" si="129"/>
        <v>4049</v>
      </c>
      <c r="B4055" s="85" t="e">
        <f>+MATCH(D4055,ARTICULOS!$F$10:$F$699,0)</f>
        <v>#N/A</v>
      </c>
      <c r="C4055" s="86" t="e">
        <f>+VLOOKUP(B4055,ARTICULOS!$D$10:$I$699,6)</f>
        <v>#N/A</v>
      </c>
      <c r="D4055" s="212"/>
      <c r="E4055" s="75" t="e">
        <f t="shared" si="130"/>
        <v>#N/A</v>
      </c>
      <c r="F4055" s="80"/>
      <c r="G4055" s="81"/>
      <c r="H4055" s="78"/>
      <c r="I4055" s="78"/>
      <c r="J4055" s="78"/>
    </row>
    <row r="4056" spans="1:10" x14ac:dyDescent="0.2">
      <c r="A4056" s="84">
        <f t="shared" si="129"/>
        <v>4050</v>
      </c>
      <c r="B4056" s="85" t="e">
        <f>+MATCH(D4056,ARTICULOS!$F$10:$F$699,0)</f>
        <v>#N/A</v>
      </c>
      <c r="C4056" s="86" t="e">
        <f>+VLOOKUP(B4056,ARTICULOS!$D$10:$I$699,6)</f>
        <v>#N/A</v>
      </c>
      <c r="D4056" s="212"/>
      <c r="E4056" s="75" t="e">
        <f t="shared" si="130"/>
        <v>#N/A</v>
      </c>
      <c r="F4056" s="80"/>
      <c r="G4056" s="81"/>
      <c r="H4056" s="78"/>
      <c r="I4056" s="78"/>
      <c r="J4056" s="78"/>
    </row>
    <row r="4057" spans="1:10" x14ac:dyDescent="0.2">
      <c r="A4057" s="84">
        <f t="shared" si="129"/>
        <v>4051</v>
      </c>
      <c r="B4057" s="85" t="e">
        <f>+MATCH(D4057,ARTICULOS!$F$10:$F$699,0)</f>
        <v>#N/A</v>
      </c>
      <c r="C4057" s="86" t="e">
        <f>+VLOOKUP(B4057,ARTICULOS!$D$10:$I$699,6)</f>
        <v>#N/A</v>
      </c>
      <c r="D4057" s="212"/>
      <c r="E4057" s="75" t="e">
        <f t="shared" si="130"/>
        <v>#N/A</v>
      </c>
      <c r="F4057" s="80"/>
      <c r="G4057" s="81"/>
      <c r="H4057" s="78"/>
      <c r="I4057" s="78"/>
      <c r="J4057" s="78"/>
    </row>
    <row r="4058" spans="1:10" x14ac:dyDescent="0.2">
      <c r="A4058" s="84">
        <f t="shared" si="129"/>
        <v>4052</v>
      </c>
      <c r="B4058" s="85" t="e">
        <f>+MATCH(D4058,ARTICULOS!$F$10:$F$699,0)</f>
        <v>#N/A</v>
      </c>
      <c r="C4058" s="86" t="e">
        <f>+VLOOKUP(B4058,ARTICULOS!$D$10:$I$699,6)</f>
        <v>#N/A</v>
      </c>
      <c r="D4058" s="212"/>
      <c r="E4058" s="75" t="e">
        <f t="shared" si="130"/>
        <v>#N/A</v>
      </c>
      <c r="F4058" s="80"/>
      <c r="G4058" s="81"/>
      <c r="H4058" s="78"/>
      <c r="I4058" s="78"/>
      <c r="J4058" s="78"/>
    </row>
    <row r="4059" spans="1:10" x14ac:dyDescent="0.2">
      <c r="A4059" s="84">
        <f t="shared" si="129"/>
        <v>4053</v>
      </c>
      <c r="B4059" s="85" t="e">
        <f>+MATCH(D4059,ARTICULOS!$F$10:$F$699,0)</f>
        <v>#N/A</v>
      </c>
      <c r="C4059" s="86" t="e">
        <f>+VLOOKUP(B4059,ARTICULOS!$D$10:$I$699,6)</f>
        <v>#N/A</v>
      </c>
      <c r="D4059" s="212"/>
      <c r="E4059" s="75" t="e">
        <f t="shared" si="130"/>
        <v>#N/A</v>
      </c>
      <c r="F4059" s="80"/>
      <c r="G4059" s="81"/>
      <c r="H4059" s="78"/>
      <c r="I4059" s="78"/>
      <c r="J4059" s="78"/>
    </row>
    <row r="4060" spans="1:10" x14ac:dyDescent="0.2">
      <c r="A4060" s="84">
        <f t="shared" si="129"/>
        <v>4054</v>
      </c>
      <c r="B4060" s="85" t="e">
        <f>+MATCH(D4060,ARTICULOS!$F$10:$F$699,0)</f>
        <v>#N/A</v>
      </c>
      <c r="C4060" s="86" t="e">
        <f>+VLOOKUP(B4060,ARTICULOS!$D$10:$I$699,6)</f>
        <v>#N/A</v>
      </c>
      <c r="D4060" s="212"/>
      <c r="E4060" s="75" t="e">
        <f t="shared" si="130"/>
        <v>#N/A</v>
      </c>
      <c r="F4060" s="80"/>
      <c r="G4060" s="81"/>
      <c r="H4060" s="78"/>
      <c r="I4060" s="78"/>
      <c r="J4060" s="78"/>
    </row>
    <row r="4061" spans="1:10" x14ac:dyDescent="0.2">
      <c r="A4061" s="84">
        <f t="shared" si="129"/>
        <v>4055</v>
      </c>
      <c r="B4061" s="85" t="e">
        <f>+MATCH(D4061,ARTICULOS!$F$10:$F$699,0)</f>
        <v>#N/A</v>
      </c>
      <c r="C4061" s="86" t="e">
        <f>+VLOOKUP(B4061,ARTICULOS!$D$10:$I$699,6)</f>
        <v>#N/A</v>
      </c>
      <c r="D4061" s="212"/>
      <c r="E4061" s="75" t="e">
        <f t="shared" si="130"/>
        <v>#N/A</v>
      </c>
      <c r="F4061" s="80"/>
      <c r="G4061" s="81"/>
      <c r="H4061" s="78"/>
      <c r="I4061" s="78"/>
      <c r="J4061" s="78"/>
    </row>
    <row r="4062" spans="1:10" x14ac:dyDescent="0.2">
      <c r="A4062" s="84">
        <f t="shared" si="129"/>
        <v>4056</v>
      </c>
      <c r="B4062" s="85" t="e">
        <f>+MATCH(D4062,ARTICULOS!$F$10:$F$699,0)</f>
        <v>#N/A</v>
      </c>
      <c r="C4062" s="86" t="e">
        <f>+VLOOKUP(B4062,ARTICULOS!$D$10:$I$699,6)</f>
        <v>#N/A</v>
      </c>
      <c r="D4062" s="212"/>
      <c r="E4062" s="75" t="e">
        <f t="shared" si="130"/>
        <v>#N/A</v>
      </c>
      <c r="F4062" s="80"/>
      <c r="G4062" s="81"/>
      <c r="H4062" s="78"/>
      <c r="I4062" s="78"/>
      <c r="J4062" s="78"/>
    </row>
    <row r="4063" spans="1:10" x14ac:dyDescent="0.2">
      <c r="A4063" s="84">
        <f t="shared" si="129"/>
        <v>4057</v>
      </c>
      <c r="B4063" s="85" t="e">
        <f>+MATCH(D4063,ARTICULOS!$F$10:$F$699,0)</f>
        <v>#N/A</v>
      </c>
      <c r="C4063" s="86" t="e">
        <f>+VLOOKUP(B4063,ARTICULOS!$D$10:$I$699,6)</f>
        <v>#N/A</v>
      </c>
      <c r="D4063" s="212"/>
      <c r="E4063" s="75" t="e">
        <f t="shared" si="130"/>
        <v>#N/A</v>
      </c>
      <c r="F4063" s="80"/>
      <c r="G4063" s="81"/>
      <c r="H4063" s="78"/>
      <c r="I4063" s="78"/>
      <c r="J4063" s="78"/>
    </row>
    <row r="4064" spans="1:10" x14ac:dyDescent="0.2">
      <c r="A4064" s="84">
        <f t="shared" si="129"/>
        <v>4058</v>
      </c>
      <c r="B4064" s="85" t="e">
        <f>+MATCH(D4064,ARTICULOS!$F$10:$F$699,0)</f>
        <v>#N/A</v>
      </c>
      <c r="C4064" s="86" t="e">
        <f>+VLOOKUP(B4064,ARTICULOS!$D$10:$I$699,6)</f>
        <v>#N/A</v>
      </c>
      <c r="D4064" s="212"/>
      <c r="E4064" s="75" t="e">
        <f t="shared" si="130"/>
        <v>#N/A</v>
      </c>
      <c r="F4064" s="80"/>
      <c r="G4064" s="81"/>
      <c r="H4064" s="78"/>
      <c r="I4064" s="78"/>
      <c r="J4064" s="78"/>
    </row>
    <row r="4065" spans="1:10" x14ac:dyDescent="0.2">
      <c r="A4065" s="84">
        <f t="shared" si="129"/>
        <v>4059</v>
      </c>
      <c r="B4065" s="85" t="e">
        <f>+MATCH(D4065,ARTICULOS!$F$10:$F$699,0)</f>
        <v>#N/A</v>
      </c>
      <c r="C4065" s="86" t="e">
        <f>+VLOOKUP(B4065,ARTICULOS!$D$10:$I$699,6)</f>
        <v>#N/A</v>
      </c>
      <c r="D4065" s="212"/>
      <c r="E4065" s="75" t="e">
        <f t="shared" si="130"/>
        <v>#N/A</v>
      </c>
      <c r="F4065" s="80"/>
      <c r="G4065" s="81"/>
      <c r="H4065" s="78"/>
      <c r="I4065" s="78"/>
      <c r="J4065" s="78"/>
    </row>
    <row r="4066" spans="1:10" x14ac:dyDescent="0.2">
      <c r="A4066" s="84">
        <f t="shared" si="129"/>
        <v>4060</v>
      </c>
      <c r="B4066" s="85" t="e">
        <f>+MATCH(D4066,ARTICULOS!$F$10:$F$699,0)</f>
        <v>#N/A</v>
      </c>
      <c r="C4066" s="86" t="e">
        <f>+VLOOKUP(B4066,ARTICULOS!$D$10:$I$699,6)</f>
        <v>#N/A</v>
      </c>
      <c r="D4066" s="212"/>
      <c r="E4066" s="75" t="e">
        <f t="shared" si="130"/>
        <v>#N/A</v>
      </c>
      <c r="F4066" s="80"/>
      <c r="G4066" s="81"/>
      <c r="H4066" s="78"/>
      <c r="I4066" s="78"/>
      <c r="J4066" s="78"/>
    </row>
    <row r="4067" spans="1:10" x14ac:dyDescent="0.2">
      <c r="A4067" s="84">
        <f t="shared" si="129"/>
        <v>4061</v>
      </c>
      <c r="B4067" s="85" t="e">
        <f>+MATCH(D4067,ARTICULOS!$F$10:$F$699,0)</f>
        <v>#N/A</v>
      </c>
      <c r="C4067" s="86" t="e">
        <f>+VLOOKUP(B4067,ARTICULOS!$D$10:$I$699,6)</f>
        <v>#N/A</v>
      </c>
      <c r="D4067" s="212"/>
      <c r="E4067" s="75" t="e">
        <f t="shared" si="130"/>
        <v>#N/A</v>
      </c>
      <c r="F4067" s="80"/>
      <c r="G4067" s="81"/>
      <c r="H4067" s="78"/>
      <c r="I4067" s="78"/>
      <c r="J4067" s="78"/>
    </row>
    <row r="4068" spans="1:10" x14ac:dyDescent="0.2">
      <c r="A4068" s="84">
        <f t="shared" si="129"/>
        <v>4062</v>
      </c>
      <c r="B4068" s="85" t="e">
        <f>+MATCH(D4068,ARTICULOS!$F$10:$F$699,0)</f>
        <v>#N/A</v>
      </c>
      <c r="C4068" s="86" t="e">
        <f>+VLOOKUP(B4068,ARTICULOS!$D$10:$I$699,6)</f>
        <v>#N/A</v>
      </c>
      <c r="D4068" s="212"/>
      <c r="E4068" s="75" t="e">
        <f t="shared" si="130"/>
        <v>#N/A</v>
      </c>
      <c r="F4068" s="80"/>
      <c r="G4068" s="81"/>
      <c r="H4068" s="78"/>
      <c r="I4068" s="78"/>
      <c r="J4068" s="78"/>
    </row>
    <row r="4069" spans="1:10" x14ac:dyDescent="0.2">
      <c r="A4069" s="84">
        <f t="shared" si="129"/>
        <v>4063</v>
      </c>
      <c r="B4069" s="85" t="e">
        <f>+MATCH(D4069,ARTICULOS!$F$10:$F$699,0)</f>
        <v>#N/A</v>
      </c>
      <c r="C4069" s="86" t="e">
        <f>+VLOOKUP(B4069,ARTICULOS!$D$10:$I$699,6)</f>
        <v>#N/A</v>
      </c>
      <c r="D4069" s="212"/>
      <c r="E4069" s="75" t="e">
        <f t="shared" si="130"/>
        <v>#N/A</v>
      </c>
      <c r="F4069" s="80"/>
      <c r="G4069" s="81"/>
      <c r="H4069" s="78"/>
      <c r="I4069" s="78"/>
      <c r="J4069" s="78"/>
    </row>
    <row r="4070" spans="1:10" x14ac:dyDescent="0.2">
      <c r="A4070" s="84">
        <f t="shared" si="129"/>
        <v>4064</v>
      </c>
      <c r="B4070" s="85" t="e">
        <f>+MATCH(D4070,ARTICULOS!$F$10:$F$699,0)</f>
        <v>#N/A</v>
      </c>
      <c r="C4070" s="86" t="e">
        <f>+VLOOKUP(B4070,ARTICULOS!$D$10:$I$699,6)</f>
        <v>#N/A</v>
      </c>
      <c r="D4070" s="212"/>
      <c r="E4070" s="75" t="e">
        <f t="shared" si="130"/>
        <v>#N/A</v>
      </c>
      <c r="F4070" s="80"/>
      <c r="G4070" s="81"/>
      <c r="H4070" s="78"/>
      <c r="I4070" s="78"/>
      <c r="J4070" s="78"/>
    </row>
    <row r="4071" spans="1:10" x14ac:dyDescent="0.2">
      <c r="A4071" s="84">
        <f t="shared" si="129"/>
        <v>4065</v>
      </c>
      <c r="B4071" s="85" t="e">
        <f>+MATCH(D4071,ARTICULOS!$F$10:$F$699,0)</f>
        <v>#N/A</v>
      </c>
      <c r="C4071" s="86" t="e">
        <f>+VLOOKUP(B4071,ARTICULOS!$D$10:$I$699,6)</f>
        <v>#N/A</v>
      </c>
      <c r="D4071" s="212"/>
      <c r="E4071" s="75" t="e">
        <f t="shared" si="130"/>
        <v>#N/A</v>
      </c>
      <c r="F4071" s="80"/>
      <c r="G4071" s="81"/>
      <c r="H4071" s="78"/>
      <c r="I4071" s="78"/>
      <c r="J4071" s="78"/>
    </row>
    <row r="4072" spans="1:10" x14ac:dyDescent="0.2">
      <c r="A4072" s="84">
        <f t="shared" si="129"/>
        <v>4066</v>
      </c>
      <c r="B4072" s="85" t="e">
        <f>+MATCH(D4072,ARTICULOS!$F$10:$F$699,0)</f>
        <v>#N/A</v>
      </c>
      <c r="C4072" s="86" t="e">
        <f>+VLOOKUP(B4072,ARTICULOS!$D$10:$I$699,6)</f>
        <v>#N/A</v>
      </c>
      <c r="D4072" s="212"/>
      <c r="E4072" s="75" t="e">
        <f t="shared" si="130"/>
        <v>#N/A</v>
      </c>
      <c r="F4072" s="80"/>
      <c r="G4072" s="81"/>
      <c r="H4072" s="78"/>
      <c r="I4072" s="78"/>
      <c r="J4072" s="78"/>
    </row>
    <row r="4073" spans="1:10" x14ac:dyDescent="0.2">
      <c r="A4073" s="84">
        <f t="shared" ref="A4073:A4136" si="131">ROW()-6</f>
        <v>4067</v>
      </c>
      <c r="B4073" s="85" t="e">
        <f>+MATCH(D4073,ARTICULOS!$F$10:$F$699,0)</f>
        <v>#N/A</v>
      </c>
      <c r="C4073" s="86" t="e">
        <f>+VLOOKUP(B4073,ARTICULOS!$D$10:$I$699,6)</f>
        <v>#N/A</v>
      </c>
      <c r="D4073" s="212"/>
      <c r="E4073" s="75" t="e">
        <f t="shared" si="130"/>
        <v>#N/A</v>
      </c>
      <c r="F4073" s="80"/>
      <c r="G4073" s="81"/>
      <c r="H4073" s="78"/>
      <c r="I4073" s="78"/>
      <c r="J4073" s="78"/>
    </row>
    <row r="4074" spans="1:10" x14ac:dyDescent="0.2">
      <c r="A4074" s="84">
        <f t="shared" si="131"/>
        <v>4068</v>
      </c>
      <c r="B4074" s="85" t="e">
        <f>+MATCH(D4074,ARTICULOS!$F$10:$F$699,0)</f>
        <v>#N/A</v>
      </c>
      <c r="C4074" s="86" t="e">
        <f>+VLOOKUP(B4074,ARTICULOS!$D$10:$I$699,6)</f>
        <v>#N/A</v>
      </c>
      <c r="D4074" s="212"/>
      <c r="E4074" s="75" t="e">
        <f t="shared" si="130"/>
        <v>#N/A</v>
      </c>
      <c r="F4074" s="80"/>
      <c r="G4074" s="81"/>
      <c r="H4074" s="78"/>
      <c r="I4074" s="78"/>
      <c r="J4074" s="78"/>
    </row>
    <row r="4075" spans="1:10" x14ac:dyDescent="0.2">
      <c r="A4075" s="84">
        <f t="shared" si="131"/>
        <v>4069</v>
      </c>
      <c r="B4075" s="85" t="e">
        <f>+MATCH(D4075,ARTICULOS!$F$10:$F$699,0)</f>
        <v>#N/A</v>
      </c>
      <c r="C4075" s="86" t="e">
        <f>+VLOOKUP(B4075,ARTICULOS!$D$10:$I$699,6)</f>
        <v>#N/A</v>
      </c>
      <c r="D4075" s="212"/>
      <c r="E4075" s="75" t="e">
        <f t="shared" si="130"/>
        <v>#N/A</v>
      </c>
      <c r="F4075" s="80"/>
      <c r="G4075" s="81"/>
      <c r="H4075" s="78"/>
      <c r="I4075" s="78"/>
      <c r="J4075" s="78"/>
    </row>
    <row r="4076" spans="1:10" x14ac:dyDescent="0.2">
      <c r="A4076" s="84">
        <f t="shared" si="131"/>
        <v>4070</v>
      </c>
      <c r="B4076" s="85" t="e">
        <f>+MATCH(D4076,ARTICULOS!$F$10:$F$699,0)</f>
        <v>#N/A</v>
      </c>
      <c r="C4076" s="86" t="e">
        <f>+VLOOKUP(B4076,ARTICULOS!$D$10:$I$699,6)</f>
        <v>#N/A</v>
      </c>
      <c r="D4076" s="212"/>
      <c r="E4076" s="75" t="e">
        <f t="shared" si="130"/>
        <v>#N/A</v>
      </c>
      <c r="F4076" s="80"/>
      <c r="G4076" s="81"/>
      <c r="H4076" s="78"/>
      <c r="I4076" s="78"/>
      <c r="J4076" s="78"/>
    </row>
    <row r="4077" spans="1:10" x14ac:dyDescent="0.2">
      <c r="A4077" s="84">
        <f t="shared" si="131"/>
        <v>4071</v>
      </c>
      <c r="B4077" s="85" t="e">
        <f>+MATCH(D4077,ARTICULOS!$F$10:$F$699,0)</f>
        <v>#N/A</v>
      </c>
      <c r="C4077" s="86" t="e">
        <f>+VLOOKUP(B4077,ARTICULOS!$D$10:$I$699,6)</f>
        <v>#N/A</v>
      </c>
      <c r="D4077" s="212"/>
      <c r="E4077" s="75" t="e">
        <f t="shared" si="130"/>
        <v>#N/A</v>
      </c>
      <c r="F4077" s="80"/>
      <c r="G4077" s="81"/>
      <c r="H4077" s="78"/>
      <c r="I4077" s="78"/>
      <c r="J4077" s="78"/>
    </row>
    <row r="4078" spans="1:10" x14ac:dyDescent="0.2">
      <c r="A4078" s="84">
        <f t="shared" si="131"/>
        <v>4072</v>
      </c>
      <c r="B4078" s="85" t="e">
        <f>+MATCH(D4078,ARTICULOS!$F$10:$F$699,0)</f>
        <v>#N/A</v>
      </c>
      <c r="C4078" s="86" t="e">
        <f>+VLOOKUP(B4078,ARTICULOS!$D$10:$I$699,6)</f>
        <v>#N/A</v>
      </c>
      <c r="D4078" s="212"/>
      <c r="E4078" s="75" t="e">
        <f t="shared" si="130"/>
        <v>#N/A</v>
      </c>
      <c r="F4078" s="80"/>
      <c r="G4078" s="81"/>
      <c r="H4078" s="78"/>
      <c r="I4078" s="78"/>
      <c r="J4078" s="78"/>
    </row>
    <row r="4079" spans="1:10" x14ac:dyDescent="0.2">
      <c r="A4079" s="84">
        <f t="shared" si="131"/>
        <v>4073</v>
      </c>
      <c r="B4079" s="85" t="e">
        <f>+MATCH(D4079,ARTICULOS!$F$10:$F$699,0)</f>
        <v>#N/A</v>
      </c>
      <c r="C4079" s="86" t="e">
        <f>+VLOOKUP(B4079,ARTICULOS!$D$10:$I$699,6)</f>
        <v>#N/A</v>
      </c>
      <c r="D4079" s="212"/>
      <c r="E4079" s="75" t="e">
        <f t="shared" si="130"/>
        <v>#N/A</v>
      </c>
      <c r="F4079" s="80"/>
      <c r="G4079" s="81"/>
      <c r="H4079" s="78"/>
      <c r="I4079" s="78"/>
      <c r="J4079" s="78"/>
    </row>
    <row r="4080" spans="1:10" x14ac:dyDescent="0.2">
      <c r="A4080" s="84">
        <f t="shared" si="131"/>
        <v>4074</v>
      </c>
      <c r="B4080" s="85" t="e">
        <f>+MATCH(D4080,ARTICULOS!$F$10:$F$699,0)</f>
        <v>#N/A</v>
      </c>
      <c r="C4080" s="86" t="e">
        <f>+VLOOKUP(B4080,ARTICULOS!$D$10:$I$699,6)</f>
        <v>#N/A</v>
      </c>
      <c r="D4080" s="212"/>
      <c r="E4080" s="75" t="e">
        <f t="shared" si="130"/>
        <v>#N/A</v>
      </c>
      <c r="F4080" s="80"/>
      <c r="G4080" s="81"/>
      <c r="H4080" s="78"/>
      <c r="I4080" s="78"/>
      <c r="J4080" s="78"/>
    </row>
    <row r="4081" spans="1:10" x14ac:dyDescent="0.2">
      <c r="A4081" s="84">
        <f t="shared" si="131"/>
        <v>4075</v>
      </c>
      <c r="B4081" s="85" t="e">
        <f>+MATCH(D4081,ARTICULOS!$F$10:$F$699,0)</f>
        <v>#N/A</v>
      </c>
      <c r="C4081" s="86" t="e">
        <f>+VLOOKUP(B4081,ARTICULOS!$D$10:$I$699,6)</f>
        <v>#N/A</v>
      </c>
      <c r="D4081" s="212"/>
      <c r="E4081" s="75" t="e">
        <f t="shared" si="130"/>
        <v>#N/A</v>
      </c>
      <c r="F4081" s="80"/>
      <c r="G4081" s="81"/>
      <c r="H4081" s="78"/>
      <c r="I4081" s="78"/>
      <c r="J4081" s="78"/>
    </row>
    <row r="4082" spans="1:10" x14ac:dyDescent="0.2">
      <c r="A4082" s="84">
        <f t="shared" si="131"/>
        <v>4076</v>
      </c>
      <c r="B4082" s="85" t="e">
        <f>+MATCH(D4082,ARTICULOS!$F$10:$F$699,0)</f>
        <v>#N/A</v>
      </c>
      <c r="C4082" s="86" t="e">
        <f>+VLOOKUP(B4082,ARTICULOS!$D$10:$I$699,6)</f>
        <v>#N/A</v>
      </c>
      <c r="D4082" s="212"/>
      <c r="E4082" s="75" t="e">
        <f t="shared" si="130"/>
        <v>#N/A</v>
      </c>
      <c r="F4082" s="80"/>
      <c r="G4082" s="81"/>
      <c r="H4082" s="78"/>
      <c r="I4082" s="78"/>
      <c r="J4082" s="78"/>
    </row>
    <row r="4083" spans="1:10" x14ac:dyDescent="0.2">
      <c r="A4083" s="84">
        <f t="shared" si="131"/>
        <v>4077</v>
      </c>
      <c r="B4083" s="85" t="e">
        <f>+MATCH(D4083,ARTICULOS!$F$10:$F$699,0)</f>
        <v>#N/A</v>
      </c>
      <c r="C4083" s="86" t="e">
        <f>+VLOOKUP(B4083,ARTICULOS!$D$10:$I$699,6)</f>
        <v>#N/A</v>
      </c>
      <c r="D4083" s="212"/>
      <c r="E4083" s="75" t="e">
        <f t="shared" si="130"/>
        <v>#N/A</v>
      </c>
      <c r="F4083" s="80"/>
      <c r="G4083" s="81"/>
      <c r="H4083" s="78"/>
      <c r="I4083" s="78"/>
      <c r="J4083" s="78"/>
    </row>
    <row r="4084" spans="1:10" x14ac:dyDescent="0.2">
      <c r="A4084" s="84">
        <f t="shared" si="131"/>
        <v>4078</v>
      </c>
      <c r="B4084" s="85" t="e">
        <f>+MATCH(D4084,ARTICULOS!$F$10:$F$699,0)</f>
        <v>#N/A</v>
      </c>
      <c r="C4084" s="86" t="e">
        <f>+VLOOKUP(B4084,ARTICULOS!$D$10:$I$699,6)</f>
        <v>#N/A</v>
      </c>
      <c r="D4084" s="212"/>
      <c r="E4084" s="75" t="e">
        <f t="shared" si="130"/>
        <v>#N/A</v>
      </c>
      <c r="F4084" s="80"/>
      <c r="G4084" s="81"/>
      <c r="H4084" s="78"/>
      <c r="I4084" s="78"/>
      <c r="J4084" s="78"/>
    </row>
    <row r="4085" spans="1:10" x14ac:dyDescent="0.2">
      <c r="A4085" s="84">
        <f t="shared" si="131"/>
        <v>4079</v>
      </c>
      <c r="B4085" s="85" t="e">
        <f>+MATCH(D4085,ARTICULOS!$F$10:$F$699,0)</f>
        <v>#N/A</v>
      </c>
      <c r="C4085" s="86" t="e">
        <f>+VLOOKUP(B4085,ARTICULOS!$D$10:$I$699,6)</f>
        <v>#N/A</v>
      </c>
      <c r="D4085" s="212"/>
      <c r="E4085" s="75" t="e">
        <f t="shared" si="130"/>
        <v>#N/A</v>
      </c>
      <c r="F4085" s="80"/>
      <c r="G4085" s="81"/>
      <c r="H4085" s="78"/>
      <c r="I4085" s="78"/>
      <c r="J4085" s="78"/>
    </row>
    <row r="4086" spans="1:10" x14ac:dyDescent="0.2">
      <c r="A4086" s="84">
        <f t="shared" si="131"/>
        <v>4080</v>
      </c>
      <c r="B4086" s="85" t="e">
        <f>+MATCH(D4086,ARTICULOS!$F$10:$F$699,0)</f>
        <v>#N/A</v>
      </c>
      <c r="C4086" s="86" t="e">
        <f>+VLOOKUP(B4086,ARTICULOS!$D$10:$I$699,6)</f>
        <v>#N/A</v>
      </c>
      <c r="D4086" s="212"/>
      <c r="E4086" s="75" t="e">
        <f t="shared" si="130"/>
        <v>#N/A</v>
      </c>
      <c r="F4086" s="80"/>
      <c r="G4086" s="81"/>
      <c r="H4086" s="78"/>
      <c r="I4086" s="78"/>
      <c r="J4086" s="78"/>
    </row>
    <row r="4087" spans="1:10" x14ac:dyDescent="0.2">
      <c r="A4087" s="84">
        <f t="shared" si="131"/>
        <v>4081</v>
      </c>
      <c r="B4087" s="85" t="e">
        <f>+MATCH(D4087,ARTICULOS!$F$10:$F$699,0)</f>
        <v>#N/A</v>
      </c>
      <c r="C4087" s="86" t="e">
        <f>+VLOOKUP(B4087,ARTICULOS!$D$10:$I$699,6)</f>
        <v>#N/A</v>
      </c>
      <c r="D4087" s="212"/>
      <c r="E4087" s="75" t="e">
        <f t="shared" si="130"/>
        <v>#N/A</v>
      </c>
      <c r="F4087" s="80"/>
      <c r="G4087" s="81"/>
      <c r="H4087" s="78"/>
      <c r="I4087" s="78"/>
      <c r="J4087" s="78"/>
    </row>
    <row r="4088" spans="1:10" x14ac:dyDescent="0.2">
      <c r="A4088" s="84">
        <f t="shared" si="131"/>
        <v>4082</v>
      </c>
      <c r="B4088" s="85" t="e">
        <f>+MATCH(D4088,ARTICULOS!$F$10:$F$699,0)</f>
        <v>#N/A</v>
      </c>
      <c r="C4088" s="86" t="e">
        <f>+VLOOKUP(B4088,ARTICULOS!$D$10:$I$699,6)</f>
        <v>#N/A</v>
      </c>
      <c r="D4088" s="212"/>
      <c r="E4088" s="75" t="e">
        <f t="shared" si="130"/>
        <v>#N/A</v>
      </c>
      <c r="F4088" s="80"/>
      <c r="G4088" s="81"/>
      <c r="H4088" s="78"/>
      <c r="I4088" s="78"/>
      <c r="J4088" s="78"/>
    </row>
    <row r="4089" spans="1:10" x14ac:dyDescent="0.2">
      <c r="A4089" s="84">
        <f t="shared" si="131"/>
        <v>4083</v>
      </c>
      <c r="B4089" s="85" t="e">
        <f>+MATCH(D4089,ARTICULOS!$F$10:$F$699,0)</f>
        <v>#N/A</v>
      </c>
      <c r="C4089" s="86" t="e">
        <f>+VLOOKUP(B4089,ARTICULOS!$D$10:$I$699,6)</f>
        <v>#N/A</v>
      </c>
      <c r="D4089" s="212"/>
      <c r="E4089" s="75" t="e">
        <f t="shared" si="130"/>
        <v>#N/A</v>
      </c>
      <c r="F4089" s="80"/>
      <c r="G4089" s="81"/>
      <c r="H4089" s="78"/>
      <c r="I4089" s="78"/>
      <c r="J4089" s="78"/>
    </row>
    <row r="4090" spans="1:10" x14ac:dyDescent="0.2">
      <c r="A4090" s="84">
        <f t="shared" si="131"/>
        <v>4084</v>
      </c>
      <c r="B4090" s="85" t="e">
        <f>+MATCH(D4090,ARTICULOS!$F$10:$F$699,0)</f>
        <v>#N/A</v>
      </c>
      <c r="C4090" s="86" t="e">
        <f>+VLOOKUP(B4090,ARTICULOS!$D$10:$I$699,6)</f>
        <v>#N/A</v>
      </c>
      <c r="D4090" s="212"/>
      <c r="E4090" s="75" t="e">
        <f t="shared" si="130"/>
        <v>#N/A</v>
      </c>
      <c r="F4090" s="80"/>
      <c r="G4090" s="81"/>
      <c r="H4090" s="78"/>
      <c r="I4090" s="78"/>
      <c r="J4090" s="78"/>
    </row>
    <row r="4091" spans="1:10" x14ac:dyDescent="0.2">
      <c r="A4091" s="84">
        <f t="shared" si="131"/>
        <v>4085</v>
      </c>
      <c r="B4091" s="85" t="e">
        <f>+MATCH(D4091,ARTICULOS!$F$10:$F$699,0)</f>
        <v>#N/A</v>
      </c>
      <c r="C4091" s="86" t="e">
        <f>+VLOOKUP(B4091,ARTICULOS!$D$10:$I$699,6)</f>
        <v>#N/A</v>
      </c>
      <c r="D4091" s="212"/>
      <c r="E4091" s="75" t="e">
        <f t="shared" si="130"/>
        <v>#N/A</v>
      </c>
      <c r="F4091" s="80"/>
      <c r="G4091" s="81"/>
      <c r="H4091" s="78"/>
      <c r="I4091" s="78"/>
      <c r="J4091" s="78"/>
    </row>
    <row r="4092" spans="1:10" x14ac:dyDescent="0.2">
      <c r="A4092" s="84">
        <f t="shared" si="131"/>
        <v>4086</v>
      </c>
      <c r="B4092" s="85" t="e">
        <f>+MATCH(D4092,ARTICULOS!$F$10:$F$699,0)</f>
        <v>#N/A</v>
      </c>
      <c r="C4092" s="86" t="e">
        <f>+VLOOKUP(B4092,ARTICULOS!$D$10:$I$699,6)</f>
        <v>#N/A</v>
      </c>
      <c r="D4092" s="212"/>
      <c r="E4092" s="75" t="e">
        <f t="shared" si="130"/>
        <v>#N/A</v>
      </c>
      <c r="F4092" s="80"/>
      <c r="G4092" s="81"/>
      <c r="H4092" s="78"/>
      <c r="I4092" s="78"/>
      <c r="J4092" s="78"/>
    </row>
    <row r="4093" spans="1:10" x14ac:dyDescent="0.2">
      <c r="A4093" s="84">
        <f t="shared" si="131"/>
        <v>4087</v>
      </c>
      <c r="B4093" s="85" t="e">
        <f>+MATCH(D4093,ARTICULOS!$F$10:$F$699,0)</f>
        <v>#N/A</v>
      </c>
      <c r="C4093" s="86" t="e">
        <f>+VLOOKUP(B4093,ARTICULOS!$D$10:$I$699,6)</f>
        <v>#N/A</v>
      </c>
      <c r="D4093" s="212"/>
      <c r="E4093" s="75" t="e">
        <f t="shared" si="130"/>
        <v>#N/A</v>
      </c>
      <c r="F4093" s="80"/>
      <c r="G4093" s="81"/>
      <c r="H4093" s="78"/>
      <c r="I4093" s="78"/>
      <c r="J4093" s="78"/>
    </row>
    <row r="4094" spans="1:10" x14ac:dyDescent="0.2">
      <c r="A4094" s="84">
        <f t="shared" si="131"/>
        <v>4088</v>
      </c>
      <c r="B4094" s="85" t="e">
        <f>+MATCH(D4094,ARTICULOS!$F$10:$F$699,0)</f>
        <v>#N/A</v>
      </c>
      <c r="C4094" s="86" t="e">
        <f>+VLOOKUP(B4094,ARTICULOS!$D$10:$I$699,6)</f>
        <v>#N/A</v>
      </c>
      <c r="D4094" s="212"/>
      <c r="E4094" s="75" t="e">
        <f t="shared" si="130"/>
        <v>#N/A</v>
      </c>
      <c r="F4094" s="80"/>
      <c r="G4094" s="81"/>
      <c r="H4094" s="78"/>
      <c r="I4094" s="78"/>
      <c r="J4094" s="78"/>
    </row>
    <row r="4095" spans="1:10" x14ac:dyDescent="0.2">
      <c r="A4095" s="84">
        <f t="shared" si="131"/>
        <v>4089</v>
      </c>
      <c r="B4095" s="85" t="e">
        <f>+MATCH(D4095,ARTICULOS!$F$10:$F$699,0)</f>
        <v>#N/A</v>
      </c>
      <c r="C4095" s="86" t="e">
        <f>+VLOOKUP(B4095,ARTICULOS!$D$10:$I$699,6)</f>
        <v>#N/A</v>
      </c>
      <c r="D4095" s="212"/>
      <c r="E4095" s="75" t="e">
        <f t="shared" si="130"/>
        <v>#N/A</v>
      </c>
      <c r="F4095" s="80"/>
      <c r="G4095" s="81"/>
      <c r="H4095" s="78"/>
      <c r="I4095" s="78"/>
      <c r="J4095" s="78"/>
    </row>
    <row r="4096" spans="1:10" x14ac:dyDescent="0.2">
      <c r="A4096" s="84">
        <f t="shared" si="131"/>
        <v>4090</v>
      </c>
      <c r="B4096" s="85" t="e">
        <f>+MATCH(D4096,ARTICULOS!$F$10:$F$699,0)</f>
        <v>#N/A</v>
      </c>
      <c r="C4096" s="86" t="e">
        <f>+VLOOKUP(B4096,ARTICULOS!$D$10:$I$699,6)</f>
        <v>#N/A</v>
      </c>
      <c r="D4096" s="212"/>
      <c r="E4096" s="75" t="e">
        <f t="shared" si="130"/>
        <v>#N/A</v>
      </c>
      <c r="F4096" s="80"/>
      <c r="G4096" s="81"/>
      <c r="H4096" s="78"/>
      <c r="I4096" s="78"/>
      <c r="J4096" s="78"/>
    </row>
    <row r="4097" spans="1:10" x14ac:dyDescent="0.2">
      <c r="A4097" s="84">
        <f t="shared" si="131"/>
        <v>4091</v>
      </c>
      <c r="B4097" s="85" t="e">
        <f>+MATCH(D4097,ARTICULOS!$F$10:$F$699,0)</f>
        <v>#N/A</v>
      </c>
      <c r="C4097" s="86" t="e">
        <f>+VLOOKUP(B4097,ARTICULOS!$D$10:$I$699,6)</f>
        <v>#N/A</v>
      </c>
      <c r="D4097" s="212"/>
      <c r="E4097" s="75" t="e">
        <f t="shared" si="130"/>
        <v>#N/A</v>
      </c>
      <c r="F4097" s="80"/>
      <c r="G4097" s="81"/>
      <c r="H4097" s="78"/>
      <c r="I4097" s="78"/>
      <c r="J4097" s="78"/>
    </row>
    <row r="4098" spans="1:10" x14ac:dyDescent="0.2">
      <c r="A4098" s="84">
        <f t="shared" si="131"/>
        <v>4092</v>
      </c>
      <c r="B4098" s="85" t="e">
        <f>+MATCH(D4098,ARTICULOS!$F$10:$F$699,0)</f>
        <v>#N/A</v>
      </c>
      <c r="C4098" s="86" t="e">
        <f>+VLOOKUP(B4098,ARTICULOS!$D$10:$I$699,6)</f>
        <v>#N/A</v>
      </c>
      <c r="D4098" s="212"/>
      <c r="E4098" s="75" t="e">
        <f t="shared" si="130"/>
        <v>#N/A</v>
      </c>
      <c r="F4098" s="80"/>
      <c r="G4098" s="81"/>
      <c r="H4098" s="78"/>
      <c r="I4098" s="78"/>
      <c r="J4098" s="78"/>
    </row>
    <row r="4099" spans="1:10" x14ac:dyDescent="0.2">
      <c r="A4099" s="84">
        <f t="shared" si="131"/>
        <v>4093</v>
      </c>
      <c r="B4099" s="85" t="e">
        <f>+MATCH(D4099,ARTICULOS!$F$10:$F$699,0)</f>
        <v>#N/A</v>
      </c>
      <c r="C4099" s="86" t="e">
        <f>+VLOOKUP(B4099,ARTICULOS!$D$10:$I$699,6)</f>
        <v>#N/A</v>
      </c>
      <c r="D4099" s="212"/>
      <c r="E4099" s="75" t="e">
        <f t="shared" si="130"/>
        <v>#N/A</v>
      </c>
      <c r="F4099" s="80"/>
      <c r="G4099" s="81"/>
      <c r="H4099" s="78"/>
      <c r="I4099" s="78"/>
      <c r="J4099" s="78"/>
    </row>
    <row r="4100" spans="1:10" x14ac:dyDescent="0.2">
      <c r="A4100" s="84">
        <f t="shared" si="131"/>
        <v>4094</v>
      </c>
      <c r="B4100" s="85" t="e">
        <f>+MATCH(D4100,ARTICULOS!$F$10:$F$699,0)</f>
        <v>#N/A</v>
      </c>
      <c r="C4100" s="86" t="e">
        <f>+VLOOKUP(B4100,ARTICULOS!$D$10:$I$699,6)</f>
        <v>#N/A</v>
      </c>
      <c r="D4100" s="212"/>
      <c r="E4100" s="75" t="e">
        <f t="shared" si="130"/>
        <v>#N/A</v>
      </c>
      <c r="F4100" s="80"/>
      <c r="G4100" s="81"/>
      <c r="H4100" s="78"/>
      <c r="I4100" s="78"/>
      <c r="J4100" s="78"/>
    </row>
    <row r="4101" spans="1:10" x14ac:dyDescent="0.2">
      <c r="A4101" s="84">
        <f t="shared" si="131"/>
        <v>4095</v>
      </c>
      <c r="B4101" s="85" t="e">
        <f>+MATCH(D4101,ARTICULOS!$F$10:$F$699,0)</f>
        <v>#N/A</v>
      </c>
      <c r="C4101" s="86" t="e">
        <f>+VLOOKUP(B4101,ARTICULOS!$D$10:$I$699,6)</f>
        <v>#N/A</v>
      </c>
      <c r="D4101" s="212"/>
      <c r="E4101" s="75" t="e">
        <f t="shared" si="130"/>
        <v>#N/A</v>
      </c>
      <c r="F4101" s="80"/>
      <c r="G4101" s="81"/>
      <c r="H4101" s="78"/>
      <c r="I4101" s="78"/>
      <c r="J4101" s="78"/>
    </row>
    <row r="4102" spans="1:10" x14ac:dyDescent="0.2">
      <c r="A4102" s="84">
        <f t="shared" si="131"/>
        <v>4096</v>
      </c>
      <c r="B4102" s="85" t="e">
        <f>+MATCH(D4102,ARTICULOS!$F$10:$F$699,0)</f>
        <v>#N/A</v>
      </c>
      <c r="C4102" s="86" t="e">
        <f>+VLOOKUP(B4102,ARTICULOS!$D$10:$I$699,6)</f>
        <v>#N/A</v>
      </c>
      <c r="D4102" s="212"/>
      <c r="E4102" s="75" t="e">
        <f t="shared" si="130"/>
        <v>#N/A</v>
      </c>
      <c r="F4102" s="80"/>
      <c r="G4102" s="81"/>
      <c r="H4102" s="78"/>
      <c r="I4102" s="78"/>
      <c r="J4102" s="78"/>
    </row>
    <row r="4103" spans="1:10" x14ac:dyDescent="0.2">
      <c r="A4103" s="84">
        <f t="shared" si="131"/>
        <v>4097</v>
      </c>
      <c r="B4103" s="85" t="e">
        <f>+MATCH(D4103,ARTICULOS!$F$10:$F$699,0)</f>
        <v>#N/A</v>
      </c>
      <c r="C4103" s="86" t="e">
        <f>+VLOOKUP(B4103,ARTICULOS!$D$10:$I$699,6)</f>
        <v>#N/A</v>
      </c>
      <c r="D4103" s="212"/>
      <c r="E4103" s="75" t="e">
        <f t="shared" si="130"/>
        <v>#N/A</v>
      </c>
      <c r="F4103" s="80"/>
      <c r="G4103" s="81"/>
      <c r="H4103" s="78"/>
      <c r="I4103" s="78"/>
      <c r="J4103" s="78"/>
    </row>
    <row r="4104" spans="1:10" x14ac:dyDescent="0.2">
      <c r="A4104" s="84">
        <f t="shared" si="131"/>
        <v>4098</v>
      </c>
      <c r="B4104" s="85" t="e">
        <f>+MATCH(D4104,ARTICULOS!$F$10:$F$699,0)</f>
        <v>#N/A</v>
      </c>
      <c r="C4104" s="86" t="e">
        <f>+VLOOKUP(B4104,ARTICULOS!$D$10:$I$699,6)</f>
        <v>#N/A</v>
      </c>
      <c r="D4104" s="212"/>
      <c r="E4104" s="75" t="e">
        <f t="shared" si="130"/>
        <v>#N/A</v>
      </c>
      <c r="F4104" s="80"/>
      <c r="G4104" s="81"/>
      <c r="H4104" s="78"/>
      <c r="I4104" s="78"/>
      <c r="J4104" s="78"/>
    </row>
    <row r="4105" spans="1:10" x14ac:dyDescent="0.2">
      <c r="A4105" s="84">
        <f t="shared" si="131"/>
        <v>4099</v>
      </c>
      <c r="B4105" s="85" t="e">
        <f>+MATCH(D4105,ARTICULOS!$F$10:$F$699,0)</f>
        <v>#N/A</v>
      </c>
      <c r="C4105" s="86" t="e">
        <f>+VLOOKUP(B4105,ARTICULOS!$D$10:$I$699,6)</f>
        <v>#N/A</v>
      </c>
      <c r="D4105" s="212"/>
      <c r="E4105" s="75" t="e">
        <f t="shared" si="130"/>
        <v>#N/A</v>
      </c>
      <c r="F4105" s="80"/>
      <c r="G4105" s="81"/>
      <c r="H4105" s="78"/>
      <c r="I4105" s="78"/>
      <c r="J4105" s="78"/>
    </row>
    <row r="4106" spans="1:10" x14ac:dyDescent="0.2">
      <c r="A4106" s="84">
        <f t="shared" si="131"/>
        <v>4100</v>
      </c>
      <c r="B4106" s="85" t="e">
        <f>+MATCH(D4106,ARTICULOS!$F$10:$F$699,0)</f>
        <v>#N/A</v>
      </c>
      <c r="C4106" s="86" t="e">
        <f>+VLOOKUP(B4106,ARTICULOS!$D$10:$I$699,6)</f>
        <v>#N/A</v>
      </c>
      <c r="D4106" s="212"/>
      <c r="E4106" s="75" t="e">
        <f t="shared" si="130"/>
        <v>#N/A</v>
      </c>
      <c r="F4106" s="80"/>
      <c r="G4106" s="81"/>
      <c r="H4106" s="78"/>
      <c r="I4106" s="78"/>
      <c r="J4106" s="78"/>
    </row>
    <row r="4107" spans="1:10" x14ac:dyDescent="0.2">
      <c r="A4107" s="84">
        <f t="shared" si="131"/>
        <v>4101</v>
      </c>
      <c r="B4107" s="85" t="e">
        <f>+MATCH(D4107,ARTICULOS!$F$10:$F$699,0)</f>
        <v>#N/A</v>
      </c>
      <c r="C4107" s="86" t="e">
        <f>+VLOOKUP(B4107,ARTICULOS!$D$10:$I$699,6)</f>
        <v>#N/A</v>
      </c>
      <c r="D4107" s="212"/>
      <c r="E4107" s="75" t="e">
        <f t="shared" ref="E4107:E4170" si="132">+C4107&amp;F4107</f>
        <v>#N/A</v>
      </c>
      <c r="F4107" s="80"/>
      <c r="G4107" s="81"/>
      <c r="H4107" s="78"/>
      <c r="I4107" s="78"/>
      <c r="J4107" s="78"/>
    </row>
    <row r="4108" spans="1:10" x14ac:dyDescent="0.2">
      <c r="A4108" s="84">
        <f t="shared" si="131"/>
        <v>4102</v>
      </c>
      <c r="B4108" s="85" t="e">
        <f>+MATCH(D4108,ARTICULOS!$F$10:$F$699,0)</f>
        <v>#N/A</v>
      </c>
      <c r="C4108" s="86" t="e">
        <f>+VLOOKUP(B4108,ARTICULOS!$D$10:$I$699,6)</f>
        <v>#N/A</v>
      </c>
      <c r="D4108" s="212"/>
      <c r="E4108" s="75" t="e">
        <f t="shared" si="132"/>
        <v>#N/A</v>
      </c>
      <c r="F4108" s="80"/>
      <c r="G4108" s="81"/>
      <c r="H4108" s="78"/>
      <c r="I4108" s="78"/>
      <c r="J4108" s="78"/>
    </row>
    <row r="4109" spans="1:10" x14ac:dyDescent="0.2">
      <c r="A4109" s="84">
        <f t="shared" si="131"/>
        <v>4103</v>
      </c>
      <c r="B4109" s="85" t="e">
        <f>+MATCH(D4109,ARTICULOS!$F$10:$F$699,0)</f>
        <v>#N/A</v>
      </c>
      <c r="C4109" s="86" t="e">
        <f>+VLOOKUP(B4109,ARTICULOS!$D$10:$I$699,6)</f>
        <v>#N/A</v>
      </c>
      <c r="D4109" s="212"/>
      <c r="E4109" s="75" t="e">
        <f t="shared" si="132"/>
        <v>#N/A</v>
      </c>
      <c r="F4109" s="80"/>
      <c r="G4109" s="81"/>
      <c r="H4109" s="78"/>
      <c r="I4109" s="78"/>
      <c r="J4109" s="78"/>
    </row>
    <row r="4110" spans="1:10" x14ac:dyDescent="0.2">
      <c r="A4110" s="84">
        <f t="shared" si="131"/>
        <v>4104</v>
      </c>
      <c r="B4110" s="85" t="e">
        <f>+MATCH(D4110,ARTICULOS!$F$10:$F$699,0)</f>
        <v>#N/A</v>
      </c>
      <c r="C4110" s="86" t="e">
        <f>+VLOOKUP(B4110,ARTICULOS!$D$10:$I$699,6)</f>
        <v>#N/A</v>
      </c>
      <c r="D4110" s="212"/>
      <c r="E4110" s="75" t="e">
        <f t="shared" si="132"/>
        <v>#N/A</v>
      </c>
      <c r="F4110" s="80"/>
      <c r="G4110" s="81"/>
      <c r="H4110" s="78"/>
      <c r="I4110" s="78"/>
      <c r="J4110" s="78"/>
    </row>
    <row r="4111" spans="1:10" x14ac:dyDescent="0.2">
      <c r="A4111" s="84">
        <f t="shared" si="131"/>
        <v>4105</v>
      </c>
      <c r="B4111" s="85" t="e">
        <f>+MATCH(D4111,ARTICULOS!$F$10:$F$699,0)</f>
        <v>#N/A</v>
      </c>
      <c r="C4111" s="86" t="e">
        <f>+VLOOKUP(B4111,ARTICULOS!$D$10:$I$699,6)</f>
        <v>#N/A</v>
      </c>
      <c r="D4111" s="212"/>
      <c r="E4111" s="75" t="e">
        <f t="shared" si="132"/>
        <v>#N/A</v>
      </c>
      <c r="F4111" s="80"/>
      <c r="G4111" s="81"/>
      <c r="H4111" s="78"/>
      <c r="I4111" s="78"/>
      <c r="J4111" s="78"/>
    </row>
    <row r="4112" spans="1:10" x14ac:dyDescent="0.2">
      <c r="A4112" s="84">
        <f t="shared" si="131"/>
        <v>4106</v>
      </c>
      <c r="B4112" s="85" t="e">
        <f>+MATCH(D4112,ARTICULOS!$F$10:$F$699,0)</f>
        <v>#N/A</v>
      </c>
      <c r="C4112" s="86" t="e">
        <f>+VLOOKUP(B4112,ARTICULOS!$D$10:$I$699,6)</f>
        <v>#N/A</v>
      </c>
      <c r="D4112" s="212"/>
      <c r="E4112" s="75" t="e">
        <f t="shared" si="132"/>
        <v>#N/A</v>
      </c>
      <c r="F4112" s="80"/>
      <c r="G4112" s="81"/>
      <c r="H4112" s="78"/>
      <c r="I4112" s="78"/>
      <c r="J4112" s="78"/>
    </row>
    <row r="4113" spans="1:10" x14ac:dyDescent="0.2">
      <c r="A4113" s="84">
        <f t="shared" si="131"/>
        <v>4107</v>
      </c>
      <c r="B4113" s="85" t="e">
        <f>+MATCH(D4113,ARTICULOS!$F$10:$F$699,0)</f>
        <v>#N/A</v>
      </c>
      <c r="C4113" s="86" t="e">
        <f>+VLOOKUP(B4113,ARTICULOS!$D$10:$I$699,6)</f>
        <v>#N/A</v>
      </c>
      <c r="D4113" s="212"/>
      <c r="E4113" s="75" t="e">
        <f t="shared" si="132"/>
        <v>#N/A</v>
      </c>
      <c r="F4113" s="80"/>
      <c r="G4113" s="81"/>
      <c r="H4113" s="78"/>
      <c r="I4113" s="78"/>
      <c r="J4113" s="78"/>
    </row>
    <row r="4114" spans="1:10" x14ac:dyDescent="0.2">
      <c r="A4114" s="84">
        <f t="shared" si="131"/>
        <v>4108</v>
      </c>
      <c r="B4114" s="85" t="e">
        <f>+MATCH(D4114,ARTICULOS!$F$10:$F$699,0)</f>
        <v>#N/A</v>
      </c>
      <c r="C4114" s="86" t="e">
        <f>+VLOOKUP(B4114,ARTICULOS!$D$10:$I$699,6)</f>
        <v>#N/A</v>
      </c>
      <c r="D4114" s="212"/>
      <c r="E4114" s="75" t="e">
        <f t="shared" si="132"/>
        <v>#N/A</v>
      </c>
      <c r="F4114" s="80"/>
      <c r="G4114" s="81"/>
      <c r="H4114" s="78"/>
      <c r="I4114" s="78"/>
      <c r="J4114" s="78"/>
    </row>
    <row r="4115" spans="1:10" x14ac:dyDescent="0.2">
      <c r="A4115" s="84">
        <f t="shared" si="131"/>
        <v>4109</v>
      </c>
      <c r="B4115" s="85" t="e">
        <f>+MATCH(D4115,ARTICULOS!$F$10:$F$699,0)</f>
        <v>#N/A</v>
      </c>
      <c r="C4115" s="86" t="e">
        <f>+VLOOKUP(B4115,ARTICULOS!$D$10:$I$699,6)</f>
        <v>#N/A</v>
      </c>
      <c r="D4115" s="212"/>
      <c r="E4115" s="75" t="e">
        <f t="shared" si="132"/>
        <v>#N/A</v>
      </c>
      <c r="F4115" s="80"/>
      <c r="G4115" s="81"/>
      <c r="H4115" s="78"/>
      <c r="I4115" s="78"/>
      <c r="J4115" s="78"/>
    </row>
    <row r="4116" spans="1:10" x14ac:dyDescent="0.2">
      <c r="A4116" s="84">
        <f t="shared" si="131"/>
        <v>4110</v>
      </c>
      <c r="B4116" s="85" t="e">
        <f>+MATCH(D4116,ARTICULOS!$F$10:$F$699,0)</f>
        <v>#N/A</v>
      </c>
      <c r="C4116" s="86" t="e">
        <f>+VLOOKUP(B4116,ARTICULOS!$D$10:$I$699,6)</f>
        <v>#N/A</v>
      </c>
      <c r="D4116" s="212"/>
      <c r="E4116" s="75" t="e">
        <f t="shared" si="132"/>
        <v>#N/A</v>
      </c>
      <c r="F4116" s="80"/>
      <c r="G4116" s="81"/>
      <c r="H4116" s="78"/>
      <c r="I4116" s="78"/>
      <c r="J4116" s="78"/>
    </row>
    <row r="4117" spans="1:10" x14ac:dyDescent="0.2">
      <c r="A4117" s="84">
        <f t="shared" si="131"/>
        <v>4111</v>
      </c>
      <c r="B4117" s="85" t="e">
        <f>+MATCH(D4117,ARTICULOS!$F$10:$F$699,0)</f>
        <v>#N/A</v>
      </c>
      <c r="C4117" s="86" t="e">
        <f>+VLOOKUP(B4117,ARTICULOS!$D$10:$I$699,6)</f>
        <v>#N/A</v>
      </c>
      <c r="D4117" s="212"/>
      <c r="E4117" s="75" t="e">
        <f t="shared" si="132"/>
        <v>#N/A</v>
      </c>
      <c r="F4117" s="80"/>
      <c r="G4117" s="81"/>
      <c r="H4117" s="78"/>
      <c r="I4117" s="78"/>
      <c r="J4117" s="78"/>
    </row>
    <row r="4118" spans="1:10" x14ac:dyDescent="0.2">
      <c r="A4118" s="84">
        <f t="shared" si="131"/>
        <v>4112</v>
      </c>
      <c r="B4118" s="85" t="e">
        <f>+MATCH(D4118,ARTICULOS!$F$10:$F$699,0)</f>
        <v>#N/A</v>
      </c>
      <c r="C4118" s="86" t="e">
        <f>+VLOOKUP(B4118,ARTICULOS!$D$10:$I$699,6)</f>
        <v>#N/A</v>
      </c>
      <c r="D4118" s="212"/>
      <c r="E4118" s="75" t="e">
        <f t="shared" si="132"/>
        <v>#N/A</v>
      </c>
      <c r="F4118" s="80"/>
      <c r="G4118" s="81"/>
      <c r="H4118" s="78"/>
      <c r="I4118" s="78"/>
      <c r="J4118" s="78"/>
    </row>
    <row r="4119" spans="1:10" x14ac:dyDescent="0.2">
      <c r="A4119" s="84">
        <f t="shared" si="131"/>
        <v>4113</v>
      </c>
      <c r="B4119" s="85" t="e">
        <f>+MATCH(D4119,ARTICULOS!$F$10:$F$699,0)</f>
        <v>#N/A</v>
      </c>
      <c r="C4119" s="86" t="e">
        <f>+VLOOKUP(B4119,ARTICULOS!$D$10:$I$699,6)</f>
        <v>#N/A</v>
      </c>
      <c r="D4119" s="212"/>
      <c r="E4119" s="75" t="e">
        <f t="shared" si="132"/>
        <v>#N/A</v>
      </c>
      <c r="F4119" s="80"/>
      <c r="G4119" s="81"/>
      <c r="H4119" s="78"/>
      <c r="I4119" s="78"/>
      <c r="J4119" s="78"/>
    </row>
    <row r="4120" spans="1:10" x14ac:dyDescent="0.2">
      <c r="A4120" s="84">
        <f t="shared" si="131"/>
        <v>4114</v>
      </c>
      <c r="B4120" s="85" t="e">
        <f>+MATCH(D4120,ARTICULOS!$F$10:$F$699,0)</f>
        <v>#N/A</v>
      </c>
      <c r="C4120" s="86" t="e">
        <f>+VLOOKUP(B4120,ARTICULOS!$D$10:$I$699,6)</f>
        <v>#N/A</v>
      </c>
      <c r="D4120" s="212"/>
      <c r="E4120" s="75" t="e">
        <f t="shared" si="132"/>
        <v>#N/A</v>
      </c>
      <c r="F4120" s="80"/>
      <c r="G4120" s="81"/>
      <c r="H4120" s="78"/>
      <c r="I4120" s="78"/>
      <c r="J4120" s="78"/>
    </row>
    <row r="4121" spans="1:10" x14ac:dyDescent="0.2">
      <c r="A4121" s="84">
        <f t="shared" si="131"/>
        <v>4115</v>
      </c>
      <c r="B4121" s="85" t="e">
        <f>+MATCH(D4121,ARTICULOS!$F$10:$F$699,0)</f>
        <v>#N/A</v>
      </c>
      <c r="C4121" s="86" t="e">
        <f>+VLOOKUP(B4121,ARTICULOS!$D$10:$I$699,6)</f>
        <v>#N/A</v>
      </c>
      <c r="D4121" s="212"/>
      <c r="E4121" s="75" t="e">
        <f t="shared" si="132"/>
        <v>#N/A</v>
      </c>
      <c r="F4121" s="80"/>
      <c r="G4121" s="81"/>
      <c r="H4121" s="78"/>
      <c r="I4121" s="78"/>
      <c r="J4121" s="78"/>
    </row>
    <row r="4122" spans="1:10" x14ac:dyDescent="0.2">
      <c r="A4122" s="84">
        <f t="shared" si="131"/>
        <v>4116</v>
      </c>
      <c r="B4122" s="85" t="e">
        <f>+MATCH(D4122,ARTICULOS!$F$10:$F$699,0)</f>
        <v>#N/A</v>
      </c>
      <c r="C4122" s="86" t="e">
        <f>+VLOOKUP(B4122,ARTICULOS!$D$10:$I$699,6)</f>
        <v>#N/A</v>
      </c>
      <c r="D4122" s="212"/>
      <c r="E4122" s="75" t="e">
        <f t="shared" si="132"/>
        <v>#N/A</v>
      </c>
      <c r="F4122" s="80"/>
      <c r="G4122" s="81"/>
      <c r="H4122" s="78"/>
      <c r="I4122" s="78"/>
      <c r="J4122" s="78"/>
    </row>
    <row r="4123" spans="1:10" x14ac:dyDescent="0.2">
      <c r="A4123" s="84">
        <f t="shared" si="131"/>
        <v>4117</v>
      </c>
      <c r="B4123" s="85" t="e">
        <f>+MATCH(D4123,ARTICULOS!$F$10:$F$699,0)</f>
        <v>#N/A</v>
      </c>
      <c r="C4123" s="86" t="e">
        <f>+VLOOKUP(B4123,ARTICULOS!$D$10:$I$699,6)</f>
        <v>#N/A</v>
      </c>
      <c r="D4123" s="212"/>
      <c r="E4123" s="75" t="e">
        <f t="shared" si="132"/>
        <v>#N/A</v>
      </c>
      <c r="F4123" s="80"/>
      <c r="G4123" s="81"/>
      <c r="H4123" s="78"/>
      <c r="I4123" s="78"/>
      <c r="J4123" s="78"/>
    </row>
    <row r="4124" spans="1:10" x14ac:dyDescent="0.2">
      <c r="A4124" s="84">
        <f t="shared" si="131"/>
        <v>4118</v>
      </c>
      <c r="B4124" s="85" t="e">
        <f>+MATCH(D4124,ARTICULOS!$F$10:$F$699,0)</f>
        <v>#N/A</v>
      </c>
      <c r="C4124" s="86" t="e">
        <f>+VLOOKUP(B4124,ARTICULOS!$D$10:$I$699,6)</f>
        <v>#N/A</v>
      </c>
      <c r="D4124" s="212"/>
      <c r="E4124" s="75" t="e">
        <f t="shared" si="132"/>
        <v>#N/A</v>
      </c>
      <c r="F4124" s="80"/>
      <c r="G4124" s="81"/>
      <c r="H4124" s="78"/>
      <c r="I4124" s="78"/>
      <c r="J4124" s="78"/>
    </row>
    <row r="4125" spans="1:10" x14ac:dyDescent="0.2">
      <c r="A4125" s="84">
        <f t="shared" si="131"/>
        <v>4119</v>
      </c>
      <c r="B4125" s="85" t="e">
        <f>+MATCH(D4125,ARTICULOS!$F$10:$F$699,0)</f>
        <v>#N/A</v>
      </c>
      <c r="C4125" s="86" t="e">
        <f>+VLOOKUP(B4125,ARTICULOS!$D$10:$I$699,6)</f>
        <v>#N/A</v>
      </c>
      <c r="D4125" s="212"/>
      <c r="E4125" s="75" t="e">
        <f t="shared" si="132"/>
        <v>#N/A</v>
      </c>
      <c r="F4125" s="80"/>
      <c r="G4125" s="81"/>
      <c r="H4125" s="78"/>
      <c r="I4125" s="78"/>
      <c r="J4125" s="78"/>
    </row>
    <row r="4126" spans="1:10" x14ac:dyDescent="0.2">
      <c r="A4126" s="84">
        <f t="shared" si="131"/>
        <v>4120</v>
      </c>
      <c r="B4126" s="85" t="e">
        <f>+MATCH(D4126,ARTICULOS!$F$10:$F$699,0)</f>
        <v>#N/A</v>
      </c>
      <c r="C4126" s="86" t="e">
        <f>+VLOOKUP(B4126,ARTICULOS!$D$10:$I$699,6)</f>
        <v>#N/A</v>
      </c>
      <c r="D4126" s="212"/>
      <c r="E4126" s="75" t="e">
        <f t="shared" si="132"/>
        <v>#N/A</v>
      </c>
      <c r="F4126" s="80"/>
      <c r="G4126" s="81"/>
      <c r="H4126" s="78"/>
      <c r="I4126" s="78"/>
      <c r="J4126" s="78"/>
    </row>
    <row r="4127" spans="1:10" x14ac:dyDescent="0.2">
      <c r="A4127" s="84">
        <f t="shared" si="131"/>
        <v>4121</v>
      </c>
      <c r="B4127" s="85" t="e">
        <f>+MATCH(D4127,ARTICULOS!$F$10:$F$699,0)</f>
        <v>#N/A</v>
      </c>
      <c r="C4127" s="86" t="e">
        <f>+VLOOKUP(B4127,ARTICULOS!$D$10:$I$699,6)</f>
        <v>#N/A</v>
      </c>
      <c r="D4127" s="212"/>
      <c r="E4127" s="75" t="e">
        <f t="shared" si="132"/>
        <v>#N/A</v>
      </c>
      <c r="F4127" s="80"/>
      <c r="G4127" s="81"/>
      <c r="H4127" s="78"/>
      <c r="I4127" s="78"/>
      <c r="J4127" s="78"/>
    </row>
    <row r="4128" spans="1:10" x14ac:dyDescent="0.2">
      <c r="A4128" s="84">
        <f t="shared" si="131"/>
        <v>4122</v>
      </c>
      <c r="B4128" s="85" t="e">
        <f>+MATCH(D4128,ARTICULOS!$F$10:$F$699,0)</f>
        <v>#N/A</v>
      </c>
      <c r="C4128" s="86" t="e">
        <f>+VLOOKUP(B4128,ARTICULOS!$D$10:$I$699,6)</f>
        <v>#N/A</v>
      </c>
      <c r="D4128" s="212"/>
      <c r="E4128" s="75" t="e">
        <f t="shared" si="132"/>
        <v>#N/A</v>
      </c>
      <c r="F4128" s="80"/>
      <c r="G4128" s="81"/>
      <c r="H4128" s="78"/>
      <c r="I4128" s="78"/>
      <c r="J4128" s="78"/>
    </row>
    <row r="4129" spans="1:10" x14ac:dyDescent="0.2">
      <c r="A4129" s="84">
        <f t="shared" si="131"/>
        <v>4123</v>
      </c>
      <c r="B4129" s="85" t="e">
        <f>+MATCH(D4129,ARTICULOS!$F$10:$F$699,0)</f>
        <v>#N/A</v>
      </c>
      <c r="C4129" s="86" t="e">
        <f>+VLOOKUP(B4129,ARTICULOS!$D$10:$I$699,6)</f>
        <v>#N/A</v>
      </c>
      <c r="D4129" s="212"/>
      <c r="E4129" s="75" t="e">
        <f t="shared" si="132"/>
        <v>#N/A</v>
      </c>
      <c r="F4129" s="80"/>
      <c r="G4129" s="81"/>
      <c r="H4129" s="78"/>
      <c r="I4129" s="78"/>
      <c r="J4129" s="78"/>
    </row>
    <row r="4130" spans="1:10" x14ac:dyDescent="0.2">
      <c r="A4130" s="84">
        <f t="shared" si="131"/>
        <v>4124</v>
      </c>
      <c r="B4130" s="85" t="e">
        <f>+MATCH(D4130,ARTICULOS!$F$10:$F$699,0)</f>
        <v>#N/A</v>
      </c>
      <c r="C4130" s="86" t="e">
        <f>+VLOOKUP(B4130,ARTICULOS!$D$10:$I$699,6)</f>
        <v>#N/A</v>
      </c>
      <c r="D4130" s="212"/>
      <c r="E4130" s="75" t="e">
        <f t="shared" si="132"/>
        <v>#N/A</v>
      </c>
      <c r="F4130" s="80"/>
      <c r="G4130" s="81"/>
      <c r="H4130" s="78"/>
      <c r="I4130" s="78"/>
      <c r="J4130" s="78"/>
    </row>
    <row r="4131" spans="1:10" x14ac:dyDescent="0.2">
      <c r="A4131" s="84">
        <f t="shared" si="131"/>
        <v>4125</v>
      </c>
      <c r="B4131" s="85" t="e">
        <f>+MATCH(D4131,ARTICULOS!$F$10:$F$699,0)</f>
        <v>#N/A</v>
      </c>
      <c r="C4131" s="86" t="e">
        <f>+VLOOKUP(B4131,ARTICULOS!$D$10:$I$699,6)</f>
        <v>#N/A</v>
      </c>
      <c r="D4131" s="212"/>
      <c r="E4131" s="75" t="e">
        <f t="shared" si="132"/>
        <v>#N/A</v>
      </c>
      <c r="F4131" s="80"/>
      <c r="G4131" s="81"/>
      <c r="H4131" s="78"/>
      <c r="I4131" s="78"/>
      <c r="J4131" s="78"/>
    </row>
    <row r="4132" spans="1:10" x14ac:dyDescent="0.2">
      <c r="A4132" s="84">
        <f t="shared" si="131"/>
        <v>4126</v>
      </c>
      <c r="B4132" s="85" t="e">
        <f>+MATCH(D4132,ARTICULOS!$F$10:$F$699,0)</f>
        <v>#N/A</v>
      </c>
      <c r="C4132" s="86" t="e">
        <f>+VLOOKUP(B4132,ARTICULOS!$D$10:$I$699,6)</f>
        <v>#N/A</v>
      </c>
      <c r="D4132" s="212"/>
      <c r="E4132" s="75" t="e">
        <f t="shared" si="132"/>
        <v>#N/A</v>
      </c>
      <c r="F4132" s="80"/>
      <c r="G4132" s="81"/>
      <c r="H4132" s="78"/>
      <c r="I4132" s="78"/>
      <c r="J4132" s="78"/>
    </row>
    <row r="4133" spans="1:10" x14ac:dyDescent="0.2">
      <c r="A4133" s="84">
        <f t="shared" si="131"/>
        <v>4127</v>
      </c>
      <c r="B4133" s="85" t="e">
        <f>+MATCH(D4133,ARTICULOS!$F$10:$F$699,0)</f>
        <v>#N/A</v>
      </c>
      <c r="C4133" s="86" t="e">
        <f>+VLOOKUP(B4133,ARTICULOS!$D$10:$I$699,6)</f>
        <v>#N/A</v>
      </c>
      <c r="D4133" s="212"/>
      <c r="E4133" s="75" t="e">
        <f t="shared" si="132"/>
        <v>#N/A</v>
      </c>
      <c r="F4133" s="80"/>
      <c r="G4133" s="81"/>
      <c r="H4133" s="78"/>
      <c r="I4133" s="78"/>
      <c r="J4133" s="78"/>
    </row>
    <row r="4134" spans="1:10" x14ac:dyDescent="0.2">
      <c r="A4134" s="84">
        <f t="shared" si="131"/>
        <v>4128</v>
      </c>
      <c r="B4134" s="85" t="e">
        <f>+MATCH(D4134,ARTICULOS!$F$10:$F$699,0)</f>
        <v>#N/A</v>
      </c>
      <c r="C4134" s="86" t="e">
        <f>+VLOOKUP(B4134,ARTICULOS!$D$10:$I$699,6)</f>
        <v>#N/A</v>
      </c>
      <c r="D4134" s="212"/>
      <c r="E4134" s="75" t="e">
        <f t="shared" si="132"/>
        <v>#N/A</v>
      </c>
      <c r="F4134" s="80"/>
      <c r="G4134" s="81"/>
      <c r="H4134" s="78"/>
      <c r="I4134" s="78"/>
      <c r="J4134" s="78"/>
    </row>
    <row r="4135" spans="1:10" x14ac:dyDescent="0.2">
      <c r="A4135" s="84">
        <f t="shared" si="131"/>
        <v>4129</v>
      </c>
      <c r="B4135" s="85" t="e">
        <f>+MATCH(D4135,ARTICULOS!$F$10:$F$699,0)</f>
        <v>#N/A</v>
      </c>
      <c r="C4135" s="86" t="e">
        <f>+VLOOKUP(B4135,ARTICULOS!$D$10:$I$699,6)</f>
        <v>#N/A</v>
      </c>
      <c r="D4135" s="212"/>
      <c r="E4135" s="75" t="e">
        <f t="shared" si="132"/>
        <v>#N/A</v>
      </c>
      <c r="F4135" s="80"/>
      <c r="G4135" s="81"/>
      <c r="H4135" s="78"/>
      <c r="I4135" s="78"/>
      <c r="J4135" s="78"/>
    </row>
    <row r="4136" spans="1:10" x14ac:dyDescent="0.2">
      <c r="A4136" s="84">
        <f t="shared" si="131"/>
        <v>4130</v>
      </c>
      <c r="B4136" s="85" t="e">
        <f>+MATCH(D4136,ARTICULOS!$F$10:$F$699,0)</f>
        <v>#N/A</v>
      </c>
      <c r="C4136" s="86" t="e">
        <f>+VLOOKUP(B4136,ARTICULOS!$D$10:$I$699,6)</f>
        <v>#N/A</v>
      </c>
      <c r="D4136" s="212"/>
      <c r="E4136" s="75" t="e">
        <f t="shared" si="132"/>
        <v>#N/A</v>
      </c>
      <c r="F4136" s="80"/>
      <c r="G4136" s="81"/>
      <c r="H4136" s="78"/>
      <c r="I4136" s="78"/>
      <c r="J4136" s="78"/>
    </row>
    <row r="4137" spans="1:10" x14ac:dyDescent="0.2">
      <c r="A4137" s="84">
        <f t="shared" ref="A4137:A4200" si="133">ROW()-6</f>
        <v>4131</v>
      </c>
      <c r="B4137" s="85" t="e">
        <f>+MATCH(D4137,ARTICULOS!$F$10:$F$699,0)</f>
        <v>#N/A</v>
      </c>
      <c r="C4137" s="86" t="e">
        <f>+VLOOKUP(B4137,ARTICULOS!$D$10:$I$699,6)</f>
        <v>#N/A</v>
      </c>
      <c r="D4137" s="212"/>
      <c r="E4137" s="75" t="e">
        <f t="shared" si="132"/>
        <v>#N/A</v>
      </c>
      <c r="F4137" s="80"/>
      <c r="G4137" s="81"/>
      <c r="H4137" s="78"/>
      <c r="I4137" s="78"/>
      <c r="J4137" s="78"/>
    </row>
    <row r="4138" spans="1:10" x14ac:dyDescent="0.2">
      <c r="A4138" s="84">
        <f t="shared" si="133"/>
        <v>4132</v>
      </c>
      <c r="B4138" s="85" t="e">
        <f>+MATCH(D4138,ARTICULOS!$F$10:$F$699,0)</f>
        <v>#N/A</v>
      </c>
      <c r="C4138" s="86" t="e">
        <f>+VLOOKUP(B4138,ARTICULOS!$D$10:$I$699,6)</f>
        <v>#N/A</v>
      </c>
      <c r="D4138" s="212"/>
      <c r="E4138" s="75" t="e">
        <f t="shared" si="132"/>
        <v>#N/A</v>
      </c>
      <c r="F4138" s="80"/>
      <c r="G4138" s="81"/>
      <c r="H4138" s="78"/>
      <c r="I4138" s="78"/>
      <c r="J4138" s="78"/>
    </row>
    <row r="4139" spans="1:10" x14ac:dyDescent="0.2">
      <c r="A4139" s="84">
        <f t="shared" si="133"/>
        <v>4133</v>
      </c>
      <c r="B4139" s="85" t="e">
        <f>+MATCH(D4139,ARTICULOS!$F$10:$F$699,0)</f>
        <v>#N/A</v>
      </c>
      <c r="C4139" s="86" t="e">
        <f>+VLOOKUP(B4139,ARTICULOS!$D$10:$I$699,6)</f>
        <v>#N/A</v>
      </c>
      <c r="D4139" s="212"/>
      <c r="E4139" s="75" t="e">
        <f t="shared" si="132"/>
        <v>#N/A</v>
      </c>
      <c r="F4139" s="80"/>
      <c r="G4139" s="81"/>
      <c r="H4139" s="78"/>
      <c r="I4139" s="78"/>
      <c r="J4139" s="78"/>
    </row>
    <row r="4140" spans="1:10" x14ac:dyDescent="0.2">
      <c r="A4140" s="84">
        <f t="shared" si="133"/>
        <v>4134</v>
      </c>
      <c r="B4140" s="85" t="e">
        <f>+MATCH(D4140,ARTICULOS!$F$10:$F$699,0)</f>
        <v>#N/A</v>
      </c>
      <c r="C4140" s="86" t="e">
        <f>+VLOOKUP(B4140,ARTICULOS!$D$10:$I$699,6)</f>
        <v>#N/A</v>
      </c>
      <c r="D4140" s="212"/>
      <c r="E4140" s="75" t="e">
        <f t="shared" si="132"/>
        <v>#N/A</v>
      </c>
      <c r="F4140" s="80"/>
      <c r="G4140" s="81"/>
      <c r="H4140" s="78"/>
      <c r="I4140" s="78"/>
      <c r="J4140" s="78"/>
    </row>
    <row r="4141" spans="1:10" x14ac:dyDescent="0.2">
      <c r="A4141" s="84">
        <f t="shared" si="133"/>
        <v>4135</v>
      </c>
      <c r="B4141" s="85" t="e">
        <f>+MATCH(D4141,ARTICULOS!$F$10:$F$699,0)</f>
        <v>#N/A</v>
      </c>
      <c r="C4141" s="86" t="e">
        <f>+VLOOKUP(B4141,ARTICULOS!$D$10:$I$699,6)</f>
        <v>#N/A</v>
      </c>
      <c r="D4141" s="212"/>
      <c r="E4141" s="75" t="e">
        <f t="shared" si="132"/>
        <v>#N/A</v>
      </c>
      <c r="F4141" s="80"/>
      <c r="G4141" s="81"/>
      <c r="H4141" s="78"/>
      <c r="I4141" s="78"/>
      <c r="J4141" s="78"/>
    </row>
    <row r="4142" spans="1:10" x14ac:dyDescent="0.2">
      <c r="A4142" s="84">
        <f t="shared" si="133"/>
        <v>4136</v>
      </c>
      <c r="B4142" s="85" t="e">
        <f>+MATCH(D4142,ARTICULOS!$F$10:$F$699,0)</f>
        <v>#N/A</v>
      </c>
      <c r="C4142" s="86" t="e">
        <f>+VLOOKUP(B4142,ARTICULOS!$D$10:$I$699,6)</f>
        <v>#N/A</v>
      </c>
      <c r="D4142" s="212"/>
      <c r="E4142" s="75" t="e">
        <f t="shared" si="132"/>
        <v>#N/A</v>
      </c>
      <c r="F4142" s="80"/>
      <c r="G4142" s="81"/>
      <c r="H4142" s="78"/>
      <c r="I4142" s="78"/>
      <c r="J4142" s="78"/>
    </row>
    <row r="4143" spans="1:10" x14ac:dyDescent="0.2">
      <c r="A4143" s="84">
        <f t="shared" si="133"/>
        <v>4137</v>
      </c>
      <c r="B4143" s="85" t="e">
        <f>+MATCH(D4143,ARTICULOS!$F$10:$F$699,0)</f>
        <v>#N/A</v>
      </c>
      <c r="C4143" s="86" t="e">
        <f>+VLOOKUP(B4143,ARTICULOS!$D$10:$I$699,6)</f>
        <v>#N/A</v>
      </c>
      <c r="D4143" s="212"/>
      <c r="E4143" s="75" t="e">
        <f t="shared" si="132"/>
        <v>#N/A</v>
      </c>
      <c r="F4143" s="80"/>
      <c r="G4143" s="81"/>
      <c r="H4143" s="78"/>
      <c r="I4143" s="78"/>
      <c r="J4143" s="78"/>
    </row>
    <row r="4144" spans="1:10" x14ac:dyDescent="0.2">
      <c r="A4144" s="84">
        <f t="shared" si="133"/>
        <v>4138</v>
      </c>
      <c r="B4144" s="85" t="e">
        <f>+MATCH(D4144,ARTICULOS!$F$10:$F$699,0)</f>
        <v>#N/A</v>
      </c>
      <c r="C4144" s="86" t="e">
        <f>+VLOOKUP(B4144,ARTICULOS!$D$10:$I$699,6)</f>
        <v>#N/A</v>
      </c>
      <c r="D4144" s="212"/>
      <c r="E4144" s="75" t="e">
        <f t="shared" si="132"/>
        <v>#N/A</v>
      </c>
      <c r="F4144" s="80"/>
      <c r="G4144" s="81"/>
      <c r="H4144" s="78"/>
      <c r="I4144" s="78"/>
      <c r="J4144" s="78"/>
    </row>
    <row r="4145" spans="1:10" x14ac:dyDescent="0.2">
      <c r="A4145" s="84">
        <f t="shared" si="133"/>
        <v>4139</v>
      </c>
      <c r="B4145" s="85" t="e">
        <f>+MATCH(D4145,ARTICULOS!$F$10:$F$699,0)</f>
        <v>#N/A</v>
      </c>
      <c r="C4145" s="86" t="e">
        <f>+VLOOKUP(B4145,ARTICULOS!$D$10:$I$699,6)</f>
        <v>#N/A</v>
      </c>
      <c r="D4145" s="212"/>
      <c r="E4145" s="75" t="e">
        <f t="shared" si="132"/>
        <v>#N/A</v>
      </c>
      <c r="F4145" s="80"/>
      <c r="G4145" s="81"/>
      <c r="H4145" s="78"/>
      <c r="I4145" s="78"/>
      <c r="J4145" s="78"/>
    </row>
    <row r="4146" spans="1:10" x14ac:dyDescent="0.2">
      <c r="A4146" s="84">
        <f t="shared" si="133"/>
        <v>4140</v>
      </c>
      <c r="B4146" s="85" t="e">
        <f>+MATCH(D4146,ARTICULOS!$F$10:$F$699,0)</f>
        <v>#N/A</v>
      </c>
      <c r="C4146" s="86" t="e">
        <f>+VLOOKUP(B4146,ARTICULOS!$D$10:$I$699,6)</f>
        <v>#N/A</v>
      </c>
      <c r="D4146" s="212"/>
      <c r="E4146" s="75" t="e">
        <f t="shared" si="132"/>
        <v>#N/A</v>
      </c>
      <c r="F4146" s="80"/>
      <c r="G4146" s="81"/>
      <c r="H4146" s="78"/>
      <c r="I4146" s="78"/>
      <c r="J4146" s="78"/>
    </row>
    <row r="4147" spans="1:10" x14ac:dyDescent="0.2">
      <c r="A4147" s="84">
        <f t="shared" si="133"/>
        <v>4141</v>
      </c>
      <c r="B4147" s="85" t="e">
        <f>+MATCH(D4147,ARTICULOS!$F$10:$F$699,0)</f>
        <v>#N/A</v>
      </c>
      <c r="C4147" s="86" t="e">
        <f>+VLOOKUP(B4147,ARTICULOS!$D$10:$I$699,6)</f>
        <v>#N/A</v>
      </c>
      <c r="D4147" s="212"/>
      <c r="E4147" s="75" t="e">
        <f t="shared" si="132"/>
        <v>#N/A</v>
      </c>
      <c r="F4147" s="80"/>
      <c r="G4147" s="81"/>
      <c r="H4147" s="78"/>
      <c r="I4147" s="78"/>
      <c r="J4147" s="78"/>
    </row>
    <row r="4148" spans="1:10" x14ac:dyDescent="0.2">
      <c r="A4148" s="84">
        <f t="shared" si="133"/>
        <v>4142</v>
      </c>
      <c r="B4148" s="85" t="e">
        <f>+MATCH(D4148,ARTICULOS!$F$10:$F$699,0)</f>
        <v>#N/A</v>
      </c>
      <c r="C4148" s="86" t="e">
        <f>+VLOOKUP(B4148,ARTICULOS!$D$10:$I$699,6)</f>
        <v>#N/A</v>
      </c>
      <c r="D4148" s="212"/>
      <c r="E4148" s="75" t="e">
        <f t="shared" si="132"/>
        <v>#N/A</v>
      </c>
      <c r="F4148" s="80"/>
      <c r="G4148" s="81"/>
      <c r="H4148" s="78"/>
      <c r="I4148" s="78"/>
      <c r="J4148" s="78"/>
    </row>
    <row r="4149" spans="1:10" x14ac:dyDescent="0.2">
      <c r="A4149" s="84">
        <f t="shared" si="133"/>
        <v>4143</v>
      </c>
      <c r="B4149" s="85" t="e">
        <f>+MATCH(D4149,ARTICULOS!$F$10:$F$699,0)</f>
        <v>#N/A</v>
      </c>
      <c r="C4149" s="86" t="e">
        <f>+VLOOKUP(B4149,ARTICULOS!$D$10:$I$699,6)</f>
        <v>#N/A</v>
      </c>
      <c r="D4149" s="212"/>
      <c r="E4149" s="75" t="e">
        <f t="shared" si="132"/>
        <v>#N/A</v>
      </c>
      <c r="F4149" s="80"/>
      <c r="G4149" s="81"/>
      <c r="H4149" s="78"/>
      <c r="I4149" s="78"/>
      <c r="J4149" s="78"/>
    </row>
    <row r="4150" spans="1:10" x14ac:dyDescent="0.2">
      <c r="A4150" s="84">
        <f t="shared" si="133"/>
        <v>4144</v>
      </c>
      <c r="B4150" s="85" t="e">
        <f>+MATCH(D4150,ARTICULOS!$F$10:$F$699,0)</f>
        <v>#N/A</v>
      </c>
      <c r="C4150" s="86" t="e">
        <f>+VLOOKUP(B4150,ARTICULOS!$D$10:$I$699,6)</f>
        <v>#N/A</v>
      </c>
      <c r="D4150" s="212"/>
      <c r="E4150" s="75" t="e">
        <f t="shared" si="132"/>
        <v>#N/A</v>
      </c>
      <c r="F4150" s="80"/>
      <c r="G4150" s="81"/>
      <c r="H4150" s="78"/>
      <c r="I4150" s="78"/>
      <c r="J4150" s="78"/>
    </row>
    <row r="4151" spans="1:10" x14ac:dyDescent="0.2">
      <c r="A4151" s="84">
        <f t="shared" si="133"/>
        <v>4145</v>
      </c>
      <c r="B4151" s="85" t="e">
        <f>+MATCH(D4151,ARTICULOS!$F$10:$F$699,0)</f>
        <v>#N/A</v>
      </c>
      <c r="C4151" s="86" t="e">
        <f>+VLOOKUP(B4151,ARTICULOS!$D$10:$I$699,6)</f>
        <v>#N/A</v>
      </c>
      <c r="D4151" s="212"/>
      <c r="E4151" s="75" t="e">
        <f t="shared" si="132"/>
        <v>#N/A</v>
      </c>
      <c r="F4151" s="80"/>
      <c r="G4151" s="81"/>
      <c r="H4151" s="78"/>
      <c r="I4151" s="78"/>
      <c r="J4151" s="78"/>
    </row>
    <row r="4152" spans="1:10" x14ac:dyDescent="0.2">
      <c r="A4152" s="84">
        <f t="shared" si="133"/>
        <v>4146</v>
      </c>
      <c r="B4152" s="85" t="e">
        <f>+MATCH(D4152,ARTICULOS!$F$10:$F$699,0)</f>
        <v>#N/A</v>
      </c>
      <c r="C4152" s="86" t="e">
        <f>+VLOOKUP(B4152,ARTICULOS!$D$10:$I$699,6)</f>
        <v>#N/A</v>
      </c>
      <c r="D4152" s="212"/>
      <c r="E4152" s="75" t="e">
        <f t="shared" si="132"/>
        <v>#N/A</v>
      </c>
      <c r="F4152" s="80"/>
      <c r="G4152" s="81"/>
      <c r="H4152" s="78"/>
      <c r="I4152" s="78"/>
      <c r="J4152" s="78"/>
    </row>
    <row r="4153" spans="1:10" x14ac:dyDescent="0.2">
      <c r="A4153" s="84">
        <f t="shared" si="133"/>
        <v>4147</v>
      </c>
      <c r="B4153" s="85" t="e">
        <f>+MATCH(D4153,ARTICULOS!$F$10:$F$699,0)</f>
        <v>#N/A</v>
      </c>
      <c r="C4153" s="86" t="e">
        <f>+VLOOKUP(B4153,ARTICULOS!$D$10:$I$699,6)</f>
        <v>#N/A</v>
      </c>
      <c r="D4153" s="212"/>
      <c r="E4153" s="75" t="e">
        <f t="shared" si="132"/>
        <v>#N/A</v>
      </c>
      <c r="F4153" s="80"/>
      <c r="G4153" s="81"/>
      <c r="H4153" s="78"/>
      <c r="I4153" s="78"/>
      <c r="J4153" s="78"/>
    </row>
    <row r="4154" spans="1:10" x14ac:dyDescent="0.2">
      <c r="A4154" s="84">
        <f t="shared" si="133"/>
        <v>4148</v>
      </c>
      <c r="B4154" s="85" t="e">
        <f>+MATCH(D4154,ARTICULOS!$F$10:$F$699,0)</f>
        <v>#N/A</v>
      </c>
      <c r="C4154" s="86" t="e">
        <f>+VLOOKUP(B4154,ARTICULOS!$D$10:$I$699,6)</f>
        <v>#N/A</v>
      </c>
      <c r="D4154" s="212"/>
      <c r="E4154" s="75" t="e">
        <f t="shared" si="132"/>
        <v>#N/A</v>
      </c>
      <c r="F4154" s="80"/>
      <c r="G4154" s="81"/>
      <c r="H4154" s="78"/>
      <c r="I4154" s="78"/>
      <c r="J4154" s="78"/>
    </row>
    <row r="4155" spans="1:10" x14ac:dyDescent="0.2">
      <c r="A4155" s="84">
        <f t="shared" si="133"/>
        <v>4149</v>
      </c>
      <c r="B4155" s="85" t="e">
        <f>+MATCH(D4155,ARTICULOS!$F$10:$F$699,0)</f>
        <v>#N/A</v>
      </c>
      <c r="C4155" s="86" t="e">
        <f>+VLOOKUP(B4155,ARTICULOS!$D$10:$I$699,6)</f>
        <v>#N/A</v>
      </c>
      <c r="D4155" s="212"/>
      <c r="E4155" s="75" t="e">
        <f t="shared" si="132"/>
        <v>#N/A</v>
      </c>
      <c r="F4155" s="80"/>
      <c r="G4155" s="81"/>
      <c r="H4155" s="78"/>
      <c r="I4155" s="78"/>
      <c r="J4155" s="78"/>
    </row>
    <row r="4156" spans="1:10" x14ac:dyDescent="0.2">
      <c r="A4156" s="84">
        <f t="shared" si="133"/>
        <v>4150</v>
      </c>
      <c r="B4156" s="85" t="e">
        <f>+MATCH(D4156,ARTICULOS!$F$10:$F$699,0)</f>
        <v>#N/A</v>
      </c>
      <c r="C4156" s="86" t="e">
        <f>+VLOOKUP(B4156,ARTICULOS!$D$10:$I$699,6)</f>
        <v>#N/A</v>
      </c>
      <c r="D4156" s="212"/>
      <c r="E4156" s="75" t="e">
        <f t="shared" si="132"/>
        <v>#N/A</v>
      </c>
      <c r="F4156" s="80"/>
      <c r="G4156" s="81"/>
      <c r="H4156" s="78"/>
      <c r="I4156" s="78"/>
      <c r="J4156" s="78"/>
    </row>
    <row r="4157" spans="1:10" x14ac:dyDescent="0.2">
      <c r="A4157" s="84">
        <f t="shared" si="133"/>
        <v>4151</v>
      </c>
      <c r="B4157" s="85" t="e">
        <f>+MATCH(D4157,ARTICULOS!$F$10:$F$699,0)</f>
        <v>#N/A</v>
      </c>
      <c r="C4157" s="86" t="e">
        <f>+VLOOKUP(B4157,ARTICULOS!$D$10:$I$699,6)</f>
        <v>#N/A</v>
      </c>
      <c r="D4157" s="212"/>
      <c r="E4157" s="75" t="e">
        <f t="shared" si="132"/>
        <v>#N/A</v>
      </c>
      <c r="F4157" s="80"/>
      <c r="G4157" s="81"/>
      <c r="H4157" s="78"/>
      <c r="I4157" s="78"/>
      <c r="J4157" s="78"/>
    </row>
    <row r="4158" spans="1:10" x14ac:dyDescent="0.2">
      <c r="A4158" s="84">
        <f t="shared" si="133"/>
        <v>4152</v>
      </c>
      <c r="B4158" s="85" t="e">
        <f>+MATCH(D4158,ARTICULOS!$F$10:$F$699,0)</f>
        <v>#N/A</v>
      </c>
      <c r="C4158" s="86" t="e">
        <f>+VLOOKUP(B4158,ARTICULOS!$D$10:$I$699,6)</f>
        <v>#N/A</v>
      </c>
      <c r="D4158" s="212"/>
      <c r="E4158" s="75" t="e">
        <f t="shared" si="132"/>
        <v>#N/A</v>
      </c>
      <c r="F4158" s="80"/>
      <c r="G4158" s="81"/>
      <c r="H4158" s="78"/>
      <c r="I4158" s="78"/>
      <c r="J4158" s="78"/>
    </row>
    <row r="4159" spans="1:10" x14ac:dyDescent="0.2">
      <c r="A4159" s="84">
        <f t="shared" si="133"/>
        <v>4153</v>
      </c>
      <c r="B4159" s="85" t="e">
        <f>+MATCH(D4159,ARTICULOS!$F$10:$F$699,0)</f>
        <v>#N/A</v>
      </c>
      <c r="C4159" s="86" t="e">
        <f>+VLOOKUP(B4159,ARTICULOS!$D$10:$I$699,6)</f>
        <v>#N/A</v>
      </c>
      <c r="D4159" s="212"/>
      <c r="E4159" s="75" t="e">
        <f t="shared" si="132"/>
        <v>#N/A</v>
      </c>
      <c r="F4159" s="80"/>
      <c r="G4159" s="81"/>
      <c r="H4159" s="78"/>
      <c r="I4159" s="78"/>
      <c r="J4159" s="78"/>
    </row>
    <row r="4160" spans="1:10" x14ac:dyDescent="0.2">
      <c r="A4160" s="84">
        <f t="shared" si="133"/>
        <v>4154</v>
      </c>
      <c r="B4160" s="85" t="e">
        <f>+MATCH(D4160,ARTICULOS!$F$10:$F$699,0)</f>
        <v>#N/A</v>
      </c>
      <c r="C4160" s="86" t="e">
        <f>+VLOOKUP(B4160,ARTICULOS!$D$10:$I$699,6)</f>
        <v>#N/A</v>
      </c>
      <c r="D4160" s="212"/>
      <c r="E4160" s="75" t="e">
        <f t="shared" si="132"/>
        <v>#N/A</v>
      </c>
      <c r="F4160" s="80"/>
      <c r="G4160" s="81"/>
      <c r="H4160" s="78"/>
      <c r="I4160" s="78"/>
      <c r="J4160" s="78"/>
    </row>
    <row r="4161" spans="1:10" x14ac:dyDescent="0.2">
      <c r="A4161" s="84">
        <f t="shared" si="133"/>
        <v>4155</v>
      </c>
      <c r="B4161" s="85" t="e">
        <f>+MATCH(D4161,ARTICULOS!$F$10:$F$699,0)</f>
        <v>#N/A</v>
      </c>
      <c r="C4161" s="86" t="e">
        <f>+VLOOKUP(B4161,ARTICULOS!$D$10:$I$699,6)</f>
        <v>#N/A</v>
      </c>
      <c r="D4161" s="212"/>
      <c r="E4161" s="75" t="e">
        <f t="shared" si="132"/>
        <v>#N/A</v>
      </c>
      <c r="F4161" s="80"/>
      <c r="G4161" s="81"/>
      <c r="H4161" s="78"/>
      <c r="I4161" s="78"/>
      <c r="J4161" s="78"/>
    </row>
    <row r="4162" spans="1:10" x14ac:dyDescent="0.2">
      <c r="A4162" s="84">
        <f t="shared" si="133"/>
        <v>4156</v>
      </c>
      <c r="B4162" s="85" t="e">
        <f>+MATCH(D4162,ARTICULOS!$F$10:$F$699,0)</f>
        <v>#N/A</v>
      </c>
      <c r="C4162" s="86" t="e">
        <f>+VLOOKUP(B4162,ARTICULOS!$D$10:$I$699,6)</f>
        <v>#N/A</v>
      </c>
      <c r="D4162" s="212"/>
      <c r="E4162" s="75" t="e">
        <f t="shared" si="132"/>
        <v>#N/A</v>
      </c>
      <c r="F4162" s="80"/>
      <c r="G4162" s="81"/>
      <c r="H4162" s="78"/>
      <c r="I4162" s="78"/>
      <c r="J4162" s="78"/>
    </row>
    <row r="4163" spans="1:10" x14ac:dyDescent="0.2">
      <c r="A4163" s="84">
        <f t="shared" si="133"/>
        <v>4157</v>
      </c>
      <c r="B4163" s="85" t="e">
        <f>+MATCH(D4163,ARTICULOS!$F$10:$F$699,0)</f>
        <v>#N/A</v>
      </c>
      <c r="C4163" s="86" t="e">
        <f>+VLOOKUP(B4163,ARTICULOS!$D$10:$I$699,6)</f>
        <v>#N/A</v>
      </c>
      <c r="D4163" s="212"/>
      <c r="E4163" s="75" t="e">
        <f t="shared" si="132"/>
        <v>#N/A</v>
      </c>
      <c r="F4163" s="80"/>
      <c r="G4163" s="81"/>
      <c r="H4163" s="78"/>
      <c r="I4163" s="78"/>
      <c r="J4163" s="78"/>
    </row>
    <row r="4164" spans="1:10" x14ac:dyDescent="0.2">
      <c r="A4164" s="84">
        <f t="shared" si="133"/>
        <v>4158</v>
      </c>
      <c r="B4164" s="85" t="e">
        <f>+MATCH(D4164,ARTICULOS!$F$10:$F$699,0)</f>
        <v>#N/A</v>
      </c>
      <c r="C4164" s="86" t="e">
        <f>+VLOOKUP(B4164,ARTICULOS!$D$10:$I$699,6)</f>
        <v>#N/A</v>
      </c>
      <c r="D4164" s="212"/>
      <c r="E4164" s="75" t="e">
        <f t="shared" si="132"/>
        <v>#N/A</v>
      </c>
      <c r="F4164" s="80"/>
      <c r="G4164" s="81"/>
      <c r="H4164" s="78"/>
      <c r="I4164" s="78"/>
      <c r="J4164" s="78"/>
    </row>
    <row r="4165" spans="1:10" x14ac:dyDescent="0.2">
      <c r="A4165" s="84">
        <f t="shared" si="133"/>
        <v>4159</v>
      </c>
      <c r="B4165" s="85" t="e">
        <f>+MATCH(D4165,ARTICULOS!$F$10:$F$699,0)</f>
        <v>#N/A</v>
      </c>
      <c r="C4165" s="86" t="e">
        <f>+VLOOKUP(B4165,ARTICULOS!$D$10:$I$699,6)</f>
        <v>#N/A</v>
      </c>
      <c r="D4165" s="212"/>
      <c r="E4165" s="75" t="e">
        <f t="shared" si="132"/>
        <v>#N/A</v>
      </c>
      <c r="F4165" s="80"/>
      <c r="G4165" s="81"/>
      <c r="H4165" s="78"/>
      <c r="I4165" s="78"/>
      <c r="J4165" s="78"/>
    </row>
    <row r="4166" spans="1:10" x14ac:dyDescent="0.2">
      <c r="A4166" s="84">
        <f t="shared" si="133"/>
        <v>4160</v>
      </c>
      <c r="B4166" s="85" t="e">
        <f>+MATCH(D4166,ARTICULOS!$F$10:$F$699,0)</f>
        <v>#N/A</v>
      </c>
      <c r="C4166" s="86" t="e">
        <f>+VLOOKUP(B4166,ARTICULOS!$D$10:$I$699,6)</f>
        <v>#N/A</v>
      </c>
      <c r="D4166" s="212"/>
      <c r="E4166" s="75" t="e">
        <f t="shared" si="132"/>
        <v>#N/A</v>
      </c>
      <c r="F4166" s="80"/>
      <c r="G4166" s="81"/>
      <c r="H4166" s="78"/>
      <c r="I4166" s="78"/>
      <c r="J4166" s="78"/>
    </row>
    <row r="4167" spans="1:10" x14ac:dyDescent="0.2">
      <c r="A4167" s="84">
        <f t="shared" si="133"/>
        <v>4161</v>
      </c>
      <c r="B4167" s="85" t="e">
        <f>+MATCH(D4167,ARTICULOS!$F$10:$F$699,0)</f>
        <v>#N/A</v>
      </c>
      <c r="C4167" s="86" t="e">
        <f>+VLOOKUP(B4167,ARTICULOS!$D$10:$I$699,6)</f>
        <v>#N/A</v>
      </c>
      <c r="D4167" s="212"/>
      <c r="E4167" s="75" t="e">
        <f t="shared" si="132"/>
        <v>#N/A</v>
      </c>
      <c r="F4167" s="80"/>
      <c r="G4167" s="81"/>
      <c r="H4167" s="78"/>
      <c r="I4167" s="78"/>
      <c r="J4167" s="78"/>
    </row>
    <row r="4168" spans="1:10" x14ac:dyDescent="0.2">
      <c r="A4168" s="84">
        <f t="shared" si="133"/>
        <v>4162</v>
      </c>
      <c r="B4168" s="85" t="e">
        <f>+MATCH(D4168,ARTICULOS!$F$10:$F$699,0)</f>
        <v>#N/A</v>
      </c>
      <c r="C4168" s="86" t="e">
        <f>+VLOOKUP(B4168,ARTICULOS!$D$10:$I$699,6)</f>
        <v>#N/A</v>
      </c>
      <c r="D4168" s="212"/>
      <c r="E4168" s="75" t="e">
        <f t="shared" si="132"/>
        <v>#N/A</v>
      </c>
      <c r="F4168" s="80"/>
      <c r="G4168" s="81"/>
      <c r="H4168" s="78"/>
      <c r="I4168" s="78"/>
      <c r="J4168" s="78"/>
    </row>
    <row r="4169" spans="1:10" x14ac:dyDescent="0.2">
      <c r="A4169" s="84">
        <f t="shared" si="133"/>
        <v>4163</v>
      </c>
      <c r="B4169" s="85" t="e">
        <f>+MATCH(D4169,ARTICULOS!$F$10:$F$699,0)</f>
        <v>#N/A</v>
      </c>
      <c r="C4169" s="86" t="e">
        <f>+VLOOKUP(B4169,ARTICULOS!$D$10:$I$699,6)</f>
        <v>#N/A</v>
      </c>
      <c r="D4169" s="212"/>
      <c r="E4169" s="75" t="e">
        <f t="shared" si="132"/>
        <v>#N/A</v>
      </c>
      <c r="F4169" s="80"/>
      <c r="G4169" s="81"/>
      <c r="H4169" s="78"/>
      <c r="I4169" s="78"/>
      <c r="J4169" s="78"/>
    </row>
    <row r="4170" spans="1:10" x14ac:dyDescent="0.2">
      <c r="A4170" s="84">
        <f t="shared" si="133"/>
        <v>4164</v>
      </c>
      <c r="B4170" s="85" t="e">
        <f>+MATCH(D4170,ARTICULOS!$F$10:$F$699,0)</f>
        <v>#N/A</v>
      </c>
      <c r="C4170" s="86" t="e">
        <f>+VLOOKUP(B4170,ARTICULOS!$D$10:$I$699,6)</f>
        <v>#N/A</v>
      </c>
      <c r="D4170" s="212"/>
      <c r="E4170" s="75" t="e">
        <f t="shared" si="132"/>
        <v>#N/A</v>
      </c>
      <c r="F4170" s="80"/>
      <c r="G4170" s="81"/>
      <c r="H4170" s="78"/>
      <c r="I4170" s="78"/>
      <c r="J4170" s="78"/>
    </row>
    <row r="4171" spans="1:10" x14ac:dyDescent="0.2">
      <c r="A4171" s="84">
        <f t="shared" si="133"/>
        <v>4165</v>
      </c>
      <c r="B4171" s="85" t="e">
        <f>+MATCH(D4171,ARTICULOS!$F$10:$F$699,0)</f>
        <v>#N/A</v>
      </c>
      <c r="C4171" s="86" t="e">
        <f>+VLOOKUP(B4171,ARTICULOS!$D$10:$I$699,6)</f>
        <v>#N/A</v>
      </c>
      <c r="D4171" s="212"/>
      <c r="E4171" s="75" t="e">
        <f t="shared" ref="E4171:E4234" si="134">+C4171&amp;F4171</f>
        <v>#N/A</v>
      </c>
      <c r="F4171" s="80"/>
      <c r="G4171" s="81"/>
      <c r="H4171" s="78"/>
      <c r="I4171" s="78"/>
      <c r="J4171" s="78"/>
    </row>
    <row r="4172" spans="1:10" x14ac:dyDescent="0.2">
      <c r="A4172" s="84">
        <f t="shared" si="133"/>
        <v>4166</v>
      </c>
      <c r="B4172" s="85" t="e">
        <f>+MATCH(D4172,ARTICULOS!$F$10:$F$699,0)</f>
        <v>#N/A</v>
      </c>
      <c r="C4172" s="86" t="e">
        <f>+VLOOKUP(B4172,ARTICULOS!$D$10:$I$699,6)</f>
        <v>#N/A</v>
      </c>
      <c r="D4172" s="212"/>
      <c r="E4172" s="75" t="e">
        <f t="shared" si="134"/>
        <v>#N/A</v>
      </c>
      <c r="F4172" s="80"/>
      <c r="G4172" s="81"/>
      <c r="H4172" s="78"/>
      <c r="I4172" s="78"/>
      <c r="J4172" s="78"/>
    </row>
    <row r="4173" spans="1:10" x14ac:dyDescent="0.2">
      <c r="A4173" s="84">
        <f t="shared" si="133"/>
        <v>4167</v>
      </c>
      <c r="B4173" s="85" t="e">
        <f>+MATCH(D4173,ARTICULOS!$F$10:$F$699,0)</f>
        <v>#N/A</v>
      </c>
      <c r="C4173" s="86" t="e">
        <f>+VLOOKUP(B4173,ARTICULOS!$D$10:$I$699,6)</f>
        <v>#N/A</v>
      </c>
      <c r="D4173" s="212"/>
      <c r="E4173" s="75" t="e">
        <f t="shared" si="134"/>
        <v>#N/A</v>
      </c>
      <c r="F4173" s="80"/>
      <c r="G4173" s="81"/>
      <c r="H4173" s="78"/>
      <c r="I4173" s="78"/>
      <c r="J4173" s="78"/>
    </row>
    <row r="4174" spans="1:10" x14ac:dyDescent="0.2">
      <c r="A4174" s="84">
        <f t="shared" si="133"/>
        <v>4168</v>
      </c>
      <c r="B4174" s="85" t="e">
        <f>+MATCH(D4174,ARTICULOS!$F$10:$F$699,0)</f>
        <v>#N/A</v>
      </c>
      <c r="C4174" s="86" t="e">
        <f>+VLOOKUP(B4174,ARTICULOS!$D$10:$I$699,6)</f>
        <v>#N/A</v>
      </c>
      <c r="D4174" s="212"/>
      <c r="E4174" s="75" t="e">
        <f t="shared" si="134"/>
        <v>#N/A</v>
      </c>
      <c r="F4174" s="80"/>
      <c r="G4174" s="81"/>
      <c r="H4174" s="78"/>
      <c r="I4174" s="78"/>
      <c r="J4174" s="78"/>
    </row>
    <row r="4175" spans="1:10" x14ac:dyDescent="0.2">
      <c r="A4175" s="84">
        <f t="shared" si="133"/>
        <v>4169</v>
      </c>
      <c r="B4175" s="85" t="e">
        <f>+MATCH(D4175,ARTICULOS!$F$10:$F$699,0)</f>
        <v>#N/A</v>
      </c>
      <c r="C4175" s="86" t="e">
        <f>+VLOOKUP(B4175,ARTICULOS!$D$10:$I$699,6)</f>
        <v>#N/A</v>
      </c>
      <c r="D4175" s="212"/>
      <c r="E4175" s="75" t="e">
        <f t="shared" si="134"/>
        <v>#N/A</v>
      </c>
      <c r="F4175" s="80"/>
      <c r="G4175" s="81"/>
      <c r="H4175" s="78"/>
      <c r="I4175" s="78"/>
      <c r="J4175" s="78"/>
    </row>
    <row r="4176" spans="1:10" x14ac:dyDescent="0.2">
      <c r="A4176" s="84">
        <f t="shared" si="133"/>
        <v>4170</v>
      </c>
      <c r="B4176" s="85" t="e">
        <f>+MATCH(D4176,ARTICULOS!$F$10:$F$699,0)</f>
        <v>#N/A</v>
      </c>
      <c r="C4176" s="86" t="e">
        <f>+VLOOKUP(B4176,ARTICULOS!$D$10:$I$699,6)</f>
        <v>#N/A</v>
      </c>
      <c r="D4176" s="212"/>
      <c r="E4176" s="75" t="e">
        <f t="shared" si="134"/>
        <v>#N/A</v>
      </c>
      <c r="F4176" s="80"/>
      <c r="G4176" s="81"/>
      <c r="H4176" s="78"/>
      <c r="I4176" s="78"/>
      <c r="J4176" s="78"/>
    </row>
    <row r="4177" spans="1:10" x14ac:dyDescent="0.2">
      <c r="A4177" s="84">
        <f t="shared" si="133"/>
        <v>4171</v>
      </c>
      <c r="B4177" s="85" t="e">
        <f>+MATCH(D4177,ARTICULOS!$F$10:$F$699,0)</f>
        <v>#N/A</v>
      </c>
      <c r="C4177" s="86" t="e">
        <f>+VLOOKUP(B4177,ARTICULOS!$D$10:$I$699,6)</f>
        <v>#N/A</v>
      </c>
      <c r="D4177" s="212"/>
      <c r="E4177" s="75" t="e">
        <f t="shared" si="134"/>
        <v>#N/A</v>
      </c>
      <c r="F4177" s="80"/>
      <c r="G4177" s="81"/>
      <c r="H4177" s="78"/>
      <c r="I4177" s="78"/>
      <c r="J4177" s="78"/>
    </row>
    <row r="4178" spans="1:10" x14ac:dyDescent="0.2">
      <c r="A4178" s="84">
        <f t="shared" si="133"/>
        <v>4172</v>
      </c>
      <c r="B4178" s="85" t="e">
        <f>+MATCH(D4178,ARTICULOS!$F$10:$F$699,0)</f>
        <v>#N/A</v>
      </c>
      <c r="C4178" s="86" t="e">
        <f>+VLOOKUP(B4178,ARTICULOS!$D$10:$I$699,6)</f>
        <v>#N/A</v>
      </c>
      <c r="D4178" s="212"/>
      <c r="E4178" s="75" t="e">
        <f t="shared" si="134"/>
        <v>#N/A</v>
      </c>
      <c r="F4178" s="80"/>
      <c r="G4178" s="81"/>
      <c r="H4178" s="78"/>
      <c r="I4178" s="78"/>
      <c r="J4178" s="78"/>
    </row>
    <row r="4179" spans="1:10" x14ac:dyDescent="0.2">
      <c r="A4179" s="84">
        <f t="shared" si="133"/>
        <v>4173</v>
      </c>
      <c r="B4179" s="85" t="e">
        <f>+MATCH(D4179,ARTICULOS!$F$10:$F$699,0)</f>
        <v>#N/A</v>
      </c>
      <c r="C4179" s="86" t="e">
        <f>+VLOOKUP(B4179,ARTICULOS!$D$10:$I$699,6)</f>
        <v>#N/A</v>
      </c>
      <c r="D4179" s="212"/>
      <c r="E4179" s="75" t="e">
        <f t="shared" si="134"/>
        <v>#N/A</v>
      </c>
      <c r="F4179" s="80"/>
      <c r="G4179" s="81"/>
      <c r="H4179" s="78"/>
      <c r="I4179" s="78"/>
      <c r="J4179" s="78"/>
    </row>
    <row r="4180" spans="1:10" x14ac:dyDescent="0.2">
      <c r="A4180" s="84">
        <f t="shared" si="133"/>
        <v>4174</v>
      </c>
      <c r="B4180" s="85" t="e">
        <f>+MATCH(D4180,ARTICULOS!$F$10:$F$699,0)</f>
        <v>#N/A</v>
      </c>
      <c r="C4180" s="86" t="e">
        <f>+VLOOKUP(B4180,ARTICULOS!$D$10:$I$699,6)</f>
        <v>#N/A</v>
      </c>
      <c r="D4180" s="212"/>
      <c r="E4180" s="75" t="e">
        <f t="shared" si="134"/>
        <v>#N/A</v>
      </c>
      <c r="F4180" s="80"/>
      <c r="G4180" s="81"/>
      <c r="H4180" s="78"/>
      <c r="I4180" s="78"/>
      <c r="J4180" s="78"/>
    </row>
    <row r="4181" spans="1:10" x14ac:dyDescent="0.2">
      <c r="A4181" s="84">
        <f t="shared" si="133"/>
        <v>4175</v>
      </c>
      <c r="B4181" s="85" t="e">
        <f>+MATCH(D4181,ARTICULOS!$F$10:$F$699,0)</f>
        <v>#N/A</v>
      </c>
      <c r="C4181" s="86" t="e">
        <f>+VLOOKUP(B4181,ARTICULOS!$D$10:$I$699,6)</f>
        <v>#N/A</v>
      </c>
      <c r="D4181" s="212"/>
      <c r="E4181" s="75" t="e">
        <f t="shared" si="134"/>
        <v>#N/A</v>
      </c>
      <c r="F4181" s="80"/>
      <c r="G4181" s="81"/>
      <c r="H4181" s="78"/>
      <c r="I4181" s="78"/>
      <c r="J4181" s="78"/>
    </row>
    <row r="4182" spans="1:10" x14ac:dyDescent="0.2">
      <c r="A4182" s="84">
        <f t="shared" si="133"/>
        <v>4176</v>
      </c>
      <c r="B4182" s="85" t="e">
        <f>+MATCH(D4182,ARTICULOS!$F$10:$F$699,0)</f>
        <v>#N/A</v>
      </c>
      <c r="C4182" s="86" t="e">
        <f>+VLOOKUP(B4182,ARTICULOS!$D$10:$I$699,6)</f>
        <v>#N/A</v>
      </c>
      <c r="D4182" s="212"/>
      <c r="E4182" s="75" t="e">
        <f t="shared" si="134"/>
        <v>#N/A</v>
      </c>
      <c r="F4182" s="80"/>
      <c r="G4182" s="81"/>
      <c r="H4182" s="78"/>
      <c r="I4182" s="78"/>
      <c r="J4182" s="78"/>
    </row>
    <row r="4183" spans="1:10" x14ac:dyDescent="0.2">
      <c r="A4183" s="84">
        <f t="shared" si="133"/>
        <v>4177</v>
      </c>
      <c r="B4183" s="85" t="e">
        <f>+MATCH(D4183,ARTICULOS!$F$10:$F$699,0)</f>
        <v>#N/A</v>
      </c>
      <c r="C4183" s="86" t="e">
        <f>+VLOOKUP(B4183,ARTICULOS!$D$10:$I$699,6)</f>
        <v>#N/A</v>
      </c>
      <c r="D4183" s="212"/>
      <c r="E4183" s="75" t="e">
        <f t="shared" si="134"/>
        <v>#N/A</v>
      </c>
      <c r="F4183" s="80"/>
      <c r="G4183" s="81"/>
      <c r="H4183" s="78"/>
      <c r="I4183" s="78"/>
      <c r="J4183" s="78"/>
    </row>
    <row r="4184" spans="1:10" x14ac:dyDescent="0.2">
      <c r="A4184" s="84">
        <f t="shared" si="133"/>
        <v>4178</v>
      </c>
      <c r="B4184" s="85" t="e">
        <f>+MATCH(D4184,ARTICULOS!$F$10:$F$699,0)</f>
        <v>#N/A</v>
      </c>
      <c r="C4184" s="86" t="e">
        <f>+VLOOKUP(B4184,ARTICULOS!$D$10:$I$699,6)</f>
        <v>#N/A</v>
      </c>
      <c r="D4184" s="212"/>
      <c r="E4184" s="75" t="e">
        <f t="shared" si="134"/>
        <v>#N/A</v>
      </c>
      <c r="F4184" s="80"/>
      <c r="G4184" s="81"/>
      <c r="H4184" s="78"/>
      <c r="I4184" s="78"/>
      <c r="J4184" s="78"/>
    </row>
    <row r="4185" spans="1:10" x14ac:dyDescent="0.2">
      <c r="A4185" s="84">
        <f t="shared" si="133"/>
        <v>4179</v>
      </c>
      <c r="B4185" s="85" t="e">
        <f>+MATCH(D4185,ARTICULOS!$F$10:$F$699,0)</f>
        <v>#N/A</v>
      </c>
      <c r="C4185" s="86" t="e">
        <f>+VLOOKUP(B4185,ARTICULOS!$D$10:$I$699,6)</f>
        <v>#N/A</v>
      </c>
      <c r="D4185" s="212"/>
      <c r="E4185" s="75" t="e">
        <f t="shared" si="134"/>
        <v>#N/A</v>
      </c>
      <c r="F4185" s="80"/>
      <c r="G4185" s="81"/>
      <c r="H4185" s="78"/>
      <c r="I4185" s="78"/>
      <c r="J4185" s="78"/>
    </row>
    <row r="4186" spans="1:10" x14ac:dyDescent="0.2">
      <c r="A4186" s="84">
        <f t="shared" si="133"/>
        <v>4180</v>
      </c>
      <c r="B4186" s="85" t="e">
        <f>+MATCH(D4186,ARTICULOS!$F$10:$F$699,0)</f>
        <v>#N/A</v>
      </c>
      <c r="C4186" s="86" t="e">
        <f>+VLOOKUP(B4186,ARTICULOS!$D$10:$I$699,6)</f>
        <v>#N/A</v>
      </c>
      <c r="D4186" s="212"/>
      <c r="E4186" s="75" t="e">
        <f t="shared" si="134"/>
        <v>#N/A</v>
      </c>
      <c r="F4186" s="80"/>
      <c r="G4186" s="81"/>
      <c r="H4186" s="78"/>
      <c r="I4186" s="78"/>
      <c r="J4186" s="78"/>
    </row>
    <row r="4187" spans="1:10" x14ac:dyDescent="0.2">
      <c r="A4187" s="84">
        <f t="shared" si="133"/>
        <v>4181</v>
      </c>
      <c r="B4187" s="85" t="e">
        <f>+MATCH(D4187,ARTICULOS!$F$10:$F$699,0)</f>
        <v>#N/A</v>
      </c>
      <c r="C4187" s="86" t="e">
        <f>+VLOOKUP(B4187,ARTICULOS!$D$10:$I$699,6)</f>
        <v>#N/A</v>
      </c>
      <c r="D4187" s="212"/>
      <c r="E4187" s="75" t="e">
        <f t="shared" si="134"/>
        <v>#N/A</v>
      </c>
      <c r="F4187" s="80"/>
      <c r="G4187" s="81"/>
      <c r="H4187" s="78"/>
      <c r="I4187" s="78"/>
      <c r="J4187" s="78"/>
    </row>
    <row r="4188" spans="1:10" x14ac:dyDescent="0.2">
      <c r="A4188" s="84">
        <f t="shared" si="133"/>
        <v>4182</v>
      </c>
      <c r="B4188" s="85" t="e">
        <f>+MATCH(D4188,ARTICULOS!$F$10:$F$699,0)</f>
        <v>#N/A</v>
      </c>
      <c r="C4188" s="86" t="e">
        <f>+VLOOKUP(B4188,ARTICULOS!$D$10:$I$699,6)</f>
        <v>#N/A</v>
      </c>
      <c r="D4188" s="212"/>
      <c r="E4188" s="75" t="e">
        <f t="shared" si="134"/>
        <v>#N/A</v>
      </c>
      <c r="F4188" s="80"/>
      <c r="G4188" s="81"/>
      <c r="H4188" s="78"/>
      <c r="I4188" s="78"/>
      <c r="J4188" s="78"/>
    </row>
    <row r="4189" spans="1:10" x14ac:dyDescent="0.2">
      <c r="A4189" s="84">
        <f t="shared" si="133"/>
        <v>4183</v>
      </c>
      <c r="B4189" s="85" t="e">
        <f>+MATCH(D4189,ARTICULOS!$F$10:$F$699,0)</f>
        <v>#N/A</v>
      </c>
      <c r="C4189" s="86" t="e">
        <f>+VLOOKUP(B4189,ARTICULOS!$D$10:$I$699,6)</f>
        <v>#N/A</v>
      </c>
      <c r="D4189" s="212"/>
      <c r="E4189" s="75" t="e">
        <f t="shared" si="134"/>
        <v>#N/A</v>
      </c>
      <c r="F4189" s="80"/>
      <c r="G4189" s="81"/>
      <c r="H4189" s="78"/>
      <c r="I4189" s="78"/>
      <c r="J4189" s="78"/>
    </row>
    <row r="4190" spans="1:10" x14ac:dyDescent="0.2">
      <c r="A4190" s="84">
        <f t="shared" si="133"/>
        <v>4184</v>
      </c>
      <c r="B4190" s="85" t="e">
        <f>+MATCH(D4190,ARTICULOS!$F$10:$F$699,0)</f>
        <v>#N/A</v>
      </c>
      <c r="C4190" s="86" t="e">
        <f>+VLOOKUP(B4190,ARTICULOS!$D$10:$I$699,6)</f>
        <v>#N/A</v>
      </c>
      <c r="D4190" s="212"/>
      <c r="E4190" s="75" t="e">
        <f t="shared" si="134"/>
        <v>#N/A</v>
      </c>
      <c r="F4190" s="80"/>
      <c r="G4190" s="81"/>
      <c r="H4190" s="78"/>
      <c r="I4190" s="78"/>
      <c r="J4190" s="78"/>
    </row>
    <row r="4191" spans="1:10" x14ac:dyDescent="0.2">
      <c r="A4191" s="84">
        <f t="shared" si="133"/>
        <v>4185</v>
      </c>
      <c r="B4191" s="85" t="e">
        <f>+MATCH(D4191,ARTICULOS!$F$10:$F$699,0)</f>
        <v>#N/A</v>
      </c>
      <c r="C4191" s="86" t="e">
        <f>+VLOOKUP(B4191,ARTICULOS!$D$10:$I$699,6)</f>
        <v>#N/A</v>
      </c>
      <c r="D4191" s="212"/>
      <c r="E4191" s="75" t="e">
        <f t="shared" si="134"/>
        <v>#N/A</v>
      </c>
      <c r="F4191" s="80"/>
      <c r="G4191" s="81"/>
      <c r="H4191" s="78"/>
      <c r="I4191" s="78"/>
      <c r="J4191" s="78"/>
    </row>
    <row r="4192" spans="1:10" x14ac:dyDescent="0.2">
      <c r="A4192" s="84">
        <f t="shared" si="133"/>
        <v>4186</v>
      </c>
      <c r="B4192" s="85" t="e">
        <f>+MATCH(D4192,ARTICULOS!$F$10:$F$699,0)</f>
        <v>#N/A</v>
      </c>
      <c r="C4192" s="86" t="e">
        <f>+VLOOKUP(B4192,ARTICULOS!$D$10:$I$699,6)</f>
        <v>#N/A</v>
      </c>
      <c r="D4192" s="212"/>
      <c r="E4192" s="75" t="e">
        <f t="shared" si="134"/>
        <v>#N/A</v>
      </c>
      <c r="F4192" s="80"/>
      <c r="G4192" s="81"/>
      <c r="H4192" s="78"/>
      <c r="I4192" s="78"/>
      <c r="J4192" s="78"/>
    </row>
    <row r="4193" spans="1:10" x14ac:dyDescent="0.2">
      <c r="A4193" s="84">
        <f t="shared" si="133"/>
        <v>4187</v>
      </c>
      <c r="B4193" s="85" t="e">
        <f>+MATCH(D4193,ARTICULOS!$F$10:$F$699,0)</f>
        <v>#N/A</v>
      </c>
      <c r="C4193" s="86" t="e">
        <f>+VLOOKUP(B4193,ARTICULOS!$D$10:$I$699,6)</f>
        <v>#N/A</v>
      </c>
      <c r="D4193" s="212"/>
      <c r="E4193" s="75" t="e">
        <f t="shared" si="134"/>
        <v>#N/A</v>
      </c>
      <c r="F4193" s="80"/>
      <c r="G4193" s="81"/>
      <c r="H4193" s="78"/>
      <c r="I4193" s="78"/>
      <c r="J4193" s="78"/>
    </row>
    <row r="4194" spans="1:10" x14ac:dyDescent="0.2">
      <c r="A4194" s="84">
        <f t="shared" si="133"/>
        <v>4188</v>
      </c>
      <c r="B4194" s="85" t="e">
        <f>+MATCH(D4194,ARTICULOS!$F$10:$F$699,0)</f>
        <v>#N/A</v>
      </c>
      <c r="C4194" s="86" t="e">
        <f>+VLOOKUP(B4194,ARTICULOS!$D$10:$I$699,6)</f>
        <v>#N/A</v>
      </c>
      <c r="D4194" s="212"/>
      <c r="E4194" s="75" t="e">
        <f t="shared" si="134"/>
        <v>#N/A</v>
      </c>
      <c r="F4194" s="80"/>
      <c r="G4194" s="81"/>
      <c r="H4194" s="78"/>
      <c r="I4194" s="78"/>
      <c r="J4194" s="78"/>
    </row>
    <row r="4195" spans="1:10" x14ac:dyDescent="0.2">
      <c r="A4195" s="84">
        <f t="shared" si="133"/>
        <v>4189</v>
      </c>
      <c r="B4195" s="85" t="e">
        <f>+MATCH(D4195,ARTICULOS!$F$10:$F$699,0)</f>
        <v>#N/A</v>
      </c>
      <c r="C4195" s="86" t="e">
        <f>+VLOOKUP(B4195,ARTICULOS!$D$10:$I$699,6)</f>
        <v>#N/A</v>
      </c>
      <c r="D4195" s="212"/>
      <c r="E4195" s="75" t="e">
        <f t="shared" si="134"/>
        <v>#N/A</v>
      </c>
      <c r="F4195" s="80"/>
      <c r="G4195" s="81"/>
      <c r="H4195" s="78"/>
      <c r="I4195" s="78"/>
      <c r="J4195" s="78"/>
    </row>
    <row r="4196" spans="1:10" x14ac:dyDescent="0.2">
      <c r="A4196" s="84">
        <f t="shared" si="133"/>
        <v>4190</v>
      </c>
      <c r="B4196" s="85" t="e">
        <f>+MATCH(D4196,ARTICULOS!$F$10:$F$699,0)</f>
        <v>#N/A</v>
      </c>
      <c r="C4196" s="86" t="e">
        <f>+VLOOKUP(B4196,ARTICULOS!$D$10:$I$699,6)</f>
        <v>#N/A</v>
      </c>
      <c r="D4196" s="212"/>
      <c r="E4196" s="75" t="e">
        <f t="shared" si="134"/>
        <v>#N/A</v>
      </c>
      <c r="F4196" s="80"/>
      <c r="G4196" s="81"/>
      <c r="H4196" s="78"/>
      <c r="I4196" s="78"/>
      <c r="J4196" s="78"/>
    </row>
    <row r="4197" spans="1:10" x14ac:dyDescent="0.2">
      <c r="A4197" s="84">
        <f t="shared" si="133"/>
        <v>4191</v>
      </c>
      <c r="B4197" s="85" t="e">
        <f>+MATCH(D4197,ARTICULOS!$F$10:$F$699,0)</f>
        <v>#N/A</v>
      </c>
      <c r="C4197" s="86" t="e">
        <f>+VLOOKUP(B4197,ARTICULOS!$D$10:$I$699,6)</f>
        <v>#N/A</v>
      </c>
      <c r="D4197" s="212"/>
      <c r="E4197" s="75" t="e">
        <f t="shared" si="134"/>
        <v>#N/A</v>
      </c>
      <c r="F4197" s="80"/>
      <c r="G4197" s="81"/>
      <c r="H4197" s="78"/>
      <c r="I4197" s="78"/>
      <c r="J4197" s="78"/>
    </row>
    <row r="4198" spans="1:10" x14ac:dyDescent="0.2">
      <c r="A4198" s="84">
        <f t="shared" si="133"/>
        <v>4192</v>
      </c>
      <c r="B4198" s="85" t="e">
        <f>+MATCH(D4198,ARTICULOS!$F$10:$F$699,0)</f>
        <v>#N/A</v>
      </c>
      <c r="C4198" s="86" t="e">
        <f>+VLOOKUP(B4198,ARTICULOS!$D$10:$I$699,6)</f>
        <v>#N/A</v>
      </c>
      <c r="D4198" s="212"/>
      <c r="E4198" s="75" t="e">
        <f t="shared" si="134"/>
        <v>#N/A</v>
      </c>
      <c r="F4198" s="80"/>
      <c r="G4198" s="81"/>
      <c r="H4198" s="78"/>
      <c r="I4198" s="78"/>
      <c r="J4198" s="78"/>
    </row>
    <row r="4199" spans="1:10" x14ac:dyDescent="0.2">
      <c r="A4199" s="84">
        <f t="shared" si="133"/>
        <v>4193</v>
      </c>
      <c r="B4199" s="85" t="e">
        <f>+MATCH(D4199,ARTICULOS!$F$10:$F$699,0)</f>
        <v>#N/A</v>
      </c>
      <c r="C4199" s="86" t="e">
        <f>+VLOOKUP(B4199,ARTICULOS!$D$10:$I$699,6)</f>
        <v>#N/A</v>
      </c>
      <c r="D4199" s="212"/>
      <c r="E4199" s="75" t="e">
        <f t="shared" si="134"/>
        <v>#N/A</v>
      </c>
      <c r="F4199" s="80"/>
      <c r="G4199" s="81"/>
      <c r="H4199" s="78"/>
      <c r="I4199" s="78"/>
      <c r="J4199" s="78"/>
    </row>
    <row r="4200" spans="1:10" x14ac:dyDescent="0.2">
      <c r="A4200" s="84">
        <f t="shared" si="133"/>
        <v>4194</v>
      </c>
      <c r="B4200" s="85" t="e">
        <f>+MATCH(D4200,ARTICULOS!$F$10:$F$699,0)</f>
        <v>#N/A</v>
      </c>
      <c r="C4200" s="86" t="e">
        <f>+VLOOKUP(B4200,ARTICULOS!$D$10:$I$699,6)</f>
        <v>#N/A</v>
      </c>
      <c r="D4200" s="212"/>
      <c r="E4200" s="75" t="e">
        <f t="shared" si="134"/>
        <v>#N/A</v>
      </c>
      <c r="F4200" s="80"/>
      <c r="G4200" s="81"/>
      <c r="H4200" s="78"/>
      <c r="I4200" s="78"/>
      <c r="J4200" s="78"/>
    </row>
    <row r="4201" spans="1:10" x14ac:dyDescent="0.2">
      <c r="A4201" s="84">
        <f t="shared" ref="A4201:A4264" si="135">ROW()-6</f>
        <v>4195</v>
      </c>
      <c r="B4201" s="85" t="e">
        <f>+MATCH(D4201,ARTICULOS!$F$10:$F$699,0)</f>
        <v>#N/A</v>
      </c>
      <c r="C4201" s="86" t="e">
        <f>+VLOOKUP(B4201,ARTICULOS!$D$10:$I$699,6)</f>
        <v>#N/A</v>
      </c>
      <c r="D4201" s="212"/>
      <c r="E4201" s="75" t="e">
        <f t="shared" si="134"/>
        <v>#N/A</v>
      </c>
      <c r="F4201" s="80"/>
      <c r="G4201" s="81"/>
      <c r="H4201" s="78"/>
      <c r="I4201" s="78"/>
      <c r="J4201" s="78"/>
    </row>
    <row r="4202" spans="1:10" x14ac:dyDescent="0.2">
      <c r="A4202" s="84">
        <f t="shared" si="135"/>
        <v>4196</v>
      </c>
      <c r="B4202" s="85" t="e">
        <f>+MATCH(D4202,ARTICULOS!$F$10:$F$699,0)</f>
        <v>#N/A</v>
      </c>
      <c r="C4202" s="86" t="e">
        <f>+VLOOKUP(B4202,ARTICULOS!$D$10:$I$699,6)</f>
        <v>#N/A</v>
      </c>
      <c r="D4202" s="212"/>
      <c r="E4202" s="75" t="e">
        <f t="shared" si="134"/>
        <v>#N/A</v>
      </c>
      <c r="F4202" s="80"/>
      <c r="G4202" s="81"/>
      <c r="H4202" s="78"/>
      <c r="I4202" s="78"/>
      <c r="J4202" s="78"/>
    </row>
    <row r="4203" spans="1:10" x14ac:dyDescent="0.2">
      <c r="A4203" s="84">
        <f t="shared" si="135"/>
        <v>4197</v>
      </c>
      <c r="B4203" s="85" t="e">
        <f>+MATCH(D4203,ARTICULOS!$F$10:$F$699,0)</f>
        <v>#N/A</v>
      </c>
      <c r="C4203" s="86" t="e">
        <f>+VLOOKUP(B4203,ARTICULOS!$D$10:$I$699,6)</f>
        <v>#N/A</v>
      </c>
      <c r="D4203" s="212"/>
      <c r="E4203" s="75" t="e">
        <f t="shared" si="134"/>
        <v>#N/A</v>
      </c>
      <c r="F4203" s="80"/>
      <c r="G4203" s="81"/>
      <c r="H4203" s="78"/>
      <c r="I4203" s="78"/>
      <c r="J4203" s="78"/>
    </row>
    <row r="4204" spans="1:10" x14ac:dyDescent="0.2">
      <c r="A4204" s="84">
        <f t="shared" si="135"/>
        <v>4198</v>
      </c>
      <c r="B4204" s="85" t="e">
        <f>+MATCH(D4204,ARTICULOS!$F$10:$F$699,0)</f>
        <v>#N/A</v>
      </c>
      <c r="C4204" s="86" t="e">
        <f>+VLOOKUP(B4204,ARTICULOS!$D$10:$I$699,6)</f>
        <v>#N/A</v>
      </c>
      <c r="D4204" s="212"/>
      <c r="E4204" s="75" t="e">
        <f t="shared" si="134"/>
        <v>#N/A</v>
      </c>
      <c r="F4204" s="80"/>
      <c r="G4204" s="81"/>
      <c r="H4204" s="78"/>
      <c r="I4204" s="78"/>
      <c r="J4204" s="78"/>
    </row>
    <row r="4205" spans="1:10" x14ac:dyDescent="0.2">
      <c r="A4205" s="84">
        <f t="shared" si="135"/>
        <v>4199</v>
      </c>
      <c r="B4205" s="85" t="e">
        <f>+MATCH(D4205,ARTICULOS!$F$10:$F$699,0)</f>
        <v>#N/A</v>
      </c>
      <c r="C4205" s="86" t="e">
        <f>+VLOOKUP(B4205,ARTICULOS!$D$10:$I$699,6)</f>
        <v>#N/A</v>
      </c>
      <c r="D4205" s="212"/>
      <c r="E4205" s="75" t="e">
        <f t="shared" si="134"/>
        <v>#N/A</v>
      </c>
      <c r="F4205" s="80"/>
      <c r="G4205" s="81"/>
      <c r="H4205" s="78"/>
      <c r="I4205" s="78"/>
      <c r="J4205" s="78"/>
    </row>
    <row r="4206" spans="1:10" x14ac:dyDescent="0.2">
      <c r="A4206" s="84">
        <f t="shared" si="135"/>
        <v>4200</v>
      </c>
      <c r="B4206" s="85" t="e">
        <f>+MATCH(D4206,ARTICULOS!$F$10:$F$699,0)</f>
        <v>#N/A</v>
      </c>
      <c r="C4206" s="86" t="e">
        <f>+VLOOKUP(B4206,ARTICULOS!$D$10:$I$699,6)</f>
        <v>#N/A</v>
      </c>
      <c r="D4206" s="212"/>
      <c r="E4206" s="75" t="e">
        <f t="shared" si="134"/>
        <v>#N/A</v>
      </c>
      <c r="F4206" s="80"/>
      <c r="G4206" s="81"/>
      <c r="H4206" s="78"/>
      <c r="I4206" s="78"/>
      <c r="J4206" s="78"/>
    </row>
    <row r="4207" spans="1:10" x14ac:dyDescent="0.2">
      <c r="A4207" s="84">
        <f t="shared" si="135"/>
        <v>4201</v>
      </c>
      <c r="B4207" s="85" t="e">
        <f>+MATCH(D4207,ARTICULOS!$F$10:$F$699,0)</f>
        <v>#N/A</v>
      </c>
      <c r="C4207" s="86" t="e">
        <f>+VLOOKUP(B4207,ARTICULOS!$D$10:$I$699,6)</f>
        <v>#N/A</v>
      </c>
      <c r="D4207" s="212"/>
      <c r="E4207" s="75" t="e">
        <f t="shared" si="134"/>
        <v>#N/A</v>
      </c>
      <c r="F4207" s="80"/>
      <c r="G4207" s="81"/>
      <c r="H4207" s="78"/>
      <c r="I4207" s="78"/>
      <c r="J4207" s="78"/>
    </row>
    <row r="4208" spans="1:10" x14ac:dyDescent="0.2">
      <c r="A4208" s="84">
        <f t="shared" si="135"/>
        <v>4202</v>
      </c>
      <c r="B4208" s="85" t="e">
        <f>+MATCH(D4208,ARTICULOS!$F$10:$F$699,0)</f>
        <v>#N/A</v>
      </c>
      <c r="C4208" s="86" t="e">
        <f>+VLOOKUP(B4208,ARTICULOS!$D$10:$I$699,6)</f>
        <v>#N/A</v>
      </c>
      <c r="D4208" s="212"/>
      <c r="E4208" s="75" t="e">
        <f t="shared" si="134"/>
        <v>#N/A</v>
      </c>
      <c r="F4208" s="80"/>
      <c r="G4208" s="81"/>
      <c r="H4208" s="78"/>
      <c r="I4208" s="78"/>
      <c r="J4208" s="78"/>
    </row>
    <row r="4209" spans="1:10" x14ac:dyDescent="0.2">
      <c r="A4209" s="84">
        <f t="shared" si="135"/>
        <v>4203</v>
      </c>
      <c r="B4209" s="85" t="e">
        <f>+MATCH(D4209,ARTICULOS!$F$10:$F$699,0)</f>
        <v>#N/A</v>
      </c>
      <c r="C4209" s="86" t="e">
        <f>+VLOOKUP(B4209,ARTICULOS!$D$10:$I$699,6)</f>
        <v>#N/A</v>
      </c>
      <c r="D4209" s="212"/>
      <c r="E4209" s="75" t="e">
        <f t="shared" si="134"/>
        <v>#N/A</v>
      </c>
      <c r="F4209" s="80"/>
      <c r="G4209" s="81"/>
      <c r="H4209" s="78"/>
      <c r="I4209" s="78"/>
      <c r="J4209" s="78"/>
    </row>
    <row r="4210" spans="1:10" x14ac:dyDescent="0.2">
      <c r="A4210" s="84">
        <f t="shared" si="135"/>
        <v>4204</v>
      </c>
      <c r="B4210" s="85" t="e">
        <f>+MATCH(D4210,ARTICULOS!$F$10:$F$699,0)</f>
        <v>#N/A</v>
      </c>
      <c r="C4210" s="86" t="e">
        <f>+VLOOKUP(B4210,ARTICULOS!$D$10:$I$699,6)</f>
        <v>#N/A</v>
      </c>
      <c r="D4210" s="212"/>
      <c r="E4210" s="75" t="e">
        <f t="shared" si="134"/>
        <v>#N/A</v>
      </c>
      <c r="F4210" s="80"/>
      <c r="G4210" s="81"/>
      <c r="H4210" s="78"/>
      <c r="I4210" s="78"/>
      <c r="J4210" s="78"/>
    </row>
    <row r="4211" spans="1:10" x14ac:dyDescent="0.2">
      <c r="A4211" s="84">
        <f t="shared" si="135"/>
        <v>4205</v>
      </c>
      <c r="B4211" s="85" t="e">
        <f>+MATCH(D4211,ARTICULOS!$F$10:$F$699,0)</f>
        <v>#N/A</v>
      </c>
      <c r="C4211" s="86" t="e">
        <f>+VLOOKUP(B4211,ARTICULOS!$D$10:$I$699,6)</f>
        <v>#N/A</v>
      </c>
      <c r="D4211" s="212"/>
      <c r="E4211" s="75" t="e">
        <f t="shared" si="134"/>
        <v>#N/A</v>
      </c>
      <c r="F4211" s="80"/>
      <c r="G4211" s="81"/>
      <c r="H4211" s="78"/>
      <c r="I4211" s="78"/>
      <c r="J4211" s="78"/>
    </row>
    <row r="4212" spans="1:10" x14ac:dyDescent="0.2">
      <c r="A4212" s="84">
        <f t="shared" si="135"/>
        <v>4206</v>
      </c>
      <c r="B4212" s="85" t="e">
        <f>+MATCH(D4212,ARTICULOS!$F$10:$F$699,0)</f>
        <v>#N/A</v>
      </c>
      <c r="C4212" s="86" t="e">
        <f>+VLOOKUP(B4212,ARTICULOS!$D$10:$I$699,6)</f>
        <v>#N/A</v>
      </c>
      <c r="D4212" s="212"/>
      <c r="E4212" s="75" t="e">
        <f t="shared" si="134"/>
        <v>#N/A</v>
      </c>
      <c r="F4212" s="80"/>
      <c r="G4212" s="81"/>
      <c r="H4212" s="78"/>
      <c r="I4212" s="78"/>
      <c r="J4212" s="78"/>
    </row>
    <row r="4213" spans="1:10" x14ac:dyDescent="0.2">
      <c r="A4213" s="84">
        <f t="shared" si="135"/>
        <v>4207</v>
      </c>
      <c r="B4213" s="85" t="e">
        <f>+MATCH(D4213,ARTICULOS!$F$10:$F$699,0)</f>
        <v>#N/A</v>
      </c>
      <c r="C4213" s="86" t="e">
        <f>+VLOOKUP(B4213,ARTICULOS!$D$10:$I$699,6)</f>
        <v>#N/A</v>
      </c>
      <c r="D4213" s="212"/>
      <c r="E4213" s="75" t="e">
        <f t="shared" si="134"/>
        <v>#N/A</v>
      </c>
      <c r="F4213" s="80"/>
      <c r="G4213" s="81"/>
      <c r="H4213" s="78"/>
      <c r="I4213" s="78"/>
      <c r="J4213" s="78"/>
    </row>
    <row r="4214" spans="1:10" x14ac:dyDescent="0.2">
      <c r="A4214" s="84">
        <f t="shared" si="135"/>
        <v>4208</v>
      </c>
      <c r="B4214" s="85" t="e">
        <f>+MATCH(D4214,ARTICULOS!$F$10:$F$699,0)</f>
        <v>#N/A</v>
      </c>
      <c r="C4214" s="86" t="e">
        <f>+VLOOKUP(B4214,ARTICULOS!$D$10:$I$699,6)</f>
        <v>#N/A</v>
      </c>
      <c r="D4214" s="212"/>
      <c r="E4214" s="75" t="e">
        <f t="shared" si="134"/>
        <v>#N/A</v>
      </c>
      <c r="F4214" s="80"/>
      <c r="G4214" s="81"/>
      <c r="H4214" s="78"/>
      <c r="I4214" s="78"/>
      <c r="J4214" s="78"/>
    </row>
    <row r="4215" spans="1:10" x14ac:dyDescent="0.2">
      <c r="A4215" s="84">
        <f t="shared" si="135"/>
        <v>4209</v>
      </c>
      <c r="B4215" s="85" t="e">
        <f>+MATCH(D4215,ARTICULOS!$F$10:$F$699,0)</f>
        <v>#N/A</v>
      </c>
      <c r="C4215" s="86" t="e">
        <f>+VLOOKUP(B4215,ARTICULOS!$D$10:$I$699,6)</f>
        <v>#N/A</v>
      </c>
      <c r="D4215" s="212"/>
      <c r="E4215" s="75" t="e">
        <f t="shared" si="134"/>
        <v>#N/A</v>
      </c>
      <c r="F4215" s="80"/>
      <c r="G4215" s="81"/>
      <c r="H4215" s="78"/>
      <c r="I4215" s="78"/>
      <c r="J4215" s="78"/>
    </row>
    <row r="4216" spans="1:10" x14ac:dyDescent="0.2">
      <c r="A4216" s="84">
        <f t="shared" si="135"/>
        <v>4210</v>
      </c>
      <c r="B4216" s="85" t="e">
        <f>+MATCH(D4216,ARTICULOS!$F$10:$F$699,0)</f>
        <v>#N/A</v>
      </c>
      <c r="C4216" s="86" t="e">
        <f>+VLOOKUP(B4216,ARTICULOS!$D$10:$I$699,6)</f>
        <v>#N/A</v>
      </c>
      <c r="D4216" s="212"/>
      <c r="E4216" s="75" t="e">
        <f t="shared" si="134"/>
        <v>#N/A</v>
      </c>
      <c r="F4216" s="80"/>
      <c r="G4216" s="81"/>
      <c r="H4216" s="78"/>
      <c r="I4216" s="78"/>
      <c r="J4216" s="78"/>
    </row>
    <row r="4217" spans="1:10" x14ac:dyDescent="0.2">
      <c r="A4217" s="84">
        <f t="shared" si="135"/>
        <v>4211</v>
      </c>
      <c r="B4217" s="85" t="e">
        <f>+MATCH(D4217,ARTICULOS!$F$10:$F$699,0)</f>
        <v>#N/A</v>
      </c>
      <c r="C4217" s="86" t="e">
        <f>+VLOOKUP(B4217,ARTICULOS!$D$10:$I$699,6)</f>
        <v>#N/A</v>
      </c>
      <c r="D4217" s="212"/>
      <c r="E4217" s="75" t="e">
        <f t="shared" si="134"/>
        <v>#N/A</v>
      </c>
      <c r="F4217" s="80"/>
      <c r="G4217" s="81"/>
      <c r="H4217" s="78"/>
      <c r="I4217" s="78"/>
      <c r="J4217" s="78"/>
    </row>
    <row r="4218" spans="1:10" x14ac:dyDescent="0.2">
      <c r="A4218" s="84">
        <f t="shared" si="135"/>
        <v>4212</v>
      </c>
      <c r="B4218" s="85" t="e">
        <f>+MATCH(D4218,ARTICULOS!$F$10:$F$699,0)</f>
        <v>#N/A</v>
      </c>
      <c r="C4218" s="86" t="e">
        <f>+VLOOKUP(B4218,ARTICULOS!$D$10:$I$699,6)</f>
        <v>#N/A</v>
      </c>
      <c r="D4218" s="212"/>
      <c r="E4218" s="75" t="e">
        <f t="shared" si="134"/>
        <v>#N/A</v>
      </c>
      <c r="F4218" s="80"/>
      <c r="G4218" s="81"/>
      <c r="H4218" s="78"/>
      <c r="I4218" s="78"/>
      <c r="J4218" s="78"/>
    </row>
    <row r="4219" spans="1:10" x14ac:dyDescent="0.2">
      <c r="A4219" s="84">
        <f t="shared" si="135"/>
        <v>4213</v>
      </c>
      <c r="B4219" s="85" t="e">
        <f>+MATCH(D4219,ARTICULOS!$F$10:$F$699,0)</f>
        <v>#N/A</v>
      </c>
      <c r="C4219" s="86" t="e">
        <f>+VLOOKUP(B4219,ARTICULOS!$D$10:$I$699,6)</f>
        <v>#N/A</v>
      </c>
      <c r="D4219" s="212"/>
      <c r="E4219" s="75" t="e">
        <f t="shared" si="134"/>
        <v>#N/A</v>
      </c>
      <c r="F4219" s="80"/>
      <c r="G4219" s="81"/>
      <c r="H4219" s="78"/>
      <c r="I4219" s="78"/>
      <c r="J4219" s="78"/>
    </row>
    <row r="4220" spans="1:10" x14ac:dyDescent="0.2">
      <c r="A4220" s="84">
        <f t="shared" si="135"/>
        <v>4214</v>
      </c>
      <c r="B4220" s="85" t="e">
        <f>+MATCH(D4220,ARTICULOS!$F$10:$F$699,0)</f>
        <v>#N/A</v>
      </c>
      <c r="C4220" s="86" t="e">
        <f>+VLOOKUP(B4220,ARTICULOS!$D$10:$I$699,6)</f>
        <v>#N/A</v>
      </c>
      <c r="D4220" s="212"/>
      <c r="E4220" s="75" t="e">
        <f t="shared" si="134"/>
        <v>#N/A</v>
      </c>
      <c r="F4220" s="80"/>
      <c r="G4220" s="81"/>
      <c r="H4220" s="78"/>
      <c r="I4220" s="78"/>
      <c r="J4220" s="78"/>
    </row>
    <row r="4221" spans="1:10" x14ac:dyDescent="0.2">
      <c r="A4221" s="84">
        <f t="shared" si="135"/>
        <v>4215</v>
      </c>
      <c r="B4221" s="85" t="e">
        <f>+MATCH(D4221,ARTICULOS!$F$10:$F$699,0)</f>
        <v>#N/A</v>
      </c>
      <c r="C4221" s="86" t="e">
        <f>+VLOOKUP(B4221,ARTICULOS!$D$10:$I$699,6)</f>
        <v>#N/A</v>
      </c>
      <c r="D4221" s="212"/>
      <c r="E4221" s="75" t="e">
        <f t="shared" si="134"/>
        <v>#N/A</v>
      </c>
      <c r="F4221" s="80"/>
      <c r="G4221" s="81"/>
      <c r="H4221" s="78"/>
      <c r="I4221" s="78"/>
      <c r="J4221" s="78"/>
    </row>
    <row r="4222" spans="1:10" x14ac:dyDescent="0.2">
      <c r="A4222" s="84">
        <f t="shared" si="135"/>
        <v>4216</v>
      </c>
      <c r="B4222" s="85" t="e">
        <f>+MATCH(D4222,ARTICULOS!$F$10:$F$699,0)</f>
        <v>#N/A</v>
      </c>
      <c r="C4222" s="86" t="e">
        <f>+VLOOKUP(B4222,ARTICULOS!$D$10:$I$699,6)</f>
        <v>#N/A</v>
      </c>
      <c r="D4222" s="212"/>
      <c r="E4222" s="75" t="e">
        <f t="shared" si="134"/>
        <v>#N/A</v>
      </c>
      <c r="F4222" s="80"/>
      <c r="G4222" s="81"/>
      <c r="H4222" s="78"/>
      <c r="I4222" s="78"/>
      <c r="J4222" s="78"/>
    </row>
    <row r="4223" spans="1:10" x14ac:dyDescent="0.2">
      <c r="A4223" s="84">
        <f t="shared" si="135"/>
        <v>4217</v>
      </c>
      <c r="B4223" s="85" t="e">
        <f>+MATCH(D4223,ARTICULOS!$F$10:$F$699,0)</f>
        <v>#N/A</v>
      </c>
      <c r="C4223" s="86" t="e">
        <f>+VLOOKUP(B4223,ARTICULOS!$D$10:$I$699,6)</f>
        <v>#N/A</v>
      </c>
      <c r="D4223" s="212"/>
      <c r="E4223" s="75" t="e">
        <f t="shared" si="134"/>
        <v>#N/A</v>
      </c>
      <c r="F4223" s="80"/>
      <c r="G4223" s="81"/>
      <c r="H4223" s="78"/>
      <c r="I4223" s="78"/>
      <c r="J4223" s="78"/>
    </row>
    <row r="4224" spans="1:10" x14ac:dyDescent="0.2">
      <c r="A4224" s="84">
        <f t="shared" si="135"/>
        <v>4218</v>
      </c>
      <c r="B4224" s="85" t="e">
        <f>+MATCH(D4224,ARTICULOS!$F$10:$F$699,0)</f>
        <v>#N/A</v>
      </c>
      <c r="C4224" s="86" t="e">
        <f>+VLOOKUP(B4224,ARTICULOS!$D$10:$I$699,6)</f>
        <v>#N/A</v>
      </c>
      <c r="D4224" s="212"/>
      <c r="E4224" s="75" t="e">
        <f t="shared" si="134"/>
        <v>#N/A</v>
      </c>
      <c r="F4224" s="80"/>
      <c r="G4224" s="81"/>
      <c r="H4224" s="78"/>
      <c r="I4224" s="78"/>
      <c r="J4224" s="78"/>
    </row>
    <row r="4225" spans="1:10" x14ac:dyDescent="0.2">
      <c r="A4225" s="84">
        <f t="shared" si="135"/>
        <v>4219</v>
      </c>
      <c r="B4225" s="85" t="e">
        <f>+MATCH(D4225,ARTICULOS!$F$10:$F$699,0)</f>
        <v>#N/A</v>
      </c>
      <c r="C4225" s="86" t="e">
        <f>+VLOOKUP(B4225,ARTICULOS!$D$10:$I$699,6)</f>
        <v>#N/A</v>
      </c>
      <c r="D4225" s="212"/>
      <c r="E4225" s="75" t="e">
        <f t="shared" si="134"/>
        <v>#N/A</v>
      </c>
      <c r="F4225" s="80"/>
      <c r="G4225" s="81"/>
      <c r="H4225" s="78"/>
      <c r="I4225" s="78"/>
      <c r="J4225" s="78"/>
    </row>
    <row r="4226" spans="1:10" x14ac:dyDescent="0.2">
      <c r="A4226" s="84">
        <f t="shared" si="135"/>
        <v>4220</v>
      </c>
      <c r="B4226" s="85" t="e">
        <f>+MATCH(D4226,ARTICULOS!$F$10:$F$699,0)</f>
        <v>#N/A</v>
      </c>
      <c r="C4226" s="86" t="e">
        <f>+VLOOKUP(B4226,ARTICULOS!$D$10:$I$699,6)</f>
        <v>#N/A</v>
      </c>
      <c r="D4226" s="212"/>
      <c r="E4226" s="75" t="e">
        <f t="shared" si="134"/>
        <v>#N/A</v>
      </c>
      <c r="F4226" s="80"/>
      <c r="G4226" s="81"/>
      <c r="H4226" s="78"/>
      <c r="I4226" s="78"/>
      <c r="J4226" s="78"/>
    </row>
    <row r="4227" spans="1:10" x14ac:dyDescent="0.2">
      <c r="A4227" s="84">
        <f t="shared" si="135"/>
        <v>4221</v>
      </c>
      <c r="B4227" s="85" t="e">
        <f>+MATCH(D4227,ARTICULOS!$F$10:$F$699,0)</f>
        <v>#N/A</v>
      </c>
      <c r="C4227" s="86" t="e">
        <f>+VLOOKUP(B4227,ARTICULOS!$D$10:$I$699,6)</f>
        <v>#N/A</v>
      </c>
      <c r="D4227" s="212"/>
      <c r="E4227" s="75" t="e">
        <f t="shared" si="134"/>
        <v>#N/A</v>
      </c>
      <c r="F4227" s="80"/>
      <c r="G4227" s="81"/>
      <c r="H4227" s="78"/>
      <c r="I4227" s="78"/>
      <c r="J4227" s="78"/>
    </row>
    <row r="4228" spans="1:10" x14ac:dyDescent="0.2">
      <c r="A4228" s="84">
        <f t="shared" si="135"/>
        <v>4222</v>
      </c>
      <c r="B4228" s="85" t="e">
        <f>+MATCH(D4228,ARTICULOS!$F$10:$F$699,0)</f>
        <v>#N/A</v>
      </c>
      <c r="C4228" s="86" t="e">
        <f>+VLOOKUP(B4228,ARTICULOS!$D$10:$I$699,6)</f>
        <v>#N/A</v>
      </c>
      <c r="D4228" s="212"/>
      <c r="E4228" s="75" t="e">
        <f t="shared" si="134"/>
        <v>#N/A</v>
      </c>
      <c r="F4228" s="80"/>
      <c r="G4228" s="81"/>
      <c r="H4228" s="78"/>
      <c r="I4228" s="78"/>
      <c r="J4228" s="78"/>
    </row>
    <row r="4229" spans="1:10" x14ac:dyDescent="0.2">
      <c r="A4229" s="84">
        <f t="shared" si="135"/>
        <v>4223</v>
      </c>
      <c r="B4229" s="85" t="e">
        <f>+MATCH(D4229,ARTICULOS!$F$10:$F$699,0)</f>
        <v>#N/A</v>
      </c>
      <c r="C4229" s="86" t="e">
        <f>+VLOOKUP(B4229,ARTICULOS!$D$10:$I$699,6)</f>
        <v>#N/A</v>
      </c>
      <c r="D4229" s="212"/>
      <c r="E4229" s="75" t="e">
        <f t="shared" si="134"/>
        <v>#N/A</v>
      </c>
      <c r="F4229" s="80"/>
      <c r="G4229" s="81"/>
      <c r="H4229" s="78"/>
      <c r="I4229" s="78"/>
      <c r="J4229" s="78"/>
    </row>
    <row r="4230" spans="1:10" x14ac:dyDescent="0.2">
      <c r="A4230" s="84">
        <f t="shared" si="135"/>
        <v>4224</v>
      </c>
      <c r="B4230" s="85" t="e">
        <f>+MATCH(D4230,ARTICULOS!$F$10:$F$699,0)</f>
        <v>#N/A</v>
      </c>
      <c r="C4230" s="86" t="e">
        <f>+VLOOKUP(B4230,ARTICULOS!$D$10:$I$699,6)</f>
        <v>#N/A</v>
      </c>
      <c r="D4230" s="212"/>
      <c r="E4230" s="75" t="e">
        <f t="shared" si="134"/>
        <v>#N/A</v>
      </c>
      <c r="F4230" s="80"/>
      <c r="G4230" s="81"/>
      <c r="H4230" s="78"/>
      <c r="I4230" s="78"/>
      <c r="J4230" s="78"/>
    </row>
    <row r="4231" spans="1:10" x14ac:dyDescent="0.2">
      <c r="A4231" s="84">
        <f t="shared" si="135"/>
        <v>4225</v>
      </c>
      <c r="B4231" s="85" t="e">
        <f>+MATCH(D4231,ARTICULOS!$F$10:$F$699,0)</f>
        <v>#N/A</v>
      </c>
      <c r="C4231" s="86" t="e">
        <f>+VLOOKUP(B4231,ARTICULOS!$D$10:$I$699,6)</f>
        <v>#N/A</v>
      </c>
      <c r="D4231" s="212"/>
      <c r="E4231" s="75" t="e">
        <f t="shared" si="134"/>
        <v>#N/A</v>
      </c>
      <c r="F4231" s="80"/>
      <c r="G4231" s="81"/>
      <c r="H4231" s="78"/>
      <c r="I4231" s="78"/>
      <c r="J4231" s="78"/>
    </row>
    <row r="4232" spans="1:10" x14ac:dyDescent="0.2">
      <c r="A4232" s="84">
        <f t="shared" si="135"/>
        <v>4226</v>
      </c>
      <c r="B4232" s="85" t="e">
        <f>+MATCH(D4232,ARTICULOS!$F$10:$F$699,0)</f>
        <v>#N/A</v>
      </c>
      <c r="C4232" s="86" t="e">
        <f>+VLOOKUP(B4232,ARTICULOS!$D$10:$I$699,6)</f>
        <v>#N/A</v>
      </c>
      <c r="D4232" s="212"/>
      <c r="E4232" s="75" t="e">
        <f t="shared" si="134"/>
        <v>#N/A</v>
      </c>
      <c r="F4232" s="80"/>
      <c r="G4232" s="81"/>
      <c r="H4232" s="78"/>
      <c r="I4232" s="78"/>
      <c r="J4232" s="78"/>
    </row>
    <row r="4233" spans="1:10" x14ac:dyDescent="0.2">
      <c r="A4233" s="84">
        <f t="shared" si="135"/>
        <v>4227</v>
      </c>
      <c r="B4233" s="85" t="e">
        <f>+MATCH(D4233,ARTICULOS!$F$10:$F$699,0)</f>
        <v>#N/A</v>
      </c>
      <c r="C4233" s="86" t="e">
        <f>+VLOOKUP(B4233,ARTICULOS!$D$10:$I$699,6)</f>
        <v>#N/A</v>
      </c>
      <c r="D4233" s="212"/>
      <c r="E4233" s="75" t="e">
        <f t="shared" si="134"/>
        <v>#N/A</v>
      </c>
      <c r="F4233" s="80"/>
      <c r="G4233" s="81"/>
      <c r="H4233" s="78"/>
      <c r="I4233" s="78"/>
      <c r="J4233" s="78"/>
    </row>
    <row r="4234" spans="1:10" x14ac:dyDescent="0.2">
      <c r="A4234" s="84">
        <f t="shared" si="135"/>
        <v>4228</v>
      </c>
      <c r="B4234" s="85" t="e">
        <f>+MATCH(D4234,ARTICULOS!$F$10:$F$699,0)</f>
        <v>#N/A</v>
      </c>
      <c r="C4234" s="86" t="e">
        <f>+VLOOKUP(B4234,ARTICULOS!$D$10:$I$699,6)</f>
        <v>#N/A</v>
      </c>
      <c r="D4234" s="212"/>
      <c r="E4234" s="75" t="e">
        <f t="shared" si="134"/>
        <v>#N/A</v>
      </c>
      <c r="F4234" s="80"/>
      <c r="G4234" s="81"/>
      <c r="H4234" s="78"/>
      <c r="I4234" s="78"/>
      <c r="J4234" s="78"/>
    </row>
    <row r="4235" spans="1:10" x14ac:dyDescent="0.2">
      <c r="A4235" s="84">
        <f t="shared" si="135"/>
        <v>4229</v>
      </c>
      <c r="B4235" s="85" t="e">
        <f>+MATCH(D4235,ARTICULOS!$F$10:$F$699,0)</f>
        <v>#N/A</v>
      </c>
      <c r="C4235" s="86" t="e">
        <f>+VLOOKUP(B4235,ARTICULOS!$D$10:$I$699,6)</f>
        <v>#N/A</v>
      </c>
      <c r="D4235" s="212"/>
      <c r="E4235" s="75" t="e">
        <f t="shared" ref="E4235:E4298" si="136">+C4235&amp;F4235</f>
        <v>#N/A</v>
      </c>
      <c r="F4235" s="80"/>
      <c r="G4235" s="81"/>
      <c r="H4235" s="78"/>
      <c r="I4235" s="78"/>
      <c r="J4235" s="78"/>
    </row>
    <row r="4236" spans="1:10" x14ac:dyDescent="0.2">
      <c r="A4236" s="84">
        <f t="shared" si="135"/>
        <v>4230</v>
      </c>
      <c r="B4236" s="85" t="e">
        <f>+MATCH(D4236,ARTICULOS!$F$10:$F$699,0)</f>
        <v>#N/A</v>
      </c>
      <c r="C4236" s="86" t="e">
        <f>+VLOOKUP(B4236,ARTICULOS!$D$10:$I$699,6)</f>
        <v>#N/A</v>
      </c>
      <c r="D4236" s="212"/>
      <c r="E4236" s="75" t="e">
        <f t="shared" si="136"/>
        <v>#N/A</v>
      </c>
      <c r="F4236" s="80"/>
      <c r="G4236" s="81"/>
      <c r="H4236" s="78"/>
      <c r="I4236" s="78"/>
      <c r="J4236" s="78"/>
    </row>
    <row r="4237" spans="1:10" x14ac:dyDescent="0.2">
      <c r="A4237" s="84">
        <f t="shared" si="135"/>
        <v>4231</v>
      </c>
      <c r="B4237" s="85" t="e">
        <f>+MATCH(D4237,ARTICULOS!$F$10:$F$699,0)</f>
        <v>#N/A</v>
      </c>
      <c r="C4237" s="86" t="e">
        <f>+VLOOKUP(B4237,ARTICULOS!$D$10:$I$699,6)</f>
        <v>#N/A</v>
      </c>
      <c r="D4237" s="212"/>
      <c r="E4237" s="75" t="e">
        <f t="shared" si="136"/>
        <v>#N/A</v>
      </c>
      <c r="F4237" s="80"/>
      <c r="G4237" s="81"/>
      <c r="H4237" s="78"/>
      <c r="I4237" s="78"/>
      <c r="J4237" s="78"/>
    </row>
    <row r="4238" spans="1:10" x14ac:dyDescent="0.2">
      <c r="A4238" s="84">
        <f t="shared" si="135"/>
        <v>4232</v>
      </c>
      <c r="B4238" s="85" t="e">
        <f>+MATCH(D4238,ARTICULOS!$F$10:$F$699,0)</f>
        <v>#N/A</v>
      </c>
      <c r="C4238" s="86" t="e">
        <f>+VLOOKUP(B4238,ARTICULOS!$D$10:$I$699,6)</f>
        <v>#N/A</v>
      </c>
      <c r="D4238" s="212"/>
      <c r="E4238" s="75" t="e">
        <f t="shared" si="136"/>
        <v>#N/A</v>
      </c>
      <c r="F4238" s="80"/>
      <c r="G4238" s="81"/>
      <c r="H4238" s="78"/>
      <c r="I4238" s="78"/>
      <c r="J4238" s="78"/>
    </row>
    <row r="4239" spans="1:10" x14ac:dyDescent="0.2">
      <c r="A4239" s="84">
        <f t="shared" si="135"/>
        <v>4233</v>
      </c>
      <c r="B4239" s="85" t="e">
        <f>+MATCH(D4239,ARTICULOS!$F$10:$F$699,0)</f>
        <v>#N/A</v>
      </c>
      <c r="C4239" s="86" t="e">
        <f>+VLOOKUP(B4239,ARTICULOS!$D$10:$I$699,6)</f>
        <v>#N/A</v>
      </c>
      <c r="D4239" s="212"/>
      <c r="E4239" s="75" t="e">
        <f t="shared" si="136"/>
        <v>#N/A</v>
      </c>
      <c r="F4239" s="80"/>
      <c r="G4239" s="81"/>
      <c r="H4239" s="78"/>
      <c r="I4239" s="78"/>
      <c r="J4239" s="78"/>
    </row>
    <row r="4240" spans="1:10" x14ac:dyDescent="0.2">
      <c r="A4240" s="84">
        <f t="shared" si="135"/>
        <v>4234</v>
      </c>
      <c r="B4240" s="85" t="e">
        <f>+MATCH(D4240,ARTICULOS!$F$10:$F$699,0)</f>
        <v>#N/A</v>
      </c>
      <c r="C4240" s="86" t="e">
        <f>+VLOOKUP(B4240,ARTICULOS!$D$10:$I$699,6)</f>
        <v>#N/A</v>
      </c>
      <c r="D4240" s="212"/>
      <c r="E4240" s="75" t="e">
        <f t="shared" si="136"/>
        <v>#N/A</v>
      </c>
      <c r="F4240" s="80"/>
      <c r="G4240" s="81"/>
      <c r="H4240" s="78"/>
      <c r="I4240" s="78"/>
      <c r="J4240" s="78"/>
    </row>
    <row r="4241" spans="1:10" x14ac:dyDescent="0.2">
      <c r="A4241" s="84">
        <f t="shared" si="135"/>
        <v>4235</v>
      </c>
      <c r="B4241" s="85" t="e">
        <f>+MATCH(D4241,ARTICULOS!$F$10:$F$699,0)</f>
        <v>#N/A</v>
      </c>
      <c r="C4241" s="86" t="e">
        <f>+VLOOKUP(B4241,ARTICULOS!$D$10:$I$699,6)</f>
        <v>#N/A</v>
      </c>
      <c r="D4241" s="212"/>
      <c r="E4241" s="75" t="e">
        <f t="shared" si="136"/>
        <v>#N/A</v>
      </c>
      <c r="F4241" s="80"/>
      <c r="G4241" s="81"/>
      <c r="H4241" s="78"/>
      <c r="I4241" s="78"/>
      <c r="J4241" s="78"/>
    </row>
    <row r="4242" spans="1:10" x14ac:dyDescent="0.2">
      <c r="A4242" s="84">
        <f t="shared" si="135"/>
        <v>4236</v>
      </c>
      <c r="B4242" s="85" t="e">
        <f>+MATCH(D4242,ARTICULOS!$F$10:$F$699,0)</f>
        <v>#N/A</v>
      </c>
      <c r="C4242" s="86" t="e">
        <f>+VLOOKUP(B4242,ARTICULOS!$D$10:$I$699,6)</f>
        <v>#N/A</v>
      </c>
      <c r="D4242" s="212"/>
      <c r="E4242" s="75" t="e">
        <f t="shared" si="136"/>
        <v>#N/A</v>
      </c>
      <c r="F4242" s="80"/>
      <c r="G4242" s="81"/>
      <c r="H4242" s="78"/>
      <c r="I4242" s="78"/>
      <c r="J4242" s="78"/>
    </row>
    <row r="4243" spans="1:10" x14ac:dyDescent="0.2">
      <c r="A4243" s="84">
        <f t="shared" si="135"/>
        <v>4237</v>
      </c>
      <c r="B4243" s="85" t="e">
        <f>+MATCH(D4243,ARTICULOS!$F$10:$F$699,0)</f>
        <v>#N/A</v>
      </c>
      <c r="C4243" s="86" t="e">
        <f>+VLOOKUP(B4243,ARTICULOS!$D$10:$I$699,6)</f>
        <v>#N/A</v>
      </c>
      <c r="D4243" s="212"/>
      <c r="E4243" s="75" t="e">
        <f t="shared" si="136"/>
        <v>#N/A</v>
      </c>
      <c r="F4243" s="80"/>
      <c r="G4243" s="81"/>
      <c r="H4243" s="78"/>
      <c r="I4243" s="78"/>
      <c r="J4243" s="78"/>
    </row>
    <row r="4244" spans="1:10" x14ac:dyDescent="0.2">
      <c r="A4244" s="84">
        <f t="shared" si="135"/>
        <v>4238</v>
      </c>
      <c r="B4244" s="85" t="e">
        <f>+MATCH(D4244,ARTICULOS!$F$10:$F$699,0)</f>
        <v>#N/A</v>
      </c>
      <c r="C4244" s="86" t="e">
        <f>+VLOOKUP(B4244,ARTICULOS!$D$10:$I$699,6)</f>
        <v>#N/A</v>
      </c>
      <c r="D4244" s="212"/>
      <c r="E4244" s="75" t="e">
        <f t="shared" si="136"/>
        <v>#N/A</v>
      </c>
      <c r="F4244" s="80"/>
      <c r="G4244" s="81"/>
      <c r="H4244" s="78"/>
      <c r="I4244" s="78"/>
      <c r="J4244" s="78"/>
    </row>
    <row r="4245" spans="1:10" x14ac:dyDescent="0.2">
      <c r="A4245" s="84">
        <f t="shared" si="135"/>
        <v>4239</v>
      </c>
      <c r="B4245" s="85" t="e">
        <f>+MATCH(D4245,ARTICULOS!$F$10:$F$699,0)</f>
        <v>#N/A</v>
      </c>
      <c r="C4245" s="86" t="e">
        <f>+VLOOKUP(B4245,ARTICULOS!$D$10:$I$699,6)</f>
        <v>#N/A</v>
      </c>
      <c r="D4245" s="212"/>
      <c r="E4245" s="75" t="e">
        <f t="shared" si="136"/>
        <v>#N/A</v>
      </c>
      <c r="F4245" s="80"/>
      <c r="G4245" s="81"/>
      <c r="H4245" s="78"/>
      <c r="I4245" s="78"/>
      <c r="J4245" s="78"/>
    </row>
    <row r="4246" spans="1:10" x14ac:dyDescent="0.2">
      <c r="A4246" s="84">
        <f t="shared" si="135"/>
        <v>4240</v>
      </c>
      <c r="B4246" s="85" t="e">
        <f>+MATCH(D4246,ARTICULOS!$F$10:$F$699,0)</f>
        <v>#N/A</v>
      </c>
      <c r="C4246" s="86" t="e">
        <f>+VLOOKUP(B4246,ARTICULOS!$D$10:$I$699,6)</f>
        <v>#N/A</v>
      </c>
      <c r="D4246" s="212"/>
      <c r="E4246" s="75" t="e">
        <f t="shared" si="136"/>
        <v>#N/A</v>
      </c>
      <c r="F4246" s="80"/>
      <c r="G4246" s="81"/>
      <c r="H4246" s="78"/>
      <c r="I4246" s="78"/>
      <c r="J4246" s="78"/>
    </row>
    <row r="4247" spans="1:10" x14ac:dyDescent="0.2">
      <c r="A4247" s="84">
        <f t="shared" si="135"/>
        <v>4241</v>
      </c>
      <c r="B4247" s="85" t="e">
        <f>+MATCH(D4247,ARTICULOS!$F$10:$F$699,0)</f>
        <v>#N/A</v>
      </c>
      <c r="C4247" s="86" t="e">
        <f>+VLOOKUP(B4247,ARTICULOS!$D$10:$I$699,6)</f>
        <v>#N/A</v>
      </c>
      <c r="D4247" s="212"/>
      <c r="E4247" s="75" t="e">
        <f t="shared" si="136"/>
        <v>#N/A</v>
      </c>
      <c r="F4247" s="80"/>
      <c r="G4247" s="81"/>
      <c r="H4247" s="78"/>
      <c r="I4247" s="78"/>
      <c r="J4247" s="78"/>
    </row>
    <row r="4248" spans="1:10" x14ac:dyDescent="0.2">
      <c r="A4248" s="84">
        <f t="shared" si="135"/>
        <v>4242</v>
      </c>
      <c r="B4248" s="85" t="e">
        <f>+MATCH(D4248,ARTICULOS!$F$10:$F$699,0)</f>
        <v>#N/A</v>
      </c>
      <c r="C4248" s="86" t="e">
        <f>+VLOOKUP(B4248,ARTICULOS!$D$10:$I$699,6)</f>
        <v>#N/A</v>
      </c>
      <c r="D4248" s="212"/>
      <c r="E4248" s="75" t="e">
        <f t="shared" si="136"/>
        <v>#N/A</v>
      </c>
      <c r="F4248" s="80"/>
      <c r="G4248" s="81"/>
      <c r="H4248" s="78"/>
      <c r="I4248" s="78"/>
      <c r="J4248" s="78"/>
    </row>
    <row r="4249" spans="1:10" x14ac:dyDescent="0.2">
      <c r="A4249" s="84">
        <f t="shared" si="135"/>
        <v>4243</v>
      </c>
      <c r="B4249" s="85" t="e">
        <f>+MATCH(D4249,ARTICULOS!$F$10:$F$699,0)</f>
        <v>#N/A</v>
      </c>
      <c r="C4249" s="86" t="e">
        <f>+VLOOKUP(B4249,ARTICULOS!$D$10:$I$699,6)</f>
        <v>#N/A</v>
      </c>
      <c r="D4249" s="212"/>
      <c r="E4249" s="75" t="e">
        <f t="shared" si="136"/>
        <v>#N/A</v>
      </c>
      <c r="F4249" s="80"/>
      <c r="G4249" s="81"/>
      <c r="H4249" s="78"/>
      <c r="I4249" s="78"/>
      <c r="J4249" s="78"/>
    </row>
    <row r="4250" spans="1:10" x14ac:dyDescent="0.2">
      <c r="A4250" s="84">
        <f t="shared" si="135"/>
        <v>4244</v>
      </c>
      <c r="B4250" s="85" t="e">
        <f>+MATCH(D4250,ARTICULOS!$F$10:$F$699,0)</f>
        <v>#N/A</v>
      </c>
      <c r="C4250" s="86" t="e">
        <f>+VLOOKUP(B4250,ARTICULOS!$D$10:$I$699,6)</f>
        <v>#N/A</v>
      </c>
      <c r="D4250" s="212"/>
      <c r="E4250" s="75" t="e">
        <f t="shared" si="136"/>
        <v>#N/A</v>
      </c>
      <c r="F4250" s="80"/>
      <c r="G4250" s="81"/>
      <c r="H4250" s="78"/>
      <c r="I4250" s="78"/>
      <c r="J4250" s="78"/>
    </row>
    <row r="4251" spans="1:10" x14ac:dyDescent="0.2">
      <c r="A4251" s="84">
        <f t="shared" si="135"/>
        <v>4245</v>
      </c>
      <c r="B4251" s="85" t="e">
        <f>+MATCH(D4251,ARTICULOS!$F$10:$F$699,0)</f>
        <v>#N/A</v>
      </c>
      <c r="C4251" s="86" t="e">
        <f>+VLOOKUP(B4251,ARTICULOS!$D$10:$I$699,6)</f>
        <v>#N/A</v>
      </c>
      <c r="D4251" s="212"/>
      <c r="E4251" s="75" t="e">
        <f t="shared" si="136"/>
        <v>#N/A</v>
      </c>
      <c r="F4251" s="80"/>
      <c r="G4251" s="81"/>
      <c r="H4251" s="78"/>
      <c r="I4251" s="78"/>
      <c r="J4251" s="78"/>
    </row>
    <row r="4252" spans="1:10" x14ac:dyDescent="0.2">
      <c r="A4252" s="84">
        <f t="shared" si="135"/>
        <v>4246</v>
      </c>
      <c r="B4252" s="85" t="e">
        <f>+MATCH(D4252,ARTICULOS!$F$10:$F$699,0)</f>
        <v>#N/A</v>
      </c>
      <c r="C4252" s="86" t="e">
        <f>+VLOOKUP(B4252,ARTICULOS!$D$10:$I$699,6)</f>
        <v>#N/A</v>
      </c>
      <c r="D4252" s="212"/>
      <c r="E4252" s="75" t="e">
        <f t="shared" si="136"/>
        <v>#N/A</v>
      </c>
      <c r="F4252" s="80"/>
      <c r="G4252" s="81"/>
      <c r="H4252" s="78"/>
      <c r="I4252" s="78"/>
      <c r="J4252" s="78"/>
    </row>
    <row r="4253" spans="1:10" x14ac:dyDescent="0.2">
      <c r="A4253" s="84">
        <f t="shared" si="135"/>
        <v>4247</v>
      </c>
      <c r="B4253" s="85" t="e">
        <f>+MATCH(D4253,ARTICULOS!$F$10:$F$699,0)</f>
        <v>#N/A</v>
      </c>
      <c r="C4253" s="86" t="e">
        <f>+VLOOKUP(B4253,ARTICULOS!$D$10:$I$699,6)</f>
        <v>#N/A</v>
      </c>
      <c r="D4253" s="212"/>
      <c r="E4253" s="75" t="e">
        <f t="shared" si="136"/>
        <v>#N/A</v>
      </c>
      <c r="F4253" s="80"/>
      <c r="G4253" s="81"/>
      <c r="H4253" s="78"/>
      <c r="I4253" s="78"/>
      <c r="J4253" s="78"/>
    </row>
    <row r="4254" spans="1:10" x14ac:dyDescent="0.2">
      <c r="A4254" s="84">
        <f t="shared" si="135"/>
        <v>4248</v>
      </c>
      <c r="B4254" s="85" t="e">
        <f>+MATCH(D4254,ARTICULOS!$F$10:$F$699,0)</f>
        <v>#N/A</v>
      </c>
      <c r="C4254" s="86" t="e">
        <f>+VLOOKUP(B4254,ARTICULOS!$D$10:$I$699,6)</f>
        <v>#N/A</v>
      </c>
      <c r="D4254" s="212"/>
      <c r="E4254" s="75" t="e">
        <f t="shared" si="136"/>
        <v>#N/A</v>
      </c>
      <c r="F4254" s="80"/>
      <c r="G4254" s="81"/>
      <c r="H4254" s="78"/>
      <c r="I4254" s="78"/>
      <c r="J4254" s="78"/>
    </row>
    <row r="4255" spans="1:10" x14ac:dyDescent="0.2">
      <c r="A4255" s="84">
        <f t="shared" si="135"/>
        <v>4249</v>
      </c>
      <c r="B4255" s="85" t="e">
        <f>+MATCH(D4255,ARTICULOS!$F$10:$F$699,0)</f>
        <v>#N/A</v>
      </c>
      <c r="C4255" s="86" t="e">
        <f>+VLOOKUP(B4255,ARTICULOS!$D$10:$I$699,6)</f>
        <v>#N/A</v>
      </c>
      <c r="D4255" s="212"/>
      <c r="E4255" s="75" t="e">
        <f t="shared" si="136"/>
        <v>#N/A</v>
      </c>
      <c r="F4255" s="80"/>
      <c r="G4255" s="81"/>
      <c r="H4255" s="78"/>
      <c r="I4255" s="78"/>
      <c r="J4255" s="78"/>
    </row>
    <row r="4256" spans="1:10" x14ac:dyDescent="0.2">
      <c r="A4256" s="84">
        <f t="shared" si="135"/>
        <v>4250</v>
      </c>
      <c r="B4256" s="85" t="e">
        <f>+MATCH(D4256,ARTICULOS!$F$10:$F$699,0)</f>
        <v>#N/A</v>
      </c>
      <c r="C4256" s="86" t="e">
        <f>+VLOOKUP(B4256,ARTICULOS!$D$10:$I$699,6)</f>
        <v>#N/A</v>
      </c>
      <c r="D4256" s="212"/>
      <c r="E4256" s="75" t="e">
        <f t="shared" si="136"/>
        <v>#N/A</v>
      </c>
      <c r="F4256" s="80"/>
      <c r="G4256" s="81"/>
      <c r="H4256" s="78"/>
      <c r="I4256" s="78"/>
      <c r="J4256" s="78"/>
    </row>
    <row r="4257" spans="1:10" x14ac:dyDescent="0.2">
      <c r="A4257" s="84">
        <f t="shared" si="135"/>
        <v>4251</v>
      </c>
      <c r="B4257" s="85" t="e">
        <f>+MATCH(D4257,ARTICULOS!$F$10:$F$699,0)</f>
        <v>#N/A</v>
      </c>
      <c r="C4257" s="86" t="e">
        <f>+VLOOKUP(B4257,ARTICULOS!$D$10:$I$699,6)</f>
        <v>#N/A</v>
      </c>
      <c r="D4257" s="212"/>
      <c r="E4257" s="75" t="e">
        <f t="shared" si="136"/>
        <v>#N/A</v>
      </c>
      <c r="F4257" s="80"/>
      <c r="G4257" s="81"/>
      <c r="H4257" s="78"/>
      <c r="I4257" s="78"/>
      <c r="J4257" s="78"/>
    </row>
    <row r="4258" spans="1:10" x14ac:dyDescent="0.2">
      <c r="A4258" s="84">
        <f t="shared" si="135"/>
        <v>4252</v>
      </c>
      <c r="B4258" s="85" t="e">
        <f>+MATCH(D4258,ARTICULOS!$F$10:$F$699,0)</f>
        <v>#N/A</v>
      </c>
      <c r="C4258" s="86" t="e">
        <f>+VLOOKUP(B4258,ARTICULOS!$D$10:$I$699,6)</f>
        <v>#N/A</v>
      </c>
      <c r="D4258" s="212"/>
      <c r="E4258" s="75" t="e">
        <f t="shared" si="136"/>
        <v>#N/A</v>
      </c>
      <c r="F4258" s="80"/>
      <c r="G4258" s="81"/>
      <c r="H4258" s="78"/>
      <c r="I4258" s="78"/>
      <c r="J4258" s="78"/>
    </row>
    <row r="4259" spans="1:10" x14ac:dyDescent="0.2">
      <c r="A4259" s="84">
        <f t="shared" si="135"/>
        <v>4253</v>
      </c>
      <c r="B4259" s="85" t="e">
        <f>+MATCH(D4259,ARTICULOS!$F$10:$F$699,0)</f>
        <v>#N/A</v>
      </c>
      <c r="C4259" s="86" t="e">
        <f>+VLOOKUP(B4259,ARTICULOS!$D$10:$I$699,6)</f>
        <v>#N/A</v>
      </c>
      <c r="D4259" s="212"/>
      <c r="E4259" s="75" t="e">
        <f t="shared" si="136"/>
        <v>#N/A</v>
      </c>
      <c r="F4259" s="80"/>
      <c r="G4259" s="81"/>
      <c r="H4259" s="78"/>
      <c r="I4259" s="78"/>
      <c r="J4259" s="78"/>
    </row>
    <row r="4260" spans="1:10" x14ac:dyDescent="0.2">
      <c r="A4260" s="84">
        <f t="shared" si="135"/>
        <v>4254</v>
      </c>
      <c r="B4260" s="85" t="e">
        <f>+MATCH(D4260,ARTICULOS!$F$10:$F$699,0)</f>
        <v>#N/A</v>
      </c>
      <c r="C4260" s="86" t="e">
        <f>+VLOOKUP(B4260,ARTICULOS!$D$10:$I$699,6)</f>
        <v>#N/A</v>
      </c>
      <c r="D4260" s="212"/>
      <c r="E4260" s="75" t="e">
        <f t="shared" si="136"/>
        <v>#N/A</v>
      </c>
      <c r="F4260" s="80"/>
      <c r="G4260" s="81"/>
      <c r="H4260" s="78"/>
      <c r="I4260" s="78"/>
      <c r="J4260" s="78"/>
    </row>
    <row r="4261" spans="1:10" x14ac:dyDescent="0.2">
      <c r="A4261" s="84">
        <f t="shared" si="135"/>
        <v>4255</v>
      </c>
      <c r="B4261" s="85" t="e">
        <f>+MATCH(D4261,ARTICULOS!$F$10:$F$699,0)</f>
        <v>#N/A</v>
      </c>
      <c r="C4261" s="86" t="e">
        <f>+VLOOKUP(B4261,ARTICULOS!$D$10:$I$699,6)</f>
        <v>#N/A</v>
      </c>
      <c r="D4261" s="212"/>
      <c r="E4261" s="75" t="e">
        <f t="shared" si="136"/>
        <v>#N/A</v>
      </c>
      <c r="F4261" s="80"/>
      <c r="G4261" s="81"/>
      <c r="H4261" s="78"/>
      <c r="I4261" s="78"/>
      <c r="J4261" s="78"/>
    </row>
    <row r="4262" spans="1:10" x14ac:dyDescent="0.2">
      <c r="A4262" s="84">
        <f t="shared" si="135"/>
        <v>4256</v>
      </c>
      <c r="B4262" s="85" t="e">
        <f>+MATCH(D4262,ARTICULOS!$F$10:$F$699,0)</f>
        <v>#N/A</v>
      </c>
      <c r="C4262" s="86" t="e">
        <f>+VLOOKUP(B4262,ARTICULOS!$D$10:$I$699,6)</f>
        <v>#N/A</v>
      </c>
      <c r="D4262" s="212"/>
      <c r="E4262" s="75" t="e">
        <f t="shared" si="136"/>
        <v>#N/A</v>
      </c>
      <c r="F4262" s="80"/>
      <c r="G4262" s="81"/>
      <c r="H4262" s="78"/>
      <c r="I4262" s="78"/>
      <c r="J4262" s="78"/>
    </row>
    <row r="4263" spans="1:10" x14ac:dyDescent="0.2">
      <c r="A4263" s="84">
        <f t="shared" si="135"/>
        <v>4257</v>
      </c>
      <c r="B4263" s="85" t="e">
        <f>+MATCH(D4263,ARTICULOS!$F$10:$F$699,0)</f>
        <v>#N/A</v>
      </c>
      <c r="C4263" s="86" t="e">
        <f>+VLOOKUP(B4263,ARTICULOS!$D$10:$I$699,6)</f>
        <v>#N/A</v>
      </c>
      <c r="D4263" s="212"/>
      <c r="E4263" s="75" t="e">
        <f t="shared" si="136"/>
        <v>#N/A</v>
      </c>
      <c r="F4263" s="80"/>
      <c r="G4263" s="81"/>
      <c r="H4263" s="78"/>
      <c r="I4263" s="78"/>
      <c r="J4263" s="78"/>
    </row>
    <row r="4264" spans="1:10" x14ac:dyDescent="0.2">
      <c r="A4264" s="84">
        <f t="shared" si="135"/>
        <v>4258</v>
      </c>
      <c r="B4264" s="85" t="e">
        <f>+MATCH(D4264,ARTICULOS!$F$10:$F$699,0)</f>
        <v>#N/A</v>
      </c>
      <c r="C4264" s="86" t="e">
        <f>+VLOOKUP(B4264,ARTICULOS!$D$10:$I$699,6)</f>
        <v>#N/A</v>
      </c>
      <c r="D4264" s="212"/>
      <c r="E4264" s="75" t="e">
        <f t="shared" si="136"/>
        <v>#N/A</v>
      </c>
      <c r="F4264" s="80"/>
      <c r="G4264" s="81"/>
      <c r="H4264" s="78"/>
      <c r="I4264" s="78"/>
      <c r="J4264" s="78"/>
    </row>
    <row r="4265" spans="1:10" x14ac:dyDescent="0.2">
      <c r="A4265" s="84">
        <f t="shared" ref="A4265:A4328" si="137">ROW()-6</f>
        <v>4259</v>
      </c>
      <c r="B4265" s="85" t="e">
        <f>+MATCH(D4265,ARTICULOS!$F$10:$F$699,0)</f>
        <v>#N/A</v>
      </c>
      <c r="C4265" s="86" t="e">
        <f>+VLOOKUP(B4265,ARTICULOS!$D$10:$I$699,6)</f>
        <v>#N/A</v>
      </c>
      <c r="D4265" s="212"/>
      <c r="E4265" s="75" t="e">
        <f t="shared" si="136"/>
        <v>#N/A</v>
      </c>
      <c r="F4265" s="80"/>
      <c r="G4265" s="81"/>
      <c r="H4265" s="78"/>
      <c r="I4265" s="78"/>
      <c r="J4265" s="78"/>
    </row>
    <row r="4266" spans="1:10" x14ac:dyDescent="0.2">
      <c r="A4266" s="84">
        <f t="shared" si="137"/>
        <v>4260</v>
      </c>
      <c r="B4266" s="85" t="e">
        <f>+MATCH(D4266,ARTICULOS!$F$10:$F$699,0)</f>
        <v>#N/A</v>
      </c>
      <c r="C4266" s="86" t="e">
        <f>+VLOOKUP(B4266,ARTICULOS!$D$10:$I$699,6)</f>
        <v>#N/A</v>
      </c>
      <c r="D4266" s="212"/>
      <c r="E4266" s="75" t="e">
        <f t="shared" si="136"/>
        <v>#N/A</v>
      </c>
      <c r="F4266" s="80"/>
      <c r="G4266" s="81"/>
      <c r="H4266" s="78"/>
      <c r="I4266" s="78"/>
      <c r="J4266" s="78"/>
    </row>
    <row r="4267" spans="1:10" x14ac:dyDescent="0.2">
      <c r="A4267" s="84">
        <f t="shared" si="137"/>
        <v>4261</v>
      </c>
      <c r="B4267" s="85" t="e">
        <f>+MATCH(D4267,ARTICULOS!$F$10:$F$699,0)</f>
        <v>#N/A</v>
      </c>
      <c r="C4267" s="86" t="e">
        <f>+VLOOKUP(B4267,ARTICULOS!$D$10:$I$699,6)</f>
        <v>#N/A</v>
      </c>
      <c r="D4267" s="212"/>
      <c r="E4267" s="75" t="e">
        <f t="shared" si="136"/>
        <v>#N/A</v>
      </c>
      <c r="F4267" s="80"/>
      <c r="G4267" s="81"/>
      <c r="H4267" s="78"/>
      <c r="I4267" s="78"/>
      <c r="J4267" s="78"/>
    </row>
    <row r="4268" spans="1:10" x14ac:dyDescent="0.2">
      <c r="A4268" s="84">
        <f t="shared" si="137"/>
        <v>4262</v>
      </c>
      <c r="B4268" s="85" t="e">
        <f>+MATCH(D4268,ARTICULOS!$F$10:$F$699,0)</f>
        <v>#N/A</v>
      </c>
      <c r="C4268" s="86" t="e">
        <f>+VLOOKUP(B4268,ARTICULOS!$D$10:$I$699,6)</f>
        <v>#N/A</v>
      </c>
      <c r="D4268" s="212"/>
      <c r="E4268" s="75" t="e">
        <f t="shared" si="136"/>
        <v>#N/A</v>
      </c>
      <c r="F4268" s="80"/>
      <c r="G4268" s="81"/>
      <c r="H4268" s="78"/>
      <c r="I4268" s="78"/>
      <c r="J4268" s="78"/>
    </row>
    <row r="4269" spans="1:10" x14ac:dyDescent="0.2">
      <c r="A4269" s="84">
        <f t="shared" si="137"/>
        <v>4263</v>
      </c>
      <c r="B4269" s="85" t="e">
        <f>+MATCH(D4269,ARTICULOS!$F$10:$F$699,0)</f>
        <v>#N/A</v>
      </c>
      <c r="C4269" s="86" t="e">
        <f>+VLOOKUP(B4269,ARTICULOS!$D$10:$I$699,6)</f>
        <v>#N/A</v>
      </c>
      <c r="D4269" s="212"/>
      <c r="E4269" s="75" t="e">
        <f t="shared" si="136"/>
        <v>#N/A</v>
      </c>
      <c r="F4269" s="80"/>
      <c r="G4269" s="81"/>
      <c r="H4269" s="78"/>
      <c r="I4269" s="78"/>
      <c r="J4269" s="78"/>
    </row>
    <row r="4270" spans="1:10" x14ac:dyDescent="0.2">
      <c r="A4270" s="84">
        <f t="shared" si="137"/>
        <v>4264</v>
      </c>
      <c r="B4270" s="85" t="e">
        <f>+MATCH(D4270,ARTICULOS!$F$10:$F$699,0)</f>
        <v>#N/A</v>
      </c>
      <c r="C4270" s="86" t="e">
        <f>+VLOOKUP(B4270,ARTICULOS!$D$10:$I$699,6)</f>
        <v>#N/A</v>
      </c>
      <c r="D4270" s="212"/>
      <c r="E4270" s="75" t="e">
        <f t="shared" si="136"/>
        <v>#N/A</v>
      </c>
      <c r="F4270" s="80"/>
      <c r="G4270" s="81"/>
      <c r="H4270" s="78"/>
      <c r="I4270" s="78"/>
      <c r="J4270" s="78"/>
    </row>
    <row r="4271" spans="1:10" x14ac:dyDescent="0.2">
      <c r="A4271" s="84">
        <f t="shared" si="137"/>
        <v>4265</v>
      </c>
      <c r="B4271" s="85" t="e">
        <f>+MATCH(D4271,ARTICULOS!$F$10:$F$699,0)</f>
        <v>#N/A</v>
      </c>
      <c r="C4271" s="86" t="e">
        <f>+VLOOKUP(B4271,ARTICULOS!$D$10:$I$699,6)</f>
        <v>#N/A</v>
      </c>
      <c r="D4271" s="212"/>
      <c r="E4271" s="75" t="e">
        <f t="shared" si="136"/>
        <v>#N/A</v>
      </c>
      <c r="F4271" s="80"/>
      <c r="G4271" s="81"/>
      <c r="H4271" s="78"/>
      <c r="I4271" s="78"/>
      <c r="J4271" s="78"/>
    </row>
    <row r="4272" spans="1:10" x14ac:dyDescent="0.2">
      <c r="A4272" s="84">
        <f t="shared" si="137"/>
        <v>4266</v>
      </c>
      <c r="B4272" s="85" t="e">
        <f>+MATCH(D4272,ARTICULOS!$F$10:$F$699,0)</f>
        <v>#N/A</v>
      </c>
      <c r="C4272" s="86" t="e">
        <f>+VLOOKUP(B4272,ARTICULOS!$D$10:$I$699,6)</f>
        <v>#N/A</v>
      </c>
      <c r="D4272" s="212"/>
      <c r="E4272" s="75" t="e">
        <f t="shared" si="136"/>
        <v>#N/A</v>
      </c>
      <c r="F4272" s="80"/>
      <c r="G4272" s="81"/>
      <c r="H4272" s="78"/>
      <c r="I4272" s="78"/>
      <c r="J4272" s="78"/>
    </row>
    <row r="4273" spans="1:10" x14ac:dyDescent="0.2">
      <c r="A4273" s="84">
        <f t="shared" si="137"/>
        <v>4267</v>
      </c>
      <c r="B4273" s="85" t="e">
        <f>+MATCH(D4273,ARTICULOS!$F$10:$F$699,0)</f>
        <v>#N/A</v>
      </c>
      <c r="C4273" s="86" t="e">
        <f>+VLOOKUP(B4273,ARTICULOS!$D$10:$I$699,6)</f>
        <v>#N/A</v>
      </c>
      <c r="D4273" s="212"/>
      <c r="E4273" s="75" t="e">
        <f t="shared" si="136"/>
        <v>#N/A</v>
      </c>
      <c r="F4273" s="80"/>
      <c r="G4273" s="81"/>
      <c r="H4273" s="78"/>
      <c r="I4273" s="78"/>
      <c r="J4273" s="78"/>
    </row>
    <row r="4274" spans="1:10" x14ac:dyDescent="0.2">
      <c r="A4274" s="84">
        <f t="shared" si="137"/>
        <v>4268</v>
      </c>
      <c r="B4274" s="85" t="e">
        <f>+MATCH(D4274,ARTICULOS!$F$10:$F$699,0)</f>
        <v>#N/A</v>
      </c>
      <c r="C4274" s="86" t="e">
        <f>+VLOOKUP(B4274,ARTICULOS!$D$10:$I$699,6)</f>
        <v>#N/A</v>
      </c>
      <c r="D4274" s="212"/>
      <c r="E4274" s="75" t="e">
        <f t="shared" si="136"/>
        <v>#N/A</v>
      </c>
      <c r="F4274" s="80"/>
      <c r="G4274" s="81"/>
      <c r="H4274" s="78"/>
      <c r="I4274" s="78"/>
      <c r="J4274" s="78"/>
    </row>
    <row r="4275" spans="1:10" x14ac:dyDescent="0.2">
      <c r="A4275" s="84">
        <f t="shared" si="137"/>
        <v>4269</v>
      </c>
      <c r="B4275" s="85" t="e">
        <f>+MATCH(D4275,ARTICULOS!$F$10:$F$699,0)</f>
        <v>#N/A</v>
      </c>
      <c r="C4275" s="86" t="e">
        <f>+VLOOKUP(B4275,ARTICULOS!$D$10:$I$699,6)</f>
        <v>#N/A</v>
      </c>
      <c r="D4275" s="212"/>
      <c r="E4275" s="75" t="e">
        <f t="shared" si="136"/>
        <v>#N/A</v>
      </c>
      <c r="F4275" s="80"/>
      <c r="G4275" s="81"/>
      <c r="H4275" s="78"/>
      <c r="I4275" s="78"/>
      <c r="J4275" s="78"/>
    </row>
    <row r="4276" spans="1:10" x14ac:dyDescent="0.2">
      <c r="A4276" s="84">
        <f t="shared" si="137"/>
        <v>4270</v>
      </c>
      <c r="B4276" s="85" t="e">
        <f>+MATCH(D4276,ARTICULOS!$F$10:$F$699,0)</f>
        <v>#N/A</v>
      </c>
      <c r="C4276" s="86" t="e">
        <f>+VLOOKUP(B4276,ARTICULOS!$D$10:$I$699,6)</f>
        <v>#N/A</v>
      </c>
      <c r="D4276" s="212"/>
      <c r="E4276" s="75" t="e">
        <f t="shared" si="136"/>
        <v>#N/A</v>
      </c>
      <c r="F4276" s="80"/>
      <c r="G4276" s="81"/>
      <c r="H4276" s="78"/>
      <c r="I4276" s="78"/>
      <c r="J4276" s="78"/>
    </row>
    <row r="4277" spans="1:10" x14ac:dyDescent="0.2">
      <c r="A4277" s="84">
        <f t="shared" si="137"/>
        <v>4271</v>
      </c>
      <c r="B4277" s="85" t="e">
        <f>+MATCH(D4277,ARTICULOS!$F$10:$F$699,0)</f>
        <v>#N/A</v>
      </c>
      <c r="C4277" s="86" t="e">
        <f>+VLOOKUP(B4277,ARTICULOS!$D$10:$I$699,6)</f>
        <v>#N/A</v>
      </c>
      <c r="D4277" s="212"/>
      <c r="E4277" s="75" t="e">
        <f t="shared" si="136"/>
        <v>#N/A</v>
      </c>
      <c r="F4277" s="80"/>
      <c r="G4277" s="81"/>
      <c r="H4277" s="78"/>
      <c r="I4277" s="78"/>
      <c r="J4277" s="78"/>
    </row>
    <row r="4278" spans="1:10" x14ac:dyDescent="0.2">
      <c r="A4278" s="84">
        <f t="shared" si="137"/>
        <v>4272</v>
      </c>
      <c r="B4278" s="85" t="e">
        <f>+MATCH(D4278,ARTICULOS!$F$10:$F$699,0)</f>
        <v>#N/A</v>
      </c>
      <c r="C4278" s="86" t="e">
        <f>+VLOOKUP(B4278,ARTICULOS!$D$10:$I$699,6)</f>
        <v>#N/A</v>
      </c>
      <c r="D4278" s="212"/>
      <c r="E4278" s="75" t="e">
        <f t="shared" si="136"/>
        <v>#N/A</v>
      </c>
      <c r="F4278" s="80"/>
      <c r="G4278" s="81"/>
      <c r="H4278" s="78"/>
      <c r="I4278" s="78"/>
      <c r="J4278" s="78"/>
    </row>
    <row r="4279" spans="1:10" x14ac:dyDescent="0.2">
      <c r="A4279" s="84">
        <f t="shared" si="137"/>
        <v>4273</v>
      </c>
      <c r="B4279" s="85" t="e">
        <f>+MATCH(D4279,ARTICULOS!$F$10:$F$699,0)</f>
        <v>#N/A</v>
      </c>
      <c r="C4279" s="86" t="e">
        <f>+VLOOKUP(B4279,ARTICULOS!$D$10:$I$699,6)</f>
        <v>#N/A</v>
      </c>
      <c r="D4279" s="212"/>
      <c r="E4279" s="75" t="e">
        <f t="shared" si="136"/>
        <v>#N/A</v>
      </c>
      <c r="F4279" s="80"/>
      <c r="G4279" s="81"/>
      <c r="H4279" s="78"/>
      <c r="I4279" s="78"/>
      <c r="J4279" s="78"/>
    </row>
    <row r="4280" spans="1:10" x14ac:dyDescent="0.2">
      <c r="A4280" s="84">
        <f t="shared" si="137"/>
        <v>4274</v>
      </c>
      <c r="B4280" s="85" t="e">
        <f>+MATCH(D4280,ARTICULOS!$F$10:$F$699,0)</f>
        <v>#N/A</v>
      </c>
      <c r="C4280" s="86" t="e">
        <f>+VLOOKUP(B4280,ARTICULOS!$D$10:$I$699,6)</f>
        <v>#N/A</v>
      </c>
      <c r="D4280" s="212"/>
      <c r="E4280" s="75" t="e">
        <f t="shared" si="136"/>
        <v>#N/A</v>
      </c>
      <c r="F4280" s="80"/>
      <c r="G4280" s="81"/>
      <c r="H4280" s="78"/>
      <c r="I4280" s="78"/>
      <c r="J4280" s="78"/>
    </row>
    <row r="4281" spans="1:10" x14ac:dyDescent="0.2">
      <c r="A4281" s="84">
        <f t="shared" si="137"/>
        <v>4275</v>
      </c>
      <c r="B4281" s="85" t="e">
        <f>+MATCH(D4281,ARTICULOS!$F$10:$F$699,0)</f>
        <v>#N/A</v>
      </c>
      <c r="C4281" s="86" t="e">
        <f>+VLOOKUP(B4281,ARTICULOS!$D$10:$I$699,6)</f>
        <v>#N/A</v>
      </c>
      <c r="D4281" s="212"/>
      <c r="E4281" s="75" t="e">
        <f t="shared" si="136"/>
        <v>#N/A</v>
      </c>
      <c r="F4281" s="80"/>
      <c r="G4281" s="81"/>
      <c r="H4281" s="78"/>
      <c r="I4281" s="78"/>
      <c r="J4281" s="78"/>
    </row>
    <row r="4282" spans="1:10" x14ac:dyDescent="0.2">
      <c r="A4282" s="84">
        <f t="shared" si="137"/>
        <v>4276</v>
      </c>
      <c r="B4282" s="85" t="e">
        <f>+MATCH(D4282,ARTICULOS!$F$10:$F$699,0)</f>
        <v>#N/A</v>
      </c>
      <c r="C4282" s="86" t="e">
        <f>+VLOOKUP(B4282,ARTICULOS!$D$10:$I$699,6)</f>
        <v>#N/A</v>
      </c>
      <c r="D4282" s="212"/>
      <c r="E4282" s="75" t="e">
        <f t="shared" si="136"/>
        <v>#N/A</v>
      </c>
      <c r="F4282" s="80"/>
      <c r="G4282" s="81"/>
      <c r="H4282" s="78"/>
      <c r="I4282" s="78"/>
      <c r="J4282" s="78"/>
    </row>
    <row r="4283" spans="1:10" x14ac:dyDescent="0.2">
      <c r="A4283" s="84">
        <f t="shared" si="137"/>
        <v>4277</v>
      </c>
      <c r="B4283" s="85" t="e">
        <f>+MATCH(D4283,ARTICULOS!$F$10:$F$699,0)</f>
        <v>#N/A</v>
      </c>
      <c r="C4283" s="86" t="e">
        <f>+VLOOKUP(B4283,ARTICULOS!$D$10:$I$699,6)</f>
        <v>#N/A</v>
      </c>
      <c r="D4283" s="212"/>
      <c r="E4283" s="75" t="e">
        <f t="shared" si="136"/>
        <v>#N/A</v>
      </c>
      <c r="F4283" s="80"/>
      <c r="G4283" s="81"/>
      <c r="H4283" s="78"/>
      <c r="I4283" s="78"/>
      <c r="J4283" s="78"/>
    </row>
    <row r="4284" spans="1:10" x14ac:dyDescent="0.2">
      <c r="A4284" s="84">
        <f t="shared" si="137"/>
        <v>4278</v>
      </c>
      <c r="B4284" s="85" t="e">
        <f>+MATCH(D4284,ARTICULOS!$F$10:$F$699,0)</f>
        <v>#N/A</v>
      </c>
      <c r="C4284" s="86" t="e">
        <f>+VLOOKUP(B4284,ARTICULOS!$D$10:$I$699,6)</f>
        <v>#N/A</v>
      </c>
      <c r="D4284" s="212"/>
      <c r="E4284" s="75" t="e">
        <f t="shared" si="136"/>
        <v>#N/A</v>
      </c>
      <c r="F4284" s="80"/>
      <c r="G4284" s="81"/>
      <c r="H4284" s="78"/>
      <c r="I4284" s="78"/>
      <c r="J4284" s="78"/>
    </row>
    <row r="4285" spans="1:10" x14ac:dyDescent="0.2">
      <c r="A4285" s="84">
        <f t="shared" si="137"/>
        <v>4279</v>
      </c>
      <c r="B4285" s="85" t="e">
        <f>+MATCH(D4285,ARTICULOS!$F$10:$F$699,0)</f>
        <v>#N/A</v>
      </c>
      <c r="C4285" s="86" t="e">
        <f>+VLOOKUP(B4285,ARTICULOS!$D$10:$I$699,6)</f>
        <v>#N/A</v>
      </c>
      <c r="D4285" s="212"/>
      <c r="E4285" s="75" t="e">
        <f t="shared" si="136"/>
        <v>#N/A</v>
      </c>
      <c r="F4285" s="80"/>
      <c r="G4285" s="81"/>
      <c r="H4285" s="78"/>
      <c r="I4285" s="78"/>
      <c r="J4285" s="78"/>
    </row>
    <row r="4286" spans="1:10" x14ac:dyDescent="0.2">
      <c r="A4286" s="84">
        <f t="shared" si="137"/>
        <v>4280</v>
      </c>
      <c r="B4286" s="85" t="e">
        <f>+MATCH(D4286,ARTICULOS!$F$10:$F$699,0)</f>
        <v>#N/A</v>
      </c>
      <c r="C4286" s="86" t="e">
        <f>+VLOOKUP(B4286,ARTICULOS!$D$10:$I$699,6)</f>
        <v>#N/A</v>
      </c>
      <c r="D4286" s="212"/>
      <c r="E4286" s="75" t="e">
        <f t="shared" si="136"/>
        <v>#N/A</v>
      </c>
      <c r="F4286" s="80"/>
      <c r="G4286" s="81"/>
      <c r="H4286" s="78"/>
      <c r="I4286" s="78"/>
      <c r="J4286" s="78"/>
    </row>
    <row r="4287" spans="1:10" x14ac:dyDescent="0.2">
      <c r="A4287" s="84">
        <f t="shared" si="137"/>
        <v>4281</v>
      </c>
      <c r="B4287" s="85" t="e">
        <f>+MATCH(D4287,ARTICULOS!$F$10:$F$699,0)</f>
        <v>#N/A</v>
      </c>
      <c r="C4287" s="86" t="e">
        <f>+VLOOKUP(B4287,ARTICULOS!$D$10:$I$699,6)</f>
        <v>#N/A</v>
      </c>
      <c r="D4287" s="212"/>
      <c r="E4287" s="75" t="e">
        <f t="shared" si="136"/>
        <v>#N/A</v>
      </c>
      <c r="F4287" s="80"/>
      <c r="G4287" s="81"/>
      <c r="H4287" s="78"/>
      <c r="I4287" s="78"/>
      <c r="J4287" s="78"/>
    </row>
    <row r="4288" spans="1:10" x14ac:dyDescent="0.2">
      <c r="A4288" s="84">
        <f t="shared" si="137"/>
        <v>4282</v>
      </c>
      <c r="B4288" s="85" t="e">
        <f>+MATCH(D4288,ARTICULOS!$F$10:$F$699,0)</f>
        <v>#N/A</v>
      </c>
      <c r="C4288" s="86" t="e">
        <f>+VLOOKUP(B4288,ARTICULOS!$D$10:$I$699,6)</f>
        <v>#N/A</v>
      </c>
      <c r="D4288" s="212"/>
      <c r="E4288" s="75" t="e">
        <f t="shared" si="136"/>
        <v>#N/A</v>
      </c>
      <c r="F4288" s="80"/>
      <c r="G4288" s="81"/>
      <c r="H4288" s="78"/>
      <c r="I4288" s="78"/>
      <c r="J4288" s="78"/>
    </row>
    <row r="4289" spans="1:10" x14ac:dyDescent="0.2">
      <c r="A4289" s="84">
        <f t="shared" si="137"/>
        <v>4283</v>
      </c>
      <c r="B4289" s="85" t="e">
        <f>+MATCH(D4289,ARTICULOS!$F$10:$F$699,0)</f>
        <v>#N/A</v>
      </c>
      <c r="C4289" s="86" t="e">
        <f>+VLOOKUP(B4289,ARTICULOS!$D$10:$I$699,6)</f>
        <v>#N/A</v>
      </c>
      <c r="D4289" s="212"/>
      <c r="E4289" s="75" t="e">
        <f t="shared" si="136"/>
        <v>#N/A</v>
      </c>
      <c r="F4289" s="80"/>
      <c r="G4289" s="81"/>
      <c r="H4289" s="78"/>
      <c r="I4289" s="78"/>
      <c r="J4289" s="78"/>
    </row>
    <row r="4290" spans="1:10" x14ac:dyDescent="0.2">
      <c r="A4290" s="84">
        <f t="shared" si="137"/>
        <v>4284</v>
      </c>
      <c r="B4290" s="85" t="e">
        <f>+MATCH(D4290,ARTICULOS!$F$10:$F$699,0)</f>
        <v>#N/A</v>
      </c>
      <c r="C4290" s="86" t="e">
        <f>+VLOOKUP(B4290,ARTICULOS!$D$10:$I$699,6)</f>
        <v>#N/A</v>
      </c>
      <c r="D4290" s="212"/>
      <c r="E4290" s="75" t="e">
        <f t="shared" si="136"/>
        <v>#N/A</v>
      </c>
      <c r="F4290" s="80"/>
      <c r="G4290" s="81"/>
      <c r="H4290" s="78"/>
      <c r="I4290" s="78"/>
      <c r="J4290" s="78"/>
    </row>
    <row r="4291" spans="1:10" x14ac:dyDescent="0.2">
      <c r="A4291" s="84">
        <f t="shared" si="137"/>
        <v>4285</v>
      </c>
      <c r="B4291" s="85" t="e">
        <f>+MATCH(D4291,ARTICULOS!$F$10:$F$699,0)</f>
        <v>#N/A</v>
      </c>
      <c r="C4291" s="86" t="e">
        <f>+VLOOKUP(B4291,ARTICULOS!$D$10:$I$699,6)</f>
        <v>#N/A</v>
      </c>
      <c r="D4291" s="212"/>
      <c r="E4291" s="75" t="e">
        <f t="shared" si="136"/>
        <v>#N/A</v>
      </c>
      <c r="F4291" s="80"/>
      <c r="G4291" s="81"/>
      <c r="H4291" s="78"/>
      <c r="I4291" s="78"/>
      <c r="J4291" s="78"/>
    </row>
    <row r="4292" spans="1:10" x14ac:dyDescent="0.2">
      <c r="A4292" s="84">
        <f t="shared" si="137"/>
        <v>4286</v>
      </c>
      <c r="B4292" s="85" t="e">
        <f>+MATCH(D4292,ARTICULOS!$F$10:$F$699,0)</f>
        <v>#N/A</v>
      </c>
      <c r="C4292" s="86" t="e">
        <f>+VLOOKUP(B4292,ARTICULOS!$D$10:$I$699,6)</f>
        <v>#N/A</v>
      </c>
      <c r="D4292" s="212"/>
      <c r="E4292" s="75" t="e">
        <f t="shared" si="136"/>
        <v>#N/A</v>
      </c>
      <c r="F4292" s="80"/>
      <c r="G4292" s="81"/>
      <c r="H4292" s="78"/>
      <c r="I4292" s="78"/>
      <c r="J4292" s="78"/>
    </row>
    <row r="4293" spans="1:10" x14ac:dyDescent="0.2">
      <c r="A4293" s="84">
        <f t="shared" si="137"/>
        <v>4287</v>
      </c>
      <c r="B4293" s="85" t="e">
        <f>+MATCH(D4293,ARTICULOS!$F$10:$F$699,0)</f>
        <v>#N/A</v>
      </c>
      <c r="C4293" s="86" t="e">
        <f>+VLOOKUP(B4293,ARTICULOS!$D$10:$I$699,6)</f>
        <v>#N/A</v>
      </c>
      <c r="D4293" s="212"/>
      <c r="E4293" s="75" t="e">
        <f t="shared" si="136"/>
        <v>#N/A</v>
      </c>
      <c r="F4293" s="80"/>
      <c r="G4293" s="81"/>
      <c r="H4293" s="78"/>
      <c r="I4293" s="78"/>
      <c r="J4293" s="78"/>
    </row>
    <row r="4294" spans="1:10" x14ac:dyDescent="0.2">
      <c r="A4294" s="84">
        <f t="shared" si="137"/>
        <v>4288</v>
      </c>
      <c r="B4294" s="85" t="e">
        <f>+MATCH(D4294,ARTICULOS!$F$10:$F$699,0)</f>
        <v>#N/A</v>
      </c>
      <c r="C4294" s="86" t="e">
        <f>+VLOOKUP(B4294,ARTICULOS!$D$10:$I$699,6)</f>
        <v>#N/A</v>
      </c>
      <c r="D4294" s="212"/>
      <c r="E4294" s="75" t="e">
        <f t="shared" si="136"/>
        <v>#N/A</v>
      </c>
      <c r="F4294" s="80"/>
      <c r="G4294" s="81"/>
      <c r="H4294" s="78"/>
      <c r="I4294" s="78"/>
      <c r="J4294" s="78"/>
    </row>
    <row r="4295" spans="1:10" x14ac:dyDescent="0.2">
      <c r="A4295" s="84">
        <f t="shared" si="137"/>
        <v>4289</v>
      </c>
      <c r="B4295" s="85" t="e">
        <f>+MATCH(D4295,ARTICULOS!$F$10:$F$699,0)</f>
        <v>#N/A</v>
      </c>
      <c r="C4295" s="86" t="e">
        <f>+VLOOKUP(B4295,ARTICULOS!$D$10:$I$699,6)</f>
        <v>#N/A</v>
      </c>
      <c r="D4295" s="212"/>
      <c r="E4295" s="75" t="e">
        <f t="shared" si="136"/>
        <v>#N/A</v>
      </c>
      <c r="F4295" s="80"/>
      <c r="G4295" s="81"/>
      <c r="H4295" s="78"/>
      <c r="I4295" s="78"/>
      <c r="J4295" s="78"/>
    </row>
    <row r="4296" spans="1:10" x14ac:dyDescent="0.2">
      <c r="A4296" s="84">
        <f t="shared" si="137"/>
        <v>4290</v>
      </c>
      <c r="B4296" s="85" t="e">
        <f>+MATCH(D4296,ARTICULOS!$F$10:$F$699,0)</f>
        <v>#N/A</v>
      </c>
      <c r="C4296" s="86" t="e">
        <f>+VLOOKUP(B4296,ARTICULOS!$D$10:$I$699,6)</f>
        <v>#N/A</v>
      </c>
      <c r="D4296" s="212"/>
      <c r="E4296" s="75" t="e">
        <f t="shared" si="136"/>
        <v>#N/A</v>
      </c>
      <c r="F4296" s="80"/>
      <c r="G4296" s="81"/>
      <c r="H4296" s="78"/>
      <c r="I4296" s="78"/>
      <c r="J4296" s="78"/>
    </row>
    <row r="4297" spans="1:10" x14ac:dyDescent="0.2">
      <c r="A4297" s="84">
        <f t="shared" si="137"/>
        <v>4291</v>
      </c>
      <c r="B4297" s="85" t="e">
        <f>+MATCH(D4297,ARTICULOS!$F$10:$F$699,0)</f>
        <v>#N/A</v>
      </c>
      <c r="C4297" s="86" t="e">
        <f>+VLOOKUP(B4297,ARTICULOS!$D$10:$I$699,6)</f>
        <v>#N/A</v>
      </c>
      <c r="D4297" s="212"/>
      <c r="E4297" s="75" t="e">
        <f t="shared" si="136"/>
        <v>#N/A</v>
      </c>
      <c r="F4297" s="80"/>
      <c r="G4297" s="81"/>
      <c r="H4297" s="78"/>
      <c r="I4297" s="78"/>
      <c r="J4297" s="78"/>
    </row>
    <row r="4298" spans="1:10" x14ac:dyDescent="0.2">
      <c r="A4298" s="84">
        <f t="shared" si="137"/>
        <v>4292</v>
      </c>
      <c r="B4298" s="85" t="e">
        <f>+MATCH(D4298,ARTICULOS!$F$10:$F$699,0)</f>
        <v>#N/A</v>
      </c>
      <c r="C4298" s="86" t="e">
        <f>+VLOOKUP(B4298,ARTICULOS!$D$10:$I$699,6)</f>
        <v>#N/A</v>
      </c>
      <c r="D4298" s="212"/>
      <c r="E4298" s="75" t="e">
        <f t="shared" si="136"/>
        <v>#N/A</v>
      </c>
      <c r="F4298" s="80"/>
      <c r="G4298" s="81"/>
      <c r="H4298" s="78"/>
      <c r="I4298" s="78"/>
      <c r="J4298" s="78"/>
    </row>
    <row r="4299" spans="1:10" x14ac:dyDescent="0.2">
      <c r="A4299" s="84">
        <f t="shared" si="137"/>
        <v>4293</v>
      </c>
      <c r="B4299" s="85" t="e">
        <f>+MATCH(D4299,ARTICULOS!$F$10:$F$699,0)</f>
        <v>#N/A</v>
      </c>
      <c r="C4299" s="86" t="e">
        <f>+VLOOKUP(B4299,ARTICULOS!$D$10:$I$699,6)</f>
        <v>#N/A</v>
      </c>
      <c r="D4299" s="212"/>
      <c r="E4299" s="75" t="e">
        <f t="shared" ref="E4299:E4362" si="138">+C4299&amp;F4299</f>
        <v>#N/A</v>
      </c>
      <c r="F4299" s="80"/>
      <c r="G4299" s="81"/>
      <c r="H4299" s="78"/>
      <c r="I4299" s="78"/>
      <c r="J4299" s="78"/>
    </row>
    <row r="4300" spans="1:10" x14ac:dyDescent="0.2">
      <c r="A4300" s="84">
        <f t="shared" si="137"/>
        <v>4294</v>
      </c>
      <c r="B4300" s="85" t="e">
        <f>+MATCH(D4300,ARTICULOS!$F$10:$F$699,0)</f>
        <v>#N/A</v>
      </c>
      <c r="C4300" s="86" t="e">
        <f>+VLOOKUP(B4300,ARTICULOS!$D$10:$I$699,6)</f>
        <v>#N/A</v>
      </c>
      <c r="D4300" s="212"/>
      <c r="E4300" s="75" t="e">
        <f t="shared" si="138"/>
        <v>#N/A</v>
      </c>
      <c r="F4300" s="80"/>
      <c r="G4300" s="81"/>
      <c r="H4300" s="78"/>
      <c r="I4300" s="78"/>
      <c r="J4300" s="78"/>
    </row>
    <row r="4301" spans="1:10" x14ac:dyDescent="0.2">
      <c r="A4301" s="84">
        <f t="shared" si="137"/>
        <v>4295</v>
      </c>
      <c r="B4301" s="85" t="e">
        <f>+MATCH(D4301,ARTICULOS!$F$10:$F$699,0)</f>
        <v>#N/A</v>
      </c>
      <c r="C4301" s="86" t="e">
        <f>+VLOOKUP(B4301,ARTICULOS!$D$10:$I$699,6)</f>
        <v>#N/A</v>
      </c>
      <c r="D4301" s="212"/>
      <c r="E4301" s="75" t="e">
        <f t="shared" si="138"/>
        <v>#N/A</v>
      </c>
      <c r="F4301" s="80"/>
      <c r="G4301" s="81"/>
      <c r="H4301" s="78"/>
      <c r="I4301" s="78"/>
      <c r="J4301" s="78"/>
    </row>
    <row r="4302" spans="1:10" x14ac:dyDescent="0.2">
      <c r="A4302" s="84">
        <f t="shared" si="137"/>
        <v>4296</v>
      </c>
      <c r="B4302" s="85" t="e">
        <f>+MATCH(D4302,ARTICULOS!$F$10:$F$699,0)</f>
        <v>#N/A</v>
      </c>
      <c r="C4302" s="86" t="e">
        <f>+VLOOKUP(B4302,ARTICULOS!$D$10:$I$699,6)</f>
        <v>#N/A</v>
      </c>
      <c r="D4302" s="212"/>
      <c r="E4302" s="75" t="e">
        <f t="shared" si="138"/>
        <v>#N/A</v>
      </c>
      <c r="F4302" s="80"/>
      <c r="G4302" s="81"/>
      <c r="H4302" s="78"/>
      <c r="I4302" s="78"/>
      <c r="J4302" s="78"/>
    </row>
    <row r="4303" spans="1:10" x14ac:dyDescent="0.2">
      <c r="A4303" s="84">
        <f t="shared" si="137"/>
        <v>4297</v>
      </c>
      <c r="B4303" s="85" t="e">
        <f>+MATCH(D4303,ARTICULOS!$F$10:$F$699,0)</f>
        <v>#N/A</v>
      </c>
      <c r="C4303" s="86" t="e">
        <f>+VLOOKUP(B4303,ARTICULOS!$D$10:$I$699,6)</f>
        <v>#N/A</v>
      </c>
      <c r="D4303" s="212"/>
      <c r="E4303" s="75" t="e">
        <f t="shared" si="138"/>
        <v>#N/A</v>
      </c>
      <c r="F4303" s="80"/>
      <c r="G4303" s="81"/>
      <c r="H4303" s="78"/>
      <c r="I4303" s="78"/>
      <c r="J4303" s="78"/>
    </row>
    <row r="4304" spans="1:10" x14ac:dyDescent="0.2">
      <c r="A4304" s="84">
        <f t="shared" si="137"/>
        <v>4298</v>
      </c>
      <c r="B4304" s="85" t="e">
        <f>+MATCH(D4304,ARTICULOS!$F$10:$F$699,0)</f>
        <v>#N/A</v>
      </c>
      <c r="C4304" s="86" t="e">
        <f>+VLOOKUP(B4304,ARTICULOS!$D$10:$I$699,6)</f>
        <v>#N/A</v>
      </c>
      <c r="D4304" s="212"/>
      <c r="E4304" s="75" t="e">
        <f t="shared" si="138"/>
        <v>#N/A</v>
      </c>
      <c r="F4304" s="80"/>
      <c r="G4304" s="81"/>
      <c r="H4304" s="78"/>
      <c r="I4304" s="78"/>
      <c r="J4304" s="78"/>
    </row>
    <row r="4305" spans="1:10" x14ac:dyDescent="0.2">
      <c r="A4305" s="84">
        <f t="shared" si="137"/>
        <v>4299</v>
      </c>
      <c r="B4305" s="85" t="e">
        <f>+MATCH(D4305,ARTICULOS!$F$10:$F$699,0)</f>
        <v>#N/A</v>
      </c>
      <c r="C4305" s="86" t="e">
        <f>+VLOOKUP(B4305,ARTICULOS!$D$10:$I$699,6)</f>
        <v>#N/A</v>
      </c>
      <c r="D4305" s="212"/>
      <c r="E4305" s="75" t="e">
        <f t="shared" si="138"/>
        <v>#N/A</v>
      </c>
      <c r="F4305" s="80"/>
      <c r="G4305" s="81"/>
      <c r="H4305" s="78"/>
      <c r="I4305" s="78"/>
      <c r="J4305" s="78"/>
    </row>
    <row r="4306" spans="1:10" x14ac:dyDescent="0.2">
      <c r="A4306" s="84">
        <f t="shared" si="137"/>
        <v>4300</v>
      </c>
      <c r="B4306" s="85" t="e">
        <f>+MATCH(D4306,ARTICULOS!$F$10:$F$699,0)</f>
        <v>#N/A</v>
      </c>
      <c r="C4306" s="86" t="e">
        <f>+VLOOKUP(B4306,ARTICULOS!$D$10:$I$699,6)</f>
        <v>#N/A</v>
      </c>
      <c r="D4306" s="212"/>
      <c r="E4306" s="75" t="e">
        <f t="shared" si="138"/>
        <v>#N/A</v>
      </c>
      <c r="F4306" s="80"/>
      <c r="G4306" s="81"/>
      <c r="H4306" s="78"/>
      <c r="I4306" s="78"/>
      <c r="J4306" s="78"/>
    </row>
    <row r="4307" spans="1:10" x14ac:dyDescent="0.2">
      <c r="A4307" s="84">
        <f t="shared" si="137"/>
        <v>4301</v>
      </c>
      <c r="B4307" s="85" t="e">
        <f>+MATCH(D4307,ARTICULOS!$F$10:$F$699,0)</f>
        <v>#N/A</v>
      </c>
      <c r="C4307" s="86" t="e">
        <f>+VLOOKUP(B4307,ARTICULOS!$D$10:$I$699,6)</f>
        <v>#N/A</v>
      </c>
      <c r="D4307" s="212"/>
      <c r="E4307" s="75" t="e">
        <f t="shared" si="138"/>
        <v>#N/A</v>
      </c>
      <c r="F4307" s="80"/>
      <c r="G4307" s="81"/>
      <c r="H4307" s="78"/>
      <c r="I4307" s="78"/>
      <c r="J4307" s="78"/>
    </row>
    <row r="4308" spans="1:10" x14ac:dyDescent="0.2">
      <c r="A4308" s="84">
        <f t="shared" si="137"/>
        <v>4302</v>
      </c>
      <c r="B4308" s="85" t="e">
        <f>+MATCH(D4308,ARTICULOS!$F$10:$F$699,0)</f>
        <v>#N/A</v>
      </c>
      <c r="C4308" s="86" t="e">
        <f>+VLOOKUP(B4308,ARTICULOS!$D$10:$I$699,6)</f>
        <v>#N/A</v>
      </c>
      <c r="D4308" s="212"/>
      <c r="E4308" s="75" t="e">
        <f t="shared" si="138"/>
        <v>#N/A</v>
      </c>
      <c r="F4308" s="80"/>
      <c r="G4308" s="81"/>
      <c r="H4308" s="78"/>
      <c r="I4308" s="78"/>
      <c r="J4308" s="78"/>
    </row>
    <row r="4309" spans="1:10" x14ac:dyDescent="0.2">
      <c r="A4309" s="84">
        <f t="shared" si="137"/>
        <v>4303</v>
      </c>
      <c r="B4309" s="85" t="e">
        <f>+MATCH(D4309,ARTICULOS!$F$10:$F$699,0)</f>
        <v>#N/A</v>
      </c>
      <c r="C4309" s="86" t="e">
        <f>+VLOOKUP(B4309,ARTICULOS!$D$10:$I$699,6)</f>
        <v>#N/A</v>
      </c>
      <c r="D4309" s="212"/>
      <c r="E4309" s="75" t="e">
        <f t="shared" si="138"/>
        <v>#N/A</v>
      </c>
      <c r="F4309" s="80"/>
      <c r="G4309" s="81"/>
      <c r="H4309" s="78"/>
      <c r="I4309" s="78"/>
      <c r="J4309" s="78"/>
    </row>
    <row r="4310" spans="1:10" x14ac:dyDescent="0.2">
      <c r="A4310" s="84">
        <f t="shared" si="137"/>
        <v>4304</v>
      </c>
      <c r="B4310" s="85" t="e">
        <f>+MATCH(D4310,ARTICULOS!$F$10:$F$699,0)</f>
        <v>#N/A</v>
      </c>
      <c r="C4310" s="86" t="e">
        <f>+VLOOKUP(B4310,ARTICULOS!$D$10:$I$699,6)</f>
        <v>#N/A</v>
      </c>
      <c r="D4310" s="212"/>
      <c r="E4310" s="75" t="e">
        <f t="shared" si="138"/>
        <v>#N/A</v>
      </c>
      <c r="F4310" s="80"/>
      <c r="G4310" s="81"/>
      <c r="H4310" s="78"/>
      <c r="I4310" s="78"/>
      <c r="J4310" s="78"/>
    </row>
    <row r="4311" spans="1:10" x14ac:dyDescent="0.2">
      <c r="A4311" s="84">
        <f t="shared" si="137"/>
        <v>4305</v>
      </c>
      <c r="B4311" s="85" t="e">
        <f>+MATCH(D4311,ARTICULOS!$F$10:$F$699,0)</f>
        <v>#N/A</v>
      </c>
      <c r="C4311" s="86" t="e">
        <f>+VLOOKUP(B4311,ARTICULOS!$D$10:$I$699,6)</f>
        <v>#N/A</v>
      </c>
      <c r="D4311" s="212"/>
      <c r="E4311" s="75" t="e">
        <f t="shared" si="138"/>
        <v>#N/A</v>
      </c>
      <c r="F4311" s="80"/>
      <c r="G4311" s="81"/>
      <c r="H4311" s="78"/>
      <c r="I4311" s="78"/>
      <c r="J4311" s="78"/>
    </row>
    <row r="4312" spans="1:10" x14ac:dyDescent="0.2">
      <c r="A4312" s="84">
        <f t="shared" si="137"/>
        <v>4306</v>
      </c>
      <c r="B4312" s="85" t="e">
        <f>+MATCH(D4312,ARTICULOS!$F$10:$F$699,0)</f>
        <v>#N/A</v>
      </c>
      <c r="C4312" s="86" t="e">
        <f>+VLOOKUP(B4312,ARTICULOS!$D$10:$I$699,6)</f>
        <v>#N/A</v>
      </c>
      <c r="D4312" s="212"/>
      <c r="E4312" s="75" t="e">
        <f t="shared" si="138"/>
        <v>#N/A</v>
      </c>
      <c r="F4312" s="80"/>
      <c r="G4312" s="81"/>
      <c r="H4312" s="78"/>
      <c r="I4312" s="78"/>
      <c r="J4312" s="78"/>
    </row>
    <row r="4313" spans="1:10" x14ac:dyDescent="0.2">
      <c r="A4313" s="84">
        <f t="shared" si="137"/>
        <v>4307</v>
      </c>
      <c r="B4313" s="85" t="e">
        <f>+MATCH(D4313,ARTICULOS!$F$10:$F$699,0)</f>
        <v>#N/A</v>
      </c>
      <c r="C4313" s="86" t="e">
        <f>+VLOOKUP(B4313,ARTICULOS!$D$10:$I$699,6)</f>
        <v>#N/A</v>
      </c>
      <c r="D4313" s="212"/>
      <c r="E4313" s="75" t="e">
        <f t="shared" si="138"/>
        <v>#N/A</v>
      </c>
      <c r="F4313" s="80"/>
      <c r="G4313" s="81"/>
      <c r="H4313" s="78"/>
      <c r="I4313" s="78"/>
      <c r="J4313" s="78"/>
    </row>
    <row r="4314" spans="1:10" x14ac:dyDescent="0.2">
      <c r="A4314" s="84">
        <f t="shared" si="137"/>
        <v>4308</v>
      </c>
      <c r="B4314" s="85" t="e">
        <f>+MATCH(D4314,ARTICULOS!$F$10:$F$699,0)</f>
        <v>#N/A</v>
      </c>
      <c r="C4314" s="86" t="e">
        <f>+VLOOKUP(B4314,ARTICULOS!$D$10:$I$699,6)</f>
        <v>#N/A</v>
      </c>
      <c r="D4314" s="212"/>
      <c r="E4314" s="75" t="e">
        <f t="shared" si="138"/>
        <v>#N/A</v>
      </c>
      <c r="F4314" s="80"/>
      <c r="G4314" s="81"/>
      <c r="H4314" s="78"/>
      <c r="I4314" s="78"/>
      <c r="J4314" s="78"/>
    </row>
    <row r="4315" spans="1:10" x14ac:dyDescent="0.2">
      <c r="A4315" s="84">
        <f t="shared" si="137"/>
        <v>4309</v>
      </c>
      <c r="B4315" s="85" t="e">
        <f>+MATCH(D4315,ARTICULOS!$F$10:$F$699,0)</f>
        <v>#N/A</v>
      </c>
      <c r="C4315" s="86" t="e">
        <f>+VLOOKUP(B4315,ARTICULOS!$D$10:$I$699,6)</f>
        <v>#N/A</v>
      </c>
      <c r="D4315" s="212"/>
      <c r="E4315" s="75" t="e">
        <f t="shared" si="138"/>
        <v>#N/A</v>
      </c>
      <c r="F4315" s="80"/>
      <c r="G4315" s="81"/>
      <c r="H4315" s="78"/>
      <c r="I4315" s="78"/>
      <c r="J4315" s="78"/>
    </row>
    <row r="4316" spans="1:10" x14ac:dyDescent="0.2">
      <c r="A4316" s="84">
        <f t="shared" si="137"/>
        <v>4310</v>
      </c>
      <c r="B4316" s="85" t="e">
        <f>+MATCH(D4316,ARTICULOS!$F$10:$F$699,0)</f>
        <v>#N/A</v>
      </c>
      <c r="C4316" s="86" t="e">
        <f>+VLOOKUP(B4316,ARTICULOS!$D$10:$I$699,6)</f>
        <v>#N/A</v>
      </c>
      <c r="D4316" s="212"/>
      <c r="E4316" s="75" t="e">
        <f t="shared" si="138"/>
        <v>#N/A</v>
      </c>
      <c r="F4316" s="80"/>
      <c r="G4316" s="81"/>
      <c r="H4316" s="78"/>
      <c r="I4316" s="78"/>
      <c r="J4316" s="78"/>
    </row>
    <row r="4317" spans="1:10" x14ac:dyDescent="0.2">
      <c r="A4317" s="84">
        <f t="shared" si="137"/>
        <v>4311</v>
      </c>
      <c r="B4317" s="85" t="e">
        <f>+MATCH(D4317,ARTICULOS!$F$10:$F$699,0)</f>
        <v>#N/A</v>
      </c>
      <c r="C4317" s="86" t="e">
        <f>+VLOOKUP(B4317,ARTICULOS!$D$10:$I$699,6)</f>
        <v>#N/A</v>
      </c>
      <c r="D4317" s="212"/>
      <c r="E4317" s="75" t="e">
        <f t="shared" si="138"/>
        <v>#N/A</v>
      </c>
      <c r="F4317" s="80"/>
      <c r="G4317" s="81"/>
      <c r="H4317" s="78"/>
      <c r="I4317" s="78"/>
      <c r="J4317" s="78"/>
    </row>
    <row r="4318" spans="1:10" x14ac:dyDescent="0.2">
      <c r="A4318" s="84">
        <f t="shared" si="137"/>
        <v>4312</v>
      </c>
      <c r="B4318" s="85" t="e">
        <f>+MATCH(D4318,ARTICULOS!$F$10:$F$699,0)</f>
        <v>#N/A</v>
      </c>
      <c r="C4318" s="86" t="e">
        <f>+VLOOKUP(B4318,ARTICULOS!$D$10:$I$699,6)</f>
        <v>#N/A</v>
      </c>
      <c r="D4318" s="212"/>
      <c r="E4318" s="75" t="e">
        <f t="shared" si="138"/>
        <v>#N/A</v>
      </c>
      <c r="F4318" s="80"/>
      <c r="G4318" s="81"/>
      <c r="H4318" s="78"/>
      <c r="I4318" s="78"/>
      <c r="J4318" s="78"/>
    </row>
    <row r="4319" spans="1:10" x14ac:dyDescent="0.2">
      <c r="A4319" s="84">
        <f t="shared" si="137"/>
        <v>4313</v>
      </c>
      <c r="B4319" s="85" t="e">
        <f>+MATCH(D4319,ARTICULOS!$F$10:$F$699,0)</f>
        <v>#N/A</v>
      </c>
      <c r="C4319" s="86" t="e">
        <f>+VLOOKUP(B4319,ARTICULOS!$D$10:$I$699,6)</f>
        <v>#N/A</v>
      </c>
      <c r="D4319" s="212"/>
      <c r="E4319" s="75" t="e">
        <f t="shared" si="138"/>
        <v>#N/A</v>
      </c>
      <c r="F4319" s="80"/>
      <c r="G4319" s="81"/>
      <c r="H4319" s="78"/>
      <c r="I4319" s="78"/>
      <c r="J4319" s="78"/>
    </row>
    <row r="4320" spans="1:10" x14ac:dyDescent="0.2">
      <c r="A4320" s="84">
        <f t="shared" si="137"/>
        <v>4314</v>
      </c>
      <c r="B4320" s="85" t="e">
        <f>+MATCH(D4320,ARTICULOS!$F$10:$F$699,0)</f>
        <v>#N/A</v>
      </c>
      <c r="C4320" s="86" t="e">
        <f>+VLOOKUP(B4320,ARTICULOS!$D$10:$I$699,6)</f>
        <v>#N/A</v>
      </c>
      <c r="D4320" s="212"/>
      <c r="E4320" s="75" t="e">
        <f t="shared" si="138"/>
        <v>#N/A</v>
      </c>
      <c r="F4320" s="80"/>
      <c r="G4320" s="81"/>
      <c r="H4320" s="78"/>
      <c r="I4320" s="78"/>
      <c r="J4320" s="78"/>
    </row>
    <row r="4321" spans="1:10" x14ac:dyDescent="0.2">
      <c r="A4321" s="84">
        <f t="shared" si="137"/>
        <v>4315</v>
      </c>
      <c r="B4321" s="85" t="e">
        <f>+MATCH(D4321,ARTICULOS!$F$10:$F$699,0)</f>
        <v>#N/A</v>
      </c>
      <c r="C4321" s="86" t="e">
        <f>+VLOOKUP(B4321,ARTICULOS!$D$10:$I$699,6)</f>
        <v>#N/A</v>
      </c>
      <c r="D4321" s="212"/>
      <c r="E4321" s="75" t="e">
        <f t="shared" si="138"/>
        <v>#N/A</v>
      </c>
      <c r="F4321" s="80"/>
      <c r="G4321" s="81"/>
      <c r="H4321" s="78"/>
      <c r="I4321" s="78"/>
      <c r="J4321" s="78"/>
    </row>
    <row r="4322" spans="1:10" x14ac:dyDescent="0.2">
      <c r="A4322" s="84">
        <f t="shared" si="137"/>
        <v>4316</v>
      </c>
      <c r="B4322" s="85" t="e">
        <f>+MATCH(D4322,ARTICULOS!$F$10:$F$699,0)</f>
        <v>#N/A</v>
      </c>
      <c r="C4322" s="86" t="e">
        <f>+VLOOKUP(B4322,ARTICULOS!$D$10:$I$699,6)</f>
        <v>#N/A</v>
      </c>
      <c r="D4322" s="212"/>
      <c r="E4322" s="75" t="e">
        <f t="shared" si="138"/>
        <v>#N/A</v>
      </c>
      <c r="F4322" s="80"/>
      <c r="G4322" s="81"/>
      <c r="H4322" s="78"/>
      <c r="I4322" s="78"/>
      <c r="J4322" s="78"/>
    </row>
    <row r="4323" spans="1:10" x14ac:dyDescent="0.2">
      <c r="A4323" s="84">
        <f t="shared" si="137"/>
        <v>4317</v>
      </c>
      <c r="B4323" s="85" t="e">
        <f>+MATCH(D4323,ARTICULOS!$F$10:$F$699,0)</f>
        <v>#N/A</v>
      </c>
      <c r="C4323" s="86" t="e">
        <f>+VLOOKUP(B4323,ARTICULOS!$D$10:$I$699,6)</f>
        <v>#N/A</v>
      </c>
      <c r="D4323" s="212"/>
      <c r="E4323" s="75" t="e">
        <f t="shared" si="138"/>
        <v>#N/A</v>
      </c>
      <c r="F4323" s="80"/>
      <c r="G4323" s="81"/>
      <c r="H4323" s="78"/>
      <c r="I4323" s="78"/>
      <c r="J4323" s="78"/>
    </row>
    <row r="4324" spans="1:10" x14ac:dyDescent="0.2">
      <c r="A4324" s="84">
        <f t="shared" si="137"/>
        <v>4318</v>
      </c>
      <c r="B4324" s="85" t="e">
        <f>+MATCH(D4324,ARTICULOS!$F$10:$F$699,0)</f>
        <v>#N/A</v>
      </c>
      <c r="C4324" s="86" t="e">
        <f>+VLOOKUP(B4324,ARTICULOS!$D$10:$I$699,6)</f>
        <v>#N/A</v>
      </c>
      <c r="D4324" s="212"/>
      <c r="E4324" s="75" t="e">
        <f t="shared" si="138"/>
        <v>#N/A</v>
      </c>
      <c r="F4324" s="80"/>
      <c r="G4324" s="81"/>
      <c r="H4324" s="78"/>
      <c r="I4324" s="78"/>
      <c r="J4324" s="78"/>
    </row>
    <row r="4325" spans="1:10" x14ac:dyDescent="0.2">
      <c r="A4325" s="84">
        <f t="shared" si="137"/>
        <v>4319</v>
      </c>
      <c r="B4325" s="85" t="e">
        <f>+MATCH(D4325,ARTICULOS!$F$10:$F$699,0)</f>
        <v>#N/A</v>
      </c>
      <c r="C4325" s="86" t="e">
        <f>+VLOOKUP(B4325,ARTICULOS!$D$10:$I$699,6)</f>
        <v>#N/A</v>
      </c>
      <c r="D4325" s="212"/>
      <c r="E4325" s="75" t="e">
        <f t="shared" si="138"/>
        <v>#N/A</v>
      </c>
      <c r="F4325" s="80"/>
      <c r="G4325" s="81"/>
      <c r="H4325" s="78"/>
      <c r="I4325" s="78"/>
      <c r="J4325" s="78"/>
    </row>
    <row r="4326" spans="1:10" x14ac:dyDescent="0.2">
      <c r="A4326" s="84">
        <f t="shared" si="137"/>
        <v>4320</v>
      </c>
      <c r="B4326" s="85" t="e">
        <f>+MATCH(D4326,ARTICULOS!$F$10:$F$699,0)</f>
        <v>#N/A</v>
      </c>
      <c r="C4326" s="86" t="e">
        <f>+VLOOKUP(B4326,ARTICULOS!$D$10:$I$699,6)</f>
        <v>#N/A</v>
      </c>
      <c r="D4326" s="212"/>
      <c r="E4326" s="75" t="e">
        <f t="shared" si="138"/>
        <v>#N/A</v>
      </c>
      <c r="F4326" s="80"/>
      <c r="G4326" s="81"/>
      <c r="H4326" s="78"/>
      <c r="I4326" s="78"/>
      <c r="J4326" s="78"/>
    </row>
    <row r="4327" spans="1:10" x14ac:dyDescent="0.2">
      <c r="A4327" s="84">
        <f t="shared" si="137"/>
        <v>4321</v>
      </c>
      <c r="B4327" s="85" t="e">
        <f>+MATCH(D4327,ARTICULOS!$F$10:$F$699,0)</f>
        <v>#N/A</v>
      </c>
      <c r="C4327" s="86" t="e">
        <f>+VLOOKUP(B4327,ARTICULOS!$D$10:$I$699,6)</f>
        <v>#N/A</v>
      </c>
      <c r="D4327" s="212"/>
      <c r="E4327" s="75" t="e">
        <f t="shared" si="138"/>
        <v>#N/A</v>
      </c>
      <c r="F4327" s="80"/>
      <c r="G4327" s="81"/>
      <c r="H4327" s="78"/>
      <c r="I4327" s="78"/>
      <c r="J4327" s="78"/>
    </row>
    <row r="4328" spans="1:10" x14ac:dyDescent="0.2">
      <c r="A4328" s="84">
        <f t="shared" si="137"/>
        <v>4322</v>
      </c>
      <c r="B4328" s="85" t="e">
        <f>+MATCH(D4328,ARTICULOS!$F$10:$F$699,0)</f>
        <v>#N/A</v>
      </c>
      <c r="C4328" s="86" t="e">
        <f>+VLOOKUP(B4328,ARTICULOS!$D$10:$I$699,6)</f>
        <v>#N/A</v>
      </c>
      <c r="D4328" s="212"/>
      <c r="E4328" s="75" t="e">
        <f t="shared" si="138"/>
        <v>#N/A</v>
      </c>
      <c r="F4328" s="80"/>
      <c r="G4328" s="81"/>
      <c r="H4328" s="78"/>
      <c r="I4328" s="78"/>
      <c r="J4328" s="78"/>
    </row>
    <row r="4329" spans="1:10" x14ac:dyDescent="0.2">
      <c r="A4329" s="84">
        <f t="shared" ref="A4329:A4394" si="139">ROW()-6</f>
        <v>4323</v>
      </c>
      <c r="B4329" s="85" t="e">
        <f>+MATCH(D4329,ARTICULOS!$F$10:$F$699,0)</f>
        <v>#N/A</v>
      </c>
      <c r="C4329" s="86" t="e">
        <f>+VLOOKUP(B4329,ARTICULOS!$D$10:$I$699,6)</f>
        <v>#N/A</v>
      </c>
      <c r="D4329" s="212"/>
      <c r="E4329" s="75" t="e">
        <f t="shared" si="138"/>
        <v>#N/A</v>
      </c>
      <c r="F4329" s="80"/>
      <c r="G4329" s="81"/>
      <c r="H4329" s="78"/>
      <c r="I4329" s="78"/>
      <c r="J4329" s="78"/>
    </row>
    <row r="4330" spans="1:10" x14ac:dyDescent="0.2">
      <c r="A4330" s="84">
        <f t="shared" si="139"/>
        <v>4324</v>
      </c>
      <c r="B4330" s="85" t="e">
        <f>+MATCH(D4330,ARTICULOS!$F$10:$F$699,0)</f>
        <v>#N/A</v>
      </c>
      <c r="C4330" s="86" t="e">
        <f>+VLOOKUP(B4330,ARTICULOS!$D$10:$I$699,6)</f>
        <v>#N/A</v>
      </c>
      <c r="D4330" s="212"/>
      <c r="E4330" s="75" t="e">
        <f t="shared" si="138"/>
        <v>#N/A</v>
      </c>
      <c r="F4330" s="80"/>
      <c r="G4330" s="81"/>
      <c r="H4330" s="78"/>
      <c r="I4330" s="78"/>
      <c r="J4330" s="78"/>
    </row>
    <row r="4331" spans="1:10" x14ac:dyDescent="0.2">
      <c r="A4331" s="84">
        <f t="shared" si="139"/>
        <v>4325</v>
      </c>
      <c r="B4331" s="85" t="e">
        <f>+MATCH(D4331,ARTICULOS!$F$10:$F$699,0)</f>
        <v>#N/A</v>
      </c>
      <c r="C4331" s="86" t="e">
        <f>+VLOOKUP(B4331,ARTICULOS!$D$10:$I$699,6)</f>
        <v>#N/A</v>
      </c>
      <c r="D4331" s="212"/>
      <c r="E4331" s="75" t="e">
        <f t="shared" si="138"/>
        <v>#N/A</v>
      </c>
      <c r="F4331" s="80"/>
      <c r="G4331" s="81"/>
      <c r="H4331" s="78"/>
      <c r="I4331" s="78"/>
      <c r="J4331" s="78"/>
    </row>
    <row r="4332" spans="1:10" x14ac:dyDescent="0.2">
      <c r="A4332" s="84">
        <f t="shared" si="139"/>
        <v>4326</v>
      </c>
      <c r="B4332" s="85" t="e">
        <f>+MATCH(D4332,ARTICULOS!$F$10:$F$699,0)</f>
        <v>#N/A</v>
      </c>
      <c r="C4332" s="86" t="e">
        <f>+VLOOKUP(B4332,ARTICULOS!$D$10:$I$699,6)</f>
        <v>#N/A</v>
      </c>
      <c r="D4332" s="212"/>
      <c r="E4332" s="75" t="e">
        <f t="shared" si="138"/>
        <v>#N/A</v>
      </c>
      <c r="F4332" s="80"/>
      <c r="G4332" s="81"/>
      <c r="H4332" s="78"/>
      <c r="I4332" s="78"/>
      <c r="J4332" s="78"/>
    </row>
    <row r="4333" spans="1:10" x14ac:dyDescent="0.2">
      <c r="A4333" s="84">
        <f t="shared" si="139"/>
        <v>4327</v>
      </c>
      <c r="B4333" s="85" t="e">
        <f>+MATCH(D4333,ARTICULOS!$F$10:$F$699,0)</f>
        <v>#N/A</v>
      </c>
      <c r="C4333" s="86" t="e">
        <f>+VLOOKUP(B4333,ARTICULOS!$D$10:$I$699,6)</f>
        <v>#N/A</v>
      </c>
      <c r="D4333" s="212"/>
      <c r="E4333" s="75" t="e">
        <f t="shared" si="138"/>
        <v>#N/A</v>
      </c>
      <c r="F4333" s="80"/>
      <c r="G4333" s="81"/>
      <c r="H4333" s="78"/>
      <c r="I4333" s="78"/>
      <c r="J4333" s="78"/>
    </row>
    <row r="4334" spans="1:10" x14ac:dyDescent="0.2">
      <c r="A4334" s="84">
        <f t="shared" si="139"/>
        <v>4328</v>
      </c>
      <c r="B4334" s="85" t="e">
        <f>+MATCH(D4334,ARTICULOS!$F$10:$F$699,0)</f>
        <v>#N/A</v>
      </c>
      <c r="C4334" s="86" t="e">
        <f>+VLOOKUP(B4334,ARTICULOS!$D$10:$I$699,6)</f>
        <v>#N/A</v>
      </c>
      <c r="D4334" s="212"/>
      <c r="E4334" s="75" t="e">
        <f t="shared" si="138"/>
        <v>#N/A</v>
      </c>
      <c r="F4334" s="80"/>
      <c r="G4334" s="81"/>
      <c r="H4334" s="78"/>
      <c r="I4334" s="78"/>
      <c r="J4334" s="78"/>
    </row>
    <row r="4335" spans="1:10" x14ac:dyDescent="0.2">
      <c r="A4335" s="84">
        <f t="shared" si="139"/>
        <v>4329</v>
      </c>
      <c r="B4335" s="85" t="e">
        <f>+MATCH(D4335,ARTICULOS!$F$10:$F$699,0)</f>
        <v>#N/A</v>
      </c>
      <c r="C4335" s="86" t="e">
        <f>+VLOOKUP(B4335,ARTICULOS!$D$10:$I$699,6)</f>
        <v>#N/A</v>
      </c>
      <c r="D4335" s="212"/>
      <c r="E4335" s="75" t="e">
        <f t="shared" si="138"/>
        <v>#N/A</v>
      </c>
      <c r="F4335" s="80"/>
      <c r="G4335" s="81"/>
      <c r="H4335" s="78"/>
      <c r="I4335" s="78"/>
      <c r="J4335" s="78"/>
    </row>
    <row r="4336" spans="1:10" x14ac:dyDescent="0.2">
      <c r="A4336" s="84">
        <f t="shared" si="139"/>
        <v>4330</v>
      </c>
      <c r="B4336" s="85" t="e">
        <f>+MATCH(D4336,ARTICULOS!$F$10:$F$699,0)</f>
        <v>#N/A</v>
      </c>
      <c r="C4336" s="86" t="e">
        <f>+VLOOKUP(B4336,ARTICULOS!$D$10:$I$699,6)</f>
        <v>#N/A</v>
      </c>
      <c r="D4336" s="212"/>
      <c r="E4336" s="75" t="e">
        <f t="shared" si="138"/>
        <v>#N/A</v>
      </c>
      <c r="F4336" s="80"/>
      <c r="G4336" s="81"/>
      <c r="H4336" s="78"/>
      <c r="I4336" s="78"/>
      <c r="J4336" s="78"/>
    </row>
    <row r="4337" spans="1:10" x14ac:dyDescent="0.2">
      <c r="A4337" s="84">
        <f t="shared" si="139"/>
        <v>4331</v>
      </c>
      <c r="B4337" s="85" t="e">
        <f>+MATCH(D4337,ARTICULOS!$F$10:$F$699,0)</f>
        <v>#N/A</v>
      </c>
      <c r="C4337" s="86" t="e">
        <f>+VLOOKUP(B4337,ARTICULOS!$D$10:$I$699,6)</f>
        <v>#N/A</v>
      </c>
      <c r="D4337" s="212"/>
      <c r="E4337" s="75" t="e">
        <f t="shared" si="138"/>
        <v>#N/A</v>
      </c>
      <c r="F4337" s="80"/>
      <c r="G4337" s="81"/>
      <c r="H4337" s="78"/>
      <c r="I4337" s="78"/>
      <c r="J4337" s="78"/>
    </row>
    <row r="4338" spans="1:10" x14ac:dyDescent="0.2">
      <c r="A4338" s="84">
        <f t="shared" si="139"/>
        <v>4332</v>
      </c>
      <c r="B4338" s="85" t="e">
        <f>+MATCH(D4338,ARTICULOS!$F$10:$F$699,0)</f>
        <v>#N/A</v>
      </c>
      <c r="C4338" s="86" t="e">
        <f>+VLOOKUP(B4338,ARTICULOS!$D$10:$I$699,6)</f>
        <v>#N/A</v>
      </c>
      <c r="D4338" s="212"/>
      <c r="E4338" s="75" t="e">
        <f t="shared" si="138"/>
        <v>#N/A</v>
      </c>
      <c r="F4338" s="80"/>
      <c r="G4338" s="81"/>
      <c r="H4338" s="78"/>
      <c r="I4338" s="78"/>
      <c r="J4338" s="78"/>
    </row>
    <row r="4339" spans="1:10" x14ac:dyDescent="0.2">
      <c r="A4339" s="84">
        <f t="shared" si="139"/>
        <v>4333</v>
      </c>
      <c r="B4339" s="85" t="e">
        <f>+MATCH(D4339,ARTICULOS!$F$10:$F$699,0)</f>
        <v>#N/A</v>
      </c>
      <c r="C4339" s="86" t="e">
        <f>+VLOOKUP(B4339,ARTICULOS!$D$10:$I$699,6)</f>
        <v>#N/A</v>
      </c>
      <c r="D4339" s="212"/>
      <c r="E4339" s="75" t="e">
        <f t="shared" si="138"/>
        <v>#N/A</v>
      </c>
      <c r="F4339" s="80"/>
      <c r="G4339" s="81"/>
      <c r="H4339" s="78"/>
      <c r="I4339" s="78"/>
      <c r="J4339" s="78"/>
    </row>
    <row r="4340" spans="1:10" x14ac:dyDescent="0.2">
      <c r="A4340" s="84">
        <f t="shared" si="139"/>
        <v>4334</v>
      </c>
      <c r="B4340" s="85" t="e">
        <f>+MATCH(D4340,ARTICULOS!$F$10:$F$699,0)</f>
        <v>#N/A</v>
      </c>
      <c r="C4340" s="86" t="e">
        <f>+VLOOKUP(B4340,ARTICULOS!$D$10:$I$699,6)</f>
        <v>#N/A</v>
      </c>
      <c r="D4340" s="212"/>
      <c r="E4340" s="75" t="e">
        <f t="shared" si="138"/>
        <v>#N/A</v>
      </c>
      <c r="F4340" s="80"/>
      <c r="G4340" s="81"/>
      <c r="H4340" s="78"/>
      <c r="I4340" s="78"/>
      <c r="J4340" s="78"/>
    </row>
    <row r="4341" spans="1:10" x14ac:dyDescent="0.2">
      <c r="A4341" s="84">
        <f t="shared" si="139"/>
        <v>4335</v>
      </c>
      <c r="B4341" s="85" t="e">
        <f>+MATCH(D4341,ARTICULOS!$F$10:$F$699,0)</f>
        <v>#N/A</v>
      </c>
      <c r="C4341" s="86" t="e">
        <f>+VLOOKUP(B4341,ARTICULOS!$D$10:$I$699,6)</f>
        <v>#N/A</v>
      </c>
      <c r="D4341" s="212"/>
      <c r="E4341" s="75" t="e">
        <f t="shared" si="138"/>
        <v>#N/A</v>
      </c>
      <c r="F4341" s="80"/>
      <c r="G4341" s="81"/>
      <c r="H4341" s="78"/>
      <c r="I4341" s="78"/>
      <c r="J4341" s="78"/>
    </row>
    <row r="4342" spans="1:10" x14ac:dyDescent="0.2">
      <c r="A4342" s="84">
        <f t="shared" si="139"/>
        <v>4336</v>
      </c>
      <c r="B4342" s="85" t="e">
        <f>+MATCH(D4342,ARTICULOS!$F$10:$F$699,0)</f>
        <v>#N/A</v>
      </c>
      <c r="C4342" s="86" t="e">
        <f>+VLOOKUP(B4342,ARTICULOS!$D$10:$I$699,6)</f>
        <v>#N/A</v>
      </c>
      <c r="D4342" s="212"/>
      <c r="E4342" s="75" t="e">
        <f t="shared" si="138"/>
        <v>#N/A</v>
      </c>
      <c r="F4342" s="80"/>
      <c r="G4342" s="81"/>
      <c r="H4342" s="78"/>
      <c r="I4342" s="78"/>
      <c r="J4342" s="78"/>
    </row>
    <row r="4343" spans="1:10" x14ac:dyDescent="0.2">
      <c r="A4343" s="84">
        <f t="shared" si="139"/>
        <v>4337</v>
      </c>
      <c r="B4343" s="85" t="e">
        <f>+MATCH(D4343,ARTICULOS!$F$10:$F$699,0)</f>
        <v>#N/A</v>
      </c>
      <c r="C4343" s="86" t="e">
        <f>+VLOOKUP(B4343,ARTICULOS!$D$10:$I$699,6)</f>
        <v>#N/A</v>
      </c>
      <c r="D4343" s="212"/>
      <c r="E4343" s="75" t="e">
        <f t="shared" si="138"/>
        <v>#N/A</v>
      </c>
      <c r="F4343" s="80"/>
      <c r="G4343" s="81"/>
      <c r="H4343" s="78"/>
      <c r="I4343" s="78"/>
      <c r="J4343" s="78"/>
    </row>
    <row r="4344" spans="1:10" x14ac:dyDescent="0.2">
      <c r="A4344" s="84">
        <f t="shared" si="139"/>
        <v>4338</v>
      </c>
      <c r="B4344" s="85" t="e">
        <f>+MATCH(D4344,ARTICULOS!$F$10:$F$699,0)</f>
        <v>#N/A</v>
      </c>
      <c r="C4344" s="86" t="e">
        <f>+VLOOKUP(B4344,ARTICULOS!$D$10:$I$699,6)</f>
        <v>#N/A</v>
      </c>
      <c r="D4344" s="212"/>
      <c r="E4344" s="75" t="e">
        <f t="shared" si="138"/>
        <v>#N/A</v>
      </c>
      <c r="F4344" s="80"/>
      <c r="G4344" s="81"/>
      <c r="H4344" s="78"/>
      <c r="I4344" s="78"/>
      <c r="J4344" s="78"/>
    </row>
    <row r="4345" spans="1:10" x14ac:dyDescent="0.2">
      <c r="A4345" s="84">
        <f t="shared" si="139"/>
        <v>4339</v>
      </c>
      <c r="B4345" s="85" t="e">
        <f>+MATCH(D4345,ARTICULOS!$F$10:$F$699,0)</f>
        <v>#N/A</v>
      </c>
      <c r="C4345" s="86" t="e">
        <f>+VLOOKUP(B4345,ARTICULOS!$D$10:$I$699,6)</f>
        <v>#N/A</v>
      </c>
      <c r="D4345" s="212"/>
      <c r="E4345" s="75" t="e">
        <f t="shared" si="138"/>
        <v>#N/A</v>
      </c>
      <c r="F4345" s="80"/>
      <c r="G4345" s="81"/>
      <c r="H4345" s="78"/>
      <c r="I4345" s="78"/>
      <c r="J4345" s="78"/>
    </row>
    <row r="4346" spans="1:10" x14ac:dyDescent="0.2">
      <c r="A4346" s="84">
        <f t="shared" si="139"/>
        <v>4340</v>
      </c>
      <c r="B4346" s="85" t="e">
        <f>+MATCH(D4346,ARTICULOS!$F$10:$F$699,0)</f>
        <v>#N/A</v>
      </c>
      <c r="C4346" s="86" t="e">
        <f>+VLOOKUP(B4346,ARTICULOS!$D$10:$I$699,6)</f>
        <v>#N/A</v>
      </c>
      <c r="D4346" s="212"/>
      <c r="E4346" s="75" t="e">
        <f t="shared" si="138"/>
        <v>#N/A</v>
      </c>
      <c r="F4346" s="80"/>
      <c r="G4346" s="81"/>
      <c r="H4346" s="78"/>
      <c r="I4346" s="78"/>
      <c r="J4346" s="78"/>
    </row>
    <row r="4347" spans="1:10" x14ac:dyDescent="0.2">
      <c r="A4347" s="84">
        <f t="shared" si="139"/>
        <v>4341</v>
      </c>
      <c r="B4347" s="85" t="e">
        <f>+MATCH(D4347,ARTICULOS!$F$10:$F$699,0)</f>
        <v>#N/A</v>
      </c>
      <c r="C4347" s="86" t="e">
        <f>+VLOOKUP(B4347,ARTICULOS!$D$10:$I$699,6)</f>
        <v>#N/A</v>
      </c>
      <c r="D4347" s="212"/>
      <c r="E4347" s="75" t="e">
        <f t="shared" si="138"/>
        <v>#N/A</v>
      </c>
      <c r="F4347" s="80"/>
      <c r="G4347" s="81"/>
      <c r="H4347" s="78"/>
      <c r="I4347" s="78"/>
      <c r="J4347" s="78"/>
    </row>
    <row r="4348" spans="1:10" x14ac:dyDescent="0.2">
      <c r="A4348" s="84">
        <f t="shared" si="139"/>
        <v>4342</v>
      </c>
      <c r="B4348" s="85" t="e">
        <f>+MATCH(D4348,ARTICULOS!$F$10:$F$699,0)</f>
        <v>#N/A</v>
      </c>
      <c r="C4348" s="86" t="e">
        <f>+VLOOKUP(B4348,ARTICULOS!$D$10:$I$699,6)</f>
        <v>#N/A</v>
      </c>
      <c r="D4348" s="212"/>
      <c r="E4348" s="75" t="e">
        <f t="shared" si="138"/>
        <v>#N/A</v>
      </c>
      <c r="F4348" s="80"/>
      <c r="G4348" s="81"/>
      <c r="H4348" s="78"/>
      <c r="I4348" s="78"/>
      <c r="J4348" s="78"/>
    </row>
    <row r="4349" spans="1:10" x14ac:dyDescent="0.2">
      <c r="A4349" s="84">
        <f t="shared" si="139"/>
        <v>4343</v>
      </c>
      <c r="B4349" s="85" t="e">
        <f>+MATCH(D4349,ARTICULOS!$F$10:$F$699,0)</f>
        <v>#N/A</v>
      </c>
      <c r="C4349" s="86" t="e">
        <f>+VLOOKUP(B4349,ARTICULOS!$D$10:$I$699,6)</f>
        <v>#N/A</v>
      </c>
      <c r="D4349" s="212"/>
      <c r="E4349" s="75" t="e">
        <f t="shared" si="138"/>
        <v>#N/A</v>
      </c>
      <c r="F4349" s="80"/>
      <c r="G4349" s="81"/>
      <c r="H4349" s="78"/>
      <c r="I4349" s="78"/>
      <c r="J4349" s="78"/>
    </row>
    <row r="4350" spans="1:10" x14ac:dyDescent="0.2">
      <c r="A4350" s="84">
        <f t="shared" si="139"/>
        <v>4344</v>
      </c>
      <c r="B4350" s="85" t="e">
        <f>+MATCH(D4350,ARTICULOS!$F$10:$F$699,0)</f>
        <v>#N/A</v>
      </c>
      <c r="C4350" s="86" t="e">
        <f>+VLOOKUP(B4350,ARTICULOS!$D$10:$I$699,6)</f>
        <v>#N/A</v>
      </c>
      <c r="D4350" s="212"/>
      <c r="E4350" s="75" t="e">
        <f t="shared" si="138"/>
        <v>#N/A</v>
      </c>
      <c r="F4350" s="80"/>
      <c r="G4350" s="81"/>
      <c r="H4350" s="78"/>
      <c r="I4350" s="78"/>
      <c r="J4350" s="78"/>
    </row>
    <row r="4351" spans="1:10" x14ac:dyDescent="0.2">
      <c r="A4351" s="84">
        <f t="shared" si="139"/>
        <v>4345</v>
      </c>
      <c r="B4351" s="85" t="e">
        <f>+MATCH(D4351,ARTICULOS!$F$10:$F$699,0)</f>
        <v>#N/A</v>
      </c>
      <c r="C4351" s="86" t="e">
        <f>+VLOOKUP(B4351,ARTICULOS!$D$10:$I$699,6)</f>
        <v>#N/A</v>
      </c>
      <c r="D4351" s="212"/>
      <c r="E4351" s="75" t="e">
        <f t="shared" si="138"/>
        <v>#N/A</v>
      </c>
      <c r="F4351" s="80"/>
      <c r="G4351" s="81"/>
      <c r="H4351" s="78"/>
      <c r="I4351" s="78"/>
      <c r="J4351" s="78"/>
    </row>
    <row r="4352" spans="1:10" x14ac:dyDescent="0.2">
      <c r="A4352" s="84">
        <f t="shared" si="139"/>
        <v>4346</v>
      </c>
      <c r="B4352" s="85" t="e">
        <f>+MATCH(D4352,ARTICULOS!$F$10:$F$699,0)</f>
        <v>#N/A</v>
      </c>
      <c r="C4352" s="86" t="e">
        <f>+VLOOKUP(B4352,ARTICULOS!$D$10:$I$699,6)</f>
        <v>#N/A</v>
      </c>
      <c r="D4352" s="212"/>
      <c r="E4352" s="75" t="e">
        <f t="shared" si="138"/>
        <v>#N/A</v>
      </c>
      <c r="F4352" s="80"/>
      <c r="G4352" s="81"/>
      <c r="H4352" s="78"/>
      <c r="I4352" s="78"/>
      <c r="J4352" s="78"/>
    </row>
    <row r="4353" spans="1:10" x14ac:dyDescent="0.2">
      <c r="A4353" s="84">
        <f t="shared" si="139"/>
        <v>4347</v>
      </c>
      <c r="B4353" s="85" t="e">
        <f>+MATCH(D4353,ARTICULOS!$F$10:$F$699,0)</f>
        <v>#N/A</v>
      </c>
      <c r="C4353" s="86" t="e">
        <f>+VLOOKUP(B4353,ARTICULOS!$D$10:$I$699,6)</f>
        <v>#N/A</v>
      </c>
      <c r="D4353" s="212"/>
      <c r="E4353" s="75" t="e">
        <f t="shared" si="138"/>
        <v>#N/A</v>
      </c>
      <c r="F4353" s="80"/>
      <c r="G4353" s="81"/>
      <c r="H4353" s="78"/>
      <c r="I4353" s="78"/>
      <c r="J4353" s="78"/>
    </row>
    <row r="4354" spans="1:10" x14ac:dyDescent="0.2">
      <c r="A4354" s="84">
        <f t="shared" si="139"/>
        <v>4348</v>
      </c>
      <c r="B4354" s="85" t="e">
        <f>+MATCH(D4354,ARTICULOS!$F$10:$F$699,0)</f>
        <v>#N/A</v>
      </c>
      <c r="C4354" s="86" t="e">
        <f>+VLOOKUP(B4354,ARTICULOS!$D$10:$I$699,6)</f>
        <v>#N/A</v>
      </c>
      <c r="D4354" s="212"/>
      <c r="E4354" s="75" t="e">
        <f t="shared" si="138"/>
        <v>#N/A</v>
      </c>
      <c r="F4354" s="80"/>
      <c r="G4354" s="81"/>
      <c r="H4354" s="78"/>
      <c r="I4354" s="78"/>
      <c r="J4354" s="78"/>
    </row>
    <row r="4355" spans="1:10" x14ac:dyDescent="0.2">
      <c r="A4355" s="84">
        <f t="shared" si="139"/>
        <v>4349</v>
      </c>
      <c r="B4355" s="85" t="e">
        <f>+MATCH(D4355,ARTICULOS!$F$10:$F$699,0)</f>
        <v>#N/A</v>
      </c>
      <c r="C4355" s="86" t="e">
        <f>+VLOOKUP(B4355,ARTICULOS!$D$10:$I$699,6)</f>
        <v>#N/A</v>
      </c>
      <c r="D4355" s="212"/>
      <c r="E4355" s="75" t="e">
        <f t="shared" si="138"/>
        <v>#N/A</v>
      </c>
      <c r="F4355" s="80"/>
      <c r="G4355" s="81"/>
      <c r="H4355" s="78"/>
      <c r="I4355" s="78"/>
      <c r="J4355" s="78"/>
    </row>
    <row r="4356" spans="1:10" x14ac:dyDescent="0.2">
      <c r="A4356" s="84">
        <f t="shared" si="139"/>
        <v>4350</v>
      </c>
      <c r="B4356" s="85" t="e">
        <f>+MATCH(D4356,ARTICULOS!$F$10:$F$699,0)</f>
        <v>#N/A</v>
      </c>
      <c r="C4356" s="86" t="e">
        <f>+VLOOKUP(B4356,ARTICULOS!$D$10:$I$699,6)</f>
        <v>#N/A</v>
      </c>
      <c r="D4356" s="212"/>
      <c r="E4356" s="75" t="e">
        <f t="shared" si="138"/>
        <v>#N/A</v>
      </c>
      <c r="F4356" s="80"/>
      <c r="G4356" s="81"/>
      <c r="H4356" s="78"/>
      <c r="I4356" s="78"/>
      <c r="J4356" s="78"/>
    </row>
    <row r="4357" spans="1:10" x14ac:dyDescent="0.2">
      <c r="A4357" s="84">
        <f t="shared" si="139"/>
        <v>4351</v>
      </c>
      <c r="B4357" s="85" t="e">
        <f>+MATCH(D4357,ARTICULOS!$F$10:$F$699,0)</f>
        <v>#N/A</v>
      </c>
      <c r="C4357" s="86" t="e">
        <f>+VLOOKUP(B4357,ARTICULOS!$D$10:$I$699,6)</f>
        <v>#N/A</v>
      </c>
      <c r="D4357" s="212"/>
      <c r="E4357" s="75" t="e">
        <f t="shared" si="138"/>
        <v>#N/A</v>
      </c>
      <c r="F4357" s="80"/>
      <c r="G4357" s="81"/>
      <c r="H4357" s="78"/>
      <c r="I4357" s="78"/>
      <c r="J4357" s="78"/>
    </row>
    <row r="4358" spans="1:10" x14ac:dyDescent="0.2">
      <c r="A4358" s="84">
        <f t="shared" si="139"/>
        <v>4352</v>
      </c>
      <c r="B4358" s="85" t="e">
        <f>+MATCH(D4358,ARTICULOS!$F$10:$F$699,0)</f>
        <v>#N/A</v>
      </c>
      <c r="C4358" s="86" t="e">
        <f>+VLOOKUP(B4358,ARTICULOS!$D$10:$I$699,6)</f>
        <v>#N/A</v>
      </c>
      <c r="D4358" s="212"/>
      <c r="E4358" s="75" t="e">
        <f t="shared" si="138"/>
        <v>#N/A</v>
      </c>
      <c r="F4358" s="80"/>
      <c r="G4358" s="81"/>
      <c r="H4358" s="78"/>
      <c r="I4358" s="78"/>
      <c r="J4358" s="78"/>
    </row>
    <row r="4359" spans="1:10" x14ac:dyDescent="0.2">
      <c r="A4359" s="84">
        <f t="shared" si="139"/>
        <v>4353</v>
      </c>
      <c r="B4359" s="85" t="e">
        <f>+MATCH(D4359,ARTICULOS!$F$10:$F$699,0)</f>
        <v>#N/A</v>
      </c>
      <c r="C4359" s="86" t="e">
        <f>+VLOOKUP(B4359,ARTICULOS!$D$10:$I$699,6)</f>
        <v>#N/A</v>
      </c>
      <c r="D4359" s="212"/>
      <c r="E4359" s="75" t="e">
        <f t="shared" si="138"/>
        <v>#N/A</v>
      </c>
      <c r="F4359" s="80"/>
      <c r="G4359" s="81"/>
      <c r="H4359" s="78"/>
      <c r="I4359" s="78"/>
      <c r="J4359" s="78"/>
    </row>
    <row r="4360" spans="1:10" x14ac:dyDescent="0.2">
      <c r="A4360" s="84">
        <f t="shared" si="139"/>
        <v>4354</v>
      </c>
      <c r="B4360" s="85" t="e">
        <f>+MATCH(D4360,ARTICULOS!$F$10:$F$699,0)</f>
        <v>#N/A</v>
      </c>
      <c r="C4360" s="86" t="e">
        <f>+VLOOKUP(B4360,ARTICULOS!$D$10:$I$699,6)</f>
        <v>#N/A</v>
      </c>
      <c r="D4360" s="212"/>
      <c r="E4360" s="75" t="e">
        <f t="shared" si="138"/>
        <v>#N/A</v>
      </c>
      <c r="F4360" s="80"/>
      <c r="G4360" s="81"/>
      <c r="H4360" s="78"/>
      <c r="I4360" s="78"/>
      <c r="J4360" s="78"/>
    </row>
    <row r="4361" spans="1:10" x14ac:dyDescent="0.2">
      <c r="A4361" s="84">
        <f t="shared" si="139"/>
        <v>4355</v>
      </c>
      <c r="B4361" s="85" t="e">
        <f>+MATCH(D4361,ARTICULOS!$F$10:$F$699,0)</f>
        <v>#N/A</v>
      </c>
      <c r="C4361" s="86" t="e">
        <f>+VLOOKUP(B4361,ARTICULOS!$D$10:$I$699,6)</f>
        <v>#N/A</v>
      </c>
      <c r="D4361" s="212"/>
      <c r="E4361" s="75" t="e">
        <f t="shared" si="138"/>
        <v>#N/A</v>
      </c>
      <c r="F4361" s="80"/>
      <c r="G4361" s="81"/>
      <c r="H4361" s="78"/>
      <c r="I4361" s="78"/>
      <c r="J4361" s="78"/>
    </row>
    <row r="4362" spans="1:10" x14ac:dyDescent="0.2">
      <c r="A4362" s="84">
        <f t="shared" si="139"/>
        <v>4356</v>
      </c>
      <c r="B4362" s="85" t="e">
        <f>+MATCH(D4362,ARTICULOS!$F$10:$F$699,0)</f>
        <v>#N/A</v>
      </c>
      <c r="C4362" s="86" t="e">
        <f>+VLOOKUP(B4362,ARTICULOS!$D$10:$I$699,6)</f>
        <v>#N/A</v>
      </c>
      <c r="D4362" s="212"/>
      <c r="E4362" s="75" t="e">
        <f t="shared" si="138"/>
        <v>#N/A</v>
      </c>
      <c r="F4362" s="80"/>
      <c r="G4362" s="81"/>
      <c r="H4362" s="78"/>
      <c r="I4362" s="78"/>
      <c r="J4362" s="78"/>
    </row>
    <row r="4363" spans="1:10" x14ac:dyDescent="0.2">
      <c r="A4363" s="84">
        <f t="shared" si="139"/>
        <v>4357</v>
      </c>
      <c r="B4363" s="85" t="e">
        <f>+MATCH(D4363,ARTICULOS!$F$10:$F$699,0)</f>
        <v>#N/A</v>
      </c>
      <c r="C4363" s="86" t="e">
        <f>+VLOOKUP(B4363,ARTICULOS!$D$10:$I$699,6)</f>
        <v>#N/A</v>
      </c>
      <c r="D4363" s="212"/>
      <c r="E4363" s="75" t="e">
        <f t="shared" ref="E4363:E4394" si="140">+C4363&amp;F4363</f>
        <v>#N/A</v>
      </c>
      <c r="F4363" s="80"/>
      <c r="G4363" s="81"/>
      <c r="H4363" s="78"/>
      <c r="I4363" s="78"/>
      <c r="J4363" s="78"/>
    </row>
    <row r="4364" spans="1:10" x14ac:dyDescent="0.2">
      <c r="A4364" s="84">
        <f t="shared" si="139"/>
        <v>4358</v>
      </c>
      <c r="B4364" s="85" t="e">
        <f>+MATCH(D4364,ARTICULOS!$F$10:$F$699,0)</f>
        <v>#N/A</v>
      </c>
      <c r="C4364" s="86" t="e">
        <f>+VLOOKUP(B4364,ARTICULOS!$D$10:$I$699,6)</f>
        <v>#N/A</v>
      </c>
      <c r="D4364" s="212"/>
      <c r="E4364" s="75" t="e">
        <f t="shared" si="140"/>
        <v>#N/A</v>
      </c>
      <c r="F4364" s="80"/>
      <c r="G4364" s="81"/>
      <c r="H4364" s="78"/>
      <c r="I4364" s="78"/>
      <c r="J4364" s="78"/>
    </row>
    <row r="4365" spans="1:10" x14ac:dyDescent="0.2">
      <c r="A4365" s="84">
        <f t="shared" si="139"/>
        <v>4359</v>
      </c>
      <c r="B4365" s="85" t="e">
        <f>+MATCH(D4365,ARTICULOS!$F$10:$F$699,0)</f>
        <v>#N/A</v>
      </c>
      <c r="C4365" s="86" t="e">
        <f>+VLOOKUP(B4365,ARTICULOS!$D$10:$I$699,6)</f>
        <v>#N/A</v>
      </c>
      <c r="D4365" s="212"/>
      <c r="E4365" s="75" t="e">
        <f t="shared" si="140"/>
        <v>#N/A</v>
      </c>
      <c r="F4365" s="80"/>
      <c r="G4365" s="81"/>
      <c r="H4365" s="78"/>
      <c r="I4365" s="78"/>
      <c r="J4365" s="78"/>
    </row>
    <row r="4366" spans="1:10" x14ac:dyDescent="0.2">
      <c r="A4366" s="84">
        <f t="shared" si="139"/>
        <v>4360</v>
      </c>
      <c r="B4366" s="85" t="e">
        <f>+MATCH(D4366,ARTICULOS!$F$10:$F$699,0)</f>
        <v>#N/A</v>
      </c>
      <c r="C4366" s="86" t="e">
        <f>+VLOOKUP(B4366,ARTICULOS!$D$10:$I$699,6)</f>
        <v>#N/A</v>
      </c>
      <c r="D4366" s="212"/>
      <c r="E4366" s="75" t="e">
        <f t="shared" si="140"/>
        <v>#N/A</v>
      </c>
      <c r="F4366" s="80"/>
      <c r="G4366" s="81"/>
      <c r="H4366" s="78"/>
      <c r="I4366" s="78"/>
      <c r="J4366" s="78"/>
    </row>
    <row r="4367" spans="1:10" x14ac:dyDescent="0.2">
      <c r="A4367" s="84">
        <f t="shared" si="139"/>
        <v>4361</v>
      </c>
      <c r="B4367" s="85" t="e">
        <f>+MATCH(D4367,ARTICULOS!$F$10:$F$699,0)</f>
        <v>#N/A</v>
      </c>
      <c r="C4367" s="86" t="e">
        <f>+VLOOKUP(B4367,ARTICULOS!$D$10:$I$699,6)</f>
        <v>#N/A</v>
      </c>
      <c r="D4367" s="212"/>
      <c r="E4367" s="75" t="e">
        <f t="shared" si="140"/>
        <v>#N/A</v>
      </c>
      <c r="F4367" s="80"/>
      <c r="G4367" s="81"/>
      <c r="H4367" s="78"/>
      <c r="I4367" s="78"/>
      <c r="J4367" s="78"/>
    </row>
    <row r="4368" spans="1:10" x14ac:dyDescent="0.2">
      <c r="A4368" s="84">
        <f t="shared" si="139"/>
        <v>4362</v>
      </c>
      <c r="B4368" s="85" t="e">
        <f>+MATCH(D4368,ARTICULOS!$F$10:$F$699,0)</f>
        <v>#N/A</v>
      </c>
      <c r="C4368" s="86" t="e">
        <f>+VLOOKUP(B4368,ARTICULOS!$D$10:$I$699,6)</f>
        <v>#N/A</v>
      </c>
      <c r="D4368" s="212"/>
      <c r="E4368" s="75" t="e">
        <f t="shared" si="140"/>
        <v>#N/A</v>
      </c>
      <c r="F4368" s="80"/>
      <c r="G4368" s="81"/>
      <c r="H4368" s="78"/>
      <c r="I4368" s="78"/>
      <c r="J4368" s="78"/>
    </row>
    <row r="4369" spans="1:10" x14ac:dyDescent="0.2">
      <c r="A4369" s="84">
        <f t="shared" si="139"/>
        <v>4363</v>
      </c>
      <c r="B4369" s="85" t="e">
        <f>+MATCH(D4369,ARTICULOS!$F$10:$F$699,0)</f>
        <v>#N/A</v>
      </c>
      <c r="C4369" s="86" t="e">
        <f>+VLOOKUP(B4369,ARTICULOS!$D$10:$I$699,6)</f>
        <v>#N/A</v>
      </c>
      <c r="D4369" s="212"/>
      <c r="E4369" s="75" t="e">
        <f t="shared" si="140"/>
        <v>#N/A</v>
      </c>
      <c r="F4369" s="80"/>
      <c r="G4369" s="81"/>
      <c r="H4369" s="78"/>
      <c r="I4369" s="78"/>
      <c r="J4369" s="78"/>
    </row>
    <row r="4370" spans="1:10" x14ac:dyDescent="0.2">
      <c r="A4370" s="84">
        <f t="shared" si="139"/>
        <v>4364</v>
      </c>
      <c r="B4370" s="85" t="e">
        <f>+MATCH(D4370,ARTICULOS!$F$10:$F$699,0)</f>
        <v>#N/A</v>
      </c>
      <c r="C4370" s="86" t="e">
        <f>+VLOOKUP(B4370,ARTICULOS!$D$10:$I$699,6)</f>
        <v>#N/A</v>
      </c>
      <c r="D4370" s="212"/>
      <c r="E4370" s="75" t="e">
        <f t="shared" si="140"/>
        <v>#N/A</v>
      </c>
      <c r="F4370" s="80"/>
      <c r="G4370" s="81"/>
      <c r="H4370" s="78"/>
      <c r="I4370" s="78"/>
      <c r="J4370" s="78"/>
    </row>
    <row r="4371" spans="1:10" x14ac:dyDescent="0.2">
      <c r="A4371" s="84">
        <f t="shared" si="139"/>
        <v>4365</v>
      </c>
      <c r="B4371" s="85" t="e">
        <f>+MATCH(D4371,ARTICULOS!$F$10:$F$699,0)</f>
        <v>#N/A</v>
      </c>
      <c r="C4371" s="86" t="e">
        <f>+VLOOKUP(B4371,ARTICULOS!$D$10:$I$699,6)</f>
        <v>#N/A</v>
      </c>
      <c r="D4371" s="212"/>
      <c r="E4371" s="75" t="e">
        <f t="shared" si="140"/>
        <v>#N/A</v>
      </c>
      <c r="F4371" s="80"/>
      <c r="G4371" s="81"/>
      <c r="H4371" s="78"/>
      <c r="I4371" s="78"/>
      <c r="J4371" s="78"/>
    </row>
    <row r="4372" spans="1:10" x14ac:dyDescent="0.2">
      <c r="A4372" s="84">
        <f t="shared" si="139"/>
        <v>4366</v>
      </c>
      <c r="B4372" s="85" t="e">
        <f>+MATCH(D4372,ARTICULOS!$F$10:$F$699,0)</f>
        <v>#N/A</v>
      </c>
      <c r="C4372" s="86" t="e">
        <f>+VLOOKUP(B4372,ARTICULOS!$D$10:$I$699,6)</f>
        <v>#N/A</v>
      </c>
      <c r="D4372" s="212"/>
      <c r="E4372" s="75" t="e">
        <f t="shared" si="140"/>
        <v>#N/A</v>
      </c>
      <c r="F4372" s="80"/>
      <c r="G4372" s="81"/>
      <c r="H4372" s="78"/>
      <c r="I4372" s="78"/>
      <c r="J4372" s="78"/>
    </row>
    <row r="4373" spans="1:10" x14ac:dyDescent="0.2">
      <c r="A4373" s="84">
        <f t="shared" si="139"/>
        <v>4367</v>
      </c>
      <c r="B4373" s="85" t="e">
        <f>+MATCH(D4373,ARTICULOS!$F$10:$F$699,0)</f>
        <v>#N/A</v>
      </c>
      <c r="C4373" s="86" t="e">
        <f>+VLOOKUP(B4373,ARTICULOS!$D$10:$I$699,6)</f>
        <v>#N/A</v>
      </c>
      <c r="D4373" s="212"/>
      <c r="E4373" s="75" t="e">
        <f t="shared" si="140"/>
        <v>#N/A</v>
      </c>
      <c r="F4373" s="80"/>
      <c r="G4373" s="81"/>
      <c r="H4373" s="78"/>
      <c r="I4373" s="78"/>
      <c r="J4373" s="78"/>
    </row>
    <row r="4374" spans="1:10" x14ac:dyDescent="0.2">
      <c r="A4374" s="84">
        <f t="shared" si="139"/>
        <v>4368</v>
      </c>
      <c r="B4374" s="85" t="e">
        <f>+MATCH(D4374,ARTICULOS!$F$10:$F$699,0)</f>
        <v>#N/A</v>
      </c>
      <c r="C4374" s="86" t="e">
        <f>+VLOOKUP(B4374,ARTICULOS!$D$10:$I$699,6)</f>
        <v>#N/A</v>
      </c>
      <c r="D4374" s="212"/>
      <c r="E4374" s="75" t="e">
        <f t="shared" si="140"/>
        <v>#N/A</v>
      </c>
      <c r="F4374" s="80"/>
      <c r="G4374" s="81"/>
      <c r="H4374" s="78"/>
      <c r="I4374" s="78"/>
      <c r="J4374" s="78"/>
    </row>
    <row r="4375" spans="1:10" x14ac:dyDescent="0.2">
      <c r="A4375" s="84">
        <f t="shared" si="139"/>
        <v>4369</v>
      </c>
      <c r="B4375" s="85" t="e">
        <f>+MATCH(D4375,ARTICULOS!$F$10:$F$699,0)</f>
        <v>#N/A</v>
      </c>
      <c r="C4375" s="86" t="e">
        <f>+VLOOKUP(B4375,ARTICULOS!$D$10:$I$699,6)</f>
        <v>#N/A</v>
      </c>
      <c r="D4375" s="212"/>
      <c r="E4375" s="75" t="e">
        <f t="shared" si="140"/>
        <v>#N/A</v>
      </c>
      <c r="F4375" s="80"/>
      <c r="G4375" s="81"/>
      <c r="H4375" s="78"/>
      <c r="I4375" s="78"/>
      <c r="J4375" s="78"/>
    </row>
    <row r="4376" spans="1:10" x14ac:dyDescent="0.2">
      <c r="A4376" s="84">
        <f t="shared" si="139"/>
        <v>4370</v>
      </c>
      <c r="B4376" s="85" t="e">
        <f>+MATCH(D4376,ARTICULOS!$F$10:$F$699,0)</f>
        <v>#N/A</v>
      </c>
      <c r="C4376" s="86" t="e">
        <f>+VLOOKUP(B4376,ARTICULOS!$D$10:$I$699,6)</f>
        <v>#N/A</v>
      </c>
      <c r="D4376" s="212"/>
      <c r="E4376" s="75" t="e">
        <f t="shared" si="140"/>
        <v>#N/A</v>
      </c>
      <c r="F4376" s="80"/>
      <c r="G4376" s="81"/>
      <c r="H4376" s="78"/>
      <c r="I4376" s="78"/>
      <c r="J4376" s="78"/>
    </row>
    <row r="4377" spans="1:10" x14ac:dyDescent="0.2">
      <c r="A4377" s="84">
        <f t="shared" si="139"/>
        <v>4371</v>
      </c>
      <c r="B4377" s="85" t="e">
        <f>+MATCH(D4377,ARTICULOS!$F$10:$F$699,0)</f>
        <v>#N/A</v>
      </c>
      <c r="C4377" s="86" t="e">
        <f>+VLOOKUP(B4377,ARTICULOS!$D$10:$I$699,6)</f>
        <v>#N/A</v>
      </c>
      <c r="D4377" s="212"/>
      <c r="E4377" s="75" t="e">
        <f t="shared" si="140"/>
        <v>#N/A</v>
      </c>
      <c r="F4377" s="80"/>
      <c r="G4377" s="81"/>
      <c r="H4377" s="78"/>
      <c r="I4377" s="78"/>
      <c r="J4377" s="78"/>
    </row>
    <row r="4378" spans="1:10" x14ac:dyDescent="0.2">
      <c r="A4378" s="84">
        <f t="shared" si="139"/>
        <v>4372</v>
      </c>
      <c r="B4378" s="85" t="e">
        <f>+MATCH(D4378,ARTICULOS!$F$10:$F$699,0)</f>
        <v>#N/A</v>
      </c>
      <c r="C4378" s="86" t="e">
        <f>+VLOOKUP(B4378,ARTICULOS!$D$10:$I$699,6)</f>
        <v>#N/A</v>
      </c>
      <c r="D4378" s="212"/>
      <c r="E4378" s="75" t="e">
        <f t="shared" si="140"/>
        <v>#N/A</v>
      </c>
      <c r="F4378" s="80"/>
      <c r="G4378" s="81"/>
      <c r="H4378" s="78"/>
      <c r="I4378" s="78"/>
      <c r="J4378" s="78"/>
    </row>
    <row r="4379" spans="1:10" x14ac:dyDescent="0.2">
      <c r="A4379" s="84">
        <f t="shared" si="139"/>
        <v>4373</v>
      </c>
      <c r="B4379" s="85" t="e">
        <f>+MATCH(D4379,ARTICULOS!$F$10:$F$699,0)</f>
        <v>#N/A</v>
      </c>
      <c r="C4379" s="86" t="e">
        <f>+VLOOKUP(B4379,ARTICULOS!$D$10:$I$699,6)</f>
        <v>#N/A</v>
      </c>
      <c r="D4379" s="212"/>
      <c r="E4379" s="75" t="e">
        <f t="shared" si="140"/>
        <v>#N/A</v>
      </c>
      <c r="F4379" s="80"/>
      <c r="G4379" s="81"/>
      <c r="H4379" s="78"/>
      <c r="I4379" s="78"/>
      <c r="J4379" s="78"/>
    </row>
    <row r="4380" spans="1:10" x14ac:dyDescent="0.2">
      <c r="A4380" s="84">
        <f t="shared" si="139"/>
        <v>4374</v>
      </c>
      <c r="B4380" s="85" t="e">
        <f>+MATCH(D4380,ARTICULOS!$F$10:$F$699,0)</f>
        <v>#N/A</v>
      </c>
      <c r="C4380" s="86" t="e">
        <f>+VLOOKUP(B4380,ARTICULOS!$D$10:$I$699,6)</f>
        <v>#N/A</v>
      </c>
      <c r="D4380" s="212"/>
      <c r="E4380" s="75" t="e">
        <f t="shared" si="140"/>
        <v>#N/A</v>
      </c>
      <c r="F4380" s="80"/>
      <c r="G4380" s="81"/>
      <c r="H4380" s="78"/>
      <c r="I4380" s="78"/>
      <c r="J4380" s="78"/>
    </row>
    <row r="4381" spans="1:10" x14ac:dyDescent="0.2">
      <c r="A4381" s="84">
        <f t="shared" si="139"/>
        <v>4375</v>
      </c>
      <c r="B4381" s="85" t="e">
        <f>+MATCH(D4381,ARTICULOS!$F$10:$F$699,0)</f>
        <v>#N/A</v>
      </c>
      <c r="C4381" s="86" t="e">
        <f>+VLOOKUP(B4381,ARTICULOS!$D$10:$I$699,6)</f>
        <v>#N/A</v>
      </c>
      <c r="D4381" s="212"/>
      <c r="E4381" s="75" t="e">
        <f t="shared" si="140"/>
        <v>#N/A</v>
      </c>
      <c r="F4381" s="80"/>
      <c r="G4381" s="81"/>
      <c r="H4381" s="78"/>
      <c r="I4381" s="78"/>
      <c r="J4381" s="78"/>
    </row>
    <row r="4382" spans="1:10" x14ac:dyDescent="0.2">
      <c r="A4382" s="84">
        <f t="shared" si="139"/>
        <v>4376</v>
      </c>
      <c r="B4382" s="85" t="e">
        <f>+MATCH(D4382,ARTICULOS!$F$10:$F$699,0)</f>
        <v>#N/A</v>
      </c>
      <c r="C4382" s="86" t="e">
        <f>+VLOOKUP(B4382,ARTICULOS!$D$10:$I$699,6)</f>
        <v>#N/A</v>
      </c>
      <c r="D4382" s="212"/>
      <c r="E4382" s="75" t="e">
        <f t="shared" si="140"/>
        <v>#N/A</v>
      </c>
      <c r="F4382" s="80"/>
      <c r="G4382" s="81"/>
      <c r="H4382" s="78"/>
      <c r="I4382" s="78"/>
      <c r="J4382" s="78"/>
    </row>
    <row r="4383" spans="1:10" x14ac:dyDescent="0.2">
      <c r="A4383" s="84">
        <f t="shared" si="139"/>
        <v>4377</v>
      </c>
      <c r="B4383" s="85" t="e">
        <f>+MATCH(D4383,ARTICULOS!$F$10:$F$699,0)</f>
        <v>#N/A</v>
      </c>
      <c r="C4383" s="86" t="e">
        <f>+VLOOKUP(B4383,ARTICULOS!$D$10:$I$699,6)</f>
        <v>#N/A</v>
      </c>
      <c r="D4383" s="212"/>
      <c r="E4383" s="75" t="e">
        <f t="shared" si="140"/>
        <v>#N/A</v>
      </c>
      <c r="F4383" s="80"/>
      <c r="G4383" s="81"/>
      <c r="H4383" s="78"/>
      <c r="I4383" s="78"/>
      <c r="J4383" s="78"/>
    </row>
    <row r="4384" spans="1:10" x14ac:dyDescent="0.2">
      <c r="A4384" s="84">
        <f t="shared" si="139"/>
        <v>4378</v>
      </c>
      <c r="B4384" s="85" t="e">
        <f>+MATCH(D4384,ARTICULOS!$F$10:$F$699,0)</f>
        <v>#N/A</v>
      </c>
      <c r="C4384" s="86" t="e">
        <f>+VLOOKUP(B4384,ARTICULOS!$D$10:$I$699,6)</f>
        <v>#N/A</v>
      </c>
      <c r="D4384" s="212"/>
      <c r="E4384" s="75" t="e">
        <f t="shared" si="140"/>
        <v>#N/A</v>
      </c>
      <c r="F4384" s="80"/>
      <c r="G4384" s="81"/>
      <c r="H4384" s="78"/>
      <c r="I4384" s="78"/>
      <c r="J4384" s="78"/>
    </row>
    <row r="4385" spans="1:10" x14ac:dyDescent="0.2">
      <c r="A4385" s="84">
        <f t="shared" si="139"/>
        <v>4379</v>
      </c>
      <c r="B4385" s="85" t="e">
        <f>+MATCH(D4385,ARTICULOS!$F$10:$F$699,0)</f>
        <v>#N/A</v>
      </c>
      <c r="C4385" s="86" t="e">
        <f>+VLOOKUP(B4385,ARTICULOS!$D$10:$I$699,6)</f>
        <v>#N/A</v>
      </c>
      <c r="D4385" s="212"/>
      <c r="E4385" s="75" t="e">
        <f t="shared" si="140"/>
        <v>#N/A</v>
      </c>
      <c r="F4385" s="80"/>
      <c r="G4385" s="81"/>
      <c r="H4385" s="78"/>
      <c r="I4385" s="78"/>
      <c r="J4385" s="78"/>
    </row>
    <row r="4386" spans="1:10" x14ac:dyDescent="0.2">
      <c r="A4386" s="84">
        <f t="shared" si="139"/>
        <v>4380</v>
      </c>
      <c r="B4386" s="85" t="e">
        <f>+MATCH(D4386,ARTICULOS!$F$10:$F$699,0)</f>
        <v>#N/A</v>
      </c>
      <c r="C4386" s="86" t="e">
        <f>+VLOOKUP(B4386,ARTICULOS!$D$10:$I$699,6)</f>
        <v>#N/A</v>
      </c>
      <c r="D4386" s="212"/>
      <c r="E4386" s="75" t="e">
        <f t="shared" si="140"/>
        <v>#N/A</v>
      </c>
      <c r="F4386" s="80"/>
      <c r="G4386" s="81"/>
      <c r="H4386" s="78"/>
      <c r="I4386" s="78"/>
      <c r="J4386" s="78"/>
    </row>
    <row r="4387" spans="1:10" x14ac:dyDescent="0.2">
      <c r="A4387" s="84">
        <f t="shared" si="139"/>
        <v>4381</v>
      </c>
      <c r="B4387" s="85" t="e">
        <f>+MATCH(D4387,ARTICULOS!$F$10:$F$699,0)</f>
        <v>#N/A</v>
      </c>
      <c r="C4387" s="86" t="e">
        <f>+VLOOKUP(B4387,ARTICULOS!$D$10:$I$699,6)</f>
        <v>#N/A</v>
      </c>
      <c r="D4387" s="212"/>
      <c r="E4387" s="75" t="e">
        <f t="shared" si="140"/>
        <v>#N/A</v>
      </c>
      <c r="F4387" s="80"/>
      <c r="G4387" s="81"/>
      <c r="H4387" s="78"/>
      <c r="I4387" s="78"/>
      <c r="J4387" s="78"/>
    </row>
    <row r="4388" spans="1:10" x14ac:dyDescent="0.2">
      <c r="A4388" s="84">
        <f t="shared" si="139"/>
        <v>4382</v>
      </c>
      <c r="B4388" s="85" t="e">
        <f>+MATCH(D4388,ARTICULOS!$F$10:$F$699,0)</f>
        <v>#N/A</v>
      </c>
      <c r="C4388" s="86" t="e">
        <f>+VLOOKUP(B4388,ARTICULOS!$D$10:$I$699,6)</f>
        <v>#N/A</v>
      </c>
      <c r="D4388" s="212"/>
      <c r="E4388" s="75" t="e">
        <f t="shared" si="140"/>
        <v>#N/A</v>
      </c>
      <c r="F4388" s="80"/>
      <c r="G4388" s="81"/>
      <c r="H4388" s="78"/>
      <c r="I4388" s="78"/>
      <c r="J4388" s="78"/>
    </row>
    <row r="4389" spans="1:10" x14ac:dyDescent="0.2">
      <c r="A4389" s="84">
        <f t="shared" si="139"/>
        <v>4383</v>
      </c>
      <c r="B4389" s="85" t="e">
        <f>+MATCH(D4389,ARTICULOS!$F$10:$F$699,0)</f>
        <v>#N/A</v>
      </c>
      <c r="C4389" s="86" t="e">
        <f>+VLOOKUP(B4389,ARTICULOS!$D$10:$I$699,6)</f>
        <v>#N/A</v>
      </c>
      <c r="D4389" s="212"/>
      <c r="E4389" s="75" t="e">
        <f t="shared" si="140"/>
        <v>#N/A</v>
      </c>
      <c r="F4389" s="80"/>
      <c r="G4389" s="81"/>
      <c r="H4389" s="78"/>
      <c r="I4389" s="78"/>
      <c r="J4389" s="78"/>
    </row>
    <row r="4390" spans="1:10" x14ac:dyDescent="0.2">
      <c r="A4390" s="84">
        <f t="shared" si="139"/>
        <v>4384</v>
      </c>
      <c r="B4390" s="85" t="e">
        <f>+MATCH(D4390,ARTICULOS!$F$10:$F$699,0)</f>
        <v>#N/A</v>
      </c>
      <c r="C4390" s="86" t="e">
        <f>+VLOOKUP(B4390,ARTICULOS!$D$10:$I$699,6)</f>
        <v>#N/A</v>
      </c>
      <c r="D4390" s="212"/>
      <c r="E4390" s="75" t="e">
        <f t="shared" si="140"/>
        <v>#N/A</v>
      </c>
      <c r="F4390" s="80"/>
      <c r="G4390" s="81"/>
      <c r="H4390" s="78"/>
      <c r="I4390" s="78"/>
      <c r="J4390" s="78"/>
    </row>
    <row r="4391" spans="1:10" x14ac:dyDescent="0.2">
      <c r="A4391" s="84">
        <f t="shared" si="139"/>
        <v>4385</v>
      </c>
      <c r="B4391" s="85" t="e">
        <f>+MATCH(D4391,ARTICULOS!$F$10:$F$699,0)</f>
        <v>#N/A</v>
      </c>
      <c r="C4391" s="86" t="e">
        <f>+VLOOKUP(B4391,ARTICULOS!$D$10:$I$699,6)</f>
        <v>#N/A</v>
      </c>
      <c r="D4391" s="212"/>
      <c r="E4391" s="75" t="e">
        <f t="shared" si="140"/>
        <v>#N/A</v>
      </c>
      <c r="F4391" s="80"/>
      <c r="G4391" s="81"/>
      <c r="H4391" s="78"/>
      <c r="I4391" s="78"/>
      <c r="J4391" s="78"/>
    </row>
    <row r="4392" spans="1:10" x14ac:dyDescent="0.2">
      <c r="A4392" s="84">
        <f t="shared" si="139"/>
        <v>4386</v>
      </c>
      <c r="B4392" s="85" t="e">
        <f>+MATCH(D4392,ARTICULOS!$F$10:$F$699,0)</f>
        <v>#N/A</v>
      </c>
      <c r="C4392" s="86" t="e">
        <f>+VLOOKUP(B4392,ARTICULOS!$D$10:$I$699,6)</f>
        <v>#N/A</v>
      </c>
      <c r="D4392" s="212"/>
      <c r="E4392" s="75" t="e">
        <f t="shared" si="140"/>
        <v>#N/A</v>
      </c>
      <c r="F4392" s="80"/>
      <c r="G4392" s="81"/>
      <c r="H4392" s="78"/>
      <c r="I4392" s="78"/>
      <c r="J4392" s="78"/>
    </row>
    <row r="4393" spans="1:10" x14ac:dyDescent="0.2">
      <c r="A4393" s="84">
        <f t="shared" si="139"/>
        <v>4387</v>
      </c>
      <c r="B4393" s="85" t="e">
        <f>+MATCH(D4393,ARTICULOS!$F$10:$F$699,0)</f>
        <v>#N/A</v>
      </c>
      <c r="C4393" s="86" t="e">
        <f>+VLOOKUP(B4393,ARTICULOS!$D$10:$I$699,6)</f>
        <v>#N/A</v>
      </c>
      <c r="D4393" s="212"/>
      <c r="E4393" s="75" t="e">
        <f t="shared" si="140"/>
        <v>#N/A</v>
      </c>
      <c r="F4393" s="80"/>
      <c r="G4393" s="81"/>
      <c r="H4393" s="78"/>
      <c r="I4393" s="78"/>
      <c r="J4393" s="78"/>
    </row>
    <row r="4394" spans="1:10" ht="13.5" thickBot="1" x14ac:dyDescent="0.25">
      <c r="A4394" s="87">
        <f t="shared" si="139"/>
        <v>4388</v>
      </c>
      <c r="B4394" s="88" t="e">
        <f>+MATCH(D4394,ARTICULOS!$F$10:$F$699,0)</f>
        <v>#N/A</v>
      </c>
      <c r="C4394" s="89" t="e">
        <f>+VLOOKUP(B4394,ARTICULOS!$D$10:$I$699,6)</f>
        <v>#N/A</v>
      </c>
      <c r="D4394" s="213"/>
      <c r="E4394" s="76" t="e">
        <f t="shared" si="140"/>
        <v>#N/A</v>
      </c>
      <c r="F4394" s="82"/>
      <c r="G4394" s="83"/>
      <c r="H4394" s="79"/>
      <c r="I4394" s="79"/>
      <c r="J4394" s="79"/>
    </row>
    <row r="64930" spans="7:7" x14ac:dyDescent="0.2">
      <c r="G64930" s="81"/>
    </row>
  </sheetData>
  <mergeCells count="1">
    <mergeCell ref="F6:G6"/>
  </mergeCells>
  <phoneticPr fontId="63" type="noConversion"/>
  <pageMargins left="0.75" right="0.75" top="1" bottom="1" header="0" footer="0"/>
  <pageSetup paperSize="9" orientation="portrait" horizontalDpi="4294967293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F33"/>
  <sheetViews>
    <sheetView workbookViewId="0">
      <selection activeCell="F2" sqref="F2"/>
    </sheetView>
  </sheetViews>
  <sheetFormatPr baseColWidth="10" defaultRowHeight="12.75" x14ac:dyDescent="0.2"/>
  <cols>
    <col min="1" max="1" width="20.28515625" customWidth="1"/>
    <col min="2" max="2" width="20.42578125" customWidth="1"/>
    <col min="3" max="3" width="15" bestFit="1" customWidth="1"/>
    <col min="4" max="4" width="17.28515625" customWidth="1"/>
    <col min="5" max="5" width="17.7109375" bestFit="1" customWidth="1"/>
    <col min="6" max="6" width="17.42578125" bestFit="1" customWidth="1"/>
  </cols>
  <sheetData>
    <row r="1" spans="1:6" x14ac:dyDescent="0.2">
      <c r="A1" t="s">
        <v>83</v>
      </c>
      <c r="B1" t="s">
        <v>84</v>
      </c>
      <c r="C1" t="s">
        <v>86</v>
      </c>
      <c r="D1" t="s">
        <v>85</v>
      </c>
      <c r="E1" t="s">
        <v>87</v>
      </c>
      <c r="F1" t="s">
        <v>88</v>
      </c>
    </row>
    <row r="2" spans="1:6" x14ac:dyDescent="0.2">
      <c r="A2">
        <v>280</v>
      </c>
      <c r="B2">
        <v>300</v>
      </c>
      <c r="C2" t="str">
        <f>+A2&amp;B2</f>
        <v>280300</v>
      </c>
      <c r="D2">
        <v>110</v>
      </c>
      <c r="E2">
        <f>+B2-A2+2</f>
        <v>22</v>
      </c>
      <c r="F2">
        <f>INT(A2/E2)</f>
        <v>12</v>
      </c>
    </row>
    <row r="3" spans="1:6" x14ac:dyDescent="0.2">
      <c r="A3">
        <v>280</v>
      </c>
      <c r="B3">
        <v>305</v>
      </c>
      <c r="C3" t="str">
        <f t="shared" ref="C3:C33" si="0">+A3&amp;B3</f>
        <v>280305</v>
      </c>
      <c r="D3">
        <v>160</v>
      </c>
      <c r="E3">
        <f t="shared" ref="E3:E33" si="1">+B3-A3+2</f>
        <v>27</v>
      </c>
      <c r="F3">
        <f t="shared" ref="F3:F33" si="2">INT(A3/E3)</f>
        <v>10</v>
      </c>
    </row>
    <row r="4" spans="1:6" x14ac:dyDescent="0.2">
      <c r="A4">
        <v>280</v>
      </c>
      <c r="B4">
        <v>310</v>
      </c>
      <c r="C4" t="str">
        <f t="shared" si="0"/>
        <v>280310</v>
      </c>
      <c r="D4">
        <v>170</v>
      </c>
      <c r="E4">
        <f t="shared" si="1"/>
        <v>32</v>
      </c>
      <c r="F4">
        <f t="shared" si="2"/>
        <v>8</v>
      </c>
    </row>
    <row r="5" spans="1:6" x14ac:dyDescent="0.2">
      <c r="A5">
        <v>280</v>
      </c>
      <c r="B5">
        <v>315</v>
      </c>
      <c r="C5" t="str">
        <f t="shared" si="0"/>
        <v>280315</v>
      </c>
      <c r="D5">
        <v>190</v>
      </c>
      <c r="E5">
        <f t="shared" si="1"/>
        <v>37</v>
      </c>
      <c r="F5">
        <f t="shared" si="2"/>
        <v>7</v>
      </c>
    </row>
    <row r="6" spans="1:6" x14ac:dyDescent="0.2">
      <c r="A6">
        <v>280</v>
      </c>
      <c r="B6">
        <v>320</v>
      </c>
      <c r="C6" t="str">
        <f t="shared" si="0"/>
        <v>280320</v>
      </c>
      <c r="D6">
        <v>200</v>
      </c>
      <c r="E6">
        <f t="shared" si="1"/>
        <v>42</v>
      </c>
      <c r="F6">
        <f t="shared" si="2"/>
        <v>6</v>
      </c>
    </row>
    <row r="7" spans="1:6" x14ac:dyDescent="0.2">
      <c r="A7">
        <v>280</v>
      </c>
      <c r="B7">
        <v>325</v>
      </c>
      <c r="C7" t="str">
        <f t="shared" si="0"/>
        <v>280325</v>
      </c>
      <c r="D7">
        <v>230</v>
      </c>
      <c r="E7">
        <f t="shared" si="1"/>
        <v>47</v>
      </c>
      <c r="F7">
        <f t="shared" si="2"/>
        <v>5</v>
      </c>
    </row>
    <row r="8" spans="1:6" x14ac:dyDescent="0.2">
      <c r="A8">
        <v>280</v>
      </c>
      <c r="B8">
        <v>330</v>
      </c>
      <c r="C8" t="str">
        <f t="shared" si="0"/>
        <v>280330</v>
      </c>
      <c r="D8">
        <v>245</v>
      </c>
      <c r="E8">
        <f t="shared" si="1"/>
        <v>52</v>
      </c>
      <c r="F8">
        <f t="shared" si="2"/>
        <v>5</v>
      </c>
    </row>
    <row r="9" spans="1:6" x14ac:dyDescent="0.2">
      <c r="A9">
        <v>280</v>
      </c>
      <c r="B9">
        <v>335</v>
      </c>
      <c r="C9" t="str">
        <f t="shared" si="0"/>
        <v>280335</v>
      </c>
      <c r="D9">
        <v>260</v>
      </c>
      <c r="E9">
        <f t="shared" si="1"/>
        <v>57</v>
      </c>
      <c r="F9">
        <f t="shared" si="2"/>
        <v>4</v>
      </c>
    </row>
    <row r="10" spans="1:6" x14ac:dyDescent="0.2">
      <c r="A10">
        <v>280</v>
      </c>
      <c r="B10">
        <v>340</v>
      </c>
      <c r="C10" t="str">
        <f t="shared" si="0"/>
        <v>280340</v>
      </c>
      <c r="D10">
        <v>265</v>
      </c>
      <c r="E10">
        <f t="shared" si="1"/>
        <v>62</v>
      </c>
      <c r="F10">
        <f t="shared" si="2"/>
        <v>4</v>
      </c>
    </row>
    <row r="11" spans="1:6" x14ac:dyDescent="0.2">
      <c r="A11">
        <v>280</v>
      </c>
      <c r="B11">
        <v>345</v>
      </c>
      <c r="C11" t="str">
        <f t="shared" si="0"/>
        <v>280345</v>
      </c>
      <c r="D11">
        <v>290</v>
      </c>
      <c r="E11">
        <f t="shared" si="1"/>
        <v>67</v>
      </c>
      <c r="F11">
        <f t="shared" si="2"/>
        <v>4</v>
      </c>
    </row>
    <row r="12" spans="1:6" x14ac:dyDescent="0.2">
      <c r="A12">
        <v>280</v>
      </c>
      <c r="B12">
        <v>350</v>
      </c>
      <c r="C12" t="str">
        <f t="shared" si="0"/>
        <v>280350</v>
      </c>
      <c r="D12">
        <v>295</v>
      </c>
      <c r="E12">
        <f t="shared" si="1"/>
        <v>72</v>
      </c>
      <c r="F12">
        <f t="shared" si="2"/>
        <v>3</v>
      </c>
    </row>
    <row r="13" spans="1:6" x14ac:dyDescent="0.2">
      <c r="A13">
        <v>280</v>
      </c>
      <c r="B13">
        <v>360</v>
      </c>
      <c r="C13" t="str">
        <f>+A13&amp;B13</f>
        <v>280360</v>
      </c>
      <c r="D13">
        <v>300</v>
      </c>
      <c r="E13">
        <f>+B13-A13+2</f>
        <v>82</v>
      </c>
      <c r="F13">
        <f>INT(A13/E13)</f>
        <v>3</v>
      </c>
    </row>
    <row r="14" spans="1:6" x14ac:dyDescent="0.2">
      <c r="A14">
        <v>280</v>
      </c>
      <c r="B14">
        <v>365</v>
      </c>
      <c r="C14" t="str">
        <f>+A14&amp;B14</f>
        <v>280365</v>
      </c>
      <c r="D14">
        <v>305</v>
      </c>
      <c r="E14">
        <f>+B14-A14+2</f>
        <v>87</v>
      </c>
      <c r="F14">
        <f>INT(A14/E14)</f>
        <v>3</v>
      </c>
    </row>
    <row r="15" spans="1:6" x14ac:dyDescent="0.2">
      <c r="A15">
        <v>300</v>
      </c>
      <c r="B15">
        <v>310</v>
      </c>
      <c r="C15" t="str">
        <f t="shared" si="0"/>
        <v>300310</v>
      </c>
      <c r="D15">
        <v>115</v>
      </c>
      <c r="E15">
        <f t="shared" si="1"/>
        <v>12</v>
      </c>
      <c r="F15">
        <f t="shared" si="2"/>
        <v>25</v>
      </c>
    </row>
    <row r="16" spans="1:6" x14ac:dyDescent="0.2">
      <c r="A16">
        <v>300</v>
      </c>
      <c r="B16">
        <v>315</v>
      </c>
      <c r="C16" t="str">
        <f t="shared" si="0"/>
        <v>300315</v>
      </c>
      <c r="D16">
        <v>165</v>
      </c>
      <c r="E16">
        <f t="shared" si="1"/>
        <v>17</v>
      </c>
      <c r="F16">
        <f t="shared" si="2"/>
        <v>17</v>
      </c>
    </row>
    <row r="17" spans="1:6" x14ac:dyDescent="0.2">
      <c r="A17">
        <v>300</v>
      </c>
      <c r="B17">
        <v>320</v>
      </c>
      <c r="C17" t="str">
        <f t="shared" si="0"/>
        <v>300320</v>
      </c>
      <c r="D17">
        <v>170</v>
      </c>
      <c r="E17">
        <f t="shared" si="1"/>
        <v>22</v>
      </c>
      <c r="F17">
        <f t="shared" si="2"/>
        <v>13</v>
      </c>
    </row>
    <row r="18" spans="1:6" x14ac:dyDescent="0.2">
      <c r="A18">
        <v>300</v>
      </c>
      <c r="B18">
        <v>325</v>
      </c>
      <c r="C18" t="str">
        <f t="shared" si="0"/>
        <v>300325</v>
      </c>
      <c r="D18">
        <v>200</v>
      </c>
      <c r="E18">
        <f t="shared" si="1"/>
        <v>27</v>
      </c>
      <c r="F18">
        <f t="shared" si="2"/>
        <v>11</v>
      </c>
    </row>
    <row r="19" spans="1:6" x14ac:dyDescent="0.2">
      <c r="A19">
        <v>300</v>
      </c>
      <c r="B19">
        <v>330</v>
      </c>
      <c r="C19" t="str">
        <f t="shared" si="0"/>
        <v>300330</v>
      </c>
      <c r="D19">
        <v>205</v>
      </c>
      <c r="E19">
        <f t="shared" si="1"/>
        <v>32</v>
      </c>
      <c r="F19">
        <f t="shared" si="2"/>
        <v>9</v>
      </c>
    </row>
    <row r="20" spans="1:6" x14ac:dyDescent="0.2">
      <c r="A20">
        <v>300</v>
      </c>
      <c r="B20">
        <v>335</v>
      </c>
      <c r="C20" t="str">
        <f t="shared" si="0"/>
        <v>300335</v>
      </c>
      <c r="D20">
        <v>240</v>
      </c>
      <c r="E20">
        <f t="shared" si="1"/>
        <v>37</v>
      </c>
      <c r="F20">
        <f t="shared" si="2"/>
        <v>8</v>
      </c>
    </row>
    <row r="21" spans="1:6" x14ac:dyDescent="0.2">
      <c r="A21">
        <v>300</v>
      </c>
      <c r="B21">
        <v>340</v>
      </c>
      <c r="C21" t="str">
        <f t="shared" si="0"/>
        <v>300340</v>
      </c>
      <c r="D21">
        <v>245</v>
      </c>
      <c r="E21">
        <f t="shared" si="1"/>
        <v>42</v>
      </c>
      <c r="F21">
        <f t="shared" si="2"/>
        <v>7</v>
      </c>
    </row>
    <row r="22" spans="1:6" x14ac:dyDescent="0.2">
      <c r="A22">
        <v>300</v>
      </c>
      <c r="B22">
        <v>345</v>
      </c>
      <c r="C22" t="str">
        <f t="shared" si="0"/>
        <v>300345</v>
      </c>
      <c r="D22">
        <v>280</v>
      </c>
      <c r="E22">
        <f t="shared" si="1"/>
        <v>47</v>
      </c>
      <c r="F22">
        <f t="shared" si="2"/>
        <v>6</v>
      </c>
    </row>
    <row r="23" spans="1:6" x14ac:dyDescent="0.2">
      <c r="A23">
        <v>300</v>
      </c>
      <c r="B23">
        <v>350</v>
      </c>
      <c r="C23" t="str">
        <f t="shared" si="0"/>
        <v>300350</v>
      </c>
      <c r="D23">
        <v>285</v>
      </c>
      <c r="E23">
        <f t="shared" si="1"/>
        <v>52</v>
      </c>
      <c r="F23">
        <f t="shared" si="2"/>
        <v>5</v>
      </c>
    </row>
    <row r="24" spans="1:6" x14ac:dyDescent="0.2">
      <c r="A24">
        <v>310</v>
      </c>
      <c r="B24">
        <v>380</v>
      </c>
      <c r="C24" t="str">
        <f t="shared" si="0"/>
        <v>310380</v>
      </c>
      <c r="D24">
        <v>290</v>
      </c>
      <c r="E24">
        <f t="shared" si="1"/>
        <v>72</v>
      </c>
      <c r="F24">
        <f t="shared" si="2"/>
        <v>4</v>
      </c>
    </row>
    <row r="25" spans="1:6" x14ac:dyDescent="0.2">
      <c r="A25">
        <v>310</v>
      </c>
      <c r="B25">
        <v>400</v>
      </c>
      <c r="C25" t="str">
        <f t="shared" si="0"/>
        <v>310400</v>
      </c>
      <c r="D25">
        <v>270</v>
      </c>
      <c r="E25">
        <f t="shared" si="1"/>
        <v>92</v>
      </c>
      <c r="F25">
        <f t="shared" si="2"/>
        <v>3</v>
      </c>
    </row>
    <row r="26" spans="1:6" x14ac:dyDescent="0.2">
      <c r="A26">
        <v>320</v>
      </c>
      <c r="B26">
        <v>330</v>
      </c>
      <c r="C26" t="str">
        <f t="shared" si="0"/>
        <v>320330</v>
      </c>
      <c r="D26">
        <v>170</v>
      </c>
      <c r="E26">
        <f t="shared" si="1"/>
        <v>12</v>
      </c>
      <c r="F26">
        <f t="shared" si="2"/>
        <v>26</v>
      </c>
    </row>
    <row r="27" spans="1:6" x14ac:dyDescent="0.2">
      <c r="A27">
        <v>320</v>
      </c>
      <c r="B27">
        <v>335</v>
      </c>
      <c r="C27" t="str">
        <f t="shared" si="0"/>
        <v>320335</v>
      </c>
      <c r="D27">
        <v>210</v>
      </c>
      <c r="E27">
        <f t="shared" si="1"/>
        <v>17</v>
      </c>
      <c r="F27">
        <f t="shared" si="2"/>
        <v>18</v>
      </c>
    </row>
    <row r="28" spans="1:6" x14ac:dyDescent="0.2">
      <c r="A28">
        <v>320</v>
      </c>
      <c r="B28">
        <v>340</v>
      </c>
      <c r="C28" t="str">
        <f t="shared" si="0"/>
        <v>320340</v>
      </c>
      <c r="D28">
        <v>215</v>
      </c>
      <c r="E28">
        <f t="shared" si="1"/>
        <v>22</v>
      </c>
      <c r="F28">
        <f t="shared" si="2"/>
        <v>14</v>
      </c>
    </row>
    <row r="29" spans="1:6" x14ac:dyDescent="0.2">
      <c r="A29">
        <v>320</v>
      </c>
      <c r="B29">
        <v>345</v>
      </c>
      <c r="C29" t="str">
        <f t="shared" si="0"/>
        <v>320345</v>
      </c>
      <c r="D29">
        <v>250</v>
      </c>
      <c r="E29">
        <f t="shared" si="1"/>
        <v>27</v>
      </c>
      <c r="F29">
        <f t="shared" si="2"/>
        <v>11</v>
      </c>
    </row>
    <row r="30" spans="1:6" x14ac:dyDescent="0.2">
      <c r="A30">
        <v>320</v>
      </c>
      <c r="B30">
        <v>350</v>
      </c>
      <c r="C30" t="str">
        <f t="shared" si="0"/>
        <v>320350</v>
      </c>
      <c r="D30">
        <v>255</v>
      </c>
      <c r="E30">
        <f t="shared" si="1"/>
        <v>32</v>
      </c>
      <c r="F30">
        <f t="shared" si="2"/>
        <v>10</v>
      </c>
    </row>
    <row r="31" spans="1:6" x14ac:dyDescent="0.2">
      <c r="A31">
        <v>330</v>
      </c>
      <c r="B31">
        <v>340</v>
      </c>
      <c r="C31" t="str">
        <f t="shared" si="0"/>
        <v>330340</v>
      </c>
      <c r="D31">
        <v>230</v>
      </c>
      <c r="E31">
        <f t="shared" si="1"/>
        <v>12</v>
      </c>
      <c r="F31">
        <f t="shared" si="2"/>
        <v>27</v>
      </c>
    </row>
    <row r="32" spans="1:6" x14ac:dyDescent="0.2">
      <c r="A32">
        <v>330</v>
      </c>
      <c r="B32">
        <v>345</v>
      </c>
      <c r="C32" t="str">
        <f t="shared" si="0"/>
        <v>330345</v>
      </c>
      <c r="D32">
        <v>270</v>
      </c>
      <c r="E32">
        <f t="shared" si="1"/>
        <v>17</v>
      </c>
      <c r="F32">
        <f t="shared" si="2"/>
        <v>19</v>
      </c>
    </row>
    <row r="33" spans="1:6" x14ac:dyDescent="0.2">
      <c r="A33">
        <v>330</v>
      </c>
      <c r="B33">
        <v>350</v>
      </c>
      <c r="C33" t="str">
        <f t="shared" si="0"/>
        <v>330350</v>
      </c>
      <c r="D33">
        <v>275</v>
      </c>
      <c r="E33">
        <f t="shared" si="1"/>
        <v>22</v>
      </c>
      <c r="F33">
        <f t="shared" si="2"/>
        <v>15</v>
      </c>
    </row>
  </sheetData>
  <pageMargins left="0.75" right="0.75" top="1" bottom="1" header="0" footer="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2:AJ668"/>
  <sheetViews>
    <sheetView workbookViewId="0">
      <selection activeCell="C5" sqref="C5"/>
    </sheetView>
  </sheetViews>
  <sheetFormatPr baseColWidth="10" defaultRowHeight="12.75" x14ac:dyDescent="0.2"/>
  <cols>
    <col min="1" max="2" width="11.42578125" style="6"/>
    <col min="3" max="16" width="8.7109375" style="6" customWidth="1"/>
    <col min="17" max="16384" width="11.42578125" style="6"/>
  </cols>
  <sheetData>
    <row r="2" spans="2:16" ht="25.5" x14ac:dyDescent="0.35">
      <c r="B2" s="323" t="s">
        <v>19</v>
      </c>
      <c r="C2" s="323"/>
      <c r="D2" s="323"/>
      <c r="E2" s="323"/>
      <c r="F2" s="323"/>
      <c r="G2" s="323"/>
      <c r="H2" s="323"/>
      <c r="I2" s="323"/>
      <c r="J2" s="323"/>
      <c r="K2" s="323"/>
      <c r="L2" s="323"/>
      <c r="M2" s="323"/>
      <c r="N2" s="323"/>
      <c r="O2" s="323"/>
      <c r="P2" s="323"/>
    </row>
    <row r="4" spans="2:16" ht="13.5" x14ac:dyDescent="0.25">
      <c r="B4" s="7" t="s">
        <v>20</v>
      </c>
      <c r="C4" s="8">
        <v>0.5</v>
      </c>
      <c r="D4" s="8">
        <f t="shared" ref="D4:P4" si="0">C4+0.5</f>
        <v>1</v>
      </c>
      <c r="E4" s="8">
        <f t="shared" si="0"/>
        <v>1.5</v>
      </c>
      <c r="F4" s="8">
        <f t="shared" si="0"/>
        <v>2</v>
      </c>
      <c r="G4" s="8">
        <f t="shared" si="0"/>
        <v>2.5</v>
      </c>
      <c r="H4" s="8">
        <f t="shared" si="0"/>
        <v>3</v>
      </c>
      <c r="I4" s="8">
        <f t="shared" si="0"/>
        <v>3.5</v>
      </c>
      <c r="J4" s="8">
        <f t="shared" si="0"/>
        <v>4</v>
      </c>
      <c r="K4" s="8">
        <f t="shared" si="0"/>
        <v>4.5</v>
      </c>
      <c r="L4" s="8">
        <f t="shared" si="0"/>
        <v>5</v>
      </c>
      <c r="M4" s="8">
        <f t="shared" si="0"/>
        <v>5.5</v>
      </c>
      <c r="N4" s="8">
        <f t="shared" si="0"/>
        <v>6</v>
      </c>
      <c r="O4" s="8">
        <f t="shared" si="0"/>
        <v>6.5</v>
      </c>
      <c r="P4" s="8">
        <f t="shared" si="0"/>
        <v>7</v>
      </c>
    </row>
    <row r="5" spans="2:16" ht="18" customHeight="1" x14ac:dyDescent="0.25">
      <c r="B5" s="8">
        <v>0.5</v>
      </c>
      <c r="C5" s="9">
        <f>0.36*(1+3.5%)</f>
        <v>0.37259999999999993</v>
      </c>
      <c r="D5" s="9">
        <f>0.45*(1+3.5%)</f>
        <v>0.46575</v>
      </c>
      <c r="E5" s="9">
        <f>0.54*(1+3.5%)</f>
        <v>0.55889999999999995</v>
      </c>
      <c r="F5" s="9">
        <f>0.63*(1+3.5%)</f>
        <v>0.65204999999999991</v>
      </c>
      <c r="G5" s="9">
        <f>0.72*(1+3.5%)</f>
        <v>0.74519999999999986</v>
      </c>
      <c r="H5" s="9">
        <f>0.81*(1+3.5%)</f>
        <v>0.83835000000000004</v>
      </c>
      <c r="I5" s="9">
        <f>0.9*(1+3.5%)</f>
        <v>0.93149999999999999</v>
      </c>
      <c r="J5" s="9">
        <f>1*(1+3.5%)</f>
        <v>1.0349999999999999</v>
      </c>
      <c r="K5" s="9">
        <f>1.08*(1+3.5%)</f>
        <v>1.1177999999999999</v>
      </c>
      <c r="L5" s="9">
        <f>1.17*(1+3.5%)</f>
        <v>1.2109499999999997</v>
      </c>
      <c r="M5" s="9">
        <f>1.26*(1+3.5%)</f>
        <v>1.3040999999999998</v>
      </c>
      <c r="N5" s="9">
        <f>1.35*(1+3.5%)</f>
        <v>1.3972499999999999</v>
      </c>
      <c r="O5" s="9">
        <f>1.44*(1+3.5%)</f>
        <v>1.4903999999999997</v>
      </c>
      <c r="P5" s="9">
        <f>1.53*(1+3.5%)</f>
        <v>1.58355</v>
      </c>
    </row>
    <row r="6" spans="2:16" ht="13.5" x14ac:dyDescent="0.25">
      <c r="B6" s="8">
        <f t="shared" ref="B6:B12" si="1">B5+0.5</f>
        <v>1</v>
      </c>
      <c r="C6" s="9">
        <f>0.45*(1+3.5%)</f>
        <v>0.46575</v>
      </c>
      <c r="D6" s="9">
        <f>0.54*(1+3.5%)</f>
        <v>0.55889999999999995</v>
      </c>
      <c r="E6" s="9">
        <f>0.63*(1+3.5%)</f>
        <v>0.65204999999999991</v>
      </c>
      <c r="F6" s="9">
        <f>0.72*(1+3.5%)</f>
        <v>0.74519999999999986</v>
      </c>
      <c r="G6" s="9">
        <f>0.81*(1+3.5%)</f>
        <v>0.83835000000000004</v>
      </c>
      <c r="H6" s="9">
        <f>0.9*(1+3.5%)</f>
        <v>0.93149999999999999</v>
      </c>
      <c r="I6" s="9">
        <f>1*(1+3.5%)</f>
        <v>1.0349999999999999</v>
      </c>
      <c r="J6" s="9">
        <f>1.08*(1+3.5%)</f>
        <v>1.1177999999999999</v>
      </c>
      <c r="K6" s="9">
        <f>1.17*(1+3.5%)</f>
        <v>1.2109499999999997</v>
      </c>
      <c r="L6" s="9">
        <f>1.26*(1+3.5%)</f>
        <v>1.3040999999999998</v>
      </c>
      <c r="M6" s="9">
        <f>1.35*(1+3.5%)</f>
        <v>1.3972499999999999</v>
      </c>
      <c r="N6" s="9">
        <f>1.44*(1+3.5%)</f>
        <v>1.4903999999999997</v>
      </c>
      <c r="O6" s="9">
        <f>1.53*(1+3.5%)</f>
        <v>1.58355</v>
      </c>
      <c r="P6" s="9">
        <f>1.62*(1+3.5%)</f>
        <v>1.6767000000000001</v>
      </c>
    </row>
    <row r="7" spans="2:16" ht="13.5" x14ac:dyDescent="0.25">
      <c r="B7" s="8">
        <f t="shared" si="1"/>
        <v>1.5</v>
      </c>
      <c r="C7" s="9">
        <f>0.54*(1+3.5%)</f>
        <v>0.55889999999999995</v>
      </c>
      <c r="D7" s="9">
        <f>0.63*(1+3.5%)</f>
        <v>0.65204999999999991</v>
      </c>
      <c r="E7" s="9">
        <f>0.72*(1+3.5%)</f>
        <v>0.74519999999999986</v>
      </c>
      <c r="F7" s="9">
        <f>0.81*(1+3.5%)</f>
        <v>0.83835000000000004</v>
      </c>
      <c r="G7" s="9">
        <f>0.9*(1+3.5%)</f>
        <v>0.93149999999999999</v>
      </c>
      <c r="H7" s="9">
        <f>1*(1+3.5%)</f>
        <v>1.0349999999999999</v>
      </c>
      <c r="I7" s="9">
        <f>1.08*(1+3.5%)</f>
        <v>1.1177999999999999</v>
      </c>
      <c r="J7" s="9">
        <f>1.17*(1+3.5%)</f>
        <v>1.2109499999999997</v>
      </c>
      <c r="K7" s="9">
        <f>1.26*(1+3.5%)</f>
        <v>1.3040999999999998</v>
      </c>
      <c r="L7" s="9">
        <f>1.35*(1+3.5%)</f>
        <v>1.3972499999999999</v>
      </c>
      <c r="M7" s="9">
        <f>1.44*(1+3.5%)</f>
        <v>1.4903999999999997</v>
      </c>
      <c r="N7" s="9">
        <f>1.53*(1+3.5%)</f>
        <v>1.58355</v>
      </c>
      <c r="O7" s="9">
        <f>1.62*(1+3.5%)</f>
        <v>1.6767000000000001</v>
      </c>
      <c r="P7" s="9">
        <f>1.71*(1+3.5%)</f>
        <v>1.7698499999999999</v>
      </c>
    </row>
    <row r="8" spans="2:16" ht="13.5" x14ac:dyDescent="0.25">
      <c r="B8" s="8">
        <f t="shared" si="1"/>
        <v>2</v>
      </c>
      <c r="C8" s="9">
        <f>0.63*(1+3.5%)</f>
        <v>0.65204999999999991</v>
      </c>
      <c r="D8" s="9">
        <f>0.72*(1+3.5%)</f>
        <v>0.74519999999999986</v>
      </c>
      <c r="E8" s="9">
        <f>0.81*(1+3.5%)</f>
        <v>0.83835000000000004</v>
      </c>
      <c r="F8" s="9">
        <f>0.9*(1+3.5%)</f>
        <v>0.93149999999999999</v>
      </c>
      <c r="G8" s="9">
        <f>1*(1+3.5%)</f>
        <v>1.0349999999999999</v>
      </c>
      <c r="H8" s="9">
        <f>1.08*(1+3.5%)</f>
        <v>1.1177999999999999</v>
      </c>
      <c r="I8" s="9">
        <f>1.17*(1+3.5%)</f>
        <v>1.2109499999999997</v>
      </c>
      <c r="J8" s="9">
        <f>1.26*(1+3.5%)</f>
        <v>1.3040999999999998</v>
      </c>
      <c r="K8" s="9">
        <f>1.35*(1+3.5%)</f>
        <v>1.3972499999999999</v>
      </c>
      <c r="L8" s="9">
        <f>1.44*(1+3.5%)</f>
        <v>1.4903999999999997</v>
      </c>
      <c r="M8" s="9">
        <f>1.53*(1+3.5%)</f>
        <v>1.58355</v>
      </c>
      <c r="N8" s="9">
        <f>1.62*(1+3.5%)</f>
        <v>1.6767000000000001</v>
      </c>
      <c r="O8" s="9">
        <f>1.71*(1+3.5%)</f>
        <v>1.7698499999999999</v>
      </c>
      <c r="P8" s="9">
        <f>1.8*(1+3.5%)</f>
        <v>1.863</v>
      </c>
    </row>
    <row r="9" spans="2:16" ht="13.5" x14ac:dyDescent="0.25">
      <c r="B9" s="8">
        <f t="shared" si="1"/>
        <v>2.5</v>
      </c>
      <c r="C9" s="9">
        <f>0.72*(1+3.5%)</f>
        <v>0.74519999999999986</v>
      </c>
      <c r="D9" s="9">
        <f>0.81*(1+3.5%)</f>
        <v>0.83835000000000004</v>
      </c>
      <c r="E9" s="9">
        <f>0.9*(1+3.5%)</f>
        <v>0.93149999999999999</v>
      </c>
      <c r="F9" s="9">
        <f>1*(1+3.5%)</f>
        <v>1.0349999999999999</v>
      </c>
      <c r="G9" s="9">
        <f>1.08*(1+3.5%)</f>
        <v>1.1177999999999999</v>
      </c>
      <c r="H9" s="9">
        <f>1.17*(1+3.5%)</f>
        <v>1.2109499999999997</v>
      </c>
      <c r="I9" s="9">
        <f>1.26*(1+3.5%)</f>
        <v>1.3040999999999998</v>
      </c>
      <c r="J9" s="9">
        <f>1.35*(1+3.5%)</f>
        <v>1.3972499999999999</v>
      </c>
      <c r="K9" s="9">
        <f>1.44*(1+3.5%)</f>
        <v>1.4903999999999997</v>
      </c>
      <c r="L9" s="9">
        <f>1.53*(1+3.5%)</f>
        <v>1.58355</v>
      </c>
      <c r="M9" s="9">
        <f>1.62*(1+3.5%)</f>
        <v>1.6767000000000001</v>
      </c>
      <c r="N9" s="9">
        <f>1.71*(1+3.5%)</f>
        <v>1.7698499999999999</v>
      </c>
      <c r="O9" s="9">
        <f>1.8*(1+3.5%)</f>
        <v>1.863</v>
      </c>
      <c r="P9" s="9">
        <f>1.89*(1+3.5%)</f>
        <v>1.9561499999999998</v>
      </c>
    </row>
    <row r="10" spans="2:16" ht="13.5" x14ac:dyDescent="0.25">
      <c r="B10" s="8">
        <f t="shared" si="1"/>
        <v>3</v>
      </c>
      <c r="C10" s="9">
        <f>0.81*(1+3.5%)</f>
        <v>0.83835000000000004</v>
      </c>
      <c r="D10" s="9">
        <f>0.9*(1+3.5%)</f>
        <v>0.93149999999999999</v>
      </c>
      <c r="E10" s="9">
        <f>1*(1+3.5%)</f>
        <v>1.0349999999999999</v>
      </c>
      <c r="F10" s="9">
        <f>1.08*(1+3.5%)</f>
        <v>1.1177999999999999</v>
      </c>
      <c r="G10" s="9">
        <f>1.17*(1+3.5%)</f>
        <v>1.2109499999999997</v>
      </c>
      <c r="H10" s="9">
        <f>1.26*(1+3.5%)</f>
        <v>1.3040999999999998</v>
      </c>
      <c r="I10" s="9">
        <f>1.35*(1+3.5%)</f>
        <v>1.3972499999999999</v>
      </c>
      <c r="J10" s="9">
        <f>1.44*(1+3.5%)</f>
        <v>1.4903999999999997</v>
      </c>
      <c r="K10" s="9">
        <f>1.53*(1+3.5%)</f>
        <v>1.58355</v>
      </c>
      <c r="L10" s="9">
        <f>1.62*(1+3.5%)</f>
        <v>1.6767000000000001</v>
      </c>
      <c r="M10" s="9">
        <f>1.71*(1+3.5%)</f>
        <v>1.7698499999999999</v>
      </c>
      <c r="N10" s="9">
        <f>1.8*(1+3.5%)</f>
        <v>1.863</v>
      </c>
      <c r="O10" s="9">
        <f>1.89*(1+3.5%)</f>
        <v>1.9561499999999998</v>
      </c>
      <c r="P10" s="9">
        <f>1.98*(1+3.5%)</f>
        <v>2.0492999999999997</v>
      </c>
    </row>
    <row r="11" spans="2:16" ht="13.5" x14ac:dyDescent="0.25">
      <c r="B11" s="8">
        <f t="shared" si="1"/>
        <v>3.5</v>
      </c>
      <c r="C11" s="9">
        <f>0.9*(1+3.5%)</f>
        <v>0.93149999999999999</v>
      </c>
      <c r="D11" s="9">
        <f>1*(1+3.5%)</f>
        <v>1.0349999999999999</v>
      </c>
      <c r="E11" s="9">
        <f>1.08*(1+3.5%)</f>
        <v>1.1177999999999999</v>
      </c>
      <c r="F11" s="9">
        <f>1.17*(1+3.5%)</f>
        <v>1.2109499999999997</v>
      </c>
      <c r="G11" s="9">
        <f>1.26*(1+3.5%)</f>
        <v>1.3040999999999998</v>
      </c>
      <c r="H11" s="9">
        <f>1.35*(1+3.5%)</f>
        <v>1.3972499999999999</v>
      </c>
      <c r="I11" s="9">
        <f>1.44*(1+3.5%)</f>
        <v>1.4903999999999997</v>
      </c>
      <c r="J11" s="9">
        <f>1.53*(1+3.5%)</f>
        <v>1.58355</v>
      </c>
      <c r="K11" s="9">
        <f>1.62*(1+3.5%)</f>
        <v>1.6767000000000001</v>
      </c>
      <c r="L11" s="9">
        <f>1.71*(1+3.5%)</f>
        <v>1.7698499999999999</v>
      </c>
      <c r="M11" s="9">
        <f>1.8*(1+3.5%)</f>
        <v>1.863</v>
      </c>
      <c r="N11" s="9">
        <f>1.89*(1+3.5%)</f>
        <v>1.9561499999999998</v>
      </c>
      <c r="O11" s="9">
        <f>1.98*(1+3.5%)</f>
        <v>2.0492999999999997</v>
      </c>
      <c r="P11" s="9">
        <f>2.07*(1+3.5%)</f>
        <v>2.1424499999999997</v>
      </c>
    </row>
    <row r="12" spans="2:16" ht="13.5" x14ac:dyDescent="0.25">
      <c r="B12" s="8">
        <f t="shared" si="1"/>
        <v>4</v>
      </c>
      <c r="C12" s="9">
        <f>1*(1+3.5%)</f>
        <v>1.0349999999999999</v>
      </c>
      <c r="D12" s="9">
        <f>1.08*(1+3.5%)</f>
        <v>1.1177999999999999</v>
      </c>
      <c r="E12" s="9">
        <f>1.17*(1+3.5%)</f>
        <v>1.2109499999999997</v>
      </c>
      <c r="F12" s="9">
        <f>1.26*(1+3.5%)</f>
        <v>1.3040999999999998</v>
      </c>
      <c r="G12" s="9">
        <f>1.35*(1+3.5%)</f>
        <v>1.3972499999999999</v>
      </c>
      <c r="H12" s="9">
        <f>1.44*(1+3.5%)</f>
        <v>1.4903999999999997</v>
      </c>
      <c r="I12" s="9">
        <f>1.53*(1+3.5%)</f>
        <v>1.58355</v>
      </c>
      <c r="J12" s="9">
        <f>1.62*(1+3.5%)</f>
        <v>1.6767000000000001</v>
      </c>
      <c r="K12" s="9">
        <f>1.71*(1+3.5%)</f>
        <v>1.7698499999999999</v>
      </c>
      <c r="L12" s="9">
        <f>1.8*(1+3.5%)</f>
        <v>1.863</v>
      </c>
      <c r="M12" s="9">
        <f>1.89*(1+3.5%)</f>
        <v>1.9561499999999998</v>
      </c>
      <c r="N12" s="9">
        <f>1.98*(1+3.5%)</f>
        <v>2.0492999999999997</v>
      </c>
      <c r="O12" s="9">
        <f>2.07*(1+3.5%)</f>
        <v>2.1424499999999997</v>
      </c>
      <c r="P12" s="9">
        <f>2.16*(1+3.5%)</f>
        <v>2.2355999999999998</v>
      </c>
    </row>
    <row r="13" spans="2:16" x14ac:dyDescent="0.2"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</row>
    <row r="15" spans="2:16" ht="13.5" x14ac:dyDescent="0.25">
      <c r="B15" s="11" t="s">
        <v>21</v>
      </c>
    </row>
    <row r="17" spans="1:36" s="12" customFormat="1" ht="13.5" x14ac:dyDescent="0.25">
      <c r="B17" s="12" t="s">
        <v>22</v>
      </c>
      <c r="C17" s="12">
        <v>1</v>
      </c>
      <c r="D17" s="12">
        <v>50</v>
      </c>
      <c r="E17" s="12">
        <v>51</v>
      </c>
      <c r="F17" s="12">
        <v>100</v>
      </c>
      <c r="G17" s="12">
        <v>101</v>
      </c>
      <c r="H17" s="12">
        <v>150</v>
      </c>
      <c r="I17" s="12">
        <v>151</v>
      </c>
      <c r="J17" s="12">
        <v>200</v>
      </c>
      <c r="K17" s="12">
        <v>201</v>
      </c>
      <c r="L17" s="12">
        <v>250</v>
      </c>
      <c r="M17" s="12">
        <v>251</v>
      </c>
      <c r="N17" s="12">
        <v>300</v>
      </c>
      <c r="O17" s="12">
        <v>301</v>
      </c>
      <c r="P17" s="12">
        <v>350</v>
      </c>
      <c r="Q17" s="12">
        <v>351</v>
      </c>
      <c r="R17" s="12">
        <v>400</v>
      </c>
      <c r="S17" s="12">
        <v>401</v>
      </c>
      <c r="T17" s="12">
        <v>450</v>
      </c>
      <c r="U17" s="12">
        <v>451</v>
      </c>
      <c r="V17" s="12">
        <v>500</v>
      </c>
      <c r="W17" s="12">
        <v>501</v>
      </c>
      <c r="X17" s="12">
        <v>550</v>
      </c>
      <c r="Y17" s="12">
        <v>551</v>
      </c>
      <c r="Z17" s="12">
        <v>600</v>
      </c>
      <c r="AA17" s="12">
        <v>601</v>
      </c>
      <c r="AB17" s="12">
        <v>650</v>
      </c>
      <c r="AC17" s="12">
        <v>651</v>
      </c>
      <c r="AD17" s="12">
        <v>700</v>
      </c>
    </row>
    <row r="18" spans="1:36" s="12" customFormat="1" ht="13.5" x14ac:dyDescent="0.25">
      <c r="A18" s="13">
        <v>1</v>
      </c>
      <c r="B18" s="13">
        <f t="shared" ref="B18:B33" si="2">ROW(A18)</f>
        <v>18</v>
      </c>
      <c r="C18" s="71">
        <f>0.36*(1+3.5%)</f>
        <v>0.37259999999999993</v>
      </c>
      <c r="D18" s="71">
        <f>0.36*(1+3.5%)</f>
        <v>0.37259999999999993</v>
      </c>
      <c r="E18" s="71">
        <f>0.45*(1+3.5%)</f>
        <v>0.46575</v>
      </c>
      <c r="F18" s="71">
        <f>0.45*(1+3.5%)</f>
        <v>0.46575</v>
      </c>
      <c r="G18" s="6">
        <v>0.54</v>
      </c>
      <c r="H18" s="71">
        <f>0.54*(1+3.5%)</f>
        <v>0.55889999999999995</v>
      </c>
      <c r="I18" s="71">
        <f>0.63*(1+3.5%)</f>
        <v>0.65204999999999991</v>
      </c>
      <c r="J18" s="71">
        <f>0.63*(1+3.5%)</f>
        <v>0.65204999999999991</v>
      </c>
      <c r="K18" s="71">
        <f>0.72*(1+3.5%)</f>
        <v>0.74519999999999986</v>
      </c>
      <c r="L18" s="71">
        <f>0.72*(1+3.5%)</f>
        <v>0.74519999999999986</v>
      </c>
      <c r="M18" s="71">
        <f>0.81*(1+3.5%)</f>
        <v>0.83835000000000004</v>
      </c>
      <c r="N18" s="71">
        <f>0.81*(1+3.5%)</f>
        <v>0.83835000000000004</v>
      </c>
      <c r="O18" s="71">
        <f>0.9*(1+3.5%)</f>
        <v>0.93149999999999999</v>
      </c>
      <c r="P18" s="71">
        <f>0.9*(1+3.5%)</f>
        <v>0.93149999999999999</v>
      </c>
      <c r="Q18" s="71">
        <f>1*(1+3.5%)</f>
        <v>1.0349999999999999</v>
      </c>
      <c r="R18" s="71">
        <f>1*(1+3.5%)</f>
        <v>1.0349999999999999</v>
      </c>
      <c r="S18" s="71">
        <f>1.08*(1+3.5%)</f>
        <v>1.1177999999999999</v>
      </c>
      <c r="T18" s="71">
        <f>1.08*(1+3.5%)</f>
        <v>1.1177999999999999</v>
      </c>
      <c r="U18" s="71">
        <f>1.17*(1+3.5%)</f>
        <v>1.2109499999999997</v>
      </c>
      <c r="V18" s="71">
        <f>1.17*(1+3.5%)</f>
        <v>1.2109499999999997</v>
      </c>
      <c r="W18" s="71">
        <f>1.26*(1+3.5%)</f>
        <v>1.3040999999999998</v>
      </c>
      <c r="X18" s="71">
        <f>1.26*(1+3.5%)</f>
        <v>1.3040999999999998</v>
      </c>
      <c r="Y18" s="71">
        <f>1.35*(1+3.5%)</f>
        <v>1.3972499999999999</v>
      </c>
      <c r="Z18" s="71">
        <f>1.35*(1+3.5%)</f>
        <v>1.3972499999999999</v>
      </c>
      <c r="AA18" s="71">
        <f>1.44*(1+3.5%)</f>
        <v>1.4903999999999997</v>
      </c>
      <c r="AB18" s="71">
        <f>1.44*(1+3.5%)</f>
        <v>1.4903999999999997</v>
      </c>
      <c r="AC18" s="71">
        <f>1.53*(1+3.5%)</f>
        <v>1.58355</v>
      </c>
      <c r="AD18" s="71">
        <f>1.53*(1+3.5%)</f>
        <v>1.58355</v>
      </c>
      <c r="AE18" s="6"/>
      <c r="AF18" s="6"/>
      <c r="AG18" s="6"/>
      <c r="AH18" s="6"/>
      <c r="AI18" s="6"/>
      <c r="AJ18" s="6"/>
    </row>
    <row r="19" spans="1:36" ht="13.5" x14ac:dyDescent="0.25">
      <c r="A19" s="13">
        <v>50</v>
      </c>
      <c r="B19" s="13">
        <f t="shared" si="2"/>
        <v>19</v>
      </c>
      <c r="C19" s="71">
        <f>0.36*(1+3.5%)</f>
        <v>0.37259999999999993</v>
      </c>
      <c r="D19" s="71">
        <f>0.36*(1+3.5%)</f>
        <v>0.37259999999999993</v>
      </c>
      <c r="E19" s="71">
        <f>0.45*(1+3.5%)</f>
        <v>0.46575</v>
      </c>
      <c r="F19" s="71">
        <f>0.45*(1+3.5%)</f>
        <v>0.46575</v>
      </c>
      <c r="G19" s="71">
        <f>0.54*(1+3.5%)</f>
        <v>0.55889999999999995</v>
      </c>
      <c r="H19" s="71">
        <f>0.54*(1+3.5%)</f>
        <v>0.55889999999999995</v>
      </c>
      <c r="I19" s="71">
        <f>0.63*(1+3.5%)</f>
        <v>0.65204999999999991</v>
      </c>
      <c r="J19" s="71">
        <f>0.63*(1+3.5%)</f>
        <v>0.65204999999999991</v>
      </c>
      <c r="K19" s="71">
        <f>0.72*(1+3.5%)</f>
        <v>0.74519999999999986</v>
      </c>
      <c r="L19" s="71">
        <f>0.72*(1+3.5%)</f>
        <v>0.74519999999999986</v>
      </c>
      <c r="M19" s="71">
        <f>0.81*(1+3.5%)</f>
        <v>0.83835000000000004</v>
      </c>
      <c r="N19" s="71">
        <f>0.81*(1+3.5%)</f>
        <v>0.83835000000000004</v>
      </c>
      <c r="O19" s="71">
        <f>0.9*(1+3.5%)</f>
        <v>0.93149999999999999</v>
      </c>
      <c r="P19" s="71">
        <f>0.9*(1+3.5%)</f>
        <v>0.93149999999999999</v>
      </c>
      <c r="Q19" s="71">
        <f>1*(1+3.5%)</f>
        <v>1.0349999999999999</v>
      </c>
      <c r="R19" s="71">
        <f>1*(1+3.5%)</f>
        <v>1.0349999999999999</v>
      </c>
      <c r="S19" s="71">
        <f>1.08*(1+3.5%)</f>
        <v>1.1177999999999999</v>
      </c>
      <c r="T19" s="71">
        <f>1.08*(1+3.5%)</f>
        <v>1.1177999999999999</v>
      </c>
      <c r="U19" s="71">
        <f>1.17*(1+3.5%)</f>
        <v>1.2109499999999997</v>
      </c>
      <c r="V19" s="71">
        <f>1.17*(1+3.5%)</f>
        <v>1.2109499999999997</v>
      </c>
      <c r="W19" s="71">
        <f>1.26*(1+3.5%)</f>
        <v>1.3040999999999998</v>
      </c>
      <c r="X19" s="71">
        <f>1.26*(1+3.5%)</f>
        <v>1.3040999999999998</v>
      </c>
      <c r="Y19" s="71">
        <f>1.35*(1+3.5%)</f>
        <v>1.3972499999999999</v>
      </c>
      <c r="Z19" s="71">
        <f>1.35*(1+3.5%)</f>
        <v>1.3972499999999999</v>
      </c>
      <c r="AA19" s="71">
        <f>1.44*(1+3.5%)</f>
        <v>1.4903999999999997</v>
      </c>
      <c r="AB19" s="71">
        <f>1.44*(1+3.5%)</f>
        <v>1.4903999999999997</v>
      </c>
      <c r="AC19" s="71">
        <f>1.53*(1+3.5%)</f>
        <v>1.58355</v>
      </c>
      <c r="AD19" s="71">
        <f>1.53*(1+3.5%)</f>
        <v>1.58355</v>
      </c>
    </row>
    <row r="20" spans="1:36" ht="13.5" x14ac:dyDescent="0.25">
      <c r="A20" s="13">
        <f>A19+1</f>
        <v>51</v>
      </c>
      <c r="B20" s="13">
        <f t="shared" si="2"/>
        <v>20</v>
      </c>
      <c r="C20" s="71">
        <f>0.45*(1+3.5%)</f>
        <v>0.46575</v>
      </c>
      <c r="D20" s="71">
        <f>0.45*(1+3.5%)</f>
        <v>0.46575</v>
      </c>
      <c r="E20" s="71">
        <f>0.54*(1+3.5%)</f>
        <v>0.55889999999999995</v>
      </c>
      <c r="F20" s="71">
        <f>0.54*(1+3.5%)</f>
        <v>0.55889999999999995</v>
      </c>
      <c r="G20" s="71">
        <f>0.63*(1+3.5%)</f>
        <v>0.65204999999999991</v>
      </c>
      <c r="H20" s="71">
        <f>0.63*(1+3.5%)</f>
        <v>0.65204999999999991</v>
      </c>
      <c r="I20" s="71">
        <f>0.72*(1+3.5%)</f>
        <v>0.74519999999999986</v>
      </c>
      <c r="J20" s="71">
        <f>0.72*(1+3.5%)</f>
        <v>0.74519999999999986</v>
      </c>
      <c r="K20" s="71">
        <f>0.81*(1+3.5%)</f>
        <v>0.83835000000000004</v>
      </c>
      <c r="L20" s="71">
        <f>0.81*(1+3.5%)</f>
        <v>0.83835000000000004</v>
      </c>
      <c r="M20" s="71">
        <f>0.9*(1+3.5%)</f>
        <v>0.93149999999999999</v>
      </c>
      <c r="N20" s="71">
        <f>0.9*(1+3.5%)</f>
        <v>0.93149999999999999</v>
      </c>
      <c r="O20" s="71">
        <f>1*(1+3.5%)</f>
        <v>1.0349999999999999</v>
      </c>
      <c r="P20" s="71">
        <f>1*(1+3.5%)</f>
        <v>1.0349999999999999</v>
      </c>
      <c r="Q20" s="71">
        <f>1.08*(1+3.5%)</f>
        <v>1.1177999999999999</v>
      </c>
      <c r="R20" s="71">
        <f>1.08*(1+3.5%)</f>
        <v>1.1177999999999999</v>
      </c>
      <c r="S20" s="71">
        <f>1.17*(1+3.5%)</f>
        <v>1.2109499999999997</v>
      </c>
      <c r="T20" s="71">
        <f>1.17*(1+3.5%)</f>
        <v>1.2109499999999997</v>
      </c>
      <c r="U20" s="71">
        <f>1.26*(1+3.5%)</f>
        <v>1.3040999999999998</v>
      </c>
      <c r="V20" s="71">
        <f>1.26*(1+3.5%)</f>
        <v>1.3040999999999998</v>
      </c>
      <c r="W20" s="71">
        <f>1.35*(1+3.5%)</f>
        <v>1.3972499999999999</v>
      </c>
      <c r="X20" s="71">
        <f>1.35*(1+3.5%)</f>
        <v>1.3972499999999999</v>
      </c>
      <c r="Y20" s="71">
        <f>1.44*(1+3.5%)</f>
        <v>1.4903999999999997</v>
      </c>
      <c r="Z20" s="71">
        <f>1.44*(1+3.5%)</f>
        <v>1.4903999999999997</v>
      </c>
      <c r="AA20" s="71">
        <f>1.53*(1+3.5%)</f>
        <v>1.58355</v>
      </c>
      <c r="AB20" s="71">
        <f>1.53*(1+3.5%)</f>
        <v>1.58355</v>
      </c>
      <c r="AC20" s="71">
        <f>1.62*(1+3.5%)</f>
        <v>1.6767000000000001</v>
      </c>
      <c r="AD20" s="71">
        <f>1.62*(1+3.5%)</f>
        <v>1.6767000000000001</v>
      </c>
    </row>
    <row r="21" spans="1:36" ht="13.5" x14ac:dyDescent="0.25">
      <c r="A21" s="13">
        <v>100</v>
      </c>
      <c r="B21" s="13">
        <f t="shared" si="2"/>
        <v>21</v>
      </c>
      <c r="C21" s="71">
        <f>0.45*(1+3.5%)</f>
        <v>0.46575</v>
      </c>
      <c r="D21" s="71">
        <f>0.45*(1+3.5%)</f>
        <v>0.46575</v>
      </c>
      <c r="E21" s="71">
        <f>0.54*(1+3.5%)</f>
        <v>0.55889999999999995</v>
      </c>
      <c r="F21" s="71">
        <f>0.54*(1+3.5%)</f>
        <v>0.55889999999999995</v>
      </c>
      <c r="G21" s="71">
        <f>0.63*(1+3.5%)</f>
        <v>0.65204999999999991</v>
      </c>
      <c r="H21" s="71">
        <f>0.63*(1+3.5%)</f>
        <v>0.65204999999999991</v>
      </c>
      <c r="I21" s="71">
        <f>0.72*(1+3.5%)</f>
        <v>0.74519999999999986</v>
      </c>
      <c r="J21" s="71">
        <f>0.72*(1+3.5%)</f>
        <v>0.74519999999999986</v>
      </c>
      <c r="K21" s="71">
        <f>0.81*(1+3.5%)</f>
        <v>0.83835000000000004</v>
      </c>
      <c r="L21" s="71">
        <f>0.81*(1+3.5%)</f>
        <v>0.83835000000000004</v>
      </c>
      <c r="M21" s="71">
        <f>0.9*(1+3.5%)</f>
        <v>0.93149999999999999</v>
      </c>
      <c r="N21" s="71">
        <f>0.9*(1+3.5%)</f>
        <v>0.93149999999999999</v>
      </c>
      <c r="O21" s="71">
        <f>1*(1+3.5%)</f>
        <v>1.0349999999999999</v>
      </c>
      <c r="P21" s="71">
        <f>1*(1+3.5%)</f>
        <v>1.0349999999999999</v>
      </c>
      <c r="Q21" s="71">
        <f>1.08*(1+3.5%)</f>
        <v>1.1177999999999999</v>
      </c>
      <c r="R21" s="71">
        <f>1.08*(1+3.5%)</f>
        <v>1.1177999999999999</v>
      </c>
      <c r="S21" s="71">
        <f>1.17*(1+3.5%)</f>
        <v>1.2109499999999997</v>
      </c>
      <c r="T21" s="71">
        <f>1.17*(1+3.5%)</f>
        <v>1.2109499999999997</v>
      </c>
      <c r="U21" s="71">
        <f>1.26*(1+3.5%)</f>
        <v>1.3040999999999998</v>
      </c>
      <c r="V21" s="71">
        <f>1.26*(1+3.5%)</f>
        <v>1.3040999999999998</v>
      </c>
      <c r="W21" s="71">
        <f>1.35*(1+3.5%)</f>
        <v>1.3972499999999999</v>
      </c>
      <c r="X21" s="71">
        <f>1.35*(1+3.5%)</f>
        <v>1.3972499999999999</v>
      </c>
      <c r="Y21" s="71">
        <f>1.44*(1+3.5%)</f>
        <v>1.4903999999999997</v>
      </c>
      <c r="Z21" s="71">
        <f>1.44*(1+3.5%)</f>
        <v>1.4903999999999997</v>
      </c>
      <c r="AA21" s="71">
        <f>1.53*(1+3.5%)</f>
        <v>1.58355</v>
      </c>
      <c r="AB21" s="71">
        <f>1.53*(1+3.5%)</f>
        <v>1.58355</v>
      </c>
      <c r="AC21" s="71">
        <f>1.62*(1+3.5%)</f>
        <v>1.6767000000000001</v>
      </c>
      <c r="AD21" s="71">
        <f>1.62*(1+3.5%)</f>
        <v>1.6767000000000001</v>
      </c>
    </row>
    <row r="22" spans="1:36" ht="13.5" x14ac:dyDescent="0.25">
      <c r="A22" s="13">
        <f>A21+1</f>
        <v>101</v>
      </c>
      <c r="B22" s="13">
        <f t="shared" si="2"/>
        <v>22</v>
      </c>
      <c r="C22" s="71">
        <f>0.54*(1+3.5%)</f>
        <v>0.55889999999999995</v>
      </c>
      <c r="D22" s="71">
        <f>0.54*(1+3.5%)</f>
        <v>0.55889999999999995</v>
      </c>
      <c r="E22" s="71">
        <f>0.63*(1+3.5%)</f>
        <v>0.65204999999999991</v>
      </c>
      <c r="F22" s="71">
        <f>0.63*(1+3.5%)</f>
        <v>0.65204999999999991</v>
      </c>
      <c r="G22" s="71">
        <f>0.72*(1+3.5%)</f>
        <v>0.74519999999999986</v>
      </c>
      <c r="H22" s="71">
        <f>0.72*(1+3.5%)</f>
        <v>0.74519999999999986</v>
      </c>
      <c r="I22" s="71">
        <f>0.81*(1+3.5%)</f>
        <v>0.83835000000000004</v>
      </c>
      <c r="J22" s="71">
        <f>0.81*(1+3.5%)</f>
        <v>0.83835000000000004</v>
      </c>
      <c r="K22" s="71">
        <f>0.9*(1+3.5%)</f>
        <v>0.93149999999999999</v>
      </c>
      <c r="L22" s="71">
        <f>0.9*(1+3.5%)</f>
        <v>0.93149999999999999</v>
      </c>
      <c r="M22" s="71">
        <f>1*(1+3.5%)</f>
        <v>1.0349999999999999</v>
      </c>
      <c r="N22" s="71">
        <f>1*(1+3.5%)</f>
        <v>1.0349999999999999</v>
      </c>
      <c r="O22" s="71">
        <f>1.08*(1+3.5%)</f>
        <v>1.1177999999999999</v>
      </c>
      <c r="P22" s="71">
        <f>1.08*(1+3.5%)</f>
        <v>1.1177999999999999</v>
      </c>
      <c r="Q22" s="71">
        <f>1.17*(1+3.5%)</f>
        <v>1.2109499999999997</v>
      </c>
      <c r="R22" s="71">
        <f>1.17*(1+3.5%)</f>
        <v>1.2109499999999997</v>
      </c>
      <c r="S22" s="71">
        <f>1.26*(1+3.5%)</f>
        <v>1.3040999999999998</v>
      </c>
      <c r="T22" s="71">
        <f>1.26*(1+3.5%)</f>
        <v>1.3040999999999998</v>
      </c>
      <c r="U22" s="71">
        <f>1.35*(1+3.5%)</f>
        <v>1.3972499999999999</v>
      </c>
      <c r="V22" s="71">
        <f>1.35*(1+3.5%)</f>
        <v>1.3972499999999999</v>
      </c>
      <c r="W22" s="71">
        <f>1.44*(1+3.5%)</f>
        <v>1.4903999999999997</v>
      </c>
      <c r="X22" s="71">
        <f>1.44*(1+3.5%)</f>
        <v>1.4903999999999997</v>
      </c>
      <c r="Y22" s="71">
        <f>1.53*(1+3.5%)</f>
        <v>1.58355</v>
      </c>
      <c r="Z22" s="71">
        <f>1.53*(1+3.5%)</f>
        <v>1.58355</v>
      </c>
      <c r="AA22" s="71">
        <f>1.62*(1+3.5%)</f>
        <v>1.6767000000000001</v>
      </c>
      <c r="AB22" s="71">
        <f>1.62*(1+3.5%)</f>
        <v>1.6767000000000001</v>
      </c>
      <c r="AC22" s="71">
        <f>1.71*(1+3.5%)</f>
        <v>1.7698499999999999</v>
      </c>
      <c r="AD22" s="71">
        <f>1.71*(1+3.5%)</f>
        <v>1.7698499999999999</v>
      </c>
    </row>
    <row r="23" spans="1:36" ht="13.5" x14ac:dyDescent="0.25">
      <c r="A23" s="13">
        <v>150</v>
      </c>
      <c r="B23" s="13">
        <f t="shared" si="2"/>
        <v>23</v>
      </c>
      <c r="C23" s="71">
        <f>0.54*(1+3.5%)</f>
        <v>0.55889999999999995</v>
      </c>
      <c r="D23" s="71">
        <f>0.54*(1+3.5%)</f>
        <v>0.55889999999999995</v>
      </c>
      <c r="E23" s="71">
        <f>0.63*(1+3.5%)</f>
        <v>0.65204999999999991</v>
      </c>
      <c r="F23" s="71">
        <f>0.63*(1+3.5%)</f>
        <v>0.65204999999999991</v>
      </c>
      <c r="G23" s="71">
        <f>0.72*(1+3.5%)</f>
        <v>0.74519999999999986</v>
      </c>
      <c r="H23" s="71">
        <f>0.72*(1+3.5%)</f>
        <v>0.74519999999999986</v>
      </c>
      <c r="I23" s="71">
        <f>0.81*(1+3.5%)</f>
        <v>0.83835000000000004</v>
      </c>
      <c r="J23" s="71">
        <f>0.81*(1+3.5%)</f>
        <v>0.83835000000000004</v>
      </c>
      <c r="K23" s="71">
        <f>0.9*(1+3.5%)</f>
        <v>0.93149999999999999</v>
      </c>
      <c r="L23" s="71">
        <f>0.9*(1+3.5%)</f>
        <v>0.93149999999999999</v>
      </c>
      <c r="M23" s="71">
        <f>1*(1+3.5%)</f>
        <v>1.0349999999999999</v>
      </c>
      <c r="N23" s="71">
        <f>1*(1+3.5%)</f>
        <v>1.0349999999999999</v>
      </c>
      <c r="O23" s="71">
        <f>1.08*(1+3.5%)</f>
        <v>1.1177999999999999</v>
      </c>
      <c r="P23" s="71">
        <f>1.08*(1+3.5%)</f>
        <v>1.1177999999999999</v>
      </c>
      <c r="Q23" s="71">
        <f>1.17*(1+3.5%)</f>
        <v>1.2109499999999997</v>
      </c>
      <c r="R23" s="71">
        <f>1.17*(1+3.5%)</f>
        <v>1.2109499999999997</v>
      </c>
      <c r="S23" s="71">
        <f>1.26*(1+3.5%)</f>
        <v>1.3040999999999998</v>
      </c>
      <c r="T23" s="71">
        <f>1.26*(1+3.5%)</f>
        <v>1.3040999999999998</v>
      </c>
      <c r="U23" s="71">
        <f>1.35*(1+3.5%)</f>
        <v>1.3972499999999999</v>
      </c>
      <c r="V23" s="71">
        <f>1.35*(1+3.5%)</f>
        <v>1.3972499999999999</v>
      </c>
      <c r="W23" s="71">
        <f>1.44*(1+3.5%)</f>
        <v>1.4903999999999997</v>
      </c>
      <c r="X23" s="71">
        <f>1.44*(1+3.5%)</f>
        <v>1.4903999999999997</v>
      </c>
      <c r="Y23" s="71">
        <f>1.53*(1+3.5%)</f>
        <v>1.58355</v>
      </c>
      <c r="Z23" s="71">
        <f>1.53*(1+3.5%)</f>
        <v>1.58355</v>
      </c>
      <c r="AA23" s="71">
        <f>1.62*(1+3.5%)</f>
        <v>1.6767000000000001</v>
      </c>
      <c r="AB23" s="71">
        <f>1.62*(1+3.5%)</f>
        <v>1.6767000000000001</v>
      </c>
      <c r="AC23" s="71">
        <f>1.71*(1+3.5%)</f>
        <v>1.7698499999999999</v>
      </c>
      <c r="AD23" s="71">
        <f>1.71*(1+3.5%)</f>
        <v>1.7698499999999999</v>
      </c>
    </row>
    <row r="24" spans="1:36" ht="13.5" x14ac:dyDescent="0.25">
      <c r="A24" s="13">
        <v>151</v>
      </c>
      <c r="B24" s="13">
        <f t="shared" si="2"/>
        <v>24</v>
      </c>
      <c r="C24" s="71">
        <f>0.63*(1+3.5%)</f>
        <v>0.65204999999999991</v>
      </c>
      <c r="D24" s="71">
        <f>0.63*(1+3.5%)</f>
        <v>0.65204999999999991</v>
      </c>
      <c r="E24" s="71">
        <f>0.72*(1+3.5%)</f>
        <v>0.74519999999999986</v>
      </c>
      <c r="F24" s="71">
        <f>0.72*(1+3.5%)</f>
        <v>0.74519999999999986</v>
      </c>
      <c r="G24" s="71">
        <f>0.81*(1+3.5%)</f>
        <v>0.83835000000000004</v>
      </c>
      <c r="H24" s="71">
        <f>0.81*(1+3.5%)</f>
        <v>0.83835000000000004</v>
      </c>
      <c r="I24" s="71">
        <f>0.9*(1+3.5%)</f>
        <v>0.93149999999999999</v>
      </c>
      <c r="J24" s="71">
        <f>0.9*(1+3.5%)</f>
        <v>0.93149999999999999</v>
      </c>
      <c r="K24" s="71">
        <f>1*(1+3.5%)</f>
        <v>1.0349999999999999</v>
      </c>
      <c r="L24" s="71">
        <f>1*(1+3.5%)</f>
        <v>1.0349999999999999</v>
      </c>
      <c r="M24" s="71">
        <f>1.08*(1+3.5%)</f>
        <v>1.1177999999999999</v>
      </c>
      <c r="N24" s="71">
        <f>1.08*(1+3.5%)</f>
        <v>1.1177999999999999</v>
      </c>
      <c r="O24" s="71">
        <f>1.17*(1+3.5%)</f>
        <v>1.2109499999999997</v>
      </c>
      <c r="P24" s="71">
        <f>1.17*(1+3.5%)</f>
        <v>1.2109499999999997</v>
      </c>
      <c r="Q24" s="71">
        <f>1.26*(1+3.5%)</f>
        <v>1.3040999999999998</v>
      </c>
      <c r="R24" s="71">
        <f>1.26*(1+3.5%)</f>
        <v>1.3040999999999998</v>
      </c>
      <c r="S24" s="71">
        <f>1.35*(1+3.5%)</f>
        <v>1.3972499999999999</v>
      </c>
      <c r="T24" s="71">
        <f>1.35*(1+3.5%)</f>
        <v>1.3972499999999999</v>
      </c>
      <c r="U24" s="71">
        <f>1.44*(1+3.5%)</f>
        <v>1.4903999999999997</v>
      </c>
      <c r="V24" s="71">
        <f>1.44*(1+3.5%)</f>
        <v>1.4903999999999997</v>
      </c>
      <c r="W24" s="71">
        <f>1.53*(1+3.5%)</f>
        <v>1.58355</v>
      </c>
      <c r="X24" s="71">
        <f>1.53*(1+3.5%)</f>
        <v>1.58355</v>
      </c>
      <c r="Y24" s="71">
        <f>1.62*(1+3.5%)</f>
        <v>1.6767000000000001</v>
      </c>
      <c r="Z24" s="71">
        <f>1.62*(1+3.5%)</f>
        <v>1.6767000000000001</v>
      </c>
      <c r="AA24" s="71">
        <f>1.71*(1+3.5%)</f>
        <v>1.7698499999999999</v>
      </c>
      <c r="AB24" s="71">
        <f>1.71*(1+3.5%)</f>
        <v>1.7698499999999999</v>
      </c>
      <c r="AC24" s="71">
        <f>1.8*(1+3.5%)</f>
        <v>1.863</v>
      </c>
      <c r="AD24" s="71">
        <f>1.8*(1+3.5%)</f>
        <v>1.863</v>
      </c>
    </row>
    <row r="25" spans="1:36" ht="13.5" x14ac:dyDescent="0.25">
      <c r="A25" s="13">
        <v>200</v>
      </c>
      <c r="B25" s="13">
        <f t="shared" si="2"/>
        <v>25</v>
      </c>
      <c r="C25" s="71">
        <f>0.63*(1+3.5%)</f>
        <v>0.65204999999999991</v>
      </c>
      <c r="D25" s="71">
        <f>0.63*(1+3.5%)</f>
        <v>0.65204999999999991</v>
      </c>
      <c r="E25" s="71">
        <f>0.72*(1+3.5%)</f>
        <v>0.74519999999999986</v>
      </c>
      <c r="F25" s="71">
        <f>0.72*(1+3.5%)</f>
        <v>0.74519999999999986</v>
      </c>
      <c r="G25" s="71">
        <f>0.81*(1+3.5%)</f>
        <v>0.83835000000000004</v>
      </c>
      <c r="H25" s="71">
        <f>0.81*(1+3.5%)</f>
        <v>0.83835000000000004</v>
      </c>
      <c r="I25" s="71">
        <f>0.9*(1+3.5%)</f>
        <v>0.93149999999999999</v>
      </c>
      <c r="J25" s="71">
        <f>0.9*(1+3.5%)</f>
        <v>0.93149999999999999</v>
      </c>
      <c r="K25" s="71">
        <f>1*(1+3.5%)</f>
        <v>1.0349999999999999</v>
      </c>
      <c r="L25" s="71">
        <f>1*(1+3.5%)</f>
        <v>1.0349999999999999</v>
      </c>
      <c r="M25" s="71">
        <f>1.08*(1+3.5%)</f>
        <v>1.1177999999999999</v>
      </c>
      <c r="N25" s="71">
        <f>1.08*(1+3.5%)</f>
        <v>1.1177999999999999</v>
      </c>
      <c r="O25" s="71">
        <f>1.17*(1+3.5%)</f>
        <v>1.2109499999999997</v>
      </c>
      <c r="P25" s="71">
        <f>1.17*(1+3.5%)</f>
        <v>1.2109499999999997</v>
      </c>
      <c r="Q25" s="71">
        <f>1.26*(1+3.5%)</f>
        <v>1.3040999999999998</v>
      </c>
      <c r="R25" s="71">
        <f>1.26*(1+3.5%)</f>
        <v>1.3040999999999998</v>
      </c>
      <c r="S25" s="71">
        <f>1.35*(1+3.5%)</f>
        <v>1.3972499999999999</v>
      </c>
      <c r="T25" s="71">
        <f>1.35*(1+3.5%)</f>
        <v>1.3972499999999999</v>
      </c>
      <c r="U25" s="71">
        <f>1.44*(1+3.5%)</f>
        <v>1.4903999999999997</v>
      </c>
      <c r="V25" s="71">
        <f>1.44*(1+3.5%)</f>
        <v>1.4903999999999997</v>
      </c>
      <c r="W25" s="71">
        <f>1.53*(1+3.5%)</f>
        <v>1.58355</v>
      </c>
      <c r="X25" s="71">
        <f>1.53*(1+3.5%)</f>
        <v>1.58355</v>
      </c>
      <c r="Y25" s="71">
        <f>1.62*(1+3.5%)</f>
        <v>1.6767000000000001</v>
      </c>
      <c r="Z25" s="71">
        <f>1.62*(1+3.5%)</f>
        <v>1.6767000000000001</v>
      </c>
      <c r="AA25" s="71">
        <f>1.71*(1+3.5%)</f>
        <v>1.7698499999999999</v>
      </c>
      <c r="AB25" s="71">
        <f>1.71*(1+3.5%)</f>
        <v>1.7698499999999999</v>
      </c>
      <c r="AC25" s="71">
        <f>1.8*(1+3.5%)</f>
        <v>1.863</v>
      </c>
      <c r="AD25" s="71">
        <f>1.8*(1+3.5%)</f>
        <v>1.863</v>
      </c>
    </row>
    <row r="26" spans="1:36" ht="13.5" x14ac:dyDescent="0.25">
      <c r="A26" s="13">
        <f>A25+1</f>
        <v>201</v>
      </c>
      <c r="B26" s="13">
        <f t="shared" si="2"/>
        <v>26</v>
      </c>
      <c r="C26" s="71">
        <f>0.72*(1+3.5%)</f>
        <v>0.74519999999999986</v>
      </c>
      <c r="D26" s="71">
        <f>0.72*(1+3.5%)</f>
        <v>0.74519999999999986</v>
      </c>
      <c r="E26" s="71">
        <f>0.81*(1+3.5%)</f>
        <v>0.83835000000000004</v>
      </c>
      <c r="F26" s="71">
        <f>0.81*(1+3.5%)</f>
        <v>0.83835000000000004</v>
      </c>
      <c r="G26" s="71">
        <f>0.9*(1+3.5%)</f>
        <v>0.93149999999999999</v>
      </c>
      <c r="H26" s="71">
        <f>0.9*(1+3.5%)</f>
        <v>0.93149999999999999</v>
      </c>
      <c r="I26" s="71">
        <f>1*(1+3.5%)</f>
        <v>1.0349999999999999</v>
      </c>
      <c r="J26" s="71">
        <f>1*(1+3.5%)</f>
        <v>1.0349999999999999</v>
      </c>
      <c r="K26" s="71">
        <f>1.08*(1+3.5%)</f>
        <v>1.1177999999999999</v>
      </c>
      <c r="L26" s="71">
        <f>1.08*(1+3.5%)</f>
        <v>1.1177999999999999</v>
      </c>
      <c r="M26" s="71">
        <f>1.17*(1+3.5%)</f>
        <v>1.2109499999999997</v>
      </c>
      <c r="N26" s="71">
        <f>1.17*(1+3.5%)</f>
        <v>1.2109499999999997</v>
      </c>
      <c r="O26" s="71">
        <f>1.26*(1+3.5%)</f>
        <v>1.3040999999999998</v>
      </c>
      <c r="P26" s="71">
        <f>1.26*(1+3.5%)</f>
        <v>1.3040999999999998</v>
      </c>
      <c r="Q26" s="71">
        <f>1.35*(1+3.5%)</f>
        <v>1.3972499999999999</v>
      </c>
      <c r="R26" s="71">
        <f>1.35*(1+3.5%)</f>
        <v>1.3972499999999999</v>
      </c>
      <c r="S26" s="71">
        <f>1.44*(1+3.5%)</f>
        <v>1.4903999999999997</v>
      </c>
      <c r="T26" s="71">
        <f>1.44*(1+3.5%)</f>
        <v>1.4903999999999997</v>
      </c>
      <c r="U26" s="71">
        <f>1.53*(1+3.5%)</f>
        <v>1.58355</v>
      </c>
      <c r="V26" s="71">
        <f>1.53*(1+3.5%)</f>
        <v>1.58355</v>
      </c>
      <c r="W26" s="71">
        <f>1.62*(1+3.5%)</f>
        <v>1.6767000000000001</v>
      </c>
      <c r="X26" s="71">
        <f>1.62*(1+3.5%)</f>
        <v>1.6767000000000001</v>
      </c>
      <c r="Y26" s="71">
        <f>1.71*(1+3.5%)</f>
        <v>1.7698499999999999</v>
      </c>
      <c r="Z26" s="71">
        <f>1.71*(1+3.5%)</f>
        <v>1.7698499999999999</v>
      </c>
      <c r="AA26" s="71">
        <f>1.8*(1+3.5%)</f>
        <v>1.863</v>
      </c>
      <c r="AB26" s="71">
        <f>1.8*(1+3.5%)</f>
        <v>1.863</v>
      </c>
      <c r="AC26" s="71">
        <f>1.89*(1+3.5%)</f>
        <v>1.9561499999999998</v>
      </c>
      <c r="AD26" s="71">
        <f>1.89*(1+3.5%)</f>
        <v>1.9561499999999998</v>
      </c>
    </row>
    <row r="27" spans="1:36" ht="13.5" x14ac:dyDescent="0.25">
      <c r="A27" s="13">
        <v>250</v>
      </c>
      <c r="B27" s="13">
        <f t="shared" si="2"/>
        <v>27</v>
      </c>
      <c r="C27" s="71">
        <f>0.72*(1+3.5%)</f>
        <v>0.74519999999999986</v>
      </c>
      <c r="D27" s="71">
        <f>0.72*(1+3.5%)</f>
        <v>0.74519999999999986</v>
      </c>
      <c r="E27" s="71">
        <f>0.81*(1+3.5%)</f>
        <v>0.83835000000000004</v>
      </c>
      <c r="F27" s="71">
        <f>0.81*(1+3.5%)</f>
        <v>0.83835000000000004</v>
      </c>
      <c r="G27" s="71">
        <f>0.9*(1+3.5%)</f>
        <v>0.93149999999999999</v>
      </c>
      <c r="H27" s="71">
        <f>0.9*(1+3.5%)</f>
        <v>0.93149999999999999</v>
      </c>
      <c r="I27" s="71">
        <f>1*(1+3.5%)</f>
        <v>1.0349999999999999</v>
      </c>
      <c r="J27" s="71">
        <f>1*(1+3.5%)</f>
        <v>1.0349999999999999</v>
      </c>
      <c r="K27" s="71">
        <f>1.08*(1+3.5%)</f>
        <v>1.1177999999999999</v>
      </c>
      <c r="L27" s="71">
        <f>1.08*(1+3.5%)</f>
        <v>1.1177999999999999</v>
      </c>
      <c r="M27" s="71">
        <f>1.17*(1+3.5%)</f>
        <v>1.2109499999999997</v>
      </c>
      <c r="N27" s="71">
        <f>1.17*(1+3.5%)</f>
        <v>1.2109499999999997</v>
      </c>
      <c r="O27" s="71">
        <f>1.26*(1+3.5%)</f>
        <v>1.3040999999999998</v>
      </c>
      <c r="P27" s="71">
        <f>1.26*(1+3.5%)</f>
        <v>1.3040999999999998</v>
      </c>
      <c r="Q27" s="71">
        <f>1.35*(1+3.5%)</f>
        <v>1.3972499999999999</v>
      </c>
      <c r="R27" s="71">
        <f>1.35*(1+3.5%)</f>
        <v>1.3972499999999999</v>
      </c>
      <c r="S27" s="71">
        <f>1.44*(1+3.5%)</f>
        <v>1.4903999999999997</v>
      </c>
      <c r="T27" s="71">
        <f>1.44*(1+3.5%)</f>
        <v>1.4903999999999997</v>
      </c>
      <c r="U27" s="71">
        <f>1.53*(1+3.5%)</f>
        <v>1.58355</v>
      </c>
      <c r="V27" s="71">
        <f>1.53*(1+3.5%)</f>
        <v>1.58355</v>
      </c>
      <c r="W27" s="71">
        <f>1.62*(1+3.5%)</f>
        <v>1.6767000000000001</v>
      </c>
      <c r="X27" s="71">
        <f>1.62*(1+3.5%)</f>
        <v>1.6767000000000001</v>
      </c>
      <c r="Y27" s="71">
        <f>1.71*(1+3.5%)</f>
        <v>1.7698499999999999</v>
      </c>
      <c r="Z27" s="71">
        <f>1.71*(1+3.5%)</f>
        <v>1.7698499999999999</v>
      </c>
      <c r="AA27" s="71">
        <f>1.8*(1+3.5%)</f>
        <v>1.863</v>
      </c>
      <c r="AB27" s="71">
        <f>1.8*(1+3.5%)</f>
        <v>1.863</v>
      </c>
      <c r="AC27" s="71">
        <f>1.89*(1+3.5%)</f>
        <v>1.9561499999999998</v>
      </c>
      <c r="AD27" s="71">
        <f>1.89*(1+3.5%)</f>
        <v>1.9561499999999998</v>
      </c>
    </row>
    <row r="28" spans="1:36" ht="13.5" x14ac:dyDescent="0.25">
      <c r="A28" s="13">
        <v>251</v>
      </c>
      <c r="B28" s="13">
        <f t="shared" si="2"/>
        <v>28</v>
      </c>
      <c r="C28" s="71">
        <f>0.81*(1+3.5%)</f>
        <v>0.83835000000000004</v>
      </c>
      <c r="D28" s="71">
        <f>0.81*(1+3.5%)</f>
        <v>0.83835000000000004</v>
      </c>
      <c r="E28" s="71">
        <f>0.9*(1+3.5%)</f>
        <v>0.93149999999999999</v>
      </c>
      <c r="F28" s="71">
        <f>0.9*(1+3.5%)</f>
        <v>0.93149999999999999</v>
      </c>
      <c r="G28" s="71">
        <f>1*(1+3.5%)</f>
        <v>1.0349999999999999</v>
      </c>
      <c r="H28" s="71">
        <f>1*(1+3.5%)</f>
        <v>1.0349999999999999</v>
      </c>
      <c r="I28" s="71">
        <f>1.08*(1+3.5%)</f>
        <v>1.1177999999999999</v>
      </c>
      <c r="J28" s="71">
        <f>1.08*(1+3.5%)</f>
        <v>1.1177999999999999</v>
      </c>
      <c r="K28" s="71">
        <f>1.17*(1+3.5%)</f>
        <v>1.2109499999999997</v>
      </c>
      <c r="L28" s="71">
        <f>1.17*(1+3.5%)</f>
        <v>1.2109499999999997</v>
      </c>
      <c r="M28" s="71">
        <f>1.26*(1+3.5%)</f>
        <v>1.3040999999999998</v>
      </c>
      <c r="N28" s="71">
        <f>1.26*(1+3.5%)</f>
        <v>1.3040999999999998</v>
      </c>
      <c r="O28" s="71">
        <f>1.35*(1+3.5%)</f>
        <v>1.3972499999999999</v>
      </c>
      <c r="P28" s="71">
        <f>1.35*(1+3.5%)</f>
        <v>1.3972499999999999</v>
      </c>
      <c r="Q28" s="71">
        <f>1.44*(1+3.5%)</f>
        <v>1.4903999999999997</v>
      </c>
      <c r="R28" s="71">
        <f>1.44*(1+3.5%)</f>
        <v>1.4903999999999997</v>
      </c>
      <c r="S28" s="71">
        <f>1.53*(1+3.5%)</f>
        <v>1.58355</v>
      </c>
      <c r="T28" s="71">
        <f>1.53*(1+3.5%)</f>
        <v>1.58355</v>
      </c>
      <c r="U28" s="71">
        <f>1.62*(1+3.5%)</f>
        <v>1.6767000000000001</v>
      </c>
      <c r="V28" s="71">
        <f>1.62*(1+3.5%)</f>
        <v>1.6767000000000001</v>
      </c>
      <c r="W28" s="71">
        <f>1.71*(1+3.5%)</f>
        <v>1.7698499999999999</v>
      </c>
      <c r="X28" s="71">
        <f>1.71*(1+3.5%)</f>
        <v>1.7698499999999999</v>
      </c>
      <c r="Y28" s="71">
        <f>1.8*(1+3.5%)</f>
        <v>1.863</v>
      </c>
      <c r="Z28" s="71">
        <f>1.8*(1+3.5%)</f>
        <v>1.863</v>
      </c>
      <c r="AA28" s="71">
        <f>1.89*(1+3.5%)</f>
        <v>1.9561499999999998</v>
      </c>
      <c r="AB28" s="71">
        <f>1.89*(1+3.5%)</f>
        <v>1.9561499999999998</v>
      </c>
      <c r="AC28" s="71">
        <f>1.98*(1+3.5%)</f>
        <v>2.0492999999999997</v>
      </c>
      <c r="AD28" s="71">
        <f>1.98*(1+3.5%)</f>
        <v>2.0492999999999997</v>
      </c>
    </row>
    <row r="29" spans="1:36" ht="13.5" x14ac:dyDescent="0.25">
      <c r="A29" s="13">
        <v>300</v>
      </c>
      <c r="B29" s="13">
        <f t="shared" si="2"/>
        <v>29</v>
      </c>
      <c r="C29" s="71">
        <f>0.81*(1+3.5%)</f>
        <v>0.83835000000000004</v>
      </c>
      <c r="D29" s="71">
        <f>0.81*(1+3.5%)</f>
        <v>0.83835000000000004</v>
      </c>
      <c r="E29" s="71">
        <f>0.9*(1+3.5%)</f>
        <v>0.93149999999999999</v>
      </c>
      <c r="F29" s="71">
        <f>0.9*(1+3.5%)</f>
        <v>0.93149999999999999</v>
      </c>
      <c r="G29" s="71">
        <f>1*(1+3.5%)</f>
        <v>1.0349999999999999</v>
      </c>
      <c r="H29" s="71">
        <f>1*(1+3.5%)</f>
        <v>1.0349999999999999</v>
      </c>
      <c r="I29" s="71">
        <f>1.08*(1+3.5%)</f>
        <v>1.1177999999999999</v>
      </c>
      <c r="J29" s="71">
        <f>1.08*(1+3.5%)</f>
        <v>1.1177999999999999</v>
      </c>
      <c r="K29" s="71">
        <f>1.17*(1+3.5%)</f>
        <v>1.2109499999999997</v>
      </c>
      <c r="L29" s="71">
        <f>1.17*(1+3.5%)</f>
        <v>1.2109499999999997</v>
      </c>
      <c r="M29" s="71">
        <f>1.26*(1+3.5%)</f>
        <v>1.3040999999999998</v>
      </c>
      <c r="N29" s="71">
        <f>1.26*(1+3.5%)</f>
        <v>1.3040999999999998</v>
      </c>
      <c r="O29" s="71">
        <f>1.35*(1+3.5%)</f>
        <v>1.3972499999999999</v>
      </c>
      <c r="P29" s="71">
        <f>1.35*(1+3.5%)</f>
        <v>1.3972499999999999</v>
      </c>
      <c r="Q29" s="71">
        <f>1.44*(1+3.5%)</f>
        <v>1.4903999999999997</v>
      </c>
      <c r="R29" s="71">
        <f>1.44*(1+3.5%)</f>
        <v>1.4903999999999997</v>
      </c>
      <c r="S29" s="71">
        <f>1.53*(1+3.5%)</f>
        <v>1.58355</v>
      </c>
      <c r="T29" s="71">
        <f>1.53*(1+3.5%)</f>
        <v>1.58355</v>
      </c>
      <c r="U29" s="71">
        <f>1.62*(1+3.5%)</f>
        <v>1.6767000000000001</v>
      </c>
      <c r="V29" s="71">
        <f>1.62*(1+3.5%)</f>
        <v>1.6767000000000001</v>
      </c>
      <c r="W29" s="71">
        <f>1.71*(1+3.5%)</f>
        <v>1.7698499999999999</v>
      </c>
      <c r="X29" s="71">
        <f>1.71*(1+3.5%)</f>
        <v>1.7698499999999999</v>
      </c>
      <c r="Y29" s="71">
        <f>1.8*(1+3.5%)</f>
        <v>1.863</v>
      </c>
      <c r="Z29" s="71">
        <f>1.8*(1+3.5%)</f>
        <v>1.863</v>
      </c>
      <c r="AA29" s="71">
        <f>1.89*(1+3.5%)</f>
        <v>1.9561499999999998</v>
      </c>
      <c r="AB29" s="71">
        <f>1.89*(1+3.5%)</f>
        <v>1.9561499999999998</v>
      </c>
      <c r="AC29" s="71">
        <f>1.98*(1+3.5%)</f>
        <v>2.0492999999999997</v>
      </c>
      <c r="AD29" s="71">
        <f>1.98*(1+3.5%)</f>
        <v>2.0492999999999997</v>
      </c>
    </row>
    <row r="30" spans="1:36" ht="13.5" x14ac:dyDescent="0.25">
      <c r="A30" s="13">
        <v>301</v>
      </c>
      <c r="B30" s="13">
        <f t="shared" si="2"/>
        <v>30</v>
      </c>
      <c r="C30" s="71">
        <f>0.9*(1+3.5%)</f>
        <v>0.93149999999999999</v>
      </c>
      <c r="D30" s="71">
        <f>0.9*(1+3.5%)</f>
        <v>0.93149999999999999</v>
      </c>
      <c r="E30" s="71">
        <f>1*(1+3.5%)</f>
        <v>1.0349999999999999</v>
      </c>
      <c r="F30" s="71">
        <f>1*(1+3.5%)</f>
        <v>1.0349999999999999</v>
      </c>
      <c r="G30" s="71">
        <f>1.08*(1+3.5%)</f>
        <v>1.1177999999999999</v>
      </c>
      <c r="H30" s="71">
        <f>1.08*(1+3.5%)</f>
        <v>1.1177999999999999</v>
      </c>
      <c r="I30" s="71">
        <f>1.17*(1+3.5%)</f>
        <v>1.2109499999999997</v>
      </c>
      <c r="J30" s="71">
        <f>1.17*(1+3.5%)</f>
        <v>1.2109499999999997</v>
      </c>
      <c r="K30" s="71">
        <f>1.26*(1+3.5%)</f>
        <v>1.3040999999999998</v>
      </c>
      <c r="L30" s="71">
        <f>1.26*(1+3.5%)</f>
        <v>1.3040999999999998</v>
      </c>
      <c r="M30" s="71">
        <f>1.35*(1+3.5%)</f>
        <v>1.3972499999999999</v>
      </c>
      <c r="N30" s="71">
        <f>1.35*(1+3.5%)</f>
        <v>1.3972499999999999</v>
      </c>
      <c r="O30" s="71">
        <f>1.44*(1+3.5%)</f>
        <v>1.4903999999999997</v>
      </c>
      <c r="P30" s="71">
        <f>1.44*(1+3.5%)</f>
        <v>1.4903999999999997</v>
      </c>
      <c r="Q30" s="71">
        <f>1.53*(1+3.5%)</f>
        <v>1.58355</v>
      </c>
      <c r="R30" s="71">
        <f>1.53*(1+3.5%)</f>
        <v>1.58355</v>
      </c>
      <c r="S30" s="71">
        <f>1.62*(1+3.5%)</f>
        <v>1.6767000000000001</v>
      </c>
      <c r="T30" s="71">
        <f>1.62*(1+3.5%)</f>
        <v>1.6767000000000001</v>
      </c>
      <c r="U30" s="71">
        <f>1.71*(1+3.5%)</f>
        <v>1.7698499999999999</v>
      </c>
      <c r="V30" s="71">
        <f>1.71*(1+3.5%)</f>
        <v>1.7698499999999999</v>
      </c>
      <c r="W30" s="71">
        <f>1.8*(1+3.5%)</f>
        <v>1.863</v>
      </c>
      <c r="X30" s="71">
        <f>1.8*(1+3.5%)</f>
        <v>1.863</v>
      </c>
      <c r="Y30" s="71">
        <f>1.89*(1+3.5%)</f>
        <v>1.9561499999999998</v>
      </c>
      <c r="Z30" s="71">
        <f>1.89*(1+3.5%)</f>
        <v>1.9561499999999998</v>
      </c>
      <c r="AA30" s="71">
        <f>1.98*(1+3.5%)</f>
        <v>2.0492999999999997</v>
      </c>
      <c r="AB30" s="71">
        <f>1.98*(1+3.5%)</f>
        <v>2.0492999999999997</v>
      </c>
      <c r="AC30" s="71">
        <f>2.07*(1+3.5%)</f>
        <v>2.1424499999999997</v>
      </c>
      <c r="AD30" s="71">
        <f>2.07*(1+3.5%)</f>
        <v>2.1424499999999997</v>
      </c>
    </row>
    <row r="31" spans="1:36" ht="13.5" x14ac:dyDescent="0.25">
      <c r="A31" s="13">
        <v>350</v>
      </c>
      <c r="B31" s="13">
        <f t="shared" si="2"/>
        <v>31</v>
      </c>
      <c r="C31" s="71">
        <f>0.9*(1+3.5%)</f>
        <v>0.93149999999999999</v>
      </c>
      <c r="D31" s="71">
        <f>0.9*(1+3.5%)</f>
        <v>0.93149999999999999</v>
      </c>
      <c r="E31" s="71">
        <f>1*(1+3.5%)</f>
        <v>1.0349999999999999</v>
      </c>
      <c r="F31" s="71">
        <f>1*(1+3.5%)</f>
        <v>1.0349999999999999</v>
      </c>
      <c r="G31" s="71">
        <f>1.08*(1+3.5%)</f>
        <v>1.1177999999999999</v>
      </c>
      <c r="H31" s="71">
        <f>1.08*(1+3.5%)</f>
        <v>1.1177999999999999</v>
      </c>
      <c r="I31" s="71">
        <f>1.17*(1+3.5%)</f>
        <v>1.2109499999999997</v>
      </c>
      <c r="J31" s="71">
        <f>1.17*(1+3.5%)</f>
        <v>1.2109499999999997</v>
      </c>
      <c r="K31" s="71">
        <f>1.26*(1+3.5%)</f>
        <v>1.3040999999999998</v>
      </c>
      <c r="L31" s="71">
        <f>1.26*(1+3.5%)</f>
        <v>1.3040999999999998</v>
      </c>
      <c r="M31" s="71">
        <f>1.35*(1+3.5%)</f>
        <v>1.3972499999999999</v>
      </c>
      <c r="N31" s="71">
        <f>1.35*(1+3.5%)</f>
        <v>1.3972499999999999</v>
      </c>
      <c r="O31" s="71">
        <f>1.44*(1+3.5%)</f>
        <v>1.4903999999999997</v>
      </c>
      <c r="P31" s="71">
        <f>1.44*(1+3.5%)</f>
        <v>1.4903999999999997</v>
      </c>
      <c r="Q31" s="71">
        <f>1.53*(1+3.5%)</f>
        <v>1.58355</v>
      </c>
      <c r="R31" s="71">
        <f>1.53*(1+3.5%)</f>
        <v>1.58355</v>
      </c>
      <c r="S31" s="71">
        <f>1.62*(1+3.5%)</f>
        <v>1.6767000000000001</v>
      </c>
      <c r="T31" s="71">
        <f>1.62*(1+3.5%)</f>
        <v>1.6767000000000001</v>
      </c>
      <c r="U31" s="71">
        <f>1.71*(1+3.5%)</f>
        <v>1.7698499999999999</v>
      </c>
      <c r="V31" s="71">
        <f>1.71*(1+3.5%)</f>
        <v>1.7698499999999999</v>
      </c>
      <c r="W31" s="71">
        <f>1.8*(1+3.5%)</f>
        <v>1.863</v>
      </c>
      <c r="X31" s="71">
        <f>1.8*(1+3.5%)</f>
        <v>1.863</v>
      </c>
      <c r="Y31" s="71">
        <f>1.89*(1+3.5%)</f>
        <v>1.9561499999999998</v>
      </c>
      <c r="Z31" s="71">
        <f>1.89*(1+3.5%)</f>
        <v>1.9561499999999998</v>
      </c>
      <c r="AA31" s="71">
        <f>1.98*(1+3.5%)</f>
        <v>2.0492999999999997</v>
      </c>
      <c r="AB31" s="71">
        <f>1.98*(1+3.5%)</f>
        <v>2.0492999999999997</v>
      </c>
      <c r="AC31" s="71">
        <f>2.07*(1+3.5%)</f>
        <v>2.1424499999999997</v>
      </c>
      <c r="AD31" s="71">
        <f>2.07*(1+3.5%)</f>
        <v>2.1424499999999997</v>
      </c>
    </row>
    <row r="32" spans="1:36" ht="13.5" x14ac:dyDescent="0.25">
      <c r="A32" s="13">
        <v>351</v>
      </c>
      <c r="B32" s="13">
        <f t="shared" si="2"/>
        <v>32</v>
      </c>
      <c r="C32" s="71">
        <f>1*(1+3.5%)</f>
        <v>1.0349999999999999</v>
      </c>
      <c r="D32" s="71">
        <f>1*(1+3.5%)</f>
        <v>1.0349999999999999</v>
      </c>
      <c r="E32" s="71">
        <f>1.08*(1+3.5%)</f>
        <v>1.1177999999999999</v>
      </c>
      <c r="F32" s="71">
        <f>1.08*(1+3.5%)</f>
        <v>1.1177999999999999</v>
      </c>
      <c r="G32" s="71">
        <f>1.17*(1+3.5%)</f>
        <v>1.2109499999999997</v>
      </c>
      <c r="H32" s="71">
        <f>1.17*(1+3.5%)</f>
        <v>1.2109499999999997</v>
      </c>
      <c r="I32" s="71">
        <f>1.26*(1+3.5%)</f>
        <v>1.3040999999999998</v>
      </c>
      <c r="J32" s="71">
        <f>1.26*(1+3.5%)</f>
        <v>1.3040999999999998</v>
      </c>
      <c r="K32" s="71">
        <f>1.35*(1+3.5%)</f>
        <v>1.3972499999999999</v>
      </c>
      <c r="L32" s="71">
        <f>1.35*(1+3.5%)</f>
        <v>1.3972499999999999</v>
      </c>
      <c r="M32" s="71">
        <f>1.44*(1+3.5%)</f>
        <v>1.4903999999999997</v>
      </c>
      <c r="N32" s="71">
        <f>1.44*(1+3.5%)</f>
        <v>1.4903999999999997</v>
      </c>
      <c r="O32" s="71">
        <f>1.53*(1+3.5%)</f>
        <v>1.58355</v>
      </c>
      <c r="P32" s="71">
        <f>1.53*(1+3.5%)</f>
        <v>1.58355</v>
      </c>
      <c r="Q32" s="71">
        <f>1.62*(1+3.5%)</f>
        <v>1.6767000000000001</v>
      </c>
      <c r="R32" s="71">
        <f>1.62*(1+3.5%)</f>
        <v>1.6767000000000001</v>
      </c>
      <c r="S32" s="71">
        <f>1.71*(1+3.5%)</f>
        <v>1.7698499999999999</v>
      </c>
      <c r="T32" s="71">
        <f>1.71*(1+3.5%)</f>
        <v>1.7698499999999999</v>
      </c>
      <c r="U32" s="71">
        <f>1.8*(1+3.5%)</f>
        <v>1.863</v>
      </c>
      <c r="V32" s="71">
        <f>1.8*(1+3.5%)</f>
        <v>1.863</v>
      </c>
      <c r="W32" s="71">
        <f>1.89*(1+3.5%)</f>
        <v>1.9561499999999998</v>
      </c>
      <c r="X32" s="71">
        <f>1.89*(1+3.5%)</f>
        <v>1.9561499999999998</v>
      </c>
      <c r="Y32" s="71">
        <f>1.98*(1+3.5%)</f>
        <v>2.0492999999999997</v>
      </c>
      <c r="Z32" s="71">
        <f>1.98*(1+3.5%)</f>
        <v>2.0492999999999997</v>
      </c>
      <c r="AA32" s="71">
        <f>2.07*(1+3.5%)</f>
        <v>2.1424499999999997</v>
      </c>
      <c r="AB32" s="71">
        <f>2.07*(1+3.5%)</f>
        <v>2.1424499999999997</v>
      </c>
      <c r="AC32" s="71">
        <f>2.16*(1+3.5%)</f>
        <v>2.2355999999999998</v>
      </c>
      <c r="AD32" s="71">
        <f>2.16*(1+3.5%)</f>
        <v>2.2355999999999998</v>
      </c>
    </row>
    <row r="33" spans="1:30" ht="13.5" x14ac:dyDescent="0.25">
      <c r="A33" s="13">
        <v>400</v>
      </c>
      <c r="B33" s="13">
        <f t="shared" si="2"/>
        <v>33</v>
      </c>
      <c r="C33" s="71">
        <f>1*(1+3.5%)</f>
        <v>1.0349999999999999</v>
      </c>
      <c r="D33" s="71">
        <f>1*(1+3.5%)</f>
        <v>1.0349999999999999</v>
      </c>
      <c r="E33" s="71">
        <f>1.08*(1+3.5%)</f>
        <v>1.1177999999999999</v>
      </c>
      <c r="F33" s="71">
        <f>1.08*(1+3.5%)</f>
        <v>1.1177999999999999</v>
      </c>
      <c r="G33" s="71">
        <f>1.17*(1+3.5%)</f>
        <v>1.2109499999999997</v>
      </c>
      <c r="H33" s="71">
        <f>1.17*(1+3.5%)</f>
        <v>1.2109499999999997</v>
      </c>
      <c r="I33" s="71">
        <f>1.26*(1+3.5%)</f>
        <v>1.3040999999999998</v>
      </c>
      <c r="J33" s="71">
        <f>1.26*(1+3.5%)</f>
        <v>1.3040999999999998</v>
      </c>
      <c r="K33" s="71">
        <f>1.35*(1+3.5%)</f>
        <v>1.3972499999999999</v>
      </c>
      <c r="L33" s="71">
        <f>1.35*(1+3.5%)</f>
        <v>1.3972499999999999</v>
      </c>
      <c r="M33" s="71">
        <f>1.44*(1+3.5%)</f>
        <v>1.4903999999999997</v>
      </c>
      <c r="N33" s="71">
        <f>1.44*(1+3.5%)</f>
        <v>1.4903999999999997</v>
      </c>
      <c r="O33" s="71">
        <f>1.53*(1+3.5%)</f>
        <v>1.58355</v>
      </c>
      <c r="P33" s="71">
        <f>1.53*(1+3.5%)</f>
        <v>1.58355</v>
      </c>
      <c r="Q33" s="71">
        <f>1.62*(1+3.5%)</f>
        <v>1.6767000000000001</v>
      </c>
      <c r="R33" s="71">
        <f>1.62*(1+3.5%)</f>
        <v>1.6767000000000001</v>
      </c>
      <c r="S33" s="71">
        <f>1.71*(1+3.5%)</f>
        <v>1.7698499999999999</v>
      </c>
      <c r="T33" s="71">
        <f>1.71*(1+3.5%)</f>
        <v>1.7698499999999999</v>
      </c>
      <c r="U33" s="71">
        <f>1.8*(1+3.5%)</f>
        <v>1.863</v>
      </c>
      <c r="V33" s="71">
        <f>1.8*(1+3.5%)</f>
        <v>1.863</v>
      </c>
      <c r="W33" s="71">
        <f>1.89*(1+3.5%)</f>
        <v>1.9561499999999998</v>
      </c>
      <c r="X33" s="71">
        <f>1.89*(1+3.5%)</f>
        <v>1.9561499999999998</v>
      </c>
      <c r="Y33" s="71">
        <f>1.98*(1+3.5%)</f>
        <v>2.0492999999999997</v>
      </c>
      <c r="Z33" s="71">
        <f>1.98*(1+3.5%)</f>
        <v>2.0492999999999997</v>
      </c>
      <c r="AA33" s="71">
        <f>2.07*(1+3.5%)</f>
        <v>2.1424499999999997</v>
      </c>
      <c r="AB33" s="71">
        <f>2.07*(1+3.5%)</f>
        <v>2.1424499999999997</v>
      </c>
      <c r="AC33" s="71">
        <f>2.16*(1+3.5%)</f>
        <v>2.2355999999999998</v>
      </c>
      <c r="AD33" s="71">
        <f>2.16*(1+3.5%)</f>
        <v>2.2355999999999998</v>
      </c>
    </row>
    <row r="34" spans="1:30" ht="13.5" x14ac:dyDescent="0.25">
      <c r="A34" s="13"/>
      <c r="B34" s="13"/>
    </row>
    <row r="35" spans="1:30" ht="13.5" x14ac:dyDescent="0.25">
      <c r="A35" s="13" t="s">
        <v>25</v>
      </c>
      <c r="B35" s="13">
        <v>0.75</v>
      </c>
      <c r="C35" s="6" t="s">
        <v>28</v>
      </c>
    </row>
    <row r="36" spans="1:30" ht="13.5" x14ac:dyDescent="0.25">
      <c r="A36" s="13"/>
      <c r="B36" s="13"/>
    </row>
    <row r="37" spans="1:30" ht="13.5" x14ac:dyDescent="0.25">
      <c r="A37" s="13"/>
      <c r="B37" s="13"/>
    </row>
    <row r="38" spans="1:30" ht="13.5" x14ac:dyDescent="0.25">
      <c r="A38" s="13"/>
      <c r="B38" s="13"/>
    </row>
    <row r="39" spans="1:30" ht="13.5" x14ac:dyDescent="0.25">
      <c r="A39" s="13"/>
      <c r="B39" s="13"/>
    </row>
    <row r="40" spans="1:30" ht="13.5" x14ac:dyDescent="0.25">
      <c r="A40" s="13"/>
      <c r="B40" s="13"/>
    </row>
    <row r="41" spans="1:30" ht="13.5" x14ac:dyDescent="0.25">
      <c r="A41" s="13"/>
      <c r="B41" s="13"/>
    </row>
    <row r="42" spans="1:30" ht="13.5" x14ac:dyDescent="0.25">
      <c r="A42" s="13"/>
      <c r="B42" s="13"/>
    </row>
    <row r="43" spans="1:30" ht="13.5" x14ac:dyDescent="0.25">
      <c r="A43" s="13"/>
      <c r="B43" s="13"/>
    </row>
    <row r="44" spans="1:30" ht="13.5" x14ac:dyDescent="0.25">
      <c r="A44" s="13"/>
      <c r="B44" s="13"/>
    </row>
    <row r="45" spans="1:30" ht="13.5" x14ac:dyDescent="0.25">
      <c r="A45" s="13"/>
      <c r="B45" s="13"/>
    </row>
    <row r="46" spans="1:30" ht="13.5" x14ac:dyDescent="0.25">
      <c r="A46" s="13"/>
      <c r="B46" s="13"/>
    </row>
    <row r="47" spans="1:30" ht="13.5" x14ac:dyDescent="0.25">
      <c r="A47" s="13"/>
      <c r="B47" s="13"/>
    </row>
    <row r="48" spans="1:30" ht="13.5" x14ac:dyDescent="0.25">
      <c r="A48" s="13"/>
      <c r="B48" s="13"/>
    </row>
    <row r="49" spans="1:2" ht="13.5" x14ac:dyDescent="0.25">
      <c r="A49" s="13"/>
      <c r="B49" s="13"/>
    </row>
    <row r="50" spans="1:2" ht="13.5" x14ac:dyDescent="0.25">
      <c r="A50" s="13"/>
      <c r="B50" s="13"/>
    </row>
    <row r="51" spans="1:2" ht="13.5" x14ac:dyDescent="0.25">
      <c r="A51" s="13"/>
      <c r="B51" s="13"/>
    </row>
    <row r="52" spans="1:2" ht="13.5" x14ac:dyDescent="0.25">
      <c r="A52" s="13"/>
      <c r="B52" s="13"/>
    </row>
    <row r="53" spans="1:2" ht="13.5" x14ac:dyDescent="0.25">
      <c r="A53" s="13"/>
      <c r="B53" s="13"/>
    </row>
    <row r="54" spans="1:2" ht="13.5" x14ac:dyDescent="0.25">
      <c r="A54" s="13"/>
      <c r="B54" s="13"/>
    </row>
    <row r="55" spans="1:2" ht="13.5" x14ac:dyDescent="0.25">
      <c r="A55" s="13"/>
      <c r="B55" s="13"/>
    </row>
    <row r="56" spans="1:2" ht="13.5" x14ac:dyDescent="0.25">
      <c r="A56" s="13"/>
      <c r="B56" s="13"/>
    </row>
    <row r="57" spans="1:2" ht="13.5" x14ac:dyDescent="0.25">
      <c r="A57" s="13"/>
      <c r="B57" s="13"/>
    </row>
    <row r="58" spans="1:2" ht="13.5" x14ac:dyDescent="0.25">
      <c r="A58" s="13"/>
      <c r="B58" s="13"/>
    </row>
    <row r="59" spans="1:2" ht="13.5" x14ac:dyDescent="0.25">
      <c r="A59" s="13"/>
      <c r="B59" s="13"/>
    </row>
    <row r="60" spans="1:2" ht="13.5" x14ac:dyDescent="0.25">
      <c r="A60" s="13"/>
      <c r="B60" s="13"/>
    </row>
    <row r="61" spans="1:2" ht="13.5" x14ac:dyDescent="0.25">
      <c r="A61" s="13"/>
      <c r="B61" s="13"/>
    </row>
    <row r="62" spans="1:2" ht="13.5" x14ac:dyDescent="0.25">
      <c r="A62" s="13"/>
      <c r="B62" s="13"/>
    </row>
    <row r="63" spans="1:2" ht="13.5" x14ac:dyDescent="0.25">
      <c r="A63" s="13"/>
      <c r="B63" s="13"/>
    </row>
    <row r="64" spans="1:2" ht="13.5" x14ac:dyDescent="0.25">
      <c r="A64" s="13"/>
      <c r="B64" s="13"/>
    </row>
    <row r="65" spans="1:2" ht="13.5" x14ac:dyDescent="0.25">
      <c r="A65" s="13"/>
      <c r="B65" s="13"/>
    </row>
    <row r="66" spans="1:2" ht="13.5" x14ac:dyDescent="0.25">
      <c r="A66" s="13"/>
      <c r="B66" s="13"/>
    </row>
    <row r="67" spans="1:2" ht="13.5" x14ac:dyDescent="0.25">
      <c r="A67" s="13"/>
      <c r="B67" s="13"/>
    </row>
    <row r="68" spans="1:2" ht="13.5" x14ac:dyDescent="0.25">
      <c r="A68" s="13"/>
      <c r="B68" s="13"/>
    </row>
    <row r="69" spans="1:2" ht="13.5" x14ac:dyDescent="0.25">
      <c r="A69" s="13"/>
      <c r="B69" s="13"/>
    </row>
    <row r="70" spans="1:2" ht="13.5" x14ac:dyDescent="0.25">
      <c r="A70" s="13"/>
      <c r="B70" s="13"/>
    </row>
    <row r="71" spans="1:2" ht="13.5" x14ac:dyDescent="0.25">
      <c r="A71" s="13"/>
      <c r="B71" s="13"/>
    </row>
    <row r="72" spans="1:2" ht="13.5" x14ac:dyDescent="0.25">
      <c r="A72" s="13"/>
      <c r="B72" s="13"/>
    </row>
    <row r="73" spans="1:2" ht="13.5" x14ac:dyDescent="0.25">
      <c r="A73" s="13"/>
      <c r="B73" s="13"/>
    </row>
    <row r="74" spans="1:2" ht="13.5" x14ac:dyDescent="0.25">
      <c r="A74" s="13"/>
      <c r="B74" s="13"/>
    </row>
    <row r="75" spans="1:2" ht="13.5" x14ac:dyDescent="0.25">
      <c r="A75" s="13"/>
      <c r="B75" s="13"/>
    </row>
    <row r="76" spans="1:2" ht="13.5" x14ac:dyDescent="0.25">
      <c r="A76" s="13"/>
      <c r="B76" s="13"/>
    </row>
    <row r="77" spans="1:2" ht="13.5" x14ac:dyDescent="0.25">
      <c r="A77" s="13"/>
      <c r="B77" s="13"/>
    </row>
    <row r="78" spans="1:2" ht="13.5" x14ac:dyDescent="0.25">
      <c r="A78" s="13"/>
      <c r="B78" s="13"/>
    </row>
    <row r="79" spans="1:2" ht="13.5" x14ac:dyDescent="0.25">
      <c r="A79" s="13"/>
      <c r="B79" s="13"/>
    </row>
    <row r="80" spans="1:2" ht="13.5" x14ac:dyDescent="0.25">
      <c r="A80" s="13"/>
      <c r="B80" s="13"/>
    </row>
    <row r="81" spans="1:2" ht="13.5" x14ac:dyDescent="0.25">
      <c r="A81" s="13"/>
      <c r="B81" s="13"/>
    </row>
    <row r="82" spans="1:2" ht="13.5" x14ac:dyDescent="0.25">
      <c r="A82" s="13"/>
      <c r="B82" s="13"/>
    </row>
    <row r="83" spans="1:2" ht="13.5" x14ac:dyDescent="0.25">
      <c r="A83" s="13"/>
      <c r="B83" s="13"/>
    </row>
    <row r="84" spans="1:2" ht="13.5" x14ac:dyDescent="0.25">
      <c r="A84" s="13"/>
      <c r="B84" s="13"/>
    </row>
    <row r="85" spans="1:2" ht="13.5" x14ac:dyDescent="0.25">
      <c r="A85" s="13"/>
      <c r="B85" s="13"/>
    </row>
    <row r="86" spans="1:2" ht="13.5" x14ac:dyDescent="0.25">
      <c r="A86" s="13"/>
      <c r="B86" s="13"/>
    </row>
    <row r="87" spans="1:2" ht="13.5" x14ac:dyDescent="0.25">
      <c r="A87" s="13"/>
      <c r="B87" s="13"/>
    </row>
    <row r="88" spans="1:2" ht="13.5" x14ac:dyDescent="0.25">
      <c r="A88" s="13"/>
      <c r="B88" s="13"/>
    </row>
    <row r="89" spans="1:2" ht="13.5" x14ac:dyDescent="0.25">
      <c r="A89" s="13"/>
      <c r="B89" s="13"/>
    </row>
    <row r="90" spans="1:2" ht="13.5" x14ac:dyDescent="0.25">
      <c r="A90" s="13"/>
      <c r="B90" s="13"/>
    </row>
    <row r="91" spans="1:2" ht="13.5" x14ac:dyDescent="0.25">
      <c r="A91" s="13"/>
      <c r="B91" s="13"/>
    </row>
    <row r="92" spans="1:2" ht="13.5" x14ac:dyDescent="0.25">
      <c r="A92" s="13"/>
      <c r="B92" s="13"/>
    </row>
    <row r="93" spans="1:2" ht="13.5" x14ac:dyDescent="0.25">
      <c r="A93" s="13"/>
      <c r="B93" s="13"/>
    </row>
    <row r="94" spans="1:2" ht="13.5" x14ac:dyDescent="0.25">
      <c r="A94" s="13"/>
      <c r="B94" s="13"/>
    </row>
    <row r="95" spans="1:2" ht="13.5" x14ac:dyDescent="0.25">
      <c r="A95" s="13"/>
      <c r="B95" s="13"/>
    </row>
    <row r="96" spans="1:2" ht="13.5" x14ac:dyDescent="0.25">
      <c r="A96" s="13"/>
      <c r="B96" s="13"/>
    </row>
    <row r="97" spans="1:2" ht="13.5" x14ac:dyDescent="0.25">
      <c r="A97" s="13"/>
      <c r="B97" s="13"/>
    </row>
    <row r="98" spans="1:2" ht="13.5" x14ac:dyDescent="0.25">
      <c r="A98" s="13"/>
      <c r="B98" s="13"/>
    </row>
    <row r="99" spans="1:2" ht="13.5" x14ac:dyDescent="0.25">
      <c r="A99" s="13"/>
      <c r="B99" s="13"/>
    </row>
    <row r="100" spans="1:2" ht="13.5" x14ac:dyDescent="0.25">
      <c r="A100" s="13"/>
      <c r="B100" s="13"/>
    </row>
    <row r="101" spans="1:2" ht="13.5" x14ac:dyDescent="0.25">
      <c r="A101" s="13"/>
      <c r="B101" s="13"/>
    </row>
    <row r="102" spans="1:2" ht="13.5" x14ac:dyDescent="0.25">
      <c r="A102" s="13"/>
      <c r="B102" s="13"/>
    </row>
    <row r="103" spans="1:2" ht="13.5" x14ac:dyDescent="0.25">
      <c r="A103" s="13"/>
      <c r="B103" s="13"/>
    </row>
    <row r="104" spans="1:2" ht="13.5" x14ac:dyDescent="0.25">
      <c r="A104" s="13"/>
      <c r="B104" s="13"/>
    </row>
    <row r="105" spans="1:2" ht="13.5" x14ac:dyDescent="0.25">
      <c r="A105" s="13"/>
      <c r="B105" s="13"/>
    </row>
    <row r="106" spans="1:2" ht="13.5" x14ac:dyDescent="0.25">
      <c r="A106" s="13"/>
      <c r="B106" s="13"/>
    </row>
    <row r="107" spans="1:2" ht="13.5" x14ac:dyDescent="0.25">
      <c r="A107" s="13"/>
      <c r="B107" s="13"/>
    </row>
    <row r="108" spans="1:2" ht="13.5" x14ac:dyDescent="0.25">
      <c r="A108" s="13"/>
      <c r="B108" s="13"/>
    </row>
    <row r="109" spans="1:2" ht="13.5" x14ac:dyDescent="0.25">
      <c r="A109" s="13"/>
      <c r="B109" s="13"/>
    </row>
    <row r="110" spans="1:2" ht="13.5" x14ac:dyDescent="0.25">
      <c r="A110" s="13"/>
      <c r="B110" s="13"/>
    </row>
    <row r="111" spans="1:2" ht="13.5" x14ac:dyDescent="0.25">
      <c r="A111" s="13"/>
      <c r="B111" s="13"/>
    </row>
    <row r="112" spans="1:2" ht="13.5" x14ac:dyDescent="0.25">
      <c r="A112" s="13"/>
      <c r="B112" s="13"/>
    </row>
    <row r="113" spans="1:2" ht="13.5" x14ac:dyDescent="0.25">
      <c r="A113" s="13"/>
      <c r="B113" s="13"/>
    </row>
    <row r="114" spans="1:2" ht="13.5" x14ac:dyDescent="0.25">
      <c r="A114" s="13"/>
      <c r="B114" s="13"/>
    </row>
    <row r="115" spans="1:2" ht="13.5" x14ac:dyDescent="0.25">
      <c r="A115" s="13"/>
      <c r="B115" s="13"/>
    </row>
    <row r="116" spans="1:2" ht="13.5" x14ac:dyDescent="0.25">
      <c r="A116" s="13"/>
      <c r="B116" s="13"/>
    </row>
    <row r="117" spans="1:2" ht="13.5" x14ac:dyDescent="0.25">
      <c r="A117" s="13"/>
      <c r="B117" s="13"/>
    </row>
    <row r="118" spans="1:2" ht="13.5" x14ac:dyDescent="0.25">
      <c r="A118" s="13"/>
      <c r="B118" s="13"/>
    </row>
    <row r="119" spans="1:2" ht="13.5" x14ac:dyDescent="0.25">
      <c r="A119" s="13"/>
      <c r="B119" s="13"/>
    </row>
    <row r="120" spans="1:2" ht="13.5" x14ac:dyDescent="0.25">
      <c r="A120" s="13"/>
      <c r="B120" s="13"/>
    </row>
    <row r="121" spans="1:2" ht="13.5" x14ac:dyDescent="0.25">
      <c r="A121" s="13"/>
      <c r="B121" s="13"/>
    </row>
    <row r="122" spans="1:2" ht="13.5" x14ac:dyDescent="0.25">
      <c r="A122" s="13"/>
      <c r="B122" s="13"/>
    </row>
    <row r="123" spans="1:2" ht="13.5" x14ac:dyDescent="0.25">
      <c r="A123" s="13"/>
      <c r="B123" s="13"/>
    </row>
    <row r="124" spans="1:2" ht="13.5" x14ac:dyDescent="0.25">
      <c r="A124" s="13"/>
      <c r="B124" s="13"/>
    </row>
    <row r="125" spans="1:2" ht="13.5" x14ac:dyDescent="0.25">
      <c r="A125" s="13"/>
      <c r="B125" s="13"/>
    </row>
    <row r="126" spans="1:2" ht="13.5" x14ac:dyDescent="0.25">
      <c r="A126" s="13"/>
      <c r="B126" s="13"/>
    </row>
    <row r="127" spans="1:2" ht="13.5" x14ac:dyDescent="0.25">
      <c r="A127" s="13"/>
      <c r="B127" s="13"/>
    </row>
    <row r="128" spans="1:2" ht="13.5" x14ac:dyDescent="0.25">
      <c r="A128" s="13"/>
      <c r="B128" s="13"/>
    </row>
    <row r="129" spans="1:2" ht="13.5" x14ac:dyDescent="0.25">
      <c r="A129" s="13"/>
      <c r="B129" s="13"/>
    </row>
    <row r="130" spans="1:2" ht="13.5" x14ac:dyDescent="0.25">
      <c r="A130" s="13"/>
      <c r="B130" s="13"/>
    </row>
    <row r="131" spans="1:2" ht="13.5" x14ac:dyDescent="0.25">
      <c r="A131" s="13"/>
      <c r="B131" s="13"/>
    </row>
    <row r="132" spans="1:2" ht="13.5" x14ac:dyDescent="0.25">
      <c r="A132" s="13"/>
      <c r="B132" s="13"/>
    </row>
    <row r="133" spans="1:2" ht="13.5" x14ac:dyDescent="0.25">
      <c r="A133" s="13"/>
      <c r="B133" s="13"/>
    </row>
    <row r="134" spans="1:2" ht="13.5" x14ac:dyDescent="0.25">
      <c r="A134" s="13"/>
      <c r="B134" s="13"/>
    </row>
    <row r="135" spans="1:2" ht="13.5" x14ac:dyDescent="0.25">
      <c r="A135" s="13"/>
      <c r="B135" s="13"/>
    </row>
    <row r="136" spans="1:2" ht="13.5" x14ac:dyDescent="0.25">
      <c r="A136" s="13"/>
      <c r="B136" s="13"/>
    </row>
    <row r="137" spans="1:2" ht="13.5" x14ac:dyDescent="0.25">
      <c r="A137" s="13"/>
      <c r="B137" s="13"/>
    </row>
    <row r="138" spans="1:2" ht="13.5" x14ac:dyDescent="0.25">
      <c r="A138" s="13"/>
      <c r="B138" s="13"/>
    </row>
    <row r="139" spans="1:2" ht="13.5" x14ac:dyDescent="0.25">
      <c r="A139" s="13"/>
      <c r="B139" s="13"/>
    </row>
    <row r="140" spans="1:2" ht="13.5" x14ac:dyDescent="0.25">
      <c r="A140" s="13"/>
      <c r="B140" s="13"/>
    </row>
    <row r="141" spans="1:2" ht="13.5" x14ac:dyDescent="0.25">
      <c r="A141" s="13"/>
      <c r="B141" s="13"/>
    </row>
    <row r="142" spans="1:2" ht="13.5" x14ac:dyDescent="0.25">
      <c r="A142" s="13"/>
      <c r="B142" s="13"/>
    </row>
    <row r="143" spans="1:2" ht="13.5" x14ac:dyDescent="0.25">
      <c r="A143" s="13"/>
      <c r="B143" s="13"/>
    </row>
    <row r="144" spans="1:2" ht="13.5" x14ac:dyDescent="0.25">
      <c r="A144" s="13"/>
      <c r="B144" s="13"/>
    </row>
    <row r="145" spans="1:2" ht="13.5" x14ac:dyDescent="0.25">
      <c r="A145" s="13"/>
      <c r="B145" s="13"/>
    </row>
    <row r="146" spans="1:2" ht="13.5" x14ac:dyDescent="0.25">
      <c r="A146" s="13"/>
      <c r="B146" s="13"/>
    </row>
    <row r="147" spans="1:2" ht="13.5" x14ac:dyDescent="0.25">
      <c r="A147" s="13"/>
      <c r="B147" s="13"/>
    </row>
    <row r="148" spans="1:2" ht="13.5" x14ac:dyDescent="0.25">
      <c r="A148" s="13"/>
      <c r="B148" s="13"/>
    </row>
    <row r="149" spans="1:2" ht="13.5" x14ac:dyDescent="0.25">
      <c r="A149" s="13"/>
      <c r="B149" s="13"/>
    </row>
    <row r="150" spans="1:2" ht="13.5" x14ac:dyDescent="0.25">
      <c r="A150" s="13"/>
      <c r="B150" s="13"/>
    </row>
    <row r="151" spans="1:2" ht="13.5" x14ac:dyDescent="0.25">
      <c r="A151" s="13"/>
      <c r="B151" s="13"/>
    </row>
    <row r="152" spans="1:2" ht="13.5" x14ac:dyDescent="0.25">
      <c r="A152" s="13"/>
      <c r="B152" s="13"/>
    </row>
    <row r="153" spans="1:2" ht="13.5" x14ac:dyDescent="0.25">
      <c r="A153" s="13"/>
      <c r="B153" s="13"/>
    </row>
    <row r="154" spans="1:2" ht="13.5" x14ac:dyDescent="0.25">
      <c r="A154" s="13"/>
      <c r="B154" s="13"/>
    </row>
    <row r="155" spans="1:2" ht="13.5" x14ac:dyDescent="0.25">
      <c r="A155" s="13"/>
      <c r="B155" s="13"/>
    </row>
    <row r="156" spans="1:2" ht="13.5" x14ac:dyDescent="0.25">
      <c r="A156" s="13"/>
      <c r="B156" s="13"/>
    </row>
    <row r="157" spans="1:2" ht="13.5" x14ac:dyDescent="0.25">
      <c r="A157" s="13"/>
      <c r="B157" s="13"/>
    </row>
    <row r="158" spans="1:2" ht="13.5" x14ac:dyDescent="0.25">
      <c r="A158" s="13"/>
      <c r="B158" s="13"/>
    </row>
    <row r="159" spans="1:2" ht="13.5" x14ac:dyDescent="0.25">
      <c r="A159" s="13"/>
      <c r="B159" s="13"/>
    </row>
    <row r="160" spans="1:2" ht="13.5" x14ac:dyDescent="0.25">
      <c r="A160" s="13"/>
      <c r="B160" s="13"/>
    </row>
    <row r="161" spans="1:2" ht="13.5" x14ac:dyDescent="0.25">
      <c r="A161" s="13"/>
      <c r="B161" s="13"/>
    </row>
    <row r="162" spans="1:2" ht="13.5" x14ac:dyDescent="0.25">
      <c r="A162" s="13"/>
      <c r="B162" s="13"/>
    </row>
    <row r="163" spans="1:2" ht="13.5" x14ac:dyDescent="0.25">
      <c r="A163" s="13"/>
      <c r="B163" s="13"/>
    </row>
    <row r="164" spans="1:2" ht="13.5" x14ac:dyDescent="0.25">
      <c r="A164" s="13"/>
      <c r="B164" s="13"/>
    </row>
    <row r="165" spans="1:2" ht="13.5" x14ac:dyDescent="0.25">
      <c r="A165" s="13"/>
      <c r="B165" s="13"/>
    </row>
    <row r="166" spans="1:2" ht="13.5" x14ac:dyDescent="0.25">
      <c r="A166" s="13"/>
      <c r="B166" s="13"/>
    </row>
    <row r="167" spans="1:2" ht="13.5" x14ac:dyDescent="0.25">
      <c r="A167" s="13"/>
      <c r="B167" s="13"/>
    </row>
    <row r="168" spans="1:2" ht="13.5" x14ac:dyDescent="0.25">
      <c r="A168" s="13"/>
      <c r="B168" s="13"/>
    </row>
    <row r="169" spans="1:2" ht="13.5" x14ac:dyDescent="0.25">
      <c r="A169" s="13"/>
      <c r="B169" s="13"/>
    </row>
    <row r="170" spans="1:2" ht="13.5" x14ac:dyDescent="0.25">
      <c r="A170" s="13"/>
      <c r="B170" s="13"/>
    </row>
    <row r="171" spans="1:2" ht="13.5" x14ac:dyDescent="0.25">
      <c r="A171" s="13"/>
      <c r="B171" s="13"/>
    </row>
    <row r="172" spans="1:2" ht="13.5" x14ac:dyDescent="0.25">
      <c r="A172" s="13"/>
      <c r="B172" s="13"/>
    </row>
    <row r="173" spans="1:2" ht="13.5" x14ac:dyDescent="0.25">
      <c r="A173" s="13"/>
      <c r="B173" s="13"/>
    </row>
    <row r="174" spans="1:2" ht="13.5" x14ac:dyDescent="0.25">
      <c r="A174" s="13"/>
      <c r="B174" s="13"/>
    </row>
    <row r="175" spans="1:2" ht="13.5" x14ac:dyDescent="0.25">
      <c r="A175" s="13"/>
      <c r="B175" s="13"/>
    </row>
    <row r="176" spans="1:2" ht="13.5" x14ac:dyDescent="0.25">
      <c r="A176" s="13"/>
      <c r="B176" s="13"/>
    </row>
    <row r="177" spans="1:2" ht="13.5" x14ac:dyDescent="0.25">
      <c r="A177" s="13"/>
      <c r="B177" s="13"/>
    </row>
    <row r="178" spans="1:2" ht="13.5" x14ac:dyDescent="0.25">
      <c r="A178" s="13"/>
      <c r="B178" s="13"/>
    </row>
    <row r="179" spans="1:2" ht="13.5" x14ac:dyDescent="0.25">
      <c r="A179" s="13"/>
      <c r="B179" s="13"/>
    </row>
    <row r="180" spans="1:2" ht="13.5" x14ac:dyDescent="0.25">
      <c r="A180" s="13"/>
      <c r="B180" s="13"/>
    </row>
    <row r="181" spans="1:2" ht="13.5" x14ac:dyDescent="0.25">
      <c r="A181" s="13"/>
      <c r="B181" s="13"/>
    </row>
    <row r="182" spans="1:2" ht="13.5" x14ac:dyDescent="0.25">
      <c r="A182" s="13"/>
      <c r="B182" s="13"/>
    </row>
    <row r="183" spans="1:2" ht="13.5" x14ac:dyDescent="0.25">
      <c r="A183" s="13"/>
      <c r="B183" s="13"/>
    </row>
    <row r="184" spans="1:2" ht="13.5" x14ac:dyDescent="0.25">
      <c r="A184" s="13"/>
      <c r="B184" s="13"/>
    </row>
    <row r="185" spans="1:2" ht="13.5" x14ac:dyDescent="0.25">
      <c r="A185" s="13"/>
      <c r="B185" s="13"/>
    </row>
    <row r="186" spans="1:2" ht="13.5" x14ac:dyDescent="0.25">
      <c r="A186" s="13"/>
      <c r="B186" s="13"/>
    </row>
    <row r="187" spans="1:2" ht="13.5" x14ac:dyDescent="0.25">
      <c r="A187" s="13"/>
      <c r="B187" s="13"/>
    </row>
    <row r="188" spans="1:2" ht="13.5" x14ac:dyDescent="0.25">
      <c r="A188" s="13"/>
      <c r="B188" s="13"/>
    </row>
    <row r="189" spans="1:2" ht="13.5" x14ac:dyDescent="0.25">
      <c r="A189" s="13"/>
      <c r="B189" s="13"/>
    </row>
    <row r="190" spans="1:2" ht="13.5" x14ac:dyDescent="0.25">
      <c r="A190" s="13"/>
      <c r="B190" s="13"/>
    </row>
    <row r="191" spans="1:2" ht="13.5" x14ac:dyDescent="0.25">
      <c r="A191" s="13"/>
      <c r="B191" s="13"/>
    </row>
    <row r="192" spans="1:2" ht="13.5" x14ac:dyDescent="0.25">
      <c r="A192" s="13"/>
      <c r="B192" s="13"/>
    </row>
    <row r="193" spans="1:2" ht="13.5" x14ac:dyDescent="0.25">
      <c r="A193" s="13"/>
      <c r="B193" s="13"/>
    </row>
    <row r="194" spans="1:2" ht="13.5" x14ac:dyDescent="0.25">
      <c r="A194" s="13"/>
      <c r="B194" s="13"/>
    </row>
    <row r="195" spans="1:2" ht="13.5" x14ac:dyDescent="0.25">
      <c r="A195" s="13"/>
      <c r="B195" s="13"/>
    </row>
    <row r="196" spans="1:2" ht="13.5" x14ac:dyDescent="0.25">
      <c r="A196" s="13"/>
      <c r="B196" s="13"/>
    </row>
    <row r="197" spans="1:2" ht="13.5" x14ac:dyDescent="0.25">
      <c r="A197" s="13"/>
      <c r="B197" s="13"/>
    </row>
    <row r="198" spans="1:2" ht="13.5" x14ac:dyDescent="0.25">
      <c r="A198" s="13"/>
      <c r="B198" s="13"/>
    </row>
    <row r="199" spans="1:2" ht="13.5" x14ac:dyDescent="0.25">
      <c r="A199" s="13"/>
      <c r="B199" s="13"/>
    </row>
    <row r="200" spans="1:2" ht="13.5" x14ac:dyDescent="0.25">
      <c r="A200" s="13"/>
      <c r="B200" s="13"/>
    </row>
    <row r="201" spans="1:2" ht="13.5" x14ac:dyDescent="0.25">
      <c r="A201" s="13"/>
      <c r="B201" s="13"/>
    </row>
    <row r="202" spans="1:2" ht="13.5" x14ac:dyDescent="0.25">
      <c r="A202" s="13"/>
      <c r="B202" s="13"/>
    </row>
    <row r="203" spans="1:2" ht="13.5" x14ac:dyDescent="0.25">
      <c r="A203" s="13"/>
      <c r="B203" s="13"/>
    </row>
    <row r="204" spans="1:2" ht="13.5" x14ac:dyDescent="0.25">
      <c r="A204" s="13"/>
      <c r="B204" s="13"/>
    </row>
    <row r="205" spans="1:2" ht="13.5" x14ac:dyDescent="0.25">
      <c r="A205" s="13"/>
      <c r="B205" s="13"/>
    </row>
    <row r="206" spans="1:2" ht="13.5" x14ac:dyDescent="0.25">
      <c r="A206" s="13"/>
      <c r="B206" s="13"/>
    </row>
    <row r="207" spans="1:2" ht="13.5" x14ac:dyDescent="0.25">
      <c r="A207" s="13"/>
      <c r="B207" s="13"/>
    </row>
    <row r="208" spans="1:2" ht="13.5" x14ac:dyDescent="0.25">
      <c r="A208" s="13"/>
      <c r="B208" s="13"/>
    </row>
    <row r="209" spans="1:2" ht="13.5" x14ac:dyDescent="0.25">
      <c r="A209" s="13"/>
      <c r="B209" s="13"/>
    </row>
    <row r="210" spans="1:2" ht="13.5" x14ac:dyDescent="0.25">
      <c r="A210" s="13"/>
      <c r="B210" s="13"/>
    </row>
    <row r="211" spans="1:2" ht="13.5" x14ac:dyDescent="0.25">
      <c r="A211" s="13"/>
      <c r="B211" s="13"/>
    </row>
    <row r="212" spans="1:2" ht="13.5" x14ac:dyDescent="0.25">
      <c r="A212" s="13"/>
      <c r="B212" s="13"/>
    </row>
    <row r="213" spans="1:2" ht="13.5" x14ac:dyDescent="0.25">
      <c r="A213" s="13"/>
      <c r="B213" s="13"/>
    </row>
    <row r="214" spans="1:2" ht="13.5" x14ac:dyDescent="0.25">
      <c r="A214" s="13"/>
      <c r="B214" s="13"/>
    </row>
    <row r="215" spans="1:2" ht="13.5" x14ac:dyDescent="0.25">
      <c r="A215" s="13"/>
      <c r="B215" s="13"/>
    </row>
    <row r="216" spans="1:2" ht="13.5" x14ac:dyDescent="0.25">
      <c r="A216" s="13"/>
      <c r="B216" s="13"/>
    </row>
    <row r="217" spans="1:2" ht="13.5" x14ac:dyDescent="0.25">
      <c r="A217" s="13"/>
      <c r="B217" s="13"/>
    </row>
    <row r="218" spans="1:2" ht="13.5" x14ac:dyDescent="0.25">
      <c r="A218" s="13"/>
      <c r="B218" s="13"/>
    </row>
    <row r="219" spans="1:2" ht="13.5" x14ac:dyDescent="0.25">
      <c r="A219" s="13"/>
      <c r="B219" s="13"/>
    </row>
    <row r="220" spans="1:2" ht="13.5" x14ac:dyDescent="0.25">
      <c r="A220" s="13"/>
      <c r="B220" s="13"/>
    </row>
    <row r="221" spans="1:2" ht="13.5" x14ac:dyDescent="0.25">
      <c r="A221" s="13"/>
      <c r="B221" s="13"/>
    </row>
    <row r="222" spans="1:2" ht="13.5" x14ac:dyDescent="0.25">
      <c r="A222" s="13"/>
      <c r="B222" s="13"/>
    </row>
    <row r="223" spans="1:2" ht="13.5" x14ac:dyDescent="0.25">
      <c r="A223" s="13"/>
      <c r="B223" s="13"/>
    </row>
    <row r="224" spans="1:2" ht="13.5" x14ac:dyDescent="0.25">
      <c r="A224" s="13"/>
      <c r="B224" s="13"/>
    </row>
    <row r="225" spans="1:2" ht="13.5" x14ac:dyDescent="0.25">
      <c r="A225" s="13"/>
      <c r="B225" s="13"/>
    </row>
    <row r="226" spans="1:2" ht="13.5" x14ac:dyDescent="0.25">
      <c r="A226" s="13"/>
      <c r="B226" s="13"/>
    </row>
    <row r="227" spans="1:2" ht="13.5" x14ac:dyDescent="0.25">
      <c r="A227" s="13"/>
      <c r="B227" s="13"/>
    </row>
    <row r="228" spans="1:2" ht="13.5" x14ac:dyDescent="0.25">
      <c r="A228" s="13"/>
      <c r="B228" s="13"/>
    </row>
    <row r="229" spans="1:2" ht="13.5" x14ac:dyDescent="0.25">
      <c r="A229" s="13"/>
      <c r="B229" s="13"/>
    </row>
    <row r="230" spans="1:2" ht="13.5" x14ac:dyDescent="0.25">
      <c r="A230" s="13"/>
      <c r="B230" s="13"/>
    </row>
    <row r="231" spans="1:2" ht="13.5" x14ac:dyDescent="0.25">
      <c r="A231" s="13"/>
      <c r="B231" s="13"/>
    </row>
    <row r="232" spans="1:2" ht="13.5" x14ac:dyDescent="0.25">
      <c r="A232" s="13"/>
      <c r="B232" s="13"/>
    </row>
    <row r="233" spans="1:2" ht="13.5" x14ac:dyDescent="0.25">
      <c r="A233" s="13"/>
      <c r="B233" s="13"/>
    </row>
    <row r="234" spans="1:2" ht="13.5" x14ac:dyDescent="0.25">
      <c r="A234" s="13"/>
      <c r="B234" s="13"/>
    </row>
    <row r="235" spans="1:2" ht="13.5" x14ac:dyDescent="0.25">
      <c r="A235" s="13"/>
      <c r="B235" s="13"/>
    </row>
    <row r="236" spans="1:2" ht="13.5" x14ac:dyDescent="0.25">
      <c r="A236" s="13"/>
      <c r="B236" s="13"/>
    </row>
    <row r="237" spans="1:2" ht="13.5" x14ac:dyDescent="0.25">
      <c r="A237" s="13"/>
      <c r="B237" s="13"/>
    </row>
    <row r="238" spans="1:2" ht="13.5" x14ac:dyDescent="0.25">
      <c r="A238" s="13"/>
      <c r="B238" s="13"/>
    </row>
    <row r="239" spans="1:2" ht="13.5" x14ac:dyDescent="0.25">
      <c r="A239" s="13"/>
      <c r="B239" s="13"/>
    </row>
    <row r="240" spans="1:2" ht="13.5" x14ac:dyDescent="0.25">
      <c r="A240" s="13"/>
      <c r="B240" s="13"/>
    </row>
    <row r="241" spans="1:2" ht="13.5" x14ac:dyDescent="0.25">
      <c r="A241" s="13"/>
      <c r="B241" s="13"/>
    </row>
    <row r="242" spans="1:2" ht="13.5" x14ac:dyDescent="0.25">
      <c r="A242" s="13"/>
      <c r="B242" s="13"/>
    </row>
    <row r="243" spans="1:2" ht="13.5" x14ac:dyDescent="0.25">
      <c r="A243" s="13"/>
      <c r="B243" s="13"/>
    </row>
    <row r="244" spans="1:2" ht="13.5" x14ac:dyDescent="0.25">
      <c r="A244" s="13"/>
      <c r="B244" s="13"/>
    </row>
    <row r="245" spans="1:2" ht="13.5" x14ac:dyDescent="0.25">
      <c r="A245" s="13"/>
      <c r="B245" s="13"/>
    </row>
    <row r="246" spans="1:2" ht="13.5" x14ac:dyDescent="0.25">
      <c r="A246" s="13"/>
      <c r="B246" s="13"/>
    </row>
    <row r="247" spans="1:2" ht="13.5" x14ac:dyDescent="0.25">
      <c r="A247" s="13"/>
      <c r="B247" s="13"/>
    </row>
    <row r="248" spans="1:2" ht="13.5" x14ac:dyDescent="0.25">
      <c r="A248" s="13"/>
      <c r="B248" s="13"/>
    </row>
    <row r="249" spans="1:2" ht="13.5" x14ac:dyDescent="0.25">
      <c r="A249" s="13"/>
      <c r="B249" s="13"/>
    </row>
    <row r="250" spans="1:2" ht="13.5" x14ac:dyDescent="0.25">
      <c r="A250" s="13"/>
      <c r="B250" s="13"/>
    </row>
    <row r="251" spans="1:2" ht="13.5" x14ac:dyDescent="0.25">
      <c r="A251" s="13"/>
      <c r="B251" s="13"/>
    </row>
    <row r="252" spans="1:2" ht="13.5" x14ac:dyDescent="0.25">
      <c r="A252" s="13"/>
      <c r="B252" s="13"/>
    </row>
    <row r="253" spans="1:2" ht="13.5" x14ac:dyDescent="0.25">
      <c r="A253" s="13"/>
      <c r="B253" s="13"/>
    </row>
    <row r="254" spans="1:2" ht="13.5" x14ac:dyDescent="0.25">
      <c r="A254" s="13"/>
      <c r="B254" s="13"/>
    </row>
    <row r="255" spans="1:2" ht="13.5" x14ac:dyDescent="0.25">
      <c r="A255" s="13"/>
      <c r="B255" s="13"/>
    </row>
    <row r="256" spans="1:2" ht="13.5" x14ac:dyDescent="0.25">
      <c r="A256" s="13"/>
      <c r="B256" s="13"/>
    </row>
    <row r="257" spans="1:2" ht="13.5" x14ac:dyDescent="0.25">
      <c r="A257" s="13"/>
      <c r="B257" s="13"/>
    </row>
    <row r="258" spans="1:2" ht="13.5" x14ac:dyDescent="0.25">
      <c r="A258" s="13"/>
      <c r="B258" s="13"/>
    </row>
    <row r="259" spans="1:2" ht="13.5" x14ac:dyDescent="0.25">
      <c r="A259" s="13"/>
      <c r="B259" s="13"/>
    </row>
    <row r="260" spans="1:2" ht="13.5" x14ac:dyDescent="0.25">
      <c r="A260" s="13"/>
      <c r="B260" s="13"/>
    </row>
    <row r="261" spans="1:2" ht="13.5" x14ac:dyDescent="0.25">
      <c r="A261" s="13"/>
      <c r="B261" s="13"/>
    </row>
    <row r="262" spans="1:2" ht="13.5" x14ac:dyDescent="0.25">
      <c r="A262" s="13"/>
      <c r="B262" s="13"/>
    </row>
    <row r="263" spans="1:2" ht="13.5" x14ac:dyDescent="0.25">
      <c r="A263" s="13"/>
      <c r="B263" s="13"/>
    </row>
    <row r="264" spans="1:2" ht="13.5" x14ac:dyDescent="0.25">
      <c r="A264" s="13"/>
      <c r="B264" s="13"/>
    </row>
    <row r="265" spans="1:2" ht="13.5" x14ac:dyDescent="0.25">
      <c r="A265" s="13"/>
      <c r="B265" s="13"/>
    </row>
    <row r="266" spans="1:2" ht="13.5" x14ac:dyDescent="0.25">
      <c r="A266" s="13"/>
      <c r="B266" s="13"/>
    </row>
    <row r="267" spans="1:2" ht="13.5" x14ac:dyDescent="0.25">
      <c r="A267" s="13"/>
      <c r="B267" s="13"/>
    </row>
    <row r="268" spans="1:2" ht="13.5" x14ac:dyDescent="0.25">
      <c r="A268" s="13"/>
      <c r="B268" s="13"/>
    </row>
    <row r="269" spans="1:2" ht="13.5" x14ac:dyDescent="0.25">
      <c r="A269" s="13"/>
      <c r="B269" s="13"/>
    </row>
    <row r="270" spans="1:2" ht="13.5" x14ac:dyDescent="0.25">
      <c r="A270" s="13"/>
      <c r="B270" s="13"/>
    </row>
    <row r="271" spans="1:2" ht="13.5" x14ac:dyDescent="0.25">
      <c r="A271" s="13"/>
      <c r="B271" s="13"/>
    </row>
    <row r="272" spans="1:2" ht="13.5" x14ac:dyDescent="0.25">
      <c r="A272" s="13"/>
      <c r="B272" s="13"/>
    </row>
    <row r="273" spans="1:2" ht="13.5" x14ac:dyDescent="0.25">
      <c r="A273" s="13"/>
      <c r="B273" s="13"/>
    </row>
    <row r="274" spans="1:2" ht="13.5" x14ac:dyDescent="0.25">
      <c r="A274" s="13"/>
      <c r="B274" s="13"/>
    </row>
    <row r="275" spans="1:2" ht="13.5" x14ac:dyDescent="0.25">
      <c r="A275" s="13"/>
      <c r="B275" s="13"/>
    </row>
    <row r="276" spans="1:2" ht="13.5" x14ac:dyDescent="0.25">
      <c r="A276" s="13"/>
      <c r="B276" s="13"/>
    </row>
    <row r="277" spans="1:2" ht="13.5" x14ac:dyDescent="0.25">
      <c r="A277" s="13"/>
      <c r="B277" s="13"/>
    </row>
    <row r="278" spans="1:2" ht="13.5" x14ac:dyDescent="0.25">
      <c r="A278" s="13"/>
      <c r="B278" s="13"/>
    </row>
    <row r="279" spans="1:2" ht="13.5" x14ac:dyDescent="0.25">
      <c r="A279" s="13"/>
      <c r="B279" s="13"/>
    </row>
    <row r="280" spans="1:2" ht="13.5" x14ac:dyDescent="0.25">
      <c r="A280" s="13"/>
      <c r="B280" s="13"/>
    </row>
    <row r="281" spans="1:2" ht="13.5" x14ac:dyDescent="0.25">
      <c r="A281" s="13"/>
      <c r="B281" s="13"/>
    </row>
    <row r="282" spans="1:2" ht="13.5" x14ac:dyDescent="0.25">
      <c r="A282" s="13"/>
      <c r="B282" s="13"/>
    </row>
    <row r="283" spans="1:2" ht="13.5" x14ac:dyDescent="0.25">
      <c r="A283" s="13"/>
      <c r="B283" s="13"/>
    </row>
    <row r="284" spans="1:2" ht="13.5" x14ac:dyDescent="0.25">
      <c r="A284" s="13"/>
      <c r="B284" s="13"/>
    </row>
    <row r="285" spans="1:2" ht="13.5" x14ac:dyDescent="0.25">
      <c r="A285" s="13"/>
      <c r="B285" s="13"/>
    </row>
    <row r="286" spans="1:2" ht="13.5" x14ac:dyDescent="0.25">
      <c r="A286" s="13"/>
      <c r="B286" s="13"/>
    </row>
    <row r="287" spans="1:2" ht="13.5" x14ac:dyDescent="0.25">
      <c r="A287" s="13"/>
      <c r="B287" s="13"/>
    </row>
    <row r="288" spans="1:2" ht="13.5" x14ac:dyDescent="0.25">
      <c r="A288" s="13"/>
      <c r="B288" s="13"/>
    </row>
    <row r="289" spans="1:2" ht="13.5" x14ac:dyDescent="0.25">
      <c r="A289" s="13"/>
      <c r="B289" s="13"/>
    </row>
    <row r="290" spans="1:2" ht="13.5" x14ac:dyDescent="0.25">
      <c r="A290" s="13"/>
      <c r="B290" s="13"/>
    </row>
    <row r="291" spans="1:2" ht="13.5" x14ac:dyDescent="0.25">
      <c r="A291" s="13"/>
      <c r="B291" s="13"/>
    </row>
    <row r="292" spans="1:2" ht="13.5" x14ac:dyDescent="0.25">
      <c r="A292" s="13"/>
      <c r="B292" s="13"/>
    </row>
    <row r="293" spans="1:2" ht="13.5" x14ac:dyDescent="0.25">
      <c r="A293" s="13"/>
      <c r="B293" s="13"/>
    </row>
    <row r="294" spans="1:2" ht="13.5" x14ac:dyDescent="0.25">
      <c r="A294" s="13"/>
      <c r="B294" s="13"/>
    </row>
    <row r="295" spans="1:2" ht="13.5" x14ac:dyDescent="0.25">
      <c r="A295" s="13"/>
      <c r="B295" s="13"/>
    </row>
    <row r="296" spans="1:2" ht="13.5" x14ac:dyDescent="0.25">
      <c r="A296" s="13"/>
      <c r="B296" s="13"/>
    </row>
    <row r="297" spans="1:2" ht="13.5" x14ac:dyDescent="0.25">
      <c r="A297" s="13"/>
      <c r="B297" s="13"/>
    </row>
    <row r="298" spans="1:2" ht="13.5" x14ac:dyDescent="0.25">
      <c r="A298" s="13"/>
      <c r="B298" s="13"/>
    </row>
    <row r="299" spans="1:2" ht="13.5" x14ac:dyDescent="0.25">
      <c r="A299" s="13"/>
      <c r="B299" s="13"/>
    </row>
    <row r="300" spans="1:2" ht="13.5" x14ac:dyDescent="0.25">
      <c r="A300" s="13"/>
      <c r="B300" s="13"/>
    </row>
    <row r="301" spans="1:2" ht="13.5" x14ac:dyDescent="0.25">
      <c r="A301" s="13"/>
      <c r="B301" s="13"/>
    </row>
    <row r="302" spans="1:2" ht="13.5" x14ac:dyDescent="0.25">
      <c r="A302" s="13"/>
      <c r="B302" s="13"/>
    </row>
    <row r="303" spans="1:2" ht="13.5" x14ac:dyDescent="0.25">
      <c r="A303" s="13"/>
      <c r="B303" s="13"/>
    </row>
    <row r="304" spans="1:2" ht="13.5" x14ac:dyDescent="0.25">
      <c r="A304" s="13"/>
      <c r="B304" s="13"/>
    </row>
    <row r="305" spans="1:2" ht="13.5" x14ac:dyDescent="0.25">
      <c r="A305" s="13"/>
      <c r="B305" s="13"/>
    </row>
    <row r="306" spans="1:2" ht="13.5" x14ac:dyDescent="0.25">
      <c r="A306" s="13"/>
      <c r="B306" s="13"/>
    </row>
    <row r="307" spans="1:2" ht="13.5" x14ac:dyDescent="0.25">
      <c r="A307" s="13"/>
      <c r="B307" s="13"/>
    </row>
    <row r="308" spans="1:2" ht="13.5" x14ac:dyDescent="0.25">
      <c r="A308" s="13"/>
      <c r="B308" s="13"/>
    </row>
    <row r="309" spans="1:2" ht="13.5" x14ac:dyDescent="0.25">
      <c r="A309" s="13"/>
      <c r="B309" s="13"/>
    </row>
    <row r="310" spans="1:2" ht="13.5" x14ac:dyDescent="0.25">
      <c r="A310" s="13"/>
      <c r="B310" s="13"/>
    </row>
    <row r="311" spans="1:2" ht="13.5" x14ac:dyDescent="0.25">
      <c r="A311" s="13"/>
      <c r="B311" s="13"/>
    </row>
    <row r="312" spans="1:2" ht="13.5" x14ac:dyDescent="0.25">
      <c r="A312" s="13"/>
      <c r="B312" s="13"/>
    </row>
    <row r="313" spans="1:2" ht="13.5" x14ac:dyDescent="0.25">
      <c r="A313" s="13"/>
      <c r="B313" s="13"/>
    </row>
    <row r="314" spans="1:2" ht="13.5" x14ac:dyDescent="0.25">
      <c r="A314" s="13"/>
      <c r="B314" s="13"/>
    </row>
    <row r="315" spans="1:2" ht="13.5" x14ac:dyDescent="0.25">
      <c r="A315" s="13"/>
      <c r="B315" s="13"/>
    </row>
    <row r="316" spans="1:2" ht="13.5" x14ac:dyDescent="0.25">
      <c r="A316" s="13"/>
      <c r="B316" s="13"/>
    </row>
    <row r="317" spans="1:2" ht="13.5" x14ac:dyDescent="0.25">
      <c r="A317" s="13"/>
      <c r="B317" s="13"/>
    </row>
    <row r="318" spans="1:2" ht="13.5" x14ac:dyDescent="0.25">
      <c r="A318" s="13"/>
      <c r="B318" s="13"/>
    </row>
    <row r="319" spans="1:2" ht="13.5" x14ac:dyDescent="0.25">
      <c r="A319" s="13"/>
      <c r="B319" s="13"/>
    </row>
    <row r="320" spans="1:2" ht="13.5" x14ac:dyDescent="0.25">
      <c r="A320" s="13"/>
      <c r="B320" s="13"/>
    </row>
    <row r="321" spans="1:2" ht="13.5" x14ac:dyDescent="0.25">
      <c r="A321" s="13"/>
      <c r="B321" s="13"/>
    </row>
    <row r="322" spans="1:2" ht="13.5" x14ac:dyDescent="0.25">
      <c r="A322" s="13"/>
      <c r="B322" s="13"/>
    </row>
    <row r="323" spans="1:2" ht="13.5" x14ac:dyDescent="0.25">
      <c r="A323" s="13"/>
      <c r="B323" s="13"/>
    </row>
    <row r="324" spans="1:2" ht="13.5" x14ac:dyDescent="0.25">
      <c r="A324" s="13"/>
      <c r="B324" s="13"/>
    </row>
    <row r="325" spans="1:2" ht="13.5" x14ac:dyDescent="0.25">
      <c r="A325" s="13"/>
      <c r="B325" s="13"/>
    </row>
    <row r="326" spans="1:2" ht="13.5" x14ac:dyDescent="0.25">
      <c r="A326" s="13"/>
      <c r="B326" s="13"/>
    </row>
    <row r="327" spans="1:2" ht="13.5" x14ac:dyDescent="0.25">
      <c r="A327" s="13"/>
      <c r="B327" s="13"/>
    </row>
    <row r="328" spans="1:2" ht="13.5" x14ac:dyDescent="0.25">
      <c r="A328" s="13"/>
      <c r="B328" s="13"/>
    </row>
    <row r="329" spans="1:2" ht="13.5" x14ac:dyDescent="0.25">
      <c r="A329" s="13"/>
      <c r="B329" s="13"/>
    </row>
    <row r="330" spans="1:2" ht="13.5" x14ac:dyDescent="0.25">
      <c r="A330" s="13"/>
      <c r="B330" s="13"/>
    </row>
    <row r="331" spans="1:2" ht="13.5" x14ac:dyDescent="0.25">
      <c r="A331" s="13"/>
      <c r="B331" s="13"/>
    </row>
    <row r="332" spans="1:2" ht="13.5" x14ac:dyDescent="0.25">
      <c r="A332" s="13"/>
      <c r="B332" s="13"/>
    </row>
    <row r="333" spans="1:2" ht="13.5" x14ac:dyDescent="0.25">
      <c r="A333" s="13"/>
      <c r="B333" s="13"/>
    </row>
    <row r="334" spans="1:2" ht="13.5" x14ac:dyDescent="0.25">
      <c r="A334" s="13"/>
      <c r="B334" s="13"/>
    </row>
    <row r="335" spans="1:2" ht="13.5" x14ac:dyDescent="0.25">
      <c r="A335" s="13"/>
      <c r="B335" s="13"/>
    </row>
    <row r="336" spans="1:2" ht="13.5" x14ac:dyDescent="0.25">
      <c r="A336" s="13"/>
      <c r="B336" s="13"/>
    </row>
    <row r="337" spans="1:2" ht="13.5" x14ac:dyDescent="0.25">
      <c r="A337" s="13"/>
      <c r="B337" s="13"/>
    </row>
    <row r="338" spans="1:2" ht="13.5" x14ac:dyDescent="0.25">
      <c r="A338" s="13"/>
      <c r="B338" s="13"/>
    </row>
    <row r="339" spans="1:2" ht="13.5" x14ac:dyDescent="0.25">
      <c r="A339" s="13"/>
      <c r="B339" s="13"/>
    </row>
    <row r="340" spans="1:2" ht="13.5" x14ac:dyDescent="0.25">
      <c r="A340" s="13"/>
      <c r="B340" s="13"/>
    </row>
    <row r="341" spans="1:2" ht="13.5" x14ac:dyDescent="0.25">
      <c r="A341" s="13"/>
      <c r="B341" s="13"/>
    </row>
    <row r="342" spans="1:2" ht="13.5" x14ac:dyDescent="0.25">
      <c r="A342" s="13"/>
      <c r="B342" s="13"/>
    </row>
    <row r="343" spans="1:2" ht="13.5" x14ac:dyDescent="0.25">
      <c r="A343" s="13"/>
      <c r="B343" s="13"/>
    </row>
    <row r="344" spans="1:2" ht="13.5" x14ac:dyDescent="0.25">
      <c r="A344" s="13"/>
      <c r="B344" s="13"/>
    </row>
    <row r="345" spans="1:2" ht="13.5" x14ac:dyDescent="0.25">
      <c r="A345" s="13"/>
      <c r="B345" s="13"/>
    </row>
    <row r="346" spans="1:2" ht="13.5" x14ac:dyDescent="0.25">
      <c r="A346" s="13"/>
      <c r="B346" s="13"/>
    </row>
    <row r="347" spans="1:2" ht="13.5" x14ac:dyDescent="0.25">
      <c r="A347" s="13"/>
      <c r="B347" s="13"/>
    </row>
    <row r="348" spans="1:2" ht="13.5" x14ac:dyDescent="0.25">
      <c r="A348" s="13"/>
      <c r="B348" s="13"/>
    </row>
    <row r="349" spans="1:2" ht="13.5" x14ac:dyDescent="0.25">
      <c r="A349" s="13"/>
      <c r="B349" s="13"/>
    </row>
    <row r="350" spans="1:2" ht="13.5" x14ac:dyDescent="0.25">
      <c r="A350" s="13"/>
      <c r="B350" s="13"/>
    </row>
    <row r="351" spans="1:2" ht="13.5" x14ac:dyDescent="0.25">
      <c r="A351" s="13"/>
      <c r="B351" s="13"/>
    </row>
    <row r="352" spans="1:2" ht="13.5" x14ac:dyDescent="0.25">
      <c r="A352" s="13"/>
      <c r="B352" s="13"/>
    </row>
    <row r="353" spans="1:2" ht="13.5" x14ac:dyDescent="0.25">
      <c r="A353" s="13"/>
      <c r="B353" s="13"/>
    </row>
    <row r="354" spans="1:2" ht="13.5" x14ac:dyDescent="0.25">
      <c r="A354" s="13"/>
      <c r="B354" s="13"/>
    </row>
    <row r="355" spans="1:2" ht="13.5" x14ac:dyDescent="0.25">
      <c r="A355" s="13"/>
      <c r="B355" s="13"/>
    </row>
    <row r="356" spans="1:2" ht="13.5" x14ac:dyDescent="0.25">
      <c r="A356" s="13"/>
      <c r="B356" s="13"/>
    </row>
    <row r="357" spans="1:2" ht="13.5" x14ac:dyDescent="0.25">
      <c r="A357" s="13"/>
      <c r="B357" s="13"/>
    </row>
    <row r="358" spans="1:2" ht="13.5" x14ac:dyDescent="0.25">
      <c r="A358" s="13"/>
      <c r="B358" s="13"/>
    </row>
    <row r="359" spans="1:2" ht="13.5" x14ac:dyDescent="0.25">
      <c r="A359" s="13"/>
      <c r="B359" s="13"/>
    </row>
    <row r="360" spans="1:2" ht="13.5" x14ac:dyDescent="0.25">
      <c r="A360" s="13"/>
      <c r="B360" s="13"/>
    </row>
    <row r="361" spans="1:2" ht="13.5" x14ac:dyDescent="0.25">
      <c r="A361" s="13"/>
      <c r="B361" s="13"/>
    </row>
    <row r="362" spans="1:2" ht="13.5" x14ac:dyDescent="0.25">
      <c r="A362" s="13"/>
      <c r="B362" s="13"/>
    </row>
    <row r="363" spans="1:2" ht="13.5" x14ac:dyDescent="0.25">
      <c r="A363" s="13"/>
      <c r="B363" s="13"/>
    </row>
    <row r="364" spans="1:2" ht="13.5" x14ac:dyDescent="0.25">
      <c r="A364" s="13"/>
      <c r="B364" s="13"/>
    </row>
    <row r="365" spans="1:2" ht="13.5" x14ac:dyDescent="0.25">
      <c r="A365" s="13"/>
      <c r="B365" s="13"/>
    </row>
    <row r="366" spans="1:2" ht="13.5" x14ac:dyDescent="0.25">
      <c r="A366" s="13"/>
      <c r="B366" s="13"/>
    </row>
    <row r="367" spans="1:2" ht="13.5" x14ac:dyDescent="0.25">
      <c r="A367" s="13"/>
      <c r="B367" s="13"/>
    </row>
    <row r="368" spans="1:2" ht="13.5" x14ac:dyDescent="0.25">
      <c r="A368" s="13"/>
      <c r="B368" s="13"/>
    </row>
    <row r="369" spans="1:2" ht="13.5" x14ac:dyDescent="0.25">
      <c r="A369" s="13"/>
      <c r="B369" s="13"/>
    </row>
    <row r="370" spans="1:2" ht="13.5" x14ac:dyDescent="0.25">
      <c r="A370" s="13"/>
      <c r="B370" s="13"/>
    </row>
    <row r="371" spans="1:2" ht="13.5" x14ac:dyDescent="0.25">
      <c r="A371" s="13"/>
      <c r="B371" s="13"/>
    </row>
    <row r="372" spans="1:2" ht="13.5" x14ac:dyDescent="0.25">
      <c r="A372" s="13"/>
      <c r="B372" s="13"/>
    </row>
    <row r="373" spans="1:2" ht="13.5" x14ac:dyDescent="0.25">
      <c r="A373" s="13"/>
      <c r="B373" s="13"/>
    </row>
    <row r="374" spans="1:2" ht="13.5" x14ac:dyDescent="0.25">
      <c r="A374" s="13"/>
      <c r="B374" s="13"/>
    </row>
    <row r="375" spans="1:2" ht="13.5" x14ac:dyDescent="0.25">
      <c r="A375" s="13"/>
      <c r="B375" s="13"/>
    </row>
    <row r="376" spans="1:2" ht="13.5" x14ac:dyDescent="0.25">
      <c r="A376" s="13"/>
      <c r="B376" s="13"/>
    </row>
    <row r="377" spans="1:2" ht="13.5" x14ac:dyDescent="0.25">
      <c r="A377" s="13"/>
      <c r="B377" s="13"/>
    </row>
    <row r="378" spans="1:2" ht="13.5" x14ac:dyDescent="0.25">
      <c r="A378" s="13"/>
      <c r="B378" s="13"/>
    </row>
    <row r="379" spans="1:2" ht="13.5" x14ac:dyDescent="0.25">
      <c r="A379" s="13"/>
      <c r="B379" s="13"/>
    </row>
    <row r="380" spans="1:2" ht="13.5" x14ac:dyDescent="0.25">
      <c r="A380" s="13"/>
      <c r="B380" s="13"/>
    </row>
    <row r="381" spans="1:2" ht="13.5" x14ac:dyDescent="0.25">
      <c r="A381" s="13"/>
      <c r="B381" s="13"/>
    </row>
    <row r="382" spans="1:2" ht="13.5" x14ac:dyDescent="0.25">
      <c r="A382" s="13"/>
      <c r="B382" s="13"/>
    </row>
    <row r="383" spans="1:2" ht="13.5" x14ac:dyDescent="0.25">
      <c r="A383" s="13"/>
      <c r="B383" s="13"/>
    </row>
    <row r="384" spans="1:2" ht="13.5" x14ac:dyDescent="0.25">
      <c r="A384" s="13"/>
      <c r="B384" s="13"/>
    </row>
    <row r="385" spans="1:2" ht="13.5" x14ac:dyDescent="0.25">
      <c r="A385" s="13"/>
      <c r="B385" s="13"/>
    </row>
    <row r="386" spans="1:2" ht="13.5" x14ac:dyDescent="0.25">
      <c r="A386" s="13"/>
      <c r="B386" s="13"/>
    </row>
    <row r="387" spans="1:2" ht="13.5" x14ac:dyDescent="0.25">
      <c r="A387" s="13"/>
      <c r="B387" s="13"/>
    </row>
    <row r="388" spans="1:2" ht="13.5" x14ac:dyDescent="0.25">
      <c r="A388" s="13"/>
      <c r="B388" s="13"/>
    </row>
    <row r="389" spans="1:2" ht="13.5" x14ac:dyDescent="0.25">
      <c r="A389" s="13"/>
      <c r="B389" s="13"/>
    </row>
    <row r="390" spans="1:2" ht="13.5" x14ac:dyDescent="0.25">
      <c r="A390" s="13"/>
      <c r="B390" s="13"/>
    </row>
    <row r="391" spans="1:2" ht="13.5" x14ac:dyDescent="0.25">
      <c r="A391" s="13"/>
      <c r="B391" s="13"/>
    </row>
    <row r="392" spans="1:2" ht="13.5" x14ac:dyDescent="0.25">
      <c r="A392" s="13"/>
      <c r="B392" s="13"/>
    </row>
    <row r="393" spans="1:2" ht="13.5" x14ac:dyDescent="0.25">
      <c r="A393" s="13"/>
      <c r="B393" s="13"/>
    </row>
    <row r="394" spans="1:2" ht="13.5" x14ac:dyDescent="0.25">
      <c r="A394" s="13"/>
      <c r="B394" s="13"/>
    </row>
    <row r="395" spans="1:2" ht="13.5" x14ac:dyDescent="0.25">
      <c r="A395" s="13"/>
      <c r="B395" s="13"/>
    </row>
    <row r="396" spans="1:2" ht="13.5" x14ac:dyDescent="0.25">
      <c r="A396" s="13"/>
      <c r="B396" s="13"/>
    </row>
    <row r="397" spans="1:2" ht="13.5" x14ac:dyDescent="0.25">
      <c r="A397" s="13"/>
      <c r="B397" s="13"/>
    </row>
    <row r="398" spans="1:2" ht="13.5" x14ac:dyDescent="0.25">
      <c r="A398" s="13"/>
      <c r="B398" s="13"/>
    </row>
    <row r="399" spans="1:2" ht="13.5" x14ac:dyDescent="0.25">
      <c r="A399" s="13"/>
      <c r="B399" s="13"/>
    </row>
    <row r="400" spans="1:2" ht="13.5" x14ac:dyDescent="0.25">
      <c r="A400" s="13"/>
      <c r="B400" s="13"/>
    </row>
    <row r="401" spans="1:2" ht="13.5" x14ac:dyDescent="0.25">
      <c r="A401" s="13"/>
      <c r="B401" s="13"/>
    </row>
    <row r="402" spans="1:2" ht="13.5" x14ac:dyDescent="0.25">
      <c r="A402" s="13"/>
      <c r="B402" s="13"/>
    </row>
    <row r="403" spans="1:2" ht="13.5" x14ac:dyDescent="0.25">
      <c r="A403" s="13"/>
      <c r="B403" s="13"/>
    </row>
    <row r="404" spans="1:2" ht="13.5" x14ac:dyDescent="0.25">
      <c r="A404" s="13"/>
      <c r="B404" s="13"/>
    </row>
    <row r="405" spans="1:2" ht="13.5" x14ac:dyDescent="0.25">
      <c r="A405" s="13"/>
      <c r="B405" s="13"/>
    </row>
    <row r="406" spans="1:2" ht="13.5" x14ac:dyDescent="0.25">
      <c r="A406" s="13"/>
      <c r="B406" s="13"/>
    </row>
    <row r="407" spans="1:2" ht="13.5" x14ac:dyDescent="0.25">
      <c r="A407" s="13"/>
      <c r="B407" s="13"/>
    </row>
    <row r="408" spans="1:2" ht="13.5" x14ac:dyDescent="0.25">
      <c r="A408" s="13"/>
      <c r="B408" s="13"/>
    </row>
    <row r="409" spans="1:2" ht="13.5" x14ac:dyDescent="0.25">
      <c r="A409" s="13"/>
      <c r="B409" s="13"/>
    </row>
    <row r="410" spans="1:2" ht="13.5" x14ac:dyDescent="0.25">
      <c r="A410" s="13"/>
      <c r="B410" s="13"/>
    </row>
    <row r="411" spans="1:2" ht="13.5" x14ac:dyDescent="0.25">
      <c r="A411" s="13"/>
      <c r="B411" s="13"/>
    </row>
    <row r="412" spans="1:2" ht="13.5" x14ac:dyDescent="0.25">
      <c r="A412" s="13"/>
      <c r="B412" s="13"/>
    </row>
    <row r="413" spans="1:2" ht="13.5" x14ac:dyDescent="0.25">
      <c r="A413" s="13"/>
      <c r="B413" s="13"/>
    </row>
    <row r="414" spans="1:2" ht="13.5" x14ac:dyDescent="0.25">
      <c r="A414" s="13"/>
      <c r="B414" s="13"/>
    </row>
    <row r="415" spans="1:2" ht="13.5" x14ac:dyDescent="0.25">
      <c r="A415" s="13"/>
      <c r="B415" s="13"/>
    </row>
    <row r="416" spans="1:2" ht="13.5" x14ac:dyDescent="0.25">
      <c r="A416" s="13"/>
      <c r="B416" s="13"/>
    </row>
    <row r="417" spans="1:2" ht="13.5" x14ac:dyDescent="0.25">
      <c r="A417" s="13"/>
      <c r="B417" s="13"/>
    </row>
    <row r="418" spans="1:2" ht="13.5" x14ac:dyDescent="0.25">
      <c r="A418" s="13"/>
      <c r="B418" s="13"/>
    </row>
    <row r="419" spans="1:2" ht="13.5" x14ac:dyDescent="0.25">
      <c r="A419" s="13"/>
      <c r="B419" s="13"/>
    </row>
    <row r="420" spans="1:2" ht="13.5" x14ac:dyDescent="0.25">
      <c r="A420" s="13"/>
    </row>
    <row r="421" spans="1:2" ht="13.5" x14ac:dyDescent="0.25">
      <c r="A421" s="13"/>
    </row>
    <row r="422" spans="1:2" ht="13.5" x14ac:dyDescent="0.25">
      <c r="A422" s="13"/>
    </row>
    <row r="423" spans="1:2" ht="13.5" x14ac:dyDescent="0.25">
      <c r="A423" s="13"/>
    </row>
    <row r="424" spans="1:2" ht="13.5" x14ac:dyDescent="0.25">
      <c r="A424" s="13"/>
    </row>
    <row r="425" spans="1:2" ht="13.5" x14ac:dyDescent="0.25">
      <c r="A425" s="13"/>
    </row>
    <row r="426" spans="1:2" ht="13.5" x14ac:dyDescent="0.25">
      <c r="A426" s="13"/>
    </row>
    <row r="427" spans="1:2" ht="13.5" x14ac:dyDescent="0.25">
      <c r="A427" s="13"/>
    </row>
    <row r="428" spans="1:2" ht="13.5" x14ac:dyDescent="0.25">
      <c r="A428" s="13"/>
    </row>
    <row r="429" spans="1:2" ht="13.5" x14ac:dyDescent="0.25">
      <c r="A429" s="13"/>
    </row>
    <row r="430" spans="1:2" ht="13.5" x14ac:dyDescent="0.25">
      <c r="A430" s="13"/>
    </row>
    <row r="431" spans="1:2" ht="13.5" x14ac:dyDescent="0.25">
      <c r="A431" s="13"/>
    </row>
    <row r="432" spans="1:2" ht="13.5" x14ac:dyDescent="0.25">
      <c r="A432" s="13"/>
    </row>
    <row r="433" spans="1:1" ht="13.5" x14ac:dyDescent="0.25">
      <c r="A433" s="13"/>
    </row>
    <row r="434" spans="1:1" ht="13.5" x14ac:dyDescent="0.25">
      <c r="A434" s="13"/>
    </row>
    <row r="435" spans="1:1" ht="13.5" x14ac:dyDescent="0.25">
      <c r="A435" s="13"/>
    </row>
    <row r="436" spans="1:1" ht="13.5" x14ac:dyDescent="0.25">
      <c r="A436" s="13"/>
    </row>
    <row r="437" spans="1:1" ht="13.5" x14ac:dyDescent="0.25">
      <c r="A437" s="13"/>
    </row>
    <row r="438" spans="1:1" ht="13.5" x14ac:dyDescent="0.25">
      <c r="A438" s="13"/>
    </row>
    <row r="439" spans="1:1" ht="13.5" x14ac:dyDescent="0.25">
      <c r="A439" s="13"/>
    </row>
    <row r="440" spans="1:1" ht="13.5" x14ac:dyDescent="0.25">
      <c r="A440" s="13"/>
    </row>
    <row r="441" spans="1:1" ht="13.5" x14ac:dyDescent="0.25">
      <c r="A441" s="13"/>
    </row>
    <row r="442" spans="1:1" ht="13.5" x14ac:dyDescent="0.25">
      <c r="A442" s="13"/>
    </row>
    <row r="443" spans="1:1" ht="13.5" x14ac:dyDescent="0.25">
      <c r="A443" s="13"/>
    </row>
    <row r="444" spans="1:1" ht="13.5" x14ac:dyDescent="0.25">
      <c r="A444" s="13"/>
    </row>
    <row r="445" spans="1:1" ht="13.5" x14ac:dyDescent="0.25">
      <c r="A445" s="13"/>
    </row>
    <row r="446" spans="1:1" ht="13.5" x14ac:dyDescent="0.25">
      <c r="A446" s="13"/>
    </row>
    <row r="447" spans="1:1" ht="13.5" x14ac:dyDescent="0.25">
      <c r="A447" s="13"/>
    </row>
    <row r="448" spans="1:1" ht="13.5" x14ac:dyDescent="0.25">
      <c r="A448" s="13"/>
    </row>
    <row r="449" spans="1:1" ht="13.5" x14ac:dyDescent="0.25">
      <c r="A449" s="13"/>
    </row>
    <row r="450" spans="1:1" ht="13.5" x14ac:dyDescent="0.25">
      <c r="A450" s="13"/>
    </row>
    <row r="451" spans="1:1" ht="13.5" x14ac:dyDescent="0.25">
      <c r="A451" s="13"/>
    </row>
    <row r="452" spans="1:1" ht="13.5" x14ac:dyDescent="0.25">
      <c r="A452" s="13"/>
    </row>
    <row r="453" spans="1:1" ht="13.5" x14ac:dyDescent="0.25">
      <c r="A453" s="13"/>
    </row>
    <row r="454" spans="1:1" ht="13.5" x14ac:dyDescent="0.25">
      <c r="A454" s="13"/>
    </row>
    <row r="455" spans="1:1" ht="13.5" x14ac:dyDescent="0.25">
      <c r="A455" s="13"/>
    </row>
    <row r="456" spans="1:1" ht="13.5" x14ac:dyDescent="0.25">
      <c r="A456" s="13"/>
    </row>
    <row r="457" spans="1:1" ht="13.5" x14ac:dyDescent="0.25">
      <c r="A457" s="13"/>
    </row>
    <row r="458" spans="1:1" ht="13.5" x14ac:dyDescent="0.25">
      <c r="A458" s="13"/>
    </row>
    <row r="459" spans="1:1" ht="13.5" x14ac:dyDescent="0.25">
      <c r="A459" s="13"/>
    </row>
    <row r="460" spans="1:1" ht="13.5" x14ac:dyDescent="0.25">
      <c r="A460" s="13"/>
    </row>
    <row r="461" spans="1:1" ht="13.5" x14ac:dyDescent="0.25">
      <c r="A461" s="13"/>
    </row>
    <row r="462" spans="1:1" ht="13.5" x14ac:dyDescent="0.25">
      <c r="A462" s="13"/>
    </row>
    <row r="463" spans="1:1" ht="13.5" x14ac:dyDescent="0.25">
      <c r="A463" s="13"/>
    </row>
    <row r="464" spans="1:1" ht="13.5" x14ac:dyDescent="0.25">
      <c r="A464" s="13"/>
    </row>
    <row r="465" spans="1:1" ht="13.5" x14ac:dyDescent="0.25">
      <c r="A465" s="13"/>
    </row>
    <row r="466" spans="1:1" ht="13.5" x14ac:dyDescent="0.25">
      <c r="A466" s="13"/>
    </row>
    <row r="467" spans="1:1" ht="13.5" x14ac:dyDescent="0.25">
      <c r="A467" s="13"/>
    </row>
    <row r="468" spans="1:1" ht="13.5" x14ac:dyDescent="0.25">
      <c r="A468" s="13"/>
    </row>
    <row r="469" spans="1:1" ht="13.5" x14ac:dyDescent="0.25">
      <c r="A469" s="13"/>
    </row>
    <row r="470" spans="1:1" ht="13.5" x14ac:dyDescent="0.25">
      <c r="A470" s="13"/>
    </row>
    <row r="471" spans="1:1" ht="13.5" x14ac:dyDescent="0.25">
      <c r="A471" s="13"/>
    </row>
    <row r="472" spans="1:1" ht="13.5" x14ac:dyDescent="0.25">
      <c r="A472" s="13"/>
    </row>
    <row r="473" spans="1:1" ht="13.5" x14ac:dyDescent="0.25">
      <c r="A473" s="13"/>
    </row>
    <row r="474" spans="1:1" ht="13.5" x14ac:dyDescent="0.25">
      <c r="A474" s="13"/>
    </row>
    <row r="475" spans="1:1" ht="13.5" x14ac:dyDescent="0.25">
      <c r="A475" s="13"/>
    </row>
    <row r="476" spans="1:1" ht="13.5" x14ac:dyDescent="0.25">
      <c r="A476" s="13"/>
    </row>
    <row r="477" spans="1:1" ht="13.5" x14ac:dyDescent="0.25">
      <c r="A477" s="13"/>
    </row>
    <row r="478" spans="1:1" ht="13.5" x14ac:dyDescent="0.25">
      <c r="A478" s="13"/>
    </row>
    <row r="479" spans="1:1" ht="13.5" x14ac:dyDescent="0.25">
      <c r="A479" s="13"/>
    </row>
    <row r="480" spans="1:1" ht="13.5" x14ac:dyDescent="0.25">
      <c r="A480" s="13"/>
    </row>
    <row r="481" spans="1:1" ht="13.5" x14ac:dyDescent="0.25">
      <c r="A481" s="13"/>
    </row>
    <row r="482" spans="1:1" ht="13.5" x14ac:dyDescent="0.25">
      <c r="A482" s="13"/>
    </row>
    <row r="483" spans="1:1" ht="13.5" x14ac:dyDescent="0.25">
      <c r="A483" s="13"/>
    </row>
    <row r="484" spans="1:1" ht="13.5" x14ac:dyDescent="0.25">
      <c r="A484" s="13"/>
    </row>
    <row r="485" spans="1:1" ht="13.5" x14ac:dyDescent="0.25">
      <c r="A485" s="13"/>
    </row>
    <row r="486" spans="1:1" ht="13.5" x14ac:dyDescent="0.25">
      <c r="A486" s="13"/>
    </row>
    <row r="487" spans="1:1" ht="13.5" x14ac:dyDescent="0.25">
      <c r="A487" s="13"/>
    </row>
    <row r="488" spans="1:1" ht="13.5" x14ac:dyDescent="0.25">
      <c r="A488" s="13"/>
    </row>
    <row r="489" spans="1:1" ht="13.5" x14ac:dyDescent="0.25">
      <c r="A489" s="13"/>
    </row>
    <row r="490" spans="1:1" ht="13.5" x14ac:dyDescent="0.25">
      <c r="A490" s="13"/>
    </row>
    <row r="491" spans="1:1" ht="13.5" x14ac:dyDescent="0.25">
      <c r="A491" s="13"/>
    </row>
    <row r="492" spans="1:1" ht="13.5" x14ac:dyDescent="0.25">
      <c r="A492" s="13"/>
    </row>
    <row r="493" spans="1:1" ht="13.5" x14ac:dyDescent="0.25">
      <c r="A493" s="13"/>
    </row>
    <row r="494" spans="1:1" ht="13.5" x14ac:dyDescent="0.25">
      <c r="A494" s="13"/>
    </row>
    <row r="495" spans="1:1" ht="13.5" x14ac:dyDescent="0.25">
      <c r="A495" s="13"/>
    </row>
    <row r="496" spans="1:1" ht="13.5" x14ac:dyDescent="0.25">
      <c r="A496" s="13"/>
    </row>
    <row r="497" spans="1:1" ht="13.5" x14ac:dyDescent="0.25">
      <c r="A497" s="13"/>
    </row>
    <row r="498" spans="1:1" ht="13.5" x14ac:dyDescent="0.25">
      <c r="A498" s="13"/>
    </row>
    <row r="499" spans="1:1" ht="13.5" x14ac:dyDescent="0.25">
      <c r="A499" s="13"/>
    </row>
    <row r="500" spans="1:1" ht="13.5" x14ac:dyDescent="0.25">
      <c r="A500" s="13"/>
    </row>
    <row r="501" spans="1:1" ht="13.5" x14ac:dyDescent="0.25">
      <c r="A501" s="13"/>
    </row>
    <row r="502" spans="1:1" ht="13.5" x14ac:dyDescent="0.25">
      <c r="A502" s="13"/>
    </row>
    <row r="503" spans="1:1" ht="13.5" x14ac:dyDescent="0.25">
      <c r="A503" s="13"/>
    </row>
    <row r="504" spans="1:1" ht="13.5" x14ac:dyDescent="0.25">
      <c r="A504" s="13"/>
    </row>
    <row r="505" spans="1:1" ht="13.5" x14ac:dyDescent="0.25">
      <c r="A505" s="13"/>
    </row>
    <row r="506" spans="1:1" ht="13.5" x14ac:dyDescent="0.25">
      <c r="A506" s="13"/>
    </row>
    <row r="507" spans="1:1" ht="13.5" x14ac:dyDescent="0.25">
      <c r="A507" s="13"/>
    </row>
    <row r="508" spans="1:1" ht="13.5" x14ac:dyDescent="0.25">
      <c r="A508" s="13"/>
    </row>
    <row r="509" spans="1:1" ht="13.5" x14ac:dyDescent="0.25">
      <c r="A509" s="13"/>
    </row>
    <row r="510" spans="1:1" ht="13.5" x14ac:dyDescent="0.25">
      <c r="A510" s="13"/>
    </row>
    <row r="511" spans="1:1" ht="13.5" x14ac:dyDescent="0.25">
      <c r="A511" s="13"/>
    </row>
    <row r="512" spans="1:1" ht="13.5" x14ac:dyDescent="0.25">
      <c r="A512" s="13"/>
    </row>
    <row r="513" spans="1:1" ht="13.5" x14ac:dyDescent="0.25">
      <c r="A513" s="13"/>
    </row>
    <row r="514" spans="1:1" ht="13.5" x14ac:dyDescent="0.25">
      <c r="A514" s="13"/>
    </row>
    <row r="515" spans="1:1" ht="13.5" x14ac:dyDescent="0.25">
      <c r="A515" s="13"/>
    </row>
    <row r="516" spans="1:1" ht="13.5" x14ac:dyDescent="0.25">
      <c r="A516" s="13"/>
    </row>
    <row r="517" spans="1:1" ht="13.5" x14ac:dyDescent="0.25">
      <c r="A517" s="13"/>
    </row>
    <row r="518" spans="1:1" ht="13.5" x14ac:dyDescent="0.25">
      <c r="A518" s="13"/>
    </row>
    <row r="519" spans="1:1" ht="13.5" x14ac:dyDescent="0.25">
      <c r="A519" s="13"/>
    </row>
    <row r="520" spans="1:1" ht="13.5" x14ac:dyDescent="0.25">
      <c r="A520" s="13"/>
    </row>
    <row r="521" spans="1:1" ht="13.5" x14ac:dyDescent="0.25">
      <c r="A521" s="13"/>
    </row>
    <row r="522" spans="1:1" ht="13.5" x14ac:dyDescent="0.25">
      <c r="A522" s="13"/>
    </row>
    <row r="523" spans="1:1" ht="13.5" x14ac:dyDescent="0.25">
      <c r="A523" s="13"/>
    </row>
    <row r="524" spans="1:1" ht="13.5" x14ac:dyDescent="0.25">
      <c r="A524" s="13"/>
    </row>
    <row r="525" spans="1:1" ht="13.5" x14ac:dyDescent="0.25">
      <c r="A525" s="13"/>
    </row>
    <row r="526" spans="1:1" ht="13.5" x14ac:dyDescent="0.25">
      <c r="A526" s="13"/>
    </row>
    <row r="527" spans="1:1" ht="13.5" x14ac:dyDescent="0.25">
      <c r="A527" s="13"/>
    </row>
    <row r="528" spans="1:1" ht="13.5" x14ac:dyDescent="0.25">
      <c r="A528" s="13"/>
    </row>
    <row r="529" spans="1:1" ht="13.5" x14ac:dyDescent="0.25">
      <c r="A529" s="13"/>
    </row>
    <row r="530" spans="1:1" ht="13.5" x14ac:dyDescent="0.25">
      <c r="A530" s="13"/>
    </row>
    <row r="531" spans="1:1" ht="13.5" x14ac:dyDescent="0.25">
      <c r="A531" s="13"/>
    </row>
    <row r="532" spans="1:1" ht="13.5" x14ac:dyDescent="0.25">
      <c r="A532" s="13"/>
    </row>
    <row r="533" spans="1:1" ht="13.5" x14ac:dyDescent="0.25">
      <c r="A533" s="13"/>
    </row>
    <row r="534" spans="1:1" ht="13.5" x14ac:dyDescent="0.25">
      <c r="A534" s="13"/>
    </row>
    <row r="535" spans="1:1" ht="13.5" x14ac:dyDescent="0.25">
      <c r="A535" s="13"/>
    </row>
    <row r="536" spans="1:1" ht="13.5" x14ac:dyDescent="0.25">
      <c r="A536" s="13"/>
    </row>
    <row r="537" spans="1:1" ht="13.5" x14ac:dyDescent="0.25">
      <c r="A537" s="13"/>
    </row>
    <row r="538" spans="1:1" ht="13.5" x14ac:dyDescent="0.25">
      <c r="A538" s="13"/>
    </row>
    <row r="539" spans="1:1" ht="13.5" x14ac:dyDescent="0.25">
      <c r="A539" s="13"/>
    </row>
    <row r="540" spans="1:1" ht="13.5" x14ac:dyDescent="0.25">
      <c r="A540" s="13"/>
    </row>
    <row r="541" spans="1:1" ht="13.5" x14ac:dyDescent="0.25">
      <c r="A541" s="13"/>
    </row>
    <row r="542" spans="1:1" ht="13.5" x14ac:dyDescent="0.25">
      <c r="A542" s="13"/>
    </row>
    <row r="543" spans="1:1" ht="13.5" x14ac:dyDescent="0.25">
      <c r="A543" s="13"/>
    </row>
    <row r="544" spans="1:1" ht="13.5" x14ac:dyDescent="0.25">
      <c r="A544" s="13"/>
    </row>
    <row r="545" spans="1:1" ht="13.5" x14ac:dyDescent="0.25">
      <c r="A545" s="13"/>
    </row>
    <row r="546" spans="1:1" ht="13.5" x14ac:dyDescent="0.25">
      <c r="A546" s="13"/>
    </row>
    <row r="547" spans="1:1" ht="13.5" x14ac:dyDescent="0.25">
      <c r="A547" s="13"/>
    </row>
    <row r="548" spans="1:1" ht="13.5" x14ac:dyDescent="0.25">
      <c r="A548" s="13"/>
    </row>
    <row r="549" spans="1:1" ht="13.5" x14ac:dyDescent="0.25">
      <c r="A549" s="13"/>
    </row>
    <row r="550" spans="1:1" ht="13.5" x14ac:dyDescent="0.25">
      <c r="A550" s="13"/>
    </row>
    <row r="551" spans="1:1" ht="13.5" x14ac:dyDescent="0.25">
      <c r="A551" s="13"/>
    </row>
    <row r="552" spans="1:1" ht="13.5" x14ac:dyDescent="0.25">
      <c r="A552" s="13"/>
    </row>
    <row r="553" spans="1:1" ht="13.5" x14ac:dyDescent="0.25">
      <c r="A553" s="13"/>
    </row>
    <row r="554" spans="1:1" ht="13.5" x14ac:dyDescent="0.25">
      <c r="A554" s="13"/>
    </row>
    <row r="555" spans="1:1" ht="13.5" x14ac:dyDescent="0.25">
      <c r="A555" s="13"/>
    </row>
    <row r="556" spans="1:1" ht="13.5" x14ac:dyDescent="0.25">
      <c r="A556" s="13"/>
    </row>
    <row r="557" spans="1:1" ht="13.5" x14ac:dyDescent="0.25">
      <c r="A557" s="13"/>
    </row>
    <row r="558" spans="1:1" ht="13.5" x14ac:dyDescent="0.25">
      <c r="A558" s="13"/>
    </row>
    <row r="559" spans="1:1" ht="13.5" x14ac:dyDescent="0.25">
      <c r="A559" s="13"/>
    </row>
    <row r="560" spans="1:1" ht="13.5" x14ac:dyDescent="0.25">
      <c r="A560" s="13"/>
    </row>
    <row r="561" spans="1:1" ht="13.5" x14ac:dyDescent="0.25">
      <c r="A561" s="13"/>
    </row>
    <row r="562" spans="1:1" ht="13.5" x14ac:dyDescent="0.25">
      <c r="A562" s="13"/>
    </row>
    <row r="563" spans="1:1" ht="13.5" x14ac:dyDescent="0.25">
      <c r="A563" s="13"/>
    </row>
    <row r="564" spans="1:1" ht="13.5" x14ac:dyDescent="0.25">
      <c r="A564" s="13"/>
    </row>
    <row r="565" spans="1:1" ht="13.5" x14ac:dyDescent="0.25">
      <c r="A565" s="13"/>
    </row>
    <row r="566" spans="1:1" ht="13.5" x14ac:dyDescent="0.25">
      <c r="A566" s="13"/>
    </row>
    <row r="567" spans="1:1" ht="13.5" x14ac:dyDescent="0.25">
      <c r="A567" s="13"/>
    </row>
    <row r="568" spans="1:1" ht="13.5" x14ac:dyDescent="0.25">
      <c r="A568" s="13"/>
    </row>
    <row r="569" spans="1:1" ht="13.5" x14ac:dyDescent="0.25">
      <c r="A569" s="13"/>
    </row>
    <row r="570" spans="1:1" ht="13.5" x14ac:dyDescent="0.25">
      <c r="A570" s="13"/>
    </row>
    <row r="571" spans="1:1" ht="13.5" x14ac:dyDescent="0.25">
      <c r="A571" s="13"/>
    </row>
    <row r="572" spans="1:1" ht="13.5" x14ac:dyDescent="0.25">
      <c r="A572" s="13"/>
    </row>
    <row r="573" spans="1:1" ht="13.5" x14ac:dyDescent="0.25">
      <c r="A573" s="13"/>
    </row>
    <row r="574" spans="1:1" ht="13.5" x14ac:dyDescent="0.25">
      <c r="A574" s="13"/>
    </row>
    <row r="575" spans="1:1" ht="13.5" x14ac:dyDescent="0.25">
      <c r="A575" s="13"/>
    </row>
    <row r="576" spans="1:1" ht="13.5" x14ac:dyDescent="0.25">
      <c r="A576" s="13"/>
    </row>
    <row r="577" spans="1:1" ht="13.5" x14ac:dyDescent="0.25">
      <c r="A577" s="13"/>
    </row>
    <row r="578" spans="1:1" ht="13.5" x14ac:dyDescent="0.25">
      <c r="A578" s="13"/>
    </row>
    <row r="579" spans="1:1" ht="13.5" x14ac:dyDescent="0.25">
      <c r="A579" s="13"/>
    </row>
    <row r="580" spans="1:1" ht="13.5" x14ac:dyDescent="0.25">
      <c r="A580" s="13"/>
    </row>
    <row r="581" spans="1:1" ht="13.5" x14ac:dyDescent="0.25">
      <c r="A581" s="13"/>
    </row>
    <row r="582" spans="1:1" ht="13.5" x14ac:dyDescent="0.25">
      <c r="A582" s="13"/>
    </row>
    <row r="583" spans="1:1" ht="13.5" x14ac:dyDescent="0.25">
      <c r="A583" s="13"/>
    </row>
    <row r="584" spans="1:1" ht="13.5" x14ac:dyDescent="0.25">
      <c r="A584" s="13"/>
    </row>
    <row r="585" spans="1:1" ht="13.5" x14ac:dyDescent="0.25">
      <c r="A585" s="13"/>
    </row>
    <row r="586" spans="1:1" ht="13.5" x14ac:dyDescent="0.25">
      <c r="A586" s="13"/>
    </row>
    <row r="587" spans="1:1" ht="13.5" x14ac:dyDescent="0.25">
      <c r="A587" s="13"/>
    </row>
    <row r="588" spans="1:1" ht="13.5" x14ac:dyDescent="0.25">
      <c r="A588" s="13"/>
    </row>
    <row r="589" spans="1:1" ht="13.5" x14ac:dyDescent="0.25">
      <c r="A589" s="13"/>
    </row>
    <row r="590" spans="1:1" ht="13.5" x14ac:dyDescent="0.25">
      <c r="A590" s="13"/>
    </row>
    <row r="591" spans="1:1" ht="13.5" x14ac:dyDescent="0.25">
      <c r="A591" s="13"/>
    </row>
    <row r="592" spans="1:1" ht="13.5" x14ac:dyDescent="0.25">
      <c r="A592" s="13"/>
    </row>
    <row r="593" spans="1:1" ht="13.5" x14ac:dyDescent="0.25">
      <c r="A593" s="13"/>
    </row>
    <row r="594" spans="1:1" ht="13.5" x14ac:dyDescent="0.25">
      <c r="A594" s="13"/>
    </row>
    <row r="595" spans="1:1" ht="13.5" x14ac:dyDescent="0.25">
      <c r="A595" s="13"/>
    </row>
    <row r="596" spans="1:1" ht="13.5" x14ac:dyDescent="0.25">
      <c r="A596" s="13"/>
    </row>
    <row r="597" spans="1:1" ht="13.5" x14ac:dyDescent="0.25">
      <c r="A597" s="13"/>
    </row>
    <row r="598" spans="1:1" ht="13.5" x14ac:dyDescent="0.25">
      <c r="A598" s="13"/>
    </row>
    <row r="599" spans="1:1" ht="13.5" x14ac:dyDescent="0.25">
      <c r="A599" s="13"/>
    </row>
    <row r="600" spans="1:1" ht="13.5" x14ac:dyDescent="0.25">
      <c r="A600" s="13"/>
    </row>
    <row r="601" spans="1:1" ht="13.5" x14ac:dyDescent="0.25">
      <c r="A601" s="13"/>
    </row>
    <row r="602" spans="1:1" ht="13.5" x14ac:dyDescent="0.25">
      <c r="A602" s="13"/>
    </row>
    <row r="603" spans="1:1" ht="13.5" x14ac:dyDescent="0.25">
      <c r="A603" s="13"/>
    </row>
    <row r="604" spans="1:1" ht="13.5" x14ac:dyDescent="0.25">
      <c r="A604" s="13"/>
    </row>
    <row r="605" spans="1:1" ht="13.5" x14ac:dyDescent="0.25">
      <c r="A605" s="13"/>
    </row>
    <row r="606" spans="1:1" ht="13.5" x14ac:dyDescent="0.25">
      <c r="A606" s="13"/>
    </row>
    <row r="607" spans="1:1" ht="13.5" x14ac:dyDescent="0.25">
      <c r="A607" s="13"/>
    </row>
    <row r="608" spans="1:1" ht="13.5" x14ac:dyDescent="0.25">
      <c r="A608" s="13"/>
    </row>
    <row r="609" spans="1:1" ht="13.5" x14ac:dyDescent="0.25">
      <c r="A609" s="13"/>
    </row>
    <row r="610" spans="1:1" ht="13.5" x14ac:dyDescent="0.25">
      <c r="A610" s="13"/>
    </row>
    <row r="611" spans="1:1" ht="13.5" x14ac:dyDescent="0.25">
      <c r="A611" s="13"/>
    </row>
    <row r="612" spans="1:1" ht="13.5" x14ac:dyDescent="0.25">
      <c r="A612" s="13"/>
    </row>
    <row r="613" spans="1:1" ht="13.5" x14ac:dyDescent="0.25">
      <c r="A613" s="13"/>
    </row>
    <row r="614" spans="1:1" ht="13.5" x14ac:dyDescent="0.25">
      <c r="A614" s="13"/>
    </row>
    <row r="615" spans="1:1" ht="13.5" x14ac:dyDescent="0.25">
      <c r="A615" s="13"/>
    </row>
    <row r="616" spans="1:1" ht="13.5" x14ac:dyDescent="0.25">
      <c r="A616" s="13"/>
    </row>
    <row r="617" spans="1:1" ht="13.5" x14ac:dyDescent="0.25">
      <c r="A617" s="13"/>
    </row>
    <row r="618" spans="1:1" ht="13.5" x14ac:dyDescent="0.25">
      <c r="A618" s="13"/>
    </row>
    <row r="619" spans="1:1" ht="13.5" x14ac:dyDescent="0.25">
      <c r="A619" s="13"/>
    </row>
    <row r="620" spans="1:1" ht="13.5" x14ac:dyDescent="0.25">
      <c r="A620" s="13"/>
    </row>
    <row r="621" spans="1:1" ht="13.5" x14ac:dyDescent="0.25">
      <c r="A621" s="13"/>
    </row>
    <row r="622" spans="1:1" ht="13.5" x14ac:dyDescent="0.25">
      <c r="A622" s="13"/>
    </row>
    <row r="623" spans="1:1" ht="13.5" x14ac:dyDescent="0.25">
      <c r="A623" s="13"/>
    </row>
    <row r="624" spans="1:1" ht="13.5" x14ac:dyDescent="0.25">
      <c r="A624" s="13"/>
    </row>
    <row r="625" spans="1:1" ht="13.5" x14ac:dyDescent="0.25">
      <c r="A625" s="13"/>
    </row>
    <row r="626" spans="1:1" ht="13.5" x14ac:dyDescent="0.25">
      <c r="A626" s="13"/>
    </row>
    <row r="627" spans="1:1" ht="13.5" x14ac:dyDescent="0.25">
      <c r="A627" s="13"/>
    </row>
    <row r="628" spans="1:1" ht="13.5" x14ac:dyDescent="0.25">
      <c r="A628" s="13"/>
    </row>
    <row r="629" spans="1:1" ht="13.5" x14ac:dyDescent="0.25">
      <c r="A629" s="13"/>
    </row>
    <row r="630" spans="1:1" ht="13.5" x14ac:dyDescent="0.25">
      <c r="A630" s="13"/>
    </row>
    <row r="631" spans="1:1" ht="13.5" x14ac:dyDescent="0.25">
      <c r="A631" s="13"/>
    </row>
    <row r="632" spans="1:1" ht="13.5" x14ac:dyDescent="0.25">
      <c r="A632" s="13"/>
    </row>
    <row r="633" spans="1:1" ht="13.5" x14ac:dyDescent="0.25">
      <c r="A633" s="13"/>
    </row>
    <row r="634" spans="1:1" ht="13.5" x14ac:dyDescent="0.25">
      <c r="A634" s="13"/>
    </row>
    <row r="635" spans="1:1" ht="13.5" x14ac:dyDescent="0.25">
      <c r="A635" s="13"/>
    </row>
    <row r="636" spans="1:1" ht="13.5" x14ac:dyDescent="0.25">
      <c r="A636" s="13"/>
    </row>
    <row r="637" spans="1:1" ht="13.5" x14ac:dyDescent="0.25">
      <c r="A637" s="13"/>
    </row>
    <row r="638" spans="1:1" ht="13.5" x14ac:dyDescent="0.25">
      <c r="A638" s="13"/>
    </row>
    <row r="639" spans="1:1" ht="13.5" x14ac:dyDescent="0.25">
      <c r="A639" s="13"/>
    </row>
    <row r="640" spans="1:1" ht="13.5" x14ac:dyDescent="0.25">
      <c r="A640" s="13"/>
    </row>
    <row r="641" spans="1:1" ht="13.5" x14ac:dyDescent="0.25">
      <c r="A641" s="13"/>
    </row>
    <row r="642" spans="1:1" ht="13.5" x14ac:dyDescent="0.25">
      <c r="A642" s="13"/>
    </row>
    <row r="643" spans="1:1" ht="13.5" x14ac:dyDescent="0.25">
      <c r="A643" s="13"/>
    </row>
    <row r="644" spans="1:1" ht="13.5" x14ac:dyDescent="0.25">
      <c r="A644" s="13"/>
    </row>
    <row r="645" spans="1:1" ht="13.5" x14ac:dyDescent="0.25">
      <c r="A645" s="13"/>
    </row>
    <row r="646" spans="1:1" ht="13.5" x14ac:dyDescent="0.25">
      <c r="A646" s="13"/>
    </row>
    <row r="647" spans="1:1" ht="13.5" x14ac:dyDescent="0.25">
      <c r="A647" s="13"/>
    </row>
    <row r="648" spans="1:1" ht="13.5" x14ac:dyDescent="0.25">
      <c r="A648" s="13"/>
    </row>
    <row r="649" spans="1:1" ht="13.5" x14ac:dyDescent="0.25">
      <c r="A649" s="13"/>
    </row>
    <row r="650" spans="1:1" ht="13.5" x14ac:dyDescent="0.25">
      <c r="A650" s="13"/>
    </row>
    <row r="651" spans="1:1" ht="13.5" x14ac:dyDescent="0.25">
      <c r="A651" s="13"/>
    </row>
    <row r="652" spans="1:1" ht="13.5" x14ac:dyDescent="0.25">
      <c r="A652" s="13"/>
    </row>
    <row r="653" spans="1:1" ht="13.5" x14ac:dyDescent="0.25">
      <c r="A653" s="13"/>
    </row>
    <row r="654" spans="1:1" ht="13.5" x14ac:dyDescent="0.25">
      <c r="A654" s="13"/>
    </row>
    <row r="655" spans="1:1" ht="13.5" x14ac:dyDescent="0.25">
      <c r="A655" s="13"/>
    </row>
    <row r="656" spans="1:1" ht="13.5" x14ac:dyDescent="0.25">
      <c r="A656" s="13"/>
    </row>
    <row r="657" spans="1:1" ht="13.5" x14ac:dyDescent="0.25">
      <c r="A657" s="13"/>
    </row>
    <row r="658" spans="1:1" ht="13.5" x14ac:dyDescent="0.25">
      <c r="A658" s="13"/>
    </row>
    <row r="659" spans="1:1" ht="13.5" x14ac:dyDescent="0.25">
      <c r="A659" s="13"/>
    </row>
    <row r="660" spans="1:1" ht="13.5" x14ac:dyDescent="0.25">
      <c r="A660" s="13"/>
    </row>
    <row r="661" spans="1:1" ht="13.5" x14ac:dyDescent="0.25">
      <c r="A661" s="13"/>
    </row>
    <row r="662" spans="1:1" ht="13.5" x14ac:dyDescent="0.25">
      <c r="A662" s="13"/>
    </row>
    <row r="663" spans="1:1" ht="13.5" x14ac:dyDescent="0.25">
      <c r="A663" s="13"/>
    </row>
    <row r="664" spans="1:1" ht="13.5" x14ac:dyDescent="0.25">
      <c r="A664" s="13"/>
    </row>
    <row r="665" spans="1:1" ht="13.5" x14ac:dyDescent="0.25">
      <c r="A665" s="13"/>
    </row>
    <row r="666" spans="1:1" ht="13.5" x14ac:dyDescent="0.25">
      <c r="A666" s="13"/>
    </row>
    <row r="667" spans="1:1" ht="13.5" x14ac:dyDescent="0.25">
      <c r="A667" s="13"/>
    </row>
    <row r="668" spans="1:1" ht="13.5" x14ac:dyDescent="0.25">
      <c r="A668" s="13"/>
    </row>
  </sheetData>
  <mergeCells count="1">
    <mergeCell ref="B2:P2"/>
  </mergeCells>
  <printOptions horizontalCentered="1" verticalCentered="1"/>
  <pageMargins left="0.75" right="0.75" top="1" bottom="1.2" header="0" footer="0"/>
  <pageSetup paperSize="9" orientation="landscape" horizontalDpi="4294967293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B71"/>
  <sheetViews>
    <sheetView workbookViewId="0">
      <selection activeCell="B77" sqref="B77"/>
    </sheetView>
  </sheetViews>
  <sheetFormatPr baseColWidth="10" defaultRowHeight="12.75" x14ac:dyDescent="0.2"/>
  <sheetData>
    <row r="1" spans="1:2" x14ac:dyDescent="0.2">
      <c r="A1">
        <v>50</v>
      </c>
      <c r="B1" t="s">
        <v>44</v>
      </c>
    </row>
    <row r="2" spans="1:2" x14ac:dyDescent="0.2">
      <c r="A2">
        <v>51</v>
      </c>
      <c r="B2" t="s">
        <v>45</v>
      </c>
    </row>
    <row r="3" spans="1:2" x14ac:dyDescent="0.2">
      <c r="A3">
        <v>52</v>
      </c>
      <c r="B3" t="s">
        <v>43</v>
      </c>
    </row>
    <row r="4" spans="1:2" x14ac:dyDescent="0.2">
      <c r="A4">
        <v>53</v>
      </c>
      <c r="B4" t="s">
        <v>46</v>
      </c>
    </row>
    <row r="5" spans="1:2" x14ac:dyDescent="0.2">
      <c r="A5">
        <v>54</v>
      </c>
      <c r="B5" t="s">
        <v>47</v>
      </c>
    </row>
    <row r="6" spans="1:2" x14ac:dyDescent="0.2">
      <c r="A6">
        <v>55</v>
      </c>
      <c r="B6" t="s">
        <v>48</v>
      </c>
    </row>
    <row r="7" spans="1:2" x14ac:dyDescent="0.2">
      <c r="A7">
        <v>56</v>
      </c>
      <c r="B7" t="s">
        <v>49</v>
      </c>
    </row>
    <row r="8" spans="1:2" x14ac:dyDescent="0.2">
      <c r="A8">
        <v>57</v>
      </c>
      <c r="B8" t="s">
        <v>50</v>
      </c>
    </row>
    <row r="9" spans="1:2" x14ac:dyDescent="0.2">
      <c r="A9">
        <v>58</v>
      </c>
      <c r="B9" t="s">
        <v>51</v>
      </c>
    </row>
    <row r="10" spans="1:2" x14ac:dyDescent="0.2">
      <c r="A10">
        <v>59</v>
      </c>
      <c r="B10" t="s">
        <v>52</v>
      </c>
    </row>
    <row r="11" spans="1:2" x14ac:dyDescent="0.2">
      <c r="A11">
        <v>60</v>
      </c>
      <c r="B11" t="s">
        <v>53</v>
      </c>
    </row>
    <row r="12" spans="1:2" x14ac:dyDescent="0.2">
      <c r="A12">
        <v>61</v>
      </c>
      <c r="B12" t="s">
        <v>54</v>
      </c>
    </row>
    <row r="13" spans="1:2" x14ac:dyDescent="0.2">
      <c r="A13">
        <v>62</v>
      </c>
      <c r="B13" t="s">
        <v>55</v>
      </c>
    </row>
    <row r="14" spans="1:2" x14ac:dyDescent="0.2">
      <c r="A14">
        <v>63</v>
      </c>
      <c r="B14" t="s">
        <v>56</v>
      </c>
    </row>
    <row r="15" spans="1:2" x14ac:dyDescent="0.2">
      <c r="A15">
        <v>64</v>
      </c>
      <c r="B15" t="s">
        <v>57</v>
      </c>
    </row>
    <row r="16" spans="1:2" x14ac:dyDescent="0.2">
      <c r="A16">
        <v>65</v>
      </c>
      <c r="B16" t="s">
        <v>58</v>
      </c>
    </row>
    <row r="17" spans="1:2" x14ac:dyDescent="0.2">
      <c r="A17">
        <v>66</v>
      </c>
      <c r="B17" t="s">
        <v>59</v>
      </c>
    </row>
    <row r="18" spans="1:2" x14ac:dyDescent="0.2">
      <c r="A18">
        <v>67</v>
      </c>
      <c r="B18" t="s">
        <v>60</v>
      </c>
    </row>
    <row r="19" spans="1:2" x14ac:dyDescent="0.2">
      <c r="A19">
        <v>68</v>
      </c>
      <c r="B19" t="s">
        <v>61</v>
      </c>
    </row>
    <row r="20" spans="1:2" x14ac:dyDescent="0.2">
      <c r="A20">
        <v>69</v>
      </c>
      <c r="B20" t="s">
        <v>62</v>
      </c>
    </row>
    <row r="21" spans="1:2" x14ac:dyDescent="0.2">
      <c r="A21">
        <v>70</v>
      </c>
      <c r="B21" t="s">
        <v>63</v>
      </c>
    </row>
    <row r="22" spans="1:2" x14ac:dyDescent="0.2">
      <c r="A22">
        <v>71</v>
      </c>
      <c r="B22" t="s">
        <v>64</v>
      </c>
    </row>
    <row r="23" spans="1:2" x14ac:dyDescent="0.2">
      <c r="A23">
        <v>72</v>
      </c>
      <c r="B23" t="s">
        <v>65</v>
      </c>
    </row>
    <row r="24" spans="1:2" x14ac:dyDescent="0.2">
      <c r="A24">
        <v>73</v>
      </c>
      <c r="B24" t="s">
        <v>66</v>
      </c>
    </row>
    <row r="25" spans="1:2" x14ac:dyDescent="0.2">
      <c r="A25">
        <v>74</v>
      </c>
      <c r="B25" t="s">
        <v>67</v>
      </c>
    </row>
    <row r="26" spans="1:2" x14ac:dyDescent="0.2">
      <c r="A26">
        <v>75</v>
      </c>
      <c r="B26" t="s">
        <v>68</v>
      </c>
    </row>
    <row r="27" spans="1:2" x14ac:dyDescent="0.2">
      <c r="A27">
        <v>76</v>
      </c>
      <c r="B27" t="s">
        <v>69</v>
      </c>
    </row>
    <row r="28" spans="1:2" x14ac:dyDescent="0.2">
      <c r="A28">
        <v>77</v>
      </c>
      <c r="B28" t="s">
        <v>93</v>
      </c>
    </row>
    <row r="29" spans="1:2" x14ac:dyDescent="0.2">
      <c r="A29">
        <v>78</v>
      </c>
      <c r="B29" t="s">
        <v>94</v>
      </c>
    </row>
    <row r="30" spans="1:2" x14ac:dyDescent="0.2">
      <c r="A30">
        <v>79</v>
      </c>
      <c r="B30" t="s">
        <v>95</v>
      </c>
    </row>
    <row r="31" spans="1:2" x14ac:dyDescent="0.2">
      <c r="A31">
        <v>80</v>
      </c>
      <c r="B31" t="s">
        <v>96</v>
      </c>
    </row>
    <row r="32" spans="1:2" x14ac:dyDescent="0.2">
      <c r="A32">
        <v>81</v>
      </c>
      <c r="B32" t="s">
        <v>97</v>
      </c>
    </row>
    <row r="33" spans="1:2" x14ac:dyDescent="0.2">
      <c r="A33">
        <v>82</v>
      </c>
      <c r="B33" t="s">
        <v>98</v>
      </c>
    </row>
    <row r="34" spans="1:2" x14ac:dyDescent="0.2">
      <c r="A34">
        <v>83</v>
      </c>
      <c r="B34" t="s">
        <v>99</v>
      </c>
    </row>
    <row r="35" spans="1:2" x14ac:dyDescent="0.2">
      <c r="A35">
        <v>84</v>
      </c>
      <c r="B35" t="s">
        <v>100</v>
      </c>
    </row>
    <row r="36" spans="1:2" x14ac:dyDescent="0.2">
      <c r="A36">
        <v>85</v>
      </c>
      <c r="B36" t="s">
        <v>101</v>
      </c>
    </row>
    <row r="37" spans="1:2" x14ac:dyDescent="0.2">
      <c r="A37">
        <v>86</v>
      </c>
      <c r="B37" t="s">
        <v>102</v>
      </c>
    </row>
    <row r="38" spans="1:2" x14ac:dyDescent="0.2">
      <c r="A38">
        <v>87</v>
      </c>
      <c r="B38" t="s">
        <v>103</v>
      </c>
    </row>
    <row r="39" spans="1:2" x14ac:dyDescent="0.2">
      <c r="A39">
        <v>88</v>
      </c>
      <c r="B39" t="s">
        <v>104</v>
      </c>
    </row>
    <row r="40" spans="1:2" x14ac:dyDescent="0.2">
      <c r="A40">
        <v>89</v>
      </c>
      <c r="B40" t="s">
        <v>105</v>
      </c>
    </row>
    <row r="41" spans="1:2" x14ac:dyDescent="0.2">
      <c r="A41">
        <v>90</v>
      </c>
      <c r="B41" t="s">
        <v>106</v>
      </c>
    </row>
    <row r="42" spans="1:2" x14ac:dyDescent="0.2">
      <c r="A42">
        <v>91</v>
      </c>
      <c r="B42" t="s">
        <v>107</v>
      </c>
    </row>
    <row r="43" spans="1:2" x14ac:dyDescent="0.2">
      <c r="A43">
        <v>92</v>
      </c>
      <c r="B43" t="s">
        <v>108</v>
      </c>
    </row>
    <row r="44" spans="1:2" x14ac:dyDescent="0.2">
      <c r="A44">
        <v>93</v>
      </c>
      <c r="B44" t="s">
        <v>109</v>
      </c>
    </row>
    <row r="45" spans="1:2" x14ac:dyDescent="0.2">
      <c r="A45">
        <v>94</v>
      </c>
      <c r="B45" t="s">
        <v>110</v>
      </c>
    </row>
    <row r="46" spans="1:2" x14ac:dyDescent="0.2">
      <c r="A46">
        <v>95</v>
      </c>
      <c r="B46" t="s">
        <v>111</v>
      </c>
    </row>
    <row r="47" spans="1:2" x14ac:dyDescent="0.2">
      <c r="A47">
        <v>96</v>
      </c>
      <c r="B47" t="s">
        <v>112</v>
      </c>
    </row>
    <row r="48" spans="1:2" x14ac:dyDescent="0.2">
      <c r="A48">
        <v>97</v>
      </c>
      <c r="B48" t="s">
        <v>113</v>
      </c>
    </row>
    <row r="49" spans="1:2" x14ac:dyDescent="0.2">
      <c r="A49">
        <v>98</v>
      </c>
      <c r="B49" t="s">
        <v>114</v>
      </c>
    </row>
    <row r="50" spans="1:2" x14ac:dyDescent="0.2">
      <c r="A50">
        <v>99</v>
      </c>
      <c r="B50" t="s">
        <v>115</v>
      </c>
    </row>
    <row r="51" spans="1:2" x14ac:dyDescent="0.2">
      <c r="A51">
        <v>100</v>
      </c>
      <c r="B51" t="s">
        <v>116</v>
      </c>
    </row>
    <row r="52" spans="1:2" x14ac:dyDescent="0.2">
      <c r="A52">
        <v>101</v>
      </c>
      <c r="B52" t="s">
        <v>117</v>
      </c>
    </row>
    <row r="53" spans="1:2" x14ac:dyDescent="0.2">
      <c r="A53">
        <v>102</v>
      </c>
      <c r="B53" t="s">
        <v>118</v>
      </c>
    </row>
    <row r="54" spans="1:2" x14ac:dyDescent="0.2">
      <c r="A54">
        <v>103</v>
      </c>
      <c r="B54" t="s">
        <v>119</v>
      </c>
    </row>
    <row r="55" spans="1:2" x14ac:dyDescent="0.2">
      <c r="A55">
        <v>104</v>
      </c>
      <c r="B55" t="s">
        <v>120</v>
      </c>
    </row>
    <row r="56" spans="1:2" x14ac:dyDescent="0.2">
      <c r="A56">
        <v>105</v>
      </c>
      <c r="B56" t="s">
        <v>121</v>
      </c>
    </row>
    <row r="57" spans="1:2" x14ac:dyDescent="0.2">
      <c r="A57">
        <v>106</v>
      </c>
      <c r="B57" t="s">
        <v>122</v>
      </c>
    </row>
    <row r="58" spans="1:2" x14ac:dyDescent="0.2">
      <c r="A58">
        <v>107</v>
      </c>
      <c r="B58" t="s">
        <v>123</v>
      </c>
    </row>
    <row r="59" spans="1:2" x14ac:dyDescent="0.2">
      <c r="A59">
        <v>108</v>
      </c>
      <c r="B59" t="s">
        <v>124</v>
      </c>
    </row>
    <row r="60" spans="1:2" x14ac:dyDescent="0.2">
      <c r="A60">
        <v>109</v>
      </c>
      <c r="B60" t="s">
        <v>125</v>
      </c>
    </row>
    <row r="61" spans="1:2" x14ac:dyDescent="0.2">
      <c r="A61">
        <v>110</v>
      </c>
      <c r="B61" t="s">
        <v>126</v>
      </c>
    </row>
    <row r="62" spans="1:2" x14ac:dyDescent="0.2">
      <c r="A62">
        <v>111</v>
      </c>
      <c r="B62" t="s">
        <v>127</v>
      </c>
    </row>
    <row r="63" spans="1:2" x14ac:dyDescent="0.2">
      <c r="A63">
        <v>112</v>
      </c>
      <c r="B63" t="s">
        <v>128</v>
      </c>
    </row>
    <row r="64" spans="1:2" x14ac:dyDescent="0.2">
      <c r="A64">
        <v>113</v>
      </c>
      <c r="B64" t="s">
        <v>129</v>
      </c>
    </row>
    <row r="65" spans="1:2" x14ac:dyDescent="0.2">
      <c r="A65">
        <v>114</v>
      </c>
      <c r="B65" t="s">
        <v>130</v>
      </c>
    </row>
    <row r="66" spans="1:2" x14ac:dyDescent="0.2">
      <c r="A66">
        <v>115</v>
      </c>
      <c r="B66" t="s">
        <v>131</v>
      </c>
    </row>
    <row r="67" spans="1:2" x14ac:dyDescent="0.2">
      <c r="A67">
        <v>116</v>
      </c>
      <c r="B67" t="s">
        <v>132</v>
      </c>
    </row>
    <row r="68" spans="1:2" x14ac:dyDescent="0.2">
      <c r="A68">
        <v>117</v>
      </c>
      <c r="B68" t="s">
        <v>133</v>
      </c>
    </row>
    <row r="69" spans="1:2" x14ac:dyDescent="0.2">
      <c r="A69">
        <v>118</v>
      </c>
      <c r="B69" t="s">
        <v>134</v>
      </c>
    </row>
    <row r="70" spans="1:2" x14ac:dyDescent="0.2">
      <c r="A70">
        <v>119</v>
      </c>
      <c r="B70" t="s">
        <v>135</v>
      </c>
    </row>
    <row r="71" spans="1:2" x14ac:dyDescent="0.2">
      <c r="A71">
        <v>120</v>
      </c>
      <c r="B71" t="s">
        <v>136</v>
      </c>
    </row>
  </sheetData>
  <pageMargins left="0.75" right="0.75" top="1" bottom="1" header="0" footer="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>
    <pageSetUpPr fitToPage="1"/>
  </sheetPr>
  <dimension ref="A1:A7"/>
  <sheetViews>
    <sheetView workbookViewId="0">
      <selection activeCell="AT22" sqref="AT22:AY22"/>
    </sheetView>
  </sheetViews>
  <sheetFormatPr baseColWidth="10" defaultRowHeight="15" x14ac:dyDescent="0.3"/>
  <cols>
    <col min="1" max="1" width="153.28515625" style="14" bestFit="1" customWidth="1"/>
    <col min="2" max="16384" width="11.42578125" style="14"/>
  </cols>
  <sheetData>
    <row r="1" spans="1:1" ht="99.95" customHeight="1" x14ac:dyDescent="0.3"/>
    <row r="2" spans="1:1" ht="399.95" customHeight="1" x14ac:dyDescent="0.3"/>
    <row r="3" spans="1:1" ht="408.95" customHeight="1" x14ac:dyDescent="0.3"/>
    <row r="4" spans="1:1" ht="24.75" x14ac:dyDescent="0.5">
      <c r="A4" s="62" t="e">
        <f>#REF!</f>
        <v>#REF!</v>
      </c>
    </row>
    <row r="5" spans="1:1" ht="33" x14ac:dyDescent="0.6">
      <c r="A5" s="63"/>
    </row>
    <row r="7" spans="1:1" ht="20.25" x14ac:dyDescent="0.4">
      <c r="A7" s="64" t="e">
        <f>#REF!</f>
        <v>#REF!</v>
      </c>
    </row>
  </sheetData>
  <printOptions horizontalCentered="1"/>
  <pageMargins left="0.75" right="0.75" top="1" bottom="1" header="0" footer="0"/>
  <pageSetup paperSize="9" scale="67" orientation="portrait" horizontalDpi="4294967293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1:E10"/>
  <sheetViews>
    <sheetView showGridLines="0" workbookViewId="0">
      <selection activeCell="B8" sqref="B8"/>
    </sheetView>
  </sheetViews>
  <sheetFormatPr baseColWidth="10" defaultRowHeight="12.75" x14ac:dyDescent="0.2"/>
  <cols>
    <col min="1" max="1" width="1.140625" customWidth="1"/>
    <col min="2" max="2" width="64.42578125" customWidth="1"/>
    <col min="3" max="3" width="1.5703125" customWidth="1"/>
    <col min="4" max="4" width="5.5703125" customWidth="1"/>
    <col min="5" max="5" width="16" customWidth="1"/>
  </cols>
  <sheetData>
    <row r="1" spans="2:5" ht="25.5" x14ac:dyDescent="0.2">
      <c r="B1" s="90" t="s">
        <v>149</v>
      </c>
      <c r="C1" s="90"/>
      <c r="D1" s="94"/>
      <c r="E1" s="94"/>
    </row>
    <row r="2" spans="2:5" x14ac:dyDescent="0.2">
      <c r="B2" s="90" t="s">
        <v>150</v>
      </c>
      <c r="C2" s="90"/>
      <c r="D2" s="94"/>
      <c r="E2" s="94"/>
    </row>
    <row r="3" spans="2:5" x14ac:dyDescent="0.2">
      <c r="B3" s="91"/>
      <c r="C3" s="91"/>
      <c r="D3" s="95"/>
      <c r="E3" s="95"/>
    </row>
    <row r="4" spans="2:5" ht="38.25" x14ac:dyDescent="0.2">
      <c r="B4" s="91" t="s">
        <v>151</v>
      </c>
      <c r="C4" s="91"/>
      <c r="D4" s="95"/>
      <c r="E4" s="95"/>
    </row>
    <row r="5" spans="2:5" x14ac:dyDescent="0.2">
      <c r="B5" s="91"/>
      <c r="C5" s="91"/>
      <c r="D5" s="95"/>
      <c r="E5" s="95"/>
    </row>
    <row r="6" spans="2:5" ht="25.5" x14ac:dyDescent="0.2">
      <c r="B6" s="90" t="s">
        <v>152</v>
      </c>
      <c r="C6" s="90"/>
      <c r="D6" s="94"/>
      <c r="E6" s="94" t="s">
        <v>153</v>
      </c>
    </row>
    <row r="7" spans="2:5" ht="13.5" thickBot="1" x14ac:dyDescent="0.25">
      <c r="B7" s="91"/>
      <c r="C7" s="91"/>
      <c r="D7" s="95"/>
      <c r="E7" s="95"/>
    </row>
    <row r="8" spans="2:5" ht="51.75" thickBot="1" x14ac:dyDescent="0.25">
      <c r="B8" s="92" t="s">
        <v>154</v>
      </c>
      <c r="C8" s="93"/>
      <c r="D8" s="96"/>
      <c r="E8" s="97" t="s">
        <v>155</v>
      </c>
    </row>
    <row r="9" spans="2:5" x14ac:dyDescent="0.2">
      <c r="B9" s="91"/>
      <c r="C9" s="91"/>
      <c r="D9" s="95"/>
      <c r="E9" s="95"/>
    </row>
    <row r="10" spans="2:5" x14ac:dyDescent="0.2">
      <c r="B10" s="91"/>
      <c r="C10" s="91"/>
      <c r="D10" s="95"/>
      <c r="E10" s="9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8:L55"/>
  <sheetViews>
    <sheetView topLeftCell="B5" workbookViewId="0">
      <selection activeCell="AT22" sqref="AT22:AY22"/>
    </sheetView>
  </sheetViews>
  <sheetFormatPr baseColWidth="10" defaultRowHeight="12.75" x14ac:dyDescent="0.2"/>
  <cols>
    <col min="1" max="1" width="19" customWidth="1"/>
    <col min="2" max="2" width="17.140625" customWidth="1"/>
    <col min="3" max="3" width="12.5703125" customWidth="1"/>
    <col min="4" max="4" width="16.5703125" customWidth="1"/>
    <col min="5" max="5" width="19.42578125" customWidth="1"/>
    <col min="6" max="6" width="16.7109375" customWidth="1"/>
    <col min="7" max="7" width="22.5703125" customWidth="1"/>
    <col min="8" max="8" width="13.28515625" customWidth="1"/>
  </cols>
  <sheetData>
    <row r="8" spans="1:12" x14ac:dyDescent="0.2">
      <c r="B8">
        <v>280</v>
      </c>
      <c r="C8" t="s">
        <v>159</v>
      </c>
      <c r="D8" t="s">
        <v>160</v>
      </c>
      <c r="H8" t="s">
        <v>161</v>
      </c>
    </row>
    <row r="10" spans="1:12" x14ac:dyDescent="0.2">
      <c r="B10" t="s">
        <v>162</v>
      </c>
      <c r="C10" t="s">
        <v>163</v>
      </c>
      <c r="D10" t="s">
        <v>164</v>
      </c>
      <c r="F10" t="s">
        <v>165</v>
      </c>
      <c r="H10" t="s">
        <v>166</v>
      </c>
      <c r="J10" t="s">
        <v>167</v>
      </c>
    </row>
    <row r="12" spans="1:12" x14ac:dyDescent="0.2">
      <c r="D12">
        <v>325</v>
      </c>
      <c r="F12">
        <v>210</v>
      </c>
      <c r="H12">
        <v>62</v>
      </c>
      <c r="J12">
        <f>D12+F12+H12</f>
        <v>597</v>
      </c>
      <c r="L12">
        <f>J12/2</f>
        <v>298.5</v>
      </c>
    </row>
    <row r="13" spans="1:12" ht="15" customHeight="1" x14ac:dyDescent="0.2"/>
    <row r="14" spans="1:12" ht="15" customHeight="1" x14ac:dyDescent="0.2">
      <c r="A14" s="110" t="s">
        <v>174</v>
      </c>
      <c r="B14" s="109" t="s">
        <v>168</v>
      </c>
      <c r="C14" s="109" t="s">
        <v>169</v>
      </c>
      <c r="D14" s="109" t="s">
        <v>170</v>
      </c>
      <c r="E14" s="109" t="s">
        <v>85</v>
      </c>
      <c r="F14" s="109" t="s">
        <v>171</v>
      </c>
      <c r="G14" s="109" t="s">
        <v>172</v>
      </c>
      <c r="H14" s="109" t="s">
        <v>173</v>
      </c>
    </row>
    <row r="15" spans="1:12" ht="15" customHeight="1" x14ac:dyDescent="0.2">
      <c r="A15" s="109"/>
      <c r="B15" s="109"/>
      <c r="C15" s="109"/>
      <c r="D15" s="109"/>
      <c r="E15" s="109"/>
      <c r="F15" s="109"/>
      <c r="G15" s="109"/>
      <c r="H15" s="109"/>
    </row>
    <row r="16" spans="1:12" ht="15" customHeight="1" x14ac:dyDescent="0.2">
      <c r="A16" t="s">
        <v>178</v>
      </c>
      <c r="B16" s="109">
        <v>280</v>
      </c>
      <c r="C16" s="109" t="s">
        <v>147</v>
      </c>
      <c r="D16" s="109">
        <v>332</v>
      </c>
      <c r="E16" s="109">
        <f t="shared" ref="E16:E21" si="0">D16*64%</f>
        <v>212.48000000000002</v>
      </c>
      <c r="F16" s="109">
        <v>62</v>
      </c>
      <c r="G16" s="109">
        <f t="shared" ref="G16:G21" si="1">D16*2+E16+F16</f>
        <v>938.48</v>
      </c>
      <c r="H16" s="109">
        <f t="shared" ref="H16:H21" si="2">F16+E16+D16</f>
        <v>606.48</v>
      </c>
    </row>
    <row r="17" spans="1:8" ht="15" customHeight="1" x14ac:dyDescent="0.2">
      <c r="A17" t="s">
        <v>179</v>
      </c>
      <c r="B17" s="109">
        <v>280</v>
      </c>
      <c r="C17" s="112" t="s">
        <v>2</v>
      </c>
      <c r="D17" s="109">
        <v>355</v>
      </c>
      <c r="E17" s="109">
        <f t="shared" si="0"/>
        <v>227.20000000000002</v>
      </c>
      <c r="F17" s="109">
        <v>64</v>
      </c>
      <c r="G17" s="109">
        <f t="shared" si="1"/>
        <v>1001.2</v>
      </c>
      <c r="H17" s="109">
        <f t="shared" si="2"/>
        <v>646.20000000000005</v>
      </c>
    </row>
    <row r="18" spans="1:8" ht="15" customHeight="1" x14ac:dyDescent="0.2">
      <c r="A18" s="113" t="s">
        <v>178</v>
      </c>
      <c r="B18" s="109">
        <v>280</v>
      </c>
      <c r="C18" s="109" t="s">
        <v>158</v>
      </c>
      <c r="D18" s="109">
        <v>361</v>
      </c>
      <c r="E18" s="109">
        <f t="shared" si="0"/>
        <v>231.04</v>
      </c>
      <c r="F18" s="109">
        <v>63</v>
      </c>
      <c r="G18" s="109">
        <f t="shared" si="1"/>
        <v>1016.04</v>
      </c>
      <c r="H18" s="109">
        <f t="shared" si="2"/>
        <v>655.04</v>
      </c>
    </row>
    <row r="19" spans="1:8" ht="15" customHeight="1" x14ac:dyDescent="0.2">
      <c r="A19" s="113" t="s">
        <v>178</v>
      </c>
      <c r="B19" s="109">
        <v>280</v>
      </c>
      <c r="C19" s="109" t="s">
        <v>177</v>
      </c>
      <c r="D19" s="109">
        <v>361</v>
      </c>
      <c r="E19" s="109">
        <f t="shared" si="0"/>
        <v>231.04</v>
      </c>
      <c r="F19" s="109">
        <v>63</v>
      </c>
      <c r="G19" s="109">
        <f t="shared" si="1"/>
        <v>1016.04</v>
      </c>
      <c r="H19" s="109">
        <f t="shared" si="2"/>
        <v>655.04</v>
      </c>
    </row>
    <row r="20" spans="1:8" ht="15" customHeight="1" x14ac:dyDescent="0.2">
      <c r="A20" s="113" t="s">
        <v>180</v>
      </c>
      <c r="B20" s="109">
        <v>280</v>
      </c>
      <c r="C20" s="109" t="s">
        <v>142</v>
      </c>
      <c r="D20" s="109">
        <v>355</v>
      </c>
      <c r="E20" s="109">
        <f t="shared" si="0"/>
        <v>227.20000000000002</v>
      </c>
      <c r="F20" s="109">
        <v>43</v>
      </c>
      <c r="G20" s="109">
        <f t="shared" si="1"/>
        <v>980.2</v>
      </c>
      <c r="H20" s="109">
        <f t="shared" si="2"/>
        <v>625.20000000000005</v>
      </c>
    </row>
    <row r="21" spans="1:8" ht="15" customHeight="1" x14ac:dyDescent="0.2">
      <c r="A21" s="113" t="s">
        <v>180</v>
      </c>
      <c r="B21" s="109">
        <v>280</v>
      </c>
      <c r="C21" s="109" t="s">
        <v>181</v>
      </c>
      <c r="D21" s="109">
        <v>355</v>
      </c>
      <c r="E21" s="109">
        <f t="shared" si="0"/>
        <v>227.20000000000002</v>
      </c>
      <c r="F21" s="109">
        <v>71</v>
      </c>
      <c r="G21" s="109">
        <f t="shared" si="1"/>
        <v>1008.2</v>
      </c>
      <c r="H21" s="109">
        <f t="shared" si="2"/>
        <v>653.20000000000005</v>
      </c>
    </row>
    <row r="22" spans="1:8" ht="15" customHeight="1" x14ac:dyDescent="0.2">
      <c r="A22" s="109"/>
      <c r="B22" s="109"/>
      <c r="C22" s="109"/>
      <c r="D22" s="109"/>
      <c r="E22" s="109"/>
      <c r="F22" s="109"/>
      <c r="G22" s="109"/>
      <c r="H22" s="109"/>
    </row>
    <row r="23" spans="1:8" ht="15" customHeight="1" x14ac:dyDescent="0.2">
      <c r="A23" s="109"/>
      <c r="B23" s="109"/>
      <c r="C23" s="109"/>
      <c r="D23" s="109"/>
      <c r="E23" s="109"/>
      <c r="F23" s="109"/>
      <c r="G23" s="109"/>
      <c r="H23" s="109"/>
    </row>
    <row r="24" spans="1:8" ht="15" customHeight="1" x14ac:dyDescent="0.2">
      <c r="A24" s="109"/>
      <c r="B24" s="109"/>
      <c r="C24" s="109"/>
      <c r="D24" s="109"/>
      <c r="E24" s="109"/>
      <c r="F24" s="109"/>
      <c r="G24" s="109"/>
      <c r="H24" s="109"/>
    </row>
    <row r="25" spans="1:8" ht="15" customHeight="1" x14ac:dyDescent="0.2">
      <c r="A25" s="109"/>
      <c r="B25" s="109"/>
      <c r="C25" s="109"/>
      <c r="D25" s="109"/>
      <c r="E25" s="109"/>
      <c r="F25" s="109"/>
      <c r="G25" s="109"/>
      <c r="H25" s="109"/>
    </row>
    <row r="26" spans="1:8" ht="15" customHeight="1" x14ac:dyDescent="0.2">
      <c r="A26" s="111" t="s">
        <v>175</v>
      </c>
      <c r="B26" s="109"/>
      <c r="C26" s="109"/>
      <c r="D26" s="109"/>
      <c r="E26" s="109"/>
      <c r="F26" s="109"/>
      <c r="G26" s="109"/>
      <c r="H26" s="109"/>
    </row>
    <row r="27" spans="1:8" ht="15" customHeight="1" x14ac:dyDescent="0.2">
      <c r="A27" s="109"/>
      <c r="B27" s="109"/>
      <c r="C27" s="109"/>
      <c r="D27" s="109"/>
      <c r="E27" s="109"/>
      <c r="F27" s="109"/>
      <c r="G27" s="109"/>
      <c r="H27" s="109"/>
    </row>
    <row r="28" spans="1:8" ht="15" customHeight="1" x14ac:dyDescent="0.2">
      <c r="A28" s="109"/>
      <c r="B28" s="109"/>
      <c r="C28" s="109"/>
      <c r="D28" s="109"/>
      <c r="E28" s="109"/>
      <c r="F28" s="109"/>
      <c r="G28" s="109"/>
      <c r="H28" s="109"/>
    </row>
    <row r="29" spans="1:8" ht="15" customHeight="1" x14ac:dyDescent="0.2">
      <c r="A29" s="109"/>
      <c r="B29" s="109"/>
      <c r="C29" s="109"/>
      <c r="D29" s="109"/>
      <c r="E29" s="109"/>
      <c r="F29" s="109"/>
      <c r="G29" s="109"/>
      <c r="H29" s="109"/>
    </row>
    <row r="30" spans="1:8" ht="15" customHeight="1" x14ac:dyDescent="0.2">
      <c r="A30" s="109"/>
      <c r="B30" s="109"/>
      <c r="C30" s="109"/>
      <c r="D30" s="109"/>
      <c r="E30" s="109"/>
      <c r="F30" s="109"/>
      <c r="G30" s="109"/>
      <c r="H30" s="109"/>
    </row>
    <row r="31" spans="1:8" ht="15" customHeight="1" x14ac:dyDescent="0.2">
      <c r="A31" s="109"/>
      <c r="B31" s="109"/>
      <c r="C31" s="109"/>
      <c r="D31" s="109"/>
      <c r="E31" s="109"/>
      <c r="F31" s="109"/>
      <c r="G31" s="109"/>
      <c r="H31" s="109"/>
    </row>
    <row r="32" spans="1:8" ht="15" customHeight="1" x14ac:dyDescent="0.2">
      <c r="A32" s="109"/>
      <c r="B32" s="109"/>
      <c r="C32" s="109"/>
      <c r="D32" s="109"/>
      <c r="E32" s="109"/>
      <c r="F32" s="109"/>
      <c r="G32" s="109"/>
      <c r="H32" s="109"/>
    </row>
    <row r="33" spans="1:8" ht="15" customHeight="1" x14ac:dyDescent="0.2">
      <c r="A33" s="109"/>
      <c r="B33" s="109"/>
      <c r="C33" s="109"/>
      <c r="D33" s="109"/>
      <c r="E33" s="109"/>
      <c r="F33" s="109"/>
      <c r="G33" s="109"/>
      <c r="H33" s="109"/>
    </row>
    <row r="34" spans="1:8" ht="15" customHeight="1" x14ac:dyDescent="0.2">
      <c r="A34" s="109"/>
      <c r="B34" s="109"/>
      <c r="C34" s="109"/>
      <c r="D34" s="109"/>
      <c r="E34" s="109"/>
      <c r="F34" s="109"/>
      <c r="G34" s="109"/>
      <c r="H34" s="109"/>
    </row>
    <row r="35" spans="1:8" ht="15" customHeight="1" x14ac:dyDescent="0.2">
      <c r="A35" s="109"/>
      <c r="B35" s="109"/>
      <c r="C35" s="109"/>
      <c r="D35" s="109"/>
      <c r="E35" s="109"/>
      <c r="F35" s="109"/>
      <c r="G35" s="109"/>
      <c r="H35" s="109"/>
    </row>
    <row r="36" spans="1:8" ht="15" customHeight="1" x14ac:dyDescent="0.2">
      <c r="A36" s="109"/>
      <c r="B36" s="109"/>
      <c r="C36" s="109"/>
      <c r="D36" s="109"/>
      <c r="E36" s="109"/>
      <c r="F36" s="109"/>
      <c r="G36" s="109"/>
      <c r="H36" s="109"/>
    </row>
    <row r="37" spans="1:8" ht="15" customHeight="1" x14ac:dyDescent="0.2">
      <c r="A37" s="109"/>
      <c r="B37" s="109"/>
      <c r="C37" s="109"/>
      <c r="D37" s="109"/>
      <c r="E37" s="109"/>
      <c r="F37" s="109"/>
      <c r="G37" s="109"/>
      <c r="H37" s="109"/>
    </row>
    <row r="38" spans="1:8" ht="15" customHeight="1" x14ac:dyDescent="0.2">
      <c r="A38" s="111" t="s">
        <v>176</v>
      </c>
      <c r="B38" s="109"/>
      <c r="C38" s="109"/>
      <c r="D38" s="109"/>
      <c r="E38" s="109"/>
      <c r="F38" s="109"/>
      <c r="G38" s="109"/>
      <c r="H38" s="109"/>
    </row>
    <row r="39" spans="1:8" ht="15" customHeight="1" x14ac:dyDescent="0.2">
      <c r="A39" s="109"/>
      <c r="B39" s="109"/>
      <c r="C39" s="109"/>
      <c r="D39" s="109"/>
      <c r="E39" s="109"/>
      <c r="F39" s="109"/>
      <c r="G39" s="109"/>
      <c r="H39" s="109"/>
    </row>
    <row r="40" spans="1:8" ht="15" customHeight="1" x14ac:dyDescent="0.2">
      <c r="A40" s="109"/>
      <c r="B40" s="109"/>
      <c r="C40" s="109"/>
      <c r="D40" s="109"/>
      <c r="E40" s="109"/>
      <c r="F40" s="109"/>
      <c r="G40" s="109"/>
      <c r="H40" s="109"/>
    </row>
    <row r="41" spans="1:8" ht="15" customHeight="1" x14ac:dyDescent="0.2">
      <c r="A41" s="109"/>
      <c r="B41" s="109"/>
      <c r="C41" s="109"/>
      <c r="D41" s="109"/>
      <c r="E41" s="109"/>
      <c r="F41" s="109"/>
      <c r="G41" s="109"/>
      <c r="H41" s="109"/>
    </row>
    <row r="42" spans="1:8" ht="15" customHeight="1" x14ac:dyDescent="0.2">
      <c r="A42" s="109"/>
      <c r="B42" s="109"/>
      <c r="C42" s="109"/>
      <c r="D42" s="109"/>
      <c r="E42" s="109"/>
      <c r="F42" s="109"/>
      <c r="G42" s="109"/>
      <c r="H42" s="109"/>
    </row>
    <row r="43" spans="1:8" ht="15" customHeight="1" x14ac:dyDescent="0.2">
      <c r="A43" s="109"/>
      <c r="B43" s="109"/>
      <c r="C43" s="109"/>
      <c r="D43" s="109"/>
      <c r="E43" s="109"/>
      <c r="F43" s="109"/>
      <c r="G43" s="109"/>
      <c r="H43" s="109"/>
    </row>
    <row r="44" spans="1:8" ht="15" customHeight="1" x14ac:dyDescent="0.2">
      <c r="A44" s="109"/>
      <c r="B44" s="109"/>
      <c r="C44" s="109"/>
      <c r="D44" s="109"/>
      <c r="E44" s="109"/>
      <c r="F44" s="109"/>
      <c r="G44" s="109"/>
      <c r="H44" s="109"/>
    </row>
    <row r="45" spans="1:8" ht="15" customHeight="1" x14ac:dyDescent="0.2">
      <c r="A45" s="109"/>
      <c r="B45" s="109"/>
      <c r="C45" s="109"/>
      <c r="D45" s="109"/>
      <c r="E45" s="109"/>
      <c r="F45" s="109"/>
      <c r="G45" s="109"/>
      <c r="H45" s="109"/>
    </row>
    <row r="46" spans="1:8" ht="15" customHeight="1" x14ac:dyDescent="0.2">
      <c r="A46" s="109"/>
      <c r="B46" s="109"/>
      <c r="C46" s="109"/>
      <c r="D46" s="109"/>
      <c r="E46" s="109"/>
      <c r="F46" s="109"/>
      <c r="G46" s="109"/>
      <c r="H46" s="109"/>
    </row>
    <row r="47" spans="1:8" ht="15" customHeight="1" x14ac:dyDescent="0.2">
      <c r="A47" s="109"/>
      <c r="B47" s="109"/>
      <c r="C47" s="109"/>
      <c r="D47" s="109"/>
      <c r="E47" s="109"/>
      <c r="F47" s="109"/>
      <c r="G47" s="109"/>
      <c r="H47" s="109"/>
    </row>
    <row r="48" spans="1:8" ht="15" customHeight="1" x14ac:dyDescent="0.2">
      <c r="A48" s="109"/>
      <c r="B48" s="109"/>
      <c r="C48" s="109"/>
      <c r="D48" s="109"/>
      <c r="E48" s="109"/>
      <c r="F48" s="109"/>
      <c r="G48" s="109"/>
      <c r="H48" s="109"/>
    </row>
    <row r="49" spans="1:8" ht="15" customHeight="1" x14ac:dyDescent="0.2">
      <c r="A49" s="109"/>
      <c r="B49" s="109"/>
      <c r="C49" s="109"/>
      <c r="D49" s="109"/>
      <c r="E49" s="109"/>
      <c r="F49" s="109"/>
      <c r="G49" s="109"/>
      <c r="H49" s="109"/>
    </row>
    <row r="50" spans="1:8" ht="15" customHeight="1" x14ac:dyDescent="0.2">
      <c r="A50" s="109"/>
      <c r="B50" s="109"/>
      <c r="C50" s="109"/>
      <c r="D50" s="109"/>
      <c r="E50" s="109"/>
      <c r="F50" s="109"/>
      <c r="G50" s="109"/>
      <c r="H50" s="109"/>
    </row>
    <row r="51" spans="1:8" ht="15" customHeight="1" x14ac:dyDescent="0.2">
      <c r="A51" s="109"/>
      <c r="B51" s="109"/>
      <c r="C51" s="109"/>
      <c r="D51" s="109"/>
      <c r="E51" s="109"/>
      <c r="F51" s="109"/>
      <c r="G51" s="109"/>
      <c r="H51" s="109"/>
    </row>
    <row r="52" spans="1:8" ht="15" customHeight="1" x14ac:dyDescent="0.2">
      <c r="A52" s="109"/>
      <c r="B52" s="109"/>
      <c r="C52" s="109"/>
      <c r="D52" s="109"/>
      <c r="E52" s="109"/>
      <c r="F52" s="109"/>
      <c r="G52" s="109"/>
      <c r="H52" s="109"/>
    </row>
    <row r="53" spans="1:8" ht="15" customHeight="1" x14ac:dyDescent="0.2">
      <c r="A53" s="109"/>
      <c r="B53" s="109"/>
      <c r="C53" s="109"/>
      <c r="D53" s="109"/>
      <c r="E53" s="109"/>
      <c r="F53" s="109"/>
      <c r="G53" s="109"/>
      <c r="H53" s="109"/>
    </row>
    <row r="54" spans="1:8" ht="15" customHeight="1" x14ac:dyDescent="0.2"/>
    <row r="55" spans="1:8" ht="15" customHeight="1" x14ac:dyDescent="0.2"/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</vt:i4>
      </vt:variant>
    </vt:vector>
  </HeadingPairs>
  <TitlesOfParts>
    <vt:vector size="14" baseType="lpstr">
      <vt:lpstr>DATOS</vt:lpstr>
      <vt:lpstr>PRESUPUESTO </vt:lpstr>
      <vt:lpstr>CORTE</vt:lpstr>
      <vt:lpstr>CLIENTE</vt:lpstr>
      <vt:lpstr>ARTICULOS</vt:lpstr>
      <vt:lpstr>COLORES</vt:lpstr>
      <vt:lpstr>EMPALME</vt:lpstr>
      <vt:lpstr>CONFECCION</vt:lpstr>
      <vt:lpstr>MARGEN</vt:lpstr>
      <vt:lpstr>PORTADA</vt:lpstr>
      <vt:lpstr>Informe de compatibilidad</vt:lpstr>
      <vt:lpstr>EMPAMES ESTAMPADOS</vt:lpstr>
      <vt:lpstr>PORTADA!Área_de_impresión</vt:lpstr>
      <vt:lpstr>'PRESUPUESTO '!Área_de_impresión</vt:lpstr>
    </vt:vector>
  </TitlesOfParts>
  <Company>MANTELERIAS MADRILEÑAS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MILA</dc:creator>
  <cp:lastModifiedBy>Mantelerias Alma</cp:lastModifiedBy>
  <cp:lastPrinted>2025-01-28T09:45:19Z</cp:lastPrinted>
  <dcterms:created xsi:type="dcterms:W3CDTF">2002-05-29T17:28:59Z</dcterms:created>
  <dcterms:modified xsi:type="dcterms:W3CDTF">2026-01-16T16:02:20Z</dcterms:modified>
</cp:coreProperties>
</file>